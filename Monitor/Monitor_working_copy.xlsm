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FG\Google Drive\dev\AFT-Production-Development\Monitor\"/>
    </mc:Choice>
  </mc:AlternateContent>
  <bookViews>
    <workbookView xWindow="480" yWindow="1395" windowWidth="13845" windowHeight="6945"/>
  </bookViews>
  <sheets>
    <sheet name="Sheet1" sheetId="1" r:id="rId1"/>
    <sheet name="Log" sheetId="2" r:id="rId2"/>
    <sheet name="OrderHistory" sheetId="3" r:id="rId3"/>
    <sheet name="Sheet3" sheetId="4" r:id="rId4"/>
    <sheet name="Contracts" sheetId="5" r:id="rId5"/>
    <sheet name="Complex Hysterisis" sheetId="6" r:id="rId6"/>
    <sheet name="Simple Hysterisis" sheetId="7" r:id="rId7"/>
    <sheet name="Simplest - No Hysterysis" sheetId="8" r:id="rId8"/>
    <sheet name="debug log 523" sheetId="9" r:id="rId9"/>
    <sheet name="Sheet2" sheetId="10" r:id="rId10"/>
    <sheet name="Sheet4" sheetId="11" r:id="rId11"/>
    <sheet name="Profile" sheetId="12" r:id="rId12"/>
  </sheets>
  <functionGroups builtInGroupCount="18"/>
  <calcPr calcId="152511"/>
</workbook>
</file>

<file path=xl/calcChain.xml><?xml version="1.0" encoding="utf-8"?>
<calcChain xmlns="http://schemas.openxmlformats.org/spreadsheetml/2006/main">
  <c r="AE16" i="1" l="1"/>
  <c r="Z19" i="1"/>
  <c r="Z18" i="1"/>
  <c r="AD35" i="1"/>
  <c r="AI50" i="1"/>
  <c r="AI43" i="1"/>
  <c r="AI47" i="1"/>
  <c r="AI51" i="1"/>
  <c r="AI55" i="1"/>
  <c r="AI59" i="1"/>
  <c r="AI53" i="1"/>
  <c r="AI61" i="1"/>
  <c r="AI46" i="1"/>
  <c r="AI58" i="1"/>
  <c r="AI44" i="1"/>
  <c r="AI48" i="1"/>
  <c r="AI52" i="1"/>
  <c r="AI56" i="1"/>
  <c r="AI60" i="1"/>
  <c r="AI45" i="1"/>
  <c r="AI49" i="1"/>
  <c r="AI57" i="1"/>
  <c r="AI42" i="1"/>
  <c r="AI54" i="1"/>
  <c r="AI41" i="1"/>
  <c r="AJ41" i="1" l="1"/>
  <c r="AJ57" i="1"/>
  <c r="AJ60" i="1"/>
  <c r="AJ56" i="1"/>
  <c r="AJ58" i="1"/>
  <c r="AJ61" i="1"/>
  <c r="AJ59" i="1"/>
  <c r="AJ55" i="1"/>
  <c r="AJ51" i="1"/>
  <c r="AJ47" i="1"/>
  <c r="AJ49" i="1"/>
  <c r="AJ50" i="1"/>
  <c r="AJ53" i="1"/>
  <c r="AJ46" i="1"/>
  <c r="AJ45" i="1"/>
  <c r="AJ42" i="1"/>
  <c r="AJ44" i="1"/>
  <c r="AJ43" i="1"/>
  <c r="AJ48" i="1"/>
  <c r="AJ52" i="1"/>
  <c r="AJ54" i="1"/>
  <c r="Z20" i="1"/>
  <c r="AG42" i="1"/>
  <c r="AG43" i="1"/>
  <c r="AG44" i="1"/>
  <c r="AG45" i="1"/>
  <c r="AG46" i="1"/>
  <c r="AG47" i="1"/>
  <c r="AG48" i="1"/>
  <c r="AG49" i="1"/>
  <c r="AG50" i="1"/>
  <c r="AG51" i="1"/>
  <c r="AG52" i="1"/>
  <c r="AG53" i="1"/>
  <c r="AG54" i="1"/>
  <c r="AG55" i="1"/>
  <c r="AG56" i="1"/>
  <c r="AG57" i="1"/>
  <c r="AG58" i="1"/>
  <c r="AG59" i="1"/>
  <c r="AG60" i="1"/>
  <c r="AG61" i="1"/>
  <c r="AG41" i="1"/>
  <c r="Z5" i="1" l="1"/>
  <c r="AA5" i="1"/>
  <c r="AB5" i="1" s="1"/>
  <c r="AD5" i="1" s="1"/>
  <c r="AI26" i="1" s="1"/>
  <c r="AE42" i="1"/>
  <c r="AE43" i="1"/>
  <c r="AH43" i="1" s="1"/>
  <c r="AE44" i="1"/>
  <c r="AH44" i="1" s="1"/>
  <c r="AE45" i="1"/>
  <c r="AH45" i="1" s="1"/>
  <c r="AE46" i="1"/>
  <c r="AH46" i="1" s="1"/>
  <c r="AE47" i="1"/>
  <c r="AH47" i="1" s="1"/>
  <c r="AE48" i="1"/>
  <c r="AE49" i="1"/>
  <c r="AE50" i="1"/>
  <c r="AE51" i="1"/>
  <c r="AE52" i="1"/>
  <c r="AE53" i="1"/>
  <c r="AE54" i="1"/>
  <c r="AE55" i="1"/>
  <c r="AE56" i="1"/>
  <c r="AE57" i="1"/>
  <c r="AE58" i="1"/>
  <c r="AE59" i="1"/>
  <c r="AE60" i="1"/>
  <c r="AE61" i="1"/>
  <c r="AE41" i="1"/>
  <c r="AC35" i="1"/>
  <c r="Z8" i="1" l="1"/>
  <c r="AI29" i="1"/>
  <c r="Z11" i="1"/>
  <c r="AD6" i="1"/>
  <c r="AH62" i="1"/>
  <c r="Y5" i="1"/>
  <c r="Z27" i="1" l="1"/>
  <c r="AI28" i="1"/>
  <c r="AJ30" i="1" s="1"/>
  <c r="AH16" i="1"/>
  <c r="AH17" i="1"/>
  <c r="Z26" i="1"/>
  <c r="Z29" i="1" s="1"/>
  <c r="AE17" i="1"/>
  <c r="AF18" i="1" s="1"/>
  <c r="Z12" i="1"/>
  <c r="Z9" i="1"/>
  <c r="AA26" i="1" s="1"/>
  <c r="Z13" i="1"/>
  <c r="Y8" i="1"/>
  <c r="AE14" i="1" s="1"/>
  <c r="AD7" i="1"/>
  <c r="AH18" i="1" l="1"/>
  <c r="AI30" i="1" s="1"/>
  <c r="AK30" i="1" s="1"/>
  <c r="Z30" i="1"/>
  <c r="Z15" i="1"/>
  <c r="Z14" i="1"/>
  <c r="Z16" i="1" s="1"/>
  <c r="Z17" i="1" s="1"/>
  <c r="AE15" i="1"/>
  <c r="AH15" i="1"/>
  <c r="AH19" i="1" l="1"/>
  <c r="AH21" i="1" s="1"/>
  <c r="AI31" i="1"/>
  <c r="AF19" i="1"/>
  <c r="AF20" i="1" s="1"/>
  <c r="AI27" i="1" l="1"/>
  <c r="AF21" i="1"/>
  <c r="AH20" i="1"/>
  <c r="AI32" i="1" l="1"/>
  <c r="Z25" i="1"/>
  <c r="Z31" i="1" l="1"/>
  <c r="Z32" i="1" s="1"/>
  <c r="Z33" i="1" s="1"/>
  <c r="AE28" i="1"/>
  <c r="AD28" i="1"/>
  <c r="AA25" i="1"/>
  <c r="Z35" i="1" l="1"/>
  <c r="AA35" i="1"/>
  <c r="AE26" i="1" l="1"/>
  <c r="AA36" i="1"/>
  <c r="AD27" i="1"/>
  <c r="Z36" i="1"/>
  <c r="AE27" i="1"/>
  <c r="AD26" i="1"/>
  <c r="AE29" i="1" l="1"/>
  <c r="AD29" i="1"/>
</calcChain>
</file>

<file path=xl/sharedStrings.xml><?xml version="1.0" encoding="utf-8"?>
<sst xmlns="http://schemas.openxmlformats.org/spreadsheetml/2006/main" count="9092" uniqueCount="8110">
  <si>
    <t>Host</t>
  </si>
  <si>
    <t>Port</t>
  </si>
  <si>
    <t>ClientID</t>
  </si>
  <si>
    <t>Log Level</t>
  </si>
  <si>
    <t>Current Time</t>
  </si>
  <si>
    <t>Symbol</t>
  </si>
  <si>
    <t>Type</t>
  </si>
  <si>
    <t>Expiry</t>
  </si>
  <si>
    <t>Strike</t>
  </si>
  <si>
    <t>P/C</t>
  </si>
  <si>
    <t>Multiplier</t>
  </si>
  <si>
    <t>Exchange</t>
  </si>
  <si>
    <t>Primary Exchange</t>
  </si>
  <si>
    <t>Currency</t>
  </si>
  <si>
    <t>Local Symbol</t>
  </si>
  <si>
    <t>Trading Class</t>
  </si>
  <si>
    <t>Position</t>
  </si>
  <si>
    <t>Market price</t>
  </si>
  <si>
    <t>Market Value</t>
  </si>
  <si>
    <t>Avg Cost</t>
  </si>
  <si>
    <t>UnrealizedPNL</t>
  </si>
  <si>
    <t>RealizedPNL</t>
  </si>
  <si>
    <t>Status</t>
  </si>
  <si>
    <t>Positions</t>
  </si>
  <si>
    <t>Subscription Status</t>
  </si>
  <si>
    <t>Connectivity</t>
  </si>
  <si>
    <t>Account Status</t>
  </si>
  <si>
    <t>Algo Control</t>
  </si>
  <si>
    <t>Hedging Contracts</t>
  </si>
  <si>
    <t>Executions</t>
  </si>
  <si>
    <t>Connection Status</t>
  </si>
  <si>
    <t>Net Liquidation</t>
  </si>
  <si>
    <t>Current Initial</t>
  </si>
  <si>
    <t>Available</t>
  </si>
  <si>
    <t>Maintenance</t>
  </si>
  <si>
    <t>Unrealized</t>
  </si>
  <si>
    <t>Realized</t>
  </si>
  <si>
    <t>Account Name</t>
  </si>
  <si>
    <t>Account Ready</t>
  </si>
  <si>
    <t>GBP</t>
  </si>
  <si>
    <t>USD</t>
  </si>
  <si>
    <t>GLOBEX</t>
  </si>
  <si>
    <t>Bid</t>
  </si>
  <si>
    <t>Last</t>
  </si>
  <si>
    <t>Offer</t>
  </si>
  <si>
    <t>Last Size</t>
  </si>
  <si>
    <t>Bid Size</t>
  </si>
  <si>
    <t>Offer Size</t>
  </si>
  <si>
    <t>FUT</t>
  </si>
  <si>
    <t>6B</t>
  </si>
  <si>
    <t>OfferSize</t>
  </si>
  <si>
    <t>DISTANCE To Strike (Ticks)</t>
  </si>
  <si>
    <t>Distance to Trigger (Ticks)</t>
  </si>
  <si>
    <t>Distance To Strike (Ticks)</t>
  </si>
  <si>
    <t>Distance To Trigger (Ticks)</t>
  </si>
  <si>
    <t>Current Required Hedge</t>
  </si>
  <si>
    <t>Hedge Shortfall</t>
  </si>
  <si>
    <t>Account Current Time</t>
  </si>
  <si>
    <t>Market Price</t>
  </si>
  <si>
    <t>Unrealized PnL</t>
  </si>
  <si>
    <t>Realzed PnL</t>
  </si>
  <si>
    <t>Current Hedge Position</t>
  </si>
  <si>
    <t>Order Size</t>
  </si>
  <si>
    <t>Contract Description</t>
  </si>
  <si>
    <t>Order Description</t>
  </si>
  <si>
    <t>Order Status</t>
  </si>
  <si>
    <t>Pre-Trade commissions and margin information</t>
  </si>
  <si>
    <t>Account</t>
  </si>
  <si>
    <t>Prim Exch</t>
  </si>
  <si>
    <t>Con Id</t>
  </si>
  <si>
    <t>Action</t>
  </si>
  <si>
    <t>Quantity</t>
  </si>
  <si>
    <t>Order Type</t>
  </si>
  <si>
    <t>Lmt Price</t>
  </si>
  <si>
    <t>Id</t>
  </si>
  <si>
    <t>Filled</t>
  </si>
  <si>
    <t>Remaining</t>
  </si>
  <si>
    <t>Avg Fill Price</t>
  </si>
  <si>
    <t>Last Fill Price</t>
  </si>
  <si>
    <t>Commission</t>
  </si>
  <si>
    <t>Open Orders</t>
  </si>
  <si>
    <t>Maint Margin</t>
  </si>
  <si>
    <t>Init Margin</t>
  </si>
  <si>
    <t>Eq With Loan</t>
  </si>
  <si>
    <t>Execution Description</t>
  </si>
  <si>
    <t>OrderId</t>
  </si>
  <si>
    <t>ExecutionId</t>
  </si>
  <si>
    <t>Time</t>
  </si>
  <si>
    <t>Side</t>
  </si>
  <si>
    <t>Cum Qty</t>
  </si>
  <si>
    <t>Price</t>
  </si>
  <si>
    <t>Avg Price</t>
  </si>
  <si>
    <t>PermId</t>
  </si>
  <si>
    <t>Liquidation</t>
  </si>
  <si>
    <t>ClientId</t>
  </si>
  <si>
    <t>OrderRef</t>
  </si>
  <si>
    <t>evRule</t>
  </si>
  <si>
    <t>evMultiplier</t>
  </si>
  <si>
    <t>Aux Price</t>
  </si>
  <si>
    <t>Parent Id</t>
  </si>
  <si>
    <t>Order History</t>
  </si>
  <si>
    <t>FOP</t>
  </si>
  <si>
    <t>P</t>
  </si>
  <si>
    <t>C</t>
  </si>
  <si>
    <t>6BM4 P1605</t>
  </si>
  <si>
    <t>6BM4 P1610</t>
  </si>
  <si>
    <t>6BM4 P1615</t>
  </si>
  <si>
    <t>6BM4 P1640</t>
  </si>
  <si>
    <t>6BM4 C1645</t>
  </si>
  <si>
    <t>6BM4 C1650</t>
  </si>
  <si>
    <t>6BM4 P1645</t>
  </si>
  <si>
    <t>6BM4 P1650</t>
  </si>
  <si>
    <t>6BM4 C1655</t>
  </si>
  <si>
    <t>6BM4 C1660</t>
  </si>
  <si>
    <t>6BM4 P1660</t>
  </si>
  <si>
    <t>6BM4 C1670</t>
  </si>
  <si>
    <t>6BM4</t>
  </si>
  <si>
    <t>Closest Strike UP</t>
  </si>
  <si>
    <t>Closest Stike DOWN</t>
  </si>
  <si>
    <t>6BM4 C1675</t>
  </si>
  <si>
    <t>6BM4 C1680</t>
  </si>
  <si>
    <t>6BM4 P1675</t>
  </si>
  <si>
    <t>Test cases:</t>
  </si>
  <si>
    <t xml:space="preserve">I set up the portfolio, and all is well.  Then, I went to the TWS screen and sold some positions that threw the hedge ratio off.  </t>
  </si>
  <si>
    <t>contract_id</t>
  </si>
  <si>
    <t>local_symbol</t>
  </si>
  <si>
    <t>currency</t>
  </si>
  <si>
    <t>exchange</t>
  </si>
  <si>
    <t>expiry</t>
  </si>
  <si>
    <t>liquid_hours</t>
  </si>
  <si>
    <t>long_name</t>
  </si>
  <si>
    <t>market_name</t>
  </si>
  <si>
    <t>min_tick</t>
  </si>
  <si>
    <t>multiplier</t>
  </si>
  <si>
    <t>price_magnifier</t>
  </si>
  <si>
    <t>primary_exchange</t>
  </si>
  <si>
    <t>right</t>
  </si>
  <si>
    <t>sec_type</t>
  </si>
  <si>
    <t>strike</t>
  </si>
  <si>
    <t>symbol</t>
  </si>
  <si>
    <t>trading_class</t>
  </si>
  <si>
    <t>trading_hours</t>
  </si>
  <si>
    <t>underlying_contract_id</t>
  </si>
  <si>
    <t>20140421:CLOSED;20140422:0830-1600</t>
  </si>
  <si>
    <t>British pound</t>
  </si>
  <si>
    <t>20140421:CLOSED;20140422:1700-1600</t>
  </si>
  <si>
    <t>Downward Tick Bufffer</t>
  </si>
  <si>
    <t>Upward Tick Buffer</t>
  </si>
  <si>
    <t>Short DI Length</t>
  </si>
  <si>
    <t>Long DI Length</t>
  </si>
  <si>
    <t>Short MA</t>
  </si>
  <si>
    <t>Long MA</t>
  </si>
  <si>
    <t>Direction</t>
  </si>
  <si>
    <t>Hedge Transition Table</t>
  </si>
  <si>
    <t>Zone Definitions (looking down)</t>
  </si>
  <si>
    <t xml:space="preserve">A </t>
  </si>
  <si>
    <t>Above Stop</t>
  </si>
  <si>
    <t>B</t>
  </si>
  <si>
    <t>Between Stop and Buffer</t>
  </si>
  <si>
    <t xml:space="preserve">C </t>
  </si>
  <si>
    <t>Between Buffer and Strike</t>
  </si>
  <si>
    <t>D</t>
  </si>
  <si>
    <t>Between Strike and Next Buffer</t>
  </si>
  <si>
    <t>E</t>
  </si>
  <si>
    <t>Between Lower Buffer and Reset</t>
  </si>
  <si>
    <t>F</t>
  </si>
  <si>
    <t>Below Reset</t>
  </si>
  <si>
    <t>Hedge Definitions</t>
  </si>
  <si>
    <t>+</t>
  </si>
  <si>
    <t>-</t>
  </si>
  <si>
    <t>Correctly Hedged</t>
  </si>
  <si>
    <t xml:space="preserve">Direction Indicators </t>
  </si>
  <si>
    <t xml:space="preserve">U </t>
  </si>
  <si>
    <t>SMA &gt; LMA</t>
  </si>
  <si>
    <t xml:space="preserve">D </t>
  </si>
  <si>
    <t>SMA &lt; LMA</t>
  </si>
  <si>
    <t>Zone</t>
  </si>
  <si>
    <t>Hedge</t>
  </si>
  <si>
    <t>A</t>
  </si>
  <si>
    <t>U</t>
  </si>
  <si>
    <t>Nothing</t>
  </si>
  <si>
    <t>Hedge to zero</t>
  </si>
  <si>
    <t>N</t>
  </si>
  <si>
    <t>Y</t>
  </si>
  <si>
    <t>Hedge to Plus</t>
  </si>
  <si>
    <t>Over-hedged (forward delta in contracts &gt; forward delta in options)</t>
  </si>
  <si>
    <t>Under-Hedged (forward delta in contracts &lt; forward delta in options)</t>
  </si>
  <si>
    <t>Hedge to Minus</t>
  </si>
  <si>
    <t>Contracts</t>
  </si>
  <si>
    <t>Option Forward Deltas</t>
  </si>
  <si>
    <t>You really should not be in this state</t>
  </si>
  <si>
    <t>here you should have tried to hedge but just were not successful yet - if it goes up, you got off cheap</t>
  </si>
  <si>
    <t>here you should have tried to hedge but just were not successful yet - if it goes down, get the hedge on!</t>
  </si>
  <si>
    <t>sit and wait.  Cross fingers</t>
  </si>
  <si>
    <t>sit and wait - cross fingers</t>
  </si>
  <si>
    <t>Next State</t>
  </si>
  <si>
    <t>DownTrigger Triggered</t>
  </si>
  <si>
    <t>Up Trigger Triggered</t>
  </si>
  <si>
    <t>*</t>
  </si>
  <si>
    <t xml:space="preserve">Nothing </t>
  </si>
  <si>
    <t>Reset All Triggers</t>
  </si>
  <si>
    <t>Hedge Action</t>
  </si>
  <si>
    <t>Trigger Action</t>
  </si>
  <si>
    <t>State number</t>
  </si>
  <si>
    <t>RULE:   ONLY One TRIGGER CAN BE ACTIVE AT ONE TIME!</t>
  </si>
  <si>
    <t>Could escape</t>
  </si>
  <si>
    <t>Don't know why you are here</t>
  </si>
  <si>
    <t>Stop/Reset Level</t>
  </si>
  <si>
    <t>Attempt to wait it out</t>
  </si>
  <si>
    <t>Set downtrigger if up trigger is zero</t>
  </si>
  <si>
    <t>Set uptrigger if downtrigger is nothing</t>
  </si>
  <si>
    <t>Hedge to Zero</t>
  </si>
  <si>
    <t>Hedge to plus</t>
  </si>
  <si>
    <t>Simple Hysterisis</t>
  </si>
  <si>
    <t>Direction Indicator Only</t>
  </si>
  <si>
    <t>Ticks until Cancel</t>
  </si>
  <si>
    <t>2014-05-23 04:52:24: Alorithm - getPortfolioForwardDelta - required deltas is 2</t>
  </si>
  <si>
    <t>2014-05-23 04:52:24: Alorithm - getHedgeShortfall - required deltas is 2</t>
  </si>
  <si>
    <t>2014-05-23 04:52:24: Algorithm - FindNextStrikes - price is 1.68645</t>
  </si>
  <si>
    <t>2014-05-23 04:52:24: Alorithm - getOptionForwardDelta - option is 6B4K4 P1675 option qty is -1 strike is 1.675 price is 1.68645 requiredDeltas is 0</t>
  </si>
  <si>
    <t>2014-05-23 04:52:24: Alorithm - getOptionForwardDelta - option is 6B4K4 P1680 option qty is -1 strike is 1.68 price is 1.68645 requiredDeltas is 0</t>
  </si>
  <si>
    <t>2014-05-23 04:52:24: Alorithm - getOptionForwardDelta - option is 6B4K4 C1685 option qty is -2 strike is 1.685 price is 1.68645 requiredDeltas is 2</t>
  </si>
  <si>
    <t>2014-05-23 04:52:24: Alorithm - getOptionForwardDelta - option is 6B4K4 C1690 option qty is -1 strike is 1.69 price is 1.68645 requiredDeltas is 0</t>
  </si>
  <si>
    <t>2014-05-23 04:52:24: Alorithm - getOptionForwardDelta - option is 6B4K4 P1685 option qty is -1 strike is 1.685 price is 1.68645 requiredDeltas is 0</t>
  </si>
  <si>
    <t>2014-05-23 04:54:51: Algorithm - FindNextStrikes - price is 1.6864</t>
  </si>
  <si>
    <t>2014-05-23 04:54:51: Alorithm - getOptionForwardDelta - option is 6B4K4 P1675 option qty is -1 strike is 1.675 price is 1.6864 requiredDeltas is 0</t>
  </si>
  <si>
    <t>2014-05-23 04:54:51: Alorithm - getOptionForwardDelta - option is 6B4K4 P1680 option qty is -1 strike is 1.68 price is 1.6864 requiredDeltas is 0</t>
  </si>
  <si>
    <t>2014-05-23 04:54:51: Alorithm - getOptionForwardDelta - option is 6B4K4 C1685 option qty is -2 strike is 1.685 price is 1.6864 requiredDeltas is 2</t>
  </si>
  <si>
    <t>2014-05-23 04:54:51: Alorithm - getOptionForwardDelta - option is 6B4K4 C1690 option qty is -1 strike is 1.69 price is 1.6864 requiredDeltas is 0</t>
  </si>
  <si>
    <t>2014-05-23 04:54:51: Alorithm - getOptionForwardDelta - option is 6B4K4 P1685 option qty is -1 strike is 1.685 price is 1.6864 requiredDeltas is 0</t>
  </si>
  <si>
    <t>2014-05-23 04:54:51: Alorithm - getPortfolioForwardDelta - required deltas is 2</t>
  </si>
  <si>
    <t>2014-05-23 04:54:51: Alorithm - getHedgeShortfall - required deltas is 2</t>
  </si>
  <si>
    <t>2014-05-23 05:02:01: Algorithm - calcContractsToTrade - you have crossed the line</t>
  </si>
  <si>
    <t>2014-05-23 05:02:01: Alorithm - getOptionForwardDelta - option is 6B4K4 P1675 option qty is -1 strike is 1.675 price is 0.34325 requiredDeltas is -1</t>
  </si>
  <si>
    <t>2014-05-23 05:02:01: Alorithm - getOptionForwardDelta - option is 6B4K4 P1680 option qty is -1 strike is 1.68 price is 0.34325 requiredDeltas is -1</t>
  </si>
  <si>
    <t>2014-05-23 05:02:01: Alorithm - getOptionForwardDelta - option is 6B4K4 C1685 option qty is -2 strike is 1.685 price is 0.34325 requiredDeltas is 0</t>
  </si>
  <si>
    <t>2014-05-23 05:02:01: Alorithm - getOptionForwardDelta - option is 6B4K4 C1690 option qty is -1 strike is 1.69 price is 0.34325 requiredDeltas is 0</t>
  </si>
  <si>
    <t>2014-05-23 05:02:01: Alorithm - getOptionForwardDelta - option is 6B4K4 P1685 option qty is -1 strike is 1.685 price is 0.34325 requiredDeltas is -1</t>
  </si>
  <si>
    <t>2014-05-23 05:02:01: Alorithm - getPortfolioForwardDelta - required deltas is -3</t>
  </si>
  <si>
    <t>2014-05-23 05:02:01: Alorithm - getHedgeShortfall - required deltas is -3</t>
  </si>
  <si>
    <t>2014-05-23 05:02:01: Algortihm - rehedge - rehedging -5 contracts</t>
  </si>
  <si>
    <t>2014-05-23 05:02:01: OrderManager - PlaceOrder - entering place order next valid id is 36</t>
  </si>
  <si>
    <t>2014-05-23 05:02:01: OrderManager - PlaceOrder - created New Order</t>
  </si>
  <si>
    <t>2014-05-23 05:02:01: OrderManager - PlaceOrder -  placing order</t>
  </si>
  <si>
    <t>2014-05-23 05:02:01: OrderManager - PlaceOrder - next valid id is 36</t>
  </si>
  <si>
    <t xml:space="preserve">2014-05-23 05:02:01: OrderManager - PlaceOrder - contract primary exchange is </t>
  </si>
  <si>
    <t>2014-05-23 05:02:01: OrderManager - PlaceOrder - placing order - incrementing working orders - now 1 currentPosition is 2</t>
  </si>
  <si>
    <t>2014-05-23 05:02:02: OrderManager - PlaceOrder - exiting place order</t>
  </si>
  <si>
    <t>2014-05-23 05:02:02: Algortihm - rehedge - rehedging -5 contracts</t>
  </si>
  <si>
    <t>2014-05-23 05:02:02: Algorithm - rehedge - Need to place order but already have a working order</t>
  </si>
  <si>
    <t>2014-05-23 05:02:02: OrderManager - updateExecution - got orderId 36 on update execution</t>
  </si>
  <si>
    <t>2014-05-23 05:02:02: OrderManager - UpdateOrderStatus - Setting status to Filled workingOrderCount is now -1</t>
  </si>
  <si>
    <t>2014-05-23 05:02:03: OrderManager - UpdateOrderStatus - Setting status to Filled workingOrderCount is now -2</t>
  </si>
  <si>
    <t>2014-05-23 05:02:03: OrderManager - UpdateOrderStatus - Setting status to Filled workingOrderCount is now -3</t>
  </si>
  <si>
    <t>2014-05-23 05:02:03: Algortihm - rehedge - rehedging -5 contracts</t>
  </si>
  <si>
    <t>2014-05-23 05:02:03: Algorithm - rehedge - Need to place order but already have a working order</t>
  </si>
  <si>
    <t>2014-05-23 05:02:04: Algorithm - FindNextStrikes - price is 1.68655</t>
  </si>
  <si>
    <t>2014-05-23 05:02:04: Alorithm - getOptionForwardDelta - option is 6B4K4 P1675 option qty is -1 strike is 1.675 price is 1.68655 requiredDeltas is 0</t>
  </si>
  <si>
    <t>2014-05-23 05:02:04: Alorithm - getOptionForwardDelta - option is 6B4K4 P1680 option qty is -1 strike is 1.68 price is 1.68655 requiredDeltas is 0</t>
  </si>
  <si>
    <t>2014-05-23 05:02:04: Alorithm - getOptionForwardDelta - option is 6B4K4 C1685 option qty is -2 strike is 1.685 price is 1.68655 requiredDeltas is 2</t>
  </si>
  <si>
    <t>2014-05-23 05:02:04: Alorithm - getOptionForwardDelta - option is 6B4K4 C1690 option qty is -1 strike is 1.69 price is 1.68655 requiredDeltas is 0</t>
  </si>
  <si>
    <t>2014-05-23 05:02:04: Alorithm - getOptionForwardDelta - option is 6B4K4 P1685 option qty is -1 strike is 1.685 price is 1.68655 requiredDeltas is 0</t>
  </si>
  <si>
    <t>2014-05-23 05:02:04: Alorithm - getPortfolioForwardDelta - required deltas is 2</t>
  </si>
  <si>
    <t>2014-05-23 05:02:04: Alorithm - getHedgeShortfall - required deltas is 2</t>
  </si>
  <si>
    <t>2014-05-23 05:02:27: Algortihm - rehedge - rehedging 1 contracts</t>
  </si>
  <si>
    <t>2014-05-23 05:02:27: Algorithm - rehedge - Need to place order but already have a working order</t>
  </si>
  <si>
    <t>2014-05-23 05:02:39: Algortihm - rehedge - rehedging 1 contracts</t>
  </si>
  <si>
    <t>2014-05-23 05:02:39: Algorithm - rehedge - Need to place order but already have a working order</t>
  </si>
  <si>
    <t>2014-05-23 05:02:42: Algortihm - rehedge - rehedging 1 contracts</t>
  </si>
  <si>
    <t>2014-05-23 05:02:42: Algorithm - rehedge - Need to place order but already have a working order</t>
  </si>
  <si>
    <t>2014-05-23 05:03:00: Algortihm - rehedge - rehedging 1 contracts</t>
  </si>
  <si>
    <t>2014-05-23 05:03:00: Algorithm - rehedge - Need to place order but already have a working order</t>
  </si>
  <si>
    <t>2014-05-23 05:03:01: Algortihm - rehedge - rehedging 1 contracts</t>
  </si>
  <si>
    <t>2014-05-23 05:03:01: Algorithm - rehedge - Need to place order but already have a working order</t>
  </si>
  <si>
    <t>2014-05-23 05:03:02: Algortihm - rehedge - rehedging 1 contracts</t>
  </si>
  <si>
    <t>2014-05-23 05:03:02: Algorithm - rehedge - Need to place order but already have a working order</t>
  </si>
  <si>
    <t>2014-05-23 05:03:58: Algortihm - rehedge - rehedging 1 contracts</t>
  </si>
  <si>
    <t>2014-05-23 05:03:58: Algorithm - rehedge - Need to place order but already have a working order</t>
  </si>
  <si>
    <t>2014-05-23 05:04:00: Algortihm - rehedge - rehedging 1 contracts</t>
  </si>
  <si>
    <t>2014-05-23 05:04:00: Algorithm - rehedge - Need to place order but already have a working order</t>
  </si>
  <si>
    <t>2014-05-23 05:04:10: Algortihm - rehedge - rehedging 1 contracts</t>
  </si>
  <si>
    <t>2014-05-23 05:04:10: Algorithm - rehedge - Need to place order but already have a working order</t>
  </si>
  <si>
    <t>2014-05-23 05:04:15: Algortihm - rehedge - rehedging 1 contracts</t>
  </si>
  <si>
    <t>2014-05-23 05:04:15: Algorithm - rehedge - Need to place order but already have a working order</t>
  </si>
  <si>
    <t>2014-05-23 05:04:34: Algortihm - rehedge - rehedging 1 contracts</t>
  </si>
  <si>
    <t>2014-05-23 05:04:34: Algorithm - rehedge - Need to place order but already have a working order</t>
  </si>
  <si>
    <t>2014-05-23 05:04:49: Algortihm - rehedge - rehedging 1 contracts</t>
  </si>
  <si>
    <t>2014-05-23 05:04:49: Algorithm - rehedge - Need to place order but already have a working order</t>
  </si>
  <si>
    <t>2014-05-23 05:05:50: Algortihm - rehedge - rehedging 1 contracts</t>
  </si>
  <si>
    <t>2014-05-23 05:05:50: Algorithm - rehedge - Need to place order but already have a working order</t>
  </si>
  <si>
    <t>2014-05-23 05:06:23: Algortihm - rehedge - rehedging 1 contracts</t>
  </si>
  <si>
    <t>2014-05-23 05:06:23: Algorithm - rehedge - Need to place order but already have a working order</t>
  </si>
  <si>
    <t>2014-05-23 05:06:36: Algortihm - rehedge - rehedging 1 contracts</t>
  </si>
  <si>
    <t>2014-05-23 05:06:36: Algorithm - rehedge - Need to place order but already have a working order</t>
  </si>
  <si>
    <t>2014-05-23 05:06:37: Algortihm - rehedge - rehedging 1 contracts</t>
  </si>
  <si>
    <t>2014-05-23 05:06:37: Algorithm - rehedge - Need to place order but already have a working order</t>
  </si>
  <si>
    <t>2014-05-23 05:06:58: Algorithm - FindNextStrikes - price is 1.68675</t>
  </si>
  <si>
    <t>2014-05-23 05:06:58: Alorithm - getOptionForwardDelta - option is 6B4K4 P1675 option qty is -1 strike is 1.675 price is 1.68675 requiredDeltas is 0</t>
  </si>
  <si>
    <t>2014-05-23 05:06:58: Alorithm - getOptionForwardDelta - option is 6B4K4 P1680 option qty is -1 strike is 1.68 price is 1.68675 requiredDeltas is 0</t>
  </si>
  <si>
    <t>2014-05-23 05:06:58: Alorithm - getOptionForwardDelta - option is 6B4K4 C1685 option qty is -2 strike is 1.685 price is 1.68675 requiredDeltas is 2</t>
  </si>
  <si>
    <t>2014-05-23 05:06:58: Alorithm - getOptionForwardDelta - option is 6B4K4 C1690 option qty is -1 strike is 1.69 price is 1.68675 requiredDeltas is 0</t>
  </si>
  <si>
    <t>2014-05-23 05:06:58: Alorithm - getOptionForwardDelta - option is 6B4K4 P1685 option qty is -1 strike is 1.685 price is 1.68675 requiredDeltas is 0</t>
  </si>
  <si>
    <t>2014-05-23 05:06:58: Alorithm - getPortfolioForwardDelta - required deltas is 2</t>
  </si>
  <si>
    <t>2014-05-23 05:06:58: Alorithm - getHedgeShortfall - required deltas is 2</t>
  </si>
  <si>
    <t>2014-05-23 05:07:13: Algortihm - rehedge - rehedging 1 contracts</t>
  </si>
  <si>
    <t>2014-05-23 05:07:13: Algorithm - rehedge - Need to place order but already have a working order</t>
  </si>
  <si>
    <t>2014-05-23 05:07:14: Algortihm - rehedge - rehedging 1 contracts</t>
  </si>
  <si>
    <t>2014-05-23 05:07:14: Algorithm - rehedge - Need to place order but already have a working order</t>
  </si>
  <si>
    <t>2014-05-23 05:07:38: Algortihm - rehedge - rehedging 1 contracts</t>
  </si>
  <si>
    <t>2014-05-23 05:07:38: Algorithm - rehedge - Need to place order but already have a working order</t>
  </si>
  <si>
    <t>2014-05-23 05:08:03: Algorithm - FindNextStrikes - price is 1.68675</t>
  </si>
  <si>
    <t>2014-05-23 05:08:03: Alorithm - getOptionForwardDelta - option is 6B4K4 P1675 option qty is -1 strike is 1.675 price is 1.68675 requiredDeltas is 0</t>
  </si>
  <si>
    <t>2014-05-23 05:08:03: Alorithm - getOptionForwardDelta - option is 6B4K4 P1680 option qty is -1 strike is 1.68 price is 1.68675 requiredDeltas is 0</t>
  </si>
  <si>
    <t>2014-05-23 05:08:03: Alorithm - getOptionForwardDelta - option is 6B4K4 C1685 option qty is -2 strike is 1.685 price is 1.68675 requiredDeltas is 2</t>
  </si>
  <si>
    <t>2014-05-23 05:08:03: Alorithm - getOptionForwardDelta - option is 6B4K4 C1690 option qty is -1 strike is 1.69 price is 1.68675 requiredDeltas is 0</t>
  </si>
  <si>
    <t>2014-05-23 05:08:03: Alorithm - getOptionForwardDelta - option is 6B4K4 P1685 option qty is -1 strike is 1.685 price is 1.68675 requiredDeltas is 0</t>
  </si>
  <si>
    <t>2014-05-23 05:08:03: Alorithm - getPortfolioForwardDelta - required deltas is 2</t>
  </si>
  <si>
    <t>2014-05-23 05:08:03: Alorithm - getHedgeShortfall - required deltas is 2</t>
  </si>
  <si>
    <t>2014-05-23 05:08:21: Algortihm - rehedge - rehedging 1 contracts</t>
  </si>
  <si>
    <t>2014-05-23 05:08:21: Algorithm - rehedge - Need to place order but already have a working order</t>
  </si>
  <si>
    <t>2014-05-23 05:08:45: Algortihm - rehedge - rehedging 1 contracts</t>
  </si>
  <si>
    <t>2014-05-23 05:08:45: Algorithm - rehedge - Need to place order but already have a working order</t>
  </si>
  <si>
    <t>2014-05-23 05:08:50: Algortihm - rehedge - rehedging 1 contracts</t>
  </si>
  <si>
    <t>2014-05-23 05:08:50: Algorithm - rehedge - Need to place order but already have a working order</t>
  </si>
  <si>
    <t>2014-05-23 05:08:51: Algortihm - rehedge - rehedging 1 contracts</t>
  </si>
  <si>
    <t>2014-05-23 05:08:51: Algorithm - rehedge - Need to place order but already have a working order</t>
  </si>
  <si>
    <t>2014-05-23 05:09:27: Algortihm - rehedge - rehedging 1 contracts</t>
  </si>
  <si>
    <t>2014-05-23 05:09:27: Algorithm - rehedge - Need to place order but already have a working order</t>
  </si>
  <si>
    <t>2014-05-23 05:09:46: Algortihm - rehedge - rehedging 1 contracts</t>
  </si>
  <si>
    <t>2014-05-23 05:09:46: Algorithm - rehedge - Need to place order but already have a working order</t>
  </si>
  <si>
    <t>2014-05-23 05:09:47: Algortihm - rehedge - rehedging 1 contracts</t>
  </si>
  <si>
    <t>2014-05-23 05:09:47: Algorithm - rehedge - Need to place order but already have a working order</t>
  </si>
  <si>
    <t>2014-05-23 05:09:48: Algortihm - rehedge - rehedging 1 contracts</t>
  </si>
  <si>
    <t>2014-05-23 05:09:48: Algorithm - rehedge - Need to place order but already have a working order</t>
  </si>
  <si>
    <t>2014-05-23 05:09:49: Algortihm - rehedge - rehedging 1 contracts</t>
  </si>
  <si>
    <t>2014-05-23 05:09:49: Algorithm - rehedge - Need to place order but already have a working order</t>
  </si>
  <si>
    <t>2014-05-23 05:09:51: Algortihm - rehedge - rehedging 1 contracts</t>
  </si>
  <si>
    <t>2014-05-23 05:09:51: Algorithm - rehedge - Need to place order but already have a working order</t>
  </si>
  <si>
    <t>2014-05-23 05:09:52: Algortihm - rehedge - rehedging 1 contracts</t>
  </si>
  <si>
    <t>2014-05-23 05:09:52: Algorithm - rehedge - Need to place order but already have a working order</t>
  </si>
  <si>
    <t>2014-05-23 05:09:59: Algorithm - FindNextStrikes - price is 1.6868</t>
  </si>
  <si>
    <t>2014-05-23 05:09:59: Alorithm - getOptionForwardDelta - option is 6B4K4 P1675 option qty is -1 strike is 1.675 price is 1.6868 requiredDeltas is 0</t>
  </si>
  <si>
    <t>2014-05-23 05:09:59: Alorithm - getOptionForwardDelta - option is 6B4K4 P1680 option qty is -1 strike is 1.68 price is 1.6868 requiredDeltas is 0</t>
  </si>
  <si>
    <t>2014-05-23 05:09:59: Alorithm - getOptionForwardDelta - option is 6B4K4 C1685 option qty is -2 strike is 1.685 price is 1.6868 requiredDeltas is 2</t>
  </si>
  <si>
    <t>2014-05-23 05:09:59: Alorithm - getOptionForwardDelta - option is 6B4K4 C1690 option qty is -1 strike is 1.69 price is 1.6868 requiredDeltas is 0</t>
  </si>
  <si>
    <t>2014-05-23 05:09:59: Alorithm - getOptionForwardDelta - option is 6B4K4 P1685 option qty is -1 strike is 1.685 price is 1.6868 requiredDeltas is 0</t>
  </si>
  <si>
    <t>2014-05-23 05:09:59: Alorithm - getPortfolioForwardDelta - required deltas is 2</t>
  </si>
  <si>
    <t>2014-05-23 05:09:59: Alorithm - getHedgeShortfall - required deltas is 2</t>
  </si>
  <si>
    <t>2014-05-23 05:10:39: Algortihm - rehedge - rehedging 1 contracts</t>
  </si>
  <si>
    <t>2014-05-23 05:10:39: Algorithm - rehedge - Need to place order but already have a working order</t>
  </si>
  <si>
    <t>2014-05-23 05:11:03: Algorithm - FindNextStrikes - price is 1.68685</t>
  </si>
  <si>
    <t>TransitionId</t>
  </si>
  <si>
    <t>StartingHedgeShortfall</t>
  </si>
  <si>
    <t>TransitionStartTime</t>
  </si>
  <si>
    <t>TransitionEndTime</t>
  </si>
  <si>
    <t>BidStart</t>
  </si>
  <si>
    <t>AskStart</t>
  </si>
  <si>
    <t>OrderCount</t>
  </si>
  <si>
    <t>Cost</t>
  </si>
  <si>
    <t>FillPrice</t>
  </si>
  <si>
    <t>OrderPrice</t>
  </si>
  <si>
    <t>Passive/Aggressivve</t>
  </si>
  <si>
    <t>Threshold</t>
  </si>
  <si>
    <t>6BZ4</t>
  </si>
  <si>
    <t>Greeks</t>
  </si>
  <si>
    <t>Implied Vol</t>
  </si>
  <si>
    <t>Delta</t>
  </si>
  <si>
    <t>Gamma</t>
  </si>
  <si>
    <t>Theta</t>
  </si>
  <si>
    <t>Vega</t>
  </si>
  <si>
    <t>Underlying Price</t>
  </si>
  <si>
    <t>PORTFOLIO</t>
  </si>
  <si>
    <t>DELTA</t>
  </si>
  <si>
    <t>GAMMA</t>
  </si>
  <si>
    <t>THETA</t>
  </si>
  <si>
    <t>Position Greeks</t>
  </si>
  <si>
    <t>54.171.93.132</t>
  </si>
  <si>
    <t>Put Portfolio Delta</t>
  </si>
  <si>
    <t>6B3</t>
  </si>
  <si>
    <t>6B3X4 C1580</t>
  </si>
  <si>
    <t>Ask</t>
  </si>
  <si>
    <t>TWS Connected OK</t>
  </si>
  <si>
    <t>Subscribed</t>
  </si>
  <si>
    <t>6B4X4 C1570</t>
  </si>
  <si>
    <t>6B4</t>
  </si>
  <si>
    <t>6BZ4 P1540</t>
  </si>
  <si>
    <t>XBZ4 P1570</t>
  </si>
  <si>
    <t>XB</t>
  </si>
  <si>
    <t>XBZ4 P1580</t>
  </si>
  <si>
    <t>6BZ4 C1600</t>
  </si>
  <si>
    <t>6BZ4 C1630</t>
  </si>
  <si>
    <t>6B4X4 C1565</t>
  </si>
  <si>
    <t>6B4X4 P1560</t>
  </si>
  <si>
    <t>6B4X4 P1565</t>
  </si>
  <si>
    <t>Dollar Theta</t>
  </si>
  <si>
    <t>Risk Co-efficient</t>
  </si>
  <si>
    <t>Allowable Portfolio Value Change</t>
  </si>
  <si>
    <t>CalcGamma</t>
  </si>
  <si>
    <t>6B4X4 P1570</t>
  </si>
  <si>
    <t>6B4X4 C1575</t>
  </si>
  <si>
    <t>Potfolio CalcGamma</t>
  </si>
  <si>
    <t>X</t>
  </si>
  <si>
    <t>2Gamma</t>
  </si>
  <si>
    <t>4ac</t>
  </si>
  <si>
    <t>2deltaSq</t>
  </si>
  <si>
    <t>2delta</t>
  </si>
  <si>
    <t>sqrtterm</t>
  </si>
  <si>
    <t>sqrtterm1</t>
  </si>
  <si>
    <t>V</t>
  </si>
  <si>
    <t>Assume Portfolio Value = 0</t>
  </si>
  <si>
    <t xml:space="preserve">Allowed change in Portfolio = </t>
  </si>
  <si>
    <t>Assume Ticks of movement</t>
  </si>
  <si>
    <t>Delta x Change</t>
  </si>
  <si>
    <t>Change Squared</t>
  </si>
  <si>
    <t>Gamma / 2</t>
  </si>
  <si>
    <t>ChangeSquared*Gamma / 2</t>
  </si>
  <si>
    <t>Portfolio Value Change</t>
  </si>
  <si>
    <t>In ticks</t>
  </si>
  <si>
    <t>in dollars</t>
  </si>
  <si>
    <t>6BZ4 C1570</t>
  </si>
  <si>
    <t>6BZ4 P1570</t>
  </si>
  <si>
    <t>a</t>
  </si>
  <si>
    <t>b</t>
  </si>
  <si>
    <t>2a</t>
  </si>
  <si>
    <t>bsquared</t>
  </si>
  <si>
    <t>bsquared - 4ac</t>
  </si>
  <si>
    <t>sqrt</t>
  </si>
  <si>
    <t>price value</t>
  </si>
  <si>
    <t>dollar value</t>
  </si>
  <si>
    <t>Reverse</t>
  </si>
  <si>
    <t>a*x^2</t>
  </si>
  <si>
    <t>b*x</t>
  </si>
  <si>
    <t>c</t>
  </si>
  <si>
    <t>--trying with gamma / 10000</t>
  </si>
  <si>
    <t>deltaV</t>
  </si>
  <si>
    <t>deltaV/62500</t>
  </si>
  <si>
    <t>SUM</t>
  </si>
  <si>
    <t>Working backward in - column</t>
  </si>
  <si>
    <t>Gamma/2</t>
  </si>
  <si>
    <t>- in price</t>
  </si>
  <si>
    <t>- in tick equivalents of portfolio value</t>
  </si>
  <si>
    <t>-b</t>
  </si>
  <si>
    <t>In Ticks</t>
  </si>
  <si>
    <t>2014-11-26 15:50:30.3: RTWSControl - nextValidId - entering nextValidId id is 3</t>
  </si>
  <si>
    <t>2014-11-26 15:50:30.10: RTWSControl - errMsg - got error message 2104:Market data farm connection is OK:usfuturewith id -1</t>
  </si>
  <si>
    <t>2014-11-26 15:50:30.52: RTWSControl - errMsg - got error message 2104:Market data farm connection is OK:eurofarmwith id -1</t>
  </si>
  <si>
    <t>2014-11-26 15:50:30.61: RTWSControl - errMsg - got error message 2104:Market data farm connection is OK:cashfarmwith id -1</t>
  </si>
  <si>
    <t>2014-11-26 15:50:30.65: RTWSControl - errMsg - got error message 2104:Market data farm connection is OK:usfarmwith id -1</t>
  </si>
  <si>
    <t>2014-11-26 15:50:30.70: RTWSControl - errMsg - got error message 2106:HMDS data farm connection is OK:ushmds.uswith id -1</t>
  </si>
  <si>
    <t>2014-11-26 15:50:30.106: RTWSControl - errMsg - got error message 2106:HMDS data farm connection is OK:ilhmdswith id -1</t>
  </si>
  <si>
    <t>2014-11-26 15:50:30.111: RTWSControl - errMsg - got error message 2106:HMDS data farm connection is OK:ushmdswith id -1</t>
  </si>
  <si>
    <t>2014-11-26 15:50:30.133: RTWSControl - contractDetailsEx - got contractDetails id 0 British pound 6BZ4</t>
  </si>
  <si>
    <t>2014-11-26 15:50:30.356: RTWSControl - contractDetailsEnd - Got contract details end event</t>
  </si>
  <si>
    <t>2014-11-26 15:50:36.998: Algorithm - updatePortfolio - haveAllDetails is False</t>
  </si>
  <si>
    <t>2014-11-26 15:50:37.38: Algorithm - updatePortfolio - haveAllDetails is False</t>
  </si>
  <si>
    <t>2014-11-26 15:50:37.74: Algorithm - updatePortfolio - haveAllDetails is False</t>
  </si>
  <si>
    <t>2014-11-26 15:50:37.95: Algorithm - updatePortfolio - haveAllDetails is False</t>
  </si>
  <si>
    <t>2014-11-26 15:50:37.124: Algorithm - updatePortfolio - haveAllDetails is False</t>
  </si>
  <si>
    <t>2014-11-26 15:50:37.158: Algorithm - updatePortfolio - haveAllDetails is False</t>
  </si>
  <si>
    <t>6B4X4 P1575</t>
  </si>
  <si>
    <t>2014-11-26 15:50:37.196: Algorithm - updatePortfolio - haveAllDetails is False</t>
  </si>
  <si>
    <t>2014-11-26 15:50:37.216: Algorithm - updatePortfolio - haveAllDetails is False</t>
  </si>
  <si>
    <t>2014-11-26 15:50:37.249: Algorithm - updatePortfolio - haveAllDetails is False</t>
  </si>
  <si>
    <t>2014-11-26 15:50:37.284: Algorithm - updatePortfolio - haveAllDetails is False</t>
  </si>
  <si>
    <t>2014-11-26 15:50:37.321: Algorithm - updatePortfolio - haveAllDetails is False</t>
  </si>
  <si>
    <t>2014-11-26 15:50:37.338: Algorithm - updatePortfolio - haveAllDetails is False</t>
  </si>
  <si>
    <t>2014-11-26 15:50:37.369: Algorithm - updatePortfolio - haveAllDetails is False</t>
  </si>
  <si>
    <t>2014-11-26 15:50:37.407: Algorithm - updatePortfolio - haveAllDetails is False</t>
  </si>
  <si>
    <t>2014-11-26 15:50:37.447: Algorithm - updatePortfolio - haveAllDetails is False</t>
  </si>
  <si>
    <t>2014-11-26 15:50:37.484: RTWSControl - contractDetailsEx - got contractDetails id 0 British pound 6B4X4 C1565</t>
  </si>
  <si>
    <t>2014-11-26 15:50:37.488: RTWSControl - contractDetailsEnd - Got contract details end event</t>
  </si>
  <si>
    <t>2014-11-26 15:50:37.493: RTWSControl - contractDetailsEx - got contractDetails id 0 British pound 6B4X4 P1560</t>
  </si>
  <si>
    <t>2014-11-26 15:50:37.497: RTWSControl - contractDetailsEnd - Got contract details end event</t>
  </si>
  <si>
    <t>2014-11-26 15:50:37.522: RTWSControl - contractDetailsEx - got contractDetails id 0 British pound 6B4X4 P1565</t>
  </si>
  <si>
    <t>2014-11-26 15:50:37.526: RTWSControl - contractDetailsEnd - Got contract details end event</t>
  </si>
  <si>
    <t>2014-11-26 15:50:37.531: RTWSControl - contractDetailsEx - got contractDetails id 0 British pound 6B4X4 C1570</t>
  </si>
  <si>
    <t>2014-11-26 15:50:37.535: RTWSControl - contractDetailsEnd - Got contract details end event</t>
  </si>
  <si>
    <t>2014-11-26 15:50:37.564: RTWSControl - contractDetailsEx - got contractDetails id 0 British pound 6B4X4 C1575</t>
  </si>
  <si>
    <t>2014-11-26 15:50:37.568: RTWSControl - contractDetailsEnd - Got contract details end event</t>
  </si>
  <si>
    <t>2014-11-26 15:50:37.573: RTWSControl - contractDetailsEx - got contractDetails id 0 British pound 6B4X4 P1570</t>
  </si>
  <si>
    <t>2014-11-26 15:50:37.577: RTWSControl - contractDetailsEnd - Got contract details end event</t>
  </si>
  <si>
    <t>2014-11-26 15:50:37.607: RTWSControl - contractDetailsEx - got contractDetails id 0 British pound 6B4X4 P1575</t>
  </si>
  <si>
    <t>2014-11-26 15:50:37.612: RTWSControl - contractDetailsEnd - Got contract details end event</t>
  </si>
  <si>
    <t>2014-11-26 15:50:37.617: RTWSControl - contractDetailsEx - got contractDetails id 0 British pound 6BZ4 P1540</t>
  </si>
  <si>
    <t>2014-11-26 15:50:37.621: RTWSControl - contractDetailsEnd - Got contract details end event</t>
  </si>
  <si>
    <t>2014-11-26 15:50:37.649: RTWSControl - contractDetailsEx - got contractDetails id 0 British pound 6BZ4 C1570</t>
  </si>
  <si>
    <t>2014-11-26 15:50:37.658: RTWSControl - contractDetailsEnd - Got contract details end event</t>
  </si>
  <si>
    <t>2014-11-26 15:50:37.664: RTWSControl - contractDetailsEx - got contractDetails id 0 British pound 6BZ4 P1570</t>
  </si>
  <si>
    <t>2014-11-26 15:50:37.669: RTWSControl - contractDetailsEnd - Got contract details end event</t>
  </si>
  <si>
    <t>2014-11-26 15:50:37.690: RTWSControl - contractDetailsEx - got contractDetails id 0 British pound XBZ4 P1570</t>
  </si>
  <si>
    <t>2014-11-26 15:50:37.694: RTWSControl - contractDetailsEnd - Got contract details end event</t>
  </si>
  <si>
    <t>2014-11-26 15:50:37.699: RTWSControl - contractDetailsEx - got contractDetails id 0 British pound XBZ4 P1580</t>
  </si>
  <si>
    <t>2014-11-26 15:50:37.703: RTWSControl - contractDetailsEnd - Got contract details end event</t>
  </si>
  <si>
    <t>2014-11-26 15:50:37.730: RTWSControl - contractDetailsEx - got contractDetails id 0 British pound 6BZ4 C1600</t>
  </si>
  <si>
    <t>2014-11-26 15:50:37.734: RTWSControl - contractDetailsEnd - Got contract details end event</t>
  </si>
  <si>
    <t>2014-11-26 15:50:37.739: RTWSControl - contractDetailsEx - got contractDetails id 0 British pound 6BZ4 C1630</t>
  </si>
  <si>
    <t>2014-11-26 15:50:37.742: RTWSControl - contractDetailsEnd - Got contract details end event</t>
  </si>
  <si>
    <t>2014-11-26 15:50:41.400: DirectionIndicator - notify - price/longMA/ShortMA/prevDirection are 1.57755005/1.57755005/1.57755005/0</t>
  </si>
  <si>
    <t>2014-11-26 15:50:41.400: Algorithm - FindNextStrikes - price is 1.57755005 nextStrikeUp/Down 1.58/1.575</t>
  </si>
  <si>
    <t>2014-11-26 15:50:41.401: Algorithm - getPortfolioForwardDelta - required deltas is 4 currentHedgePosition is 6</t>
  </si>
  <si>
    <t>2014-11-26 15:50:41.402: Algorithm - getHedgeShortfall - required deltas is 4 price is 1.57755005 currentHedgePositionDeltas is 6</t>
  </si>
  <si>
    <t>2014-11-26 15:50:41.403: Algorithm - processTransitionPoint - nextUpper/LowerStrikes are 1.58/1.575 requiredDeltas/currentPosition/currentHedgeShortfall/direction/transitionPrice are 4/6/-2/0/1.57755005</t>
  </si>
  <si>
    <t>2014-11-26 15:50:41.404: TransitionLogger - processTransitionpoint - checking transition - currentHedgeShortfall is -2</t>
  </si>
  <si>
    <t>2014-11-26 15:50:41.409: TransitionLogger - startTransition - begining a new transition</t>
  </si>
  <si>
    <t>2014-11-26 15:50:41.410: Algorithm - handleTransition - currentHedgeShortfall is NOT ZERO and AUTOHEDGE IS NOT ENABLED!</t>
  </si>
  <si>
    <t>2014-11-26 15:50:41.411: Algorithm - updatePortfolio - haveAllDetails is True</t>
  </si>
  <si>
    <t>2014-11-26 15:50:41.413: DirectionIndicator - notify - price/longMA/ShortMA/prevDirection are 1.57755005/1.57755005/1.57755005/0</t>
  </si>
  <si>
    <t>2014-11-26 15:50:41.414: Algorithm - handleTransition - currentHedgeShortfall is NOT ZERO and AUTOHEDGE IS NOT ENABLED!</t>
  </si>
  <si>
    <t>2014-11-26 15:50:41.417: Algorithm - handleTransition - currentHedgeShortfall is NOT ZERO and AUTOHEDGE IS NOT ENABLED!</t>
  </si>
  <si>
    <t>2014-11-26 15:50:41.498: DirectionIndicator - notify - price/longMA/ShortMA/prevDirection are 1.57785/1.57760458636364/1.57765003333333/0</t>
  </si>
  <si>
    <t>2014-11-26 15:50:41.499: Algorithm - handleTransition - currentHedgeShortfall is NOT ZERO and AUTOHEDGE IS NOT ENABLED!</t>
  </si>
  <si>
    <t>2014-11-26 15:50:42.32: RTWSControl  - tickOptionComputation - id:200041 tickType:10 impliedVol:5.85951013968118E-02 delta:0.965020371521317 optPrice:1.29000004380941E-02 pvDividend:0 gamma: 1.79769313486232E+308 theta/vega/undPrice: -1.26756866141859E-04-1.23533290962471E-04-1.5778</t>
  </si>
  <si>
    <t>2014-11-26 15:50:42.65: RTWSControl  - tickOptionComputation - id:200041 tickType:11 impliedVol:8.34480588059235E-02 delta:0.897849332763374 optPrice:1.32999997586012E-02 pvDividend:0 gamma: 1.79769313486232E+308 theta/vega/undPrice: -4.17514629569096E-04-2.16565560376338E-04-1.5778</t>
  </si>
  <si>
    <t>2014-11-26 15:50:42.327: RTWSControl  - tickOptionComputation - id:200042 tickType:10 impliedVol:8.77351727734393E-02 delta:-4.49166441168386E-02 optPrice:1.99999994947575E-04 pvDividend:0 gamma: 1.79769313486232E+308 theta/vega/undPrice: -2.34115794438283E-04-1.43336036965069E-04-1.5778</t>
  </si>
  <si>
    <t>2014-11-26 15:50:42.358: RTWSControl  - tickOptionComputation - id:200042 tickType:11 impliedVol:8.77351727734393E-02 delta:-4.49166441168386E-02 optPrice:1.99999994947575E-04 pvDividend:0 gamma: 1.79769313486232E+308 theta/vega/undPrice: -2.34115794438283E-04-1.43336036965069E-04-1.5778</t>
  </si>
  <si>
    <t>2014-11-26 15:50:42.647: RTWSControl  - tickOptionComputation - id:200043 tickType:10 impliedVol:6.69617708178321E-02 delta:-5.67092378570724E-02 optPrice:1.99999994947575E-04 pvDividend:0 gamma: 1.79769313486232E+308 theta/vega/undPrice: -2.13863864236735E-04-1.60234248154946E-04-1.5778</t>
  </si>
  <si>
    <t>2014-11-26 15:50:42.658: RTWSControl  - tickOptionComputation - id:200043 tickType:11 impliedVol:7.39085576426968E-02 delta:-7.41481871460663E-02 optPrice:3.00000014249235E-04 pvDividend:0 gamma: 1.79769313486232E+308 theta/vega/undPrice: -2.9345789109314E-04-2.10100198715024E-04-1.5778</t>
  </si>
  <si>
    <t>2014-11-26 15:50:42.941: RTWSControl  - tickOptionComputation - id:200044 tickType:10 impliedVol:6.23666975024858E-02 delta:0.849192332403011 optPrice:8.39999970048666E-03 pvDividend:0 gamma: 1.79769313486232E+308 theta/vega/undPrice: -4.101008844939E-04-2.97861188575591E-04-1.5778</t>
  </si>
  <si>
    <t>2014-11-26 15:50:42.952: RTWSControl  - tickOptionComputation - id:200044 tickType:11 impliedVol:7.24098645036062E-02 delta:0.814347385679741 optPrice:8.70000012218952E-03 pvDividend:0 gamma: 1.79769313486232E+308 theta/vega/undPrice: -5.4772781401019E-04-3.52487573699196E-04-1.5778</t>
  </si>
  <si>
    <t>2014-11-26 15:50:43.238: RTWSControl  - tickOptionComputation - id:200046 tickType:11 impliedVol:6.90234636856532E-02 delta:-0.175025888213413 optPrice:7.999999797903E-04 pvDividend:0 gamma: 1.79769313486232E+308 theta/vega/undPrice: -5.01374539410883E-04-3.24979137336001E-04-1.5778</t>
  </si>
  <si>
    <t>2014-11-26 15:50:43.523: RTWSControl  - tickOptionComputation - id:200045 tickType:10 impliedVol:6.14841113128522E-02 delta:0.646684437969588 optPrice:4.60000010207295E-03 pvDividend:0 gamma: 1.79769313486232E+308 theta/vega/undPrice: -6.44017809717223E-04-4.45733928629112E-04-1.5778</t>
  </si>
  <si>
    <t>2014-11-26 15:50:43.533: RTWSControl  - tickOptionComputation - id:200045 tickType:11 impliedVol:6.82145782671656E-02 delta:0.633257541232378 optPrice:4.90000005811453E-03 pvDividend:0 gamma: 1.79769313486232E+308 theta/vega/undPrice: -7.25701731151918E-04-4.45733622966319E-04-1.5778</t>
  </si>
  <si>
    <t>2014-11-26 15:50:43.561: RTWSControl  - tickOptionComputation - id:200047 tickType:10 impliedVol:6.14732617123047E-02 delta:-0.353278251622495 optPrice:1.79999996908009E-03 pvDividend:0 gamma: 1.79769313486232E+308 theta/vega/undPrice: -6.43906615766625E-04-4.45734574264174E-04-1.5778</t>
  </si>
  <si>
    <t>2014-11-26 15:50:43.566: RTWSControl  - tickOptionComputation - id:200047 tickType:11 impliedVol:6.37127074095298E-02 delta:-0.358064585170024 optPrice:1.9000000320375E-03 pvDividend:0 gamma: 1.79769313486232E+308 theta/vega/undPrice: -6.71085626991918E-04-4.45734479817778E-04-1.5778</t>
  </si>
  <si>
    <t>2014-11-26 15:50:43.589: RTWSControl  - tickOptionComputation - id:200050 tickType:10 impliedVol:6.80432935134632E-02 delta:-0.32106558333869 optPrice:3.59999993816018E-03 pvDividend:0 gamma: 1.79769313486232E+308 theta/vega/undPrice: -3.33868087491784E-04-9.14206308605088E-04-1.5778</t>
  </si>
  <si>
    <t>2014-11-26 15:50:43.594: RTWSControl  - tickOptionComputation - id:200050 tickType:11 impliedVol:7.02286699416041E-02 delta:-0.326227354795068 optPrice:3.80000006407499E-03 pvDividend:0 gamma: 1.79769313486232E+308 theta/vega/undPrice: -3.46756054619571E-04-9.14205374429466E-04-1.5778</t>
  </si>
  <si>
    <t>2014-11-26 15:50:43.622: RTWSControl  - tickOptionComputation - id:200049 tickType:10 impliedVol:6.80489161829123E-02 delta:0.67886447226895 optPrice:0.011400000192225 pvDividend:0 gamma: 1.79769313486232E+308 theta/vega/undPrice: -3.33845446042698E-04-9.14200713402393E-04-1.5778</t>
  </si>
  <si>
    <t>2014-11-26 15:50:43.627: RTWSControl  - tickOptionComputation - id:200049 tickType:11 impliedVol:7.13224079751491E-02 delta:0.671253330213947 optPrice:1.16999996826053E-02 pvDividend:0 gamma: 1.79769313486232E+308 theta/vega/undPrice: -3.53150134628557E-04-9.14199284364627E-04-1.5778</t>
  </si>
  <si>
    <t>2014-11-26 15:50:43.665: RTWSControl  - tickOptionComputation - id:200048 tickType:10 impliedVol:7.95879629036136E-02 delta:-2.60192367871685E-02 optPrice:1.99999994947575E-04 pvDividend:0 gamma: 1.79769313486232E+308 theta/vega/undPrice: -6.56124975522664E-05-1.79308695116951E-04-1.5778</t>
  </si>
  <si>
    <t>2014-11-26 15:50:43.690: RTWSControl  - tickOptionComputation - id:200048 tickType:11 impliedVol:8.51404598524514E-02 delta:-3.49724118384031E-02 optPrice:3.00000014249235E-04 pvDividend:0 gamma: 1.79769313486232E+308 theta/vega/undPrice: -8.97542168168699E-05-2.36035807424619E-04-1.5778</t>
  </si>
  <si>
    <t>2014-11-26 15:50:43.735: RTWSControl  - tickOptionComputation - id:200051 tickType:10 impliedVol:6.79759072780213E-02 delta:-0.318974707697666 optPrice:3.50000010803342E-03 pvDividend:0 gamma: 1.79769313486232E+308 theta/vega/undPrice: -3.34758156154807E-04-8.83075495045598E-04-1.5778</t>
  </si>
  <si>
    <t>2014-11-26 15:50:43.776: RTWSControl  - tickOptionComputation - id:200051 tickType:11 impliedVol:7.02292616870286E-02 delta:-0.324260084449389 optPrice:3.70000000111759E-03 pvDividend:0 gamma: 1.79769313486232E+308 theta/vega/undPrice: -3.48225396218258E-04-8.89128437770277E-04-1.5778</t>
  </si>
  <si>
    <t>2014-11-26 15:50:43.858: RTWSControl  - tickOptionComputation - id:200054 tickType:10 impliedVol:1.79769313486232E+308 delta:1.79769313486232E+308 optPrice:1.79769313486232E+308 pvDividend:0 gamma: 1.79769313486232E+308 theta/vega/undPrice: 1.79769313486232E+308-1.79769313486232E+308-1.5778</t>
  </si>
  <si>
    <t>2014-11-26 15:50:43.879: RTWSControl  - tickOptionComputation - id:200054 tickType:11 impliedVol:9.22354406361329E-02 delta:1.23798253409394E-02 optPrice:9.99999974737875E-05 pvDividend:0 gamma: 1.79769313486232E+308 theta/vega/undPrice: -4.03530071203168E-05-1.03765514407165E-04-1.5778</t>
  </si>
  <si>
    <t>2014-11-26 15:50:43.926: RTWSControl  - tickOptionComputation - id:200053 tickType:10 impliedVol:6.10612914767412E-02 delta:7.34169608689149E-02 optPrice:5.00000023748726E-04 pvDividend:0 gamma: 1.79769313486232E+308 theta/vega/undPrice: -1.16930229732003E-04-4.28540526082625E-04-1.5778</t>
  </si>
  <si>
    <t>2014-11-26 15:50:44.34: RTWSControl  - tickOptionComputation - id:200053 tickType:11 impliedVol:6.59118385101441E-02 delta:9.07370446968037E-02 optPrice:6.99999975040555E-04 pvDividend:0 gamma: 1.79769313486232E+308 theta/vega/undPrice: -1.47259395264679E-04-4.47303390145386E-04-1.5778</t>
  </si>
  <si>
    <t>2014-11-26 15:50:44.103: RTWSControl  - tickOptionComputation - id:200052 tickType:10 impliedVol:1.79769313486232E+308 delta:1.79769313486232E+308 optPrice:1.79769313486232E+308 pvDividend:0 gamma: 1.79769313486232E+308 theta/vega/undPrice: 1.79769313486232E+308-1.79769313486232E+308-1.5778</t>
  </si>
  <si>
    <t>2014-11-26 15:50:44.113: RTWSControl  - tickOptionComputation - id:200052 tickType:11 impliedVol:1.79769313486232E+308 delta:1.79769313486232E+308 optPrice:1.79769313486232E+308 pvDividend:0 gamma: 1.79769313486232E+308 theta/vega/undPrice: 1.79769313486232E+308-1.79769313486232E+308-1.5778</t>
  </si>
  <si>
    <t>2014-11-26 15:50:44.161: RTWSControl  - tickOptionComputation - id:200042 tickType:13 impliedVol:7.83210291902208E-02 delta:-2.94450050993861E-02 optPrice:1.10387127295279E-04 pvDividend:0 gamma: 1.79769313486232E+308 theta/vega/undPrice: -1.46780388690628E-04-9.72069982978921E-05-1.5778</t>
  </si>
  <si>
    <t>2014-11-26 15:50:44.178: RTWSControl  - tickOptionComputation - id:200041 tickType:13 impliedVol:7.03236595406622E-02 delta:0.934524430020282 optPrice:1.30483497458459E-02 pvDividend:0 gamma: 1.79769313486232E+308 theta/vega/undPrice: -2.52298704329888E-04-1.84366544048553E-04-1.5778</t>
  </si>
  <si>
    <t>2014-11-26 15:50:44.197: RTWSControl  - tickOptionComputation - id:200043 tickType:13 impliedVol:7.03236595406622E-02 delta:-6.55880947969842E-02 optPrice:2.48533090522166E-04 pvDividend:0 gamma: 1.79769313486232E+308 theta/vega/undPrice: -2.52383303482856E-04-1.84366820269396E-04-1.5778</t>
  </si>
  <si>
    <t>2014-11-26 15:50:44.214: RTWSControl  - tickOptionComputation - id:200044 tickType:13 impliedVol:6.52658845629617E-02 delta:0.838135507528106 optPrice:8.4872087162254E-03 pvDividend:0 gamma: 1.79769313486232E+308 theta/vega/undPrice: -4.49830034628771E-04-2.97861103300634E-04-1.5778</t>
  </si>
  <si>
    <t>2014-11-26 15:50:44.239: RTWSControl  - tickOptionComputation - id:200044 tickType:11 impliedVol:7.57394956009396E-02 delta:0.80480006442096 optPrice:8.79999995231628E-03 pvDividend:0 gamma: 1.79769313486232E+308 theta/vega/undPrice: -5.93326552380473E-04-3.79095499600119E-04-1.5778</t>
  </si>
  <si>
    <t>2014-11-26 15:50:44.256: RTWSControl  - tickOptionComputation - id:200046 tickType:13 impliedVol:6.52658845629617E-02 delta:-0.161977197641169 optPrice:6.87321186090054E-04 pvDividend:0 gamma: 1.79769313486232E+308 theta/vega/undPrice: -4.49882306550452E-04-2.97861399397636E-04-1.5778</t>
  </si>
  <si>
    <t>2014-11-26 15:50:44.273: RTWSControl  - tickOptionComputation - id:200046 tickType:10 impliedVol:1.79769313486232E+308 delta:1.79769313486232E+308 optPrice:6.00000028498471E-04 pvDividend:0 gamma: 1.79769313486232E+308 theta/vega/undPrice: 1.79769313486232E+308-1.79769313486232E+308-1.5778</t>
  </si>
  <si>
    <t>2014-11-26 15:50:44.284: RTWSControl  - tickOptionComputation - id:200045 tickType:13 impliedVol:6.31477042571191E-02 delta:0.643178818422232 optPrice:4.67415226657964E-03 pvDividend:0 gamma: 1.79769313486232E+308 theta/vega/undPrice: -6.64207921831307E-04-4.45733855427824E-04-1.5778</t>
  </si>
  <si>
    <t>2014-11-26 15:50:44.307: RTWSControl  - tickOptionComputation - id:200047 tickType:13 impliedVol:6.31477042571191E-02 delta:-0.356934380401593 optPrice:1.87419535285815E-03 pvDividend:0 gamma: 1.79769313486232E+308 theta/vega/undPrice: -6.64228473071753E-04-4.45734503620054E-04-1.5778</t>
  </si>
  <si>
    <t>2014-11-26 15:50:44.322: RTWSControl  - tickOptionComputation - id:200049 tickType:13 impliedVol:6.91893613591841E-02 delta:0.676215585026933 optPrice:1.15050034382367E-02 pvDividend:0 gamma: 1.79769313486232E+308 theta/vega/undPrice: -3.40570975803794E-04-9.14200221412437E-04-1.5778</t>
  </si>
  <si>
    <t>2014-11-26 15:50:44.339: RTWSControl  - tickOptionComputation - id:200050 tickType:13 impliedVol:6.91893613591841E-02 delta:-0.323854663746925 optPrice:3.70550088267606E-03 pvDividend:0 gamma: 1.79769313486232E+308 theta/vega/undPrice: -3.40626874433673E-04-9.14205821480413E-04-1.5778</t>
  </si>
  <si>
    <t>2014-11-26 15:50:44.353: RTWSControl  - tickOptionComputation - id:200051 tickType:13 impliedVol:7.02433604874155E-02 delta:-0.324333196553091 optPrice:3.70093293850964E-03 pvDividend:0 gamma: 1.79769313486232E+308 theta/vega/undPrice: -3.48309471025636E-04-8.89164609834341E-04-1.5778</t>
  </si>
  <si>
    <t>2014-11-26 15:50:44.383: RTWSControl  - tickOptionComputation - id:200052 tickType:13 impliedVol:0.117177872419632 delta:-0.526621692854163 optPrice:1.27000000085241E-02 pvDividend:0 gamma: 1.79769313486232E+308 theta/vega/undPrice: -6.43135429435368E-04-9.84249178846243E-04-1.5778</t>
  </si>
  <si>
    <t>2014-11-26 15:50:44.398: RTWSControl  - tickOptionComputation - id:200048 tickType:13 impliedVol:8.29646362920258E-02 delta:-3.16112822602726E-02 optPrice:2.60985600081433E-04 pvDividend:0 gamma: 1.79769313486232E+308 theta/vega/undPrice: -8.02939586098954E-05-2.11395451160581E-04-1.5778</t>
  </si>
  <si>
    <t>2014-11-26 15:50:44.417: RTWSControl  - tickOptionComputation - id:200053 tickType:13 impliedVol:6.52955750028017E-02 delta:8.84827190526627E-02 optPrice:6.71597729788347E-04 pvDividend:0 gamma: 1.79769313486232E+308 theta/vega/undPrice: -1.43273502481778E-04-4.47303511062897E-04-1.5778</t>
  </si>
  <si>
    <t>2014-11-26 15:50:44.448: RTWSControl  - tickOptionComputation - id:200052 tickType:10 impliedVol:1.79769313486232E+308 delta:1.79769313486232E+308 optPrice:1.79769313486232E+308 pvDividend:0 gamma: 1.79769313486232E+308 theta/vega/undPrice: 1.79769313486232E+308-1.79769313486232E+308-1.5778</t>
  </si>
  <si>
    <t>2014-11-26 15:50:44.457: RTWSControl  - tickOptionComputation - id:200052 tickType:11 impliedVol:1.79769313486232E+308 delta:1.79769313486232E+308 optPrice:1.79769313486232E+308 pvDividend:0 gamma: 1.79769313486232E+308 theta/vega/undPrice: 1.79769313486232E+308-1.79769313486232E+308-1.5778</t>
  </si>
  <si>
    <t>2014-11-26 15:50:44.466: RTWSControl  - tickOptionComputation - id:200054 tickType:10 impliedVol:1.79769313486232E+308 delta:1.79769313486232E+308 optPrice:1.79769313486232E+308 pvDividend:0 gamma: 1.79769313486232E+308 theta/vega/undPrice: 1.79769313486232E+308-1.79769313486232E+308-1.5778</t>
  </si>
  <si>
    <t>2014-11-26 15:50:44.475: RTWSControl  - tickOptionComputation - id:200054 tickType:13 impliedVol:7.12832772228786E-02 delta:1.71182302741042E-03 optPrice:8.94192778395651E-06 pvDividend:0 gamma: 0.307481268858428 theta/vega/undPrice: -5.32673423403777E-06-2.50636183438521E-05-1.5778</t>
  </si>
  <si>
    <t>2014-11-26 15:50:44.516: RTWSControl  - tickOptionComputation - id:200041 tickType:10 impliedVol:6.69559041349191E-02 delta:0.943293071472221 optPrice:1.30000002682209E-02 pvDividend:0 gamma: 1.79769313486232E+308 theta/vega/undPrice: -2.13712089905837E-04-1.60191884940698E-04-1.5778</t>
  </si>
  <si>
    <t>2014-11-26 15:50:44.535: RTWSControl  - tickOptionComputation - id:200046 tickType:10 impliedVol:1.79769313486232E+308 delta:1.79769313486232E+308 optPrice:6.00000028498471E-04 pvDividend:0 gamma: 1.79769313486232E+308 theta/vega/undPrice: 1.79769313486232E+308-1.79769313486232E+308-1.5778</t>
  </si>
  <si>
    <t>2014-11-26 15:50:44.565: RTWSControl  - tickOptionComputation - id:200052 tickType:10 impliedVol:1.79769313486232E+308 delta:1.79769313486232E+308 optPrice:1.79769313486232E+308 pvDividend:0 gamma: 1.79769313486232E+308 theta/vega/undPrice: 1.79769313486232E+308-1.79769313486232E+308-1.5778</t>
  </si>
  <si>
    <t>2014-11-26 15:50:44.574: RTWSControl  - tickOptionComputation - id:200052 tickType:11 impliedVol:1.79769313486232E+308 delta:1.79769313486232E+308 optPrice:1.79769313486232E+308 pvDividend:0 gamma: 1.79769313486232E+308 theta/vega/undPrice: 1.79769313486232E+308-1.79769313486232E+308-1.5778</t>
  </si>
  <si>
    <t>2014-11-26 15:50:44.583: RTWSControl  - tickOptionComputation - id:200054 tickType:10 impliedVol:1.79769313486232E+308 delta:1.79769313486232E+308 optPrice:1.79769313486232E+308 pvDividend:0 gamma: 1.79769313486232E+308 theta/vega/undPrice: 1.79769313486232E+308-1.79769313486232E+308-1.5778</t>
  </si>
  <si>
    <t>2014-11-26 15:50:44.596: DirectionIndicator - notify - price/longMA/ShortMA/prevDirection are 1.5779/1.57765829793388/1.57773335555556/1</t>
  </si>
  <si>
    <t>2014-11-26 15:50:44.597: Algorithm - handleTransition - currentHedgeShortfall is NOT ZERO and AUTOHEDGE IS NOT ENABLED!</t>
  </si>
  <si>
    <t>2014-11-26 15:50:44.615: DirectionIndicator - notify - price/longMA/ShortMA/prevDirection are 1.57785/1.577693152855/1.57777223703704/1</t>
  </si>
  <si>
    <t>2014-11-26 15:50:44.616: Algorithm - handleTransition - currentHedgeShortfall is NOT ZERO and AUTOHEDGE IS NOT ENABLED!</t>
  </si>
  <si>
    <t>2014-11-26 15:50:45.263: RTWSControl  - tickOptionComputation - id:200042 tickType:13 impliedVol:7.83210291902208E-02 delta:-2.86884133942466E-02 optPrice:1.07163607414202E-04 pvDividend:0 gamma: 1.79769313486232E+308 theta/vega/undPrice: -1.43671306244855E-04-9.45248165693298E-05-1.5779</t>
  </si>
  <si>
    <t>2014-11-26 15:50:45.327: RTWSControl  - tickOptionComputation - id:200041 tickType:13 impliedVol:7.03236595406622E-02 delta:0.935901819530804 optPrice:1.31424344348867E-02 pvDividend:0 gamma: 1.79769313486232E+308 theta/vega/undPrice: -2.48000450433313E-04-1.80203562883228E-04-1.5779</t>
  </si>
  <si>
    <t>2014-11-26 15:50:45.355: RTWSControl  - tickOptionComputation - id:200043 tickType:13 impliedVol:7.03236595406622E-02 delta:-6.42107042796378E-02 optPrice:2.42619206540916E-04 pvDividend:0 gamma: 1.79769313486232E+308 theta/vega/undPrice: -2.48085703464651E-04-1.80203835724322E-04-1.5779</t>
  </si>
  <si>
    <t>2014-11-26 15:50:45.384: RTWSControl  - tickOptionComputation - id:200044 tickType:13 impliedVol:6.52658845629617E-02 delta:0.841214275722067 optPrice:8.57115738158244E-03 pvDividend:0 gamma: 1.79769313486232E+308 theta/vega/undPrice: -4.44159071373329E-04-2.97870540483636E-04-1.5779</t>
  </si>
  <si>
    <t>2014-11-26 15:50:45.418: RTWSControl  - tickOptionComputation - id:200046 tickType:13 impliedVol:6.52658845629617E-02 delta:-0.158898426217393 optPrice:6.71271269239826E-04 pvDividend:0 gamma: 1.79769313486232E+308 theta/vega/undPrice: -4.44211991562825E-04-2.9787083140695E-04-1.5779</t>
  </si>
  <si>
    <t>2014-11-26 15:50:45.437: RTWSControl  - tickOptionComputation - id:200045 tickType:13 impliedVol:6.31477042571191E-02 delta:0.647941200133712 optPrice:4.74064999545825E-03 pvDividend:0 gamma: 1.79769313486232E+308 theta/vega/undPrice: -6.60582753820091E-04-4.45747977384397E-04-1.5779</t>
  </si>
  <si>
    <t>2014-11-26 15:50:45.469: RTWSControl  - tickOptionComputation - id:200047 tickType:13 impliedVol:6.31477042571191E-02 delta:-0.352171990955109 optPrice:1.84069447620793E-03 pvDividend:0 gamma: 1.79769313486232E+308 theta/vega/undPrice: -6.60603945465636E-04-4.45748622173313E-04-1.5779</t>
  </si>
  <si>
    <t>2014-11-26 15:50:45.499: RTWSControl  - tickOptionComputation - id:200049 tickType:13 impliedVol:6.91893613591841E-02 delta:0.678327205895517 optPrice:1.15716095900552E-02 pvDividend:0 gamma: 1.79769313486232E+308 theta/vega/undPrice: -3.39718930256729E-04-9.14229191643438E-04-1.5779</t>
  </si>
  <si>
    <t>2014-11-26 15:50:45.517: RTWSControl  - tickOptionComputation - id:200050 tickType:13 impliedVol:6.91893613591841E-02 delta:-0.321743028333993 optPrice:3.67211292009009E-03 pvDividend:0 gamma: 1.79769313486232E+308 theta/vega/undPrice: -3.39775469349283E-04-9.14234785980862E-04-1.5779</t>
  </si>
  <si>
    <t>2014-11-26 15:50:45.541: RTWSControl  - tickOptionComputation - id:200051 tickType:13 impliedVol:7.02433604874155E-02 delta:-0.322265561265357 optPrice:3.66860726303299E-03 pvDividend:0 gamma: 1.79769313486232E+308 theta/vega/undPrice: -3.47413352134775E-04-8.86876613933869E-04-1.5779</t>
  </si>
  <si>
    <t>2014-11-26 15:50:45.558: RTWSControl  - tickOptionComputation - id:200052 tickType:13 impliedVol:0.117177872419632 delta:-0.525247724028396 optPrice:1.26474151726486E-02 pvDividend:0 gamma: 1.79769313486232E+308 theta/vega/undPrice: -6.43320777439907E-04-9.84532267481928E-04-1.5779</t>
  </si>
  <si>
    <t>2014-11-26 15:50:45.581: RTWSControl  - tickOptionComputation - id:200048 tickType:13 impliedVol:8.29646362920258E-02 delta:-3.12658423242019E-02 optPrice:2.57787787537168E-04 pvDividend:0 gamma: 1.79769313486232E+308 theta/vega/undPrice: -7.95635434539927E-05-2.08734327250776E-04-1.5779</t>
  </si>
  <si>
    <t>2014-11-26 15:50:45.600: RTWSControl  - tickOptionComputation - id:200053 tickType:13 impliedVol:6.52955750028017E-02 delta:8.95781147809346E-02 optPrice:6.81821271646496E-04 pvDividend:0 gamma: 1.79769313486232E+308 theta/vega/undPrice: -1.44543854509432E-04-4.47317687478111E-04-1.5779</t>
  </si>
  <si>
    <t>2014-11-26 15:50:45.627: RTWSControl  - tickOptionComputation - id:200054 tickType:13 impliedVol:7.12832772228786E-02 delta:1.73598482437033E-03 optPrice:9.07444479679437E-06 pvDividend:0 gamma: 0.311560915058377 theta/vega/undPrice: -5.39809318612666E-06-2.57120415636835E-05-1.5779</t>
  </si>
  <si>
    <t>2014-11-26 15:50:46.414: RTWSControl  - tickOptionComputation - id:200042 tickType:13 impliedVol:0.077479950501413 delta:-2.72120755982557E-02 optPrice:9.97743893674744E-05 pvDividend:0 gamma: 1.79769313486232E+308 theta/vega/undPrice: -1.3610904144091E-04-8.98579550500501E-05-1.5779</t>
  </si>
  <si>
    <t>2014-11-26 15:50:46.453: RTWSControl  - tickOptionComputation - id:200042 tickType:10 impliedVol:8.81469311107441E-02 delta:-4.47399096684556E-02 optPrice:1.99999994947575E-04 pvDividend:0 gamma: 1.79769313486232E+308 theta/vega/undPrice: -2.34534897411828E-04-1.43340570948131E-04-1.5779</t>
  </si>
  <si>
    <t>2014-11-26 15:50:46.496: RTWSControl  - tickOptionComputation - id:200042 tickType:11 impliedVol:8.81469311107441E-02 delta:-4.47399096684556E-02 optPrice:1.99999994947575E-04 pvDividend:0 gamma: 1.79769313486232E+308 theta/vega/undPrice: -2.34534897411828E-04-1.43340570948131E-04-1.5779</t>
  </si>
  <si>
    <t>2014-11-26 15:50:46.541: RTWSControl  - tickOptionComputation - id:200041 tickType:13 impliedVol:6.94493936169067E-02 delta:0.938143402393283 optPrice:0.013129882562938 pvDividend:0 gamma: 1.79769313486232E+308 theta/vega/undPrice: -2.37983088599375E-04-1.73927648087718E-04-1.5779</t>
  </si>
  <si>
    <t>2014-11-26 15:50:46.577: RTWSControl  - tickOptionComputation - id:200043 tickType:13 impliedVol:6.94493936169067E-02 delta:-6.19691197803171E-02 optPrice:2.30067325960156E-04 pvDividend:0 gamma: 1.79769313486232E+308 theta/vega/undPrice: -2.38068330361989E-04-1.73927914256639E-04-1.5779</t>
  </si>
  <si>
    <t>2014-11-26 15:50:46.619: RTWSControl  - tickOptionComputation - id:200044 tickType:13 impliedVol:6.45647401420888E-02 delta:0.843855457957786 optPrice:8.55027234365472E-03 pvDividend:0 gamma: 1.79769313486232E+308 theta/vega/undPrice: -4.34550602410346E-04-2.97870561372133E-04-1.5779</t>
  </si>
  <si>
    <t>2014-11-26 15:50:46.660: RTWSControl  - tickOptionComputation - id:200046 tickType:13 impliedVol:6.45647401420888E-02 delta:-0.15625724121496 optPrice:6.50386211044824E-04 pvDividend:0 gamma: 1.79769313486232E+308 theta/vega/undPrice: -4.34603504226365E-04-2.97870851538116E-04-1.5779</t>
  </si>
  <si>
    <t>2014-11-26 15:50:46.702: RTWSControl  - tickOptionComputation - id:200045 tickType:13 impliedVol:6.28259900769308E-02 delta:0.648644398234784 optPrice:4.7263096436916E-03 pvDividend:0 gamma: 1.79769313486232E+308 theta/vega/undPrice: -6.56678162781661E-04-4.45747991734794E-04-1.5779</t>
  </si>
  <si>
    <t>2014-11-26 15:50:46.743: RTWSControl  - tickOptionComputation - id:200047 tickType:13 impliedVol:6.28259900769308E-02 delta:-0.351468791712898 optPrice:1.82635410383103E-03 pvDividend:0 gamma: 1.79769313486232E+308 theta/vega/undPrice: -6.56699341068722E-04-4.45748636319357E-04-1.5779</t>
  </si>
  <si>
    <t>2014-11-26 15:50:46.785: RTWSControl  - tickOptionComputation - id:200049 tickType:13 impliedVol:6.91275056878951E-02 delta:0.678475076216857 optPrice:1.15659545507313E-02 pvDividend:0 gamma: 1.79769313486232E+308 theta/vega/undPrice: -3.39354138426354E-04-9.14229218549372E-04-1.5779</t>
  </si>
  <si>
    <t>2014-11-26 15:50:46.828: RTWSControl  - tickOptionComputation - id:200041 tickType:10 impliedVol:5.89622197995993E-02 delta:0.965217505420545 optPrice:1.30000002682209E-02 pvDividend:0 gamma: 1.79769313486232E+308 theta/vega/undPrice: -1.269476115997E-04-1.22887919760421E-04-1.5779</t>
  </si>
  <si>
    <t>2014-11-26 15:50:46.869: RTWSControl  - tickOptionComputation - id:200041 tickType:11 impliedVol:7.92590291095495E-02 delta:0.911477582675381 optPrice:1.32999997586012E-02 pvDividend:0 gamma: 1.79769313486232E+308 theta/vega/undPrice: -3.57186850006869E-04-2.15355256832733E-04-1.5779</t>
  </si>
  <si>
    <t>2014-11-26 15:50:46.915: RTWSControl  - tickOptionComputation - id:200050 tickType:13 impliedVol:6.91275056878951E-02 delta:-0.321595156996053 optPrice:3.6664578463785E-03 pvDividend:0 gamma: 1.79769313486232E+308 theta/vega/undPrice: -3.39410672192887E-04-9.14234812495111E-04-1.5779</t>
  </si>
  <si>
    <t>2014-11-26 15:50:46.956: RTWSControl  - tickOptionComputation - id:200051 tickType:13 impliedVol:7.05973300975256E-02 delta:-0.323075969642877 optPrice:3.70001636087049E-03 pvDividend:0 gamma: 1.79769313486232E+308 theta/vega/undPrice: -3.49527113591108E-04-8.87798988285749E-04-1.5779</t>
  </si>
  <si>
    <t>2014-11-26 15:50:46.999: RTWSControl  - tickOptionComputation - id:200043 tickType:10 impliedVol:6.73741077950454E-02 delta:-5.64076734230843E-02 optPrice:1.99999994947575E-04 pvDividend:0 gamma: 1.79769313486232E+308 theta/vega/undPrice: -2.14289618831281E-04-1.5903046246422E-04-1.5779</t>
  </si>
  <si>
    <t>2014-11-26 15:50:47.68: RTWSControl  - tickOptionComputation - id:200043 tickType:11 impliedVol:7.43139385237124E-02 delta:-7.37613982379603E-02 optPrice:3.00000014249235E-04 pvDividend:0 gamma: 1.79769313486232E+308 theta/vega/undPrice: -2.93806459093885E-04-2.08848056143891E-04-1.5779</t>
  </si>
  <si>
    <t>2014-11-26 15:50:47.120: RTWSControl  - tickOptionComputation - id:200052 tickType:13 impliedVol:0.117711974170428 delta:-0.525100216113637 optPrice:1.27000000050591E-02 pvDividend:0 gamma: 1.79769313486232E+308 theta/vega/undPrice: -6.46268192367874E-04-9.84555265522699E-04-1.5779</t>
  </si>
  <si>
    <t>2014-11-26 15:50:47.159: RTWSControl  - tickOptionComputation - id:200048 tickType:13 impliedVol:8.31575711308012E-02 delta:-3.15722070969145E-02 optPrice:2.61247389094309E-04 pvDividend:0 gamma: 1.79769313486232E+308 theta/vega/undPrice: -8.04024315853176E-05-2.1091931063045E-04-1.5779</t>
  </si>
  <si>
    <t>2014-11-26 15:50:47.202: RTWSControl  - tickOptionComputation - id:200044 tickType:10 impliedVol:5.95198465161025E-02 delta:0.864589258468118 optPrice:8.39999970048666E-03 pvDividend:0 gamma: 1.79769313486232E+308 theta/vega/undPrice: -3.65415444490815E-04-2.97870711420836E-04-1.5779</t>
  </si>
  <si>
    <t>2014-11-26 15:50:47.244: RTWSControl  - tickOptionComputation - id:200044 tickType:11 impliedVol:7.29485020730731E-02 delta:0.815505382286494 optPrice:8.79999995231628E-03 pvDividend:0 gamma: 1.79769313486232E+308 theta/vega/undPrice: -5.49441419630932E-04-3.49011560057903E-04-1.5779</t>
  </si>
  <si>
    <t>2014-11-26 15:50:47.289: RTWSControl  - tickOptionComputation - id:200053 tickType:13 impliedVol:6.50777473109212E-02 delta:8.87706983580142E-02 optPrice:6.72077431644585E-04 pvDividend:0 gamma: 1.79769313486232E+308 theta/vega/undPrice: -1.43134935127054E-04-4.47317730061994E-04-1.5779</t>
  </si>
  <si>
    <t>2014-11-26 15:50:47.331: RTWSControl  - tickOptionComputation - id:200054 tickType:13 impliedVol:7.10082959998797E-02 delta:1.68790713099048E-03 optPrice:8.77797856379211E-06 pvDividend:0 gamma: 0.304580076204793 theta/vega/undPrice: -5.23650800893183E-06-2.45385363077768E-05-1.5779</t>
  </si>
  <si>
    <t>2014-11-26 15:50:47.372: RTWSControl  - tickOptionComputation - id:200046 tickType:10 impliedVol:0.062887674024881 delta:-0.149681360133701 optPrice:6.00000028498471E-04 pvDividend:0 gamma: 1.79769313486232E+308 theta/vega/undPrice: -4.11620975086264E-04-2.97870900656641E-04-1.5779</t>
  </si>
  <si>
    <t>2014-11-26 15:50:47.444: RTWSControl  - tickOptionComputation - id:200046 tickType:11 impliedVol:6.95640098766457E-02 delta:-0.173900822216997 optPrice:7.999999797903E-04 pvDividend:0 gamma: 1.79769313486232E+308 theta/vega/undPrice: -5.03113497947414E-04-3.21517757987925E-04-1.5779</t>
  </si>
  <si>
    <t>2014-11-26 15:50:47.495: RTWSControl  - tickOptionComputation - id:200045 tickType:10 impliedVol:6.00070046809238E-02 delta:0.655047832269376 optPrice:4.60000010207295E-03 pvDividend:0 gamma: 1.79769313486232E+308 theta/vega/undPrice: -6.22464596742458E-04-4.45748115022721E-04-1.5779</t>
  </si>
  <si>
    <t>2014-11-26 15:50:47.534: RTWSControl  - tickOptionComputation - id:200045 tickType:11 impliedVol:6.44791786238781E-02 delta:0.645024407084806 optPrice:4.80000022798777E-03 pvDividend:0 gamma: 1.79769313486232E+308 theta/vega/undPrice: -6.76742631519117E-04-4.4574791737155E-04-1.5779</t>
  </si>
  <si>
    <t>2014-11-26 15:50:47.581: RTWSControl  - tickOptionComputation - id:200047 tickType:10 impliedVol:6.22272915892744E-02 delta:-0.350096405214002 optPrice:1.79999996908009E-03 pvDividend:0 gamma: 1.79769313486232E+308 theta/vega/undPrice: -6.49433012276617E-04-4.45748662490603E-04-1.5779</t>
  </si>
  <si>
    <t>2014-11-26 15:50:47.624: RTWSControl  - tickOptionComputation - id:200047 tickType:11 impliedVol:6.44667442454823E-02 delta:-0.354936391005926 optPrice:1.9000000320375E-03 pvDividend:0 gamma: 1.79769313486232E+308 theta/vega/undPrice: -6.76612964029981E-04-4.45748563571474E-04-1.5779</t>
  </si>
  <si>
    <t>2014-11-26 15:50:47.695: RTWSControl  - tickOptionComputation - id:200049 tickType:10 impliedVol:0.067312272699022 delta:0.682850637054995 optPrice:0.011400000192225 pvDividend:0 gamma: 1.79769313486232E+308 theta/vega/undPrice: -3.2864884868212E-04-9.1422999994162E-04-1.5779</t>
  </si>
  <si>
    <t>2014-11-26 15:50:47.741: RTWSControl  - tickOptionComputation - id:200049 tickType:11 impliedVol:7.05838207981346E-02 delta:0.67497790203913 optPrice:1.16999996826053E-02 pvDividend:0 gamma: 1.79769313486232E+308 theta/vega/undPrice: -3.47942702883541E-04-9.14228580164359E-04-1.5779</t>
  </si>
  <si>
    <t>2014-11-26 15:50:47.795: RTWSControl  - tickOptionComputation - id:200050 tickType:10 impliedVol:6.84008708722907E-02 delta:-0.319797361460784 optPrice:3.59999993816018E-03 pvDividend:0 gamma: 1.79769313486232E+308 theta/vega/undPrice: -3.35125302227835E-04-9.14235122581246E-04-1.5779</t>
  </si>
  <si>
    <t>2014-11-26 15:50:47.832: RTWSControl  - tickOptionComputation - id:200050 tickType:11 impliedVol:7.05942132839538E-02 delta:-0.32498972363382 optPrice:3.80000006407499E-03 pvDividend:0 gamma: 1.79769313486232E+308 theta/vega/undPrice: -3.48060652185342E-04-9.14234178833752E-04-1.5779</t>
  </si>
  <si>
    <t>2014-11-26 15:50:47.874: RTWSControl  - tickOptionComputation - id:200051 tickType:10 impliedVol:6.83369208545532E-02 delta:-0.317729977140606 optPrice:3.50000010803342E-03 pvDividend:0 gamma: 1.79769313486232E+308 theta/vega/undPrice: -3.36003449226922E-04-8.81677784200159E-04-1.5779</t>
  </si>
  <si>
    <t>2014-11-26 15:50:47.913: RTWSControl  - tickOptionComputation - id:200051 tickType:11 impliedVol:7.05973451758382E-02 delta:-0.323035149645273 optPrice:3.70000000111759E-03 pvDividend:0 gamma: 1.79769313486232E+308 theta/vega/undPrice: -3.49527203601879E-04-8.87799027301776E-04-1.5779</t>
  </si>
  <si>
    <t>2014-11-26 15:50:47.982: RTWSControl  - tickOptionComputation - id:200052 tickType:10 impliedVol:1.79769313486232E+308 delta:1.79769313486232E+308 optPrice:1.79769313486232E+308 pvDividend:0 gamma: 1.79769313486232E+308 theta/vega/undPrice: 1.79769313486232E+308-1.79769313486232E+308-1.5779</t>
  </si>
  <si>
    <t>2014-11-26 15:50:47.997: RTWSControl  - tickOptionComputation - id:200052 tickType:11 impliedVol:1.79769313486232E+308 delta:1.79769313486232E+308 optPrice:1.79769313486232E+308 pvDividend:0 gamma: 1.79769313486232E+308 theta/vega/undPrice: 1.79769313486232E+308-1.79769313486232E+308-1.5779</t>
  </si>
  <si>
    <t>2014-11-26 15:50:48.62: RTWSControl  - tickOptionComputation - id:200048 tickType:10 impliedVol:0.079767232969485 delta:-2.59687689636511E-02 optPrice:1.99999994947575E-04 pvDividend:0 gamma: 1.79769313486232E+308 theta/vega/undPrice: -6.56610922282206E-05-1.79314359360995E-04-1.5779</t>
  </si>
  <si>
    <t>2014-11-26 15:50:48.115: RTWSControl  - tickOptionComputation - id:200048 tickType:11 impliedVol:8.53187265149967E-02 delta:-0.034904502570337 optPrice:3.00000014249235E-04 pvDividend:0 gamma: 1.79769313486232E+308 theta/vega/undPrice: -8.97992105052488E-05-2.35394328184252E-04-1.5779</t>
  </si>
  <si>
    <t>2014-11-26 15:50:48.162: RTWSControl  - tickOptionComputation - id:200053 tickType:10 impliedVol:6.08277965170963E-02 delta:7.35373184296536E-02 optPrice:5.00000023748726E-04 pvDividend:0 gamma: 1.79769313486232E+308 theta/vega/undPrice: -1.16648703596011E-04-4.29287542379739E-04-1.5779</t>
  </si>
  <si>
    <t>2014-11-26 15:50:48.232: RTWSControl  - tickOptionComputation - id:200053 tickType:11 impliedVol:6.56852687173267E-02 delta:9.09977651991846E-02 optPrice:6.99999975040555E-04 pvDividend:0 gamma: 1.79769313486232E+308 theta/vega/undPrice: -1.47064410541632E-04-4.47317611496303E-04-1.5779</t>
  </si>
  <si>
    <t>2014-11-26 15:50:48.308: RTWSControl  - tickOptionComputation - id:200054 tickType:10 impliedVol:1.79769313486232E+308 delta:1.79769313486232E+308 optPrice:1.79769313486232E+308 pvDividend:0 gamma: 1.79769313486232E+308 theta/vega/undPrice: 1.79769313486232E+308-1.79769313486232E+308-1.5779</t>
  </si>
  <si>
    <t>2014-11-26 15:50:48.367: RTWSControl  - tickOptionComputation - id:200054 tickType:11 impliedVol:9.21071663769635E-02 delta:1.24309926892764E-02 optPrice:9.99999974737875E-05 pvDividend:0 gamma: 1.79769313486232E+308 theta/vega/undPrice: -4.04380280524874E-05-1.03768811027038E-04-1.5779</t>
  </si>
  <si>
    <t>2014-11-26 15:50:50.407: RTWSControl  - tickOptionComputation - id:200042 tickType:13 impliedVol:7.88910413699568E-02 delta:-0.029671025940342 optPrice:1.12171395574483E-04 pvDividend:0 gamma: 1.79769313486232E+308 theta/vega/undPrice: -1.48796370715324E-04-9.76876211435449E-05-1.5779</t>
  </si>
  <si>
    <t>2014-11-26 15:50:50.452: RTWSControl  - tickOptionComputation - id:200041 tickType:13 impliedVol:0.070687520877641 delta:0.934985263333661 optPrice:1.31476584067917E-02 pvDividend:0 gamma: 1.79769313486232E+308 theta/vega/undPrice: -2.52169582750439E-04-1.82815539877899E-04-1.5779</t>
  </si>
  <si>
    <t>2014-11-26 15:50:50.490: RTWSControl  - tickOptionComputation - id:200041 tickType:10 impliedVol:1.79769313486232E+308 delta:0.999985981154771 optPrice:1.29000004380941E-02 pvDividend:0 gamma: -1.29578440193773E-08 theta/vega/undPrice: 8.48983112182591E-08-1.66533453693773E-16-1.5779</t>
  </si>
  <si>
    <t>2014-11-26 15:50:50.532: RTWSControl  - tickOptionComputation - id:200043 tickType:13 impliedVol:0.070687520877641 delta:-6.51272611461678E-02 optPrice:2.47843182041576E-04 pvDividend:0 gamma: 1.79769313486232E+308 theta/vega/undPrice: -2.52254840473104E-04-1.82815815496436E-04-1.5779</t>
  </si>
  <si>
    <t>2014-11-26 15:50:50.573: RTWSControl  - tickOptionComputation - id:200044 tickType:13 impliedVol:6.54231896853901E-02 delta:0.840629508590521 optPrice:8.57584304007262E-03 pvDividend:0 gamma: 1.79769313486232E+308 theta/vega/undPrice: -4.46314777411795E-04-2.97870535793556E-04-1.5779</t>
  </si>
  <si>
    <t>2014-11-26 15:50:50.614: RTWSControl  - tickOptionComputation - id:200046 tickType:13 impliedVol:6.54231896853901E-02 delta:-0.15948319396169 optPrice:6.75956932275444E-04 pvDividend:0 gamma: 1.79769313486232E+308 theta/vega/undPrice: -4.46367701724991E-04-2.97870827176218E-04-1.5779</t>
  </si>
  <si>
    <t>2014-11-26 15:50:50.657: RTWSControl  - tickOptionComputation - id:200045 tickType:13 impliedVol:6.30980477932042E-02 delta:0.648049267491682 optPrice:4.73843656753194E-03 pvDividend:0 gamma: 1.79769313486232E+308 theta/vega/undPrice: -6.59980081667879E-04-4.45747979602706E-04-1.5779</t>
  </si>
  <si>
    <t>2014-11-26 15:50:50.703: RTWSControl  - tickOptionComputation - id:200047 tickType:13 impliedVol:6.30980477932042E-02 delta:-0.352063923421711 optPrice:1.8384810450998E-03 pvDividend:0 gamma: 1.79769313486232E+308 theta/vega/undPrice: -6.60001271250824E-04-4.45748624360307E-04-1.5779</t>
  </si>
  <si>
    <t>2014-11-26 15:50:50.743: RTWSControl  - tickOptionComputation - id:200047 tickType:11 impliedVol:6.67215923403293E-02 delta:-0.359479245856825 optPrice:2.0000000949949E-03 pvDividend:0 gamma: 1.79769313486232E+308 theta/vega/undPrice: -7.03979753302604E-04-4.45748464736058E-04-1.5779</t>
  </si>
  <si>
    <t>2014-11-26 15:50:50.785: RTWSControl  - tickOptionComputation - id:200049 tickType:13 impliedVol:6.91510832187294E-02 delta:0.678418680897065 optPrice:1.15681100825102E-02 pvDividend:0 gamma: 1.79769313486232E+308 theta/vega/undPrice: -3.3949318615864E-04-9.14229208296702E-04-1.5779</t>
  </si>
  <si>
    <t>2014-11-26 15:50:50.827: RTWSControl  - tickOptionComputation - id:200050 tickType:13 impliedVol:6.91510832187294E-02 delta:-0.321651552703527 optPrice:3.66861339126401E-03 pvDividend:0 gamma: 1.79769313486232E+308 theta/vega/undPrice: -3.39549721955185E-04-9.14234802391847E-04-1.5779</t>
  </si>
  <si>
    <t>2014-11-26 15:50:50.870: RTWSControl  - tickOptionComputation - id:200052 tickType:10 impliedVol:1.79769313486232E+308 delta:1.79769313486232E+308 optPrice:1.79769313486232E+308 pvDividend:0 gamma: 1.79769313486232E+308 theta/vega/undPrice: 1.79769313486232E+308-1.79769313486232E+308-1.5779</t>
  </si>
  <si>
    <t>2014-11-26 15:50:50.906: RTWSControl  - tickOptionComputation - id:200052 tickType:11 impliedVol:1.79769313486232E+308 delta:1.79769313486232E+308 optPrice:1.79769313486232E+308 pvDividend:0 gamma: 1.79769313486232E+308 theta/vega/undPrice: 1.79769313486232E+308-1.79769313486232E+308-1.5779</t>
  </si>
  <si>
    <t>2014-11-26 15:50:50.949: RTWSControl  - tickOptionComputation - id:200048 tickType:13 impliedVol:8.31833119476606E-02 delta:-3.16129735735924E-02 optPrice:2.61708959256403E-04 pvDividend:0 gamma: 1.79769313486232E+308 theta/vega/undPrice: -8.05143536420283E-05-2.11210824862998E-04-1.5779</t>
  </si>
  <si>
    <t>2014-11-26 15:50:50.992: RTWSControl  - tickOptionComputation - id:200053 tickType:13 impliedVol:6.50742024912496E-02 delta:8.87575143359224E-02 optPrice:6.71918865223986E-04 pvDividend:0 gamma: 1.79769313486232E+308 theta/vega/undPrice: -1.43112007070925E-04-4.47317730755861E-04-1.5779</t>
  </si>
  <si>
    <t>2014-11-26 15:50:51.34: RTWSControl  - tickOptionComputation - id:200054 tickType:13 impliedVol:7.09526697652247E-02 delta:1.67813621561673E-03 optPrice:8.71800610097774E-06 pvDividend:0 gamma: 0.303153611597578 theta/vega/undPrice: -5.20382077488504E-06-2.43011466920124E-05-1.5779</t>
  </si>
  <si>
    <t>2014-11-26 15:50:51.74: RTWSControl  - tickOptionComputation - id:200054 tickType:10 impliedVol:1.79769313486232E+308 delta:1.79769313486232E+308 optPrice:1.79769313486232E+308 pvDividend:0 gamma: 1.79769313486232E+308 theta/vega/undPrice: 1.79769313486232E+308-1.79769313486232E+308-1.5779</t>
  </si>
  <si>
    <t>2014-11-26 15:50:51.202: DirectionIndicator - notify - price/longMA/ShortMA/prevDirection are 1.5779/1.57773076142682/1.57781482469136/1</t>
  </si>
  <si>
    <t>2014-11-26 15:50:51.203: Algorithm - handleTransition - currentHedgeShortfall is NOT ZERO and AUTOHEDGE IS NOT ENABLED!</t>
  </si>
  <si>
    <t>2014-11-26 15:50:52.38: TransitionLogger - flushFile - flushing file</t>
  </si>
  <si>
    <t>2014-11-26 15:50:52.39: TransitionLogger - openTransitionFile - opening file C:\temp\transitionlog_2014-11-26_155023</t>
  </si>
  <si>
    <t>2014-11-26 15:50:52.74: DirectionIndicator - notify - price/longMA/ShortMA/prevDirection are 1.57785/1.57775244116739/1.57782654979424/1</t>
  </si>
  <si>
    <t>2014-11-26 15:50:52.74: Algorithm - handleTransition - currentHedgeShortfall is NOT ZERO and AUTOHEDGE IS NOT ENABLED!</t>
  </si>
  <si>
    <t>2014-11-26 15:50:52.567: RTWSControl  - tickOptionComputation - id:200041 tickType:10 impliedVol:5.89622197995993E-02 delta:0.965217505420545 optPrice:1.30000002682209E-02 pvDividend:0 gamma: 1.79769313486232E+308 theta/vega/undPrice: -1.269476115997E-04-1.22887919760421E-04-1.5779</t>
  </si>
  <si>
    <t>2014-11-26 15:50:52.619: RTWSControl  - tickOptionComputation - id:200047 tickType:11 impliedVol:6.44667442454823E-02 delta:-0.354936391005926 optPrice:1.9000000320375E-03 pvDividend:0 gamma: 1.79769313486232E+308 theta/vega/undPrice: -6.76612964029981E-04-4.45748563571474E-04-1.5779</t>
  </si>
  <si>
    <t>2014-11-26 15:50:52.666: RTWSControl  - tickOptionComputation - id:200052 tickType:10 impliedVol:1.79769313486232E+308 delta:1.79769313486232E+308 optPrice:1.79769313486232E+308 pvDividend:0 gamma: 1.79769313486232E+308 theta/vega/undPrice: 1.79769313486232E+308-1.79769313486232E+308-1.5779</t>
  </si>
  <si>
    <t>2014-11-26 15:50:52.698: RTWSControl  - tickOptionComputation - id:200052 tickType:11 impliedVol:1.79769313486232E+308 delta:1.79769313486232E+308 optPrice:1.79769313486232E+308 pvDividend:0 gamma: 1.79769313486232E+308 theta/vega/undPrice: 1.79769313486232E+308-1.79769313486232E+308-1.5779</t>
  </si>
  <si>
    <t>2014-11-26 15:50:52.740: RTWSControl  - tickOptionComputation - id:200054 tickType:10 impliedVol:1.79769313486232E+308 delta:1.79769313486232E+308 optPrice:1.79769313486232E+308 pvDividend:0 gamma: 1.79769313486232E+308 theta/vega/undPrice: 1.79769313486232E+308-1.79769313486232E+308-1.5779</t>
  </si>
  <si>
    <t>2014-11-26 15:50:54.187: DirectionIndicator - notify - price/longMA/ShortMA/prevDirection are 1.5779/1.57777927004605/1.57785103319616/1</t>
  </si>
  <si>
    <t>2014-11-26 15:50:54.188: Algorithm - handleTransition - currentHedgeShortfall is NOT ZERO and AUTOHEDGE IS NOT ENABLED!</t>
  </si>
  <si>
    <t>2014-11-26 15:50:54.242: DirectionIndicator - notify - price/longMA/ShortMA/prevDirection are 1.57795/1.57781031185586/1.57788402213077/1</t>
  </si>
  <si>
    <t>2014-11-26 15:50:54.242: Algorithm - handleTransition - currentHedgeShortfall is NOT ZERO and AUTOHEDGE IS NOT ENABLED!</t>
  </si>
  <si>
    <t>2014-11-26 15:50:54.818: RTWSControl  - tickOptionComputation - id:200042 tickType:13 impliedVol:7.79515006685472E-02 delta:-2.80437133169895E-02 optPrice:1.03917149296544E-04 pvDividend:0 gamma: 1.79769313486232E+308 theta/vega/undPrice: -1.40348819950594E-04-9.24744277319041E-05-1.5779</t>
  </si>
  <si>
    <t>2014-11-26 15:50:54.867: RTWSControl  - tickOptionComputation - id:200041 tickType:13 impliedVol:6.99738561679339E-02 delta:0.936791967197022 optPrice:1.31374122935579E-02 pvDividend:0 gamma: 1.79769313486232E+308 theta/vega/undPrice: -2.439923943977E-04-1.77692500754157E-04-1.5779</t>
  </si>
  <si>
    <t>2014-11-26 15:50:54.911: RTWSControl  - tickOptionComputation - id:200043 tickType:13 impliedVol:6.99738561679339E-02 delta:-6.33205559634209E-02 optPrice:2.37597061760898E-04 pvDividend:0 gamma: 1.79769313486232E+308 theta/vega/undPrice: -2.44077642921365E-04-1.7769277092385E-04-1.5779</t>
  </si>
  <si>
    <t>2014-11-26 15:50:54.951: RTWSControl  - tickOptionComputation - id:200044 tickType:10 impliedVol:6.28770338495691E-02 delta:0.850347578168714 optPrice:0.008500000461936 pvDividend:0 gamma: 1.79769313486232E+308 theta/vega/undPrice: -4.1142230422272E-04-2.97870611619934E-04-1.5779</t>
  </si>
  <si>
    <t>2014-11-26 15:50:54.993: RTWSControl  - tickOptionComputation - id:200044 tickType:13 impliedVol:6.49501972028759E-02 delta:0.842396381951186 optPrice:8.56175398027661E-03 pvDividend:0 gamma: 1.79769313486232E+308 theta/vega/undPrice: -4.39832898335527E-04-2.97870549890061E-04-1.5779</t>
  </si>
  <si>
    <t>2014-11-26 15:50:55.34: RTWSControl  - tickOptionComputation - id:200046 tickType:13 impliedVol:6.49501972028759E-02 delta:-0.157716318749496 optPrice:6.61867858809053E-04 pvDividend:0 gamma: 1.79769313486232E+308 theta/vega/undPrice: -4.39885810248559E-04-2.97870840321625E-04-1.5779</t>
  </si>
  <si>
    <t>2014-11-26 15:50:55.75: RTWSControl  - tickOptionComputation - id:200045 tickType:10 impliedVol:6.22357528847339E-02 delta:0.649871367280803 optPrice:4.69999993219972E-03 pvDividend:0 gamma: 1.79769313486232E+308 theta/vega/undPrice: -6.49514552178779E-04-4.45748017918583E-04-1.5779</t>
  </si>
  <si>
    <t>2014-11-26 15:50:55.118: RTWSControl  - tickOptionComputation - id:200045 tickType:11 impliedVol:6.67225944029044E-02 delta:0.640505538495645 optPrice:4.90000005811453E-03 pvDividend:0 gamma: 1.79769313486232E+308 theta/vega/undPrice: -7.03970574456115E-04-4.45747814027791E-04-1.5779</t>
  </si>
  <si>
    <t>2014-11-26 15:50:55.164: RTWSControl  - tickOptionComputation - id:200045 tickType:13 impliedVol:6.28805237733729E-02 delta:0.648524689533491 optPrice:4.72874047343877E-03 pvDividend:0 gamma: 1.79769313486232E+308 theta/vega/undPrice: -6.57340029128681E-04-4.45747989308217E-04-1.5779</t>
  </si>
  <si>
    <t>2014-11-26 15:50:55.209: RTWSControl  - tickOptionComputation - id:200047 tickType:13 impliedVol:6.28805237733729E-02 delta:-0.351588500608294 optPrice:1.82878493707443E-03 pvDividend:0 gamma: 1.79769313486232E+308 theta/vega/undPrice: -6.57361209680638E-04-4.45748633925182E-04-1.5779</t>
  </si>
  <si>
    <t>2014-11-26 15:50:55.251: RTWSControl  - tickOptionComputation - id:200049 tickType:10 impliedVol:6.84062291702718E-02 delta:0.680133300994151 optPrice:1.15000000223517E-02 pvDividend:0 gamma: 1.79769313486232E+308 theta/vega/undPrice: -3.35100431444256E-04-9.14229530937026E-04-1.5779</t>
  </si>
  <si>
    <t>2014-11-26 15:50:55.318: RTWSControl  - tickOptionComputation - id:200049 tickType:13 impliedVol:6.92500832304042E-02 delta:0.678182306064182 optPrice:1.15771609736719E-02 pvDividend:0 gamma: 1.79769313486232E+308 theta/vega/undPrice: -3.40077035512236E-04-9.14229165209337E-04-1.5779</t>
  </si>
  <si>
    <t>2014-11-26 15:50:55.364: RTWSControl  - tickOptionComputation - id:200050 tickType:11 impliedVol:6.94944817430783E-02 delta:-0.322427768946698 optPrice:3.70000000111759E-03 pvDividend:0 gamma: 1.79769313486232E+308 theta/vega/undPrice: -3.41574932878012E-04-9.1423465492396E-04-1.5779</t>
  </si>
  <si>
    <t>2014-11-26 15:50:55.405: RTWSControl  - tickOptionComputation - id:200050 tickType:13 impliedVol:6.92500832304042E-02 delta:-0.32188792916145 optPrice:3.67766433746118E-03 pvDividend:0 gamma: 1.79769313486232E+308 theta/vega/undPrice: -3.40133579832853E-04-9.14234759936787E-04-1.5779</t>
  </si>
  <si>
    <t>2014-11-26 15:50:55.447: RTWSControl  - tickOptionComputation - id:200051 tickType:10 impliedVol:6.72067149107818E-02 delta:-0.314956819937573 optPrice:3.40000004507601E-03 pvDividend:0 gamma: 1.79769313486232E+308 theta/vega/undPrice: -3.29218242432539E-04-8.78400437358154E-04-1.5779</t>
  </si>
  <si>
    <t>2014-11-26 15:50:55.492: RTWSControl  - tickOptionComputation - id:200052 tickType:10 impliedVol:1.79769313486232E+308 delta:1.79769313486232E+308 optPrice:1.79769313486232E+308 pvDividend:0 gamma: 1.79769313486232E+308 theta/vega/undPrice: 1.79769313486232E+308-1.79769313486232E+308-1.5779</t>
  </si>
  <si>
    <t>2014-11-26 15:50:55.529: RTWSControl  - tickOptionComputation - id:200052 tickType:11 impliedVol:1.79769313486232E+308 delta:1.79769313486232E+308 optPrice:1.79769313486232E+308 pvDividend:0 gamma: 1.79769313486232E+308 theta/vega/undPrice: 1.79769313486232E+308-1.79769313486232E+308-1.5779</t>
  </si>
  <si>
    <t>2014-11-26 15:50:55.570: RTWSControl  - tickOptionComputation - id:200048 tickType:13 impliedVol:8.31449695774538E-02 delta:-3.15522404155212E-02 optPrice:2.61021424972207E-04 pvDividend:0 gamma: 1.79769313486232E+308 theta/vega/undPrice: -8.03476395483287E-05-2.10776598290375E-04-1.5779</t>
  </si>
  <si>
    <t>2014-11-26 15:50:55.616: RTWSControl  - tickOptionComputation - id:200053 tickType:13 impliedVol:6.50948476785747E-02 delta:8.88342785721108E-02 optPrice:6.72842363103037E-04 pvDividend:0 gamma: 1.79769313486232E+308 theta/vega/undPrice: -1.4324554108831E-04-4.47317726715833E-04-1.5779</t>
  </si>
  <si>
    <t>2014-11-26 15:50:55.654: RTWSControl  - tickOptionComputation - id:200054 tickType:10 impliedVol:1.79769313486232E+308 delta:1.79769313486232E+308 optPrice:1.79769313486232E+308 pvDividend:0 gamma: 1.79769313486232E+308 theta/vega/undPrice: 1.79769313486232E+308-1.79769313486232E+308-1.5779</t>
  </si>
  <si>
    <t>2014-11-26 15:50:55.669: RTWSControl  - tickOptionComputation - id:200054 tickType:13 impliedVol:7.06792629219706E-02 delta:1.62988834419077E-03 optPrice:8.42323722464098E-06 pvDividend:0 gamma: 0.296071547912323 theta/vega/undPrice: -5.04316071672912E-06-2.31343599416495E-05-1.5779</t>
  </si>
  <si>
    <t>2014-11-26 15:50:56.294: RTWSControl  - tickOptionComputation - id:200052 tickType:10 impliedVol:1.79769313486232E+308 delta:1.79769313486232E+308 optPrice:1.79769313486232E+308 pvDividend:0 gamma: 1.79769313486232E+308 theta/vega/undPrice: 1.79769313486232E+308-1.79769313486232E+308-1.5779</t>
  </si>
  <si>
    <t>2014-11-26 15:50:56.327: RTWSControl  - tickOptionComputation - id:200052 tickType:11 impliedVol:1.79769313486232E+308 delta:1.79769313486232E+308 optPrice:1.79769313486232E+308 pvDividend:0 gamma: 1.79769313486232E+308 theta/vega/undPrice: 1.79769313486232E+308-1.79769313486232E+308-1.5779</t>
  </si>
  <si>
    <t>2014-11-26 15:50:56.397: RTWSControl  - tickOptionComputation - id:200054 tickType:10 impliedVol:1.79769313486232E+308 delta:1.79769313486232E+308 optPrice:1.79769313486232E+308 pvDividend:0 gamma: 1.79769313486232E+308 theta/vega/undPrice: 1.79769313486232E+308-1.79769313486232E+308-1.5779</t>
  </si>
  <si>
    <t>2014-11-26 15:50:57.497: DirectionIndicator - notify - price/longMA/ShortMA/prevDirection are 1.578/1.57784480060934/1.57792268142052/1</t>
  </si>
  <si>
    <t>2014-11-26 15:50:57.498: Algorithm - handleTransition - currentHedgeShortfall is NOT ZERO and AUTOHEDGE IS NOT ENABLED!</t>
  </si>
  <si>
    <t>2014-11-26 15:50:57.535: DirectionIndicator - notify - price/longMA/ShortMA/prevDirection are 1.57805/1.57788210958946/1.57796512094701/1</t>
  </si>
  <si>
    <t>2014-11-26 15:50:57.536: Algorithm - handleTransition - currentHedgeShortfall is NOT ZERO and AUTOHEDGE IS NOT ENABLED!</t>
  </si>
  <si>
    <t>2014-11-26 15:50:58.194: DirectionIndicator - notify - price/longMA/ShortMA/prevDirection are 1.578/1.57790354420956/1.57797674729801/1</t>
  </si>
  <si>
    <t>2014-11-26 15:50:58.195: Algorithm - handleTransition - currentHedgeShortfall is NOT ZERO and AUTOHEDGE IS NOT ENABLED!</t>
  </si>
  <si>
    <t>2014-11-26 15:50:58.576: DirectionIndicator - notify - price/longMA/ShortMA/prevDirection are 1.57805/1.57793017253509/1.57800116486534/1</t>
  </si>
  <si>
    <t>2014-11-26 15:50:58.576: Algorithm - handleTransition - currentHedgeShortfall is NOT ZERO and AUTOHEDGE IS NOT ENABLED!</t>
  </si>
  <si>
    <t>2014-11-26 15:50:58.787: RTWSControl  - tickOptionComputation - id:200042 tickType:10 impliedVol:8.86293927434175E-02 delta:-4.46907229082347E-02 optPrice:1.99999994947575E-04 pvDividend:0 gamma: 1.79769313486232E+308 theta/vega/undPrice: -2.35676460079524E-04-1.433222029739E-04-1.578</t>
  </si>
  <si>
    <t>2014-11-26 15:50:58.859: RTWSControl  - tickOptionComputation - id:200042 tickType:11 impliedVol:8.86293927434175E-02 delta:-4.46907229082347E-02 optPrice:1.99999994947575E-04 pvDividend:0 gamma: 1.79769313486232E+308 theta/vega/undPrice: -2.35676460079524E-04-1.433222029739E-04-1.578</t>
  </si>
  <si>
    <t>2014-11-26 15:50:58.912: RTWSControl  - tickOptionComputation - id:200042 tickType:13 impliedVol:0.078612444696148 delta:-2.84170748758409E-02 optPrice:1.06390030146683E-04 pvDividend:0 gamma: 1.79769313486232E+308 theta/vega/undPrice: -1.43115266771899E-04-9.33670615299282E-05-1.578</t>
  </si>
  <si>
    <t>2014-11-26 15:50:58.950: RTWSControl  - tickOptionComputation - id:200041 tickType:13 impliedVol:7.04925372745606E-02 delta:0.936877774348471 optPrice:1.32387821503959E-02 pvDividend:0 gamma: 1.79769313486232E+308 theta/vega/undPrice: -2.45586711729307E-04-1.77137654803646E-04-1.578</t>
  </si>
  <si>
    <t>2014-11-26 15:50:58.994: RTWSControl  - tickOptionComputation - id:200041 tickType:10 impliedVol:5.93200217184797E-02 delta:0.965453463152115 optPrice:1.31000000983477E-02 pvDividend:0 gamma: 1.79769313486232E+308 theta/vega/undPrice: -1.27009921727323E-04-1.22115290510065E-04-1.578</t>
  </si>
  <si>
    <t>2014-11-26 15:50:59.34: RTWSControl  - tickOptionComputation - id:200041 tickType:11 impliedVol:7.97531893047277E-02 delta:0.91186882758987 optPrice:0.013399999588728 pvDividend:0 gamma: 1.79769313486232E+308 theta/vega/undPrice: -3.58355562652638E-04-2.15327661641654E-04-1.578</t>
  </si>
  <si>
    <t>2014-11-26 15:50:59.81: RTWSControl  - tickOptionComputation - id:200043 tickType:13 impliedVol:7.04925372745606E-02 delta:-6.32347486335552E-02 optPrice:2.38968291096298E-04 pvDividend:0 gamma: 1.79769313486232E+308 theta/vega/undPrice: -2.45672620672162E-04-1.77137925354989E-04-1.578</t>
  </si>
  <si>
    <t>2014-11-26 15:50:59.123: RTWSControl  - tickOptionComputation - id:200044 tickType:13 impliedVol:6.51745525998138E-02 delta:0.844677180959451 optPrice:8.65207532203263E-03 pvDividend:0 gamma: 1.79769313486232E+308 theta/vega/undPrice: -4.37233476614207E-04-2.97832391984096E-04-1.578</t>
  </si>
  <si>
    <t>2014-11-26 15:50:59.168: RTWSControl  - tickOptionComputation - id:200043 tickType:10 impliedVol:6.77992730013092E-02 delta:-5.61153478285586E-02 optPrice:1.99999994947575E-04 pvDividend:0 gamma: 1.79769313486232E+308 theta/vega/undPrice: -2.14807180604571E-04-1.57806789848621E-04-1.578</t>
  </si>
  <si>
    <t>2014-11-26 15:50:59.234: RTWSControl  - tickOptionComputation - id:200043 tickType:11 impliedVol:7.47986602143862E-02 delta:-7.35310096127889E-02 optPrice:3.00000014249235E-04 pvDividend:0 gamma: 1.79769313486232E+308 theta/vega/undPrice: -2.9502177247965E-04-2.08045471591872E-04-1.578</t>
  </si>
  <si>
    <t>2014-11-26 15:50:59.285: RTWSControl  - tickOptionComputation - id:200046 tickType:13 impliedVol:6.51745525998138E-02 delta:-0.155435517181243 optPrice:6.52190587711622E-04 pvDividend:0 gamma: 1.79769313486232E+308 theta/vega/undPrice: -4.37287042443802E-04-2.97832681795177E-04-1.578</t>
  </si>
  <si>
    <t>2014-11-26 15:50:59.326: RTWSControl  - tickOptionComputation - id:200045 tickType:13 impliedVol:0.062658490671879 delta:0.653835192588748 optPrice:4.78489421727873E-03 pvDividend:0 gamma: 1.79769313486232E+308 theta/vega/undPrice: -6.51106436238361E-04-4.45690907574718E-04-1.578</t>
  </si>
  <si>
    <t>2014-11-26 15:50:59.368: RTWSControl  - tickOptionComputation - id:200044 tickType:10 impliedVol:0.063426085998479 delta:0.85136973254794 optPrice:8.60000029206276E-03 pvDividend:0 gamma: 1.79769313486232E+308 theta/vega/undPrice: -4.13267934475178E-04-2.97832444674385E-04-1.578</t>
  </si>
  <si>
    <t>2014-11-26 15:50:59.409: RTWSControl  - tickOptionComputation - id:200044 tickType:11 impliedVol:7.34988465989464E-02 delta:0.81664635260512 optPrice:8.89999978244305E-03 pvDividend:0 gamma: 1.79769313486232E+308 theta/vega/undPrice: -5.51331178117117E-04-3.45474968355203E-04-1.578</t>
  </si>
  <si>
    <t>2014-11-26 15:50:59.455: RTWSControl  - tickOptionComputation - id:200047 tickType:13 impliedVol:0.062658490671879 delta:-0.346277988608195 optPrice:1.78494004587972E-03 pvDividend:0 gamma: 1.79769313486232E+308 theta/vega/undPrice: -6.51128247609932E-04-4.4569155028569E-04-1.578</t>
  </si>
  <si>
    <t>2014-11-26 15:50:59.499: RTWSControl  - tickOptionComputation - id:200049 tickType:13 impliedVol:6.87664899253342E-02 delta:0.681474163058267 optPrice:1.15993163597051E-02 pvDividend:0 gamma: 1.79769313486232E+308 theta/vega/undPrice: -3.36383055389381E-04-9.14223745096414E-04-1.578</t>
  </si>
  <si>
    <t>2014-11-26 15:50:59.541: RTWSControl  - tickOptionComputation - id:200046 tickType:10 impliedVol:6.34222086979133E-02 delta:-0.148600998974038 optPrice:6.00000028498471E-04 pvDividend:0 gamma: 1.79769313486232E+308 theta/vega/undPrice: -4.13268309951024E-04-2.97832733961395E-04-1.578</t>
  </si>
  <si>
    <t>2014-11-26 15:50:59.609: RTWSControl  - tickOptionComputation - id:200046 tickType:11 impliedVol:7.01159046843101E-02 delta:-0.172793752750152 optPrice:7.999999797903E-04 pvDividend:0 gamma: 1.79769313486232E+308 theta/vega/undPrice: -5.05016291869536E-04-3.17997280707485E-04-1.578</t>
  </si>
  <si>
    <t>2014-11-26 15:50:59.660: RTWSControl  - tickOptionComputation - id:200050 tickType:13 impliedVol:6.87664899253342E-02 delta:-0.31859604919623 optPrice:3.59982530026249E-03 pvDividend:0 gamma: 1.79769313486232E+308 theta/vega/undPrice: -3.36440198305483E-04-9.14229330356456E-04-1.578</t>
  </si>
  <si>
    <t>2014-11-26 15:50:59.698: RTWSControl  - tickOptionComputation - id:200051 tickType:13 impliedVol:0.070963537000365 delta:-0.321854949336571 optPrice:3.70001766398847E-03 pvDividend:0 gamma: 1.79769313486232E+308 theta/vega/undPrice: -3.50825459672693E-04-8.86429390669916E-04-1.578</t>
  </si>
  <si>
    <t>2014-11-26 15:50:59.740: RTWSControl  - tickOptionComputation - id:200045 tickType:10 impliedVol:6.07633413581012E-02 delta:0.65821976438305 optPrice:4.69999993219972E-03 pvDividend:0 gamma: 1.79769313486232E+308 theta/vega/undPrice: -6.28100915158311E-04-4.45690991170019E-04-1.578</t>
  </si>
  <si>
    <t>2014-11-26 15:50:59.783: RTWSControl  - tickOptionComputation - id:200045 tickType:11 impliedVol:6.74721895394322E-02 delta:0.643540651832388 optPrice:4.99999988824129E-03 pvDividend:0 gamma: 1.79769313486232E+308 theta/vega/undPrice: -7.09540648568785E-04-4.45690686243001E-04-1.578</t>
  </si>
  <si>
    <t>2014-11-26 15:50:59.834: RTWSControl  - tickOptionComputation - id:200052 tickType:13 impliedVol:0.118248954298142 delta:-0.523592503479571 optPrice:1.27000000112636E-02 pvDividend:0 gamma: 1.79769313486232E+308 theta/vega/undPrice: -6.49432962118767E-04-9.8480685696949E-04-1.578</t>
  </si>
  <si>
    <t>2014-11-26 15:50:59.873: RTWSControl  - tickOptionComputation - id:200048 tickType:13 impliedVol:8.36741126613116E-02 delta:-3.20379817229433E-02 optPrice:2.67255523783267E-04 pvDividend:0 gamma: 1.79769313486232E+308 theta/vega/undPrice: -8.19104858062594E-05-2.14061319764581E-04-1.578</t>
  </si>
  <si>
    <t>2014-11-26 15:50:59.917: RTWSControl  - tickOptionComputation - id:200047 tickType:10 impliedVol:6.07622361482845E-02 delta:-0.341764258495275 optPrice:1.70000002253801E-03 pvDividend:0 gamma: 1.79769313486232E+308 theta/vega/undPrice: -6.28109231516838E-04-4.45691632716105E-04-1.578</t>
  </si>
  <si>
    <t>2014-11-26 15:50:59.984: RTWSControl  - tickOptionComputation - id:200047 tickType:11 impliedVol:6.52309793306103E-02 delta:-0.351880284394625 optPrice:1.9000000320375E-03 pvDividend:0 gamma: 1.79769313486232E+308 theta/vega/undPrice: -6.82356188907432E-04-4.45691435260063E-04-1.578</t>
  </si>
  <si>
    <t>2014-11-26 15:51:0.35: RTWSControl  - tickOptionComputation - id:200053 tickType:13 impliedVol:6.45810213994746E-02 delta:0.0880074689412 optPrice:6.5997113114451E-04 pvDividend:0 gamma: 1.79769313486232E+308 theta/vega/undPrice: -1.41187171647263E-04-4.47315073179203E-04-1.578</t>
  </si>
  <si>
    <t>2014-11-26 15:51:0.73: RTWSControl  - tickOptionComputation - id:200054 tickType:13 impliedVol:7.11177070837365E-02 delta:1.73082681862407E-03 optPrice:9.02554728305422E-06 pvDividend:0 gamma: 0.311401706671625 theta/vega/undPrice: -5.37098103999481E-06-2.56403463500768E-05-1.578</t>
  </si>
  <si>
    <t>2014-11-26 15:51:0.115: RTWSControl  - tickOptionComputation - id:200049 tickType:10 impliedVol:1.79769313486232E+308 delta:1.79769313486232E+308 optPrice:1.15000000223517E-02 pvDividend:0 gamma: 1.79769313486232E+308 theta/vega/undPrice: 1.79769313486232E+308-1.79769313486232E+308-1.578</t>
  </si>
  <si>
    <t>2014-11-26 15:51:0.154: RTWSControl  - tickOptionComputation - id:200049 tickType:11 impliedVol:7.09685245932251E-02 delta:0.676164868703976 optPrice:1.18000004440546E-02 pvDividend:0 gamma: 1.79769313486232E+308 theta/vega/undPrice: -3.49370376495365E-04-9.14222777619562E-04-1.578</t>
  </si>
  <si>
    <t>2014-11-26 15:51:0.204: RTWSControl  - tickOptionComputation - id:200050 tickType:10 impliedVol:6.76745873290552E-02 delta:-0.315838200594176 optPrice:3.50000010803342E-03 pvDividend:0 gamma: 1.79769313486232E+308 theta/vega/undPrice: -3.30000188925796E-04-9.1422979448092E-04-1.578</t>
  </si>
  <si>
    <t>2014-11-26 15:51:0.240: RTWSControl  - tickOptionComputation - id:200050 tickType:11 impliedVol:0.069870164636941 delta:-0.321215301404261 optPrice:3.70000000111759E-03 pvDividend:0 gamma: 1.79769313486232E+308 theta/vega/undPrice: -3.42949630976617E-04-9.14228855384833E-04-1.578</t>
  </si>
  <si>
    <t>2014-11-26 15:51:0.286: RTWSControl  - tickOptionComputation - id:200051 tickType:10 impliedVol:6.75613645699906E-02 delta:-0.313704062725476 optPrice:3.40000004507601E-03 pvDividend:0 gamma: 1.79769313486232E+308 theta/vega/undPrice: -3.30424921621908E-04-8.76923981700581E-04-1.578</t>
  </si>
  <si>
    <t>2014-11-26 15:51:0.332: RTWSControl  - tickOptionComputation - id:200051 tickType:11 impliedVol:0.070963536996961 delta:-0.321814250845503 optPrice:3.70000000111759E-03 pvDividend:0 gamma: 1.79769313486232E+308 theta/vega/undPrice: -3.50825459652351E-04-8.86429390661037E-04-1.578</t>
  </si>
  <si>
    <t>2014-11-26 15:51:0.398: RTWSControl  - tickOptionComputation - id:200052 tickType:10 impliedVol:1.79769313486232E+308 delta:1.79769313486232E+308 optPrice:1.79769313486232E+308 pvDividend:0 gamma: 1.79769313486232E+308 theta/vega/undPrice: 1.79769313486232E+308-1.79769313486232E+308-1.578</t>
  </si>
  <si>
    <t>2014-11-26 15:51:0.414: RTWSControl  - tickOptionComputation - id:200052 tickType:11 impliedVol:1.79769313486232E+308 delta:1.79769313486232E+308 optPrice:1.79769313486232E+308 pvDividend:0 gamma: 1.79769313486232E+308 theta/vega/undPrice: 1.79769313486232E+308-1.79769313486232E+308-1.578</t>
  </si>
  <si>
    <t>2014-11-26 15:51:0.479: RTWSControl  - tickOptionComputation - id:200048 tickType:10 impliedVol:7.99493133742173E-02 delta:-2.59181787108841E-02 optPrice:1.99999994947575E-04 pvDividend:0 gamma: 1.79769313486232E+308 theta/vega/undPrice: -6.57137725767498E-05-1.79313236657364E-04-1.578</t>
  </si>
  <si>
    <t>2014-11-26 15:51:0.530: RTWSControl  - tickOptionComputation - id:200048 tickType:11 impliedVol:8.55002181304128E-02 delta:-3.48368804510577E-02 optPrice:3.00000014249235E-04 pvDividend:0 gamma: 1.79769313486232E+308 theta/vega/undPrice: -8.98510061599712E-05-2.34741774593657E-04-1.578</t>
  </si>
  <si>
    <t>2014-11-26 15:51:0.579: RTWSControl  - tickOptionComputation - id:200053 tickType:10 impliedVol:6.32403343721578E-02 delta:8.28507360147101E-02 optPrice:6.00000028498471E-04 pvDividend:0 gamma: 1.79769313486232E+308 theta/vega/undPrice: -1.32514935938404E-04-4.47315336233711E-04-1.578</t>
  </si>
  <si>
    <t>2014-11-26 15:51:0.616: RTWSControl  - tickOptionComputation - id:200053 tickType:11 impliedVol:6.54596626131614E-02 delta:9.12546850335363E-02 optPrice:6.99999975040555E-04 pvDividend:0 gamma: 1.79769313486232E+308 theta/vega/undPrice: -1.4687065873887E-04-4.47314902425096E-04-1.578</t>
  </si>
  <si>
    <t>2014-11-26 15:51:0.661: RTWSControl  - tickOptionComputation - id:200054 tickType:10 impliedVol:1.79769313486232E+308 delta:1.79769313486232E+308 optPrice:1.79769313486232E+308 pvDividend:0 gamma: 1.79769313486232E+308 theta/vega/undPrice: 1.79769313486232E+308-1.79769313486232E+308-1.578</t>
  </si>
  <si>
    <t>2014-11-26 15:51:0.697: RTWSControl  - tickOptionComputation - id:200054 tickType:11 impliedVol:9.18662069255419E-02 delta:1.23652782320869E-02 optPrice:9.99999974737875E-05 pvDividend:0 gamma: 1.79769313486232E+308 theta/vega/undPrice: -4.01586780757209E-05-1.03768187397755E-04-1.578</t>
  </si>
  <si>
    <t>2014-11-26 15:51:1.111: RTWSControl  - tickOptionComputation - id:200049 tickType:10 impliedVol:6.76801479578345E-02 delta:0.684091470232449 optPrice:1.15000000223517E-02 pvDividend:0 gamma: 1.79769313486232E+308 theta/vega/undPrice: -3.29975935992051E-04-9.14224213766896E-04-1.578</t>
  </si>
  <si>
    <t>2014-11-26 15:51:1.162: RTWSControl  - tickOptionComputation - id:200052 tickType:10 impliedVol:1.79769313486232E+308 delta:1.79769313486232E+308 optPrice:1.79769313486232E+308 pvDividend:0 gamma: 1.79769313486232E+308 theta/vega/undPrice: 1.79769313486232E+308-1.79769313486232E+308-1.578</t>
  </si>
  <si>
    <t>2014-11-26 15:51:1.198: RTWSControl  - tickOptionComputation - id:200052 tickType:11 impliedVol:1.79769313486232E+308 delta:1.79769313486232E+308 optPrice:1.79769313486232E+308 pvDividend:0 gamma: 1.79769313486232E+308 theta/vega/undPrice: 1.79769313486232E+308-1.79769313486232E+308-1.578</t>
  </si>
  <si>
    <t>2014-11-26 15:51:1.240: RTWSControl  - tickOptionComputation - id:200054 tickType:10 impliedVol:1.79769313486232E+308 delta:1.79769313486232E+308 optPrice:1.79769313486232E+308 pvDividend:0 gamma: 1.79769313486232E+308 theta/vega/undPrice: 1.79769313486232E+308-1.79769313486232E+308-1.578</t>
  </si>
  <si>
    <t>2014-11-26 15:51:2.331: Algorithm - FindNextStrikes - price is 1.57805 nextStrikeUp/Down 1.58/1.575</t>
  </si>
  <si>
    <t>2014-11-26 15:51:2.331: Algorithm - getPortfolioForwardDelta - required deltas is 4 currentHedgePosition is 6</t>
  </si>
  <si>
    <t>2014-11-26 15:51:2.331: Algorithm - getHedgeShortfall - required deltas is 4 price is 1.57815 currentHedgePositionDeltas is 6</t>
  </si>
  <si>
    <t>2014-11-26 15:51:2.331: Algorithm - processTransitionPoint - nextUpper/LowerStrikes are 1.58/1.575 requiredDeltas/currentPosition/currentHedgeShortfall/direction/transitionPrice are 4/6/-2/1/1.57815</t>
  </si>
  <si>
    <t>2014-11-26 15:51:2.332: TransitionLogger - processTransitionpoint - checking transition - currentHedgeShortfall is -2</t>
  </si>
  <si>
    <t>2014-11-26 15:51:2.335: Algorithm - handleTransition - currentHedgeShortfall is NOT ZERO and AUTOHEDGE IS NOT ENABLED!</t>
  </si>
  <si>
    <t>2014-11-26 15:51:2.336: Algorithm - updatePortfolio - haveAllDetails is True</t>
  </si>
  <si>
    <t>2014-11-26 15:51:2.380: Algorithm - FindNextStrikes - price is 1.57805 nextStrikeUp/Down 1.58/1.575</t>
  </si>
  <si>
    <t>2014-11-26 15:51:2.380: Algorithm - getPortfolioForwardDelta - required deltas is 4 currentHedgePosition is 6</t>
  </si>
  <si>
    <t>2014-11-26 15:51:2.381: Algorithm - getHedgeShortfall - required deltas is 4 price is 1.57815 currentHedgePositionDeltas is 6</t>
  </si>
  <si>
    <t>2014-11-26 15:51:2.381: Algorithm - processTransitionPoint - nextUpper/LowerStrikes are 1.58/1.575 requiredDeltas/currentPosition/currentHedgeShortfall/direction/transitionPrice are 4/6/-2/1/1.57815</t>
  </si>
  <si>
    <t>2014-11-26 15:51:2.381: TransitionLogger - processTransitionpoint - checking transition - currentHedgeShortfall is -2</t>
  </si>
  <si>
    <t>2014-11-26 15:51:2.382: Algorithm - handleTransition - currentHedgeShortfall is NOT ZERO and AUTOHEDGE IS NOT ENABLED!</t>
  </si>
  <si>
    <t>2014-11-26 15:51:2.382: Algorithm - updatePortfolio - haveAllDetails is True</t>
  </si>
  <si>
    <t>2014-11-26 15:51:2.450: Algorithm - FindNextStrikes - price is 1.57805 nextStrikeUp/Down 1.58/1.575</t>
  </si>
  <si>
    <t>2014-11-26 15:51:2.450: Algorithm - getPortfolioForwardDelta - required deltas is 4 currentHedgePosition is 6</t>
  </si>
  <si>
    <t>2014-11-26 15:51:2.450: Algorithm - getHedgeShortfall - required deltas is 4 price is 1.57815 currentHedgePositionDeltas is 6</t>
  </si>
  <si>
    <t>2014-11-26 15:51:2.451: Algorithm - processTransitionPoint - nextUpper/LowerStrikes are 1.58/1.575 requiredDeltas/currentPosition/currentHedgeShortfall/direction/transitionPrice are 4/6/-2/1/1.57815</t>
  </si>
  <si>
    <t>2014-11-26 15:51:2.451: TransitionLogger - processTransitionpoint - checking transition - currentHedgeShortfall is -2</t>
  </si>
  <si>
    <t>2014-11-26 15:51:2.451: Algorithm - handleTransition - currentHedgeShortfall is NOT ZERO and AUTOHEDGE IS NOT ENABLED!</t>
  </si>
  <si>
    <t>2014-11-26 15:51:2.452: Algorithm - updatePortfolio - haveAllDetails is True</t>
  </si>
  <si>
    <t>2014-11-26 15:51:2.498: Algorithm - FindNextStrikes - price is 1.57805 nextStrikeUp/Down 1.58/1.575</t>
  </si>
  <si>
    <t>2014-11-26 15:51:2.498: Algorithm - getPortfolioForwardDelta - required deltas is 4 currentHedgePosition is 6</t>
  </si>
  <si>
    <t>2014-11-26 15:51:2.499: Algorithm - getHedgeShortfall - required deltas is 4 price is 1.57815 currentHedgePositionDeltas is 6</t>
  </si>
  <si>
    <t>2014-11-26 15:51:2.499: Algorithm - processTransitionPoint - nextUpper/LowerStrikes are 1.58/1.575 requiredDeltas/currentPosition/currentHedgeShortfall/direction/transitionPrice are 4/6/-2/1/1.57815</t>
  </si>
  <si>
    <t>2014-11-26 15:51:2.499: TransitionLogger - processTransitionpoint - checking transition - currentHedgeShortfall is -2</t>
  </si>
  <si>
    <t>2014-11-26 15:51:2.499: Algorithm - handleTransition - currentHedgeShortfall is NOT ZERO and AUTOHEDGE IS NOT ENABLED!</t>
  </si>
  <si>
    <t>2014-11-26 15:51:2.500: Algorithm - updatePortfolio - haveAllDetails is True</t>
  </si>
  <si>
    <t>2014-11-26 15:51:2.541: Algorithm - FindNextStrikes - price is 1.57805 nextStrikeUp/Down 1.58/1.575</t>
  </si>
  <si>
    <t>2014-11-26 15:51:2.541: Algorithm - getPortfolioForwardDelta - required deltas is 4 currentHedgePosition is 6</t>
  </si>
  <si>
    <t>2014-11-26 15:51:2.542: Algorithm - getHedgeShortfall - required deltas is 4 price is 1.57815 currentHedgePositionDeltas is 6</t>
  </si>
  <si>
    <t>2014-11-26 15:51:2.542: Algorithm - processTransitionPoint - nextUpper/LowerStrikes are 1.58/1.575 requiredDeltas/currentPosition/currentHedgeShortfall/direction/transitionPrice are 4/6/-2/1/1.57815</t>
  </si>
  <si>
    <t>2014-11-26 15:51:2.542: TransitionLogger - processTransitionpoint - checking transition - currentHedgeShortfall is -2</t>
  </si>
  <si>
    <t>2014-11-26 15:51:2.542: Algorithm - handleTransition - currentHedgeShortfall is NOT ZERO and AUTOHEDGE IS NOT ENABLED!</t>
  </si>
  <si>
    <t>2014-11-26 15:51:2.543: Algorithm - updatePortfolio - haveAllDetails is True</t>
  </si>
  <si>
    <t>2014-11-26 15:51:2.584: Algorithm - FindNextStrikes - price is 1.57805 nextStrikeUp/Down 1.58/1.575</t>
  </si>
  <si>
    <t>2014-11-26 15:51:2.584: Algorithm - getPortfolioForwardDelta - required deltas is 4 currentHedgePosition is 6</t>
  </si>
  <si>
    <t>2014-11-26 15:51:2.587: Algorithm - getHedgeShortfall - required deltas is 4 price is 1.57815 currentHedgePositionDeltas is 6</t>
  </si>
  <si>
    <t>2014-11-26 15:51:2.588: Algorithm - processTransitionPoint - nextUpper/LowerStrikes are 1.58/1.575 requiredDeltas/currentPosition/currentHedgeShortfall/direction/transitionPrice are 4/6/-2/1/1.57815</t>
  </si>
  <si>
    <t>2014-11-26 15:51:2.588: TransitionLogger - processTransitionpoint - checking transition - currentHedgeShortfall is -2</t>
  </si>
  <si>
    <t>2014-11-26 15:51:2.588: Algorithm - handleTransition - currentHedgeShortfall is NOT ZERO and AUTOHEDGE IS NOT ENABLED!</t>
  </si>
  <si>
    <t>2014-11-26 15:51:2.589: Algorithm - updatePortfolio - haveAllDetails is True</t>
  </si>
  <si>
    <t>2014-11-26 15:51:2.622: Algorithm - FindNextStrikes - price is 1.57805 nextStrikeUp/Down 1.58/1.575</t>
  </si>
  <si>
    <t>2014-11-26 15:51:2.622: Algorithm - getPortfolioForwardDelta - required deltas is 4 currentHedgePosition is 6</t>
  </si>
  <si>
    <t>2014-11-26 15:51:2.622: Algorithm - getHedgeShortfall - required deltas is 4 price is 1.57815 currentHedgePositionDeltas is 6</t>
  </si>
  <si>
    <t>2014-11-26 15:51:2.623: Algorithm - processTransitionPoint - nextUpper/LowerStrikes are 1.58/1.575 requiredDeltas/currentPosition/currentHedgeShortfall/direction/transitionPrice are 4/6/-2/1/1.57815</t>
  </si>
  <si>
    <t>2014-11-26 15:51:2.623: TransitionLogger - processTransitionpoint - checking transition - currentHedgeShortfall is -2</t>
  </si>
  <si>
    <t>2014-11-26 15:51:2.623: Algorithm - handleTransition - currentHedgeShortfall is NOT ZERO and AUTOHEDGE IS NOT ENABLED!</t>
  </si>
  <si>
    <t>2014-11-26 15:51:2.624: Algorithm - updatePortfolio - haveAllDetails is True</t>
  </si>
  <si>
    <t>2014-11-26 15:51:2.671: Algorithm - FindNextStrikes - price is 1.57805 nextStrikeUp/Down 1.58/1.575</t>
  </si>
  <si>
    <t>2014-11-26 15:51:2.672: Algorithm - getPortfolioForwardDelta - required deltas is 4 currentHedgePosition is 6</t>
  </si>
  <si>
    <t>2014-11-26 15:51:2.672: Algorithm - getHedgeShortfall - required deltas is 4 price is 1.57815 currentHedgePositionDeltas is 6</t>
  </si>
  <si>
    <t>2014-11-26 15:51:2.672: Algorithm - processTransitionPoint - nextUpper/LowerStrikes are 1.58/1.575 requiredDeltas/currentPosition/currentHedgeShortfall/direction/transitionPrice are 4/6/-2/1/1.57815</t>
  </si>
  <si>
    <t>2014-11-26 15:51:2.676: TransitionLogger - processTransitionpoint - checking transition - currentHedgeShortfall is -2</t>
  </si>
  <si>
    <t>2014-11-26 15:51:2.676: Algorithm - handleTransition - currentHedgeShortfall is NOT ZERO and AUTOHEDGE IS NOT ENABLED!</t>
  </si>
  <si>
    <t>2014-11-26 15:51:2.677: Algorithm - updatePortfolio - haveAllDetails is True</t>
  </si>
  <si>
    <t>2014-11-26 15:51:2.732: Algorithm - FindNextStrikes - price is 1.57805 nextStrikeUp/Down 1.58/1.575</t>
  </si>
  <si>
    <t>2014-11-26 15:51:2.733: Algorithm - getPortfolioForwardDelta - required deltas is 4 currentHedgePosition is 6</t>
  </si>
  <si>
    <t>2014-11-26 15:51:2.733: Algorithm - getHedgeShortfall - required deltas is 4 price is 1.57815 currentHedgePositionDeltas is 6</t>
  </si>
  <si>
    <t>2014-11-26 15:51:2.733: Algorithm - processTransitionPoint - nextUpper/LowerStrikes are 1.58/1.575 requiredDeltas/currentPosition/currentHedgeShortfall/direction/transitionPrice are 4/6/-2/1/1.57815</t>
  </si>
  <si>
    <t>2014-11-26 15:51:2.733: TransitionLogger - processTransitionpoint - checking transition - currentHedgeShortfall is -2</t>
  </si>
  <si>
    <t>2014-11-26 15:51:2.734: Algorithm - handleTransition - currentHedgeShortfall is NOT ZERO and AUTOHEDGE IS NOT ENABLED!</t>
  </si>
  <si>
    <t>2014-11-26 15:51:2.734: Algorithm - updatePortfolio - haveAllDetails is True</t>
  </si>
  <si>
    <t>2014-11-26 15:51:2.781: Algorithm - FindNextStrikes - price is 1.57805 nextStrikeUp/Down 1.58/1.575</t>
  </si>
  <si>
    <t>2014-11-26 15:51:2.782: Algorithm - getPortfolioForwardDelta - required deltas is 4 currentHedgePosition is 6</t>
  </si>
  <si>
    <t>2014-11-26 15:51:2.782: Algorithm - getHedgeShortfall - required deltas is 4 price is 1.57815 currentHedgePositionDeltas is 6</t>
  </si>
  <si>
    <t>2014-11-26 15:51:2.782: Algorithm - processTransitionPoint - nextUpper/LowerStrikes are 1.58/1.575 requiredDeltas/currentPosition/currentHedgeShortfall/direction/transitionPrice are 4/6/-2/1/1.57815</t>
  </si>
  <si>
    <t>2014-11-26 15:51:2.782: TransitionLogger - processTransitionpoint - checking transition - currentHedgeShortfall is -2</t>
  </si>
  <si>
    <t>2014-11-26 15:51:2.786: Algorithm - handleTransition - currentHedgeShortfall is NOT ZERO and AUTOHEDGE IS NOT ENABLED!</t>
  </si>
  <si>
    <t>2014-11-26 15:51:2.786: Algorithm - updatePortfolio - haveAllDetails is True</t>
  </si>
  <si>
    <t>2014-11-26 15:51:2.824: Algorithm - FindNextStrikes - price is 1.57805 nextStrikeUp/Down 1.58/1.575</t>
  </si>
  <si>
    <t>2014-11-26 15:51:2.824: Algorithm - getPortfolioForwardDelta - required deltas is 4 currentHedgePosition is 6</t>
  </si>
  <si>
    <t>2014-11-26 15:51:2.825: Algorithm - getHedgeShortfall - required deltas is 4 price is 1.57815 currentHedgePositionDeltas is 6</t>
  </si>
  <si>
    <t>2014-11-26 15:51:2.825: Algorithm - processTransitionPoint - nextUpper/LowerStrikes are 1.58/1.575 requiredDeltas/currentPosition/currentHedgeShortfall/direction/transitionPrice are 4/6/-2/1/1.57815</t>
  </si>
  <si>
    <t>2014-11-26 15:51:2.825: TransitionLogger - processTransitionpoint - checking transition - currentHedgeShortfall is -2</t>
  </si>
  <si>
    <t>2014-11-26 15:51:2.825: Algorithm - handleTransition - currentHedgeShortfall is NOT ZERO and AUTOHEDGE IS NOT ENABLED!</t>
  </si>
  <si>
    <t>2014-11-26 15:51:2.826: Algorithm - updatePortfolio - haveAllDetails is True</t>
  </si>
  <si>
    <t>2014-11-26 15:51:2.865: Algorithm - FindNextStrikes - price is 1.57805 nextStrikeUp/Down 1.58/1.575</t>
  </si>
  <si>
    <t>2014-11-26 15:51:2.865: Algorithm - getPortfolioForwardDelta - required deltas is 4 currentHedgePosition is 6</t>
  </si>
  <si>
    <t>2014-11-26 15:51:2.865: Algorithm - getHedgeShortfall - required deltas is 4 price is 1.57815 currentHedgePositionDeltas is 6</t>
  </si>
  <si>
    <t>2014-11-26 15:51:2.865: Algorithm - processTransitionPoint - nextUpper/LowerStrikes are 1.58/1.575 requiredDeltas/currentPosition/currentHedgeShortfall/direction/transitionPrice are 4/6/-2/1/1.57815</t>
  </si>
  <si>
    <t>2014-11-26 15:51:2.866: TransitionLogger - processTransitionpoint - checking transition - currentHedgeShortfall is -2</t>
  </si>
  <si>
    <t>2014-11-26 15:51:2.866: Algorithm - handleTransition - currentHedgeShortfall is NOT ZERO and AUTOHEDGE IS NOT ENABLED!</t>
  </si>
  <si>
    <t>2014-11-26 15:51:2.867: Algorithm - updatePortfolio - haveAllDetails is True</t>
  </si>
  <si>
    <t>2014-11-26 15:51:2.907: Algorithm - FindNextStrikes - price is 1.57805 nextStrikeUp/Down 1.58/1.575</t>
  </si>
  <si>
    <t>2014-11-26 15:51:2.907: Algorithm - getPortfolioForwardDelta - required deltas is 4 currentHedgePosition is 6</t>
  </si>
  <si>
    <t>2014-11-26 15:51:2.907: Algorithm - getHedgeShortfall - required deltas is 4 price is 1.57815 currentHedgePositionDeltas is 6</t>
  </si>
  <si>
    <t>2014-11-26 15:51:2.908: Algorithm - processTransitionPoint - nextUpper/LowerStrikes are 1.58/1.575 requiredDeltas/currentPosition/currentHedgeShortfall/direction/transitionPrice are 4/6/-2/1/1.57815</t>
  </si>
  <si>
    <t>2014-11-26 15:51:2.908: TransitionLogger - processTransitionpoint - checking transition - currentHedgeShortfall is -2</t>
  </si>
  <si>
    <t>2014-11-26 15:51:2.908: Algorithm - handleTransition - currentHedgeShortfall is NOT ZERO and AUTOHEDGE IS NOT ENABLED!</t>
  </si>
  <si>
    <t>2014-11-26 15:51:2.909: Algorithm - updatePortfolio - haveAllDetails is True</t>
  </si>
  <si>
    <t>2014-11-26 15:51:2.948: Algorithm - FindNextStrikes - price is 1.57805 nextStrikeUp/Down 1.58/1.575</t>
  </si>
  <si>
    <t>2014-11-26 15:51:2.948: Algorithm - getPortfolioForwardDelta - required deltas is 4 currentHedgePosition is 6</t>
  </si>
  <si>
    <t>2014-11-26 15:51:2.949: Algorithm - getHedgeShortfall - required deltas is 4 price is 1.57815 currentHedgePositionDeltas is 6</t>
  </si>
  <si>
    <t>2014-11-26 15:51:2.949: Algorithm - processTransitionPoint - nextUpper/LowerStrikes are 1.58/1.575 requiredDeltas/currentPosition/currentHedgeShortfall/direction/transitionPrice are 4/6/-2/1/1.57815</t>
  </si>
  <si>
    <t>2014-11-26 15:51:2.949: TransitionLogger - processTransitionpoint - checking transition - currentHedgeShortfall is -2</t>
  </si>
  <si>
    <t>2014-11-26 15:51:2.949: Algorithm - handleTransition - currentHedgeShortfall is NOT ZERO and AUTOHEDGE IS NOT ENABLED!</t>
  </si>
  <si>
    <t>2014-11-26 15:51:2.950: Algorithm - updatePortfolio - haveAllDetails is True</t>
  </si>
  <si>
    <t>2014-11-26 15:51:2.989: Algorithm - FindNextStrikes - price is 1.57805 nextStrikeUp/Down 1.58/1.575</t>
  </si>
  <si>
    <t>2014-11-26 15:51:2.990: Algorithm - getPortfolioForwardDelta - required deltas is 4 currentHedgePosition is 6</t>
  </si>
  <si>
    <t>2014-11-26 15:51:2.993: Algorithm - getHedgeShortfall - required deltas is 4 price is 1.57815 currentHedgePositionDeltas is 6</t>
  </si>
  <si>
    <t>2014-11-26 15:51:2.993: Algorithm - processTransitionPoint - nextUpper/LowerStrikes are 1.58/1.575 requiredDeltas/currentPosition/currentHedgeShortfall/direction/transitionPrice are 4/6/-2/1/1.57815</t>
  </si>
  <si>
    <t>2014-11-26 15:51:2.994: TransitionLogger - processTransitionpoint - checking transition - currentHedgeShortfall is -2</t>
  </si>
  <si>
    <t>2014-11-26 15:51:2.994: Algorithm - handleTransition - currentHedgeShortfall is NOT ZERO and AUTOHEDGE IS NOT ENABLED!</t>
  </si>
  <si>
    <t>2014-11-26 15:51:2.995: Algorithm - updatePortfolio - haveAllDetails is True</t>
  </si>
  <si>
    <t>2014-11-26 15:51:3.412: RTWSControl  - tickOptionComputation - id:200042 tickType:13 impliedVol:7.95288434545967E-02 delta:-0.029987184236887 optPrice:1.1443993330456E-04 pvDividend:0 gamma: 1.79769313486232E+308 theta/vega/undPrice: -1.51356321727639E-04-9.84511963606394E-05-1.578</t>
  </si>
  <si>
    <t>2014-11-26 15:51:3.485: RTWSControl  - tickOptionComputation - id:200041 tickType:13 impliedVol:7.13373647994331E-02 delta:0.93475761775007 optPrice:1.32509098192915E-02 pvDividend:0 gamma: 1.79769313486232E+308 theta/vega/undPrice: -2.55268619652262E-04-1.83201468401627E-04-1.578</t>
  </si>
  <si>
    <t>2014-11-26 15:51:3.532: RTWSControl  - tickOptionComputation - id:200043 tickType:13 impliedVol:7.13373647994331E-02 delta:-6.53549067796092E-02 optPrice:2.51095968329804E-04 pvDividend:0 gamma: 1.79769313486232E+308 theta/vega/undPrice: -2.5535453948305E-04-1.83201745394284E-04-1.578</t>
  </si>
  <si>
    <t>2014-11-26 15:51:3.574: RTWSControl  - tickOptionComputation - id:200044 tickType:13 impliedVol:6.58086516450567E-02 delta:0.842300515567787 optPrice:8.67096085452017E-03 pvDividend:0 gamma: 1.79769313486232E+308 theta/vega/undPrice: -4.45924820147034E-04-2.97832372861784E-04-1.578</t>
  </si>
  <si>
    <t>2014-11-26 15:51:3.616: RTWSControl  - tickOptionComputation - id:200046 tickType:13 impliedVol:6.58086516450567E-02 delta:-0.157812185058264 optPrice:6.71076138511948E-04 pvDividend:0 gamma: 1.79769313486232E+308 theta/vega/undPrice: -4.45978402560626E-04-2.97832663110902E-04-1.578</t>
  </si>
  <si>
    <t>2014-11-26 15:51:3.659: RTWSControl  - tickOptionComputation - id:200045 tickType:13 impliedVol:0.062942703991439 delta:0.653188498394079 optPrice:4.79756135255545E-03 pvDividend:0 gamma: 1.79769313486232E+308 theta/vega/undPrice: -6.54556546325369E-04-4.45690894864985E-04-1.578</t>
  </si>
  <si>
    <t>2014-11-26 15:51:3.700: RTWSControl  - tickOptionComputation - id:200047 tickType:13 impliedVol:0.062942703991439 delta:-0.346924683851425 optPrice:1.79760719935093E-03 pvDividend:0 gamma: 1.79769313486232E+308 theta/vega/undPrice: -6.54578369490692E-04-4.45691537758956E-04-1.578</t>
  </si>
  <si>
    <t>2014-11-26 15:51:3.741: RTWSControl  - tickOptionComputation - id:200049 tickType:13 impliedVol:6.80604668779754E-02 delta:0.683221466127104 optPrice:0.011534769895688 pvDividend:0 gamma: 1.79769313486232E+308 theta/vega/undPrice: -3.32219013949415E-04-9.14224050334592E-04-1.578</t>
  </si>
  <si>
    <t>2014-11-26 15:51:3.781: RTWSControl  - tickOptionComputation - id:200050 tickType:13 impliedVol:6.80604668779754E-02 delta:-0.316848734116458 optPrice:3.53527844377842E-03 pvDividend:0 gamma: 1.79769313486232E+308 theta/vega/undPrice: -3.32276096074775E-04-9.14229631115985E-04-1.578</t>
  </si>
  <si>
    <t>2014-11-26 15:51:3.824: RTWSControl  - tickOptionComputation - id:200048 tickType:13 impliedVol:8.28366572687713E-02 delta:-3.07108894446586E-02 optPrice:2.52238827704969E-04 pvDividend:0 gamma: 1.79769313486232E+308 theta/vega/undPrice: -7.82689446802815E-05-2.04577212938441E-04-1.578</t>
  </si>
  <si>
    <t>2014-11-26 15:51:3.867: RTWSControl  - tickOptionComputation - id:200053 tickType:13 impliedVol:6.46121541429618E-02 delta:8.81244447054498E-02 optPrice:6.61363748758435E-04 pvDividend:0 gamma: 1.79769313486232E+308 theta/vega/undPrice: -1.4138855373459E-04-4.47315067105916E-04-1.578</t>
  </si>
  <si>
    <t>2014-11-26 15:51:3.905: RTWSControl  - tickOptionComputation - id:200054 tickType:13 impliedVol:7.24917190637324E-02 delta:2.00754652062598E-03 optPrice:1.07711595812593E-05 pvDividend:0 gamma: 0.350507412916835 theta/vega/undPrice: -6.28132219050251E-06-3.1239763146812E-05-1.578</t>
  </si>
  <si>
    <t>2014-11-26 15:51:3.947: RTWSControl  - tickOptionComputation - id:200041 tickType:11 impliedVol:8.43973096502805E-02 delta:0.898817457061697 optPrice:1.35000003501773E-02 pvDividend:0 gamma: 1.79769313486232E+308 theta/vega/undPrice: -4.19404723832588E-04-2.15327536303739E-04-1.578</t>
  </si>
  <si>
    <t>2014-11-26 15:51:4.4: RTWSControl  - tickOptionComputation - id:200049 tickType:10 impliedVol:6.87748948844732E-02 delta:0.68136741098799 optPrice:1.15999998524785E-02 pvDividend:0 gamma: 1.79769313486232E+308 theta/vega/undPrice: -3.36432626835862E-04-9.14223741447118E-04-1.578</t>
  </si>
  <si>
    <t>2014-11-26 15:51:4.72: RTWSControl  - tickOptionComputation - id:200052 tickType:10 impliedVol:1.79769313486232E+308 delta:1.79769313486232E+308 optPrice:1.79769313486232E+308 pvDividend:0 gamma: 1.79769313486232E+308 theta/vega/undPrice: 1.79769313486232E+308-1.79769313486232E+308-1.578</t>
  </si>
  <si>
    <t>2014-11-26 15:51:4.112: RTWSControl  - tickOptionComputation - id:200052 tickType:11 impliedVol:1.79769313486232E+308 delta:1.79769313486232E+308 optPrice:1.79769313486232E+308 pvDividend:0 gamma: 1.79769313486232E+308 theta/vega/undPrice: 1.79769313486232E+308-1.79769313486232E+308-1.578</t>
  </si>
  <si>
    <t>2014-11-26 15:51:4.154: RTWSControl  - tickOptionComputation - id:200054 tickType:10 impliedVol:1.79769313486232E+308 delta:1.79769313486232E+308 optPrice:1.79769313486232E+308 pvDividend:0 gamma: 1.79769313486232E+308 theta/vega/undPrice: 1.79769313486232E+308-1.79769313486232E+308-1.578</t>
  </si>
  <si>
    <t>2014-11-26 15:51:4.368: DirectionIndicator - notify - price/longMA/ShortMA/prevDirection are 1.578/1.5779428684378/1.57800077657689/1</t>
  </si>
  <si>
    <t>2014-11-26 15:51:4.368: Algorithm - handleTransition - currentHedgeShortfall is NOT ZERO and AUTOHEDGE IS NOT ENABLED!</t>
  </si>
  <si>
    <t>2014-11-26 15:51:4.409: DirectionIndicator - notify - price/longMA/ShortMA/prevDirection are 1.57795/1.57794416508548/1.57798385105126/1</t>
  </si>
  <si>
    <t>2014-11-26 15:51:4.412: Algorithm - handleTransition - currentHedgeShortfall is NOT ZERO and AUTOHEDGE IS NOT ENABLED!</t>
  </si>
  <si>
    <t>2014-11-26 15:51:5.116: RTWSControl  - tickOptionComputation - id:200041 tickType:11 impliedVol:7.97531893047277E-02 delta:0.91186882758987 optPrice:0.013399999588728 pvDividend:0 gamma: 1.79769313486232E+308 theta/vega/undPrice: -3.58355562652638E-04-2.15327661641654E-04-1.578</t>
  </si>
  <si>
    <t>2014-11-26 15:51:5.187: RTWSControl  - tickOptionComputation - id:200044 tickType:10 impliedVol:6.00684997168188E-02 delta:0.865539146081158 optPrice:0.008500000461936 pvDividend:0 gamma: 1.79769313486232E+308 theta/vega/undPrice: -3.67246801086695E-04-2.9783254570123E-04-1.578</t>
  </si>
  <si>
    <t>2014-11-26 15:51:5.240: RTWSControl  - tickOptionComputation - id:200044 tickType:11 impliedVol:7.01412586907257E-02 delta:0.827109664747402 optPrice:8.79999995231628E-03 pvDividend:0 gamma: 1.79769313486232E+308 theta/vega/undPrice: -5.05310113499483E-04-3.18202433175305E-04-1.578</t>
  </si>
  <si>
    <t>2014-11-26 15:51:5.282: RTWSControl  - tickOptionComputation - id:200045 tickType:11 impliedVol:6.52325570395894E-02 delta:0.6481031166571 optPrice:4.90000005811453E-03 pvDividend:0 gamma: 1.79769313486232E+308 theta/vega/undPrice: -6.82353422825264E-04-4.45690790827575E-04-1.578</t>
  </si>
  <si>
    <t>2014-11-26 15:51:5.328: RTWSControl  - tickOptionComputation - id:200049 tickType:10 impliedVol:6.76801479578345E-02 delta:0.684091470232449 optPrice:1.15000000223517E-02 pvDividend:0 gamma: 1.79769313486232E+308 theta/vega/undPrice: -3.29975935992051E-04-9.14224213766896E-04-1.578</t>
  </si>
  <si>
    <t>2014-11-26 15:51:5.369: RTWSControl  - tickOptionComputation - id:200050 tickType:10 impliedVol:6.87684004175551E-02 delta:-0.31856044118283 optPrice:3.59999993816018E-03 pvDividend:0 gamma: 1.79769313486232E+308 theta/vega/undPrice: -3.36451466325285E-04-9.14229329538651E-04-1.578</t>
  </si>
  <si>
    <t>2014-11-26 15:51:5.412: RTWSControl  - tickOptionComputation - id:200052 tickType:10 impliedVol:1.79769313486232E+308 delta:1.79769313486232E+308 optPrice:1.79769313486232E+308 pvDividend:0 gamma: 1.79769313486232E+308 theta/vega/undPrice: 1.79769313486232E+308-1.79769313486232E+308-1.578</t>
  </si>
  <si>
    <t>2014-11-26 15:51:5.448: RTWSControl  - tickOptionComputation - id:200052 tickType:11 impliedVol:1.79769313486232E+308 delta:1.79769313486232E+308 optPrice:1.79769313486232E+308 pvDividend:0 gamma: 1.79769313486232E+308 theta/vega/undPrice: 1.79769313486232E+308-1.79769313486232E+308-1.578</t>
  </si>
  <si>
    <t>2014-11-26 15:51:5.491: RTWSControl  - tickOptionComputation - id:200054 tickType:10 impliedVol:1.79769313486232E+308 delta:1.79769313486232E+308 optPrice:1.79769313486232E+308 pvDividend:0 gamma: 1.79769313486232E+308 theta/vega/undPrice: 1.79769313486232E+308-1.79769313486232E+308-1.578</t>
  </si>
  <si>
    <t>2014-11-26 15:51:7.120: DirectionIndicator - notify - price/longMA/ShortMA/prevDirection are 1.578/1.57795431688812/1.57798923403417/1</t>
  </si>
  <si>
    <t>2014-11-26 15:51:7.121: Algorithm - handleTransition - currentHedgeShortfall is NOT ZERO and AUTOHEDGE IS NOT ENABLED!</t>
  </si>
  <si>
    <t>2014-11-26 15:51:7.328: DirectionIndicator - notify - price/longMA/ShortMA/prevDirection are 1.57805/1.57797171381755/1.57800948935612/1</t>
  </si>
  <si>
    <t>2014-11-26 15:51:7.328: Algorithm - handleTransition - currentHedgeShortfall is NOT ZERO and AUTOHEDGE IS NOT ENABLED!</t>
  </si>
  <si>
    <t>2014-11-26 15:51:7.412: DirectionIndicator - notify - price/longMA/ShortMA/prevDirection are 1.578/1.57797685675981/1.57800632623741/1</t>
  </si>
  <si>
    <t>2014-11-26 15:51:7.412: Algorithm - handleTransition - currentHedgeShortfall is NOT ZERO and AUTOHEDGE IS NOT ENABLED!</t>
  </si>
  <si>
    <t>2014-11-26 15:51:7.495: RTWSControl  - tickOptionComputation - id:200042 tickType:13 impliedVol:7.90682089258041E-02 delta:-2.92025139682066E-02 optPrice:1.10393590809439E-04 pvDividend:0 gamma: 1.79769313486232E+308 theta/vega/undPrice: -1.47213895433553E-04-9.58956189758071E-05-1.578</t>
  </si>
  <si>
    <t>2014-11-26 15:51:7.568: RTWSControl  - tickOptionComputation - id:200041 tickType:13 impliedVol:0.070823496511025 delta:0.936041170666877 optPrice:1.32435331368676E-02 pvDividend:0 gamma: 1.79769313486232E+308 theta/vega/undPrice: -2.49379577005096E-04-1.79513139929395E-04-1.578</t>
  </si>
  <si>
    <t>2014-11-26 15:51:7.616: RTWSControl  - tickOptionComputation - id:200043 tickType:13 impliedVol:0.070823496511025 delta:-6.40713529257996E-02 optPrice:2.43719280834253E-04 pvDividend:0 gamma: 1.79769313486232E+308 theta/vega/undPrice: -2.49465490213248E-04-1.79513413001407E-04-1.578</t>
  </si>
  <si>
    <t>2014-11-26 15:51:7.656: RTWSControl  - tickOptionComputation - id:200044 tickType:13 impliedVol:6.53565576227493E-02 delta:0.843990277565214 optPrice:8.65749602385756E-03 pvDividend:0 gamma: 1.79769313486232E+308 theta/vega/undPrice: -4.39728147218639E-04-2.9783238649618E-04-1.578</t>
  </si>
  <si>
    <t>2014-11-26 15:51:7.699: RTWSControl  - tickOptionComputation - id:200046 tickType:13 impliedVol:6.53565576227493E-02 delta:-0.156122421292274 optPrice:6.57611294790768E-04 pvDividend:0 gamma: 1.79769313486232E+308 theta/vega/undPrice: -4.3978171779606E-04-2.97832676431525E-04-1.578</t>
  </si>
  <si>
    <t>2014-11-26 15:51:7.741: RTWSControl  - tickOptionComputation - id:200045 tickType:13 impliedVol:6.26673922609768E-02 delta:0.653814848527803 optPrice:4.78529095320542E-03 pvDividend:0 gamma: 1.79769313486232E+308 theta/vega/undPrice: -6.51214494029058E-04-4.45690907177244E-04-1.578</t>
  </si>
  <si>
    <t>2014-11-26 15:51:7.783: RTWSControl  - tickOptionComputation - id:200047 tickType:13 impliedVol:6.26673922609768E-02 delta:-0.346298332702043 optPrice:1.78533678237578E-03 pvDividend:0 gamma: 1.79769313486232E+308 theta/vega/undPrice: -6.5123630576974E-04-4.45691549895815E-04-1.578</t>
  </si>
  <si>
    <t>2014-11-26 15:51:7.826: RTWSControl  - tickOptionComputation - id:200049 tickType:13 impliedVol:6.86005724000776E-02 delta:0.681881513703082 optPrice:1.15841477496715E-02 pvDividend:0 gamma: 1.79769313486232E+308 theta/vega/undPrice: -3.3540449351743E-04-9.14223817042745E-04-1.578</t>
  </si>
  <si>
    <t>2014-11-26 15:51:7.866: RTWSControl  - tickOptionComputation - id:200050 tickType:13 impliedVol:6.86005724000776E-02 delta:-0.318188695751262 optPrice:3.58465659799614E-03 pvDividend:0 gamma: 1.79769313486232E+308 theta/vega/undPrice: -3.35461622147326E-04-9.14229401251288E-04-1.578</t>
  </si>
  <si>
    <t>2014-11-26 15:51:7.906: RTWSControl  - tickOptionComputation - id:200048 tickType:13 impliedVol:8.24254125502399E-02 delta:-3.00492930279032E-02 optPrice:2.44864656961754E-04 pvDividend:0 gamma: 1.79769313486232E+308 theta/vega/undPrice: -7.64807118075059E-05-1.99919900938564E-04-1.578</t>
  </si>
  <si>
    <t>2014-11-26 15:51:7.950: RTWSControl  - tickOptionComputation - id:200053 tickType:13 impliedVol:6.48168485681069E-02 delta:8.88907599595987E-02 optPrice:6.70520058632951E-04 pvDividend:0 gamma: 1.79769313486232E+308 theta/vega/undPrice: -1.42712619086871E-04-4.47315027220234E-04-1.578</t>
  </si>
  <si>
    <t>2014-11-26 15:51:7.988: RTWSControl  - tickOptionComputation - id:200054 tickType:13 impliedVol:7.10742410543279E-02 delta:1.7232313887454E-03 optPrice:8.97868542498722E-06 pvDividend:0 gamma: 0.310299921492636 theta/vega/undPrice: -5.34543764212413E-06-2.54548525938145E-05-1.578</t>
  </si>
  <si>
    <t>2014-11-26 15:51:8.31: DirectionIndicator - notify - price/longMA/ShortMA/prevDirection are 1.57805/1.57799015553076/1.57802088415827/1</t>
  </si>
  <si>
    <t>2014-11-26 15:51:8.31: Algorithm - handleTransition - currentHedgeShortfall is NOT ZERO and AUTOHEDGE IS NOT ENABLED!</t>
  </si>
  <si>
    <t>2014-11-26 15:51:8.610: RTWSControl  - tickOptionComputation - id:200041 tickType:11 impliedVol:8.43973096502805E-02 delta:0.898817457061697 optPrice:1.35000003501773E-02 pvDividend:0 gamma: 1.79769313486232E+308 theta/vega/undPrice: -4.19404723832588E-04-2.15327536303739E-04-1.578</t>
  </si>
  <si>
    <t>2014-11-26 15:51:8.664: RTWSControl  - tickOptionComputation - id:200043 tickType:10 impliedVol:5.93176171992271E-02 delta:-3.45272694799776E-02 optPrice:9.99999974737875E-05 pvDividend:0 gamma: 1.79769313486232E+308 theta/vega/undPrice: -1.27073974052662E-04-1.2210206597233E-04-1.578</t>
  </si>
  <si>
    <t>2014-11-26 15:51:8.708: RTWSControl  - tickOptionComputation - id:200044 tickType:10 impliedVol:0.063426085998479 delta:0.85136973254794 optPrice:8.60000029206276E-03 pvDividend:0 gamma: 1.79769313486232E+308 theta/vega/undPrice: -4.13267934475178E-04-2.97832444674385E-04-1.578</t>
  </si>
  <si>
    <t>2014-11-26 15:51:8.753: RTWSControl  - tickOptionComputation - id:200044 tickType:11 impliedVol:7.34988465989464E-02 delta:0.81664635260512 optPrice:8.89999978244305E-03 pvDividend:0 gamma: 1.79769313486232E+308 theta/vega/undPrice: -5.51331178117117E-04-3.45474968355203E-04-1.578</t>
  </si>
  <si>
    <t>2014-11-26 15:51:8.820: RTWSControl  - tickOptionComputation - id:200045 tickType:11 impliedVol:6.74721895394322E-02 delta:0.643540651832388 optPrice:4.99999988824129E-03 pvDividend:0 gamma: 1.79769313486232E+308 theta/vega/undPrice: -7.09540648568785E-04-4.45690686243001E-04-1.578</t>
  </si>
  <si>
    <t>2014-11-26 15:51:8.869: RTWSControl  - tickOptionComputation - id:200049 tickType:10 impliedVol:6.87748948844732E-02 delta:0.68136741098799 optPrice:1.15999998524785E-02 pvDividend:0 gamma: 1.79769313486232E+308 theta/vega/undPrice: -3.36432626835862E-04-9.14223741447118E-04-1.578</t>
  </si>
  <si>
    <t>2014-11-26 15:51:8.913: RTWSControl  - tickOptionComputation - id:200052 tickType:10 impliedVol:1.79769313486232E+308 delta:1.79769313486232E+308 optPrice:1.79769313486232E+308 pvDividend:0 gamma: 1.79769313486232E+308 theta/vega/undPrice: 1.79769313486232E+308-1.79769313486232E+308-1.578</t>
  </si>
  <si>
    <t>2014-11-26 15:51:8.949: RTWSControl  - tickOptionComputation - id:200052 tickType:11 impliedVol:1.79769313486232E+308 delta:1.79769313486232E+308 optPrice:1.79769313486232E+308 pvDividend:0 gamma: 1.79769313486232E+308 theta/vega/undPrice: 1.79769313486232E+308-1.79769313486232E+308-1.578</t>
  </si>
  <si>
    <t>2014-11-26 15:51:8.992: RTWSControl  - tickOptionComputation - id:200054 tickType:10 impliedVol:1.79769313486232E+308 delta:1.79769313486232E+308 optPrice:1.79769313486232E+308 pvDividend:0 gamma: 1.79769313486232E+308 theta/vega/undPrice: 1.79769313486232E+308-1.79769313486232E+308-1.578</t>
  </si>
  <si>
    <t>2014-11-26 15:51:10.363: RTWSControl  - tickOptionComputation - id:200042 tickType:13 impliedVol:7.96939466605124E-02 delta:-0.03026621825118 optPrice:1.15890245970549E-04 pvDividend:0 gamma: 1.79769313486232E+308 theta/vega/undPrice: -1.52841073262729E-04-9.93671806507671E-05-1.578</t>
  </si>
  <si>
    <t>2014-11-26 15:51:10.482: RTWSControl  - tickOptionComputation - id:200041 tickType:13 impliedVol:7.14853584216542E-02 delta:0.934391384459401 optPrice:1.32530342973735E-02 pvDividend:0 gamma: 1.79769313486232E+308 theta/vega/undPrice: -2.56964658748721E-04-1.84263703739983E-04-1.578</t>
  </si>
  <si>
    <t>2014-11-26 15:51:10.533: RTWSControl  - tickOptionComputation - id:200043 tickType:13 impliedVol:7.14853584216542E-02 delta:-6.57211403376586E-02 optPrice:2.5322044787296E-04 pvDividend:0 gamma: 1.79769313486232E+308 theta/vega/undPrice: -2.57050580487173E-04-1.84263981862792E-04-1.578</t>
  </si>
  <si>
    <t>2014-11-26 15:51:10.573: RTWSControl  - tickOptionComputation - id:200044 tickType:13 impliedVol:6.59183284923301E-02 delta:0.841894086017898 optPrice:8.67422738772032E-03 pvDividend:0 gamma: 1.79769313486232E+308 theta/vega/undPrice: -4.47428116982043E-04-2.97832369555306E-04-1.578</t>
  </si>
  <si>
    <t>2014-11-26 15:51:10.616: RTWSControl  - tickOptionComputation - id:200046 tickType:13 impliedVol:6.59183284923301E-02 delta:-0.158218615033934 optPrice:6.74342674882669E-04 pvDividend:0 gamma: 1.79769313486232E+308 theta/vega/undPrice: -4.47481702271282E-04-2.97832659877715E-04-1.578</t>
  </si>
  <si>
    <t>2014-11-26 15:51:10.661: RTWSControl  - tickOptionComputation - id:200045 tickType:13 impliedVol:6.29928568725404E-02 delta:0.653074990869207 optPrice:4.79979662189719E-03 pvDividend:0 gamma: 1.79769313486232E+308 theta/vega/undPrice: -6.55165359994482E-04-4.45690892614501E-04-1.578</t>
  </si>
  <si>
    <t>2014-11-26 15:51:10.701: RTWSControl  - tickOptionComputation - id:200047 tickType:13 impliedVol:6.29928568725404E-02 delta:-0.347038191560312 optPrice:1.79984247190229E-03 pvDividend:0 gamma: 1.79769313486232E+308 theta/vega/undPrice: -6.55187185240503E-04-4.45691535545168E-04-1.578</t>
  </si>
  <si>
    <t>2014-11-26 15:51:10.742: RTWSControl  - tickOptionComputation - id:200049 tickType:13 impliedVol:6.87475258986137E-02 delta:0.681520621686088 optPrice:1.15975826193051E-02 pvDividend:0 gamma: 1.79769313486232E+308 theta/vega/undPrice: -3.36271207820025E-04-9.14223753326369E-04-1.578</t>
  </si>
  <si>
    <t>2014-11-26 15:51:10.785: RTWSControl  - tickOptionComputation - id:200050 tickType:13 impliedVol:6.87475258986137E-02 delta:-0.31854959024899 optPrice:3.59809154932096E-03 pvDividend:0 gamma: 1.79769313486232E+308 theta/vega/undPrice: -3.36328349103304E-04-9.14229338466593E-04-1.578</t>
  </si>
  <si>
    <t>2014-11-26 15:51:10.830: RTWSControl  - tickOptionComputation - id:200052 tickType:10 impliedVol:1.79769313486232E+308 delta:1.79769313486232E+308 optPrice:1.79769313486232E+308 pvDividend:0 gamma: 1.79769313486232E+308 theta/vega/undPrice: 1.79769313486232E+308-1.79769313486232E+308-1.578</t>
  </si>
  <si>
    <t>2014-11-26 15:51:10.865: RTWSControl  - tickOptionComputation - id:200052 tickType:11 impliedVol:1.79769313486232E+308 delta:1.79769313486232E+308 optPrice:1.79769313486232E+308 pvDividend:0 gamma: 1.79769313486232E+308 theta/vega/undPrice: 1.79769313486232E+308-1.79769313486232E+308-1.578</t>
  </si>
  <si>
    <t>2014-11-26 15:51:10.907: RTWSControl  - tickOptionComputation - id:200048 tickType:13 impliedVol:8.25580477609105E-02 delta:-3.02633946637157E-02 optPrice:2.47242984806724E-04 pvDividend:0 gamma: 1.79769313486232E+308 theta/vega/undPrice: -7.70574551876996E-05-2.01421983781679E-04-1.578</t>
  </si>
  <si>
    <t>2014-11-26 15:51:10.951: RTWSControl  - tickOptionComputation - id:200053 tickType:13 impliedVol:6.47783705896252E-02 delta:0.088747078041134 optPrice:6.68798877018989E-04 pvDividend:0 gamma: 1.79769313486232E+308 theta/vega/undPrice: -1.42463724399345E-04-4.47315034712625E-04-1.578</t>
  </si>
  <si>
    <t>2014-11-26 15:51:10.991: RTWSControl  - tickOptionComputation - id:200054 tickType:10 impliedVol:1.79769313486232E+308 delta:1.79769313486232E+308 optPrice:1.79769313486232E+308 pvDividend:0 gamma: 1.79769313486232E+308 theta/vega/undPrice: 1.79769313486232E+308-1.79769313486232E+308-1.578</t>
  </si>
  <si>
    <t>2014-11-26 15:51:11.30: RTWSControl  - tickOptionComputation - id:200054 tickType:13 impliedVol:7.06505818339469E-02 delta:1.64871093139075E-03 optPrice:8.52192735210116E-06 pvDividend:0 gamma: 0.29940614567425 theta/vega/undPrice: -5.09646856872576E-06-2.3646862422345E-05-1.578</t>
  </si>
  <si>
    <t>2014-11-26 15:51:12.325: RTWSControl  - tickOptionComputation - id:200050 tickType:10 impliedVol:6.76745873290552E-02 delta:-0.315838200594176 optPrice:3.50000010803342E-03 pvDividend:0 gamma: 1.79769313486232E+308 theta/vega/undPrice: -3.30000188925796E-04-9.1422979448092E-04-1.578</t>
  </si>
  <si>
    <t>2014-11-26 15:51:12.404: RTWSControl  - tickOptionComputation - id:200052 tickType:10 impliedVol:1.79769313486232E+308 delta:1.79769313486232E+308 optPrice:1.79769313486232E+308 pvDividend:0 gamma: 1.79769313486232E+308 theta/vega/undPrice: 1.79769313486232E+308-1.79769313486232E+308-1.578</t>
  </si>
  <si>
    <t>2014-11-26 15:51:12.444: RTWSControl  - tickOptionComputation - id:200052 tickType:11 impliedVol:1.79769313486232E+308 delta:1.79769313486232E+308 optPrice:1.79769313486232E+308 pvDividend:0 gamma: 1.79769313486232E+308 theta/vega/undPrice: 1.79769313486232E+308-1.79769313486232E+308-1.578</t>
  </si>
  <si>
    <t>2014-11-26 15:51:12.486: RTWSControl  - tickOptionComputation - id:200054 tickType:10 impliedVol:1.79769313486232E+308 delta:1.79769313486232E+308 optPrice:1.79769313486232E+308 pvDividend:0 gamma: 1.79769313486232E+308 theta/vega/undPrice: 1.79769313486232E+308-1.79769313486232E+308-1.578</t>
  </si>
  <si>
    <t>2014-11-26 15:51:14.358: RTWSControl  - tickOptionComputation - id:200042 tickType:13 impliedVol:7.92921194049256E-02 delta:-2.88377696029336E-02 optPrice:1.09137230043478E-04 pvDividend:0 gamma: 1.79769313486232E+308 theta/vega/undPrice: -1.46117690284218E-04-9.44558493533929E-05-1.5781</t>
  </si>
  <si>
    <t>2014-11-26 15:51:14.407: RTWSControl  - tickOptionComputation - id:200042 tickType:10 impliedVol:8.90414277462018E-02 delta:-4.45173748845775E-02 optPrice:1.99999994947575E-04 pvDividend:0 gamma: 1.79769313486232E+308 theta/vega/undPrice: -2.36098726872876E-04-1.43326735871278E-04-1.5781</t>
  </si>
  <si>
    <t>2014-11-26 15:51:14.450: RTWSControl  - tickOptionComputation - id:200042 tickType:11 impliedVol:8.90414277462018E-02 delta:-4.45173748845775E-02 optPrice:1.99999994947575E-04 pvDividend:0 gamma: 1.79769313486232E+308 theta/vega/undPrice: -2.36098726872876E-04-1.43326735871278E-04-1.5781</t>
  </si>
  <si>
    <t>2014-11-26 15:51:14.494: RTWSControl  - tickOptionComputation - id:200041 tickType:13 impliedVol:7.10009370316982E-02 delta:0.93696002858498 optPrice:1.33401653235926E-02 pvDividend:0 gamma: 1.79769313486232E+308 theta/vega/undPrice: -2.47113698503313E-04-1.7662390202583E-04-1.5781</t>
  </si>
  <si>
    <t>2014-11-26 15:51:14.534: RTWSControl  - tickOptionComputation - id:200041 tickType:10 impliedVol:0.033510526188367 delta:0.999472866747886 optPrice:1.31000000983477E-02 pvDividend:0 gamma: 0.440852248586911 theta/vega/undPrice: -1.60267326136158E-06-9.84700853903613E-06-1.5781</t>
  </si>
  <si>
    <t>2014-11-26 15:51:14.577: RTWSControl  - tickOptionComputation - id:200041 tickType:11 impliedVol:8.01792378836558E-02 delta:0.912419568223848 optPrice:1.35000003501773E-02 pvDividend:0 gamma: 1.79769313486232E+308 theta/vega/undPrice: -3.58681588799878E-04-2.15334472460188E-04-1.5781</t>
  </si>
  <si>
    <t>2014-11-26 15:51:14.623: RTWSControl  - tickOptionComputation - id:200043 tickType:13 impliedVol:7.10009370316982E-02 delta:-0.063152494335845 optPrice:2.40352895831204E-04 pvDividend:0 gamma: 1.79769313486232E+308 theta/vega/undPrice: -2.47200267876257E-04-1.76624173075414E-04-1.5781</t>
  </si>
  <si>
    <t>2014-11-26 15:51:14.667: RTWSControl  - tickOptionComputation - id:200043 tickType:10 impliedVol:5.96681935225241E-02 delta:-3.42989677313105E-02 optPrice:9.99999974737875E-05 pvDividend:0 gamma: 1.79769313486232E+308 theta/vega/undPrice: -1.27116319585024E-04-1.21364697892505E-04-1.5781</t>
  </si>
  <si>
    <t>2014-11-26 15:51:14.709: RTWSControl  - tickOptionComputation - id:200043 tickType:11 impliedVol:7.51558910987533E-02 delta:-7.30437781579803E-02 optPrice:3.00000014249235E-04 pvDividend:0 gamma: 1.79769313486232E+308 theta/vega/undPrice: -2.94818495048676E-04-2.06447635561522E-04-1.5781</t>
  </si>
  <si>
    <t>2014-11-26 15:51:14.781: RTWSControl  - tickOptionComputation - id:200044 tickType:13 impliedVol:6.54129055923818E-02 delta:0.84684996859332 optPrice:8.74312304438048E-03 pvDividend:0 gamma: 1.79769313486232E+308 theta/vega/undPrice: -4.34827770224212E-04-2.97841820422723E-04-1.5781</t>
  </si>
  <si>
    <t>2014-11-26 15:51:14.826: RTWSControl  - tickOptionComputation - id:200044 tickType:10 impliedVol:6.06075816475743E-02 delta:0.866472205956224 optPrice:8.60000029206276E-03 pvDividend:0 gamma: 1.79769313486232E+308 theta/vega/undPrice: -3.68960986585832E-04-2.97841966856064E-04-1.5781</t>
  </si>
  <si>
    <t>2014-11-26 15:51:14.868: RTWSControl  - tickOptionComputation - id:200044 tickType:11 impliedVol:7.06800201733443E-02 delta:0.828206442117559 optPrice:8.89999978244305E-03 pvDividend:0 gamma: 1.79769313486232E+308 theta/vega/undPrice: -5.07024266922393E-04-3.14726417255317E-04-1.5781</t>
  </si>
  <si>
    <t>2014-11-26 15:51:14.914: RTWSControl  - tickOptionComputation - id:200046 tickType:13 impliedVol:6.54129055923818E-02 delta:-0.153262727276347 optPrice:6.43239734297031E-04 pvDividend:0 gamma: 1.79769313486232E+308 theta/vega/undPrice: -4.34881990643879E-04-2.97842109790319E-04-1.5781</t>
  </si>
  <si>
    <t>2014-11-26 15:51:14.958: RTWSControl  - tickOptionComputation - id:200046 tickType:10 impliedVol:6.39611404085571E-02 delta:-0.147596035644603 optPrice:6.00000028498471E-04 pvDividend:0 gamma: 1.79769313486232E+308 theta/vega/undPrice: -4.14982550879748E-04-2.97842153838277E-04-1.5781</t>
  </si>
  <si>
    <t>2014-11-26 15:51:15.0: RTWSControl  - tickOptionComputation - id:200046 tickType:11 impliedVol:7.06573020721916E-02 delta:-0.171705807900119 optPrice:7.999999797903E-04 pvDividend:0 gamma: 1.79769313486232E+308 theta/vega/undPrice: -5.06767227199944E-04-3.14542668712028E-04-1.5781</t>
  </si>
  <si>
    <t>2014-11-26 15:51:15.73: RTWSControl  - tickOptionComputation - id:200045 tickType:13 impliedVol:6.25280250870333E-02 delta:0.658943111663615 optPrice:4.84557632178802E-03 pvDividend:0 gamma: 1.79769313486232E+308 theta/vega/undPrice: -6.45896125235529E-04-4.45705033242782E-04-1.5781</t>
  </si>
  <si>
    <t>2014-11-26 15:51:15.117: RTWSControl  - tickOptionComputation - id:200045 tickType:10 impliedVol:5.92574450669493E-02 delta:0.667048013088193 optPrice:4.69999993219972E-03 pvDividend:0 gamma: 1.79769313486232E+308 theta/vega/undPrice: -6.06192764727117E-04-4.45705176779067E-04-1.5781</t>
  </si>
  <si>
    <t>2014-11-26 15:51:15.159: RTWSControl  - tickOptionComputation - id:200045 tickType:11 impliedVol:6.60128722435651E-02 delta:0.651033001602627 optPrice:4.99999988824129E-03 pvDividend:0 gamma: 1.79769313486232E+308 theta/vega/undPrice: -6.88200556316306E-04-4.45704873741369E-04-1.5781</t>
  </si>
  <si>
    <t>2014-11-26 15:51:15.206: RTWSControl  - tickOptionComputation - id:200047 tickType:13 impliedVol:6.25280250870333E-02 delta:-0.341170061245327 optPrice:1.74562353606775E-03 pvDividend:0 gamma: 1.79769313486232E+308 theta/vega/undPrice: -6.45918571647555E-04-4.45705674421175E-04-1.5781</t>
  </si>
  <si>
    <t>2014-11-26 15:51:15.249: RTWSControl  - tickOptionComputation - id:200049 tickType:13 impliedVol:6.84289313167987E-02 delta:0.684439592058512 optPrice:1.16350598171752E-02 pvDividend:0 gamma: 1.79769313486232E+308 theta/vega/undPrice: -3.33539921927604E-04-9.14252861222464E-04-1.5781</t>
  </si>
  <si>
    <t>2014-11-26 15:51:15.294: RTWSControl  - tickOptionComputation - id:200050 tickType:13 impliedVol:6.84289313167987E-02 delta:-0.315630599783811 optPrice:3.53557445522605E-03 pvDividend:0 gamma: 1.79769313486232E+308 theta/vega/undPrice: -3.33597676239404E-04-9.1425843861152E-04-1.5781</t>
  </si>
  <si>
    <t>2014-11-26 15:51:15.355: RTWSControl  - tickOptionComputation - id:200051 tickType:13 impliedVol:7.13368826940144E-02 delta:-0.320670818214009 optPrice:3.70096578041976E-03 pvDividend:0 gamma: 1.79769313486232E+308 theta/vega/undPrice: -3.52152795304999E-04-8.85126217271382E-04-1.5781</t>
  </si>
  <si>
    <t>2014-11-26 15:51:15.404: RTWSControl  - tickOptionComputation - id:200047 tickType:10 impliedVol:6.15065683978017E-02 delta:-0.338663638998037 optPrice:1.70000002253801E-03 pvDividend:0 gamma: 1.79769313486232E+308 theta/vega/undPrice: -6.33518510952267E-04-4.45705719299743E-04-1.5781</t>
  </si>
  <si>
    <t>2014-11-26 15:51:15.449: RTWSControl  - tickOptionComputation - id:200047 tickType:11 impliedVol:6.59850596353066E-02 delta:-0.348894547378364 optPrice:1.9000000320375E-03 pvDividend:0 gamma: 1.79769313486232E+308 theta/vega/undPrice: -6.87885514154111E-04-4.4570551843957E-04-1.5781</t>
  </si>
  <si>
    <t>2014-11-26 15:51:15.494: RTWSControl  - tickOptionComputation - id:200052 tickType:13 impliedVol:0.118779698097033 delta:-0.522098326705986 optPrice:1.27000000140504E-02 pvDividend:0 gamma: 1.79769313486232E+308 theta/vega/undPrice: -6.52529606339874E-04-9.85080640103079E-04-1.5781</t>
  </si>
  <si>
    <t>2014-11-26 15:51:15.533: RTWSControl  - tickOptionComputation - id:200049 tickType:10 impliedVol:6.80454501013805E-02 delta:0.685318934131143 optPrice:1.15999998524785E-02 pvDividend:0 gamma: 1.79769313486232E+308 theta/vega/undPrice: -3.31278122382955E-04-9.14253027070103E-04-1.5781</t>
  </si>
  <si>
    <t>2014-11-26 15:51:15.576: RTWSControl  - tickOptionComputation - id:200049 tickType:11 impliedVol:7.02330307895014E-02 delta:0.679952153868513 optPrice:1.18000004440546E-02 pvDividend:0 gamma: 1.79769313486232E+308 theta/vega/undPrice: -3.44180615669233E-04-9.14252071469644E-04-1.5781</t>
  </si>
  <si>
    <t>2014-11-26 15:51:15.623: RTWSControl  - tickOptionComputation - id:200050 tickType:10 impliedVol:6.80398262183311E-02 delta:-0.314610545294698 optPrice:3.50000010803342E-03 pvDividend:0 gamma: 1.79769313486232E+308 theta/vega/undPrice: -3.31302673120121E-04-9.14258604414281E-04-1.5781</t>
  </si>
  <si>
    <t>2014-11-26 15:51:15.664: RTWSControl  - tickOptionComputation - id:200050 tickType:11 impliedVol:7.02356552383587E-02 delta:-0.319997845021714 optPrice:3.70000000111759E-03 pvDividend:0 gamma: 1.79769313486232E+308 theta/vega/undPrice: -3.44254004699863E-04-9.14257659170397E-04-1.5781</t>
  </si>
  <si>
    <t>2014-11-26 15:51:15.731: RTWSControl  - tickOptionComputation - id:200048 tickType:13 impliedVol:0.082936586468314 delta:-3.05251770525313E-02 optPrice:2.50832862079606E-04 pvDividend:0 gamma: 1.79769313486232E+308 theta/vega/undPrice: -7.79729962211799E-05-2.03047767009498E-04-1.5781</t>
  </si>
  <si>
    <t>2014-11-26 15:51:15.781: RTWSControl  - tickOptionComputation - id:200053 tickType:13 impliedVol:6.44616561915701E-02 delta:0.088667353419496 optPrice:6.64854090411807E-04 pvDividend:0 gamma: 1.79769313486232E+308 theta/vega/undPrice: -1.41685334854775E-04-4.47329271163302E-04-1.5781</t>
  </si>
  <si>
    <t>2014-11-26 15:51:15.823: RTWSControl  - tickOptionComputation - id:200054 tickType:13 impliedVol:7.10347610926334E-02 delta:1.74056699614608E-03 optPrice:9.06862947675323E-06 pvDividend:0 gamma: 0.313403916410116 theta/vega/undPrice: -5.3935963848764E-06-2.59347588290278E-05-1.5781</t>
  </si>
  <si>
    <t>2014-11-26 15:51:15.864: RTWSControl  - tickOptionComputation - id:200051 tickType:10 impliedVol:6.79186909833316E-02 delta:-0.312479594427115 optPrice:3.40000004507601E-03 pvDividend:0 gamma: 1.79769313486232E+308 theta/vega/undPrice: -3.31634945168616E-04-8.75504608991381E-04-1.5781</t>
  </si>
  <si>
    <t>2014-11-26 15:51:15.904: RTWSControl  - tickOptionComputation - id:200051 tickType:11 impliedVol:7.13261686027427E-02 delta:-0.320605824843366 optPrice:3.70000000111759E-03 pvDividend:0 gamma: 1.79769313486232E+308 theta/vega/undPrice: -3.52088702427757E-04-8.85098050006342E-04-1.5781</t>
  </si>
  <si>
    <t>2014-11-26 15:51:15.952: RTWSControl  - tickOptionComputation - id:200052 tickType:10 impliedVol:1.79769313486232E+308 delta:1.79769313486232E+308 optPrice:1.79769313486232E+308 pvDividend:0 gamma: 1.79769313486232E+308 theta/vega/undPrice: 1.79769313486232E+308-1.79769313486232E+308-1.5781</t>
  </si>
  <si>
    <t>2014-11-26 15:51:15.987: RTWSControl  - tickOptionComputation - id:200052 tickType:11 impliedVol:1.79769313486232E+308 delta:1.79769313486232E+308 optPrice:1.79769313486232E+308 pvDividend:0 gamma: 1.79769313486232E+308 theta/vega/undPrice: 1.79769313486232E+308-1.79769313486232E+308-1.5781</t>
  </si>
  <si>
    <t>2014-11-26 15:51:16.28: RTWSControl  - tickOptionComputation - id:200048 tickType:10 impliedVol:8.01273430840441E-02 delta:-2.58660675696123E-02 optPrice:1.99999994947575E-04 pvDividend:0 gamma: 1.79769313486232E+308 theta/vega/undPrice: -6.57570463549137E-05-1.79318900372266E-04-1.5781</t>
  </si>
  <si>
    <t>2014-11-26 15:51:16.73: RTWSControl  - tickOptionComputation - id:200048 tickType:11 impliedVol:8.56784689802184E-02 delta:-3.47695436381877E-02 optPrice:3.00000014249235E-04 pvDividend:0 gamma: 1.79769313486232E+308 theta/vega/undPrice: -8.989600317246E-05-2.34100295108201E-04-1.5781</t>
  </si>
  <si>
    <t>2014-11-26 15:51:16.121: RTWSControl  - tickOptionComputation - id:200053 tickType:10 impliedVol:6.30118539517769E-02 delta:8.30870331741032E-02 optPrice:6.00000028498471E-04 pvDividend:0 gamma: 1.79769313486232E+308 theta/vega/undPrice: -1.32306989040805E-04-4.47329553989804E-04-1.5781</t>
  </si>
  <si>
    <t>2014-11-26 15:51:16.157: RTWSControl  - tickOptionComputation - id:200053 tickType:11 impliedVol:6.52313457710457E-02 delta:9.15125126411358E-02 optPrice:6.99999975040555E-04 pvDividend:0 gamma: 1.79769313486232E+308 theta/vega/undPrice: -1.46664227085905E-04-4.47329122454029E-04-1.5781</t>
  </si>
  <si>
    <t>2014-11-26 15:51:16.204: RTWSControl  - tickOptionComputation - id:200054 tickType:10 impliedVol:1.79769313486232E+308 delta:1.79769313486232E+308 optPrice:1.79769313486232E+308 pvDividend:0 gamma: 1.79769313486232E+308 theta/vega/undPrice: 1.79769313486232E+308-1.79769313486232E+308-1.5781</t>
  </si>
  <si>
    <t>2014-11-26 15:51:16.239: RTWSControl  - tickOptionComputation - id:200054 tickType:11 impliedVol:9.17208985873158E-02 delta:1.23994183390425E-02 optPrice:9.99999974737875E-05 pvDividend:0 gamma: 1.79769313486232E+308 theta/vega/undPrice: -4.01897804454033E-05-1.03771484724741E-04-1.5781</t>
  </si>
  <si>
    <t>2014-11-26 15:51:22.841: Algorithm - FindNextStrikes - price is 1.57805 nextStrikeUp/Down 1.58/1.575</t>
  </si>
  <si>
    <t>2014-11-26 15:51:22.842: Algorithm - getPortfolioForwardDelta - required deltas is 4 currentHedgePosition is 6</t>
  </si>
  <si>
    <t>2014-11-26 15:51:22.842: Algorithm - getHedgeShortfall - required deltas is 4 price is 1.57815 currentHedgePositionDeltas is 6</t>
  </si>
  <si>
    <t>2014-11-26 15:51:22.842: Algorithm - processTransitionPoint - nextUpper/LowerStrikes are 1.58/1.575 requiredDeltas/currentPosition/currentHedgeShortfall/direction/transitionPrice are 4/6/-2/1/1.57815</t>
  </si>
  <si>
    <t>2014-11-26 15:51:22.843: TransitionLogger - processTransitionpoint - checking transition - currentHedgeShortfall is -2</t>
  </si>
  <si>
    <t>2014-11-26 15:51:22.843: Algorithm - handleTransition - currentHedgeShortfall is NOT ZERO and AUTOHEDGE IS NOT ENABLED!</t>
  </si>
  <si>
    <t>2014-11-26 15:51:22.844: Algorithm - updatePortfolio - haveAllDetails is True</t>
  </si>
  <si>
    <t>2014-11-26 15:51:22.910: Algorithm - FindNextStrikes - price is 1.57805 nextStrikeUp/Down 1.58/1.575</t>
  </si>
  <si>
    <t>2014-11-26 15:51:22.911: Algorithm - getPortfolioForwardDelta - required deltas is 4 currentHedgePosition is 6</t>
  </si>
  <si>
    <t>2014-11-26 15:51:22.911: Algorithm - getHedgeShortfall - required deltas is 4 price is 1.57815 currentHedgePositionDeltas is 6</t>
  </si>
  <si>
    <t>2014-11-26 15:51:22.914: Algorithm - processTransitionPoint - nextUpper/LowerStrikes are 1.58/1.575 requiredDeltas/currentPosition/currentHedgeShortfall/direction/transitionPrice are 4/6/-2/1/1.57815</t>
  </si>
  <si>
    <t>2014-11-26 15:51:22.915: TransitionLogger - processTransitionpoint - checking transition - currentHedgeShortfall is -2</t>
  </si>
  <si>
    <t>2014-11-26 15:51:22.915: Algorithm - handleTransition - currentHedgeShortfall is NOT ZERO and AUTOHEDGE IS NOT ENABLED!</t>
  </si>
  <si>
    <t>2014-11-26 15:51:22.915: Algorithm - updatePortfolio - haveAllDetails is True</t>
  </si>
  <si>
    <t>2014-11-26 15:51:22.969: Algorithm - FindNextStrikes - price is 1.57805 nextStrikeUp/Down 1.58/1.575</t>
  </si>
  <si>
    <t>2014-11-26 15:51:22.969: Algorithm - getPortfolioForwardDelta - required deltas is 4 currentHedgePosition is 6</t>
  </si>
  <si>
    <t>2014-11-26 15:51:22.969: Algorithm - getHedgeShortfall - required deltas is 4 price is 1.57815 currentHedgePositionDeltas is 6</t>
  </si>
  <si>
    <t>2014-11-26 15:51:22.970: Algorithm - processTransitionPoint - nextUpper/LowerStrikes are 1.58/1.575 requiredDeltas/currentPosition/currentHedgeShortfall/direction/transitionPrice are 4/6/-2/1/1.57815</t>
  </si>
  <si>
    <t>2014-11-26 15:51:22.970: TransitionLogger - processTransitionpoint - checking transition - currentHedgeShortfall is -2</t>
  </si>
  <si>
    <t>2014-11-26 15:51:22.970: Algorithm - handleTransition - currentHedgeShortfall is NOT ZERO and AUTOHEDGE IS NOT ENABLED!</t>
  </si>
  <si>
    <t>2014-11-26 15:51:22.971: Algorithm - updatePortfolio - haveAllDetails is True</t>
  </si>
  <si>
    <t>2014-11-26 15:51:23.23: TransitionLogger - flushFile - flushing file</t>
  </si>
  <si>
    <t>2014-11-26 15:51:23.23: TransitionLogger - openTransitionFile - opening file C:\temp\transitionlog_2014-11-26_155023</t>
  </si>
  <si>
    <t>2014-11-26 15:51:23.34: Algorithm - FindNextStrikes - price is 1.57805 nextStrikeUp/Down 1.58/1.575</t>
  </si>
  <si>
    <t>2014-11-26 15:51:23.34: Algorithm - getPortfolioForwardDelta - required deltas is 4 currentHedgePosition is 6</t>
  </si>
  <si>
    <t>2014-11-26 15:51:23.34: Algorithm - getHedgeShortfall - required deltas is 4 price is 1.57815 currentHedgePositionDeltas is 6</t>
  </si>
  <si>
    <t>2014-11-26 15:51:23.38: Algorithm - processTransitionPoint - nextUpper/LowerStrikes are 1.58/1.575 requiredDeltas/currentPosition/currentHedgeShortfall/direction/transitionPrice are 4/6/-2/1/1.57815</t>
  </si>
  <si>
    <t>2014-11-26 15:51:23.39: TransitionLogger - processTransitionpoint - checking transition - currentHedgeShortfall is -2</t>
  </si>
  <si>
    <t>2014-11-26 15:51:23.39: Algorithm - handleTransition - currentHedgeShortfall is NOT ZERO and AUTOHEDGE IS NOT ENABLED!</t>
  </si>
  <si>
    <t>2014-11-26 15:51:23.40: Algorithm - updatePortfolio - haveAllDetails is True</t>
  </si>
  <si>
    <t>2014-11-26 15:51:23.111: Algorithm - FindNextStrikes - price is 1.57805 nextStrikeUp/Down 1.58/1.575</t>
  </si>
  <si>
    <t>2014-11-26 15:51:23.112: Algorithm - getPortfolioForwardDelta - required deltas is 4 currentHedgePosition is 6</t>
  </si>
  <si>
    <t>2014-11-26 15:51:23.112: Algorithm - getHedgeShortfall - required deltas is 4 price is 1.57815 currentHedgePositionDeltas is 6</t>
  </si>
  <si>
    <t>2014-11-26 15:51:23.112: Algorithm - processTransitionPoint - nextUpper/LowerStrikes are 1.58/1.575 requiredDeltas/currentPosition/currentHedgeShortfall/direction/transitionPrice are 4/6/-2/1/1.57815</t>
  </si>
  <si>
    <t>2014-11-26 15:51:23.112: TransitionLogger - processTransitionpoint - checking transition - currentHedgeShortfall is -2</t>
  </si>
  <si>
    <t>2014-11-26 15:51:23.113: Algorithm - handleTransition - currentHedgeShortfall is NOT ZERO and AUTOHEDGE IS NOT ENABLED!</t>
  </si>
  <si>
    <t>2014-11-26 15:51:23.113: Algorithm - updatePortfolio - haveAllDetails is True</t>
  </si>
  <si>
    <t>2014-11-26 15:51:23.159: Algorithm - FindNextStrikes - price is 1.57805 nextStrikeUp/Down 1.58/1.575</t>
  </si>
  <si>
    <t>2014-11-26 15:51:23.159: Algorithm - getPortfolioForwardDelta - required deltas is 4 currentHedgePosition is 6</t>
  </si>
  <si>
    <t>2014-11-26 15:51:23.160: Algorithm - getHedgeShortfall - required deltas is 4 price is 1.57815 currentHedgePositionDeltas is 6</t>
  </si>
  <si>
    <t>2014-11-26 15:51:23.160: Algorithm - processTransitionPoint - nextUpper/LowerStrikes are 1.58/1.575 requiredDeltas/currentPosition/currentHedgeShortfall/direction/transitionPrice are 4/6/-2/1/1.57815</t>
  </si>
  <si>
    <t>2014-11-26 15:51:23.163: TransitionLogger - processTransitionpoint - checking transition - currentHedgeShortfall is -2</t>
  </si>
  <si>
    <t>2014-11-26 15:51:23.164: Algorithm - handleTransition - currentHedgeShortfall is NOT ZERO and AUTOHEDGE IS NOT ENABLED!</t>
  </si>
  <si>
    <t>2014-11-26 15:51:23.164: Algorithm - updatePortfolio - haveAllDetails is True</t>
  </si>
  <si>
    <t>2014-11-26 15:51:23.204: Algorithm - FindNextStrikes - price is 1.57805 nextStrikeUp/Down 1.58/1.575</t>
  </si>
  <si>
    <t>2014-11-26 15:51:23.204: Algorithm - getPortfolioForwardDelta - required deltas is 4 currentHedgePosition is 6</t>
  </si>
  <si>
    <t>2014-11-26 15:51:23.205: Algorithm - getHedgeShortfall - required deltas is 4 price is 1.57815 currentHedgePositionDeltas is 6</t>
  </si>
  <si>
    <t>2014-11-26 15:51:23.205: Algorithm - processTransitionPoint - nextUpper/LowerStrikes are 1.58/1.575 requiredDeltas/currentPosition/currentHedgeShortfall/direction/transitionPrice are 4/6/-2/1/1.57815</t>
  </si>
  <si>
    <t>2014-11-26 15:51:23.205: TransitionLogger - processTransitionpoint - checking transition - currentHedgeShortfall is -2</t>
  </si>
  <si>
    <t>2014-11-26 15:51:23.205: Algorithm - handleTransition - currentHedgeShortfall is NOT ZERO and AUTOHEDGE IS NOT ENABLED!</t>
  </si>
  <si>
    <t>2014-11-26 15:51:23.206: Algorithm - updatePortfolio - haveAllDetails is True</t>
  </si>
  <si>
    <t>2014-11-26 15:51:23.252: Algorithm - FindNextStrikes - price is 1.57805 nextStrikeUp/Down 1.58/1.575</t>
  </si>
  <si>
    <t>2014-11-26 15:51:23.252: Algorithm - getPortfolioForwardDelta - required deltas is 4 currentHedgePosition is 6</t>
  </si>
  <si>
    <t>2014-11-26 15:51:23.252: Algorithm - getHedgeShortfall - required deltas is 4 price is 1.57815 currentHedgePositionDeltas is 6</t>
  </si>
  <si>
    <t>2014-11-26 15:51:23.252: Algorithm - processTransitionPoint - nextUpper/LowerStrikes are 1.58/1.575 requiredDeltas/currentPosition/currentHedgeShortfall/direction/transitionPrice are 4/6/-2/1/1.57815</t>
  </si>
  <si>
    <t>2014-11-26 15:51:23.253: TransitionLogger - processTransitionpoint - checking transition - currentHedgeShortfall is -2</t>
  </si>
  <si>
    <t>2014-11-26 15:51:23.256: Algorithm - handleTransition - currentHedgeShortfall is NOT ZERO and AUTOHEDGE IS NOT ENABLED!</t>
  </si>
  <si>
    <t>2014-11-26 15:51:23.257: Algorithm - updatePortfolio - haveAllDetails is True</t>
  </si>
  <si>
    <t>2014-11-26 15:51:23.292: Algorithm - FindNextStrikes - price is 1.57805 nextStrikeUp/Down 1.58/1.575</t>
  </si>
  <si>
    <t>2014-11-26 15:51:23.292: Algorithm - getPortfolioForwardDelta - required deltas is 4 currentHedgePosition is 6</t>
  </si>
  <si>
    <t>2014-11-26 15:51:23.292: Algorithm - getHedgeShortfall - required deltas is 4 price is 1.57815 currentHedgePositionDeltas is 6</t>
  </si>
  <si>
    <t>2014-11-26 15:51:23.292: Algorithm - processTransitionPoint - nextUpper/LowerStrikes are 1.58/1.575 requiredDeltas/currentPosition/currentHedgeShortfall/direction/transitionPrice are 4/6/-2/1/1.57815</t>
  </si>
  <si>
    <t>2014-11-26 15:51:23.293: TransitionLogger - processTransitionpoint - checking transition - currentHedgeShortfall is -2</t>
  </si>
  <si>
    <t>2014-11-26 15:51:23.293: Algorithm - handleTransition - currentHedgeShortfall is NOT ZERO and AUTOHEDGE IS NOT ENABLED!</t>
  </si>
  <si>
    <t>2014-11-26 15:51:23.294: Algorithm - updatePortfolio - haveAllDetails is True</t>
  </si>
  <si>
    <t>2014-11-26 15:51:23.330: Algorithm - FindNextStrikes - price is 1.57805 nextStrikeUp/Down 1.58/1.575</t>
  </si>
  <si>
    <t>2014-11-26 15:51:23.331: Algorithm - getPortfolioForwardDelta - required deltas is 4 currentHedgePosition is 6</t>
  </si>
  <si>
    <t>2014-11-26 15:51:23.331: Algorithm - getHedgeShortfall - required deltas is 4 price is 1.57815 currentHedgePositionDeltas is 6</t>
  </si>
  <si>
    <t>2014-11-26 15:51:23.331: Algorithm - processTransitionPoint - nextUpper/LowerStrikes are 1.58/1.575 requiredDeltas/currentPosition/currentHedgeShortfall/direction/transitionPrice are 4/6/-2/1/1.57815</t>
  </si>
  <si>
    <t>2014-11-26 15:51:23.331: TransitionLogger - processTransitionpoint - checking transition - currentHedgeShortfall is -2</t>
  </si>
  <si>
    <t>2014-11-26 15:51:23.332: Algorithm - handleTransition - currentHedgeShortfall is NOT ZERO and AUTOHEDGE IS NOT ENABLED!</t>
  </si>
  <si>
    <t>2014-11-26 15:51:23.335: Algorithm - updatePortfolio - haveAllDetails is True</t>
  </si>
  <si>
    <t>2014-11-26 15:51:23.372: Algorithm - FindNextStrikes - price is 1.57805 nextStrikeUp/Down 1.58/1.575</t>
  </si>
  <si>
    <t>2014-11-26 15:51:23.373: Algorithm - getPortfolioForwardDelta - required deltas is 4 currentHedgePosition is 6</t>
  </si>
  <si>
    <t>2014-11-26 15:51:23.373: Algorithm - getHedgeShortfall - required deltas is 4 price is 1.57815 currentHedgePositionDeltas is 6</t>
  </si>
  <si>
    <t>2014-11-26 15:51:23.373: Algorithm - processTransitionPoint - nextUpper/LowerStrikes are 1.58/1.575 requiredDeltas/currentPosition/currentHedgeShortfall/direction/transitionPrice are 4/6/-2/1/1.57815</t>
  </si>
  <si>
    <t>2014-11-26 15:51:23.373: TransitionLogger - processTransitionpoint - checking transition - currentHedgeShortfall is -2</t>
  </si>
  <si>
    <t>2014-11-26 15:51:23.374: Algorithm - handleTransition - currentHedgeShortfall is NOT ZERO and AUTOHEDGE IS NOT ENABLED!</t>
  </si>
  <si>
    <t>2014-11-26 15:51:23.375: Algorithm - updatePortfolio - haveAllDetails is True</t>
  </si>
  <si>
    <t>2014-11-26 15:51:23.424: Algorithm - FindNextStrikes - price is 1.57805 nextStrikeUp/Down 1.58/1.575</t>
  </si>
  <si>
    <t>2014-11-26 15:51:23.424: Algorithm - getPortfolioForwardDelta - required deltas is 4 currentHedgePosition is 6</t>
  </si>
  <si>
    <t>2014-11-26 15:51:23.425: Algorithm - getHedgeShortfall - required deltas is 4 price is 1.57815 currentHedgePositionDeltas is 6</t>
  </si>
  <si>
    <t>2014-11-26 15:51:23.425: Algorithm - processTransitionPoint - nextUpper/LowerStrikes are 1.58/1.575 requiredDeltas/currentPosition/currentHedgeShortfall/direction/transitionPrice are 4/6/-2/1/1.57815</t>
  </si>
  <si>
    <t>2014-11-26 15:51:23.425: TransitionLogger - processTransitionpoint - checking transition - currentHedgeShortfall is -2</t>
  </si>
  <si>
    <t>2014-11-26 15:51:23.425: Algorithm - handleTransition - currentHedgeShortfall is NOT ZERO and AUTOHEDGE IS NOT ENABLED!</t>
  </si>
  <si>
    <t>2014-11-26 15:51:23.426: Algorithm - updatePortfolio - haveAllDetails is True</t>
  </si>
  <si>
    <t>2014-11-26 15:51:23.483: Algorithm - FindNextStrikes - price is 1.57805 nextStrikeUp/Down 1.58/1.575</t>
  </si>
  <si>
    <t>2014-11-26 15:51:23.487: Algorithm - getPortfolioForwardDelta - required deltas is 4 currentHedgePosition is 6</t>
  </si>
  <si>
    <t>2014-11-26 15:51:23.487: Algorithm - getHedgeShortfall - required deltas is 4 price is 1.57815 currentHedgePositionDeltas is 6</t>
  </si>
  <si>
    <t>2014-11-26 15:51:23.487: Algorithm - processTransitionPoint - nextUpper/LowerStrikes are 1.58/1.575 requiredDeltas/currentPosition/currentHedgeShortfall/direction/transitionPrice are 4/6/-2/1/1.57815</t>
  </si>
  <si>
    <t>2014-11-26 15:51:23.487: TransitionLogger - processTransitionpoint - checking transition - currentHedgeShortfall is -2</t>
  </si>
  <si>
    <t>2014-11-26 15:51:23.487: Algorithm - handleTransition - currentHedgeShortfall is NOT ZERO and AUTOHEDGE IS NOT ENABLED!</t>
  </si>
  <si>
    <t>2014-11-26 15:51:23.488: Algorithm - updatePortfolio - haveAllDetails is True</t>
  </si>
  <si>
    <t>2014-11-26 15:51:23.530: Algorithm - FindNextStrikes - price is 1.57805 nextStrikeUp/Down 1.58/1.575</t>
  </si>
  <si>
    <t>2014-11-26 15:51:23.530: Algorithm - getPortfolioForwardDelta - required deltas is 4 currentHedgePosition is 6</t>
  </si>
  <si>
    <t>2014-11-26 15:51:23.530: Algorithm - getHedgeShortfall - required deltas is 4 price is 1.57815 currentHedgePositionDeltas is 6</t>
  </si>
  <si>
    <t>2014-11-26 15:51:23.530: Algorithm - processTransitionPoint - nextUpper/LowerStrikes are 1.58/1.575 requiredDeltas/currentPosition/currentHedgeShortfall/direction/transitionPrice are 4/6/-2/1/1.57815</t>
  </si>
  <si>
    <t>2014-11-26 15:51:23.531: TransitionLogger - processTransitionpoint - checking transition - currentHedgeShortfall is -2</t>
  </si>
  <si>
    <t>2014-11-26 15:51:23.531: Algorithm - handleTransition - currentHedgeShortfall is NOT ZERO and AUTOHEDGE IS NOT ENABLED!</t>
  </si>
  <si>
    <t>2014-11-26 15:51:23.532: Algorithm - updatePortfolio - haveAllDetails is True</t>
  </si>
  <si>
    <t>2014-11-26 15:51:23.572: Algorithm - FindNextStrikes - price is 1.57805 nextStrikeUp/Down 1.58/1.575</t>
  </si>
  <si>
    <t>2014-11-26 15:51:23.572: Algorithm - getPortfolioForwardDelta - required deltas is 4 currentHedgePosition is 6</t>
  </si>
  <si>
    <t>2014-11-26 15:51:23.572: Algorithm - getHedgeShortfall - required deltas is 4 price is 1.57815 currentHedgePositionDeltas is 6</t>
  </si>
  <si>
    <t>2014-11-26 15:51:23.576: Algorithm - processTransitionPoint - nextUpper/LowerStrikes are 1.58/1.575 requiredDeltas/currentPosition/currentHedgeShortfall/direction/transitionPrice are 4/6/-2/1/1.57815</t>
  </si>
  <si>
    <t>2014-11-26 15:51:23.576: TransitionLogger - processTransitionpoint - checking transition - currentHedgeShortfall is -2</t>
  </si>
  <si>
    <t>2014-11-26 15:51:23.576: Algorithm - handleTransition - currentHedgeShortfall is NOT ZERO and AUTOHEDGE IS NOT ENABLED!</t>
  </si>
  <si>
    <t>2014-11-26 15:51:23.577: Algorithm - updatePortfolio - haveAllDetails is True</t>
  </si>
  <si>
    <t>2014-11-26 15:51:23.611: RTWSControl  - tickOptionComputation - id:200042 tickType:13 impliedVol:7.92452573930973E-02 delta:-2.87574432870806E-02 optPrice:1.08725567982327E-04 pvDividend:0 gamma: 1.79769313486232E+308 theta/vega/undPrice: -1.45696252961259E-04-9.41958530035688E-05-1.5781</t>
  </si>
  <si>
    <t>2014-11-26 15:51:23.658: RTWSControl  - tickOptionComputation - id:200041 tickType:13 impliedVol:7.09639842022227E-02 delta:0.937053291843477 optPrice:1.33396348414961E-02 pvDividend:0 gamma: 1.79769313486232E+308 theta/vega/undPrice: -2.4669019759533E-04-1.76358661885402E-04-1.5781</t>
  </si>
  <si>
    <t>2014-11-26 15:51:23.698: RTWSControl  - tickOptionComputation - id:200043 tickType:13 impliedVol:7.09639842022227E-02 delta:-6.30592310093477E-02 optPrice:2.39822413370998E-04 pvDividend:0 gamma: 1.79769313486232E+308 theta/vega/undPrice: -2.46776766492471E-04-1.76358932652792E-04-1.5781</t>
  </si>
  <si>
    <t>2014-11-26 15:51:23.741: RTWSControl  - tickOptionComputation - id:200044 tickType:13 impliedVol:6.54113148910369E-02 delta:0.846856019603463 optPrice:8.74307566661561E-03 pvDividend:0 gamma: 1.79769313486232E+308 theta/vega/undPrice: -4.34805966421113E-04-2.97841820472494E-04-1.5781</t>
  </si>
  <si>
    <t>2014-11-26 15:51:23.782: RTWSControl  - tickOptionComputation - id:200046 tickType:13 impliedVol:6.54113148910369E-02 delta:-0.153256676259773 optPrice:6.43192356488333E-04 pvDividend:0 gamma: 1.79769313486232E+308 theta/vega/undPrice: -4.34860186800264E-04-2.97842109838173E-04-1.5781</t>
  </si>
  <si>
    <t>2014-11-26 15:51:23.825: RTWSControl  - tickOptionComputation - id:200045 tickType:13 impliedVol:6.25872494595683E-02 delta:0.658802752855119 optPrice:4.84821598317449E-03 pvDividend:0 gamma: 1.79769313486232E+308 theta/vega/undPrice: -6.46615082010014E-04-4.45705030585169E-04-1.5781</t>
  </si>
  <si>
    <t>2014-11-26 15:51:23.865: RTWSControl  - tickOptionComputation - id:200047 tickType:13 impliedVol:6.25872494595683E-02 delta:-0.341310420281273 optPrice:1.74826320124266E-03 pvDividend:0 gamma: 1.79769313486232E+308 theta/vega/undPrice: -6.46637530878204E-04-4.45705671807205E-04-1.5781</t>
  </si>
  <si>
    <t>2014-11-26 15:51:23.908: RTWSControl  - tickOptionComputation - id:200049 tickType:13 impliedVol:6.84569590498736E-02 delta:0.68436941787082 optPrice:1.16376222666359E-02 pvDividend:0 gamma: 1.79769313486232E+308 theta/vega/undPrice: -3.33705231455943E-04-9.14252849073257E-04-1.5781</t>
  </si>
  <si>
    <t>2014-11-26 15:51:23.950: RTWSControl  - tickOptionComputation - id:200050 tickType:13 impliedVol:6.84569590498736E-02 delta:-0.315700774453823 optPrice:3.53813692026621E-03 pvDividend:0 gamma: 1.79769313486232E+308 theta/vega/undPrice: -3.33762988180965E-04-9.14258426641612E-04-1.5781</t>
  </si>
  <si>
    <t>2014-11-26 15:51:23.988: RTWSControl  - tickOptionComputation - id:200048 tickType:13 impliedVol:8.29728364959479E-02 delta:-3.05831877970739E-02 optPrice:2.51482894297836E-04 pvDividend:0 gamma: 1.79769313486232E+308 theta/vega/undPrice: -7.81306287118492E-05-2.03458308446888E-04-1.5781</t>
  </si>
  <si>
    <t>2014-11-26 15:51:24.32: RTWSControl  - tickOptionComputation - id:200053 tickType:13 impliedVol:0.064457329572619 delta:8.86511029082518E-02 optPrice:6.6466054765569E-04 pvDividend:0 gamma: 1.79769313486232E+308 theta/vega/undPrice: -1.41657347239655E-04-4.47329272002553E-04-1.5781</t>
  </si>
  <si>
    <t>2014-11-26 15:51:24.72: RTWSControl  - tickOptionComputation - id:200054 tickType:13 impliedVol:7.09739480641858E-02 delta:0.001729934011951 optPrice:9.00306328684129E-06 pvDividend:0 gamma: 0.311860997902159 theta/vega/undPrice: -5.35785765500464E-06-2.56752275343424E-05-1.5781</t>
  </si>
  <si>
    <t>2014-11-26 15:51:26.361: RTWSControl  - tickOptionComputation - id:200042 tickType:13 impliedVol:7.91526326029839E-02 delta:-2.85983946093028E-02 optPrice:1.07911900133554E-04 pvDividend:0 gamma: 1.79769313486232E+308 theta/vega/undPrice: -1.44863263882417E-04-9.36819589831863E-05-1.5781</t>
  </si>
  <si>
    <t>2014-11-26 15:51:26.443: RTWSControl  - tickOptionComputation - id:200041 tickType:13 impliedVol:7.08759215698933E-02 delta:0.937275941122121 optPrice:1.33383706446601E-02 pvDividend:0 gamma: 1.79769313486232E+308 theta/vega/undPrice: -2.4568094862443E-04-1.75726565628066E-04-1.5781</t>
  </si>
  <si>
    <t>2014-11-26 15:51:26.533: RTWSControl  - tickOptionComputation - id:200043 tickType:13 impliedVol:7.08759215698933E-02 delta:-6.28365815681444E-02 optPrice:2.38558215667504E-04 pvDividend:0 gamma: 1.79769313486232E+308 theta/vega/undPrice: -2.45767516387366E-04-1.75726835720368E-04-1.5781</t>
  </si>
  <si>
    <t>2014-11-26 15:51:26.577: RTWSControl  - tickOptionComputation - id:200044 tickType:13 impliedVol:6.53202562089632E-02 delta:0.847202898348641 optPrice:8.74036355685278E-03 pvDividend:0 gamma: 1.79769313486232E+308 theta/vega/undPrice: -4.33557821686861E-04-2.97841823250378E-04-1.5781</t>
  </si>
  <si>
    <t>2014-11-26 15:51:26.616: RTWSControl  - tickOptionComputation - id:200046 tickType:13 impliedVol:6.53202562089632E-02 delta:-0.152909797152542 optPrice:6.40480244094413E-04 pvDividend:0 gamma: 1.79769313486232E+308 theta/vega/undPrice: -4.33612039689506E-04-2.97842112579854E-04-1.5781</t>
  </si>
  <si>
    <t>2014-11-26 15:51:26.658: RTWSControl  - tickOptionComputation - id:200045 tickType:13 impliedVol:6.24856365201651E-02 delta:0.659043734790821 optPrice:4.84368704109439E-03 pvDividend:0 gamma: 1.79769313486232E+308 theta/vega/undPrice: -6.45381547430087E-04-4.45705035138003E-04-1.5781</t>
  </si>
  <si>
    <t>2014-11-26 15:51:26.699: RTWSControl  - tickOptionComputation - id:200047 tickType:13 impliedVol:6.24856365201651E-02 delta:-0.341069437955028 optPrice:1.74373425265978E-03 pvDividend:0 gamma: 1.79769313486232E+308 theta/vega/undPrice: -6.45403992082771E-04-4.45705676293406E-04-1.5781</t>
  </si>
  <si>
    <t>2014-11-26 15:51:26.744: RTWSControl  - tickOptionComputation - id:200043 tickType:10 impliedVol:0.068189999162196 delta:-5.57619400263561E-02 optPrice:1.99999994947575E-04 pvDividend:0 gamma: 1.79769313486232E+308 theta/vega/undPrice: -2.14985242426673E-04-1.56447787178444E-04-1.5781</t>
  </si>
  <si>
    <t>2014-11-26 15:51:26.818: RTWSControl  - tickOptionComputation - id:200052 tickType:10 impliedVol:1.79769313486232E+308 delta:1.79769313486232E+308 optPrice:1.79769313486232E+308 pvDividend:0 gamma: 1.79769313486232E+308 theta/vega/undPrice: 1.79769313486232E+308-1.79769313486232E+308-1.5781</t>
  </si>
  <si>
    <t>2014-11-26 15:51:26.834: RTWSControl  - tickOptionComputation - id:200052 tickType:11 impliedVol:1.79769313486232E+308 delta:1.79769313486232E+308 optPrice:1.79769313486232E+308 pvDividend:0 gamma: 1.79769313486232E+308 theta/vega/undPrice: 1.79769313486232E+308-1.79769313486232E+308-1.5781</t>
  </si>
  <si>
    <t>2014-11-26 15:51:26.895: RTWSControl  - tickOptionComputation - id:200054 tickType:10 impliedVol:1.79769313486232E+308 delta:1.79769313486232E+308 optPrice:1.79769313486232E+308 pvDividend:0 gamma: 1.79769313486232E+308 theta/vega/undPrice: 1.79769313486232E+308-1.79769313486232E+308-1.5781</t>
  </si>
  <si>
    <t>2014-11-26 15:51:27.311: DirectionIndicator - notify - price/longMA/ShortMA/prevDirection are 1.578/1.57799194543426/1.57801392277218/1</t>
  </si>
  <si>
    <t>2014-11-26 15:51:27.311: Algorithm - handleTransition - currentHedgeShortfall is NOT ZERO and AUTOHEDGE IS NOT ENABLED!</t>
  </si>
  <si>
    <t>2014-11-26 15:51:27.366: DirectionIndicator - notify - price/longMA/ShortMA/prevDirection are 1.57795/1.57798431899166/1.57799261518145/1</t>
  </si>
  <si>
    <t>2014-11-26 15:51:27.370: Algorithm - handleTransition - currentHedgeShortfall is NOT ZERO and AUTOHEDGE IS NOT ENABLED!</t>
  </si>
  <si>
    <t>2014-11-26 15:51:27.691: RTWSControl  - tickOptionComputation - id:200042 tickType:13 impliedVol:7.91526326029839E-02 delta:-2.93470105731097E-02 optPrice:1.11135192012584E-04 pvDividend:0 gamma: 1.79769313486232E+308 theta/vega/undPrice: -1.47973106586637E-04-9.6363997343151E-05-1.578</t>
  </si>
  <si>
    <t>2014-11-26 15:51:27.740: RTWSControl  - tickOptionComputation - id:200041 tickType:13 impliedVol:7.08759215698933E-02 delta:0.935909367951701 optPrice:1.32442857091266E-02 pvDividend:0 gamma: 1.79769313486232E+308 theta/vega/undPrice: -2.49980379633524E-04-1.79889424768858E-04-1.578</t>
  </si>
  <si>
    <t>2014-11-26 15:51:27.782: RTWSControl  - tickOptionComputation - id:200043 tickType:13 impliedVol:7.08759215698933E-02 delta:-6.42031557371676E-02 optPrice:2.44471853611752E-04 pvDividend:0 gamma: 1.79769313486232E+308 theta/vega/undPrice: -2.50066293517792E-04-1.79889698239622E-04-1.578</t>
  </si>
  <si>
    <t>2014-11-26 15:51:27.829: RTWSControl  - tickOptionComputation - id:200044 tickType:13 impliedVol:6.53202562089632E-02 delta:0.844126976010781 optPrice:8.65641484964125E-03 pvDividend:0 gamma: 1.79769313486232E+308 theta/vega/undPrice: -4.39230578157365E-04-2.97832387590445E-04-1.578</t>
  </si>
  <si>
    <t>2014-11-26 15:51:27.867: RTWSControl  - tickOptionComputation - id:200046 tickType:13 impliedVol:6.53202562089632E-02 delta:-0.155985722704011 optPrice:6.56530119523018E-04 pvDividend:0 gamma: 1.79769313486232E+308 theta/vega/undPrice: -4.39284147786245E-04-2.9783267750053E-04-1.578</t>
  </si>
  <si>
    <t>2014-11-26 15:51:27.908: RTWSControl  - tickOptionComputation - id:200045 tickType:13 impliedVol:6.24856365201651E-02 delta:0.654231396841459 optPrice:4.77719026106222E-03 pvDividend:0 gamma: 1.79769313486232E+308 theta/vega/undPrice: -6.49008132446195E-04-4.45690915281102E-04-1.578</t>
  </si>
  <si>
    <t>2014-11-26 15:51:27.950: RTWSControl  - tickOptionComputation - id:200047 tickType:13 impliedVol:6.24856365201651E-02 delta:-0.345881783713066 optPrice:1.77723607859726E-03 pvDividend:0 gamma: 1.79769313486232E+308 theta/vega/undPrice: -6.49029936644804E-04-4.45691557883633E-04-1.578</t>
  </si>
  <si>
    <t>2014-11-26 15:51:27.990: RTWSControl  - tickOptionComputation - id:200049 tickType:13 impliedVol:6.84569590498736E-02 delta:0.682235717580464 optPrice:0.011571018244196 pvDividend:0 gamma: 1.79769313486232E+308 theta/vega/undPrice: -3.34557478870561E-04-9.14223879212165E-04-1.578</t>
  </si>
  <si>
    <t>2014-11-26 15:51:28.32: RTWSControl  - tickOptionComputation - id:200050 tickType:13 impliedVol:6.84569590498736E-02 delta:-0.317834489439014 optPrice:3.57152701268915E-03 pvDividend:0 gamma: 1.79769313486232E+308 theta/vega/undPrice: -3.34614595135021E-04-9.14229462511511E-04-1.578</t>
  </si>
  <si>
    <t>2014-11-26 15:51:28.72: RTWSControl  - tickOptionComputation - id:200051 tickType:13 impliedVol:7.13368826940144E-02 delta:-0.322702367225309 optPrice:3.73313021490965E-03 pvDividend:0 gamma: 1.79769313486232E+308 theta/vega/undPrice: -3.53055773031475E-04-8.87396201629312E-04-1.578</t>
  </si>
  <si>
    <t>2014-11-26 15:51:28.114: RTWSControl  - tickOptionComputation - id:200052 tickType:13 impliedVol:0.118779698097033 delta:-0.523454303880327 optPrice:1.27522687494178E-02 pvDividend:0 gamma: 1.79769313486232E+308 theta/vega/undPrice: -6.52361218458746E-04-9.84826987897718E-04-1.578</t>
  </si>
  <si>
    <t>2014-11-26 15:51:28.154: RTWSControl  - tickOptionComputation - id:200048 tickType:13 impliedVol:8.29728364959479E-02 delta:-3.09285193712551E-02 optPrice:2.54680703981103E-04 pvDividend:0 gamma: 1.79769313486232E+308 theta/vega/undPrice: -7.88610984729999E-05-2.06119430900728E-04-1.578</t>
  </si>
  <si>
    <t>2014-11-26 15:51:28.200: RTWSControl  - tickOptionComputation - id:200053 tickType:13 impliedVol:0.064457329572619 delta:8.75416067102831E-02 optPrice:6.5443819689235E-04 pvDividend:0 gamma: 1.79769313486232E+308 theta/vega/undPrice: -1.40387071273337E-04-4.47315097321076E-04-1.578</t>
  </si>
  <si>
    <t>2014-11-26 15:51:28.239: RTWSControl  - tickOptionComputation - id:200054 tickType:13 impliedVol:7.09739480641858E-02 delta:1.70567035634318E-03 optPrice:8.87055693829973E-06 pvDividend:0 gamma: 0.307746478268348 theta/vega/undPrice: -5.28649911333527E-06-2.50268465227533E-05-1.578</t>
  </si>
  <si>
    <t>2014-11-26 15:51:28.292: RTWSControl  - tickOptionComputation - id:200042 tickType:10 impliedVol:8.86293927434175E-02 delta:-4.46907229082347E-02 optPrice:1.99999994947575E-04 pvDividend:0 gamma: 1.79769313486232E+308 theta/vega/undPrice: -2.35676460079524E-04-1.433222029739E-04-1.578</t>
  </si>
  <si>
    <t>2014-11-26 15:51:28.358: RTWSControl  - tickOptionComputation - id:200042 tickType:11 impliedVol:8.86293927434175E-02 delta:-4.46907229082347E-02 optPrice:1.99999994947575E-04 pvDividend:0 gamma: 1.79769313486232E+308 theta/vega/undPrice: -2.35676460079524E-04-1.433222029739E-04-1.578</t>
  </si>
  <si>
    <t>2014-11-26 15:51:28.411: RTWSControl  - tickOptionComputation - id:200041 tickType:10 impliedVol:5.93200217184797E-02 delta:0.965453463152115 optPrice:1.31000000983477E-02 pvDividend:0 gamma: 1.79769313486232E+308 theta/vega/undPrice: -1.27009921727323E-04-1.22115290510065E-04-1.578</t>
  </si>
  <si>
    <t>2014-11-26 15:51:28.452: RTWSControl  - tickOptionComputation - id:200041 tickType:11 impliedVol:7.97531893047277E-02 delta:0.91186882758987 optPrice:0.013399999588728 pvDividend:0 gamma: 1.79769313486232E+308 theta/vega/undPrice: -3.58355562652638E-04-2.15327661641654E-04-1.578</t>
  </si>
  <si>
    <t>2014-11-26 15:51:28.508: RTWSControl  - tickOptionComputation - id:200043 tickType:10 impliedVol:6.77992730013092E-02 delta:-5.61153478285586E-02 optPrice:1.99999994947575E-04 pvDividend:0 gamma: 1.79769313486232E+308 theta/vega/undPrice: -2.14807180604571E-04-1.57806789848621E-04-1.578</t>
  </si>
  <si>
    <t>2014-11-26 15:51:28.551: RTWSControl  - tickOptionComputation - id:200043 tickType:11 impliedVol:7.47986602143862E-02 delta:-7.35310096127889E-02 optPrice:3.00000014249235E-04 pvDividend:0 gamma: 1.79769313486232E+308 theta/vega/undPrice: -2.9502177247965E-04-2.08045471591872E-04-1.578</t>
  </si>
  <si>
    <t>2014-11-26 15:51:28.608: RTWSControl  - tickOptionComputation - id:200044 tickType:10 impliedVol:6.00684997168188E-02 delta:0.865539146081158 optPrice:0.008500000461936 pvDividend:0 gamma: 1.79769313486232E+308 theta/vega/undPrice: -3.67246801086695E-04-2.9783254570123E-04-1.578</t>
  </si>
  <si>
    <t>2014-11-26 15:51:28.657: RTWSControl  - tickOptionComputation - id:200044 tickType:11 impliedVol:7.34988465989464E-02 delta:0.81664635260512 optPrice:8.89999978244305E-03 pvDividend:0 gamma: 1.79769313486232E+308 theta/vega/undPrice: -5.51331178117117E-04-3.45474968355203E-04-1.578</t>
  </si>
  <si>
    <t>2014-11-26 15:51:28.703: RTWSControl  - tickOptionComputation - id:200046 tickType:10 impliedVol:6.34222086979133E-02 delta:-0.148600998974038 optPrice:6.00000028498471E-04 pvDividend:0 gamma: 1.79769313486232E+308 theta/vega/undPrice: -4.13268309951024E-04-2.97832733961395E-04-1.578</t>
  </si>
  <si>
    <t>2014-11-26 15:51:28.744: RTWSControl  - tickOptionComputation - id:200046 tickType:11 impliedVol:7.01159046843101E-02 delta:-0.172793752750152 optPrice:7.999999797903E-04 pvDividend:0 gamma: 1.79769313486232E+308 theta/vega/undPrice: -5.05016291869536E-04-3.17997280707485E-04-1.578</t>
  </si>
  <si>
    <t>2014-11-26 15:51:28.788: RTWSControl  - tickOptionComputation - id:200045 tickType:10 impliedVol:6.07633413581012E-02 delta:0.65821976438305 optPrice:4.69999993219972E-03 pvDividend:0 gamma: 1.79769313486232E+308 theta/vega/undPrice: -6.28100915158311E-04-4.45690991170019E-04-1.578</t>
  </si>
  <si>
    <t>2014-11-26 15:51:28.834: RTWSControl  - tickOptionComputation - id:200045 tickType:11 impliedVol:6.52325570395894E-02 delta:0.6481031166571 optPrice:4.90000005811453E-03 pvDividend:0 gamma: 1.79769313486232E+308 theta/vega/undPrice: -6.82353422825264E-04-4.45690790827575E-04-1.578</t>
  </si>
  <si>
    <t>2014-11-26 15:51:28.902: RTWSControl  - tickOptionComputation - id:200047 tickType:10 impliedVol:6.07622361482845E-02 delta:-0.341764258495275 optPrice:1.70000002253801E-03 pvDividend:0 gamma: 1.79769313486232E+308 theta/vega/undPrice: -6.28109231516838E-04-4.45691632716105E-04-1.578</t>
  </si>
  <si>
    <t>2014-11-26 15:51:28.949: RTWSControl  - tickOptionComputation - id:200047 tickType:11 impliedVol:6.52309793306103E-02 delta:-0.351880284394625 optPrice:1.9000000320375E-03 pvDividend:0 gamma: 1.79769313486232E+308 theta/vega/undPrice: -6.82356188907432E-04-4.45691435260063E-04-1.578</t>
  </si>
  <si>
    <t>2014-11-26 15:51:28.996: RTWSControl  - tickOptionComputation - id:200049 tickType:10 impliedVol:6.76801479578345E-02 delta:0.684091470232449 optPrice:1.15000000223517E-02 pvDividend:0 gamma: 1.79769313486232E+308 theta/vega/undPrice: -3.29975935992051E-04-9.14224213766896E-04-1.578</t>
  </si>
  <si>
    <t>2014-11-26 15:51:29.35: RTWSControl  - tickOptionComputation - id:200049 tickType:11 impliedVol:7.09685245932251E-02 delta:0.676164868703976 optPrice:1.18000004440546E-02 pvDividend:0 gamma: 1.79769313486232E+308 theta/vega/undPrice: -3.49370376495365E-04-9.14222777619562E-04-1.578</t>
  </si>
  <si>
    <t>2014-11-26 15:51:29.81: RTWSControl  - tickOptionComputation - id:200050 tickType:10 impliedVol:6.87684004175551E-02 delta:-0.31856044118283 optPrice:3.59999993816018E-03 pvDividend:0 gamma: 1.79769313486232E+308 theta/vega/undPrice: -3.36451466325285E-04-9.14229329538651E-04-1.578</t>
  </si>
  <si>
    <t>2014-11-26 15:51:29.123: RTWSControl  - tickOptionComputation - id:200050 tickType:11 impliedVol:0.069870164636941 delta:-0.321215301404261 optPrice:3.70000000111759E-03 pvDividend:0 gamma: 1.79769313486232E+308 theta/vega/undPrice: -3.42949630976617E-04-9.14228855384833E-04-1.578</t>
  </si>
  <si>
    <t>2014-11-26 15:51:29.189: RTWSControl  - tickOptionComputation - id:200051 tickType:10 impliedVol:6.75613645699906E-02 delta:-0.313704062725476 optPrice:3.40000004507601E-03 pvDividend:0 gamma: 1.79769313486232E+308 theta/vega/undPrice: -3.30424921621908E-04-8.76923981700581E-04-1.578</t>
  </si>
  <si>
    <t>2014-11-26 15:51:29.237: RTWSControl  - tickOptionComputation - id:200051 tickType:11 impliedVol:0.070963536996961 delta:-0.321814250845503 optPrice:3.70000000111759E-03 pvDividend:0 gamma: 1.79769313486232E+308 theta/vega/undPrice: -3.50825459652351E-04-8.86429390661037E-04-1.578</t>
  </si>
  <si>
    <t>2014-11-26 15:51:29.284: RTWSControl  - tickOptionComputation - id:200052 tickType:10 impliedVol:1.79769313486232E+308 delta:1.79769313486232E+308 optPrice:1.79769313486232E+308 pvDividend:0 gamma: 1.79769313486232E+308 theta/vega/undPrice: 1.79769313486232E+308-1.79769313486232E+308-1.578</t>
  </si>
  <si>
    <t>2014-11-26 15:51:29.320: RTWSControl  - tickOptionComputation - id:200052 tickType:11 impliedVol:1.79769313486232E+308 delta:1.79769313486232E+308 optPrice:1.79769313486232E+308 pvDividend:0 gamma: 1.79769313486232E+308 theta/vega/undPrice: 1.79769313486232E+308-1.79769313486232E+308-1.578</t>
  </si>
  <si>
    <t>2014-11-26 15:51:29.362: RTWSControl  - tickOptionComputation - id:200048 tickType:10 impliedVol:7.99493133742173E-02 delta:-2.59181787108841E-02 optPrice:1.99999994947575E-04 pvDividend:0 gamma: 1.79769313486232E+308 theta/vega/undPrice: -6.57137725767498E-05-1.79313236657364E-04-1.578</t>
  </si>
  <si>
    <t>2014-11-26 15:51:29.408: RTWSControl  - tickOptionComputation - id:200048 tickType:11 impliedVol:8.55002181304128E-02 delta:-3.48368804510577E-02 optPrice:3.00000014249235E-04 pvDividend:0 gamma: 1.79769313486232E+308 theta/vega/undPrice: -8.98510061599712E-05-2.34741774593657E-04-1.578</t>
  </si>
  <si>
    <t>2014-11-26 15:51:29.452: RTWSControl  - tickOptionComputation - id:200053 tickType:10 impliedVol:6.32403343721578E-02 delta:8.28507360147101E-02 optPrice:6.00000028498471E-04 pvDividend:0 gamma: 1.79769313486232E+308 theta/vega/undPrice: -1.32514935938404E-04-4.47315336233711E-04-1.578</t>
  </si>
  <si>
    <t>2014-11-26 15:51:29.491: RTWSControl  - tickOptionComputation - id:200053 tickType:11 impliedVol:6.54596626131614E-02 delta:9.12546850335363E-02 optPrice:6.99999975040555E-04 pvDividend:0 gamma: 1.79769313486232E+308 theta/vega/undPrice: -1.4687065873887E-04-4.47314902425096E-04-1.578</t>
  </si>
  <si>
    <t>2014-11-26 15:51:29.537: RTWSControl  - tickOptionComputation - id:200054 tickType:10 impliedVol:1.79769313486232E+308 delta:1.79769313486232E+308 optPrice:1.79769313486232E+308 pvDividend:0 gamma: 1.79769313486232E+308 theta/vega/undPrice: 1.79769313486232E+308-1.79769313486232E+308-1.578</t>
  </si>
  <si>
    <t>2014-11-26 15:51:29.573: RTWSControl  - tickOptionComputation - id:200054 tickType:11 impliedVol:9.18662069255419E-02 delta:1.23652782320869E-02 optPrice:9.99999974737875E-05 pvDividend:0 gamma: 1.79769313486232E+308 theta/vega/undPrice: -4.01586780757209E-05-1.03768187397755E-04-1.578</t>
  </si>
  <si>
    <t>2014-11-26 15:51:30.232: RTWSControl  - tickOptionComputation - id:200042 tickType:13 impliedVol:7.90682089258041E-02 delta:-2.92025139682066E-02 optPrice:1.10393590809439E-04 pvDividend:0 gamma: 1.79769313486232E+308 theta/vega/undPrice: -1.47213895433553E-04-9.58956189758071E-05-1.578</t>
  </si>
  <si>
    <t>2014-11-26 15:51:30.299: RTWSControl  - tickOptionComputation - id:200041 tickType:13 impliedVol:0.070823496511025 delta:0.936041170666877 optPrice:1.32435331368676E-02 pvDividend:0 gamma: 1.79769313486232E+308 theta/vega/undPrice: -2.49379577005096E-04-1.79513139929395E-04-1.578</t>
  </si>
  <si>
    <t>2014-11-26 15:51:30.351: RTWSControl  - tickOptionComputation - id:200043 tickType:13 impliedVol:0.070823496511025 delta:-6.40713529257996E-02 optPrice:2.43719280834253E-04 pvDividend:0 gamma: 1.79769313486232E+308 theta/vega/undPrice: -2.49465490213248E-04-1.79513413001407E-04-1.578</t>
  </si>
  <si>
    <t>2014-11-26 15:51:30.402: RTWSControl  - tickOptionComputation - id:200044 tickType:13 impliedVol:6.53565576227493E-02 delta:0.843990277565214 optPrice:8.65749602385756E-03 pvDividend:0 gamma: 1.79769313486232E+308 theta/vega/undPrice: -4.39728147218639E-04-2.9783238649618E-04-1.578</t>
  </si>
  <si>
    <t>2014-11-26 15:51:30.449: RTWSControl  - tickOptionComputation - id:200046 tickType:13 impliedVol:6.53565576227493E-02 delta:-0.156122421292274 optPrice:6.57611294790768E-04 pvDividend:0 gamma: 1.79769313486232E+308 theta/vega/undPrice: -4.3978171779606E-04-2.97832676431525E-04-1.578</t>
  </si>
  <si>
    <t>2014-11-26 15:51:30.491: RTWSControl  - tickOptionComputation - id:200045 tickType:13 impliedVol:6.26673922609768E-02 delta:0.653814848527803 optPrice:4.78529095320542E-03 pvDividend:0 gamma: 1.79769313486232E+308 theta/vega/undPrice: -6.51214494029058E-04-4.45690907177244E-04-1.578</t>
  </si>
  <si>
    <t>2014-11-26 15:51:30.531: RTWSControl  - tickOptionComputation - id:200047 tickType:13 impliedVol:6.26673922609768E-02 delta:-0.346298332702043 optPrice:1.78533678237578E-03 pvDividend:0 gamma: 1.79769313486232E+308 theta/vega/undPrice: -6.5123630576974E-04-4.45691549895815E-04-1.578</t>
  </si>
  <si>
    <t>2014-11-26 15:51:30.574: RTWSControl  - tickOptionComputation - id:200049 tickType:13 impliedVol:6.87670027533862E-02 delta:0.681472907077125 optPrice:1.15993632437732E-02 pvDividend:0 gamma: 1.79769313486232E+308 theta/vega/undPrice: -3.36386079988148E-04-9.14223744874031E-04-1.578</t>
  </si>
  <si>
    <t>2014-11-26 15:51:30.614: RTWSControl  - tickOptionComputation - id:200050 tickType:13 impliedVol:6.87670027533862E-02 delta:-0.318597305185933 optPrice:3.59987218461437E-03 pvDividend:0 gamma: 1.79769313486232E+308 theta/vega/undPrice: -3.36443222948263E-04-9.14229330138179E-04-1.578</t>
  </si>
  <si>
    <t>2014-11-26 15:51:30.654: RTWSControl  - tickOptionComputation - id:200051 tickType:13 impliedVol:0.070963537000365 delta:-0.321854949336571 optPrice:3.70001766398847E-03 pvDividend:0 gamma: 1.79769313486232E+308 theta/vega/undPrice: -3.50825459672693E-04-8.86429390669916E-04-1.578</t>
  </si>
  <si>
    <t>2014-11-26 15:51:30.697: RTWSControl  - tickOptionComputation - id:200052 tickType:13 impliedVol:0.118248954298142 delta:-0.523592503479571 optPrice:1.27000000112636E-02 pvDividend:0 gamma: 1.79769313486232E+308 theta/vega/undPrice: -6.49432962118767E-04-9.8480685696949E-04-1.578</t>
  </si>
  <si>
    <t>2014-11-26 15:51:30.738: RTWSControl  - tickOptionComputation - id:200048 tickType:13 impliedVol:8.24062371190486E-02 delta:-3.00182825504588E-02 optPrice:2.44520815657388E-04 pvDividend:0 gamma: 1.79769313486232E+308 theta/vega/undPrice: -7.63973304520908E-05-1.99702740743604E-04-1.578</t>
  </si>
  <si>
    <t>2014-11-26 15:51:30.783: RTWSControl  - tickOptionComputation - id:200053 tickType:13 impliedVol:6.48326815024571E-02 delta:8.89498329142594E-02 optPrice:6.71228291139548E-04 pvDividend:0 gamma: 1.79769313486232E+308 theta/vega/undPrice: -1.42815034372738E-04-4.47315024138182E-04-1.578</t>
  </si>
  <si>
    <t>2014-11-26 15:51:30.822: RTWSControl  - tickOptionComputation - id:200054 tickType:13 impliedVol:7.06032733662632E-02 delta:1.64033410393798E-03 optPrice:8.4709228530601E-06 pvDividend:0 gamma: 0.298172055997069 theta/vega/undPrice: -5.06866710481762E-06-2.34449707705168E-05-1.578</t>
  </si>
  <si>
    <t>2014-11-26 15:51:32.232: RTWSControl  - tickOptionComputation - id:200041 tickType:10 impliedVol:9.02246093750136E-03 delta:0.999985985633384 optPrice:1.30000002682209E-02 pvDividend:0 gamma: -1.76768165182063E-09 theta/vega/undPrice: 8.55564392746089E-08-2.59228402632594E-13-1.578</t>
  </si>
  <si>
    <t>2014-11-26 15:51:32.440: RTWSControl  - tickOptionComputation - id:200044 tickType:11 impliedVol:7.01412586907257E-02 delta:0.827109664747402 optPrice:8.79999995231628E-03 pvDividend:0 gamma: 1.79769313486232E+308 theta/vega/undPrice: -5.05310113499483E-04-3.18202433175305E-04-1.578</t>
  </si>
  <si>
    <t>2014-11-26 15:51:32.521: RTWSControl  - tickOptionComputation - id:200049 tickType:11 impliedVol:6.98678805874315E-02 delta:0.678733886544891 optPrice:1.16999996826053E-02 pvDividend:0 gamma: 1.79769313486232E+308 theta/vega/undPrice: -3.42878921997088E-04-9.14223264119069E-04-1.578</t>
  </si>
  <si>
    <t>2014-11-26 15:51:32.573: RTWSControl  - tickOptionComputation - id:200050 tickType:11 impliedVol:0.070956117372773 delta:-0.32375041053699 optPrice:3.80000006407499E-03 pvDividend:0 gamma: 1.79769313486232E+308 theta/vega/undPrice: -3.49354531826554E-04-9.14228382303635E-04-1.578</t>
  </si>
  <si>
    <t>2014-11-26 15:51:32.617: RTWSControl  - tickOptionComputation - id:200052 tickType:10 impliedVol:1.79769313486232E+308 delta:1.79769313486232E+308 optPrice:1.79769313486232E+308 pvDividend:0 gamma: 1.79769313486232E+308 theta/vega/undPrice: 1.79769313486232E+308-1.79769313486232E+308-1.578</t>
  </si>
  <si>
    <t>2014-11-26 15:51:32.653: RTWSControl  - tickOptionComputation - id:200052 tickType:11 impliedVol:1.79769313486232E+308 delta:1.79769313486232E+308 optPrice:1.79769313486232E+308 pvDividend:0 gamma: 1.79769313486232E+308 theta/vega/undPrice: 1.79769313486232E+308-1.79769313486232E+308-1.578</t>
  </si>
  <si>
    <t>2014-11-26 15:51:32.695: RTWSControl  - tickOptionComputation - id:200054 tickType:10 impliedVol:1.79769313486232E+308 delta:1.79769313486232E+308 optPrice:1.79769313486232E+308 pvDividend:0 gamma: 1.79769313486232E+308 theta/vega/undPrice: 1.79769313486232E+308-1.79769313486232E+308-1.578</t>
  </si>
  <si>
    <t>2014-11-26 15:51:32.825: DirectionIndicator - notify - price/longMA/ShortMA/prevDirection are 1.5779/1.57796898826591/1.5779617434543/1</t>
  </si>
  <si>
    <t>2014-11-26 15:51:32.825: Algorithm - handleTransition - currentHedgeShortfall is NOT ZERO and AUTOHEDGE IS NOT ENABLED!</t>
  </si>
  <si>
    <t>2014-11-26 15:51:33.113: DirectionIndicator - notify - price/longMA/ShortMA/prevDirection are 1.57785/1.57794735403574/1.5779244956362/1</t>
  </si>
  <si>
    <t>2014-11-26 15:51:33.113: Algorithm - handleTransition - currentHedgeShortfall is NOT ZERO and AUTOHEDGE IS NOT ENABLED!</t>
  </si>
  <si>
    <t>2014-11-26 15:51:33.700: RTWSControl  - tickOptionComputation - id:200042 tickType:13 impliedVol:7.90682089258041E-02 delta:-2.99520197620026E-02 optPrice:1.13616906189545E-04 pvDividend:0 gamma: 1.79769313486232E+308 theta/vega/undPrice: -1.50323762196905E-04-9.85776721885898E-05-1.5779</t>
  </si>
  <si>
    <t>2014-11-26 15:51:33.824: RTWSControl  - tickOptionComputation - id:200041 tickType:13 impliedVol:0.070823496511025 delta:0.93467341688318 optPrice:0.013149448225177 pvDividend:0 gamma: 1.79769313486232E+308 theta/vega/undPrice: -2.53679027048754E-04-1.83676011001501E-04-1.5779</t>
  </si>
  <si>
    <t>2014-11-26 15:51:33.874: RTWSControl  - tickOptionComputation - id:200043 tickType:13 impliedVol:0.070823496511025 delta:-6.54391077089727E-02 optPrice:2.49632942621544E-04 pvDividend:0 gamma: 1.79769313486232E+308 theta/vega/undPrice: -2.53764286378353E-04-1.8367628745219E-04-1.5779</t>
  </si>
  <si>
    <t>2014-11-26 15:51:33.937: RTWSControl  - tickOptionComputation - id:200044 tickType:13 impliedVol:6.53565576227493E-02 delta:0.8409156697962 optPrice:8.57354728238658E-03 pvDividend:0 gamma: 1.79769313486232E+308 theta/vega/undPrice: -4.45400887922579E-04-2.97822950849571E-04-1.5779</t>
  </si>
  <si>
    <t>2014-11-26 15:51:33.990: RTWSControl  - tickOptionComputation - id:200046 tickType:13 impliedVol:6.53565576227493E-02 delta:-0.159197032283942 optPrice:6.73661135977067E-04 pvDividend:0 gamma: 1.79769313486232E+308 theta/vega/undPrice: -4.45453810216173E-04-2.97823241860841E-04-1.5779</t>
  </si>
  <si>
    <t>2014-11-26 15:51:34.32: RTWSControl  - tickOptionComputation - id:200045 tickType:13 impliedVol:6.26673922609768E-02 delta:0.649015845524793 optPrice:4.71879391651612E-03 pvDividend:0 gamma: 1.79769313486232E+308 theta/vega/undPrice: -6.54841009140196E-04-4.45676787362495E-04-1.5779</t>
  </si>
  <si>
    <t>2014-11-26 15:51:34.73: RTWSControl  - tickOptionComputation - id:200047 tickType:13 impliedVol:6.26673922609768E-02 delta:-0.35109734349212 optPrice:1.81883835165548E-03 pvDividend:0 gamma: 1.79769313486232E+308 theta/vega/undPrice: -6.54862180426512E-04-4.45677431528525E-04-1.5779</t>
  </si>
  <si>
    <t>2014-11-26 15:51:34.116: RTWSControl  - tickOptionComputation - id:200049 tickType:13 impliedVol:6.87670027533862E-02 delta:0.679348535720132 optPrice:1.15327583229926E-02 pvDividend:0 gamma: 1.79769313486232E+308 theta/vega/undPrice: -3.37238269448729E-04-9.14194775319305E-04-1.5779</t>
  </si>
  <si>
    <t>2014-11-26 15:51:34.158: RTWSControl  - tickOptionComputation - id:200050 tickType:13 impliedVol:6.87670027533862E-02 delta:-0.320721691173737 optPrice:3.63326137869137E-03 pvDividend:0 gamma: 1.79769313486232E+308 theta/vega/undPrice: -3.3729477194746E-04-9.1420036631423E-04-1.5779</t>
  </si>
  <si>
    <t>2014-11-26 15:51:34.197: RTWSControl  - tickOptionComputation - id:200051 tickType:13 impliedVol:0.070963537000365 delta:-0.323900447514791 optPrice:3.7323011818226E-03 pvDividend:0 gamma: 1.79769313486232E+308 theta/vega/undPrice: -0.000351723290976-8.88698317058543E-04-1.5779</t>
  </si>
  <si>
    <t>2014-11-26 15:51:34.238: RTWSControl  - tickOptionComputation - id:200052 tickType:13 impliedVol:0.118248954298142 delta:-0.524954351125451 optPrice:1.27524185852452E-02 pvDividend:0 gamma: 1.79769313486232E+308 theta/vega/undPrice: -6.49256446994331E-04-9.8453974512727E-04-1.5779</t>
  </si>
  <si>
    <t>2014-11-26 15:51:34.281: RTWSControl  - tickOptionComputation - id:200048 tickType:13 impliedVol:8.24062371190486E-02 delta:-3.03660039792015E-02 optPrice:2.47718947307983E-04 pvDividend:0 gamma: 1.79769313486232E+308 theta/vega/undPrice: -7.7127878290163E-05-2.02364066868752E-04-1.5779</t>
  </si>
  <si>
    <t>2014-11-26 15:51:34.324: RTWSControl  - tickOptionComputation - id:200053 tickType:13 impliedVol:6.48326815024571E-02 delta:8.78466623276114E-02 optPrice:6.61005408583948E-04 pvDividend:0 gamma: 1.79769313486232E+308 theta/vega/undPrice: -1.41544681505603E-04-4.47300848922336E-04-1.5779</t>
  </si>
  <si>
    <t>2014-11-26 15:51:34.363: RTWSControl  - tickOptionComputation - id:200054 tickType:13 impliedVol:7.06032733662632E-02 delta:1.61593783725692E-03 optPrice:8.33842917293065E-06 pvDividend:0 gamma: 0.294011944964188 theta/vega/undPrice: -4.99731546842925E-06-2.27966398247982E-05-1.5779</t>
  </si>
  <si>
    <t>2014-11-26 15:51:34.651: RTWSControl  - tickOptionComputation - id:200042 tickType:10 impliedVol:8.81940579471856E-02 delta:-0.04481373351701 optPrice:1.99999994947575E-04 pvDividend:0 gamma: 1.79769313486232E+308 theta/vega/undPrice: -2.34987906872094E-04-1.43317670397019E-04-1.5779</t>
  </si>
  <si>
    <t>2014-11-26 15:51:34.699: RTWSControl  - tickOptionComputation - id:200042 tickType:11 impliedVol:8.81940579471856E-02 delta:-0.04481373351701 optPrice:1.99999994947575E-04 pvDividend:0 gamma: 1.79769313486232E+308 theta/vega/undPrice: -2.34987906872094E-04-1.43317670397019E-04-1.5779</t>
  </si>
  <si>
    <t>2014-11-26 15:51:34.745: RTWSControl  - tickOptionComputation - id:200042 tickType:13 impliedVol:7.83921297527854E-02 delta:-2.87900499866715E-02 optPrice:1.07678225469811E-04 pvDividend:0 gamma: 1.79769313486232E+308 theta/vega/undPrice: -1.44244062352358E-04-9.48269371744005E-05-1.5779</t>
  </si>
  <si>
    <t>2014-11-26 15:51:34.785: RTWSControl  - tickOptionComputation - id:200041 tickType:10 impliedVol:5.89622197995993E-02 delta:0.965238316862119 optPrice:1.30000002682209E-02 pvDividend:0 gamma: 1.79769313486232E+308 theta/vega/undPrice: -1.26903352985755E-04-1.22812631105371E-04-1.5779</t>
  </si>
  <si>
    <t>2014-11-26 15:51:34.829: RTWSControl  - tickOptionComputation - id:200041 tickType:11 impliedVol:7.92590291095495E-02 delta:0.911515430391362 optPrice:1.32999997586012E-02 pvDividend:0 gamma: 1.79769313486232E+308 theta/vega/undPrice: -3.57134559371659E-04-2.15320852425522E-04-1.5779</t>
  </si>
  <si>
    <t>2014-11-26 15:51:34.872: RTWSControl  - tickOptionComputation - id:200041 tickType:13 impliedVol:7.03282057576473E-02 delta:0.935918759348894 optPrice:1.31423384519005E-02 pvDividend:0 gamma: 1.79769313486232E+308 theta/vega/undPrice: -2.48003066389096E-04-1.80121136568552E-04-1.5779</t>
  </si>
  <si>
    <t>2014-11-26 15:51:34.916: RTWSControl  - tickOptionComputation - id:200043 tickType:10 impliedVol:6.73741077950454E-02 delta:-0.056377975245209 optPrice:1.99999994947575E-04 pvDividend:0 gamma: 1.79769313486232E+308 theta/vega/undPrice: -2.14234735145576E-04-1.58918788735154E-04-1.5779</t>
  </si>
  <si>
    <t>2014-11-26 15:51:34.960: RTWSControl  - tickOptionComputation - id:200043 tickType:11 impliedVol:7.43139385237124E-02 delta:-7.37344831640918E-02 optPrice:3.00000014249235E-04 pvDividend:0 gamma: 1.79769313486232E+308 theta/vega/undPrice: -2.93764281936598E-04-2.08728423766088E-04-1.5779</t>
  </si>
  <si>
    <t>2014-11-26 15:51:35.31: RTWSControl  - tickOptionComputation - id:200043 tickType:13 impliedVol:7.03282057576473E-02 delta:-6.41937643341499E-02 optPrice:2.42523164454933E-04 pvDividend:0 gamma: 1.79769313486232E+308 theta/vega/undPrice: -2.48088319334762E-04-1.80121409245495E-04-1.5779</t>
  </si>
  <si>
    <t>2014-11-26 15:51:35.75: RTWSControl  - tickOptionComputation - id:200044 tickType:10 impliedVol:5.95198465161025E-02 delta:0.864631888336867 optPrice:8.39999970048666E-03 pvDividend:0 gamma: 1.79769313486232E+308 theta/vega/undPrice: -3.6540189762866E-04-2.97823124432712E-04-1.5779</t>
  </si>
  <si>
    <t>2014-11-26 15:51:35.118: RTWSControl  - tickOptionComputation - id:200044 tickType:11 impliedVol:7.29485020730731E-02 delta:0.81554012835081 optPrice:8.79999995231628E-03 pvDividend:0 gamma: 1.79769313486232E+308 theta/vega/undPrice: -5.49457279997642E-04-3.48856317150259E-04-1.5779</t>
  </si>
  <si>
    <t>2014-11-26 15:51:35.164: RTWSControl  - tickOptionComputation - id:200044 tickType:13 impliedVol:6.52000006061542E-02 delta:0.841498934611456 optPrice:8.56888465275572E-03 pvDividend:0 gamma: 1.79769313486232E+308 theta/vega/undPrice: -4.43255091042072E-04-2.97822955511879E-04-1.5779</t>
  </si>
  <si>
    <t>2014-11-26 15:51:35.208: RTWSControl  - tickOptionComputation - id:200046 tickType:10 impliedVol:0.062887674024881 delta:-0.149641027339597 optPrice:6.00000028498471E-04 pvDividend:0 gamma: 1.79769313486232E+308 theta/vega/undPrice: -4.11614803118117E-04-2.97823313559422E-04-1.5779</t>
  </si>
  <si>
    <t>2014-11-26 15:51:35.250: RTWSControl  - tickOptionComputation - id:200046 tickType:11 impliedVol:6.95969659132653E-02 delta:-0.173972395050702 optPrice:7.999999797903E-04 pvDividend:0 gamma: 1.79769313486232E+308 theta/vega/undPrice: -5.03573647846727E-04-3.21634589707867E-04-1.5779</t>
  </si>
  <si>
    <t>2014-11-26 15:51:35.323: RTWSControl  - tickOptionComputation - id:200046 tickType:13 impliedVol:6.52000006061542E-02 delta:-0.158613766857748 optPrice:6.68998501821169E-04 pvDividend:0 gamma: 1.79769313486232E+308 theta/vega/undPrice: -4.43308009230659E-04-2.97823246070825E-04-1.5779</t>
  </si>
  <si>
    <t>2014-11-26 15:51:35.367: RTWSControl  - tickOptionComputation - id:200045 tickType:10 impliedVol:6.00070046809238E-02 delta:0.655070937346906 optPrice:4.60000010207295E-03 pvDividend:0 gamma: 1.79769313486232E+308 theta/vega/undPrice: -6.2254715848154E-04-4.4567690354204E-04-1.5779</t>
  </si>
  <si>
    <t>2014-11-26 15:51:35.410: RTWSControl  - tickOptionComputation - id:200045 tickType:11 impliedVol:6.44791786238781E-02 delta:0.645045890296323 optPrice:4.80000022798777E-03 pvDividend:0 gamma: 1.79769313486232E+308 theta/vega/undPrice: -6.76833867043536E-04-4.45676705984097E-04-1.5779</t>
  </si>
  <si>
    <t>2014-11-26 15:51:35.456: RTWSControl  - tickOptionComputation - id:200045 tickType:13 impliedVol:6.30075142984197E-02 delta:0.648268728238798 optPrice:4.7339523733659E-03 pvDividend:0 gamma: 1.79769313486232E+308 theta/vega/undPrice: -6.58969673075701E-04-4.45676772224362E-04-1.5779</t>
  </si>
  <si>
    <t>2014-11-26 15:51:35.499: RTWSControl  - tickOptionComputation - id:200047 tickType:10 impliedVol:6.22272915892744E-02 delta:-0.350074138503423 optPrice:1.79999996908009E-03 pvDividend:0 gamma: 1.79769313486232E+308 theta/vega/undPrice: -6.49519879846729E-04-4.45677450737649E-04-1.5779</t>
  </si>
  <si>
    <t>2014-11-26 15:51:35.543: RTWSControl  - tickOptionComputation - id:200047 tickType:11 impliedVol:6.67215923403293E-02 delta:-0.359458498742616 optPrice:2.0000000949949E-03 pvDividend:0 gamma: 1.79769313486232E+308 theta/vega/undPrice: -7.04075337525648E-04-4.45677253056453E-04-1.5779</t>
  </si>
  <si>
    <t>2014-11-26 15:51:35.614: RTWSControl  - tickOptionComputation - id:200047 tickType:13 impliedVol:6.30075142984197E-02 delta:-0.351844461989562 optPrice:1.8339968302782E-03 pvDividend:0 gamma: 1.79769313486232E+308 theta/vega/undPrice: -6.58990858476163E-04-4.45677416610665E-04-1.5779</t>
  </si>
  <si>
    <t>2014-11-26 15:51:35.659: RTWSControl  - tickOptionComputation - id:200049 tickType:10 impliedVol:0.067312272699022 delta:0.682857073227352 optPrice:0.011400000192225 pvDividend:0 gamma: 1.79769313486232E+308 theta/vega/undPrice: -3.28658709799847E-04-9.14195400194356E-04-1.5779</t>
  </si>
  <si>
    <t>2014-11-26 15:51:35.702: RTWSControl  - tickOptionComputation - id:200049 tickType:11 impliedVol:7.05965806242654E-02 delta:0.674954771994181 optPrice:1.16999996826053E-02 pvDividend:0 gamma: 1.79769313486232E+308 theta/vega/undPrice: -3.48028548011716E-04-9.14193974931548E-04-1.5779</t>
  </si>
  <si>
    <t>2014-11-26 15:51:35.750: RTWSControl  - tickOptionComputation - id:200049 tickType:13 impliedVol:6.84866382344076E-02 delta:0.680029346409209 optPrice:1.15071274839636E-02 pvDividend:0 gamma: 1.79769313486232E+308 theta/vega/undPrice: -3.35584765088222E-04-9.14194896543279E-04-1.5779</t>
  </si>
  <si>
    <t>2014-11-26 15:51:35.791: RTWSControl  - tickOptionComputation - id:200050 tickType:10 impliedVol:6.84008708722907E-02 delta:-0.319791034267771 optPrice:3.59999993816018E-03 pvDividend:0 gamma: 1.79769313486232E+308 theta/vega/undPrice: -3.35135406231992E-04-9.14200522221616E-04-1.5779</t>
  </si>
  <si>
    <t>2014-11-26 15:51:35.834: RTWSControl  - tickOptionComputation - id:200050 tickType:11 impliedVol:7.05942132839538E-02 delta:-0.324983597824763 optPrice:3.80000006407499E-03 pvDividend:0 gamma: 1.79769313486232E+308 theta/vega/undPrice: -3.48071246014572E-04-9.14199578575724E-04-1.5779</t>
  </si>
  <si>
    <t>2014-11-26 15:51:35.903: RTWSControl  - tickOptionComputation - id:200050 tickType:13 impliedVol:6.84866382344076E-02 delta:-0.320040875804663 optPrice:3.6076303838192E-03 pvDividend:0 gamma: 1.79769313486232E+308 theta/vega/undPrice: -3.35641243447693E-04-9.14200485758225E-04-1.5779</t>
  </si>
  <si>
    <t>2014-11-26 15:51:35.950: RTWSControl  - tickOptionComputation - id:200051 tickType:10 impliedVol:6.83369208545532E-02 delta:-0.31772358081261 optPrice:3.50000010803342E-03 pvDividend:0 gamma: 1.79769313486232E+308 theta/vega/undPrice: -3.36013609191132E-04-8.81636140549075E-04-1.5779</t>
  </si>
  <si>
    <t>2014-11-26 15:51:35.992: RTWSControl  - tickOptionComputation - id:200051 tickType:11 impliedVol:7.05973451758382E-02 delta:-0.323028920038908 optPrice:3.70000000111759E-03 pvDividend:0 gamma: 1.79769313486232E+308 theta/vega/undPrice: -3.49537959912983E-04-8.87757570477179E-04-1.5779</t>
  </si>
  <si>
    <t>2014-11-26 15:51:36.37: RTWSControl  - tickOptionComputation - id:200051 tickType:13 impliedVol:7.05973300975256E-02 delta:-0.323069737770983 optPrice:3.69977362595526E-03 pvDividend:0 gamma: 1.79769313486232E+308 theta/vega/undPrice: -3.4953786989825E-04-8.8775753145995E-04-1.5779</t>
  </si>
  <si>
    <t>2014-11-26 15:51:36.80: RTWSControl  - tickOptionComputation - id:200052 tickType:10 impliedVol:1.79769313486232E+308 delta:1.79769313486232E+308 optPrice:1.79769313486232E+308 pvDividend:0 gamma: 1.79769313486232E+308 theta/vega/undPrice: 1.79769313486232E+308-1.79769313486232E+308-1.5779</t>
  </si>
  <si>
    <t>2014-11-26 15:51:36.117: RTWSControl  - tickOptionComputation - id:200052 tickType:11 impliedVol:1.79769313486232E+308 delta:1.79769313486232E+308 optPrice:1.79769313486232E+308 pvDividend:0 gamma: 1.79769313486232E+308 theta/vega/undPrice: 1.79769313486232E+308-1.79769313486232E+308-1.5779</t>
  </si>
  <si>
    <t>2014-11-26 15:51:36.159: RTWSControl  - tickOptionComputation - id:200052 tickType:13 impliedVol:0.117711974170428 delta:-0.525101470241499 optPrice:1.26995511900656E-02 pvDividend:0 gamma: 1.79769313486232E+308 theta/vega/undPrice: -6.46293105252984E-04-9.84516942025024E-04-1.5779</t>
  </si>
  <si>
    <t>2014-11-26 15:51:36.206: RTWSControl  - tickOptionComputation - id:200048 tickType:10 impliedVol:0.079767232969485 delta:-2.59635695154827E-02 optPrice:1.99999994947575E-04 pvDividend:0 gamma: 1.79769313486232E+308 theta/vega/undPrice: -6.56529344836271E-05-1.79307573085123E-04-1.5779</t>
  </si>
  <si>
    <t>2014-11-26 15:51:36.250: RTWSControl  - tickOptionComputation - id:200048 tickType:11 impliedVol:8.53187265149967E-02 delta:-3.48996438084676E-02 optPrice:3.00000014249235E-04 pvDividend:0 gamma: 1.79769313486232E+308 theta/vega/undPrice: -8.97919666681063E-05-2.35346681725238E-04-1.5779</t>
  </si>
  <si>
    <t>2014-11-26 15:51:36.322: RTWSControl  - tickOptionComputation - id:200048 tickType:13 impliedVol:8.19849257917582E-02 delta:-2.96827518212719E-02 optPrice:2.40164506337154E-04 pvDividend:0 gamma: 1.79769313486232E+308 theta/vega/undPrice: -7.52959298043883E-05-1.97592900939282E-04-1.5779</t>
  </si>
  <si>
    <t>2014-11-26 15:51:36.368: RTWSControl  - tickOptionComputation - id:200053 tickType:10 impliedVol:6.08277965170963E-02 delta:7.35307883640033E-02 optPrice:5.00000023748726E-04 pvDividend:0 gamma: 1.79769313486232E+308 theta/vega/undPrice: -1.16644551387737E-04-4.29236282346022E-04-1.5779</t>
  </si>
  <si>
    <t>2014-11-26 15:51:36.407: RTWSControl  - tickOptionComputation - id:200053 tickType:11 impliedVol:6.56852687173267E-02 delta:9.09886894040041E-02 optPrice:6.99999975040555E-04 pvDividend:0 gamma: 1.79769313486232E+308 theta/vega/undPrice: -1.47059462746123E-04-4.47300682362027E-04-1.5779</t>
  </si>
  <si>
    <t>2014-11-26 15:51:36.454: RTWSControl  - tickOptionComputation - id:200053 tickType:13 impliedVol:6.52171748445358E-02 delta:8.92789877926133E-02 optPrice:6.78203865141146E-04 pvDividend:0 gamma: 1.79769313486232E+308 theta/vega/undPrice: -1.44031696328678E-04-4.47300773656549E-04-1.5779</t>
  </si>
  <si>
    <t>2014-11-26 15:51:36.499: RTWSControl  - tickOptionComputation - id:200054 tickType:10 impliedVol:1.79769313486232E+308 delta:1.79769313486232E+308 optPrice:1.79769313486232E+308 pvDividend:0 gamma: 1.79769313486232E+308 theta/vega/undPrice: 1.79769313486232E+308-1.79769313486232E+308-1.5779</t>
  </si>
  <si>
    <t>2014-11-26 15:51:36.532: RTWSControl  - tickOptionComputation - id:200054 tickType:11 impliedVol:9.20456089796744E-02 delta:1.23655651059669E-02 optPrice:9.99999974737875E-05 pvDividend:0 gamma: 1.79769313486232E+308 theta/vega/undPrice: -4.02353749316543E-05-1.03764887801723E-04-1.5779</t>
  </si>
  <si>
    <t>2014-11-26 15:51:36.603: RTWSControl  - tickOptionComputation - id:200054 tickType:13 impliedVol:7.21765356221429E-02 delta:1.8891749355258E-03 optPrice:1.00345502457251E-05 pvDividend:0 gamma: 0.333382002764749 theta/vega/undPrice: -5.92183481677826E-06-2.95104121433424E-05-1.5779</t>
  </si>
  <si>
    <t>2014-11-26 15:51:36.859: DirectionIndicator - notify - price/longMA/ShortMA/prevDirection are 1.5778/1.57792056239288/1.5778829970908/-1</t>
  </si>
  <si>
    <t>2014-11-26 15:51:36.859: Algorithm - handleTransition - currentHedgeShortfall is NOT ZERO and AUTOHEDGE IS NOT ENABLED!</t>
  </si>
  <si>
    <t>2014-11-26 15:51:37.203: RTWSControl  - tickOptionComputation - id:200041 tickType:10 impliedVol:1.79769313486232E+308 delta:0.999985985635263 optPrice:1.29000004380941E-02 pvDividend:0 gamma: 9.14881952320957E-08 theta/vega/undPrice: 8.48983108834108E-08--7.32053306862213E-16-1.5779</t>
  </si>
  <si>
    <t>2014-11-26 15:51:37.276: RTWSControl  - tickOptionComputation - id:200044 tickType:11 impliedVol:0.069602462891963 delta:0.825995851836842 optPrice:8.70000012218952E-03 pvDividend:0 gamma: 1.79769313486232E+308 theta/vega/undPrice: -5.0359595683891E-04-3.21678447723102E-04-1.5779</t>
  </si>
  <si>
    <t>2014-11-26 15:51:37.328: RTWSControl  - tickOptionComputation - id:200049 tickType:10 impliedVol:6.73204450028408E-02 delta:0.682836441585179 optPrice:0.011400000192225 pvDividend:0 gamma: 1.79769313486232E+308 theta/vega/undPrice: -3.28706907625998E-04-9.14195396710784E-04-1.5779</t>
  </si>
  <si>
    <t>2014-11-26 15:51:37.368: RTWSControl  - tickOptionComputation - id:200049 tickType:11 impliedVol:6.95025301584884E-02 delta:0.677503187961867 optPrice:1.15999998524785E-02 pvDividend:0 gamma: 1.79769313486232E+308 theta/vega/undPrice: -3.41576183025818E-04-9.14194455488378E-04-1.5779</t>
  </si>
  <si>
    <t>2014-11-26 15:51:37.415: RTWSControl  - tickOptionComputation - id:200052 tickType:10 impliedVol:1.79769313486232E+308 delta:1.79769313486232E+308 optPrice:1.79769313486232E+308 pvDividend:0 gamma: 1.79769313486232E+308 theta/vega/undPrice: 1.79769313486232E+308-1.79769313486232E+308-1.5779</t>
  </si>
  <si>
    <t>2014-11-26 15:51:37.449: RTWSControl  - tickOptionComputation - id:200052 tickType:11 impliedVol:1.79769313486232E+308 delta:1.79769313486232E+308 optPrice:1.79769313486232E+308 pvDividend:0 gamma: 1.79769313486232E+308 theta/vega/undPrice: 1.79769313486232E+308-1.79769313486232E+308-1.5779</t>
  </si>
  <si>
    <t>2014-11-26 15:51:37.492: RTWSControl  - tickOptionComputation - id:200054 tickType:10 impliedVol:1.79769313486232E+308 delta:1.79769313486232E+308 optPrice:1.79769313486232E+308 pvDividend:0 gamma: 1.79769313486232E+308 theta/vega/undPrice: 1.79769313486232E+308-1.79769313486232E+308-1.5779</t>
  </si>
  <si>
    <t>2014-11-26 15:51:37.538: DirectionIndicator - notify - price/longMA/ShortMA/prevDirection are 1.57775/1.57788955104872/1.5778386647272/-1</t>
  </si>
  <si>
    <t>2014-11-26 15:51:37.538: Algorithm - handleTransition - currentHedgeShortfall is NOT ZERO and AUTOHEDGE IS NOT ENABLED!</t>
  </si>
  <si>
    <t>2014-11-26 15:51:37.735: RTWSControl  - tickOptionComputation - id:200042 tickType:13 impliedVol:7.83921297527854E-02 delta:-2.95460793946375E-02 optPrice:1.10901729055662E-04 pvDividend:0 gamma: 1.79769313486232E+308 theta/vega/undPrice: -1.47354121790564E-04-9.75091093331541E-05-1.5778</t>
  </si>
  <si>
    <t>2014-11-26 15:51:37.782: RTWSControl  - tickOptionComputation - id:200041 tickType:13 impliedVol:7.03282057576473E-02 delta:0.934541239352515 optPrice:1.30482537654727E-02 pvDividend:0 gamma: 1.79769313486232E+308 theta/vega/undPrice: -2.52302696267247E-04-1.84284120366177E-04-1.5778</t>
  </si>
  <si>
    <t>2014-11-26 15:51:37.826: RTWSControl  - tickOptionComputation - id:200043 tickType:13 impliedVol:7.03282057576473E-02 delta:-6.55712853371156E-02 optPrice:2.48437051505118E-04 pvDividend:0 gamma: 1.79769313486232E+308 theta/vega/undPrice: -2.52387295334556E-04-1.84284396421696E-04-1.5778</t>
  </si>
  <si>
    <t>2014-11-26 15:51:37.866: RTWSControl  - tickOptionComputation - id:200044 tickType:13 impliedVol:6.52000006061542E-02 delta:0.838416571864899 optPrice:8.48493605903513E-03 pvDividend:0 gamma: 1.79769313486232E+308 theta/vega/undPrice: -4.48927899742439E-04-2.97813519808635E-04-1.5778</t>
  </si>
  <si>
    <t>2014-11-26 15:51:37.907: RTWSControl  - tickOptionComputation - id:200046 tickType:13 impliedVol:6.52000006061542E-02 delta:-0.161696132836847 optPrice:6.85048490760819E-04 pvDividend:0 gamma: 1.79769313486232E+308 theta/vega/undPrice: -4.48980169663333E-04-2.97813814858977E-04-1.5778</t>
  </si>
  <si>
    <t>2014-11-26 15:51:37.949: RTWSControl  - tickOptionComputation - id:200045 tickType:13 impliedVol:6.30075142984197E-02 delta:0.64349499936947 optPrice:4.6674548563922E-03 pvDividend:0 gamma: 1.79769313486232E+308 theta/vega/undPrice: -6.62596057373247E-04-4.45662652488904E-04-1.5778</t>
  </si>
  <si>
    <t>2014-11-26 15:51:37.990: RTWSControl  - tickOptionComputation - id:200047 tickType:13 impliedVol:6.30075142984197E-02 delta:-0.3566181986099 optPrice:1.86749791927945E-03 pvDividend:0 gamma: 1.79769313486232E+308 theta/vega/undPrice: -6.62616602369336E-04-4.45663299991489E-04-1.5778</t>
  </si>
  <si>
    <t>2014-11-26 15:51:38.33: RTWSControl  - tickOptionComputation - id:200049 tickType:13 impliedVol:6.84866382344076E-02 delta:0.67789602795844 optPrice:1.14405233755287E-02 pvDividend:0 gamma: 1.79769313486232E+308 theta/vega/undPrice: -3.36437006955117E-04-9.14165926711695E-04-1.5778</t>
  </si>
  <si>
    <t>2014-11-26 15:51:38.75: RTWSControl  - tickOptionComputation - id:200050 tickType:13 impliedVol:6.84866382344076E-02 delta:-0.322174208947661 optPrice:3.64102039024701E-03 pvDividend:0 gamma: 1.79769313486232E+308 theta/vega/undPrice: -3.36492844853944E-04-9.14171521657241E-04-1.5778</t>
  </si>
  <si>
    <t>2014-11-26 15:51:38.114: RTWSControl  - tickOptionComputation - id:200051 tickType:13 impliedVol:7.05973300975256E-02 delta:-0.325129182316901 optPrice:3.73217929194174E-03 pvDividend:0 gamma: 1.79769313486232E+308 theta/vega/undPrice: -3.50430396632991E-04-8.90024757783846E-04-1.5778</t>
  </si>
  <si>
    <t>2014-11-26 15:51:38.155: RTWSControl  - tickOptionComputation - id:200052 tickType:13 impliedVol:0.117711974170428 delta:-0.526469291119271 optPrice:1.27521210828154E-02 pvDividend:0 gamma: 1.79769313486232E+308 theta/vega/undPrice: -6.46108387033132E-04-9.84236118788916E-04-1.5778</t>
  </si>
  <si>
    <t>2014-11-26 15:51:38.196: RTWSControl  - tickOptionComputation - id:200048 tickType:13 impliedVol:8.19849257917582E-02 delta:-3.00322830708201E-02 optPrice:2.43362877413177E-04 pvDividend:0 gamma: 1.79769313486232E+308 theta/vega/undPrice: -7.60265357030173E-05-2.00254378516715E-04-1.5778</t>
  </si>
  <si>
    <t>2014-11-26 15:51:38.243: RTWSControl  - tickOptionComputation - id:200053 tickType:13 impliedVol:6.52171748445358E-02 delta:0.088182224746836 optPrice:6.67980437821148E-04 pvDividend:0 gamma: 1.79769313486232E+308 theta/vega/undPrice: -1.42761264684872E-04-4.47286597893237E-04-1.5778</t>
  </si>
  <si>
    <t>2014-11-26 15:51:38.280: RTWSControl  - tickOptionComputation - id:200054 tickType:13 impliedVol:7.21765356221429E-02 delta:1.86531627411465E-03 optPrice:9.90200278919719E-06 pvDividend:0 gamma: 0.329405210588147 theta/vega/undPrice: -5.85045386802434E-06-2.88618686791925E-05-1.5778</t>
  </si>
  <si>
    <t>2014-11-26 15:51:38.481: RTWSControl  - tickOptionComputation - id:200042 tickType:13 impliedVol:7.84774799549837E-02 delta:-2.96930581524146E-02 optPrice:1.11651421659564E-04 pvDividend:0 gamma: 1.79769313486232E+308 theta/vega/undPrice: -1.48121616506486E-04-9.7982598048143E-05-1.5778</t>
  </si>
  <si>
    <t>2014-11-26 15:51:38.534: RTWSControl  - tickOptionComputation - id:200042 tickType:10 impliedVol:8.77665645814702E-02 delta:-4.49556151438285E-02 optPrice:1.99999994947575E-04 pvDividend:0 gamma: 1.79769313486232E+308 theta/vega/undPrice: -2.34389383945023E-04-1.43313137473821E-04-1.5778</t>
  </si>
  <si>
    <t>2014-11-26 15:51:38.582: RTWSControl  - tickOptionComputation - id:200042 tickType:11 impliedVol:8.77665645814702E-02 delta:-4.49556151438285E-02 optPrice:1.99999994947575E-04 pvDividend:0 gamma: 1.79769313486232E+308 theta/vega/undPrice: -2.34389383945023E-04-1.43313137473821E-04-1.5778</t>
  </si>
  <si>
    <t>2014-11-26 15:51:38.627: RTWSControl  - tickOptionComputation - id:200041 tickType:13 impliedVol:7.05149613555136E-02 delta:0.934073241948226 optPrice:1.30509345098642E-02 pvDividend:0 gamma: 1.79769313486232E+308 theta/vega/undPrice: -2.5444282074782E-04-1.85624487945471E-04-1.5778</t>
  </si>
  <si>
    <t>2014-11-26 15:51:38.677: RTWSControl  - tickOptionComputation - id:200041 tickType:10 impliedVol:5.86044778416534E-02 delta:0.965020345598286 optPrice:1.29000004380941E-02 pvDividend:0 gamma: 1.79769313486232E+308 theta/vega/undPrice: -1.26797528382874E-04-1.23510430782188E-04-1.5778</t>
  </si>
  <si>
    <t>2014-11-26 15:51:38.715: RTWSControl  - tickOptionComputation - id:200041 tickType:11 impliedVol:7.87812601893123E-02 delta:0.911108284274935 optPrice:1.31999999284744E-02 pvDividend:0 gamma: 1.79769313486232E+308 theta/vega/undPrice: -3.56129424726309E-04-2.15314042484293E-04-1.5778</t>
  </si>
  <si>
    <t>2014-11-26 15:51:38.780: RTWSControl  - tickOptionComputation - id:200043 tickType:13 impliedVol:7.05149613555136E-02 delta:-6.60392830830656E-02 optPrice:2.51117797741535E-04 pvDividend:0 gamma: 1.79769313486232E+308 theta/vega/undPrice: -2.54527422222622E-04-1.85624765422378E-04-1.5778</t>
  </si>
  <si>
    <t>2014-11-26 15:51:38.828: RTWSControl  - tickOptionComputation - id:200043 tickType:10 impliedVol:6.69617708178321E-02 delta:-5.66795863391355E-02 optPrice:1.99999994947575E-04 pvDividend:0 gamma: 1.79769313486232E+308 theta/vega/undPrice: -2.13809603407983E-04-1.60123050841509E-04-1.5778</t>
  </si>
  <si>
    <t>2014-11-26 15:51:38.868: RTWSControl  - tickOptionComputation - id:200043 tickType:11 impliedVol:7.39085576426968E-02 delta:-7.41213323589617E-02 optPrice:3.00000014249235E-04 pvDividend:0 gamma: 1.79769313486232E+308 theta/vega/undPrice: -2.93416349110274E-04-2.0998103502943E-04-1.5778</t>
  </si>
  <si>
    <t>2014-11-26 15:51:38.914: RTWSControl  - tickOptionComputation - id:200044 tickType:13 impliedVol:6.55086858106699E-02 delta:0.837283708016771 optPrice:8.49412912615956E-03 pvDividend:0 gamma: 1.79769313486232E+308 theta/vega/undPrice: -4.53158657100186E-04-2.97813510725116E-04-1.5778</t>
  </si>
  <si>
    <t>2014-11-26 15:51:38.958: RTWSControl  - tickOptionComputation - id:200044 tickType:10 impliedVol:6.23480043778201E-02 delta:0.84930785794208 optPrice:8.39999970048666E-03 pvDividend:0 gamma: 1.79769313486232E+308 theta/vega/undPrice: -4.09839185798221E-04-2.97813603664807E-04-1.5778</t>
  </si>
  <si>
    <t>2014-11-26 15:51:38.999: RTWSControl  - tickOptionComputation - id:200044 tickType:11 impliedVol:7.24214351122194E-02 delta:0.814347388257946 optPrice:8.70000012218952E-03 pvDividend:0 gamma: 1.79769313486232E+308 theta/vega/undPrice: -5.47902894620942E-04-3.52427012874789E-04-1.5778</t>
  </si>
  <si>
    <t>2014-11-26 15:51:39.72: RTWSControl  - tickOptionComputation - id:200046 tickType:13 impliedVol:6.55086858106699E-02 delta:-0.162828997871685 optPrice:6.94241566804372E-04 pvDividend:0 gamma: 1.79769313486232E+308 theta/vega/undPrice: -4.53210935113492E-04-2.97813813689573E-04-1.5778</t>
  </si>
  <si>
    <t>2014-11-26 15:51:39.118: RTWSControl  - tickOptionComputation - id:200046 tickType:10 impliedVol:1.79769313486232E+308 delta:1.79769313486232E+308 optPrice:6.00000028498471E-04 pvDividend:0 gamma: 1.79769313486232E+308 theta/vega/undPrice: 1.79769313486232E+308-1.79769313486232E+308-1.5778</t>
  </si>
  <si>
    <t>2014-11-26 15:51:39.154: RTWSControl  - tickOptionComputation - id:200046 tickType:11 impliedVol:6.90579462467257E-02 delta:-0.175102970441402 optPrice:7.999999797903E-04 pvDividend:0 gamma: 1.79769313486232E+308 theta/vega/undPrice: -5.01856230046573E-04-3.25109065589647E-04-1.5778</t>
  </si>
  <si>
    <t>2014-11-26 15:51:39.203: RTWSControl  - tickOptionComputation - id:200045 tickType:13 impliedVol:6.34586533203674E-02 delta:0.642550358903866 optPrice:4.68756044708176E-03 pvDividend:0 gamma: 1.79769313486232E+308 theta/vega/undPrice: -6.68072157144817E-04-4.45662632416554E-04-1.5778</t>
  </si>
  <si>
    <t>2014-11-26 15:51:39.243: RTWSControl  - tickOptionComputation - id:200045 tickType:10 impliedVol:6.14841113165972E-02 delta:0.646706200740642 optPrice:4.60000010207295E-03 pvDividend:0 gamma: 1.79769313486232E+308 theta/vega/undPrice: -6.44104398821526E-04-4.45662719430898E-04-1.5778</t>
  </si>
  <si>
    <t>2014-11-26 15:51:39.286: RTWSControl  - tickOptionComputation - id:200045 tickType:11 impliedVol:6.59710923892119E-02 delta:0.637446867376405 optPrice:4.80000022798777E-03 pvDividend:0 gamma: 1.79769313486232E+308 theta/vega/undPrice: -6.9856910199183E-04-4.45662518554305E-04-1.5778</t>
  </si>
  <si>
    <t>2014-11-26 15:51:39.331: RTWSControl  - tickOptionComputation - id:200047 tickType:13 impliedVol:6.34586533203674E-02 delta:-0.357562840608334 optPrice:1.88760353885385E-03 pvDividend:0 gamma: 1.79769313486232E+308 theta/vega/undPrice: -6.68092720872879E-04-4.45663281042092E-04-1.5778</t>
  </si>
  <si>
    <t>2014-11-26 15:51:39.375: RTWSControl  - tickOptionComputation - id:200047 tickType:10 impliedVol:6.14732617123047E-02 delta:-0.353256489159373 optPrice:1.79999996908009E-03 pvDividend:0 gamma: 1.79769313486232E+308 theta/vega/undPrice: -6.43993183371341E-04-4.45663364750641E-04-1.5778</t>
  </si>
  <si>
    <t>2014-11-26 15:51:39.416: RTWSControl  - tickOptionComputation - id:200047 tickType:11 impliedVol:0.065979998589094 delta:-0.362556994675637 optPrice:2.0000000949949E-03 pvDividend:0 gamma: 1.79769313486232E+308 theta/vega/undPrice: -6.98697880493494E-04-4.4566317240025E-04-1.5778</t>
  </si>
  <si>
    <t>2014-11-26 15:51:39.490: RTWSControl  - tickOptionComputation - id:200049 tickType:13 impliedVol:6.82510709016313E-02 delta:0.678465086839198 optPrice:0.011418988561711 pvDividend:0 gamma: 1.79769313486232E+308 theta/vega/undPrice: -3.35047746344827E-04-9.14166028040194E-04-1.5778</t>
  </si>
  <si>
    <t>2014-11-26 15:51:39.537: RTWSControl  - tickOptionComputation - id:200049 tickType:10 impliedVol:6.80433589105215E-02 delta:0.678884308193729 optPrice:0.011400000192225 pvDividend:0 gamma: 1.79769313486232E+308 theta/vega/undPrice: -3.3382276256724E-04-9.14166117163316E-04-1.5778</t>
  </si>
  <si>
    <t>2014-11-26 15:51:39.577: RTWSControl  - tickOptionComputation - id:200049 tickType:11 impliedVol:7.02312237892995E-02 delta:0.673716689460825 optPrice:1.15999998524785E-02 pvDividend:0 gamma: 1.79769313486232E+308 theta/vega/undPrice: -3.46725705199446E-04-9.14165167945938E-04-1.5778</t>
  </si>
  <si>
    <t>2014-11-26 15:51:39.623: RTWSControl  - tickOptionComputation - id:200050 tickType:13 impliedVol:6.82510709016313E-02 delta:-0.321605146155137 optPrice:3.61948544548925E-03 pvDividend:0 gamma: 1.79769313486232E+308 theta/vega/undPrice: -3.35103563961859E-04-9.14171621490716E-04-1.5778</t>
  </si>
  <si>
    <t>2014-11-26 15:51:39.665: RTWSControl  - tickOptionComputation - id:200050 tickType:10 impliedVol:0.068030810462868 delta:-0.321028853295434 optPrice:3.59999993816018E-03 pvDividend:0 gamma: 1.79769313486232E+308 theta/vega/undPrice: -3.33804556601553E-04-9.1417171459371E-04-1.5778</t>
  </si>
  <si>
    <t>2014-11-26 15:51:39.707: RTWSControl  - tickOptionComputation - id:200050 tickType:11 impliedVol:7.02257773885543E-02 delta:-0.326214657437825 optPrice:3.80000006407499E-03 pvDividend:0 gamma: 1.79769313486232E+308 theta/vega/undPrice: -3.46749572701964E-04-9.14170776497737E-04-1.5778</t>
  </si>
  <si>
    <t>2014-11-26 15:51:39.778: RTWSControl  - tickOptionComputation - id:200051 tickType:10 impliedVol:6.79759072780213E-02 delta:-0.318968348295255 optPrice:3.50000010803342E-03 pvDividend:0 gamma: 1.79769313486232E+308 theta/vega/undPrice: -3.34768320363089E-04-8.83033895881567E-04-1.5778</t>
  </si>
  <si>
    <t>2014-11-26 15:51:39.826: RTWSControl  - tickOptionComputation - id:200051 tickType:11 impliedVol:7.02292616870286E-02 delta:-0.324253891800702 optPrice:3.70000000111759E-03 pvDividend:0 gamma: 1.79769313486232E+308 theta/vega/undPrice: -3.48236153685022E-04-8.89087024085585E-04-1.5778</t>
  </si>
  <si>
    <t>2014-11-26 15:51:39.873: RTWSControl  - tickOptionComputation - id:200051 tickType:13 impliedVol:7.02433604874155E-02 delta:-0.324327002661234 optPrice:3.70069104923057E-03 pvDividend:0 gamma: 1.79769313486232E+308 theta/vega/undPrice: -3.48320232187866E-04-8.89123197267737E-04-1.5778</t>
  </si>
  <si>
    <t>2014-11-26 15:51:39.916: RTWSControl  - tickOptionComputation - id:200052 tickType:13 impliedVol:0.117177872419632 delta:-0.526623004304246 optPrice:1.26995533692673E-02 pvDividend:0 gamma: 1.79769313486232E+308 theta/vega/undPrice: -6.43160207618384E-04-9.84210845913228E-04-1.5778</t>
  </si>
  <si>
    <t>2014-11-26 15:51:39.957: RTWSControl  - tickOptionComputation - id:200048 tickType:13 impliedVol:8.17573475431406E-02 delta:-2.96612349820846E-02 optPrice:2.39282350370733E-04 pvDividend:0 gamma: 1.79769313486232E+308 theta/vega/undPrice: -7.50370096907606E-05-1.97677235759576E-04-1.5778</t>
  </si>
  <si>
    <t>2014-11-26 15:51:40.24: RTWSControl  - tickOptionComputation - id:200053 tickType:13 impliedVol:6.53416986406867E-02 delta:8.86446082958465E-02 optPrice:6.7355023260704E-04 pvDividend:0 gamma: 1.79769313486232E+308 theta/vega/undPrice: -1.43566695167434E-04-4.47286573393884E-04-1.5778</t>
  </si>
  <si>
    <t>2014-11-26 15:51:40.73: RTWSControl  - tickOptionComputation - id:200054 tickType:13 impliedVol:7.30292307603051E-02 delta:2.10662732109561E-03 optPrice:1.14517882293517E-05 pvDividend:0 gamma: 0.362816299189844 theta/vega/undPrice: -6.59701030245032E-06-3.18700280131287E-05-1.5778</t>
  </si>
  <si>
    <t>2014-11-26 15:51:40.114: RTWSControl  - tickOptionComputation - id:200052 tickType:10 impliedVol:1.79769313486232E+308 delta:1.79769313486232E+308 optPrice:1.79769313486232E+308 pvDividend:0 gamma: 1.79769313486232E+308 theta/vega/undPrice: 1.79769313486232E+308-1.79769313486232E+308-1.5778</t>
  </si>
  <si>
    <t>2014-11-26 15:51:40.131: RTWSControl  - tickOptionComputation - id:200052 tickType:11 impliedVol:1.79769313486232E+308 delta:1.79769313486232E+308 optPrice:1.79769313486232E+308 pvDividend:0 gamma: 1.79769313486232E+308 theta/vega/undPrice: 1.79769313486232E+308-1.79769313486232E+308-1.5778</t>
  </si>
  <si>
    <t>2014-11-26 15:51:40.187: RTWSControl  - tickOptionComputation - id:200048 tickType:10 impliedVol:7.95879629036136E-02 delta:-2.60140390144818E-02 optPrice:1.99999994947575E-04 pvDividend:0 gamma: 1.79769313486232E+308 theta/vega/undPrice: -6.5604366048633E-05-1.79301909053848E-04-1.5778</t>
  </si>
  <si>
    <t>2014-11-26 15:51:40.241: RTWSControl  - tickOptionComputation - id:200048 tickType:11 impliedVol:8.51404598524514E-02 delta:-3.49675554127242E-02 optPrice:3.00000014249235E-04 pvDividend:0 gamma: 1.79769313486232E+308 theta/vega/undPrice: -8.97469993566571E-05-2.35988238887828E-04-1.5778</t>
  </si>
  <si>
    <t>2014-11-26 15:51:40.287: RTWSControl  - tickOptionComputation - id:200053 tickType:10 impliedVol:6.10612914767412E-02 delta:7.34104258572384E-02 optPrice:5.00000023748726E-04 pvDividend:0 gamma: 1.79769313486232E+308 theta/vega/undPrice: -1.16926049412696E-04-4.28489135899525E-04-1.5778</t>
  </si>
  <si>
    <t>2014-11-26 15:51:40.325: RTWSControl  - tickOptionComputation - id:200053 tickType:11 impliedVol:6.59118385101441E-02 delta:9.07279585150412E-02 optPrice:6.99999975040555E-04 pvDividend:0 gamma: 1.79769313486232E+308 theta/vega/undPrice: -1.47254407271566E-04-4.47286461552814E-04-1.5778</t>
  </si>
  <si>
    <t>2014-11-26 15:51:40.371: RTWSControl  - tickOptionComputation - id:200054 tickType:10 impliedVol:1.79769313486232E+308 delta:1.79769313486232E+308 optPrice:1.79769313486232E+308 pvDividend:0 gamma: 1.79769313486232E+308 theta/vega/undPrice: 1.79769313486232E+308-1.79769313486232E+308-1.5778</t>
  </si>
  <si>
    <t>2014-11-26 15:51:40.406: RTWSControl  - tickOptionComputation - id:200054 tickType:11 impliedVol:9.22117664176838E-02 delta:1.23525325879298E-02 optPrice:9.99999974737875E-05 pvDividend:0 gamma: 1.79769313486232E+308 theta/vega/undPrice: -4.02701482756789E-05-1.03761588920521E-04-1.5778</t>
  </si>
  <si>
    <t>2014-11-26 15:51:40.824: RTWSControl  - tickOptionComputation - id:200046 tickType:10 impliedVol:1.79769313486232E+308 delta:1.79769313486232E+308 optPrice:6.00000028498471E-04 pvDividend:0 gamma: 1.79769313486232E+308 theta/vega/undPrice: 1.79769313486232E+308-1.79769313486232E+308-1.5778</t>
  </si>
  <si>
    <t>2014-11-26 15:51:40.870: RTWSControl  - tickOptionComputation - id:200045 tickType:11 impliedVol:0.063737776387682 delta:0.641891467005121 optPrice:4.69999993219972E-03 pvDividend:0 gamma: 1.79769313486232E+308 theta/vega/undPrice: -6.71460260482653E-04-4.45662619942275E-04-1.5778</t>
  </si>
  <si>
    <t>2014-11-26 15:51:40.941: RTWSControl  - tickOptionComputation - id:200052 tickType:10 impliedVol:1.79769313486232E+308 delta:1.79769313486232E+308 optPrice:1.79769313486232E+308 pvDividend:0 gamma: 1.79769313486232E+308 theta/vega/undPrice: 1.79769313486232E+308-1.79769313486232E+308-1.5778</t>
  </si>
  <si>
    <t>2014-11-26 15:51:40.987: RTWSControl  - tickOptionComputation - id:200052 tickType:11 impliedVol:1.79769313486232E+308 delta:1.79769313486232E+308 optPrice:1.79769313486232E+308 pvDividend:0 gamma: 1.79769313486232E+308 theta/vega/undPrice: 1.79769313486232E+308-1.79769313486232E+308-1.5778</t>
  </si>
  <si>
    <t>2014-11-26 15:51:41.28: RTWSControl  - tickOptionComputation - id:200054 tickType:10 impliedVol:1.79769313486232E+308 delta:1.79769313486232E+308 optPrice:1.79769313486232E+308 pvDividend:0 gamma: 1.79769313486232E+308 theta/vega/undPrice: 1.79769313486232E+308-1.79769313486232E+308-1.5778</t>
  </si>
  <si>
    <t>2014-11-26 15:51:42.230: RTWSControl  - tickOptionComputation - id:200042 tickType:13 impliedVol:7.82894536658318E-02 delta:-2.93688389622295E-02 optPrice:1.09999850654284E-04 pvDividend:0 gamma: 1.79769313486232E+308 theta/vega/undPrice: -1.46430827487047E-04-9.69395035423936E-05-1.5778</t>
  </si>
  <si>
    <t>2014-11-26 15:51:42.289: RTWSControl  - tickOptionComputation - id:200041 tickType:13 impliedVol:7.01709238435058E-02 delta:0.934937313534388 optPrice:1.30459960949054E-02 pvDividend:0 gamma: 1.79769313486232E+308 theta/vega/undPrice: -2.50500325213063E-04-1.83155288957725E-04-1.5778</t>
  </si>
  <si>
    <t>2014-11-26 15:51:42.361: RTWSControl  - tickOptionComputation - id:200043 tickType:13 impliedVol:7.01709238435058E-02 delta:-6.51752108661708E-02 optPrice:2.46179379385722E-04 pvDividend:0 gamma: 1.79769313486232E+308 theta/vega/undPrice: -2.50584922253482E-04-1.83155563811043E-04-1.5778</t>
  </si>
  <si>
    <t>2014-11-26 15:51:42.410: RTWSControl  - tickOptionComputation - id:200044 tickType:13 impliedVol:6.50790989861036E-02 delta:0.838863212994729 optPrice:8.48133544353531E-03 pvDividend:0 gamma: 1.79769313486232E+308 theta/vega/undPrice: -4.47270854208198E-04-2.97813523368853E-04-1.5778</t>
  </si>
  <si>
    <t>2014-11-26 15:51:42.449: RTWSControl  - tickOptionComputation - id:200046 tickType:13 impliedVol:6.50790989861036E-02 delta:-0.161249491239065 optPrice:6.81447871767044E-04 pvDividend:0 gamma: 1.79769313486232E+308 theta/vega/undPrice: -4.47323120959372E-04-2.97813817009615E-04-1.5778</t>
  </si>
  <si>
    <t>2014-11-26 15:51:42.492: RTWSControl  - tickOptionComputation - id:200045 tickType:13 impliedVol:6.30139790935687E-02 delta:0.643481366558815 optPrice:4.66774296830843E-03 pvDividend:0 gamma: 1.79769313486232E+308 theta/vega/undPrice: -6.62674529559292E-04-4.45662652202792E-04-1.5778</t>
  </si>
  <si>
    <t>2014-11-26 15:51:42.533: RTWSControl  - tickOptionComputation - id:200047 tickType:13 impliedVol:6.30139790935687E-02 delta:-0.356631831442738 optPrice:1.86778603160946E-03 pvDividend:0 gamma: 1.79769313486232E+308 theta/vega/undPrice: -6.6269507482374E-04-4.45663299718922E-04-1.5778</t>
  </si>
  <si>
    <t>2014-11-26 15:51:42.575: RTWSControl  - tickOptionComputation - id:200049 tickType:13 impliedVol:0.068236431182287 delta:0.678500583172122 optPrice:1.14176502452141E-02 pvDividend:0 gamma: 1.79769313486232E+308 theta/vega/undPrice: -3.34961408446887E-04-9.14166034328055E-04-1.5778</t>
  </si>
  <si>
    <t>2014-11-26 15:51:42.615: RTWSControl  - tickOptionComputation - id:200050 tickType:13 impliedVol:0.068236431182287 delta:-0.321569649578199 optPrice:3.61814712085358E-03 pvDividend:0 gamma: 1.79769313486232E+308 theta/vega/undPrice: -3.35017224803342E-04-9.14171627685389E-04-1.5778</t>
  </si>
  <si>
    <t>2014-11-26 15:51:42.656: RTWSControl  - tickOptionComputation - id:200048 tickType:13 impliedVol:8.16793538477594E-02 delta:-2.95335951163612E-02 optPrice:2.37883906486056E-04 pvDividend:0 gamma: 1.79769313486232E+308 theta/vega/undPrice: -7.46978876531737E-05-1.96794019037503E-04-1.5778</t>
  </si>
  <si>
    <t>2014-11-26 15:51:42.700: RTWSControl  - tickOptionComputation - id:200045 tickType:11 impliedVol:6.59710923892119E-02 delta:0.637446867376405 optPrice:4.80000022798777E-03 pvDividend:0 gamma: 1.79769313486232E+308 theta/vega/undPrice: -6.9856910199183E-04-4.45662518554305E-04-1.5778</t>
  </si>
  <si>
    <t>2014-11-26 15:51:42.746: RTWSControl  - tickOptionComputation - id:200053 tickType:13 impliedVol:6.53519888307965E-02 delta:8.86827394550384E-02 optPrice:6.74010500020067E-04 pvDividend:0 gamma: 1.79769313486232E+308 theta/vega/undPrice: -1.43633252987166E-04-4.47286571369458E-04-1.5778</t>
  </si>
  <si>
    <t>2014-11-26 15:51:42.784: RTWSControl  - tickOptionComputation - id:200054 tickType:13 impliedVol:7.30260267932898E-02 delta:2.10538410164446E-03 optPrice:1.14437287590756E-05 pvDividend:0 gamma: 0.362645959869062 theta/vega/undPrice: -6.5933345007824E-06-3.18609611973602E-05-1.5778</t>
  </si>
  <si>
    <t>2014-11-26 15:51:46.432: RTWSControl  - tickOptionComputation - id:200042 tickType:13 impliedVol:7.74432970344492E-02 delta:-2.78902706750471E-02 optPrice:1.02567443956086E-04 pvDividend:0 gamma: 1.79769313486232E+308 theta/vega/undPrice: -1.38821931531379E-04-9.2245365133876E-05-1.5778</t>
  </si>
  <si>
    <t>2014-11-26 15:51:46.514: RTWSControl  - tickOptionComputation - id:200041 tickType:13 impliedVol:6.92420010538228E-02 delta:0.937313329933456 optPrice:1.30326620649505E-02 pvDividend:0 gamma: 1.79769313486232E+308 theta/vega/undPrice: -2.39855339756881E-04-1.76488296536352E-04-1.5778</t>
  </si>
  <si>
    <t>2014-11-26 15:51:46.578: RTWSControl  - tickOptionComputation - id:200041 tickType:10 impliedVol:3.27454107016799E-02 delta:0.999472945719526 optPrice:1.27999996766448E-02 pvDividend:0 gamma: 0.451171865620087 theta/vega/undPrice: -1.56552831142887E-06-1.02010425926235E-05-1.5778</t>
  </si>
  <si>
    <t>2014-11-26 15:51:46.635: RTWSControl  - tickOptionComputation - id:200043 tickType:13 impliedVol:6.92420010538228E-02 delta:-6.27991927325143E-02 optPrice:2.32845340266012E-04 pvDividend:0 gamma: 1.79769313486232E+308 theta/vega/undPrice: -2.39939924827358E-04-1.76488564302167E-04-1.5778</t>
  </si>
  <si>
    <t>2014-11-26 15:51:46.694: RTWSControl  - tickOptionComputation - id:200044 tickType:13 impliedVol:6.42581154642414E-02 delta:0.841940703333392 optPrice:8.45688543095422E-03 pvDividend:0 gamma: 1.79769313486232E+308 theta/vega/undPrice: -4.3601867081718E-04-2.97813547515634E-04-1.5778</t>
  </si>
  <si>
    <t>2014-11-26 15:51:46.740: RTWSControl  - tickOptionComputation - id:200046 tickType:13 impliedVol:6.42581154642414E-02 delta:-0.158171997676406 optPrice:6.56997835462998E-04 pvDividend:0 gamma: 1.79769313486232E+308 theta/vega/undPrice: -4.36070916044911E-04-2.97813838069981E-04-1.5778</t>
  </si>
  <si>
    <t>2014-11-26 15:51:46.783: RTWSControl  - tickOptionComputation - id:200045 tickType:13 impliedVol:6.24916402656197E-02 delta:0.64459201649304 optPrice:4.64446426565471E-03 pvDividend:0 gamma: 1.79769313486232E+308 theta/vega/undPrice: -6.56334178274482E-04-4.45662675302133E-04-1.5778</t>
  </si>
  <si>
    <t>2014-11-26 15:51:46.824: RTWSControl  - tickOptionComputation - id:200044 tickType:10 impliedVol:5.89902050821024E-02 delta:0.863621859317658 optPrice:8.2999998703599E-03 pvDividend:0 gamma: 1.79769313486232E+308 theta/vega/undPrice: -3.63818040633924E-04-2.97813702206155E-04-1.5778</t>
  </si>
  <si>
    <t>2014-11-26 15:51:46.866: RTWSControl  - tickOptionComputation - id:200047 tickType:13 impliedVol:6.24916402656197E-02 delta:-0.355521179706411 optPrice:1.84450729551634E-03 pvDividend:0 gamma: 1.79769313486232E+308 theta/vega/undPrice: -6.56354701852556E-04-4.45663321517062E-04-1.5778</t>
  </si>
  <si>
    <t>2014-11-26 15:51:46.908: RTWSControl  - tickOptionComputation - id:200045 tickType:10 impliedVol:5.92500813308252E-02 delta:0.651842875142339 optPrice:4.4999998062849E-03 pvDividend:0 gamma: 1.79769313486232E+308 theta/vega/undPrice: -6.16986860700031E-04-4.45662815265706E-04-1.5778</t>
  </si>
  <si>
    <t>2014-11-26 15:51:46.949: RTWSControl  - tickOptionComputation - id:200045 tickType:11 impliedVol:0.063737776387682 delta:0.641891467005121 optPrice:4.69999993219972E-03 pvDividend:0 gamma: 1.79769313486232E+308 theta/vega/undPrice: -6.71460260482653E-04-4.45662619942275E-04-1.5778</t>
  </si>
  <si>
    <t>2014-11-26 15:51:46.994: RTWSControl  - tickOptionComputation - id:200051 tickType:11 impliedVol:7.13559401969455E-02 delta:-0.326782565011276 optPrice:3.80000006407499E-03 pvDividend:0 gamma: 1.79769313486232E+308 theta/vega/undPrice: -3.5494805395401E-04-8.91914896963654E-04-1.5778</t>
  </si>
  <si>
    <t>2014-11-26 15:51:50.327: RTWSControl  - tickOptionComputation - id:200042 tickType:13 impliedVol:7.74073849822514E-02 delta:-2.78268019850626E-02 optPrice:1.02252002366913E-04 pvDividend:0 gamma: 1.79769313486232E+308 theta/vega/undPrice: -1.38498999488036E-04-9.20461394203508E-05-1.5778</t>
  </si>
  <si>
    <t>2014-11-26 15:51:50.415: RTWSControl  - tickOptionComputation - id:200041 tickType:13 impliedVol:6.91974000527011E-02 delta:0.937429019069476 optPrice:1.30320218490788E-02 pvDividend:0 gamma: 1.79769313486232E+308 theta/vega/undPrice: -2.3934423479827E-04-1.76168189669462E-04-1.5778</t>
  </si>
  <si>
    <t>2014-11-26 15:51:50.453: RTWSControl  - tickOptionComputation - id:200043 tickType:13 impliedVol:6.91974000527011E-02 delta:-6.26835035120887E-02 optPrice:2.32205123954179E-04 pvDividend:0 gamma: 1.79769313486232E+308 theta/vega/undPrice: -2.39428819294023E-04-1.76168457094504E-04-1.5778</t>
  </si>
  <si>
    <t>2014-11-26 15:51:50.491: RTWSControl  - tickOptionComputation - id:200044 tickType:13 impliedVol:6.42211044361147E-02 delta:0.842081298892741 optPrice:8.4557831918488E-03 pvDividend:0 gamma: 1.79769313486232E+308 theta/vega/undPrice: -4.35511407395431E-04-2.9781354860775E-04-1.5778</t>
  </si>
  <si>
    <t>2014-11-26 15:51:50.532: RTWSControl  - tickOptionComputation - id:200046 tickType:13 impliedVol:6.42211044361147E-02 delta:-0.158031401969753 optPrice:6.55895595289509E-04 pvDividend:0 gamma: 1.79769313486232E+308 theta/vega/undPrice: -4.35563651653559E-04-2.97813839050858E-04-1.5778</t>
  </si>
  <si>
    <t>2014-11-26 15:51:50.573: RTWSControl  - tickOptionComputation - id:200045 tickType:13 impliedVol:6.24784981324353E-02 delta:0.64462020172397 optPrice:4.64387856954703E-03 pvDividend:0 gamma: 1.79769313486232E+308 theta/vega/undPrice: -6.56174653954028E-04-4.45662675882794E-04-1.5778</t>
  </si>
  <si>
    <t>2014-11-26 15:51:50.615: RTWSControl  - tickOptionComputation - id:200047 tickType:13 impliedVol:6.24784981324353E-02 delta:-0.355492994429664 optPrice:1.84392159856733E-03 pvDividend:0 gamma: 1.79769313486232E+308 theta/vega/undPrice: -6.56195176986452E-04-4.45663322064403E-04-1.5778</t>
  </si>
  <si>
    <t>2014-11-26 15:51:50.656: RTWSControl  - tickOptionComputation - id:200046 tickType:10 impliedVol:1.79769313486232E+308 delta:1.79769313486232E+308 optPrice:6.00000028498471E-04 pvDividend:0 gamma: 1.79769313486232E+308 theta/vega/undPrice: 1.79769313486232E+308-1.79769313486232E+308-1.5778</t>
  </si>
  <si>
    <t>2014-11-26 15:51:50.697: RTWSControl  - tickOptionComputation - id:200045 tickType:11 impliedVol:6.59710923892119E-02 delta:0.637446867376405 optPrice:4.80000022798777E-03 pvDividend:0 gamma: 1.79769313486232E+308 theta/vega/undPrice: -6.9856910199183E-04-4.45662518554305E-04-1.5778</t>
  </si>
  <si>
    <t>2014-11-26 15:51:50.744: RTWSControl  - tickOptionComputation - id:200049 tickType:13 impliedVol:6.82329320308259E-02 delta:0.678509069704894 optPrice:1.14173303639327E-02 pvDividend:0 gamma: 1.79769313486232E+308 theta/vega/undPrice: -3.34940772164081E-04-9.14166035831896E-04-1.5778</t>
  </si>
  <si>
    <t>2014-11-26 15:51:50.784: RTWSControl  - tickOptionComputation - id:200050 tickType:13 impliedVol:6.82329320308259E-02 delta:-0.321561162987037 optPrice:3.61782723763002E-03 pvDividend:0 gamma: 1.79769313486232E+308 theta/vega/undPrice: -3.34996588219585E-04-9.14171629165414E-04-1.5778</t>
  </si>
  <si>
    <t>2014-11-26 15:51:50.830: RTWSControl  - tickOptionComputation - id:200052 tickType:10 impliedVol:1.79769313486232E+308 delta:1.79769313486232E+308 optPrice:1.79769313486232E+308 pvDividend:0 gamma: 1.79769313486232E+308 theta/vega/undPrice: 1.79769313486232E+308-1.79769313486232E+308-1.5778</t>
  </si>
  <si>
    <t>2014-11-26 15:51:50.865: RTWSControl  - tickOptionComputation - id:200052 tickType:11 impliedVol:1.79769313486232E+308 delta:1.79769313486232E+308 optPrice:1.79769313486232E+308 pvDividend:0 gamma: 1.79769313486232E+308 theta/vega/undPrice: 1.79769313486232E+308-1.79769313486232E+308-1.5778</t>
  </si>
  <si>
    <t>2014-11-26 15:51:50.907: RTWSControl  - tickOptionComputation - id:200048 tickType:13 impliedVol:8.15985231484913E-02 delta:-2.94010540013021E-02 optPrice:2.36434594441817E-04 pvDividend:0 gamma: 1.79769313486232E+308 theta/vega/undPrice: -7.43464301030086E-05-1.95878675431687E-04-1.5778</t>
  </si>
  <si>
    <t>2014-11-26 15:51:50.952: RTWSControl  - tickOptionComputation - id:200053 tickType:13 impliedVol:0.06536362914545 delta:8.87258591964602E-02 optPrice:6.74531156822629E-04 pvDividend:0 gamma: 1.79769313486232E+308 theta/vega/undPrice: -1.43708543525916E-04-4.47286569080556E-04-1.5778</t>
  </si>
  <si>
    <t>2014-11-26 15:51:50.991: RTWSControl  - tickOptionComputation - id:200054 tickType:13 impliedVol:7.29906144923635E-02 delta:2.09163598696543E-03 optPrice:1.13546503169071E-05 pvDividend:0 gamma: 0.360761174548049 theta/vega/undPrice: -6.55270717967163E-06-3.17607489262561E-05-1.5778</t>
  </si>
  <si>
    <t>2014-11-26 15:51:51.33: RTWSControl  - tickOptionComputation - id:200054 tickType:10 impliedVol:1.79769313486232E+308 delta:1.79769313486232E+308 optPrice:1.79769313486232E+308 pvDividend:0 gamma: 1.79769313486232E+308 theta/vega/undPrice: 1.79769313486232E+308-1.79769313486232E+308-1.5778</t>
  </si>
  <si>
    <t>2014-11-26 15:51:51.156: DirectionIndicator - notify - price/longMA/ShortMA/prevDirection are 1.5778/1.57787326903986/1.5778257764848/-1</t>
  </si>
  <si>
    <t>2014-11-26 15:51:51.157: Algorithm - handleTransition - currentHedgeShortfall is NOT ZERO and AUTOHEDGE IS NOT ENABLED!</t>
  </si>
  <si>
    <t>2014-11-26 15:51:51.198: DirectionIndicator - notify - price/longMA/ShortMA/prevDirection are 1.57785/1.57786903830534/1.57783385098987/-1</t>
  </si>
  <si>
    <t>2014-11-26 15:51:51.199: Algorithm - handleTransition - currentHedgeShortfall is NOT ZERO and AUTOHEDGE IS NOT ENABLED!</t>
  </si>
  <si>
    <t>2014-11-26 15:51:51.858: RTWSControl  - tickOptionComputation - id:200042 tickType:13 impliedVol:7.74073849822514E-02 delta:-2.85924929534151E-02 optPrice:1.05475780100464E-04 pvDividend:0 gamma: 1.79769313486232E+308 theta/vega/undPrice: -1.41609339583827E-04-9.47284848362472E-05-1.5777</t>
  </si>
  <si>
    <t>2014-11-26 15:51:51.906: RTWSControl  - tickOptionComputation - id:200041 tickType:13 impliedVol:6.91974000527011E-02 delta:0.936028905380757 optPrice:1.29379376769768E-02 pvDividend:0 gamma: 1.79769313486232E+308 theta/vega/undPrice: -2.43644275279363E-04-1.80331430837566E-04-1.5777</t>
  </si>
  <si>
    <t>2014-11-26 15:51:51.949: RTWSControl  - tickOptionComputation - id:200043 tickType:13 impliedVol:6.91974000527011E-02 delta:-6.40836182239036E-02 optPrice:2.38119525330623E-04 pvDividend:0 gamma: 1.79769313486232E+308 theta/vega/undPrice: -2.43728205897212E-04-1.8033170164155E-04-1.5777</t>
  </si>
  <si>
    <t>2014-11-26 15:51:51.990: RTWSControl  - tickOptionComputation - id:200044 tickType:13 impliedVol:6.42211044361147E-02 delta:0.838951672951989 optPrice:8.37183552197986E-03 pvDividend:0 gamma: 1.79769313486232E+308 theta/vega/undPrice: -4.41184641263202E-04-2.97804112550511E-04-1.5777</t>
  </si>
  <si>
    <t>2014-11-26 15:51:52.32: RTWSControl  - tickOptionComputation - id:200046 tickType:13 impliedVol:6.42211044361147E-02 delta:-0.161161031192565 optPrice:6.71946508081571E-04 pvDividend:0 gamma: 1.79769313486232E+308 theta/vega/undPrice: -4.41236237254323E-04-2.97804407312917E-04-1.5777</t>
  </si>
  <si>
    <t>2014-11-26 15:51:52.75: RTWSControl  - tickOptionComputation - id:200045 tickType:13 impliedVol:6.24784981324353E-02 delta:0.639805484048089 optPrice:4.57738179959494E-03 pvDividend:0 gamma: 1.79769313486232E+308 theta/vega/undPrice: -6.59801241715644E-04-4.45648556024224E-04-1.5777</t>
  </si>
  <si>
    <t>2014-11-26 15:51:52.116: TransitionLogger - flushFile - flushing file</t>
  </si>
  <si>
    <t>2014-11-26 15:51:52.117: TransitionLogger - openTransitionFile - opening file C:\temp\transitionlog_2014-11-26_155023</t>
  </si>
  <si>
    <t>2014-11-26 15:51:52.121: RTWSControl  - tickOptionComputation - id:200047 tickType:13 impliedVol:6.24784981324353E-02 delta:-0.360307720117126 optPrice:1.87742343499702E-03 pvDividend:0 gamma: 1.79769313486232E+308 theta/vega/undPrice: -6.59821125473977E-04-4.45649208225123E-04-1.5777</t>
  </si>
  <si>
    <t>2014-11-26 15:51:52.155: RTWSControl  - tickOptionComputation - id:200049 tickType:13 impliedVol:6.82329320308259E-02 delta:0.676367565667474 optPrice:1.13507269906089E-02 pvDividend:0 gamma: 1.79769313486232E+308 theta/vega/undPrice: -3.35793061454686E-04-9.14137065749721E-04-1.5777</t>
  </si>
  <si>
    <t>2014-11-26 15:51:52.200: RTWSControl  - tickOptionComputation - id:200050 tickType:13 impliedVol:6.82329320308259E-02 delta:-0.323702681772884 optPrice:3.65121797917331E-03 pvDividend:0 gamma: 1.79769313486232E+308 theta/vega/undPrice: -3.3584823705025E-04-9.14142664813892E-04-1.5777</t>
  </si>
  <si>
    <t>2014-11-26 15:51:52.239: RTWSControl  - tickOptionComputation - id:200051 tickType:13 impliedVol:7.02433604874155E-02 delta:-0.32640026488469 optPrice:3.73322310353657E-03 pvDividend:0 gamma: 1.79769313486232E+308 theta/vega/undPrice: -3.49207240762259E-04-8.91387766011349E-04-1.5777</t>
  </si>
  <si>
    <t>2014-11-26 15:51:52.280: RTWSControl  - tickOptionComputation - id:200052 tickType:13 impliedVol:0.117177872419632 delta:-0.527996796616935 optPrice:1.27522758332714E-02 pvDividend:0 gamma: 1.79769313486232E+308 theta/vega/undPrice: -6.42967220262497E-04-9.83916091815926E-04-1.5777</t>
  </si>
  <si>
    <t>2014-11-26 15:51:52.322: RTWSControl  - tickOptionComputation - id:200048 tickType:13 impliedVol:8.15985231484913E-02 delta:-2.97522652376088E-02 optPrice:2.39633185118127E-04 pvDividend:0 gamma: 1.79769313486232E+308 theta/vega/undPrice: -7.5077089254611E-05-1.98540291917468E-04-1.5777</t>
  </si>
  <si>
    <t>2014-11-26 15:51:52.364: RTWSControl  - tickOptionComputation - id:200053 tickType:13 impliedVol:0.06536362914545 delta:8.76314310824131E-02 optPrice:6.6430752199521E-04 pvDividend:0 gamma: 1.79769313486232E+308 theta/vega/undPrice: -1.42438081875114E-04-4.47272393108709E-04-1.5777</t>
  </si>
  <si>
    <t>2014-11-26 15:51:52.404: RTWSControl  - tickOptionComputation - id:200054 tickType:13 impliedVol:7.29906144923635E-02 delta:2.03650011953366E-03 optPrice:1.10188785745461E-05 pvDividend:0 gamma: 0.35251954162133 theta/vega/undPrice: -6.40219866828699E-06-3.13152919233818E-05-1.5777</t>
  </si>
  <si>
    <t>2014-11-26 15:51:53.377: Algorithm - FindNextStrikes - price is 1.57785 nextStrikeUp/Down 1.58/1.575</t>
  </si>
  <si>
    <t>2014-11-26 15:51:53.377: Algorithm - getPortfolioForwardDelta - required deltas is 4 currentHedgePosition is 6</t>
  </si>
  <si>
    <t>2014-11-26 15:51:53.377: Algorithm - getHedgeShortfall - required deltas is 4 price is 1.57775 currentHedgePositionDeltas is 6</t>
  </si>
  <si>
    <t>2014-11-26 15:51:53.381: Algorithm - processTransitionPoint - nextUpper/LowerStrikes are 1.58/1.575 requiredDeltas/currentPosition/currentHedgeShortfall/direction/transitionPrice are 4/6/-2/-1/1.57775</t>
  </si>
  <si>
    <t>2014-11-26 15:51:53.381: TransitionLogger - processTransitionpoint - checking transition - currentHedgeShortfall is -2</t>
  </si>
  <si>
    <t>2014-11-26 15:51:53.382: Algorithm - handleTransition - currentHedgeShortfall is NOT ZERO and AUTOHEDGE IS NOT ENABLED!</t>
  </si>
  <si>
    <t>2014-11-26 15:51:53.382: Algorithm - updatePortfolio - haveAllDetails is True</t>
  </si>
  <si>
    <t>2014-11-26 15:51:53.444: Algorithm - FindNextStrikes - price is 1.57785 nextStrikeUp/Down 1.58/1.575</t>
  </si>
  <si>
    <t>2014-11-26 15:51:53.445: Algorithm - getPortfolioForwardDelta - required deltas is 4 currentHedgePosition is 6</t>
  </si>
  <si>
    <t>2014-11-26 15:51:53.445: Algorithm - getHedgeShortfall - required deltas is 4 price is 1.57775 currentHedgePositionDeltas is 6</t>
  </si>
  <si>
    <t>2014-11-26 15:51:53.445: Algorithm - processTransitionPoint - nextUpper/LowerStrikes are 1.58/1.575 requiredDeltas/currentPosition/currentHedgeShortfall/direction/transitionPrice are 4/6/-2/-1/1.57775</t>
  </si>
  <si>
    <t>2014-11-26 15:51:53.446: TransitionLogger - processTransitionpoint - checking transition - currentHedgeShortfall is -2</t>
  </si>
  <si>
    <t>2014-11-26 15:51:53.446: Algorithm - handleTransition - currentHedgeShortfall is NOT ZERO and AUTOHEDGE IS NOT ENABLED!</t>
  </si>
  <si>
    <t>2014-11-26 15:51:53.446: Algorithm - updatePortfolio - haveAllDetails is True</t>
  </si>
  <si>
    <t>2014-11-26 15:51:53.497: Algorithm - FindNextStrikes - price is 1.57785 nextStrikeUp/Down 1.58/1.575</t>
  </si>
  <si>
    <t>2014-11-26 15:51:53.497: Algorithm - getPortfolioForwardDelta - required deltas is 4 currentHedgePosition is 6</t>
  </si>
  <si>
    <t>2014-11-26 15:51:53.498: Algorithm - getHedgeShortfall - required deltas is 4 price is 1.57775 currentHedgePositionDeltas is 6</t>
  </si>
  <si>
    <t>2014-11-26 15:51:53.498: Algorithm - processTransitionPoint - nextUpper/LowerStrikes are 1.58/1.575 requiredDeltas/currentPosition/currentHedgeShortfall/direction/transitionPrice are 4/6/-2/-1/1.57775</t>
  </si>
  <si>
    <t>2014-11-26 15:51:53.501: TransitionLogger - processTransitionpoint - checking transition - currentHedgeShortfall is -2</t>
  </si>
  <si>
    <t>2014-11-26 15:51:53.501: Algorithm - handleTransition - currentHedgeShortfall is NOT ZERO and AUTOHEDGE IS NOT ENABLED!</t>
  </si>
  <si>
    <t>2014-11-26 15:51:53.502: Algorithm - updatePortfolio - haveAllDetails is True</t>
  </si>
  <si>
    <t>2014-11-26 15:51:53.541: Algorithm - FindNextStrikes - price is 1.57785 nextStrikeUp/Down 1.58/1.575</t>
  </si>
  <si>
    <t>2014-11-26 15:51:53.541: Algorithm - getPortfolioForwardDelta - required deltas is 4 currentHedgePosition is 6</t>
  </si>
  <si>
    <t>2014-11-26 15:51:53.541: Algorithm - getHedgeShortfall - required deltas is 4 price is 1.57775 currentHedgePositionDeltas is 6</t>
  </si>
  <si>
    <t>2014-11-26 15:51:53.542: Algorithm - processTransitionPoint - nextUpper/LowerStrikes are 1.58/1.575 requiredDeltas/currentPosition/currentHedgeShortfall/direction/transitionPrice are 4/6/-2/-1/1.57775</t>
  </si>
  <si>
    <t>2014-11-26 15:51:53.542: TransitionLogger - processTransitionpoint - checking transition - currentHedgeShortfall is -2</t>
  </si>
  <si>
    <t>2014-11-26 15:51:53.542: Algorithm - handleTransition - currentHedgeShortfall is NOT ZERO and AUTOHEDGE IS NOT ENABLED!</t>
  </si>
  <si>
    <t>2014-11-26 15:51:53.543: Algorithm - updatePortfolio - haveAllDetails is True</t>
  </si>
  <si>
    <t>2014-11-26 15:51:53.587: Algorithm - FindNextStrikes - price is 1.57785 nextStrikeUp/Down 1.58/1.575</t>
  </si>
  <si>
    <t>2014-11-26 15:51:53.587: Algorithm - getPortfolioForwardDelta - required deltas is 4 currentHedgePosition is 6</t>
  </si>
  <si>
    <t>2014-11-26 15:51:53.587: Algorithm - getHedgeShortfall - required deltas is 4 price is 1.57775 currentHedgePositionDeltas is 6</t>
  </si>
  <si>
    <t>2014-11-26 15:51:53.588: Algorithm - processTransitionPoint - nextUpper/LowerStrikes are 1.58/1.575 requiredDeltas/currentPosition/currentHedgeShortfall/direction/transitionPrice are 4/6/-2/-1/1.57775</t>
  </si>
  <si>
    <t>2014-11-26 15:51:53.588: TransitionLogger - processTransitionpoint - checking transition - currentHedgeShortfall is -2</t>
  </si>
  <si>
    <t>2014-11-26 15:51:53.592: Algorithm - handleTransition - currentHedgeShortfall is NOT ZERO and AUTOHEDGE IS NOT ENABLED!</t>
  </si>
  <si>
    <t>2014-11-26 15:51:53.592: Algorithm - updatePortfolio - haveAllDetails is True</t>
  </si>
  <si>
    <t>2014-11-26 15:51:53.648: Algorithm - FindNextStrikes - price is 1.57785 nextStrikeUp/Down 1.58/1.575</t>
  </si>
  <si>
    <t>2014-11-26 15:51:53.649: Algorithm - getPortfolioForwardDelta - required deltas is 4 currentHedgePosition is 6</t>
  </si>
  <si>
    <t>2014-11-26 15:51:53.649: Algorithm - getHedgeShortfall - required deltas is 4 price is 1.57775 currentHedgePositionDeltas is 6</t>
  </si>
  <si>
    <t>2014-11-26 15:51:53.649: Algorithm - processTransitionPoint - nextUpper/LowerStrikes are 1.58/1.575 requiredDeltas/currentPosition/currentHedgeShortfall/direction/transitionPrice are 4/6/-2/-1/1.57775</t>
  </si>
  <si>
    <t>2014-11-26 15:51:53.649: TransitionLogger - processTransitionpoint - checking transition - currentHedgeShortfall is -2</t>
  </si>
  <si>
    <t>2014-11-26 15:51:53.650: Algorithm - handleTransition - currentHedgeShortfall is NOT ZERO and AUTOHEDGE IS NOT ENABLED!</t>
  </si>
  <si>
    <t>2014-11-26 15:51:53.650: Algorithm - updatePortfolio - haveAllDetails is True</t>
  </si>
  <si>
    <t>2014-11-26 15:51:53.697: Algorithm - FindNextStrikes - price is 1.57785 nextStrikeUp/Down 1.58/1.575</t>
  </si>
  <si>
    <t>2014-11-26 15:51:53.698: Algorithm - getPortfolioForwardDelta - required deltas is 4 currentHedgePosition is 6</t>
  </si>
  <si>
    <t>2014-11-26 15:51:53.698: Algorithm - getHedgeShortfall - required deltas is 4 price is 1.57775 currentHedgePositionDeltas is 6</t>
  </si>
  <si>
    <t>2014-11-26 15:51:53.698: Algorithm - processTransitionPoint - nextUpper/LowerStrikes are 1.58/1.575 requiredDeltas/currentPosition/currentHedgeShortfall/direction/transitionPrice are 4/6/-2/-1/1.57775</t>
  </si>
  <si>
    <t>2014-11-26 15:51:53.698: TransitionLogger - processTransitionpoint - checking transition - currentHedgeShortfall is -2</t>
  </si>
  <si>
    <t>2014-11-26 15:51:53.699: Algorithm - handleTransition - currentHedgeShortfall is NOT ZERO and AUTOHEDGE IS NOT ENABLED!</t>
  </si>
  <si>
    <t>2014-11-26 15:51:53.702: Algorithm - updatePortfolio - haveAllDetails is True</t>
  </si>
  <si>
    <t>2014-11-26 15:51:53.746: Algorithm - FindNextStrikes - price is 1.57785 nextStrikeUp/Down 1.58/1.575</t>
  </si>
  <si>
    <t>2014-11-26 15:51:53.746: Algorithm - getPortfolioForwardDelta - required deltas is 4 currentHedgePosition is 6</t>
  </si>
  <si>
    <t>2014-11-26 15:51:53.746: Algorithm - getHedgeShortfall - required deltas is 4 price is 1.57775 currentHedgePositionDeltas is 6</t>
  </si>
  <si>
    <t>2014-11-26 15:51:53.747: Algorithm - processTransitionPoint - nextUpper/LowerStrikes are 1.58/1.575 requiredDeltas/currentPosition/currentHedgeShortfall/direction/transitionPrice are 4/6/-2/-1/1.57775</t>
  </si>
  <si>
    <t>2014-11-26 15:51:53.747: TransitionLogger - processTransitionpoint - checking transition - currentHedgeShortfall is -2</t>
  </si>
  <si>
    <t>2014-11-26 15:51:53.747: Algorithm - handleTransition - currentHedgeShortfall is NOT ZERO and AUTOHEDGE IS NOT ENABLED!</t>
  </si>
  <si>
    <t>2014-11-26 15:51:53.748: Algorithm - updatePortfolio - haveAllDetails is True</t>
  </si>
  <si>
    <t>2014-11-26 15:51:53.788: Algorithm - FindNextStrikes - price is 1.57785 nextStrikeUp/Down 1.58/1.575</t>
  </si>
  <si>
    <t>2014-11-26 15:51:53.789: Algorithm - getPortfolioForwardDelta - required deltas is 4 currentHedgePosition is 6</t>
  </si>
  <si>
    <t>2014-11-26 15:51:53.789: Algorithm - getHedgeShortfall - required deltas is 4 price is 1.57775 currentHedgePositionDeltas is 6</t>
  </si>
  <si>
    <t>2014-11-26 15:51:53.789: Algorithm - processTransitionPoint - nextUpper/LowerStrikes are 1.58/1.575 requiredDeltas/currentPosition/currentHedgeShortfall/direction/transitionPrice are 4/6/-2/-1/1.57775</t>
  </si>
  <si>
    <t>2014-11-26 15:51:53.789: TransitionLogger - processTransitionpoint - checking transition - currentHedgeShortfall is -2</t>
  </si>
  <si>
    <t>2014-11-26 15:51:53.790: Algorithm - handleTransition - currentHedgeShortfall is NOT ZERO and AUTOHEDGE IS NOT ENABLED!</t>
  </si>
  <si>
    <t>2014-11-26 15:51:53.790: Algorithm - updatePortfolio - haveAllDetails is True</t>
  </si>
  <si>
    <t>2014-11-26 15:51:53.828: Algorithm - FindNextStrikes - price is 1.57785 nextStrikeUp/Down 1.58/1.575</t>
  </si>
  <si>
    <t>2014-11-26 15:51:53.832: Algorithm - getPortfolioForwardDelta - required deltas is 4 currentHedgePosition is 6</t>
  </si>
  <si>
    <t>2014-11-26 15:51:53.832: Algorithm - getHedgeShortfall - required deltas is 4 price is 1.57775 currentHedgePositionDeltas is 6</t>
  </si>
  <si>
    <t>2014-11-26 15:51:53.832: Algorithm - processTransitionPoint - nextUpper/LowerStrikes are 1.58/1.575 requiredDeltas/currentPosition/currentHedgeShortfall/direction/transitionPrice are 4/6/-2/-1/1.57775</t>
  </si>
  <si>
    <t>2014-11-26 15:51:53.833: TransitionLogger - processTransitionpoint - checking transition - currentHedgeShortfall is -2</t>
  </si>
  <si>
    <t>2014-11-26 15:51:53.833: Algorithm - handleTransition - currentHedgeShortfall is NOT ZERO and AUTOHEDGE IS NOT ENABLED!</t>
  </si>
  <si>
    <t>2014-11-26 15:51:53.834: Algorithm - updatePortfolio - haveAllDetails is True</t>
  </si>
  <si>
    <t>2014-11-26 15:51:53.867: Algorithm - FindNextStrikes - price is 1.57785 nextStrikeUp/Down 1.58/1.575</t>
  </si>
  <si>
    <t>2014-11-26 15:51:53.868: Algorithm - getPortfolioForwardDelta - required deltas is 4 currentHedgePosition is 6</t>
  </si>
  <si>
    <t>2014-11-26 15:51:53.868: Algorithm - getHedgeShortfall - required deltas is 4 price is 1.57775 currentHedgePositionDeltas is 6</t>
  </si>
  <si>
    <t>2014-11-26 15:51:53.868: Algorithm - processTransitionPoint - nextUpper/LowerStrikes are 1.58/1.575 requiredDeltas/currentPosition/currentHedgeShortfall/direction/transitionPrice are 4/6/-2/-1/1.57775</t>
  </si>
  <si>
    <t>2014-11-26 15:51:53.868: TransitionLogger - processTransitionpoint - checking transition - currentHedgeShortfall is -2</t>
  </si>
  <si>
    <t>2014-11-26 15:51:53.869: Algorithm - handleTransition - currentHedgeShortfall is NOT ZERO and AUTOHEDGE IS NOT ENABLED!</t>
  </si>
  <si>
    <t>2014-11-26 15:51:53.869: Algorithm - updatePortfolio - haveAllDetails is True</t>
  </si>
  <si>
    <t>2014-11-26 15:51:53.910: Algorithm - FindNextStrikes - price is 1.57785 nextStrikeUp/Down 1.58/1.575</t>
  </si>
  <si>
    <t>2014-11-26 15:51:53.911: Algorithm - getPortfolioForwardDelta - required deltas is 4 currentHedgePosition is 6</t>
  </si>
  <si>
    <t>2014-11-26 15:51:53.911: Algorithm - getHedgeShortfall - required deltas is 4 price is 1.57775 currentHedgePositionDeltas is 6</t>
  </si>
  <si>
    <t>2014-11-26 15:51:53.914: Algorithm - processTransitionPoint - nextUpper/LowerStrikes are 1.58/1.575 requiredDeltas/currentPosition/currentHedgeShortfall/direction/transitionPrice are 4/6/-2/-1/1.57775</t>
  </si>
  <si>
    <t>2014-11-26 15:51:53.914: TransitionLogger - processTransitionpoint - checking transition - currentHedgeShortfall is -2</t>
  </si>
  <si>
    <t>2014-11-26 15:51:53.915: Algorithm - handleTransition - currentHedgeShortfall is NOT ZERO and AUTOHEDGE IS NOT ENABLED!</t>
  </si>
  <si>
    <t>2014-11-26 15:51:53.915: Algorithm - updatePortfolio - haveAllDetails is True</t>
  </si>
  <si>
    <t>2014-11-26 15:51:53.954: Algorithm - FindNextStrikes - price is 1.57785 nextStrikeUp/Down 1.58/1.575</t>
  </si>
  <si>
    <t>2014-11-26 15:51:53.955: Algorithm - getPortfolioForwardDelta - required deltas is 4 currentHedgePosition is 6</t>
  </si>
  <si>
    <t>2014-11-26 15:51:53.955: Algorithm - getHedgeShortfall - required deltas is 4 price is 1.57775 currentHedgePositionDeltas is 6</t>
  </si>
  <si>
    <t>2014-11-26 15:51:53.955: Algorithm - processTransitionPoint - nextUpper/LowerStrikes are 1.58/1.575 requiredDeltas/currentPosition/currentHedgeShortfall/direction/transitionPrice are 4/6/-2/-1/1.57775</t>
  </si>
  <si>
    <t>2014-11-26 15:51:53.955: TransitionLogger - processTransitionpoint - checking transition - currentHedgeShortfall is -2</t>
  </si>
  <si>
    <t>2014-11-26 15:51:53.956: Algorithm - handleTransition - currentHedgeShortfall is NOT ZERO and AUTOHEDGE IS NOT ENABLED!</t>
  </si>
  <si>
    <t>2014-11-26 15:51:53.956: Algorithm - updatePortfolio - haveAllDetails is True</t>
  </si>
  <si>
    <t>6B4X4 C1580</t>
  </si>
  <si>
    <t>2014-11-26 15:51:54.10: Algorithm - FindNextStrikes - price is 1.57785 nextStrikeUp/Down 1.58/1.575</t>
  </si>
  <si>
    <t>2014-11-26 15:51:54.10: Algorithm - getPortfolioForwardDelta - required deltas is 4 currentHedgePosition is 6</t>
  </si>
  <si>
    <t>2014-11-26 15:51:54.10: Algorithm - getHedgeShortfall - required deltas is 4 price is 1.57775 currentHedgePositionDeltas is 6</t>
  </si>
  <si>
    <t>2014-11-26 15:51:54.11: Algorithm - processTransitionPoint - nextUpper/LowerStrikes are 1.58/1.575 requiredDeltas/currentPosition/currentHedgeShortfall/direction/transitionPrice are 4/6/-2/-1/1.57775</t>
  </si>
  <si>
    <t>2014-11-26 15:51:54.14: TransitionLogger - processTransitionpoint - checking transition - currentHedgeShortfall is -2</t>
  </si>
  <si>
    <t>2014-11-26 15:51:54.15: Algorithm - handleTransition - currentHedgeShortfall is NOT ZERO and AUTOHEDGE IS NOT ENABLED!</t>
  </si>
  <si>
    <t>2014-11-26 15:51:54.16: Algorithm - updatePortfolio - haveAllDetails is True</t>
  </si>
  <si>
    <t>2014-11-26 15:51:54.46: Algorithm - FindNextStrikes - price is 1.57785 nextStrikeUp/Down 1.58/1.575</t>
  </si>
  <si>
    <t>2014-11-26 15:51:54.47: Algorithm - getPortfolioForwardDelta - required deltas is 4 currentHedgePosition is 6</t>
  </si>
  <si>
    <t>2014-11-26 15:51:54.47: Algorithm - getHedgeShortfall - required deltas is 4 price is 1.57775 currentHedgePositionDeltas is 6</t>
  </si>
  <si>
    <t>2014-11-26 15:51:54.47: Algorithm - processTransitionPoint - nextUpper/LowerStrikes are 1.58/1.575 requiredDeltas/currentPosition/currentHedgeShortfall/direction/transitionPrice are 4/6/-2/-1/1.57775</t>
  </si>
  <si>
    <t>2014-11-26 15:51:54.48: TransitionLogger - processTransitionpoint - checking transition - currentHedgeShortfall is -2</t>
  </si>
  <si>
    <t>2014-11-26 15:51:54.48: Algorithm - handleTransition - currentHedgeShortfall is NOT ZERO and AUTOHEDGE IS NOT ENABLED!</t>
  </si>
  <si>
    <t>2014-11-26 15:51:54.49: Algorithm - updatePortfolio - haveAllDetails is True</t>
  </si>
  <si>
    <t>2014-11-26 15:51:54.80: Algorithm - FindNextStrikes - price is 1.57785 nextStrikeUp/Down 1.58/1.575</t>
  </si>
  <si>
    <t>2014-11-26 15:51:54.81: Algorithm - getPortfolioForwardDelta - required deltas is 4 currentHedgePosition is 6</t>
  </si>
  <si>
    <t>2014-11-26 15:51:54.81: Algorithm - getHedgeShortfall - required deltas is 4 price is 1.57775 currentHedgePositionDeltas is 6</t>
  </si>
  <si>
    <t>2014-11-26 15:51:54.81: Algorithm - processTransitionPoint - nextUpper/LowerStrikes are 1.58/1.575 requiredDeltas/currentPosition/currentHedgeShortfall/direction/transitionPrice are 4/6/-2/-1/1.57775</t>
  </si>
  <si>
    <t>2014-11-26 15:51:54.81: TransitionLogger - processTransitionpoint - checking transition - currentHedgeShortfall is -2</t>
  </si>
  <si>
    <t>2014-11-26 15:51:54.85: Algorithm - handleTransition - currentHedgeShortfall is NOT ZERO and AUTOHEDGE IS NOT ENABLED!</t>
  </si>
  <si>
    <t>2014-11-26 15:51:54.85: Algorithm - updatePortfolio - haveAllDetails is True</t>
  </si>
  <si>
    <t>2014-11-26 15:51:54.234: RTWSControl  - tickOptionComputation - id:200042 tickType:10 impliedVol:0.087348891378276 delta:-4.51210649123386E-02 optPrice:1.99999994947575E-04 pvDividend:0 gamma: 1.79769313486232E+308 theta/vega/undPrice: -2.33903521057301E-04-1.43308604165459E-04-1.5777</t>
  </si>
  <si>
    <t>2014-11-26 15:51:54.281: RTWSControl  - tickOptionComputation - id:200042 tickType:11 impliedVol:0.087348891378276 delta:-4.51210649123386E-02 optPrice:1.99999994947575E-04 pvDividend:0 gamma: 1.79769313486232E+308 theta/vega/undPrice: -2.33903521057301E-04-1.43308604165459E-04-1.5777</t>
  </si>
  <si>
    <t>2014-11-26 15:51:54.327: RTWSControl  - tickOptionComputation - id:200041 tickType:10 impliedVol:6.65543974582545E-02 delta:0.942987210343409 optPrice:1.29000004380941E-02 pvDividend:0 gamma: 1.79769313486232E+308 theta/vega/undPrice: -2.13357753135384E-04-1.6136287320726E-04-1.5777</t>
  </si>
  <si>
    <t>2014-11-26 15:51:54.368: RTWSControl  - tickOptionComputation - id:200041 tickType:11 impliedVol:8.76379275569264E-02 delta:0.885557450842009 optPrice:1.32999997586012E-02 pvDividend:0 gamma: 1.79769313486232E+308 theta/vega/undPrice: -4.77818584248241E-04-2.56723158158971E-04-1.5777</t>
  </si>
  <si>
    <t>2014-11-26 15:51:54.412: RTWSControl  - tickOptionComputation - id:200043 tickType:10 impliedVol:6.65379791143232E-02 delta:-5.69531237721198E-02 optPrice:1.99999994947575E-04 pvDividend:0 gamma: 1.79769313486232E+308 theta/vega/undPrice: -2.13253509433315E-04-1.61245290933484E-04-1.5777</t>
  </si>
  <si>
    <t>2014-11-26 15:51:54.458: RTWSControl  - tickOptionComputation - id:200043 tickType:11 impliedVol:7.35084738460635E-02 delta:-7.45246167813775E-02 optPrice:3.00000014249235E-04 pvDividend:0 gamma: 1.79769313486232E+308 theta/vega/undPrice: -2.9312941037464E-04-2.11271847193788E-04-1.5777</t>
  </si>
  <si>
    <t>2014-11-26 15:51:54.527: RTWSControl  - tickOptionComputation - id:200044 tickType:10 impliedVol:6.51668325225832E-02 delta:0.835348976093092 optPrice:8.39999970048666E-03 pvDividend:0 gamma: 1.79769313486232E+308 theta/vega/undPrice: -4.54146129897164E-04-3.01357677408081E-04-1.5777</t>
  </si>
  <si>
    <t>2014-11-26 15:51:54.575: RTWSControl  - tickOptionComputation - id:200044 tickType:11 impliedVol:7.51310230790381E-02 delta:0.803570317571859 optPrice:8.70000012218952E-03 pvDividend:0 gamma: 1.79769313486232E+308 theta/vega/undPrice: -5.90493681696455E-04-3.79022951551169E-04-1.5777</t>
  </si>
  <si>
    <t>2014-11-26 15:51:54.620: RTWSControl  - tickOptionComputation - id:200046 tickType:10 impliedVol:6.17976566526844E-02 delta:-0.151690752294331 optPrice:6.00000028498471E-04 pvDividend:0 gamma: 1.79769313486232E+308 theta/vega/undPrice: -4.08022080623804E-04-2.9780447226353E-04-1.5777</t>
  </si>
  <si>
    <t>2014-11-26 15:51:54.661: RTWSControl  - tickOptionComputation - id:200046 tickType:11 impliedVol:6.85129565287102E-02 delta:-0.176231833068386 optPrice:7.999999797903E-04 pvDividend:0 gamma: 1.79769313486232E+308 theta/vega/undPrice: -5.00057458158459E-04-3.28535330770456E-04-1.5777</t>
  </si>
  <si>
    <t>2014-11-26 15:51:54.706: RTWSControl  - tickOptionComputation - id:200045 tickType:10 impliedVol:6.29860346518637E-02 delta:0.638683583273848 optPrice:4.60000010207295E-03 pvDividend:0 gamma: 1.79769313486232E+308 theta/vega/undPrice: -6.6596172166674E-04-4.45648533699955E-04-1.5777</t>
  </si>
  <si>
    <t>2014-11-26 15:51:54.751: RTWSControl  - tickOptionComputation - id:200045 tickType:11 impliedVol:6.74738777975295E-02 delta:0.630164836395033 optPrice:4.80000022798777E-03 pvDividend:0 gamma: 1.79769313486232E+308 theta/vega/undPrice: -7.20435142278036E-04-4.45648330073047E-04-1.5777</t>
  </si>
  <si>
    <t>2014-11-26 15:51:54.820: RTWSControl  - tickOptionComputation - id:200047 tickType:10 impliedVol:6.07555592553413E-02 delta:-0.356597638652551 optPrice:1.79999996908009E-03 pvDividend:0 gamma: 1.79769313486232E+308 theta/vega/undPrice: -6.38908009334447E-04-4.45649278831481E-04-1.5777</t>
  </si>
  <si>
    <t>2014-11-26 15:51:54.866: RTWSControl  - tickOptionComputation - id:200047 tickType:11 impliedVol:6.52500730502792E-02 delta:-0.365748281822302 optPrice:2.0000000949949E-03 pvDividend:0 gamma: 1.79769313486232E+308 theta/vega/undPrice: -6.93462621713065E-04-4.45649098013943E-04-1.5777</t>
  </si>
  <si>
    <t>2014-11-26 15:51:54.911: RTWSControl  - tickOptionComputation - id:200049 tickType:10 impliedVol:6.87719441355149E-02 delta:0.675001976299534 optPrice:0.011400000192225 pvDividend:0 gamma: 1.79769313486232E+308 theta/vega/undPrice: -3.38971789281444E-04-9.14136834078379E-04-1.5777</t>
  </si>
  <si>
    <t>2014-11-26 15:51:54.952: RTWSControl  - tickOptionComputation - id:200049 tickType:11 impliedVol:7.20537178001499E-02 delta:0.667626638678089 optPrice:1.16999996826053E-02 pvDividend:0 gamma: 1.79769313486232E+308 theta/vega/undPrice: -3.58325421256354E-04-9.14135393307263E-04-1.5777</t>
  </si>
  <si>
    <t>2014-11-26 15:51:54.999: RTWSControl  - tickOptionComputation - id:200050 tickType:10 impliedVol:6.76661939680187E-02 delta:-0.32229357047489 optPrice:3.59999993816018E-03 pvDividend:0 gamma: 1.79769313486232E+308 theta/vega/undPrice: -3.32505949409696E-04-9.14142903290686E-04-1.5777</t>
  </si>
  <si>
    <t>2014-11-26 15:51:55.40: RTWSControl  - tickOptionComputation - id:200050 tickType:11 impliedVol:0.069860607396445 delta:-0.327466257771069 optPrice:3.80000006407499E-03 pvDividend:0 gamma: 1.79769313486232E+308 theta/vega/undPrice: -3.45447296508436E-04-9.14141971658225E-04-1.5777</t>
  </si>
  <si>
    <t>2014-11-26 15:51:55.107: RTWSControl  - tickOptionComputation - id:200051 tickType:10 impliedVol:0.067617109557941 delta:-0.320233863497234 optPrice:3.50000010803342E-03 pvDividend:0 gamma: 1.79769313486232E+308 theta/vega/undPrice: -3.33533251570555E-04-8.84444697054667E-04-1.5777</t>
  </si>
  <si>
    <t>2014-11-26 15:51:55.155: RTWSControl  - tickOptionComputation - id:200051 tickType:11 impliedVol:6.98806637812242E-02 delta:-0.325538054136685 optPrice:3.70000000111759E-03 pvDividend:0 gamma: 1.79769313486232E+308 theta/vega/undPrice: -3.47047358100299E-04-8.9047217731017E-04-1.5777</t>
  </si>
  <si>
    <t>2014-11-26 15:51:55.200: RTWSControl  - tickOptionComputation - id:200052 tickType:10 impliedVol:1.79769313486232E+308 delta:1.79769313486232E+308 optPrice:1.79769313486232E+308 pvDividend:0 gamma: 1.79769313486232E+308 theta/vega/undPrice: 1.79769313486232E+308-1.79769313486232E+308-1.5777</t>
  </si>
  <si>
    <t>2014-11-26 15:51:55.236: RTWSControl  - tickOptionComputation - id:200052 tickType:11 impliedVol:1.79769313486232E+308 delta:1.79769313486232E+308 optPrice:1.79769313486232E+308 pvDividend:0 gamma: 1.79769313486232E+308 theta/vega/undPrice: 1.79769313486232E+308-1.79769313486232E+308-1.5777</t>
  </si>
  <si>
    <t>2014-11-26 15:51:55.314: RTWSControl  - tickOptionComputation - id:200048 tickType:10 impliedVol:7.93966632877527E-02 delta:-2.60439594207376E-02 optPrice:1.99999994947575E-04 pvDividend:0 gamma: 1.79769313486232E+308 theta/vega/undPrice: -6.55035431720627E-05-1.79296245853491E-04-1.5777</t>
  </si>
  <si>
    <t>2014-11-26 15:51:55.387: RTWSControl  - tickOptionComputation - id:200048 tickType:11 impliedVol:8.49592339796813E-02 delta:-3.50313061876104E-02 optPrice:3.00000014249235E-04 pvDividend:0 gamma: 1.79769313486232E+308 theta/vega/undPrice: -8.96892146434277E-05-2.36596414311659E-04-1.5777</t>
  </si>
  <si>
    <t>2014-11-26 15:51:55.453: RTWSControl  - tickOptionComputation - id:200053 tickType:10 impliedVol:6.12068626643053E-02 delta:7.30427364965047E-02 optPrice:5.00000023748726E-04 pvDividend:0 gamma: 1.79769313486232E+308 theta/vega/undPrice: -1.16711683371866E-04-4.26430917862684E-04-1.5777</t>
  </si>
  <si>
    <t>2014-11-26 15:51:55.493: RTWSControl  - tickOptionComputation - id:200053 tickType:11 impliedVol:6.61616300970407E-02 delta:9.05533012584259E-02 optPrice:6.99999975040555E-04 pvDividend:0 gamma: 1.79769313486232E+308 theta/vega/undPrice: -1.47599454376272E-04-4.47272235618062E-04-1.5777</t>
  </si>
  <si>
    <t>2014-11-26 15:51:55.539: RTWSControl  - tickOptionComputation - id:200054 tickType:10 impliedVol:1.79769313486232E+308 delta:1.79769313486232E+308 optPrice:1.79769313486232E+308 pvDividend:0 gamma: 1.79769313486232E+308 theta/vega/undPrice: 1.79769313486232E+308-1.79769313486232E+308-1.5777</t>
  </si>
  <si>
    <t>2014-11-26 15:51:55.574: RTWSControl  - tickOptionComputation - id:200054 tickType:11 impliedVol:9.23844777039449E-02 delta:1.23461115513838E-02 optPrice:9.99999974737875E-05 pvDividend:0 gamma: 1.79769313486232E+308 theta/vega/undPrice: -4.03256148346911E-05-1.03758289502268E-04-1.5777</t>
  </si>
  <si>
    <t>2014-11-26 15:51:55.661: RTWSControl - contractDetailsEx - got contractDetails id 0 British pound 6B4X4 C1580</t>
  </si>
  <si>
    <t>2014-11-26 15:51:55.666: RTWSControl - contractDetailsEnd - Got contract details end event</t>
  </si>
  <si>
    <t>2014-11-26 15:51:55.828: RTWSControl  - tickOptionComputation - id:200042 tickType:13 impliedVol:7.80029332564141E-02 delta:-2.96316499476566E-02 optPrice:1.10706746350856E-04 pvDividend:0 gamma: 1.79769313486232E+308 theta/vega/undPrice: -1.46964519926822E-04-9.80322436833828E-05-1.5777</t>
  </si>
  <si>
    <t>2014-11-26 15:51:55.900: RTWSControl  - tickOptionComputation - id:200041 tickType:13 impliedVol:7.00984416234292E-02 delta:0.933738249473161 optPrice:1.29508710819941E-02 pvDividend:0 gamma: 1.79769313486232E+308 theta/vega/undPrice: -2.53969428981631E-04-1.86798111334277E-04-1.5777</t>
  </si>
  <si>
    <t>2014-11-26 15:51:55.949: RTWSControl  - tickOptionComputation - id:200043 tickType:13 impliedVol:7.00984416234292E-02 delta:-6.63742758036252E-02 optPrice:2.51052939237068E-04 pvDividend:0 gamma: 1.79769313486232E+308 theta/vega/undPrice: -2.54053371209649E-04-1.86798389015672E-04-1.5777</t>
  </si>
  <si>
    <t>2014-11-26 15:51:55.991: RTWSControl  - tickOptionComputation - id:200044 tickType:13 impliedVol:6.48963942015826E-02 delta:0.836444196587161 optPrice:8.39194593804823E-03 pvDividend:0 gamma: 1.79769313486232E+308 theta/vega/undPrice: -4.50439691387189E-04-2.99161205392563E-04-1.5777</t>
  </si>
  <si>
    <t>2014-11-26 15:51:56.32: RTWSControl  - tickOptionComputation - id:200046 tickType:13 impliedVol:6.48963942015826E-02 delta:-0.163668510184224 optPrice:6.92056943662412E-04 pvDividend:0 gamma: 1.79769313486232E+308 theta/vega/undPrice: -4.50491305081548E-04-2.99161941777242E-04-1.5777</t>
  </si>
  <si>
    <t>2014-11-26 15:51:56.74: RTWSControl  - tickOptionComputation - id:200045 tickType:13 impliedVol:6.23967909909879E-02 delta:0.639974686765949 optPrice:4.57374053086845E-03 pvDividend:0 gamma: 1.79769313486232E+308 theta/vega/undPrice: -6.58809480090975E-04-4.456485596049E-04-1.5777</t>
  </si>
  <si>
    <t>2014-11-26 15:51:56.115: RTWSControl  - tickOptionComputation - id:200047 tickType:13 impliedVol:6.23967909909879E-02 delta:-0.360138517103086 optPrice:1.87378216099271E-03 pvDividend:0 gamma: 1.79769313486232E+308 theta/vega/undPrice: -6.5882936032943E-04-4.45649211621001E-04-1.5777</t>
  </si>
  <si>
    <t>2014-11-26 15:51:56.157: RTWSControl  - tickOptionComputation - id:200049 tickType:13 impliedVol:6.82757224029036E-02 delta:0.676265185218993 optPrice:1.13546386260853E-02 pvDividend:0 gamma: 1.79769313486232E+308 theta/vega/undPrice: -3.36045410120281E-04-9.14137047408224E-04-1.5777</t>
  </si>
  <si>
    <t>2014-11-26 15:51:56.199: RTWSControl  - tickOptionComputation - id:200050 tickType:13 impliedVol:6.82757224029036E-02 delta:-0.323805062925148 optPrice:3.6551296384329E-03 pvDividend:0 gamma: 1.79769313486232E+308 theta/vega/undPrice: -3.3610058939974E-04-9.14142646747111E-04-1.5777</t>
  </si>
  <si>
    <t>2014-11-26 15:51:56.239: RTWSControl  - tickOptionComputation - id:200051 tickType:13 impliedVol:7.09973132809276E-02 delta:-0.328082438781173 optPrice:3.80050001301212E-03 pvDividend:0 gamma: 1.79769313486232E+308 theta/vega/undPrice: -3.5369237278578E-04-8.9324922058745E-04-1.5777</t>
  </si>
  <si>
    <t>2014-11-26 15:51:56.281: RTWSControl  - tickOptionComputation - id:200052 tickType:13 impliedVol:0.116642045407638 delta:-0.528158536625633 optPrice:0.012699555553281 pvDividend:0 gamma: 1.79769313486232E+308 theta/vega/undPrice: -6.40008744388635E-04-9.83887962357525E-04-1.5777</t>
  </si>
  <si>
    <t>2014-11-26 15:51:56.345: RTWSControl  - tickOptionComputation - id:200048 tickType:13 impliedVol:8.10631250407425E-02 delta:-2.88699481083132E-02 optPrice:2.30033683071742E-04 pvDividend:0 gamma: 1.79769313486232E+308 theta/vega/undPrice: -7.27492139683616E-05-1.92477523484591E-04-1.5777</t>
  </si>
  <si>
    <t>2014-11-26 15:51:56.402: RTWSControl  - tickOptionComputation - id:200053 tickType:13 impliedVol:6.56326912396192E-02 delta:8.86283997362692E-02 optPrice:6.76341952942621E-04 pvDividend:0 gamma: 1.79769313486232E+308 theta/vega/undPrice: -1.44178342921711E-04-4.47272339888305E-04-1.5777</t>
  </si>
  <si>
    <t>2014-11-26 15:51:56.422: RTWSControl  - tickOptionComputation - id:200054 tickType:13 impliedVol:7.31340315508842E-02 delta:2.09220665946427E-03 optPrice:1.13796278857133E-05 pvDividend:0 gamma: 0.360162351552052 theta/vega/undPrice: -6.56673093531469E-06-3.17211309381195E-05-1.5777</t>
  </si>
  <si>
    <t>2014-11-26 15:51:56.485: RTWSControl  - tickOptionComputation - id:200052 tickType:10 impliedVol:1.79769313486232E+308 delta:1.79769313486232E+308 optPrice:1.79769313486232E+308 pvDividend:0 gamma: 1.79769313486232E+308 theta/vega/undPrice: 1.79769313486232E+308-1.79769313486232E+308-1.5777</t>
  </si>
  <si>
    <t>2014-11-26 15:51:56.498: RTWSControl  - tickOptionComputation - id:200052 tickType:11 impliedVol:1.79769313486232E+308 delta:1.79769313486232E+308 optPrice:1.79769313486232E+308 pvDividend:0 gamma: 1.79769313486232E+308 theta/vega/undPrice: 1.79769313486232E+308-1.79769313486232E+308-1.5777</t>
  </si>
  <si>
    <t>2014-11-26 15:51:56.544: RTWSControl  - tickOptionComputation - id:200054 tickType:10 impliedVol:1.79769313486232E+308 delta:1.79769313486232E+308 optPrice:1.79769313486232E+308 pvDividend:0 gamma: 1.79769313486232E+308 theta/vega/undPrice: 1.79769313486232E+308-1.79769313486232E+308-1.5777</t>
  </si>
  <si>
    <t>2014-11-26 15:51:56.692: DirectionIndicator - notify - price/longMA/ShortMA/prevDirection are 1.5778/1.57785648588619/1.57782256732658/-1</t>
  </si>
  <si>
    <t>2014-11-26 15:51:56.693: Algorithm - handleTransition - currentHedgeShortfall is NOT ZERO and AUTOHEDGE IS NOT ENABLED!</t>
  </si>
  <si>
    <t>2014-11-26 15:51:56.780: DirectionIndicator - notify - price/longMA/ShortMA/prevDirection are 1.57785/1.57785530663415/1.57783171155105/-1</t>
  </si>
  <si>
    <t>2014-11-26 15:51:56.781: Algorithm - handleTransition - currentHedgeShortfall is NOT ZERO and AUTOHEDGE IS NOT ENABLED!</t>
  </si>
  <si>
    <t>2014-11-26 15:51:56.899: RTWSControl  - tickOptionComputation - id:200042 tickType:13 impliedVol:7.80029332564141E-02 delta:-2.88717729460953E-02 optPrice:1.07483134417057E-04 pvDividend:0 gamma: 1.79769313486232E+308 theta/vega/undPrice: -1.43854349567851E-04-9.53500030498211E-05-1.5778</t>
  </si>
  <si>
    <t>2014-11-26 15:51:56.920: RTWSControl  - tickOptionComputation - id:200042 tickType:10 impliedVol:8.77665645814702E-02 delta:-4.49556151438285E-02 optPrice:1.99999994947575E-04 pvDividend:0 gamma: 1.79769313486232E+308 theta/vega/undPrice: -2.34389383945023E-04-1.43313137473821E-04-1.5778</t>
  </si>
  <si>
    <t>2014-11-26 15:51:56.967: RTWSControl  - tickOptionComputation - id:200042 tickType:11 impliedVol:8.77665645814702E-02 delta:-4.49556151438285E-02 optPrice:1.99999994947575E-04 pvDividend:0 gamma: 1.79769313486232E+308 theta/vega/undPrice: -2.34389383945023E-04-1.43313137473821E-04-1.5778</t>
  </si>
  <si>
    <t>2014-11-26 15:51:57.8: RTWSControl  - tickOptionComputation - id:200041 tickType:13 impliedVol:7.00984416234292E-02 delta:0.935120440785896 optPrice:1.30449556639207E-02 pvDividend:0 gamma: 1.79769313486232E+308 theta/vega/undPrice: -2.49669715676857E-04-1.82635075243288E-04-1.5778</t>
  </si>
  <si>
    <t>2014-11-26 15:51:57.44: RTWSControl  - tickOptionComputation - id:200041 tickType:10 impliedVol:5.86044778416534E-02 delta:0.965020345598286 optPrice:1.29000004380941E-02 pvDividend:0 gamma: 1.79769313486232E+308 theta/vega/undPrice: -1.26797528382874E-04-1.23510430782188E-04-1.5778</t>
  </si>
  <si>
    <t>2014-11-26 15:51:57.87: RTWSControl  - tickOptionComputation - id:200041 tickType:11 impliedVol:8.34525761377585E-02 delta:0.897872913192892 optPrice:1.32999997586012E-02 pvDividend:0 gamma: 1.79769313486232E+308 theta/vega/undPrice: -4.17532205730896E-04-2.16445732135889E-04-1.5778</t>
  </si>
  <si>
    <t>2014-11-26 15:51:57.129: RTWSControl  - tickOptionComputation - id:200043 tickType:13 impliedVol:7.00984416234292E-02 delta:-6.49920834808698E-02 optPrice:2.45138947685708E-04 pvDividend:0 gamma: 1.79769313486232E+308 theta/vega/undPrice: -2.49754311783166E-04-1.82635349545905E-04-1.5778</t>
  </si>
  <si>
    <t>2014-11-26 15:51:57.166: RTWSControl  - tickOptionComputation - id:200043 tickType:10 impliedVol:6.69560106188101E-02 delta:-5.66636193589033E-02 optPrice:1.99999994947575E-04 pvDividend:0 gamma: 1.79769313486232E+308 theta/vega/undPrice: -2.1374359433706E-04-1.60081709123973E-04-1.5778</t>
  </si>
  <si>
    <t>2014-11-26 15:51:57.210: RTWSControl  - tickOptionComputation - id:200043 tickType:11 impliedVol:7.39112061851167E-02 delta:-7.41273558431917E-02 optPrice:3.00000014249235E-04 pvDividend:0 gamma: 1.79769313486232E+308 theta/vega/undPrice: -2.93446700085948E-04-2.10000043945944E-04-1.5778</t>
  </si>
  <si>
    <t>2014-11-26 15:51:57.253: RTWSControl  - tickOptionComputation - id:200044 tickType:13 impliedVol:6.48963942015826E-02 delta:0.839541336377391 optPrice:8.47589424523833E-03 pvDividend:0 gamma: 1.79769313486232E+308 theta/vega/undPrice: -4.44766750822097E-04-2.97813528742795E-04-1.5778</t>
  </si>
  <si>
    <t>2014-11-26 15:51:57.289: RTWSControl  - tickOptionComputation - id:200046 tickType:13 impliedVol:6.48963942015826E-02 delta:-0.160571367145953 optPrice:6.76006668191923E-04 pvDividend:0 gamma: 1.79769313486232E+308 theta/vega/undPrice: -4.44819012783893E-04-2.9781382114586E-04-1.5778</t>
  </si>
  <si>
    <t>2014-11-26 15:51:57.332: RTWSControl  - tickOptionComputation - id:200044 tickType:10 impliedVol:6.23480043778201E-02 delta:0.84930785794208 optPrice:8.39999970048666E-03 pvDividend:0 gamma: 1.79769313486232E+308 theta/vega/undPrice: -4.09839185798221E-04-2.97813603664807E-04-1.5778</t>
  </si>
  <si>
    <t>2014-11-26 15:51:57.371: RTWSControl  - tickOptionComputation - id:200044 tickType:11 impliedVol:7.24214351122194E-02 delta:0.814347388257946 optPrice:8.70000012218952E-03 pvDividend:0 gamma: 1.79769313486232E+308 theta/vega/undPrice: -5.47902894620942E-04-3.52427012874789E-04-1.5778</t>
  </si>
  <si>
    <t>2014-11-26 15:51:57.414: RTWSControl  - tickOptionComputation - id:200046 tickType:10 impliedVol:1.79769313486232E+308 delta:1.79769313486232E+308 optPrice:6.00000028498471E-04 pvDividend:0 gamma: 1.79769313486232E+308 theta/vega/undPrice: 1.79769313486232E+308-1.79769313486232E+308-1.5778</t>
  </si>
  <si>
    <t>2014-11-26 15:51:57.445: RTWSControl  - tickOptionComputation - id:200046 tickType:11 impliedVol:6.90579462467257E-02 delta:-0.175102970441402 optPrice:7.999999797903E-04 pvDividend:0 gamma: 1.79769313486232E+308 theta/vega/undPrice: -5.01856230046573E-04-3.25109065589647E-04-1.5778</t>
  </si>
  <si>
    <t>2014-11-26 15:51:57.491: RTWSControl  - tickOptionComputation - id:200045 tickType:10 impliedVol:6.14841113165972E-02 delta:0.646706200740642 optPrice:4.60000010207295E-03 pvDividend:0 gamma: 1.79769313486232E+308 theta/vega/undPrice: -6.44104398821526E-04-4.45662719430898E-04-1.5778</t>
  </si>
  <si>
    <t>2014-11-26 15:51:57.514: RTWSControl  - tickOptionComputation - id:200045 tickType:11 impliedVol:6.59710923892119E-02 delta:0.637446867376405 optPrice:4.80000022798777E-03 pvDividend:0 gamma: 1.79769313486232E+308 theta/vega/undPrice: -6.9856910199183E-04-4.45662518554305E-04-1.5778</t>
  </si>
  <si>
    <t>2014-11-26 15:51:57.568: RTWSControl  - tickOptionComputation - id:200045 tickType:13 impliedVol:6.23967909909879E-02 delta:0.64479570279181 optPrice:4.64023718544153E-03 pvDividend:0 gamma: 1.79769313486232E+308 theta/vega/undPrice: -6.5518286090395E-04-4.45662679482604E-04-1.5778</t>
  </si>
  <si>
    <t>2014-11-26 15:51:57.595: RTWSControl  - tickOptionComputation - id:200047 tickType:13 impliedVol:6.23967909909879E-02 delta:-0.355317493077014 optPrice:1.84028020922957E-03 pvDividend:0 gamma: 1.79769313486232E+308 theta/vega/undPrice: -6.55203380543357E-04-4.45663325459765E-04-1.5778</t>
  </si>
  <si>
    <t>2014-11-26 15:51:57.635: RTWSControl  - tickOptionComputation - id:200049 tickType:13 impliedVol:6.82757224029036E-02 delta:0.678405350153975 optPrice:1.14212421233942E-02 pvDividend:0 gamma: 1.79769313486232E+308 theta/vega/undPrice: -3.35193128828238E-04-9.14166017448254E-04-1.5778</t>
  </si>
  <si>
    <t>2014-11-26 15:51:57.670: RTWSControl  - tickOptionComputation - id:200050 tickType:13 impliedVol:6.82757224029036E-02 delta:-0.321664883250922 optPrice:3.62173902087531E-03 pvDividend:0 gamma: 1.79769313486232E+308 theta/vega/undPrice: -3.35248948567756E-04-9.14171611056277E-04-1.5778</t>
  </si>
  <si>
    <t>2014-11-26 15:51:57.705: RTWSControl  - tickOptionComputation - id:200051 tickType:13 impliedVol:7.09973132809276E-02 delta:-0.326026854188452 optPrice:3.76779889521551E-03 pvDividend:0 gamma: 1.79769313486232E+308 theta/vega/undPrice: -3.52813166663977E-04-8.91028401201986E-04-1.5778</t>
  </si>
  <si>
    <t>2014-11-26 15:51:57.773: RTWSControl  - tickOptionComputation - id:200052 tickType:13 impliedVol:0.116642045407638 delta:-0.526778471195533 optPrice:1.26468172180976E-02 pvDividend:0 gamma: 1.79769313486232E+308 theta/vega/undPrice: -6.40202424675534E-04-9.84185135433992E-04-1.5778</t>
  </si>
  <si>
    <t>2014-11-26 15:51:57.777: RTWSControl  - tickOptionComputation - id:200047 tickType:10 impliedVol:0.06149142541966 delta:-0.353296728309254 optPrice:1.79999996908009E-03 pvDividend:0 gamma: 1.79769313486232E+308 theta/vega/undPrice: -6.44213662318642E-04-4.45663363972115E-04-1.5778</t>
  </si>
  <si>
    <t>2014-11-26 15:51:57.783: RTWSControl  - tickOptionComputation - id:200047 tickType:11 impliedVol:6.59858326966803E-02 delta:-0.362568205461281 optPrice:2.0000000949949E-03 pvDividend:0 gamma: 1.79769313486232E+308 theta/vega/undPrice: -6.98768697348931E-04-4.45663172146711E-04-1.5778</t>
  </si>
  <si>
    <t>2014-11-26 15:51:57.792: RTWSControl  - tickOptionComputation - id:200049 tickType:10 impliedVol:6.80433589105215E-02 delta:0.678884308193729 optPrice:0.011400000192225 pvDividend:0 gamma: 1.79769313486232E+308 theta/vega/undPrice: -3.3382276256724E-04-9.14166117163316E-04-1.5778</t>
  </si>
  <si>
    <t>2014-11-26 15:51:57.798: RTWSControl  - tickOptionComputation - id:200049 tickType:11 impliedVol:7.13251053876135E-02 delta:0.671253338450159 optPrice:1.16999996826053E-02 pvDividend:0 gamma: 1.79769313486232E+308 theta/vega/undPrice: -3.53176864228614E-04-9.14164684698678E-04-1.5778</t>
  </si>
  <si>
    <t>2014-11-26 15:51:57.807: RTWSControl  - tickOptionComputation - id:200050 tickType:10 impliedVol:0.068030810462868 delta:-0.321028853295434 optPrice:3.59999993816018E-03 pvDividend:0 gamma: 1.79769313486232E+308 theta/vega/undPrice: -3.33804556601553E-04-9.1417171459371E-04-1.5778</t>
  </si>
  <si>
    <t>2014-11-26 15:51:57.812: RTWSControl  - tickOptionComputation - id:200050 tickType:11 impliedVol:7.02257773885543E-02 delta:-0.326214657437825 optPrice:3.80000006407499E-03 pvDividend:0 gamma: 1.79769313486232E+308 theta/vega/undPrice: -3.46749572701964E-04-9.14170776497737E-04-1.5778</t>
  </si>
  <si>
    <t>2014-11-26 15:51:57.817: RTWSControl  - tickOptionComputation - id:200048 tickType:13 impliedVol:8.10631250407425E-02 delta:-0.028516444709466 optPrice:2.26834788097583E-04 pvDividend:0 gamma: 1.79769313486232E+308 theta/vega/undPrice: -7.20184810246567E-05-1.89815714520071E-04-1.5778</t>
  </si>
  <si>
    <t>2014-11-26 15:51:57.822: RTWSControl  - tickOptionComputation - id:200053 tickType:13 impliedVol:6.56326912396192E-02 delta:8.97183115203441E-02 optPrice:6.86565969005342E-04 pvDividend:0 gamma: 1.79769313486232E+308 theta/vega/undPrice: -1.45448859701743E-04-4.47286516243258E-04-1.5778</t>
  </si>
  <si>
    <t>2014-11-26 15:51:57.825: RTWSControl  - tickOptionComputation - id:200054 tickType:13 impliedVol:7.31340315508842E-02 delta:2.14723272007289E-03 optPrice:1.17154110523172E-05 pvDividend:0 gamma: 0.368370834059283 theta/vega/undPrice: -6.71724465712254E-06-3.2166600799649E-05-1.5778</t>
  </si>
  <si>
    <t>2014-11-26 15:51:57.833: RTWSControl  - tickOptionComputation - id:200051 tickType:10 impliedVol:6.79770152092095E-02 delta:-0.318971025023311 optPrice:3.50000010803342E-03 pvDividend:0 gamma: 1.79769313486232E+308 theta/vega/undPrice: -3.34774957209051E-04-8.83037010176577E-04-1.5778</t>
  </si>
  <si>
    <t>2014-11-26 15:51:57.838: RTWSControl  - tickOptionComputation - id:200051 tickType:11 impliedVol:0.070239004472466 delta:-0.324276075177679 optPrice:3.70000000111759E-03 pvDividend:0 gamma: 1.79769313486232E+308 theta/vega/undPrice: -3.48294255240269E-04-8.8911202324287E-04-1.5778</t>
  </si>
  <si>
    <t>2014-11-26 15:51:57.842: RTWSControl  - tickOptionComputation - id:200052 tickType:10 impliedVol:1.79769313486232E+308 delta:1.79769313486232E+308 optPrice:1.79769313486232E+308 pvDividend:0 gamma: 1.79769313486232E+308 theta/vega/undPrice: 1.79769313486232E+308-1.79769313486232E+308-1.5778</t>
  </si>
  <si>
    <t>2014-11-26 15:51:57.844: RTWSControl  - tickOptionComputation - id:200052 tickType:11 impliedVol:1.79769313486232E+308 delta:1.79769313486232E+308 optPrice:1.79769313486232E+308 pvDividend:0 gamma: 1.79769313486232E+308 theta/vega/undPrice: 1.79769313486232E+308-1.79769313486232E+308-1.5778</t>
  </si>
  <si>
    <t>2014-11-26 15:51:57.848: RTWSControl  - tickOptionComputation - id:200048 tickType:10 impliedVol:7.95879629036136E-02 delta:-2.60140390144818E-02 optPrice:1.99999994947575E-04 pvDividend:0 gamma: 1.79769313486232E+308 theta/vega/undPrice: -6.5604366048633E-05-1.79301909053848E-04-1.5778</t>
  </si>
  <si>
    <t>2014-11-26 15:51:57.882: RTWSControl  - tickOptionComputation - id:200048 tickType:11 impliedVol:8.51404598524514E-02 delta:-3.49675554127242E-02 optPrice:3.00000014249235E-04 pvDividend:0 gamma: 1.79769313486232E+308 theta/vega/undPrice: -8.97469993566571E-05-2.35988238887828E-04-1.5778</t>
  </si>
  <si>
    <t>2014-11-26 15:51:57.899: RTWSControl  - tickOptionComputation - id:200053 tickType:10 impliedVol:6.10173295916569E-02 delta:7.32860300667479E-02 optPrice:5.00000023748726E-04 pvDividend:0 gamma: 1.79769313486232E+308 theta/vega/undPrice: -1.16678151325896E-04-4.2783368979745E-04-1.5778</t>
  </si>
  <si>
    <t>2014-11-26 15:51:57.907: RTWSControl  - tickOptionComputation - id:200053 tickType:11 impliedVol:6.59234494072164E-02 delta:9.07702392359217E-02 optPrice:6.99999975040555E-04 pvDividend:0 gamma: 1.79769313486232E+308 theta/vega/undPrice: -1.47329507503303E-04-4.47286459280919E-04-1.5778</t>
  </si>
  <si>
    <t>2014-11-26 15:51:57.945: RTWSControl  - tickOptionComputation - id:200054 tickType:10 impliedVol:1.79769313486232E+308 delta:1.79769313486232E+308 optPrice:1.79769313486232E+308 pvDividend:0 gamma: 1.79769313486232E+308 theta/vega/undPrice: 1.79769313486232E+308-1.79769313486232E+308-1.5778</t>
  </si>
  <si>
    <t>2014-11-26 15:51:57.950: RTWSControl  - tickOptionComputation - id:200054 tickType:11 impliedVol:9.22117664176838E-02 delta:1.23525325879298E-02 optPrice:9.99999974737875E-05 pvDividend:0 gamma: 1.79769313486232E+308 theta/vega/undPrice: -4.02701482756789E-05-1.03761588920521E-04-1.5778</t>
  </si>
  <si>
    <t>2014-11-26 15:51:58.273: RTWSControl  - tickOptionComputation - id:200042 tickType:13 impliedVol:7.81891738623415E-02 delta:-0.029173627765133 optPrice:1.09009263930205E-04 pvDividend:0 gamma: 1.79769313486232E+308 theta/vega/undPrice: -1.45463208311936E-04-9.6290968640495E-05-1.5778</t>
  </si>
  <si>
    <t>2014-11-26 15:51:58.284: RTWSControl  - tickOptionComputation - id:200041 tickType:13 impliedVol:6.99591528272094E-02 delta:0.935501816584494 optPrice:1.30427958467337E-02 pvDividend:0 gamma: 1.79769313486232E+308 theta/vega/undPrice: -2.48024712950725E-04-1.81520731747341E-04-1.5778</t>
  </si>
  <si>
    <t>2014-11-26 15:51:58.307: RTWSControl  - tickOptionComputation - id:200043 tickType:13 impliedVol:6.99591528272094E-02 delta:-6.46107072887415E-02 optPrice:2.42979070436976E-04 pvDividend:0 gamma: 1.79769313486232E+308 theta/vega/undPrice: -2.48109307117969E-04-1.8152100478689E-04-1.5778</t>
  </si>
  <si>
    <t>2014-11-26 15:51:58.318: RTWSControl  - tickOptionComputation - id:200044 tickType:13 impliedVol:6.45941539617354E-02 delta:0.840710358235715 optPrice:8.46658572696582E-03 pvDividend:0 gamma: 1.79769313486232E+308 theta/vega/undPrice: -4.40623685119071E-04-2.97765945386922E-04-1.5778</t>
  </si>
  <si>
    <t>2014-11-26 15:51:58.330: RTWSControl  - tickOptionComputation - id:200046 tickType:13 impliedVol:6.45941539617354E-02 delta:-0.15940234389084 optPrice:6.66698104960797E-04 pvDividend:0 gamma: 1.79769313486232E+308 theta/vega/undPrice: -4.4067593888635E-04-2.97766236736558E-04-1.5778</t>
  </si>
  <si>
    <t>2014-11-26 15:51:58.342: RTWSControl  - tickOptionComputation - id:200045 tickType:13 impliedVol:6.20941772659194E-02 delta:0.645471300842046 optPrice:4.62630858886425E-03 pvDividend:0 gamma: 1.79769313486232E+308 theta/vega/undPrice: -6.51597425326669E-04-4.45591473400384E-04-1.5778</t>
  </si>
  <si>
    <t>2014-11-26 15:51:58.369: RTWSControl  - tickOptionComputation - id:200047 tickType:13 impliedVol:6.20941772659194E-02 delta:-0.354641893600538 optPrice:1.82635157889876E-03 pvDividend:0 gamma: 1.79769313486232E+308 theta/vega/undPrice: -6.51617931986367E-04-4.45592118327397E-04-1.5778</t>
  </si>
  <si>
    <t>2014-11-26 15:51:58.380: RTWSControl  - tickOptionComputation - id:200049 tickType:13 impliedVol:6.82633407780138E-02 delta:0.678441610370621 optPrice:1.14198740630196E-02 pvDividend:0 gamma: 1.79769313486232E+308 theta/vega/undPrice: -3.351302473463E-04-9.14131423424541E-04-1.5778</t>
  </si>
  <si>
    <t>2014-11-26 15:51:58.391: RTWSControl  - tickOptionComputation - id:200050 tickType:13 impliedVol:6.82633407780138E-02 delta:-0.321628622470349 optPrice:3.62037091456002E-03 pvDividend:0 gamma: 1.79769313486232E+308 theta/vega/undPrice: -3.35186065793995E-04-9.14137016292945E-04-1.5778</t>
  </si>
  <si>
    <t>2014-11-26 15:51:58.404: RTWSControl  - tickOptionComputation - id:200051 tickType:13 impliedVol:7.13559394744845E-02 delta:-0.326817775606555 optPrice:3.79952292846652E-03 pvDividend:0 gamma: 1.79769313486232E+308 theta/vega/undPrice: -3.54959102615371E-04-8.91873568135104E-04-1.5778</t>
  </si>
  <si>
    <t>2014-11-26 15:51:58.430: RTWSControl  - tickOptionComputation - id:200052 tickType:13 impliedVol:0.117177872419617 delta:-0.526624315873617 optPrice:1.26991067202446E-02 pvDividend:0 gamma: 1.79769313486232E+308 theta/vega/undPrice: -6.43184988250624E-04-9.84172512124973E-04-1.5778</t>
  </si>
  <si>
    <t>2014-11-26 15:51:58.438: RTWSControl  - tickOptionComputation - id:200048 tickType:13 impliedVol:8.22083958664273E-02 delta:-3.03895948230268E-02 optPrice:2.47313947449331E-04 pvDividend:0 gamma: 1.79769313486232E+308 theta/vega/undPrice: -7.69904972415388E-05-2.02738686022822E-04-1.5778</t>
  </si>
  <si>
    <t>2014-11-26 15:51:58.447: RTWSControl  - tickOptionComputation - id:200053 tickType:13 impliedVol:6.53220988953862E-02 delta:8.85627766519541E-02 optPrice:6.72562962914464E-04 pvDividend:0 gamma: 1.79769313486232E+308 theta/vega/undPrice: -1.43434788644239E-04-4.47269648290979E-04-1.5778</t>
  </si>
  <si>
    <t>2014-11-26 15:51:58.455: RTWSControl  - tickOptionComputation - id:200054 tickType:13 impliedVol:7.33846702185481E-02 delta:2.24280657710662E-03 optPrice:1.23388963861173E-05 pvDividend:0 gamma: 0.381375727703747 theta/vega/undPrice: -7.00213693477479E-06-3.28659916377457E-05-1.5778</t>
  </si>
  <si>
    <t>2014-11-26 15:52:3.961: RTWSControl - errMsg - got error message 300:Can't find EId with tickerId:200055with id 200055</t>
  </si>
  <si>
    <t>2014-11-26 15:52:3.962: RTWSControl - errMsg - Got Error_x000D_id: 200055_x000D_errorCode: 300_x000D_errorMsg: Can't find EId with tickerId:200055</t>
  </si>
  <si>
    <t>2014-11-26 15:52:5.145: DirectionIndicator - notify - price/longMA/ShortMA/prevDirection are 1.57785/1.57785434179158/1.5778378077007/-1</t>
  </si>
  <si>
    <t>2014-11-26 15:52:5.155: Algorithm - handleTransition - currentHedgeShortfall is NOT ZERO and AUTOHEDGE IS NOT ENABLED!</t>
  </si>
  <si>
    <t>2014-11-26 15:52:5.198: DirectionIndicator - notify - price/longMA/ShortMA/prevDirection are 1.57785/1.57785355237493/1.57784187180047/-1</t>
  </si>
  <si>
    <t>2014-11-26 15:52:5.198: Algorithm - handleTransition - currentHedgeShortfall is NOT ZERO and AUTOHEDGE IS NOT ENABLED!</t>
  </si>
  <si>
    <t>2014-11-26 15:52:5.740: RTWSControl  - tickOptionComputation - id:200041 tickType:10 impliedVol:5.86044778416534E-02 delta:0.965020345598286 optPrice:1.29000004380941E-02 pvDividend:0 gamma: 1.79769313486232E+308 theta/vega/undPrice: -1.26797528382874E-04-1.23510430782188E-04-1.5778</t>
  </si>
  <si>
    <t>2014-11-26 15:52:5.776: RTWSControl  - tickOptionComputation - id:200041 tickType:11 impliedVol:8.34525761377585E-02 delta:0.897872913192892 optPrice:1.32999997586012E-02 pvDividend:0 gamma: 1.79769313486232E+308 theta/vega/undPrice: -4.17532205730896E-04-2.16445732135889E-04-1.5778</t>
  </si>
  <si>
    <t>2014-11-26 15:52:6.35: RTWSControl  - tickOptionComputation - id:200042 tickType:10 impliedVol:8.77665645814702E-02 delta:-4.49556151438285E-02 optPrice:1.99999994947575E-04 pvDividend:0 gamma: 1.79769313486232E+308 theta/vega/undPrice: -2.34389383945023E-04-1.43313137473821E-04-1.5778</t>
  </si>
  <si>
    <t>2014-11-26 15:52:6.70: RTWSControl  - tickOptionComputation - id:200042 tickType:11 impliedVol:8.77665645814702E-02 delta:-4.49556151438285E-02 optPrice:1.99999994947575E-04 pvDividend:0 gamma: 1.79769313486232E+308 theta/vega/undPrice: -2.34389383945023E-04-1.43313137473821E-04-1.5778</t>
  </si>
  <si>
    <t>2014-11-26 15:52:6.357: RTWSControl  - tickOptionComputation - id:200043 tickType:10 impliedVol:6.69560106188101E-02 delta:-5.66636193589033E-02 optPrice:1.99999994947575E-04 pvDividend:0 gamma: 1.79769313486232E+308 theta/vega/undPrice: -2.1374359433706E-04-1.60081709123973E-04-1.5778</t>
  </si>
  <si>
    <t>2014-11-26 15:52:6.368: RTWSControl  - tickOptionComputation - id:200043 tickType:11 impliedVol:7.39112061851167E-02 delta:-7.41273558431917E-02 optPrice:3.00000014249235E-04 pvDividend:0 gamma: 1.79769313486232E+308 theta/vega/undPrice: -2.93446700085948E-04-2.10000043945944E-04-1.5778</t>
  </si>
  <si>
    <t>2014-11-26 15:52:6.651: RTWSControl  - tickOptionComputation - id:200044 tickType:10 impliedVol:6.23480043778201E-02 delta:0.84930785794208 optPrice:8.39999970048666E-03 pvDividend:0 gamma: 1.79769313486232E+308 theta/vega/undPrice: -4.09839185798221E-04-2.97813603664807E-04-1.5778</t>
  </si>
  <si>
    <t>2014-11-26 15:52:6.662: RTWSControl  - tickOptionComputation - id:200044 tickType:11 impliedVol:7.24214351122194E-02 delta:0.814347388257946 optPrice:8.70000012218952E-03 pvDividend:0 gamma: 1.79769313486232E+308 theta/vega/undPrice: -5.47902894620942E-04-3.52427012874789E-04-1.5778</t>
  </si>
  <si>
    <t>2014-11-26 15:52:6.868: RTWSControl  - tickOptionComputation - id:200045 tickType:10 impliedVol:6.14841113165972E-02 delta:0.646706200740642 optPrice:4.60000010207295E-03 pvDividend:0 gamma: 1.79769313486232E+308 theta/vega/undPrice: -6.44104398821526E-04-4.45662719430898E-04-1.5778</t>
  </si>
  <si>
    <t>2014-11-26 15:52:6.874: RTWSControl  - tickOptionComputation - id:200045 tickType:11 impliedVol:6.59710923892119E-02 delta:0.637446867376405 optPrice:4.80000022798777E-03 pvDividend:0 gamma: 1.79769313486232E+308 theta/vega/undPrice: -6.9856910199183E-04-4.45662518554305E-04-1.5778</t>
  </si>
  <si>
    <t>2014-11-26 15:52:6.902: RTWSControl  - tickOptionComputation - id:200046 tickType:11 impliedVol:6.90579462467257E-02 delta:-0.175102970441402 optPrice:7.999999797903E-04 pvDividend:0 gamma: 1.79769313486232E+308 theta/vega/undPrice: -5.01856230046573E-04-3.25109065589647E-04-1.5778</t>
  </si>
  <si>
    <t>2014-11-26 15:52:6.934: RTWSControl  - tickOptionComputation - id:200047 tickType:10 impliedVol:0.06149142541966 delta:-0.353296728309254 optPrice:1.79999996908009E-03 pvDividend:0 gamma: 1.79769313486232E+308 theta/vega/undPrice: -6.44213662318642E-04-4.45663363972115E-04-1.5778</t>
  </si>
  <si>
    <t>2014-11-26 15:52:6.953: RTWSControl  - tickOptionComputation - id:200047 tickType:11 impliedVol:6.59858326966803E-02 delta:-0.362568205461281 optPrice:2.0000000949949E-03 pvDividend:0 gamma: 1.79769313486232E+308 theta/vega/undPrice: -6.98768697348931E-04-4.45663172146711E-04-1.5778</t>
  </si>
  <si>
    <t>2014-11-26 15:52:7.37: RTWSControl  - tickOptionComputation - id:200048 tickType:10 impliedVol:7.95879629036136E-02 delta:-2.60140390144818E-02 optPrice:1.99999994947575E-04 pvDividend:0 gamma: 1.79769313486232E+308 theta/vega/undPrice: -6.5604366048633E-05-1.79301909053848E-04-1.5778</t>
  </si>
  <si>
    <t>2014-11-26 15:52:7.82: RTWSControl  - tickOptionComputation - id:200048 tickType:11 impliedVol:8.51404598524514E-02 delta:-3.49675554127242E-02 optPrice:3.00000014249235E-04 pvDividend:0 gamma: 1.79769313486232E+308 theta/vega/undPrice: -8.97469993566571E-05-2.35988238887828E-04-1.5778</t>
  </si>
  <si>
    <t>2014-11-26 15:52:7.145: RTWSControl  - tickOptionComputation - id:200049 tickType:10 impliedVol:6.80433589105215E-02 delta:0.678884308193729 optPrice:0.011400000192225 pvDividend:0 gamma: 1.79769313486232E+308 theta/vega/undPrice: -3.3382276256724E-04-9.14166117163316E-04-1.5778</t>
  </si>
  <si>
    <t>2014-11-26 15:52:7.168: RTWSControl  - tickOptionComputation - id:200049 tickType:11 impliedVol:7.13251053876135E-02 delta:0.671253338450159 optPrice:1.16999996826053E-02 pvDividend:0 gamma: 1.79769313486232E+308 theta/vega/undPrice: -3.53176864228614E-04-9.14164684698678E-04-1.5778</t>
  </si>
  <si>
    <t>2014-11-26 15:52:7.239: RTWSControl  - tickOptionComputation - id:200050 tickType:10 impliedVol:0.068030810462868 delta:-0.321028853295434 optPrice:3.59999993816018E-03 pvDividend:0 gamma: 1.79769313486232E+308 theta/vega/undPrice: -3.33804556601553E-04-9.1417171459371E-04-1.5778</t>
  </si>
  <si>
    <t>2014-11-26 15:52:7.273: RTWSControl  - tickOptionComputation - id:200050 tickType:11 impliedVol:7.02257773885543E-02 delta:-0.326214657437825 optPrice:3.80000006407499E-03 pvDividend:0 gamma: 1.79769313486232E+308 theta/vega/undPrice: -3.46749572701964E-04-9.14170776497737E-04-1.5778</t>
  </si>
  <si>
    <t>2014-11-26 15:52:7.305: RTWSControl  - tickOptionComputation - id:200051 tickType:10 impliedVol:6.79770152092095E-02 delta:-0.318971025023311 optPrice:3.50000010803342E-03 pvDividend:0 gamma: 1.79769313486232E+308 theta/vega/undPrice: -3.34774957209051E-04-8.83037010176577E-04-1.5778</t>
  </si>
  <si>
    <t>2014-11-26 15:52:7.334: RTWSControl  - tickOptionComputation - id:200051 tickType:11 impliedVol:0.070239004472466 delta:-0.324276075177679 optPrice:3.70000000111759E-03 pvDividend:0 gamma: 1.79769313486232E+308 theta/vega/undPrice: -3.48294255240269E-04-8.8911202324287E-04-1.5778</t>
  </si>
  <si>
    <t>2014-11-26 15:52:7.380: RTWSControl  - tickOptionComputation - id:200053 tickType:10 impliedVol:6.10173295916569E-02 delta:7.32860300667479E-02 optPrice:5.00000023748726E-04 pvDividend:0 gamma: 1.79769313486232E+308 theta/vega/undPrice: -1.16678151325896E-04-4.2783368979745E-04-1.5778</t>
  </si>
  <si>
    <t>2014-11-26 15:52:7.444: RTWSControl  - tickOptionComputation - id:200053 tickType:11 impliedVol:6.59234494072164E-02 delta:9.07702392359217E-02 optPrice:6.99999975040555E-04 pvDividend:0 gamma: 1.79769313486232E+308 theta/vega/undPrice: -1.47329507503303E-04-4.47286459280919E-04-1.5778</t>
  </si>
  <si>
    <t>2014-11-26 15:52:7.520: RTWSControl  - tickOptionComputation - id:200054 tickType:11 impliedVol:9.22117664176838E-02 delta:1.23525325879298E-02 optPrice:9.99999974737875E-05 pvDividend:0 gamma: 1.79769313486232E+308 theta/vega/undPrice: -4.02701482756789E-05-1.03761588920521E-04-1.5778</t>
  </si>
  <si>
    <t>2014-11-26 15:52:7.564: RTWSControl  - tickOptionComputation - id:200055 tickType:10 impliedVol:5.91168097426214E-02 delta:0.380290228769894 optPrice:1.9000000320375E-03 pvDividend:0 gamma: 1.79769313486232E+308 theta/vega/undPrice: -6.384254977414E-04-4.65965715040931E-04-1.5778</t>
  </si>
  <si>
    <t>2014-11-26 15:52:7.594: RTWSControl  - tickOptionComputation - id:200055 tickType:11 impliedVol:0.063598030084754 delta:0.388246044592139 optPrice:2.09999992512167E-03 pvDividend:0 gamma: 1.79769313486232E+308 theta/vega/undPrice: -6.92906581460527E-04-4.82634508452728E-04-1.5778</t>
  </si>
  <si>
    <t>2014-11-26 15:52:7.640: DirectionIndicator - notify - price/longMA/ShortMA/prevDirection are 1.5779/1.57786199739767/1.57786124786698/-1</t>
  </si>
  <si>
    <t>2014-11-26 15:52:7.643: Algorithm - handleTransition - currentHedgeShortfall is NOT ZERO and AUTOHEDGE IS NOT ENABLED!</t>
  </si>
  <si>
    <t>2014-11-26 15:52:7.648: DirectionIndicator - notify - price/longMA/ShortMA/prevDirection are 1.57795/1.57787799787082/1.57789083191132/-1</t>
  </si>
  <si>
    <t>2014-11-26 15:52:7.649: Algorithm - handleTransition - currentHedgeShortfall is NOT ZERO and AUTOHEDGE IS NOT ENABLED!</t>
  </si>
  <si>
    <t>2014-11-26 15:52:7.703: RTWSControl  - tickOptionComputation - id:200042 tickType:13 impliedVol:7.81891738623415E-02 delta:-0.029173627765133 optPrice:1.09009263930205E-04 pvDividend:0 gamma: 1.79769313486232E+308 theta/vega/undPrice: -1.45463208311936E-04-9.6290968640495E-05-1.5778</t>
  </si>
  <si>
    <t>2014-11-26 15:52:7.719: RTWSControl  - tickOptionComputation - id:200041 tickType:13 impliedVol:6.99591528272094E-02 delta:0.935501816584494 optPrice:1.30427958467337E-02 pvDividend:0 gamma: 1.79769313486232E+308 theta/vega/undPrice: -2.48024712950725E-04-1.81520731747341E-04-1.5778</t>
  </si>
  <si>
    <t>2014-11-26 15:52:7.735: RTWSControl  - tickOptionComputation - id:200043 tickType:13 impliedVol:6.99591528272094E-02 delta:-6.46107072887415E-02 optPrice:2.42979070436976E-04 pvDividend:0 gamma: 1.79769313486232E+308 theta/vega/undPrice: -2.48109307117969E-04-1.8152100478689E-04-1.5778</t>
  </si>
  <si>
    <t>2014-11-26 15:52:7.773: RTWSControl  - tickOptionComputation - id:200044 tickType:13 impliedVol:6.45941539617354E-02 delta:0.840710358235715 optPrice:8.46658572696582E-03 pvDividend:0 gamma: 1.79769313486232E+308 theta/vega/undPrice: -4.40623685119071E-04-2.97765945386922E-04-1.5778</t>
  </si>
  <si>
    <t>2014-11-26 15:52:7.789: RTWSControl  - tickOptionComputation - id:200046 tickType:13 impliedVol:6.45941539617354E-02 delta:-0.15940234389084 optPrice:6.66698104960797E-04 pvDividend:0 gamma: 1.79769313486232E+308 theta/vega/undPrice: -4.4067593888635E-04-2.97766236736558E-04-1.5778</t>
  </si>
  <si>
    <t>2014-11-26 15:52:7.808: RTWSControl  - tickOptionComputation - id:200045 tickType:13 impliedVol:6.20941772659194E-02 delta:0.645471300842046 optPrice:4.62630858886425E-03 pvDividend:0 gamma: 1.79769313486232E+308 theta/vega/undPrice: -6.51597425326669E-04-4.45591473400384E-04-1.5778</t>
  </si>
  <si>
    <t>2014-11-26 15:52:7.841: RTWSControl  - tickOptionComputation - id:200047 tickType:13 impliedVol:6.20941772659194E-02 delta:-0.354641893600538 optPrice:1.82635157889876E-03 pvDividend:0 gamma: 1.79769313486232E+308 theta/vega/undPrice: -6.51617931986367E-04-4.45592118327397E-04-1.5778</t>
  </si>
  <si>
    <t>2014-11-26 15:52:7.907: RTWSControl  - tickOptionComputation - id:200055 tickType:13 impliedVol:6.24592227397898E-02 delta:0.386363343359738 optPrice:2.04856919534789E-03 pvDividend:0 gamma: 1.79769313486232E+308 theta/vega/undPrice: -6.79157082222951E-04-4.78284083865998E-04-1.5778</t>
  </si>
  <si>
    <t>2014-11-26 15:52:7.951: RTWSControl  - tickOptionComputation - id:200049 tickType:13 impliedVol:6.82633407780138E-02 delta:0.678441610370621 optPrice:1.14198740630196E-02 pvDividend:0 gamma: 1.79769313486232E+308 theta/vega/undPrice: -3.351302473463E-04-9.14131423424541E-04-1.5778</t>
  </si>
  <si>
    <t>2014-11-26 15:52:7.996: RTWSControl  - tickOptionComputation - id:200050 tickType:13 impliedVol:6.82633407780138E-02 delta:-0.321628622470349 optPrice:3.62037091456002E-03 pvDividend:0 gamma: 1.79769313486232E+308 theta/vega/undPrice: -3.35186065793995E-04-9.14137016292945E-04-1.5778</t>
  </si>
  <si>
    <t>2014-11-26 15:52:8.36: RTWSControl  - tickOptionComputation - id:200051 tickType:13 impliedVol:7.13559394744845E-02 delta:-0.326817775606555 optPrice:3.79952292846652E-03 pvDividend:0 gamma: 1.79769313486232E+308 theta/vega/undPrice: -3.54959102615371E-04-8.91873568135104E-04-1.5778</t>
  </si>
  <si>
    <t>2014-11-26 15:52:8.78: RTWSControl  - tickOptionComputation - id:200052 tickType:13 impliedVol:0.117177872419617 delta:-0.526624315873617 optPrice:1.26991067202446E-02 pvDividend:0 gamma: 1.79769313486232E+308 theta/vega/undPrice: -6.43184988250624E-04-9.84172512124973E-04-1.5778</t>
  </si>
  <si>
    <t>2014-11-26 15:52:8.119: RTWSControl  - tickOptionComputation - id:200048 tickType:13 impliedVol:8.22083958664273E-02 delta:-3.03895948230268E-02 optPrice:2.47313947449331E-04 pvDividend:0 gamma: 1.79769313486232E+308 theta/vega/undPrice: -7.69904972415388E-05-2.02738686022822E-04-1.5778</t>
  </si>
  <si>
    <t>2014-11-26 15:52:8.161: RTWSControl  - tickOptionComputation - id:200053 tickType:13 impliedVol:6.53220988953862E-02 delta:8.85627766519541E-02 optPrice:6.72562962914464E-04 pvDividend:0 gamma: 1.79769313486232E+308 theta/vega/undPrice: -1.43434788644239E-04-4.47269648290979E-04-1.5778</t>
  </si>
  <si>
    <t>2014-11-26 15:52:8.202: RTWSControl  - tickOptionComputation - id:200054 tickType:13 impliedVol:7.33846702185481E-02 delta:2.24280657710662E-03 optPrice:1.23388963861173E-05 pvDividend:0 gamma: 0.381375727703747 theta/vega/undPrice: -7.00213693477479E-06-3.28659916377457E-05-1.5778</t>
  </si>
  <si>
    <t>2014-11-26 15:52:8.826: RTWSControl  - tickOptionComputation - id:200041 tickType:10 impliedVol:6.69666025255673E-02 delta:0.943322744298161 optPrice:1.30000002682209E-02 pvDividend:0 gamma: 1.79769313486232E+308 theta/vega/undPrice: -2.13726111439942E-04-1.60046259654665E-04-1.5778</t>
  </si>
  <si>
    <t>2014-11-26 15:52:8.876: RTWSControl  - tickOptionComputation - id:200041 tickType:11 impliedVol:8.81238920862046E-02 delta:0.886077878308331 optPrice:0.013399999588728 pvDividend:0 gamma: 1.79769313486232E+308 theta/vega/undPrice: -4.78902893304262E-04-2.54598696379497E-04-1.5778</t>
  </si>
  <si>
    <t>2014-11-26 15:52:8.921: RTWSControl  - tickOptionComputation - id:200044 tickType:10 impliedVol:6.57058349492789E-02 delta:0.836498107616193 optPrice:0.008500000461936 pvDividend:0 gamma: 1.79769313486232E+308 theta/vega/undPrice: -4.55862525325126E-04-2.97765912684133E-04-1.5778</t>
  </si>
  <si>
    <t>2014-11-26 15:52:8.986: RTWSControl  - tickOptionComputation - id:200044 tickType:11 impliedVol:7.57738097604505E-02 delta:0.804764989489004 optPrice:8.79999995231628E-03 pvDividend:0 gamma: 1.79769313486232E+308 theta/vega/undPrice: -5.93839076915002E-04-3.78974363266863E-04-1.5778</t>
  </si>
  <si>
    <t>2014-11-26 15:52:9.35: RTWSControl  - tickOptionComputation - id:200046 tickType:10 impliedVol:1.79769313486232E+308 delta:1.79769313486232E+308 optPrice:6.00000028498471E-04 pvDividend:0 gamma: 1.79769313486232E+308 theta/vega/undPrice: 1.79769313486232E+308-1.79769313486232E+308-1.5778</t>
  </si>
  <si>
    <t>2014-11-26 15:52:9.73: RTWSControl  - tickOptionComputation - id:200045 tickType:10 impliedVol:0.063737776387682 delta:0.641912460129085 optPrice:4.69999993219972E-03 pvDividend:0 gamma: 1.79769313486232E+308 theta/vega/undPrice: -6.7155125726603E-04-4.45591400594325E-04-1.5778</t>
  </si>
  <si>
    <t>2014-11-26 15:52:9.119: RTWSControl  - tickOptionComputation - id:200045 tickType:11 impliedVol:6.82363820937222E-02 delta:0.633257548708445 optPrice:4.90000005811453E-03 pvDividend:0 gamma: 1.79769313486232E+308 theta/vega/undPrice: -7.26165762085859E-04-4.45591193627557E-04-1.5778</t>
  </si>
  <si>
    <t>2014-11-26 15:52:9.164: RTWSControl  - tickOptionComputation - id:200047 tickType:10 impliedVol:5.92548584596319E-02 delta:-0.348132646875008 optPrice:1.70000002253801E-03 pvDividend:0 gamma: 1.79769313486232E+308 theta/vega/undPrice: -6.17147534633741E-04-4.45592238739247E-04-1.5778</t>
  </si>
  <si>
    <t>2014-11-26 15:52:9.204: RTWSControl  - tickOptionComputation - id:200047 tickType:11 impliedVol:6.37304847089695E-02 delta:-0.358059252754295 optPrice:1.9000000320375E-03 pvDividend:0 gamma: 1.79769313486232E+308 theta/vega/undPrice: -6.71483308502904E-04-4.45592049879879E-04-1.5778</t>
  </si>
  <si>
    <t>2014-11-26 15:52:9.247: RTWSControl  - tickOptionComputation - id:200055 tickType:10 impliedVol:6.13547508792821E-02 delta:0.384390122561346 optPrice:2.0000000949949E-03 pvDividend:0 gamma: 1.79769313486232E+308 theta/vega/undPrice: -6.65727161297666E-04-4.7417643769471E-04-1.5778</t>
  </si>
  <si>
    <t>2014-11-26 15:52:9.290: RTWSControl  - tickOptionComputation - id:200049 tickType:10 impliedVol:6.91399557347454E-02 delta:0.67625900579968 optPrice:1.15000000223517E-02 pvDividend:0 gamma: 1.79769313486232E+308 theta/vega/undPrice: -3.40300286277156E-04-9.1413104498482E-04-1.5778</t>
  </si>
  <si>
    <t>2014-11-26 15:52:9.334: RTWSControl  - tickOptionComputation - id:200049 tickType:11 impliedVol:0.072421743953946 delta:0.668865332929462 optPrice:1.18000004440546E-02 pvDividend:0 gamma: 1.79769313486232E+308 theta/vega/undPrice: -3.59655341985283E-04-9.14129595292098E-04-1.5778</t>
  </si>
  <si>
    <t>2014-11-26 15:52:9.375: RTWSControl  - tickOptionComputation - id:200051 tickType:10 impliedVol:0.066846592035226 delta:-0.316191937368805 optPrice:3.40000004507601E-03 pvDividend:0 gamma: 1.79769313486232E+308 theta/vega/undPrice: -3.2800529675239E-04-8.7974280281575E-04-1.5778</t>
  </si>
  <si>
    <t>2014-11-26 15:52:9.415: RTWSControl  - tickOptionComputation - id:200052 tickType:10 impliedVol:1.79769313486232E+308 delta:1.79769313486232E+308 optPrice:1.79769313486232E+308 pvDividend:0 gamma: 1.79769313486232E+308 theta/vega/undPrice: 1.79769313486232E+308-1.79769313486232E+308-1.5778</t>
  </si>
  <si>
    <t>2014-11-26 15:52:9.449: RTWSControl  - tickOptionComputation - id:200052 tickType:11 impliedVol:1.79769313486232E+308 delta:1.79769313486232E+308 optPrice:1.79769313486232E+308 pvDividend:0 gamma: 1.79769313486232E+308 theta/vega/undPrice: 1.79769313486232E+308-1.79769313486232E+308-1.5778</t>
  </si>
  <si>
    <t>2014-11-26 15:52:9.491: RTWSControl  - tickOptionComputation - id:200054 tickType:10 impliedVol:1.79769313486232E+308 delta:1.79769313486232E+308 optPrice:1.79769313486232E+308 pvDividend:0 gamma: 1.79769313486232E+308 theta/vega/undPrice: 1.79769313486232E+308-1.79769313486232E+308-1.5778</t>
  </si>
  <si>
    <t>2014-11-26 15:52:10.401: DirectionIndicator - notify - price/longMA/ShortMA/prevDirection are 1.578/1.57790018007613/1.57792722127421/-1</t>
  </si>
  <si>
    <t>2014-11-26 15:52:10.401: Algorithm - handleTransition - currentHedgeShortfall is NOT ZERO and AUTOHEDGE IS NOT ENABLED!</t>
  </si>
  <si>
    <t>2014-11-26 15:52:10.693: DirectionIndicator - notify - price/longMA/ShortMA/prevDirection are 1.57805/1.57792742006228/1.57796814751614/1</t>
  </si>
  <si>
    <t>2014-11-26 15:52:10.693: Algorithm - handleTransition - currentHedgeShortfall is NOT ZERO and AUTOHEDGE IS NOT ENABLED!</t>
  </si>
  <si>
    <t>2014-11-26 15:52:10.776: RTWSControl  - tickOptionComputation - id:200042 tickType:13 impliedVol:7.85230262205232E-02 delta:-2.89949000002202E-02 optPrice:1.08717791592524E-04 pvDividend:0 gamma: 1.79769313486232E+308 theta/vega/undPrice: -1.45354769146083E-04-9.54605997077364E-05-1.5779</t>
  </si>
  <si>
    <t>2014-11-26 15:52:10.826: RTWSControl  - tickOptionComputation - id:200041 tickType:13 impliedVol:0.070319245779416 delta:0.935969916906815 optPrice:1.31420485779297E-02 pvDividend:0 gamma: 1.79769313486232E+308 theta/vega/undPrice: -2.47850843799714E-04-1.7994176017396E-04-1.5779</t>
  </si>
  <si>
    <t>2014-11-26 15:52:10.868: RTWSControl  - tickOptionComputation - id:200043 tickType:13 impliedVol:0.070319245779416 delta:-6.41426066238821E-02 optPrice:2.4223323125481E-04 pvDividend:0 gamma: 1.79769313486232E+308 theta/vega/undPrice: -2.47936096486861E-04-1.79942032577101E-04-1.5779</t>
  </si>
  <si>
    <t>2014-11-26 15:52:10.909: RTWSControl  - tickOptionComputation - id:200044 tickType:13 impliedVol:6.48428725388044E-02 delta:0.842879143181843 optPrice:8.55793997003328E-03 pvDividend:0 gamma: 1.79769313486232E+308 theta/vega/undPrice: -4.38358319333489E-04-2.97775372399556E-04-1.5779</t>
  </si>
  <si>
    <t>2014-11-26 15:52:10.952: RTWSControl  - tickOptionComputation - id:200046 tickType:13 impliedVol:6.48428725388044E-02 delta:-0.157233556670006 optPrice:6.58053772098864E-04 pvDividend:0 gamma: 1.79769313486232E+308 theta/vega/undPrice: -4.38411227889346E-04-2.9777566246274E-04-1.5779</t>
  </si>
  <si>
    <t>2014-11-26 15:52:10.993: RTWSControl  - tickOptionComputation - id:200045 tickType:13 impliedVol:6.20939064986032E-02 delta:0.65031655674539 optPrice:4.69279273685577E-03 pvDividend:0 gamma: 1.79769313486232E+308 theta/vega/undPrice: -6.4796623928406E-04-4.4560559110664E-04-1.5779</t>
  </si>
  <si>
    <t>2014-11-26 15:52:11.35: RTWSControl  - tickOptionComputation - id:200047 tickType:13 impliedVol:6.20939064986032E-02 delta:-0.349796629834717 optPrice:1.79283712045522E-03 pvDividend:0 gamma: 1.79769313486232E+308 theta/vega/undPrice: -6.47987386356889E-04-4.45606234588222E-04-1.5779</t>
  </si>
  <si>
    <t>2014-11-26 15:52:11.76: RTWSControl  - tickOptionComputation - id:200055 tickType:13 impliedVol:6.20723476588694E-02 delta:0.390705787577739 optPrice:2.06913920432041E-03 pvDividend:0 gamma: 1.79769313486232E+308 theta/vega/undPrice: -6.77229284049977E-04-4.83505050729835E-04-1.5779</t>
  </si>
  <si>
    <t>2014-11-26 15:52:11.116: RTWSControl  - tickOptionComputation - id:200049 tickType:13 impliedVol:6.87347300863959E-02 delta:0.679432915612417 optPrice:1.15295701558468E-02 pvDividend:0 gamma: 1.79769313486232E+308 theta/vega/undPrice: -3.37058114716747E-04-9.14160188877822E-04-1.5779</t>
  </si>
  <si>
    <t>2014-11-26 15:52:11.159: RTWSControl  - tickOptionComputation - id:200050 tickType:13 impliedVol:6.87347300863959E-02 delta:-0.320637310387317 optPrice:3.63007315407468E-03 pvDividend:0 gamma: 1.79769313486232E+308 theta/vega/undPrice: -3.37114614209592E-04-9.14165779005039E-04-1.5779</t>
  </si>
  <si>
    <t>2014-11-26 15:52:11.199: RTWSControl  - tickOptionComputation - id:200051 tickType:13 impliedVol:7.06009157743033E-02 delta:-0.323071677395 optPrice:3.69984919553402E-03 pvDividend:0 gamma: 1.79769313486232E+308 theta/vega/undPrice: -3.49570033668497E-04-8.87725351567637E-04-1.5779</t>
  </si>
  <si>
    <t>2014-11-26 15:52:11.241: RTWSControl  - tickOptionComputation - id:200052 tickType:13 impliedVol:0.117711974170427 delta:-0.525102724482926 optPrice:1.26991023652499E-02 pvDividend:0 gamma: 1.79769313486232E+308 theta/vega/undPrice: -6.46318020602343E-04-9.84478617673128E-04-1.5779</t>
  </si>
  <si>
    <t>2014-11-26 15:52:11.283: RTWSControl  - tickOptionComputation - id:200048 tickType:13 impliedVol:8.28405968070882E-02 delta:-3.10581089133408E-02 optPrice:2.55451126857988E-04 pvDividend:0 gamma: 1.79769313486232E+308 theta/vega/undPrice: -7.90089097795997E-05-2.07236412489625E-04-1.5779</t>
  </si>
  <si>
    <t>2014-11-26 15:52:11.325: RTWSControl  - tickOptionComputation - id:200053 tickType:13 impliedVol:6.50671692466958E-02 delta:8.87130250671883E-02 optPrice:6.71383918731434E-04 pvDividend:0 gamma: 1.79769313486232E+308 theta/vega/undPrice: -1.43056316098446E-04-4.47283873491266E-04-1.5779</t>
  </si>
  <si>
    <t>2014-11-26 15:52:11.366: RTWSControl  - tickOptionComputation - id:200054 tickType:13 impliedVol:7.18379142879844E-02 delta:1.83090708831175E-03 optPrice:9.66655379145528E-06 pvDividend:0 gamma: 0.325157762715895 theta/vega/undPrice: -5.72168099610942E-06-2.80517450989728E-05-1.5779</t>
  </si>
  <si>
    <t>2014-11-26 15:52:11.408: RTWSControl  - tickOptionComputation - id:200042 tickType:10 impliedVol:8.81940579471856E-02 delta:-0.044782250237793 optPrice:1.99999994947575E-04 pvDividend:0 gamma: 1.79769313486232E+308 theta/vega/undPrice: -2.34901720841935E-04-1.43294767568545E-04-1.5779</t>
  </si>
  <si>
    <t>2014-11-26 15:52:11.451: RTWSControl  - tickOptionComputation - id:200042 tickType:11 impliedVol:8.81940579471856E-02 delta:-0.044782250237793 optPrice:1.99999994947575E-04 pvDividend:0 gamma: 1.79769313486232E+308 theta/vega/undPrice: -2.34901720841935E-04-1.43294767568545E-04-1.5779</t>
  </si>
  <si>
    <t>2014-11-26 15:52:11.497: RTWSControl  - tickOptionComputation - id:200041 tickType:10 impliedVol:5.89810535892356E-02 delta:0.965217543913818 optPrice:1.30000002682209E-02 pvDividend:0 gamma: 1.79769313486232E+308 theta/vega/undPrice: -1.27028716364219E-04-1.22841968070187E-04-1.5779</t>
  </si>
  <si>
    <t>2014-11-26 15:52:11.539: RTWSControl  - tickOptionComputation - id:200041 tickType:11 impliedVol:8.39185541913938E-02 delta:0.898400673716138 optPrice:0.013399999588728 pvDividend:0 gamma: 1.79769313486232E+308 theta/vega/undPrice: -4.18341729310309E-04-2.15286318495381E-04-1.5779</t>
  </si>
  <si>
    <t>2014-11-26 15:52:11.583: RTWSControl  - tickOptionComputation - id:200043 tickType:10 impliedVol:6.73812727123959E-02 delta:-5.63680329656029E-02 optPrice:1.99999994947575E-04 pvDividend:0 gamma: 1.79769313486232E+308 theta/vega/undPrice: -2.14261919737248E-04-1.58858515996685E-04-1.5779</t>
  </si>
  <si>
    <t>2014-11-26 15:52:11.626: RTWSControl  - tickOptionComputation - id:200043 tickType:11 impliedVol:7.43549331995502E-02 delta:-7.38004547934832E-02 optPrice:3.00000014249235E-04 pvDividend:0 gamma: 1.79769313486232E+308 theta/vega/undPrice: -2.94191925209622E-04-2.0890296042086E-04-1.5779</t>
  </si>
  <si>
    <t>2014-11-26 15:52:11.692: RTWSControl  - tickOptionComputation - id:200044 tickType:10 impliedVol:6.28868309603088E-02 delta:0.850388941619954 optPrice:0.008500000461936 pvDividend:0 gamma: 1.79769313486232E+308 theta/vega/undPrice: -4.11544190713577E-04-2.97775430601919E-04-1.5779</t>
  </si>
  <si>
    <t>2014-11-26 15:52:11.743: RTWSControl  - tickOptionComputation - id:200044 tickType:11 impliedVol:7.63300494354102E-02 delta:0.805940804107846 optPrice:8.89999978244305E-03 pvDividend:0 gamma: 1.79769313486232E+308 theta/vega/undPrice: -5.95828505171153E-04-3.76162920662393E-04-1.5779</t>
  </si>
  <si>
    <t>2014-11-26 15:52:11.790: RTWSControl  - tickOptionComputation - id:200046 tickType:10 impliedVol:0.062887674024881 delta:-0.14960067584675 optPrice:6.00000028498471E-04 pvDividend:0 gamma: 1.79769313486232E+308 theta/vega/undPrice: -4.11608605285845E-04-2.97775719651485E-04-1.5779</t>
  </si>
  <si>
    <t>2014-11-26 15:52:11.831: RTWSControl  - tickOptionComputation - id:200046 tickType:11 impliedVol:6.95969659132653E-02 delta:-0.173935952970059 optPrice:7.999999797903E-04 pvDividend:0 gamma: 1.79769313486232E+308 theta/vega/undPrice: -5.03582149372436E-04-3.21483674315414E-04-1.5779</t>
  </si>
  <si>
    <t>2014-11-26 15:52:11.876: RTWSControl  - tickOptionComputation - id:200045 tickType:10 impliedVol:6.22357528804273E-02 delta:0.649915913343483 optPrice:4.69999993219972E-03 pvDividend:0 gamma: 1.79769313486232E+308 theta/vega/undPrice: -6.49688355725552E-04-4.45605584851522E-04-1.5779</t>
  </si>
  <si>
    <t>2014-11-26 15:52:11.918: RTWSControl  - tickOptionComputation - id:200045 tickType:11 impliedVol:6.67401155773509E-02 delta:0.640512950513856 optPrice:4.90000005811453E-03 pvDividend:0 gamma: 1.79769313486232E+308 theta/vega/undPrice: -7.04374505891423E-04-4.45605380331713E-04-1.5779</t>
  </si>
  <si>
    <t>2014-11-26 15:52:11.986: RTWSControl  - tickOptionComputation - id:200047 tickType:10 impliedVol:6.00085473027515E-02 delta:-0.344896383904235 optPrice:1.70000002253801E-03 pvDividend:0 gamma: 1.79769313486232E+308 theta/vega/undPrice: -6.22669542115988E-04-4.45606323945949E-04-1.5779</t>
  </si>
  <si>
    <t>2014-11-26 15:52:12.34: RTWSControl  - tickOptionComputation - id:200047 tickType:11 impliedVol:6.44850493429203E-02 delta:-0.354931594413094 optPrice:1.9000000320375E-03 pvDividend:0 gamma: 1.79769313486232E+308 theta/vega/undPrice: -6.77017660386975E-04-4.45606129142212E-04-1.5779</t>
  </si>
  <si>
    <t>2014-11-26 15:52:12.82: RTWSControl  - tickOptionComputation - id:200055 tickType:10 impliedVol:6.06129877526099E-02 delta:0.388026846356534 optPrice:2.0000000949949E-03 pvDividend:0 gamma: 1.79769313486232E+308 theta/vega/undPrice: -6.60382117082735E-04-4.82235705678681E-04-1.5779</t>
  </si>
  <si>
    <t>2014-11-26 15:52:12.119: RTWSControl  - tickOptionComputation - id:200055 tickType:11 impliedVol:6.27113257907955E-02 delta:0.391790291220834 optPrice:2.09999992512167E-03 pvDividend:0 gamma: 1.79769313486232E+308 theta/vega/undPrice: -6.84485673869339E-04-4.83505018632828E-04-1.5779</t>
  </si>
  <si>
    <t>2014-11-26 15:52:12.165: RTWSControl  - tickOptionComputation - id:200049 tickType:10 impliedVol:6.84114875923805E-02 delta:0.680133113064181 optPrice:1.15000000223517E-02 pvDividend:0 gamma: 1.79769313486232E+308 theta/vega/undPrice: -3.35151656832705E-04-9.14160328540942E-04-1.5779</t>
  </si>
  <si>
    <t>2014-11-26 15:52:12.210: RTWSControl  - tickOptionComputation - id:200049 tickType:11 impliedVol:7.16852490878787E-02 delta:0.6725031031014 optPrice:1.18000004440546E-02 pvDividend:0 gamma: 1.79769313486232E+308 theta/vega/undPrice: -3.54460001889022E-04-9.1415889072753E-04-1.5779</t>
  </si>
  <si>
    <t>2014-11-26 15:52:12.278: RTWSControl  - tickOptionComputation - id:200050 tickType:10 impliedVol:6.83996054402999E-02 delta:-0.319781613227884 optPrice:3.59999993816018E-03 pvDividend:0 gamma: 1.79769313486232E+308 theta/vega/undPrice: -3.35138047494078E-04-9.14165921668345E-04-1.5779</t>
  </si>
  <si>
    <t>2014-11-26 15:52:12.325: RTWSControl  - tickOptionComputation - id:200050 tickType:11 impliedVol:6.95030731791166E-02 delta:-0.322435652384569 optPrice:3.70000000111759E-03 pvDividend:0 gamma: 1.79769313486232E+308 theta/vega/undPrice: -3.41646302425677E-04-9.14165449878005E-04-1.5779</t>
  </si>
  <si>
    <t>2014-11-26 15:52:12.370: RTWSControl  - tickOptionComputation - id:200051 tickType:10 impliedVol:6.72067149107818E-02 delta:-0.314943854931245 optPrice:3.40000004507601E-03 pvDividend:0 gamma: 1.79769313486232E+308 theta/vega/undPrice: -3.29237962659909E-04-8.78316951564648E-04-1.5779</t>
  </si>
  <si>
    <t>2014-11-26 15:52:12.410: RTWSControl  - tickOptionComputation - id:200051 tickType:11 impliedVol:7.06030539929023E-02 delta:-0.323035698745744 optPrice:3.70000000111759E-03 pvDividend:0 gamma: 1.79769313486232E+308 theta/vega/undPrice: -3.49582798884931E-04-8.8773088365781E-04-1.5779</t>
  </si>
  <si>
    <t>2014-11-26 15:52:12.457: RTWSControl  - tickOptionComputation - id:200052 tickType:10 impliedVol:1.79769313486232E+308 delta:1.79769313486232E+308 optPrice:1.79769313486232E+308 pvDividend:0 gamma: 1.79769313486232E+308 theta/vega/undPrice: 1.79769313486232E+308-1.79769313486232E+308-1.5779</t>
  </si>
  <si>
    <t>2014-11-26 15:52:12.492: RTWSControl  - tickOptionComputation - id:200052 tickType:11 impliedVol:1.79769313486232E+308 delta:1.79769313486232E+308 optPrice:1.79769313486232E+308 pvDividend:0 gamma: 1.79769313486232E+308 theta/vega/undPrice: 1.79769313486232E+308-1.79769313486232E+308-1.5779</t>
  </si>
  <si>
    <t>2014-11-26 15:52:12.535: RTWSControl  - tickOptionComputation - id:200048 tickType:10 impliedVol:0.079767232969485 delta:-0.025958369562138 optPrice:1.99999994947575E-04 pvDividend:0 gamma: 1.79769313486232E+308 theta/vega/undPrice: -6.56447751425194E-05-1.79300786665601E-04-1.5779</t>
  </si>
  <si>
    <t>2014-11-26 15:52:12.579: RTWSControl  - tickOptionComputation - id:200048 tickType:11 impliedVol:8.53187265149967E-02 delta:-3.48947845743375E-02 optPrice:3.00000014249235E-04 pvDividend:0 gamma: 1.79769313486232E+308 theta/vega/undPrice: -8.97847213230036E-05-2.35299034256307E-04-1.5779</t>
  </si>
  <si>
    <t>2014-11-26 15:52:12.627: RTWSControl  - tickOptionComputation - id:200053 tickType:10 impliedVol:0.060863007618468 delta:0.073624073219865 optPrice:5.00000023748726E-04 pvDividend:0 gamma: 1.79769313486232E+308 theta/vega/undPrice: -1.16838964973372E-04-4.2970999506459E-04-1.5779</t>
  </si>
  <si>
    <t>2014-11-26 15:52:12.667: RTWSControl  - tickOptionComputation - id:200053 tickType:11 impliedVol:6.56915560093848E-02 delta:9.10025631254739E-02 optPrice:6.99999975040555E-04 pvDividend:0 gamma: 1.79769313486232E+308 theta/vega/undPrice: -1.47095183229152E-04-4.47283751644006E-04-1.5779</t>
  </si>
  <si>
    <t>2014-11-26 15:52:12.733: RTWSControl  - tickOptionComputation - id:200054 tickType:10 impliedVol:1.79769313486232E+308 delta:1.79769313486232E+308 optPrice:1.79769313486232E+308 pvDividend:0 gamma: 1.79769313486232E+308 theta/vega/undPrice: 1.79769313486232E+308-1.79769313486232E+308-1.5779</t>
  </si>
  <si>
    <t>2014-11-26 15:52:12.749: RTWSControl  - tickOptionComputation - id:200054 tickType:11 impliedVol:9.20456089796744E-02 delta:1.23620577242903E-02 optPrice:9.99999974737875E-05 pvDividend:0 gamma: 1.79769313486232E+308 theta/vega/undPrice: -4.02274008677173E-05-1.0376096060571E-04-1.5779</t>
  </si>
  <si>
    <t>2014-11-26 15:52:12.824: DirectionIndicator - notify - price/longMA/ShortMA/prevDirection are 1.578/1.5779406164146/1.57797876501076/1</t>
  </si>
  <si>
    <t>2014-11-26 15:52:12.824: Algorithm - handleTransition - currentHedgeShortfall is NOT ZERO and AUTOHEDGE IS NOT ENABLED!</t>
  </si>
  <si>
    <t>2014-11-26 15:52:12.954: DirectionIndicator - notify - price/longMA/ShortMA/prevDirection are 1.57805/1.57796050433922/1.57800251000717/1</t>
  </si>
  <si>
    <t>2014-11-26 15:52:12.954: Algorithm - handleTransition - currentHedgeShortfall is NOT ZERO and AUTOHEDGE IS NOT ENABLED!</t>
  </si>
  <si>
    <t>2014-11-26 15:52:13.75: DirectionIndicator - notify - price/longMA/ShortMA/prevDirection are 1.578/1.57796768536845/1.57800167333812/1</t>
  </si>
  <si>
    <t>2014-11-26 15:52:13.79: Algorithm - handleTransition - currentHedgeShortfall is NOT ZERO and AUTOHEDGE IS NOT ENABLED!</t>
  </si>
  <si>
    <t>2014-11-26 15:52:13.280: DirectionIndicator - notify - price/longMA/ShortMA/prevDirection are 1.57795/1.57796446984691/1.57798444889208/1</t>
  </si>
  <si>
    <t>2014-11-26 15:52:13.281: Algorithm - handleTransition - currentHedgeShortfall is NOT ZERO and AUTOHEDGE IS NOT ENABLED!</t>
  </si>
  <si>
    <t>2014-11-26 15:52:13.487: RTWSControl  - tickOptionComputation - id:200042 tickType:13 impliedVol:7.85230262205232E-02 delta:-2.82400995916735E-02 optPrice:1.05494320938529E-04 pvDividend:0 gamma: 1.79769313486232E+308 theta/vega/undPrice: -1.42243749144453E-04-9.27784476330306E-05-1.578</t>
  </si>
  <si>
    <t>2014-11-26 15:52:13.539: RTWSControl  - tickOptionComputation - id:200041 tickType:13 impliedVol:0.070319245779416 delta:0.937347656323172 optPrice:1.32361332556012E-02 pvDividend:0 gamma: 1.79769313486232E+308 theta/vega/undPrice: -2.43549832177117E-04-1.75778770669679E-04-1.578</t>
  </si>
  <si>
    <t>2014-11-26 15:52:13.580: RTWSControl  - tickOptionComputation - id:200043 tickType:13 impliedVol:0.070319245779416 delta:-6.27648662010605E-02 optPrice:2.36319334992401E-04 pvDividend:0 gamma: 1.79769313486232E+308 theta/vega/undPrice: -2.43635738742616E-04-1.75779039695514E-04-1.578</t>
  </si>
  <si>
    <t>2014-11-26 15:52:13.621: RTWSControl  - tickOptionComputation - id:200044 tickType:13 impliedVol:6.48428725388044E-02 delta:0.845978541442217 optPrice:8.64188821731535E-03 pvDividend:0 gamma: 1.79769313486232E+308 theta/vega/undPrice: -4.32683537530813E-04-2.97784806728039E-04-1.578</t>
  </si>
  <si>
    <t>2014-11-26 15:52:13.663: RTWSControl  - tickOptionComputation - id:200046 tickType:13 impliedVol:6.48428725388044E-02 delta:-0.154134155169865 optPrice:6.42003436282881E-04 pvDividend:0 gamma: 1.79769313486232E+308 theta/vega/undPrice: -4.32737094436931E-04-2.97785096172429E-04-1.578</t>
  </si>
  <si>
    <t>2014-11-26 15:52:13.706: RTWSControl  - tickOptionComputation - id:200045 tickType:13 impliedVol:6.20939064986032E-02 delta:0.655160610441995 optPrice:4.75928895001446E-03 pvDividend:0 gamma: 1.79769313486232E+308 theta/vega/undPrice: -6.44338340446453E-04-4.45619708800847E-04-1.578</t>
  </si>
  <si>
    <t>2014-11-26 15:52:13.747: RTWSControl  - tickOptionComputation - id:200047 tickType:13 impliedVol:6.20939064986032E-02 delta:-0.344952568280489 optPrice:1.75933472719796E-03 pvDividend:0 gamma: 1.79769313486232E+308 theta/vega/undPrice: -6.44360127972381E-04-4.4562035083507E-04-1.578</t>
  </si>
  <si>
    <t>2014-11-26 15:52:13.789: RTWSControl  - tickOptionComputation - id:200055 tickType:13 impliedVol:6.20723476588694E-02 delta:0.395964870734013 optPrice:2.11361986626295E-03 pvDividend:0 gamma: 1.79769313486232E+308 theta/vega/undPrice: -6.78569864561757E-04-4.83520367303104E-04-1.578</t>
  </si>
  <si>
    <t>2014-11-26 15:52:13.830: RTWSControl  - tickOptionComputation - id:200049 tickType:13 impliedVol:6.87347300863959E-02 delta:0.681558362410447 optPrice:1.15961749758847E-02 pvDividend:0 gamma: 1.79769313486232E+308 theta/vega/undPrice: -3.3620585424533E-04-9.14189157370539E-04-1.578</t>
  </si>
  <si>
    <t>2014-11-26 15:52:13.872: RTWSControl  - tickOptionComputation - id:200050 tickType:13 impliedVol:6.87347300863959E-02 delta:-0.318511848952177 optPrice:3.59668385880852E-03 pvDividend:0 gamma: 1.79769313486232E+308 theta/vega/undPrice: -3.36262994199375E-04-9.14194741767304E-04-1.578</t>
  </si>
  <si>
    <t>2014-11-26 15:52:13.911: RTWSControl  - tickOptionComputation - id:200051 tickType:13 impliedVol:7.06009157743033E-02 delta:-0.321017792460964 optPrice:3.66764895548356E-03 pvDividend:0 gamma: 1.79769313486232E+308 theta/vega/undPrice: -3.48668335109379E-04-8.85435129425572E-04-1.578</t>
  </si>
  <si>
    <t>2014-11-26 15:52:13.953: RTWSControl  - tickOptionComputation - id:200052 tickType:13 impliedVol:0.117711974170427 delta:-0.523734641815099 optPrice:1.26466692547719E-02 pvDividend:0 gamma: 1.79769313486232E+308 theta/vega/undPrice: -6.46495167179371E-04-9.84747888808854E-04-1.578</t>
  </si>
  <si>
    <t>2014-11-26 15:52:13.994: RTWSControl  - tickOptionComputation - id:200048 tickType:13 impliedVol:8.28405968070882E-02 delta:-3.07121759451678E-02 optPrice:2.52253240236581E-04 pvDividend:0 gamma: 1.79769313486232E+308 theta/vega/undPrice: -7.82783660530003E-05-2.04575241011515E-04-1.578</t>
  </si>
  <si>
    <t>2014-11-26 15:52:14.39: RTWSControl  - tickOptionComputation - id:200053 tickType:13 impliedVol:6.50671692466958E-02 delta:8.98122358446878E-02 optPrice:6.81607130072409E-04 pvDividend:0 gamma: 1.79769313486232E+308 theta/vega/undPrice: -1.443268126987E-04-4.47298048500709E-04-1.578</t>
  </si>
  <si>
    <t>2014-11-26 15:52:14.78: RTWSControl  - tickOptionComputation - id:200054 tickType:13 impliedVol:7.18379142879844E-02 delta:1.8548780108695E-03 optPrice:9.79908957937806E-06 pvDividend:0 gamma: 0.329172500997952 theta/vega/undPrice: -5.79306098851977E-06-2.87002423881639E-05-1.578</t>
  </si>
  <si>
    <t>2014-11-26 15:52:14.239: RTWSControl  - tickOptionComputation - id:200042 tickType:10 impliedVol:8.86293927434175E-02 delta:-4.46592215260046E-02 optPrice:1.99999994947575E-04 pvDividend:0 gamma: 1.79769313486232E+308 theta/vega/undPrice: -2.35589692803564E-04-1.43299299424862E-04-1.578</t>
  </si>
  <si>
    <t>2014-11-26 15:52:14.288: RTWSControl  - tickOptionComputation - id:200042 tickType:11 impliedVol:8.86293927434175E-02 delta:-4.46592215260046E-02 optPrice:1.99999994947575E-04 pvDividend:0 gamma: 1.79769313486232E+308 theta/vega/undPrice: -2.35589692803564E-04-1.43299299424862E-04-1.578</t>
  </si>
  <si>
    <t>2014-11-26 15:52:14.362: RTWSControl  - tickOptionComputation - id:200041 tickType:10 impliedVol:5.93297812273921E-02 delta:0.965452856267819 optPrice:1.31000000983477E-02 pvDividend:0 gamma: 1.79769313486232E+308 theta/vega/undPrice: -1.27053059132793E-04-1.22093894348415E-04-1.578</t>
  </si>
  <si>
    <t>2014-11-26 15:52:14.424: RTWSControl  - tickOptionComputation - id:200041 tickType:11 impliedVol:7.97363472672506E-02 delta:0.9119568598003 optPrice:0.013399999588728 pvDividend:0 gamma: 1.79769313486232E+308 theta/vega/undPrice: -3.58081127626781E-04-2.15293251689711E-04-1.578</t>
  </si>
  <si>
    <t>2014-11-26 15:52:14.486: RTWSControl  - tickOptionComputation - id:200043 tickType:10 impliedVol:6.77727336532236E-02 delta:-5.60126911166513E-02 optPrice:1.99999994947575E-04 pvDividend:0 gamma: 1.79769313486232E+308 theta/vega/undPrice: -2.14447447364832E-04-1.57504150847824E-04-1.578</t>
  </si>
  <si>
    <t>2014-11-26 15:52:14.534: RTWSControl  - tickOptionComputation - id:200043 tickType:11 impliedVol:7.47554121491371E-02 delta:-7.34064585202596E-02 optPrice:3.00000014249235E-04 pvDividend:0 gamma: 1.79769313486232E+308 theta/vega/undPrice: -2.94483345215653E-04-2.07614895543716E-04-1.578</t>
  </si>
  <si>
    <t>2014-11-26 15:52:14.581: RTWSControl  - tickOptionComputation - id:200044 tickType:10 impliedVol:6.00781012804886E-02 delta:0.865539148127636 optPrice:0.008500000461936 pvDividend:0 gamma: 1.79769313486232E+308 theta/vega/undPrice: -3.6736423465735E-04-2.97784950107434E-04-1.578</t>
  </si>
  <si>
    <t>2014-11-26 15:52:14.620: RTWSControl  - tickOptionComputation - id:200044 tickType:11 impliedVol:7.01524701123752E-02 delta:0.827109667564333 optPrice:8.79999995231628E-03 pvDividend:0 gamma: 1.79769313486232E+308 theta/vega/undPrice: -5.05471685106761E-04-3.1814185896898E-04-1.578</t>
  </si>
  <si>
    <t>2014-11-26 15:52:14.671: RTWSControl  - tickOptionComputation - id:200046 tickType:10 impliedVol:6.34222086979133E-02 delta:-0.148560484080248 optPrice:6.00000028498471E-04 pvDividend:0 gamma: 1.79769313486232E+308 theta/vega/undPrice: -4.13261465138359E-04-2.9778513855317E-04-1.578</t>
  </si>
  <si>
    <t>2014-11-26 15:52:14.712: RTWSControl  - tickOptionComputation - id:200046 tickType:11 impliedVol:7.01159046843101E-02 delta:-0.17275712506483 optPrice:7.999999797903E-04 pvDividend:0 gamma: 1.79769313486232E+308 theta/vega/undPrice: -5.05024112711531E-04-3.17845686894273E-04-1.578</t>
  </si>
  <si>
    <t>2014-11-26 15:52:14.778: RTWSControl  - tickOptionComputation - id:200045 tickType:10 impliedVol:6.07729517419065E-02 delta:0.658220014857991 optPrice:4.69999993219972E-03 pvDividend:0 gamma: 1.79769313486232E+308 theta/vega/undPrice: -6.28300494718951E-04-4.4561976684053E-04-1.578</t>
  </si>
  <si>
    <t>2014-11-26 15:52:14.827: RTWSControl  - tickOptionComputation - id:200045 tickType:11 impliedVol:6.52515554479223E-02 delta:0.648085059016315 optPrice:4.90000005811453E-03 pvDividend:0 gamma: 1.79769313486232E+308 theta/vega/undPrice: -6.8267565544354E-04-4.45619566128517E-04-1.578</t>
  </si>
  <si>
    <t>2014-11-26 15:52:14.872: RTWSControl  - tickOptionComputation - id:200047 tickType:10 impliedVol:6.07575578503237E-02 delta:-0.341729270490502 optPrice:1.70000002253801E-03 pvDividend:0 gamma: 1.79769313486232E+308 theta/vega/undPrice: -6.28135327968017E-04-4.45620408687738E-04-1.578</t>
  </si>
  <si>
    <t>2014-11-26 15:52:14.913: RTWSControl  - tickOptionComputation - id:200047 tickType:11 impliedVol:6.52501373329193E-02 delta:-0.351898683946898 optPrice:1.9000000320375E-03 pvDividend:0 gamma: 1.79769313486232E+308 theta/vega/undPrice: -6.82680356466537E-04-4.4562021025042E-04-1.578</t>
  </si>
  <si>
    <t>2014-11-26 15:52:14.961: RTWSControl  - tickOptionComputation - id:200055 tickType:10 impliedVol:5.97232422938938E-02 delta:0.391746304856951 optPrice:2.0000000949949E-03 pvDividend:0 gamma: 1.79769313486232E+308 theta/vega/undPrice: -6.5189200147004E-04-4.83520482587432E-04-1.578</t>
  </si>
  <si>
    <t>2014-11-26 15:52:14.999: RTWSControl  - tickOptionComputation - id:200055 tickType:11 impliedVol:6.17911633844278E-02 delta:0.395432394429199 optPrice:2.09999992512167E-03 pvDividend:0 gamma: 1.79769313486232E+308 theta/vega/undPrice: -6.75376566551302E-04-4.83520381313053E-04-1.578</t>
  </si>
  <si>
    <t>2014-11-26 15:52:15.67: RTWSControl  - tickOptionComputation - id:200049 tickType:10 impliedVol:6.76827081286905E-02 delta:0.684091478053655 optPrice:1.15000000223517E-02 pvDividend:0 gamma: 1.79769313486232E+308 theta/vega/undPrice: -3.30000915220858E-04-9.1418961111305E-04-1.578</t>
  </si>
  <si>
    <t>2014-11-26 15:52:15.117: RTWSControl  - tickOptionComputation - id:200049 tickType:11 impliedVol:7.09534205886241E-02 delta:0.676205753525697 optPrice:1.18000004440546E-02 pvDividend:0 gamma: 1.79769313486232E+308 theta/vega/undPrice: -3.49291905266745E-04-9.14188182929449E-04-1.578</t>
  </si>
  <si>
    <t>2014-11-26 15:52:15.164: RTWSControl  - tickOptionComputation - id:200050 tickType:10 impliedVol:6.87684004175551E-02 delta:-0.318554067772066 optPrice:3.59999993816018E-03 pvDividend:0 gamma: 1.79769313486232E+308 theta/vega/undPrice: -3.36461588220052E-04-9.14194727372095E-04-1.578</t>
  </si>
  <si>
    <t>2014-11-26 15:52:15.202: RTWSControl  - tickOptionComputation - id:200050 tickType:11 impliedVol:7.09568557296052E-02 delta:-0.323745935420989 optPrice:3.80000006407499E-03 pvDividend:0 gamma: 1.79769313486232E+308 theta/vega/undPrice: -3.49369497311055E-04-9.14193779913509E-04-1.578</t>
  </si>
  <si>
    <t>2014-11-26 15:52:15.247: RTWSControl  - tickOptionComputation - id:200051 tickType:10 impliedVol:6.75613645699906E-02 delta:-0.31369754345168 optPrice:3.40000004507601E-03 pvDividend:0 gamma: 1.79769313486232E+308 theta/vega/undPrice: -3.3043477525839E-04-8.76882193224979E-04-1.578</t>
  </si>
  <si>
    <t>2014-11-26 15:52:15.293: RTWSControl  - tickOptionComputation - id:200051 tickType:11 impliedVol:0.070963536996961 delta:-0.321807984158239 optPrice:3.70000000111759E-03 pvDividend:0 gamma: 1.79769313486232E+308 theta/vega/undPrice: -3.50836214802639E-04-8.86387889760186E-04-1.578</t>
  </si>
  <si>
    <t>2014-11-26 15:52:15.358: RTWSControl  - tickOptionComputation - id:200052 tickType:10 impliedVol:1.79769313486232E+308 delta:1.79769313486232E+308 optPrice:1.79769313486232E+308 pvDividend:0 gamma: 1.79769313486232E+308 theta/vega/undPrice: 1.79769313486232E+308-1.79769313486232E+308-1.578</t>
  </si>
  <si>
    <t>2014-11-26 15:52:15.374: RTWSControl  - tickOptionComputation - id:200052 tickType:11 impliedVol:1.79769313486232E+308 delta:1.79769313486232E+308 optPrice:1.79769313486232E+308 pvDividend:0 gamma: 1.79769313486232E+308 theta/vega/undPrice: 1.79769313486232E+308-1.79769313486232E+308-1.578</t>
  </si>
  <si>
    <t>2014-11-26 15:52:15.439: RTWSControl  - tickOptionComputation - id:200048 tickType:10 impliedVol:7.99493133742173E-02 delta:-2.59129772753768E-02 optPrice:1.99999994947575E-04 pvDividend:0 gamma: 1.79769313486232E+308 theta/vega/undPrice: -6.57055874546231E-05-1.79306450025268E-04-1.578</t>
  </si>
  <si>
    <t>2014-11-26 15:52:15.492: RTWSControl  - tickOptionComputation - id:200048 tickType:11 impliedVol:8.55002181304128E-02 delta:-3.48320190767735E-02 optPrice:3.00000014249235E-04 pvDividend:0 gamma: 1.79769313486232E+308 theta/vega/undPrice: -8.98437349660399E-05-2.34694047814044E-04-1.578</t>
  </si>
  <si>
    <t>2014-11-26 15:52:15.538: RTWSControl  - tickOptionComputation - id:200053 tickType:10 impliedVol:6.06310950292583E-02 delta:7.37501358381323E-02 optPrice:5.00000023748726E-04 pvDividend:0 gamma: 1.79769313486232E+308 theta/vega/undPrice: -1.16566341512639E-04-4.30480660152796E-04-1.578</t>
  </si>
  <si>
    <t>2014-11-26 15:52:15.578: RTWSControl  - tickOptionComputation - id:200053 tickType:11 impliedVol:6.54614508899278E-02 delta:9.12521619684883E-02 optPrice:6.99999975040555E-04 pvDividend:0 gamma: 1.79769313486232E+308 theta/vega/undPrice: -1.46877318000538E-04-4.47297972042952E-04-1.578</t>
  </si>
  <si>
    <t>2014-11-26 15:52:15.623: RTWSControl  - tickOptionComputation - id:200054 tickType:10 impliedVol:1.79769313486232E+308 delta:1.79769313486232E+308 optPrice:1.79769313486232E+308 pvDividend:0 gamma: 1.79769313486232E+308 theta/vega/undPrice: 1.79769313486232E+308-1.79769313486232E+308-1.578</t>
  </si>
  <si>
    <t>2014-11-26 15:52:15.659: RTWSControl  - tickOptionComputation - id:200054 tickType:11 impliedVol:9.18662069255419E-02 delta:1.23617709897722E-02 optPrice:9.99999974737875E-05 pvDividend:0 gamma: 1.79769313486232E+308 theta/vega/undPrice: -4.01507193342206E-05-1.03764260075995E-04-1.578</t>
  </si>
  <si>
    <t>2014-11-26 15:52:16.115: RTWSControl  - tickOptionComputation - id:200042 tickType:13 impliedVol:8.02192455339963E-02 delta:-3.11250083891033E-02 optPrice:1.20392004413477E-04 pvDividend:0 gamma: 1.79769313486232E+308 theta/vega/undPrice: -1.57500066470928E-04-1.02187483780768E-04-1.578</t>
  </si>
  <si>
    <t>2014-11-26 15:52:16.157: RTWSControl  - tickOptionComputation - id:200041 tickType:10 impliedVol:6.11376953125031E-03 delta:0.999985990111608 optPrice:1.30000002682209E-02 pvDividend:0 gamma: -1.26578150247533E-10 theta/vega/undPrice: 8.55564393951481E-08--2.94902990916057E-17-1.578</t>
  </si>
  <si>
    <t>2014-11-26 15:52:16.210: RTWSControl  - tickOptionComputation - id:200041 tickType:13 impliedVol:7.17610441235763E-02 delta:0.933741300379039 optPrice:1.32568272527764E-02 pvDividend:0 gamma: 1.79769313486232E+308 theta/vega/undPrice: -2.6007579690866E-04-1.86125733566632E-04-1.578</t>
  </si>
  <si>
    <t>2014-11-26 15:52:16.252: RTWSControl  - tickOptionComputation - id:200043 tickType:10 impliedVol:5.93270983362027E-02 delta:-3.45272696293771E-02 optPrice:9.99999974737875E-05 pvDividend:0 gamma: 1.79769313486232E+308 theta/vega/undPrice: -1.27114600220496E-04-1.22079125263947E-04-1.578</t>
  </si>
  <si>
    <t>2014-11-26 15:52:16.297: RTWSControl  - tickOptionComputation - id:200043 tickType:13 impliedVol:7.17610441235763E-02 delta:-0.066371224776984 optPrice:2.57013346388539E-04 pvDividend:0 gamma: 1.79769313486232E+308 theta/vega/undPrice: -2.60161722052012E-04-1.86126013589822E-04-1.578</t>
  </si>
  <si>
    <t>2014-11-26 15:52:16.363: RTWSControl  - tickOptionComputation - id:200044 tickType:13 impliedVol:6.57980454266749E-02 delta:0.842378941391831 optPrice:8.67033182770335E-03 pvDividend:0 gamma: 1.79769313486232E+308 theta/vega/undPrice: -4.45777805772899E-04-2.97784777937866E-04-1.578</t>
  </si>
  <si>
    <t>2014-11-26 15:52:16.411: RTWSControl  - tickOptionComputation - id:200046 tickType:13 impliedVol:6.57980454266749E-02 delta:-0.157733758980402 optPrice:6.70447074241507E-04 pvDividend:0 gamma: 1.79769313486232E+308 theta/vega/undPrice: -4.45831387632952E-04-2.97785068032056E-04-1.578</t>
  </si>
  <si>
    <t>2014-11-26 15:52:16.453: RTWSControl  - tickOptionComputation - id:200045 tickType:13 impliedVol:6.23302494433347E-02 delta:0.654612465745497 optPrice:0.004769820862445 pvDividend:0 gamma: 1.79769313486232E+308 theta/vega/undPrice: -6.47207803572527E-04-4.45619698313766E-04-1.578</t>
  </si>
  <si>
    <t>2014-11-26 15:52:16.494: RTWSControl  - tickOptionComputation - id:200047 tickType:13 impliedVol:6.23302494433347E-02 delta:-0.345500713865511 optPrice:1.76986665475185E-03 pvDividend:0 gamma: 1.79769313486232E+308 theta/vega/undPrice: -6.47229600904494E-04-4.45620340501228E-04-1.578</t>
  </si>
  <si>
    <t>2014-11-26 15:52:16.535: RTWSControl  - tickOptionComputation - id:200055 tickType:13 impliedVol:0.061357656173513 delta:0.394729982045826 optPrice:2.07906305872358E-03 pvDividend:0 gamma: 1.79769313486232E+308 theta/vega/undPrice: -6.70453397035026E-04-4.83520402796681E-04-1.578</t>
  </si>
  <si>
    <t>2014-11-26 15:52:16.575: RTWSControl  - tickOptionComputation - id:200049 tickType:13 impliedVol:6.89109737754983E-02 delta:0.681127413595119 optPrice:1.16122870197345E-02 pvDividend:0 gamma: 1.79769313486232E+308 theta/vega/undPrice: -3.37245357803227E-04-9.14189080830703E-04-1.578</t>
  </si>
  <si>
    <t>2014-11-26 15:52:16.618: RTWSControl  - tickOptionComputation - id:200050 tickType:13 impliedVol:6.89109737754983E-02 delta:-0.318942800729572 optPrice:3.61279600061571E-03 pvDividend:0 gamma: 1.79769313486232E+308 theta/vega/undPrice: -3.37302512931559E-04-9.14194666351428E-04-1.578</t>
  </si>
  <si>
    <t>2014-11-26 15:52:16.659: RTWSControl  - tickOptionComputation - id:200051 tickType:13 impliedVol:0.070963537000365 delta:-0.321848680385813 optPrice:3.69977403145265E-03 pvDividend:0 gamma: 1.79769313486232E+308 theta/vega/undPrice: -3.50836214822981E-04-8.86387889769065E-04-1.578</t>
  </si>
  <si>
    <t>2014-11-26 15:52:16.700: RTWSControl  - tickOptionComputation - id:200052 tickType:13 impliedVol:0.118248954298142 delta:-0.523593700852728 optPrice:1.26995490058228E-02 pvDividend:0 gamma: 1.79769313486232E+308 theta/vega/undPrice: -6.49458011758445E-04-9.8476854143661E-04-1.578</t>
  </si>
  <si>
    <t>2014-11-26 15:52:16.742: RTWSControl  - tickOptionComputation - id:200048 tickType:13 impliedVol:8.29396909403979E-02 delta:-3.08706016577384E-02 optPrice:2.54030063779933E-04 pvDividend:0 gamma: 1.79769313486232E+308 theta/vega/undPrice: -7.87092775111067E-05-2.05697431037543E-04-1.578</t>
  </si>
  <si>
    <t>2014-11-26 15:52:16.786: RTWSControl  - tickOptionComputation - id:200053 tickType:13 impliedVol:6.49176942280327E-02 delta:8.92573832483425E-02 optPrice:6.74921126703458E-04 pvDividend:0 gamma: 1.79769313486232E+308 theta/vega/undPrice: -1.43359897521871E-04-4.47298077554899E-04-1.578</t>
  </si>
  <si>
    <t>2014-11-26 15:52:16.827: RTWSControl  - tickOptionComputation - id:200054 tickType:13 impliedVol:7.09598522980031E-02 delta:1.70272705697951E-03 optPrice:8.85246400629803E-06 pvDividend:0 gamma: 0.307317681924485 theta/vega/undPrice: -5.27703655284187E-06-2.49532054934628E-05-1.578</t>
  </si>
  <si>
    <t>2014-11-26 15:52:16.943: DirectionIndicator - notify - price/longMA/ShortMA/prevDirection are 1.5779/1.57795274805657/1.57795629926138/1</t>
  </si>
  <si>
    <t>2014-11-26 15:52:16.943: Algorithm - handleTransition - currentHedgeShortfall is NOT ZERO and AUTOHEDGE IS NOT ENABLED!</t>
  </si>
  <si>
    <t>2014-11-26 15:52:17.193: DirectionIndicator - notify - price/longMA/ShortMA/prevDirection are 1.57785/1.57793406659174/1.57792086617426/1</t>
  </si>
  <si>
    <t>2014-11-26 15:52:17.193: Algorithm - handleTransition - currentHedgeShortfall is NOT ZERO and AUTOHEDGE IS NOT ENABLED!</t>
  </si>
  <si>
    <t>2014-11-26 15:52:17.497: DirectionIndicator - notify - price/longMA/ShortMA/prevDirection are 1.5779/1.57792787266597/1.57791391078284/1</t>
  </si>
  <si>
    <t>2014-11-26 15:52:17.497: Algorithm - handleTransition - currentHedgeShortfall is NOT ZERO and AUTOHEDGE IS NOT ENABLED!</t>
  </si>
  <si>
    <t>2014-11-26 15:52:17.537: DirectionIndicator - notify - price/longMA/ShortMA/prevDirection are 1.57795/1.57793189581761/1.57792594052189/1</t>
  </si>
  <si>
    <t>2014-11-26 15:52:17.537: Algorithm - handleTransition - currentHedgeShortfall is NOT ZERO and AUTOHEDGE IS NOT ENABLED!</t>
  </si>
  <si>
    <t>2014-11-26 15:52:17.787: RTWSControl  - tickOptionComputation - id:200042 tickType:13 impliedVol:8.02192455339963E-02 delta:-3.18639374274295E-02 optPrice:1.23615002973483E-04 pvDividend:0 gamma: 1.79769313486232E+308 theta/vega/undPrice: -1.60610603014152E-04-1.04869337486864E-04-1.5779</t>
  </si>
  <si>
    <t>2014-11-26 15:52:17.863: RTWSControl  - tickOptionComputation - id:200041 tickType:13 impliedVol:7.17610441235763E-02 delta:0.932391125435406 optPrice:1.31627419194845E-02 pvDividend:0 gamma: 1.79769313486232E+308 theta/vega/undPrice: -2.6437628496112E-04-1.90288394982153E-04-1.5779</t>
  </si>
  <si>
    <t>2014-11-26 15:52:17.910: RTWSControl  - tickOptionComputation - id:200043 tickType:13 impliedVol:7.17610441235763E-02 delta:-6.77214007085615E-02 optPrice:2.62926587032704E-04 pvDividend:0 gamma: 1.79769313486232E+308 theta/vega/undPrice: -2.64461556242405E-04-1.9028867838004E-04-1.5779</t>
  </si>
  <si>
    <t>2014-11-26 15:52:17.952: RTWSControl  - tickOptionComputation - id:200044 tickType:13 impliedVol:6.57980454266749E-02 delta:0.839324425160637 optPrice:8.58638267912392E-03 pvDividend:0 gamma: 1.79769313486232E+308 theta/vega/undPrice: -4.51452172655316E-04-2.97775343954304E-04-1.5779</t>
  </si>
  <si>
    <t>2014-11-26 15:52:17.994: RTWSControl  - tickOptionComputation - id:200046 tickType:13 impliedVol:6.57980454266749E-02 delta:-0.160788278413903 optPrice:6.86496508774392E-04 pvDividend:0 gamma: 1.79769313486232E+308 theta/vega/undPrice: -4.51505106246544E-04-2.97775636072038E-04-1.5779</t>
  </si>
  <si>
    <t>2014-11-26 15:52:18.36: RTWSControl  - tickOptionComputation - id:200045 tickType:13 impliedVol:6.23302494433347E-02 delta:0.649786761104157 optPrice:4.70332431559774E-03 pvDividend:0 gamma: 1.79769313486232E+308 theta/vega/undPrice: -6.50835611495309E-04-4.45605580674529E-04-1.5779</t>
  </si>
  <si>
    <t>2014-11-26 15:52:18.77: RTWSControl  - tickOptionComputation - id:200047 tickType:13 impliedVol:6.23302494433347E-02 delta:-0.350326426334754 optPrice:1.80336871432004E-03 pvDividend:0 gamma: 1.79769313486232E+308 theta/vega/undPrice: -6.50856768373883E-04-4.45606224309442E-04-1.5779</t>
  </si>
  <si>
    <t>2014-11-26 15:52:18.119: RTWSControl  - tickOptionComputation - id:200055 tickType:13 impliedVol:0.061357656173513 delta:0.389409620209493 optPrice:2.03458349141219E-03 pvDividend:0 gamma: 1.79769313486232E+308 theta/vega/undPrice: -6.69113073622772E-04-4.8350508628186E-04-1.5779</t>
  </si>
  <si>
    <t>2014-11-26 15:52:18.159: RTWSControl  - tickOptionComputation - id:200049 tickType:13 impliedVol:6.89109737754983E-02 delta:0.679007390344772 optPrice:1.15456816890598E-02 pvDividend:0 gamma: 1.79769313486232E+308 theta/vega/undPrice: -3.38097585329794E-04-9.14160112511853E-04-1.5779</t>
  </si>
  <si>
    <t>2014-11-26 15:52:18.201: RTWSControl  - tickOptionComputation - id:200050 tickType:13 impliedVol:6.89109737754983E-02 delta:-0.321062838579807 optPrice:3.6461847852419E-03 pvDividend:0 gamma: 1.79769313486232E+308 theta/vega/undPrice: -3.38154099996451E-04-9.14165703763414E-04-1.5779</t>
  </si>
  <si>
    <t>2014-11-26 15:52:18.241: RTWSControl  - tickOptionComputation - id:200051 tickType:13 impliedVol:0.070963537000365 delta:-0.323894241454892 optPrice:3.73205692582188E-03 pvDividend:0 gamma: 1.79769313486232E+308 theta/vega/undPrice: -3.51734144183008E-04-8.88656888106558E-04-1.5779</t>
  </si>
  <si>
    <t>2014-11-26 15:52:18.283: RTWSControl  - tickOptionComputation - id:200052 tickType:13 impliedVol:0.118248954298142 delta:-0.524955600995185 optPrice:1.27519677024963E-02 pvDividend:0 gamma: 1.79769313486232E+308 theta/vega/undPrice: -6.49281477786928E-04-9.84501421713599E-04-1.5779</t>
  </si>
  <si>
    <t>2014-11-26 15:52:18.323: RTWSControl  - tickOptionComputation - id:200048 tickType:13 impliedVol:8.29396909403979E-02 delta:-3.12161262858057E-02 optPrice:2.57227894095358E-04 pvDividend:0 gamma: 1.79769313486232E+308 theta/vega/undPrice: -7.94398075825467E-05-2.08358566896964E-04-1.5779</t>
  </si>
  <si>
    <t>2014-11-26 15:52:18.367: RTWSControl  - tickOptionComputation - id:200053 tickType:13 impliedVol:6.49176942280327E-02 delta:8.81556248221993E-02 optPrice:6.64698127135477E-04 pvDividend:0 gamma: 1.79769313486232E+308 theta/vega/undPrice: -1.42089431547764E-04-4.47283902758268E-04-1.5779</t>
  </si>
  <si>
    <t>2014-11-26 15:52:18.409: RTWSControl  - tickOptionComputation - id:200054 tickType:13 impliedVol:7.09598522980031E-02 delta:1.67845449061307E-03 optPrice:8.71995823072199E-06 pvDividend:0 gamma: 0.303200115187122 theta/vega/undPrice: -5.20567292075892E-06-2.43048268097255E-05-1.5779</t>
  </si>
  <si>
    <t>2014-11-26 15:52:18.952: RTWSControl  - tickOptionComputation - id:200042 tickType:10 impliedVol:8.81940579471856E-02 delta:-0.044782250237793 optPrice:1.99999994947575E-04 pvDividend:0 gamma: 1.79769313486232E+308 theta/vega/undPrice: -2.34901720841935E-04-1.43294767568545E-04-1.5779</t>
  </si>
  <si>
    <t>2014-11-26 15:52:19.2: RTWSControl  - tickOptionComputation - id:200042 tickType:11 impliedVol:8.81940579471856E-02 delta:-0.044782250237793 optPrice:1.99999994947575E-04 pvDividend:0 gamma: 1.79769313486232E+308 theta/vega/undPrice: -2.34901720841935E-04-1.43294767568545E-04-1.5779</t>
  </si>
  <si>
    <t>2014-11-26 15:52:19.69: RTWSControl  - tickOptionComputation - id:200041 tickType:10 impliedVol:5.89810535892356E-02 delta:0.965217543913818 optPrice:1.30000002682209E-02 pvDividend:0 gamma: 1.79769313486232E+308 theta/vega/undPrice: -1.27028716364219E-04-1.22841968070187E-04-1.5779</t>
  </si>
  <si>
    <t>2014-11-26 15:52:19.119: RTWSControl  - tickOptionComputation - id:200041 tickType:11 impliedVol:8.39185541913938E-02 delta:0.898400673716138 optPrice:0.013399999588728 pvDividend:0 gamma: 1.79769313486232E+308 theta/vega/undPrice: -4.18341729310309E-04-2.15286318495381E-04-1.5779</t>
  </si>
  <si>
    <t>2014-11-26 15:52:19.163: RTWSControl  - tickOptionComputation - id:200043 tickType:10 impliedVol:6.73812727123959E-02 delta:-5.63680329656029E-02 optPrice:1.99999994947575E-04 pvDividend:0 gamma: 1.79769313486232E+308 theta/vega/undPrice: -2.14261919737248E-04-1.58858515996685E-04-1.5779</t>
  </si>
  <si>
    <t>2014-11-26 15:52:19.205: RTWSControl  - tickOptionComputation - id:200043 tickType:11 impliedVol:7.43549331995502E-02 delta:-7.38004547934832E-02 optPrice:3.00000014249235E-04 pvDividend:0 gamma: 1.79769313486232E+308 theta/vega/undPrice: -2.94191925209622E-04-2.0890296042086E-04-1.5779</t>
  </si>
  <si>
    <t>2014-11-26 15:52:19.251: RTWSControl  - tickOptionComputation - id:200044 tickType:10 impliedVol:6.28868309603088E-02 delta:0.850388941619954 optPrice:0.008500000461936 pvDividend:0 gamma: 1.79769313486232E+308 theta/vega/undPrice: -4.11544190713577E-04-2.97775430601919E-04-1.5779</t>
  </si>
  <si>
    <t>2014-11-26 15:52:19.293: RTWSControl  - tickOptionComputation - id:200044 tickType:11 impliedVol:7.29718174473373E-02 delta:0.815505397511194 optPrice:8.79999995231628E-03 pvDividend:0 gamma: 1.79769313486232E+308 theta/vega/undPrice: -5.49792739746132E-04-3.48890398475516E-04-1.5779</t>
  </si>
  <si>
    <t>2014-11-26 15:52:19.360: RTWSControl  - tickOptionComputation - id:200046 tickType:10 impliedVol:0.062887674024881 delta:-0.14960067584675 optPrice:6.00000028498471E-04 pvDividend:0 gamma: 1.79769313486232E+308 theta/vega/undPrice: -4.11608605285845E-04-2.97775719651485E-04-1.5779</t>
  </si>
  <si>
    <t>2014-11-26 15:52:19.410: RTWSControl  - tickOptionComputation - id:200046 tickType:11 impliedVol:6.95969659132653E-02 delta:-0.173935952970059 optPrice:7.999999797903E-04 pvDividend:0 gamma: 1.79769313486232E+308 theta/vega/undPrice: -5.03582149372436E-04-3.21483674315414E-04-1.5779</t>
  </si>
  <si>
    <t>2014-11-26 15:52:19.468: RTWSControl  - tickOptionComputation - id:200045 tickType:10 impliedVol:6.22357528804273E-02 delta:0.649915913343483 optPrice:4.69999993219972E-03 pvDividend:0 gamma: 1.79769313486232E+308 theta/vega/undPrice: -6.49688355725552E-04-4.45605584851522E-04-1.5779</t>
  </si>
  <si>
    <t>2014-11-26 15:52:19.537: RTWSControl  - tickOptionComputation - id:200045 tickType:11 impliedVol:6.67401155773509E-02 delta:0.640512950513856 optPrice:4.90000005811453E-03 pvDividend:0 gamma: 1.79769313486232E+308 theta/vega/undPrice: -7.04374505891423E-04-4.45605380331713E-04-1.5779</t>
  </si>
  <si>
    <t>2014-11-26 15:52:19.584: RTWSControl  - tickOptionComputation - id:200047 tickType:10 impliedVol:6.00085473027515E-02 delta:-0.344896383904235 optPrice:1.70000002253801E-03 pvDividend:0 gamma: 1.79769313486232E+308 theta/vega/undPrice: -6.22669542115988E-04-4.45606323945949E-04-1.5779</t>
  </si>
  <si>
    <t>2014-11-26 15:52:19.626: RTWSControl  - tickOptionComputation - id:200047 tickType:11 impliedVol:6.44850493429203E-02 delta:-0.354931594413094 optPrice:1.9000000320375E-03 pvDividend:0 gamma: 1.79769313486232E+308 theta/vega/undPrice: -6.77017660386975E-04-4.45606129142212E-04-1.5779</t>
  </si>
  <si>
    <t>2014-11-26 15:52:19.694: RTWSControl  - tickOptionComputation - id:200055 tickType:10 impliedVol:6.06129877526099E-02 delta:0.388026846356534 optPrice:2.0000000949949E-03 pvDividend:0 gamma: 1.79769313486232E+308 theta/vega/undPrice: -6.60382117082735E-04-4.82235705678681E-04-1.5779</t>
  </si>
  <si>
    <t>2014-11-26 15:52:19.741: RTWSControl  - tickOptionComputation - id:200055 tickType:11 impliedVol:6.27113257907955E-02 delta:0.391790291220834 optPrice:2.09999992512167E-03 pvDividend:0 gamma: 1.79769313486232E+308 theta/vega/undPrice: -6.84485673869339E-04-4.83505018632828E-04-1.5779</t>
  </si>
  <si>
    <t>2014-11-26 15:52:19.786: RTWSControl  - tickOptionComputation - id:200049 tickType:10 impliedVol:6.84114875923805E-02 delta:0.680133113064181 optPrice:1.15000000223517E-02 pvDividend:0 gamma: 1.79769313486232E+308 theta/vega/undPrice: -3.35151656832705E-04-9.14160328540942E-04-1.5779</t>
  </si>
  <si>
    <t>2014-11-26 15:52:19.831: RTWSControl  - tickOptionComputation - id:200049 tickType:11 impliedVol:7.16852490878787E-02 delta:0.6725031031014 optPrice:1.18000004440546E-02 pvDividend:0 gamma: 1.79769313486232E+308 theta/vega/undPrice: -3.54460001889022E-04-9.1415889072753E-04-1.5779</t>
  </si>
  <si>
    <t>2014-11-26 15:52:19.876: RTWSControl  - tickOptionComputation - id:200050 tickType:10 impliedVol:6.83996054402999E-02 delta:-0.319781613227884 optPrice:3.59999993816018E-03 pvDividend:0 gamma: 1.79769313486232E+308 theta/vega/undPrice: -3.35138047494078E-04-9.14165921668345E-04-1.5779</t>
  </si>
  <si>
    <t>2014-11-26 15:52:19.916: RTWSControl  - tickOptionComputation - id:200050 tickType:11 impliedVol:6.95030731791166E-02 delta:-0.322435652384569 optPrice:3.70000000111759E-03 pvDividend:0 gamma: 1.79769313486232E+308 theta/vega/undPrice: -3.41646302425677E-04-9.14165449878005E-04-1.5779</t>
  </si>
  <si>
    <t>2014-11-26 15:52:19.984: RTWSControl  - tickOptionComputation - id:200051 tickType:10 impliedVol:6.72039782967422E-02 delta:-0.31493703804061 optPrice:3.40000004507601E-03 pvDividend:0 gamma: 1.79769313486232E+308 theta/vega/undPrice: -3.29221512296042E-04-8.78308829418542E-04-1.5779</t>
  </si>
  <si>
    <t>2014-11-26 15:52:20.31: RTWSControl  - tickOptionComputation - id:200051 tickType:11 impliedVol:7.06030539929023E-02 delta:-0.323035698745744 optPrice:3.70000000111759E-03 pvDividend:0 gamma: 1.79769313486232E+308 theta/vega/undPrice: -3.49582798884931E-04-8.8773088365781E-04-1.5779</t>
  </si>
  <si>
    <t>2014-11-26 15:52:20.77: RTWSControl  - tickOptionComputation - id:200052 tickType:10 impliedVol:1.79769313486232E+308 delta:1.79769313486232E+308 optPrice:1.79769313486232E+308 pvDividend:0 gamma: 1.79769313486232E+308 theta/vega/undPrice: 1.79769313486232E+308-1.79769313486232E+308-1.5779</t>
  </si>
  <si>
    <t>2014-11-26 15:52:20.113: RTWSControl  - tickOptionComputation - id:200052 tickType:11 impliedVol:1.79769313486232E+308 delta:1.79769313486232E+308 optPrice:1.79769313486232E+308 pvDividend:0 gamma: 1.79769313486232E+308 theta/vega/undPrice: 1.79769313486232E+308-1.79769313486232E+308-1.5779</t>
  </si>
  <si>
    <t>2014-11-26 15:52:20.155: RTWSControl  - tickOptionComputation - id:200048 tickType:10 impliedVol:0.079767232969485 delta:-0.025958369562138 optPrice:1.99999994947575E-04 pvDividend:0 gamma: 1.79769313486232E+308 theta/vega/undPrice: -6.56447751425194E-05-1.79300786665601E-04-1.5779</t>
  </si>
  <si>
    <t>2014-11-26 15:52:20.202: RTWSControl  - tickOptionComputation - id:200048 tickType:11 impliedVol:8.53187265149967E-02 delta:-3.48947845743375E-02 optPrice:3.00000014249235E-04 pvDividend:0 gamma: 1.79769313486232E+308 theta/vega/undPrice: -8.97847213230036E-05-2.35299034256307E-04-1.5779</t>
  </si>
  <si>
    <t>2014-11-26 15:52:20.248: RTWSControl  - tickOptionComputation - id:200053 tickType:10 impliedVol:0.060863007618468 delta:0.073624073219865 optPrice:5.00000023748726E-04 pvDividend:0 gamma: 1.79769313486232E+308 theta/vega/undPrice: -1.16838964973372E-04-4.2970999506459E-04-1.5779</t>
  </si>
  <si>
    <t>2014-11-26 15:52:20.285: RTWSControl  - tickOptionComputation - id:200053 tickType:11 impliedVol:6.56915560093848E-02 delta:9.10025631254739E-02 optPrice:6.99999975040555E-04 pvDividend:0 gamma: 1.79769313486232E+308 theta/vega/undPrice: -1.47095183229152E-04-4.47283751644006E-04-1.5779</t>
  </si>
  <si>
    <t>2014-11-26 15:52:20.332: RTWSControl  - tickOptionComputation - id:200054 tickType:10 impliedVol:1.79769313486232E+308 delta:1.79769313486232E+308 optPrice:1.79769313486232E+308 pvDividend:0 gamma: 1.79769313486232E+308 theta/vega/undPrice: 1.79769313486232E+308-1.79769313486232E+308-1.5779</t>
  </si>
  <si>
    <t>2014-11-26 15:52:20.366: RTWSControl  - tickOptionComputation - id:200054 tickType:11 impliedVol:9.20456089796744E-02 delta:1.23620577242903E-02 optPrice:9.99999974737875E-05 pvDividend:0 gamma: 1.79769313486232E+308 theta/vega/undPrice: -4.02274008677173E-05-1.0376096060571E-04-1.5779</t>
  </si>
  <si>
    <t>2014-11-26 15:52:20.650: RTWSControl  - tickOptionComputation - id:200042 tickType:13 impliedVol:7.91279237475919E-02 delta:-3.00321765825765E-02 optPrice:1.14030363423883E-04 pvDividend:0 gamma: 1.79769313486232E+308 theta/vega/undPrice: -1.50795231346244E-04-9.88158986389834E-05-1.5779</t>
  </si>
  <si>
    <t>2014-11-26 15:52:20.702: RTWSControl  - tickOptionComputation - id:200041 tickType:13 impliedVol:7.08618475041192E-02 delta:0.934605964205997 optPrice:0.013149836243495 pvDividend:0 gamma: 1.79769313486232E+308 theta/vega/undPrice: -2.54069975301819E-04-1.83835579580852E-04-1.5779</t>
  </si>
  <si>
    <t>2014-11-26 15:52:20.743: RTWSControl  - tickOptionComputation - id:200043 tickType:13 impliedVol:7.08618475041192E-02 delta:-6.55065603199987E-02 optPrice:2.50020902169798E-04 pvDividend:0 gamma: 1.79769313486232E+308 theta/vega/undPrice: -2.54155234979337E-04-1.83835856122862E-04-1.5779</t>
  </si>
  <si>
    <t>2014-11-26 15:52:20.784: RTWSControl  - tickOptionComputation - id:200044 tickType:13 impliedVol:0.065245008975495 delta:0.841369857124347 optPrice:8.56991460849441E-03 pvDividend:0 gamma: 1.79769313486232E+308 theta/vega/undPrice: -4.43870950466263E-04-2.97775360425079E-04-1.5779</t>
  </si>
  <si>
    <t>2014-11-26 15:52:20.830: RTWSControl  - tickOptionComputation - id:200046 tickType:13 impliedVol:0.065245008975495 delta:-0.158742844308061 optPrice:6.70028422172036E-04 pvDividend:0 gamma: 1.79769313486232E+308 theta/vega/undPrice: -4.43923869560755E-04-2.97775650939369E-04-1.5779</t>
  </si>
  <si>
    <t>2014-11-26 15:52:20.869: RTWSControl  - tickOptionComputation - id:200045 tickType:13 impliedVol:6.22774081616626E-02 delta:0.649904860981262 optPrice:4.70096967744874E-03 pvDividend:0 gamma: 1.79769313486232E+308 theta/vega/undPrice: -6.50194080596373E-04-4.45605583010639E-04-1.5779</t>
  </si>
  <si>
    <t>2014-11-26 15:52:20.910: RTWSControl  - tickOptionComputation - id:200047 tickType:13 impliedVol:6.22774081616626E-02 delta:-0.350208326266247 optPrice:1.80101407278988E-03 pvDividend:0 gamma: 1.79769313486232E+308 theta/vega/undPrice: -6.50215235282574E-04-4.45606226608775E-04-1.5779</t>
  </si>
  <si>
    <t>2014-11-26 15:52:20.953: RTWSControl  - tickOptionComputation - id:200055 tickType:13 impliedVol:6.19590450626504E-02 delta:0.390502279180599 optPrice:2.06366096377234E-03 pvDividend:0 gamma: 1.79769313486232E+308 theta/vega/undPrice: -6.75942592300386E-04-4.83505056391707E-04-1.5779</t>
  </si>
  <si>
    <t>2014-11-26 15:52:20.991: RTWSControl  - tickOptionComputation - id:200049 tickType:13 impliedVol:6.87485116813011E-02 delta:0.679399561556918 optPrice:1.15308300173102E-02 pvDividend:0 gamma: 1.79769313486232E+308 theta/vega/undPrice: -3.37139397424359E-04-9.14160182911428E-04-1.5779</t>
  </si>
  <si>
    <t>2014-11-26 15:52:21.34: RTWSControl  - tickOptionComputation - id:200050 tickType:13 impliedVol:6.87485116813011E-02 delta:-0.320670664671997 optPrice:3.63133302319779E-03 pvDividend:0 gamma: 1.79769313486232E+308 theta/vega/undPrice: -3.37195898103761E-04-9.1416577312668E-04-1.5779</t>
  </si>
  <si>
    <t>2014-11-26 15:52:21.73: RTWSControl  - tickOptionComputation - id:200051 tickType:13 impliedVol:7.06009157743033E-02 delta:-0.323071677395 optPrice:3.69984919553402E-03 pvDividend:0 gamma: 1.79769313486232E+308 theta/vega/undPrice: -3.49570033668497E-04-8.87725351567637E-04-1.5779</t>
  </si>
  <si>
    <t>2014-11-26 15:52:21.115: RTWSControl  - tickOptionComputation - id:200052 tickType:13 impliedVol:0.117711974170427 delta:-0.525102724482926 optPrice:1.26991023652499E-02 pvDividend:0 gamma: 1.79769313486232E+308 theta/vega/undPrice: -6.46318020602343E-04-9.84478617673128E-04-1.5779</t>
  </si>
  <si>
    <t>2014-11-26 15:52:21.158: RTWSControl  - tickOptionComputation - id:200048 tickType:13 impliedVol:8.29245539872687E-02 delta:-3.11920131409466E-02 optPrice:2.56956487091786E-04 pvDividend:0 gamma: 1.79769313486232E+308 theta/vega/undPrice: -7.9373986535173E-05-2.08187154145924E-04-1.5779</t>
  </si>
  <si>
    <t>2014-11-26 15:52:21.201: RTWSControl  - tickOptionComputation - id:200053 tickType:13 impliedVol:6.50376188704147E-02 delta:8.86030325742035E-02 optPrice:6.70062175113574E-04 pvDividend:0 gamma: 1.79769313486232E+308 theta/vega/undPrice: -1.42865168432056E-04-4.47283879273858E-04-1.5779</t>
  </si>
  <si>
    <t>2014-11-26 15:52:21.241: RTWSControl  - tickOptionComputation - id:200054 tickType:13 impliedVol:7.17918755546005E-02 delta:1.82300611880848E-03 optPrice:9.61692169785627E-06 pvDividend:0 gamma: 0.324035422348482 theta/vega/undPrice: -5.694625555127E-06-2.7855285941481E-05-1.5779</t>
  </si>
  <si>
    <t>2014-11-26 15:52:21.535: RTWSControl  - tickOptionComputation - id:200052 tickType:10 impliedVol:1.79769313486232E+308 delta:1.79769313486232E+308 optPrice:1.79769313486232E+308 pvDividend:0 gamma: 1.79769313486232E+308 theta/vega/undPrice: 1.79769313486232E+308-1.79769313486232E+308-1.5779</t>
  </si>
  <si>
    <t>2014-11-26 15:52:21.577: RTWSControl  - tickOptionComputation - id:200052 tickType:11 impliedVol:1.79769313486232E+308 delta:1.79769313486232E+308 optPrice:1.79769313486232E+308 pvDividend:0 gamma: 1.79769313486232E+308 theta/vega/undPrice: 1.79769313486232E+308-1.79769313486232E+308-1.5779</t>
  </si>
  <si>
    <t>2014-11-26 15:52:21.617: RTWSControl  - tickOptionComputation - id:200054 tickType:10 impliedVol:1.79769313486232E+308 delta:1.79769313486232E+308 optPrice:1.79769313486232E+308 pvDividend:0 gamma: 1.79769313486232E+308 theta/vega/undPrice: 1.79769313486232E+308-1.79769313486232E+308-1.5779</t>
  </si>
  <si>
    <t>2014-11-26 15:52:22.242: RTWSControl  - tickOptionComputation - id:200041 tickType:10 impliedVol:6.73895394269484E-02 delta:0.943595220948487 optPrice:1.31000000983477E-02 pvDividend:0 gamma: 1.79769313486232E+308 theta/vega/undPrice: -2.14271455452996E-04-1.58917589636759E-04-1.5779</t>
  </si>
  <si>
    <t>2014-11-26 15:52:22.449: RTWSControl  - tickOptionComputation - id:200044 tickType:11 impliedVol:7.63300494354102E-02 delta:0.805940804107846 optPrice:8.89999978244305E-03 pvDividend:0 gamma: 1.79769313486232E+308 theta/vega/undPrice: -5.95828505171153E-04-3.76162920662393E-04-1.5779</t>
  </si>
  <si>
    <t>2014-11-26 15:52:22.522: RTWSControl  - tickOptionComputation - id:200052 tickType:10 impliedVol:1.79769313486232E+308 delta:1.79769313486232E+308 optPrice:1.79769313486232E+308 pvDividend:0 gamma: 1.79769313486232E+308 theta/vega/undPrice: 1.79769313486232E+308-1.79769313486232E+308-1.5779</t>
  </si>
  <si>
    <t>2014-11-26 15:52:22.579: RTWSControl  - tickOptionComputation - id:200052 tickType:11 impliedVol:1.79769313486232E+308 delta:1.79769313486232E+308 optPrice:1.79769313486232E+308 pvDividend:0 gamma: 1.79769313486232E+308 theta/vega/undPrice: 1.79769313486232E+308-1.79769313486232E+308-1.5779</t>
  </si>
  <si>
    <t>2014-11-26 15:52:22.623: RTWSControl  - tickOptionComputation - id:200054 tickType:10 impliedVol:1.79769313486232E+308 delta:1.79769313486232E+308 optPrice:1.79769313486232E+308 pvDividend:0 gamma: 1.79769313486232E+308 theta/vega/undPrice: 1.79769313486232E+308-1.79769313486232E+308-1.5779</t>
  </si>
  <si>
    <t>2014-11-26 15:52:23.58: TransitionLogger - flushFile - flushing file</t>
  </si>
  <si>
    <t>2014-11-26 15:52:23.60: TransitionLogger - openTransitionFile - opening file C:\temp\transitionlog_2014-11-26_155023</t>
  </si>
  <si>
    <t>2014-11-26 15:52:24.632: RTWSControl  - tickOptionComputation - id:200041 tickType:10 impliedVol:5.89810535892356E-02 delta:0.965217543913818 optPrice:1.30000002682209E-02 pvDividend:0 gamma: 1.79769313486232E+308 theta/vega/undPrice: -1.27028716364219E-04-1.22841968070187E-04-1.5779</t>
  </si>
  <si>
    <t>2014-11-26 15:52:24.703: RTWSControl  - tickOptionComputation - id:200044 tickType:11 impliedVol:7.29718174473373E-02 delta:0.815505397511194 optPrice:8.79999995231628E-03 pvDividend:0 gamma: 1.79769313486232E+308 theta/vega/undPrice: -5.49792739746132E-04-3.48890398475516E-04-1.5779</t>
  </si>
  <si>
    <t>2014-11-26 15:52:24.763: RTWSControl  - tickOptionComputation - id:200052 tickType:10 impliedVol:1.79769313486232E+308 delta:1.79769313486232E+308 optPrice:1.79769313486232E+308 pvDividend:0 gamma: 1.79769313486232E+308 theta/vega/undPrice: 1.79769313486232E+308-1.79769313486232E+308-1.5779</t>
  </si>
  <si>
    <t>2014-11-26 15:52:24.790: RTWSControl  - tickOptionComputation - id:200052 tickType:11 impliedVol:1.79769313486232E+308 delta:1.79769313486232E+308 optPrice:1.79769313486232E+308 pvDividend:0 gamma: 1.79769313486232E+308 theta/vega/undPrice: 1.79769313486232E+308-1.79769313486232E+308-1.5779</t>
  </si>
  <si>
    <t>2014-11-26 15:52:24.853: RTWSControl  - tickOptionComputation - id:200054 tickType:10 impliedVol:1.79769313486232E+308 delta:1.79769313486232E+308 optPrice:1.79769313486232E+308 pvDividend:0 gamma: 1.79769313486232E+308 theta/vega/undPrice: 1.79769313486232E+308-1.79769313486232E+308-1.5779</t>
  </si>
  <si>
    <t>2014-11-26 15:52:26.230: RTWSControl  - tickOptionComputation - id:200042 tickType:13 impliedVol:7.96685271121049E-02 delta:-3.09458509352935E-02 optPrice:1.18778265125201E-04 pvDividend:0 gamma: 1.79769313486232E+308 theta/vega/undPrice: -1.55657429890195E-04-1.01814564690136E-04-1.5779</t>
  </si>
  <si>
    <t>2014-11-26 15:52:26.333: RTWSControl  - tickOptionComputation - id:200041 tickType:13 impliedVol:7.13667702955547E-02 delta:0.933355389770114 optPrice:1.31570831235763E-02 pvDividend:0 gamma: 1.79769313486232E+308 theta/vega/undPrice: -2.59857242166833E-04-1.87459007004964E-04-1.5779</t>
  </si>
  <si>
    <t>2014-11-26 15:52:26.376: RTWSControl  - tickOptionComputation - id:200043 tickType:13 impliedVol:7.13667702955547E-02 delta:-6.67571356685611E-02 optPrice:2.57267787233202E-04 pvDividend:0 gamma: 1.79769313486232E+308 theta/vega/undPrice: -2.59942508351069E-04-1.87459287395219E-04-1.5779</t>
  </si>
  <si>
    <t>2014-11-26 15:52:26.409: RTWSControl  - tickOptionComputation - id:200044 tickType:13 impliedVol:6.56333184536777E-02 delta:0.839930062060894 optPrice:8.58147751352783E-03 pvDividend:0 gamma: 1.79769313486232E+308 theta/vega/undPrice: -4.49194036264115E-04-2.97775348862092E-04-1.5779</t>
  </si>
  <si>
    <t>2014-11-26 15:52:26.451: RTWSControl  - tickOptionComputation - id:200046 tickType:13 impliedVol:6.56333184536777E-02 delta:-0.160182640879401 optPrice:6.81591338421616E-04 pvDividend:0 gamma: 1.79769313486232E+308 theta/vega/undPrice: -4.49246965537813E-04-2.97775640500328E-04-1.5779</t>
  </si>
  <si>
    <t>2014-11-26 15:52:26.493: RTWSControl  - tickOptionComputation - id:200045 tickType:13 impliedVol:6.24681715864881E-02 delta:0.649479453415873 optPrice:4.70947020621116E-03 pvDividend:0 gamma: 1.79769313486232E+308 theta/vega/undPrice: -6.52510084778574E-04-4.45605574573317E-04-1.5779</t>
  </si>
  <si>
    <t>2014-11-26 15:52:26.534: RTWSControl  - tickOptionComputation - id:200047 tickType:13 impliedVol:6.24681715864881E-02 delta:-0.350633734521214 optPrice:1.80951461375932E-03 pvDividend:0 gamma: 1.79769313486232E+308 theta/vega/undPrice: -6.52531247379778E-04-4.45606218295248E-04-1.5779</t>
  </si>
  <si>
    <t>2014-11-26 15:52:26.577: RTWSControl  - tickOptionComputation - id:200055 tickType:13 impliedVol:6.18713296939859E-02 delta:0.390344221759287 optPrice:2.05941987919142E-03 pvDividend:0 gamma: 1.79769313486232E+308 theta/vega/undPrice: -6.74946475282868E-04-4.83505060765637E-04-1.5779</t>
  </si>
  <si>
    <t>2014-11-26 15:52:26.616: RTWSControl  - tickOptionComputation - id:200049 tickType:13 impliedVol:6.88510902354302E-02 delta:0.679151726728951 optPrice:0.011540207361867 pvDividend:0 gamma: 1.79769313486232E+308 theta/vega/undPrice: -3.37744397217127E-04-9.1416013847799E-04-1.5779</t>
  </si>
  <si>
    <t>2014-11-26 15:52:26.660: RTWSControl  - tickOptionComputation - id:200050 tickType:13 impliedVol:6.88510902354302E-02 delta:-0.320918501203557 optPrice:3.64071042476853E-03 pvDividend:0 gamma: 1.79769313486232E+308 theta/vega/undPrice: -3.37800906728295E-04-9.14165729343469E-04-1.5779</t>
  </si>
  <si>
    <t>2014-11-26 15:52:26.699: RTWSControl  - tickOptionComputation - id:200048 tickType:13 impliedVol:8.29107563615743E-02 delta:-3.11700258447259E-02 optPrice:2.56709094354167E-04 pvDividend:0 gamma: 1.79769313486232E+308 theta/vega/undPrice: -7.93139893761519E-05-2.08030908104273E-04-1.5779</t>
  </si>
  <si>
    <t>2014-11-26 15:52:26.744: RTWSControl  - tickOptionComputation - id:200053 tickType:13 impliedVol:6.50508410035862E-02 delta:8.86522603417086E-02 optPrice:6.70653581125571E-04 pvDividend:0 gamma: 1.79769313486232E+308 theta/vega/undPrice: -1.42950696274075E-04-4.4728387668657E-04-1.5779</t>
  </si>
  <si>
    <t>2014-11-26 15:52:26.784: RTWSControl  - tickOptionComputation - id:200054 tickType:13 impliedVol:7.15100086660456E-02 delta:1.7744119633038E-03 optPrice:9.31305485625016E-06 pvDividend:0 gamma: 0.317095002757805 theta/vega/undPrice: -5.52898169647464E-06-2.66524870349763E-05-1.5779</t>
  </si>
  <si>
    <t>2014-11-26 15:52:28.640: RTWSControl  - tickOptionComputation - id:200052 tickType:10 impliedVol:1.79769313486232E+308 delta:1.79769313486232E+308 optPrice:1.79769313486232E+308 pvDividend:0 gamma: 1.79769313486232E+308 theta/vega/undPrice: 1.79769313486232E+308-1.79769313486232E+308-1.5779</t>
  </si>
  <si>
    <t>2014-11-26 15:52:28.695: RTWSControl  - tickOptionComputation - id:200052 tickType:11 impliedVol:1.79769313486232E+308 delta:1.79769313486232E+308 optPrice:1.79769313486232E+308 pvDividend:0 gamma: 1.79769313486232E+308 theta/vega/undPrice: 1.79769313486232E+308-1.79769313486232E+308-1.5779</t>
  </si>
  <si>
    <t>2014-11-26 15:52:28.746: RTWSControl  - tickOptionComputation - id:200054 tickType:10 impliedVol:1.79769313486232E+308 delta:1.79769313486232E+308 optPrice:1.79769313486232E+308 pvDividend:0 gamma: 1.79769313486232E+308 theta/vega/undPrice: 1.79769313486232E+308-1.79769313486232E+308-1.5779</t>
  </si>
  <si>
    <t>2014-11-26 15:52:30.451: RTWSControl  - tickOptionComputation - id:200042 tickType:13 impliedVol:7.94735131808295E-02 delta:-0.03061769327028 optPrice:1.1706553631724E-04 pvDividend:0 gamma: 1.79769313486232E+308 theta/vega/undPrice: -1.53903470358047E-04-1.00732844388708E-04-1.5779</t>
  </si>
  <si>
    <t>2014-11-26 15:52:30.581: RTWSControl  - tickOptionComputation - id:200041 tickType:13 impliedVol:7.12152672818149E-02 delta:0.933728761318908 optPrice:1.31549086838964E-02 pvDividend:0 gamma: 1.79769313486232E+308 theta/vega/undPrice: -2.5812076213063E-04-1.86371790965876E-04-1.5779</t>
  </si>
  <si>
    <t>2014-11-26 15:52:30.636: RTWSControl  - tickOptionComputation - id:200043 tickType:13 impliedVol:7.12152672818149E-02 delta:-6.63837638473324E-02 optPrice:2.55093346057346E-04 pvDividend:0 gamma: 1.79769313486232E+308 theta/vega/undPrice: -2.58206026362021E-04-1.86372070203567E-04-1.5779</t>
  </si>
  <si>
    <t>2014-11-26 15:52:30.702: RTWSControl  - tickOptionComputation - id:200044 tickType:13 impliedVol:6.56393019870336E-02 delta:0.839908009600176 optPrice:8.5816556884905E-03 pvDividend:0 gamma: 1.79769313486232E+308 theta/vega/undPrice: -4.49276060685553E-04-2.97775348681792E-04-1.5779</t>
  </si>
  <si>
    <t>2014-11-26 15:52:30.744: RTWSControl  - tickOptionComputation - id:200046 tickType:13 impliedVol:6.56393019870336E-02 delta:-0.16020469336319 optPrice:6.81769513556193E-04 pvDividend:0 gamma: 1.79769313486232E+308 theta/vega/undPrice: -4.49328990115659E-04-2.97775640340228E-04-1.5779</t>
  </si>
  <si>
    <t>2014-11-26 15:52:30.786: RTWSControl  - tickOptionComputation - id:200045 tickType:13 impliedVol:6.27456172964855E-02 delta:0.648865388112166 optPrice:4.72183334756736E-03 pvDividend:0 gamma: 1.79769313486232E+308 theta/vega/undPrice: -6.55878473599925E-04-4.45605562264627E-04-1.5779</t>
  </si>
  <si>
    <t>2014-11-26 15:52:30.834: RTWSControl  - tickOptionComputation - id:200047 tickType:13 impliedVol:6.27456172964855E-02 delta:-0.351247800820378 optPrice:1.82187777286881E-03 pvDividend:0 gamma: 1.79769313486232E+308 theta/vega/undPrice: -6.55899647712338E-04-4.45606206165708E-04-1.5779</t>
  </si>
  <si>
    <t>2014-11-26 15:52:30.872: RTWSControl  - tickOptionComputation - id:200055 tickType:13 impliedVol:6.25342132100855E-02 delta:0.391527802023441 optPrice:2.09147064777223E-03 pvDividend:0 gamma: 1.79769313486232E+308 theta/vega/undPrice: -6.82474340802513E-04-4.83505027558795E-04-1.5779</t>
  </si>
  <si>
    <t>2014-11-26 15:52:30.912: RTWSControl  - tickOptionComputation - id:200055 tickType:11 impliedVol:6.47937812246466E-02 delta:0.395331863610427 optPrice:2.19999998807907E-03 pvDividend:0 gamma: 1.79769313486232E+308 theta/vega/undPrice: -7.08134531217458E-04-4.8350491198688E-04-1.5779</t>
  </si>
  <si>
    <t>2014-11-26 15:52:30.958: RTWSControl  - tickOptionComputation - id:200052 tickType:10 impliedVol:1.79769313486232E+308 delta:1.79769313486232E+308 optPrice:1.79769313486232E+308 pvDividend:0 gamma: 1.79769313486232E+308 theta/vega/undPrice: 1.79769313486232E+308-1.79769313486232E+308-1.5779</t>
  </si>
  <si>
    <t>2014-11-26 15:52:30.993: RTWSControl  - tickOptionComputation - id:200052 tickType:11 impliedVol:1.79769313486232E+308 delta:1.79769313486232E+308 optPrice:1.79769313486232E+308 pvDividend:0 gamma: 1.79769313486232E+308 theta/vega/undPrice: 1.79769313486232E+308-1.79769313486232E+308-1.5779</t>
  </si>
  <si>
    <t>2014-11-26 15:52:31.33: RTWSControl  - tickOptionComputation - id:200054 tickType:10 impliedVol:1.79769313486232E+308 delta:1.79769313486232E+308 optPrice:1.79769313486232E+308 pvDividend:0 gamma: 1.79769313486232E+308 theta/vega/undPrice: 1.79769313486232E+308-1.79769313486232E+308-1.5779</t>
  </si>
  <si>
    <t>2014-11-26 15:52:31.949: DirectionIndicator - notify - price/longMA/ShortMA/prevDirection are 1.578/1.57794427839622/1.57795062701459/1</t>
  </si>
  <si>
    <t>2014-11-26 15:52:31.949: Algorithm - handleTransition - currentHedgeShortfall is NOT ZERO and AUTOHEDGE IS NOT ENABLED!</t>
  </si>
  <si>
    <t>2014-11-26 15:52:32.237: DirectionIndicator - notify - price/longMA/ShortMA/prevDirection are 1.57805/1.577963500506/1.57798375134306/1</t>
  </si>
  <si>
    <t>2014-11-26 15:52:32.237: Algorithm - handleTransition - currentHedgeShortfall is NOT ZERO and AUTOHEDGE IS NOT ENABLED!</t>
  </si>
  <si>
    <t>2014-11-26 15:52:32.487: RTWSControl  - tickOptionComputation - id:200042 tickType:13 impliedVol:7.94735131808295E-02 delta:-2.98718699353949E-02 optPrice:1.13842330211068E-04 pvDividend:0 gamma: 1.79769313486232E+308 theta/vega/undPrice: -1.50792721272739E-04-9.80508595093306E-05-1.578</t>
  </si>
  <si>
    <t>2014-11-26 15:52:32.538: RTWSControl  - tickOptionComputation - id:200042 tickType:10 impliedVol:8.86293927434175E-02 delta:-4.46592215260046E-02 optPrice:1.99999994947575E-04 pvDividend:0 gamma: 1.79769313486232E+308 theta/vega/undPrice: -2.35589692803564E-04-1.43299299424862E-04-1.578</t>
  </si>
  <si>
    <t>2014-11-26 15:52:32.580: RTWSControl  - tickOptionComputation - id:200042 tickType:11 impliedVol:8.86293927434175E-02 delta:-4.46592215260046E-02 optPrice:1.99999994947575E-04 pvDividend:0 gamma: 1.79769313486232E+308 theta/vega/undPrice: -2.35589692803564E-04-1.43299299424862E-04-1.578</t>
  </si>
  <si>
    <t>2014-11-26 15:52:32.626: RTWSControl  - tickOptionComputation - id:200041 tickType:10 impliedVol:5.93297812273921E-02 delta:0.965452856267819 optPrice:1.31000000983477E-02 pvDividend:0 gamma: 1.79769313486232E+308 theta/vega/undPrice: -1.27053059132793E-04-1.22093894348415E-04-1.578</t>
  </si>
  <si>
    <t>2014-11-26 15:52:32.669: RTWSControl  - tickOptionComputation - id:200041 tickType:11 impliedVol:7.97363472672506E-02 delta:0.9119568598003 optPrice:0.013399999588728 pvDividend:0 gamma: 1.79769313486232E+308 theta/vega/undPrice: -3.58081127626781E-04-2.15293251689711E-04-1.578</t>
  </si>
  <si>
    <t>2014-11-26 15:52:32.737: RTWSControl  - tickOptionComputation - id:200041 tickType:13 impliedVol:7.12152672818149E-02 delta:0.935089239206477 optPrice:0.013248993769017 pvDividend:0 gamma: 1.79769313486232E+308 theta/vega/undPrice: -2.53820075891835E-04-1.82209005357712E-04-1.578</t>
  </si>
  <si>
    <t>2014-11-26 15:52:32.785: RTWSControl  - tickOptionComputation - id:200043 tickType:13 impliedVol:7.12152672818149E-02 delta:-6.50232849658964E-02 optPrice:2.4917985724445E-04 pvDividend:0 gamma: 1.79769313486232E+308 theta/vega/undPrice: -2.5390599400196E-04-1.82209281217848E-04-1.578</t>
  </si>
  <si>
    <t>2014-11-26 15:52:32.828: RTWSControl  - tickOptionComputation - id:200043 tickType:10 impliedVol:5.93270983362027E-02 delta:-3.45272696293771E-02 optPrice:9.99999974737875E-05 pvDividend:0 gamma: 1.79769313486232E+308 theta/vega/undPrice: -1.27114600220496E-04-1.22079125263947E-04-1.578</t>
  </si>
  <si>
    <t>2014-11-26 15:52:32.869: RTWSControl  - tickOptionComputation - id:200043 tickType:11 impliedVol:7.47554121491371E-02 delta:-7.34064585202596E-02 optPrice:3.00000014249235E-04 pvDividend:0 gamma: 1.79769313486232E+308 theta/vega/undPrice: -2.94483345215653E-04-2.07614895543716E-04-1.578</t>
  </si>
  <si>
    <t>2014-11-26 15:52:32.916: RTWSControl  - tickOptionComputation - id:200044 tickType:13 impliedVol:6.56393019870336E-02 delta:0.842969894424486 optPrice:8.66560468728265E-03 pvDividend:0 gamma: 1.79769313486232E+308 theta/vega/undPrice: -4.43601624847185E-04-2.97784782722509E-04-1.578</t>
  </si>
  <si>
    <t>2014-11-26 15:52:32.955: RTWSControl  - tickOptionComputation - id:200044 tickType:10 impliedVol:6.34362242279484E-02 delta:0.851369734719325 optPrice:8.60000029206276E-03 pvDividend:0 gamma: 1.79769313486232E+308 theta/vega/undPrice: -4.13400081370237E-04-2.97784849101894E-04-1.578</t>
  </si>
  <si>
    <t>2014-11-26 15:52:32.997: RTWSControl  - tickOptionComputation - id:200044 tickType:11 impliedVol:7.35105930483415E-02 delta:0.81664636032506 optPrice:8.89999978244305E-03 pvDividend:0 gamma: 1.79769313486232E+308 theta/vega/undPrice: -5.51507440568818E-04-3.45414380993876E-04-1.578</t>
  </si>
  <si>
    <t>2014-11-26 15:52:33.43: RTWSControl  - tickOptionComputation - id:200046 tickType:13 impliedVol:6.56393019870336E-02 delta:-0.157142805328942 optPrice:6.65719929235785E-04 pvDividend:0 gamma: 1.79769313486232E+308 theta/vega/undPrice: -4.43655202546972E-04-2.97785072709129E-04-1.578</t>
  </si>
  <si>
    <t>2014-11-26 15:52:33.86: RTWSControl  - tickOptionComputation - id:200046 tickType:10 impliedVol:6.34222086979133E-02 delta:-0.148560484080248 optPrice:6.00000028498471E-04 pvDividend:0 gamma: 1.79769313486232E+308 theta/vega/undPrice: -4.13261465138359E-04-2.9778513855317E-04-1.578</t>
  </si>
  <si>
    <t>2014-11-26 15:52:33.129: RTWSControl  - tickOptionComputation - id:200046 tickType:11 impliedVol:7.01159046843101E-02 delta:-0.17275712506483 optPrice:7.999999797903E-04 pvDividend:0 gamma: 1.79769313486232E+308 theta/vega/undPrice: -5.05024112711531E-04-3.17845686894273E-04-1.578</t>
  </si>
  <si>
    <t>2014-11-26 15:52:33.200: RTWSControl  - tickOptionComputation - id:200045 tickType:13 impliedVol:6.27456172964855E-02 delta:0.653659179612874 optPrice:4.78833048086231E-03 pvDividend:0 gamma: 1.79769313486232E+308 theta/vega/undPrice: -6.52250825457227E-04-4.45619679807162E-04-1.578</t>
  </si>
  <si>
    <t>2014-11-26 15:52:33.247: RTWSControl  - tickOptionComputation - id:200045 tickType:10 impliedVol:6.07729517419065E-02 delta:0.658220014857991 optPrice:4.69999993219972E-03 pvDividend:0 gamma: 1.79769313486232E+308 theta/vega/undPrice: -6.28300494718951E-04-4.4561976684053E-04-1.578</t>
  </si>
  <si>
    <t>2014-11-26 15:52:33.288: RTWSControl  - tickOptionComputation - id:200045 tickType:11 impliedVol:6.52515554479223E-02 delta:0.648085059016315 optPrice:4.90000005811453E-03 pvDividend:0 gamma: 1.79769313486232E+308 theta/vega/undPrice: -6.8267565544354E-04-4.45619566128517E-04-1.578</t>
  </si>
  <si>
    <t>2014-11-26 15:52:33.335: RTWSControl  - tickOptionComputation - id:200047 tickType:13 impliedVol:6.27456172964855E-02 delta:-0.346454001543476 optPrice:1.78837629974909E-03 pvDividend:0 gamma: 1.79769313486232E+308 theta/vega/undPrice: -6.52272640023582E-04-4.45620322261042E-04-1.578</t>
  </si>
  <si>
    <t>2014-11-26 15:52:33.378: RTWSControl  - tickOptionComputation - id:200055 tickType:13 impliedVol:6.25342132100855E-02 delta:0.396748029236118 optPrice:2.13595201711639E-03 pvDividend:0 gamma: 1.79769313486232E+308 theta/vega/undPrice: -6.8381508746395E-04-4.83520344169951E-04-1.578</t>
  </si>
  <si>
    <t>2014-11-26 15:52:33.420: RTWSControl  - tickOptionComputation - id:200049 tickType:13 impliedVol:6.88510902354302E-02 delta:0.681273589661358 optPrice:1.16068125190394E-02 pvDividend:0 gamma: 1.79769313486232E+308 theta/vega/undPrice: -3.36892158496681E-04-9.14189106855893E-04-1.578</t>
  </si>
  <si>
    <t>2014-11-26 15:52:33.487: RTWSControl  - tickOptionComputation - id:200050 tickType:13 impliedVol:6.88510902354302E-02 delta:-0.318796623658635 optPrice:0.003607321466639 pvDividend:0 gamma: 1.79769313486232E+308 theta/vega/undPrice: -3.3694930846936E-04-9.14194691990642E-04-1.578</t>
  </si>
  <si>
    <t>2014-11-26 15:52:33.533: RTWSControl  - tickOptionComputation - id:200051 tickType:13 impliedVol:7.06009157743033E-02 delta:-0.321017792460964 optPrice:3.66764895548356E-03 pvDividend:0 gamma: 1.79769313486232E+308 theta/vega/undPrice: -3.48668335109379E-04-8.85435129425572E-04-1.578</t>
  </si>
  <si>
    <t>2014-11-26 15:52:33.574: RTWSControl  - tickOptionComputation - id:200052 tickType:13 impliedVol:0.117711974170427 delta:-0.523734641815099 optPrice:1.26466692547719E-02 pvDividend:0 gamma: 1.79769313486232E+308 theta/vega/undPrice: -6.46495167179371E-04-9.84747888808854E-04-1.578</t>
  </si>
  <si>
    <t>2014-11-26 15:52:33.616: RTWSControl  - tickOptionComputation - id:200047 tickType:10 impliedVol:6.07575578503237E-02 delta:-0.341729270490502 optPrice:1.70000002253801E-03 pvDividend:0 gamma: 1.79769313486232E+308 theta/vega/undPrice: -6.28135327968017E-04-4.45620408687738E-04-1.578</t>
  </si>
  <si>
    <t>2014-11-26 15:52:33.660: RTWSControl  - tickOptionComputation - id:200047 tickType:11 impliedVol:6.52501373329193E-02 delta:-0.351898683946898 optPrice:1.9000000320375E-03 pvDividend:0 gamma: 1.79769313486232E+308 theta/vega/undPrice: -6.82680356466537E-04-4.4562021025042E-04-1.578</t>
  </si>
  <si>
    <t>2014-11-26 15:52:33.706: RTWSControl  - tickOptionComputation - id:200048 tickType:13 impliedVol:8.29107563615743E-02 delta:-3.08243820859883E-02 optPrice:2.53511247597985E-04 pvDividend:0 gamma: 1.79769313486232E+308 theta/vega/undPrice: -7.85834553175491E-05-2.05369761844579E-04-1.578</t>
  </si>
  <si>
    <t>2014-11-26 15:52:33.747: RTWSControl  - tickOptionComputation - id:200055 tickType:10 impliedVol:5.97232422938938E-02 delta:0.391746304856951 optPrice:2.0000000949949E-03 pvDividend:0 gamma: 1.79769313486232E+308 theta/vega/undPrice: -6.5189200147004E-04-4.83520482587432E-04-1.578</t>
  </si>
  <si>
    <t>2014-11-26 15:52:33.787: RTWSControl  - tickOptionComputation - id:200055 tickType:11 impliedVol:6.17911633844278E-02 delta:0.395432394429199 optPrice:2.09999992512167E-03 pvDividend:0 gamma: 1.79769313486232E+308 theta/vega/undPrice: -6.75376566551302E-04-4.83520381313053E-04-1.578</t>
  </si>
  <si>
    <t>2014-11-26 15:52:33.836: RTWSControl  - tickOptionComputation - id:200053 tickType:13 impliedVol:6.50508410035862E-02 delta:8.97517488477635E-02 optPrice:6.80876769332879E-04 pvDividend:0 gamma: 1.79769313486232E+308 theta/vega/undPrice: -1.44221189528787E-04-4.47298051672729E-04-1.578</t>
  </si>
  <si>
    <t>2014-11-26 15:52:33.877: RTWSControl  - tickOptionComputation - id:200049 tickType:10 impliedVol:6.87778463225234E-02 delta:0.68136656222899 optPrice:1.15999998524785E-02 pvDividend:0 gamma: 1.79769313486232E+308 theta/vega/undPrice: -3.36460158297566E-04-9.14189138660584E-04-1.578</t>
  </si>
  <si>
    <t>2014-11-26 15:52:33.920: RTWSControl  - tickOptionComputation - id:200049 tickType:11 impliedVol:7.09534205886241E-02 delta:0.676205753525697 optPrice:1.18000004440546E-02 pvDividend:0 gamma: 1.79769313486232E+308 theta/vega/undPrice: -3.49291905266745E-04-9.14188182929449E-04-1.578</t>
  </si>
  <si>
    <t>2014-11-26 15:52:33.992: RTWSControl  - tickOptionComputation - id:200054 tickType:13 impliedVol:7.15100086660456E-02 delta:1.79849466572044E-03 optPrice:9.44557943556433E-06 pvDividend:0 gamma: 0.321147694569308 theta/vega/undPrice: -5.60035557884953E-06-2.73009400296811E-05-1.578</t>
  </si>
  <si>
    <t>2014-11-26 15:52:34.36: RTWSControl  - tickOptionComputation - id:200050 tickType:10 impliedVol:6.76771490165588E-02 delta:-0.315838201399201 optPrice:3.50000010803342E-03 pvDividend:0 gamma: 1.79769313486232E+308 theta/vega/undPrice: -3.30025175854659E-04-9.14195191177733E-04-1.578</t>
  </si>
  <si>
    <t>2014-11-26 15:52:34.77: RTWSControl  - tickOptionComputation - id:200050 tickType:11 impliedVol:6.98648605332508E-02 delta:-0.321196452431079 optPrice:3.70000000111759E-03 pvDividend:0 gamma: 1.79769313486232E+308 theta/vega/undPrice: -3.42928714380828E-04-9.14194255563827E-04-1.578</t>
  </si>
  <si>
    <t>2014-11-26 15:52:34.123: RTWSControl  - tickOptionComputation - id:200051 tickType:10 impliedVol:0.067563741775942 delta:-0.31370346669963 optPrice:3.40000004507601E-03 pvDividend:0 gamma: 1.79769313486232E+308 theta/vega/undPrice: -3.30449080472246E-04-8.76889302242397E-04-1.578</t>
  </si>
  <si>
    <t>2014-11-26 15:52:34.169: RTWSControl  - tickOptionComputation - id:200051 tickType:11 impliedVol:7.09670821058781E-02 delta:-0.321816068138759 optPrice:3.70000000111759E-03 pvDividend:0 gamma: 1.79769313486232E+308 theta/vega/undPrice: -3.50857401227594E-04-8.86397137248724E-04-1.578</t>
  </si>
  <si>
    <t>2014-11-26 15:52:34.234: RTWSControl  - tickOptionComputation - id:200052 tickType:10 impliedVol:1.79769313486232E+308 delta:1.79769313486232E+308 optPrice:1.79769313486232E+308 pvDividend:0 gamma: 1.79769313486232E+308 theta/vega/undPrice: 1.79769313486232E+308-1.79769313486232E+308-1.578</t>
  </si>
  <si>
    <t>2014-11-26 15:52:34.252: RTWSControl  - tickOptionComputation - id:200052 tickType:11 impliedVol:1.79769313486232E+308 delta:1.79769313486232E+308 optPrice:1.79769313486232E+308 pvDividend:0 gamma: 1.79769313486232E+308 theta/vega/undPrice: 1.79769313486232E+308-1.79769313486232E+308-1.578</t>
  </si>
  <si>
    <t>2014-11-26 15:52:34.314: RTWSControl  - tickOptionComputation - id:200048 tickType:10 impliedVol:7.99493133742173E-02 delta:-2.59129772753768E-02 optPrice:1.99999994947575E-04 pvDividend:0 gamma: 1.79769313486232E+308 theta/vega/undPrice: -6.57055874546231E-05-1.79306450025268E-04-1.578</t>
  </si>
  <si>
    <t>2014-11-26 15:52:34.368: RTWSControl  - tickOptionComputation - id:200048 tickType:11 impliedVol:8.55002181304128E-02 delta:-3.48320190767735E-02 optPrice:3.00000014249235E-04 pvDividend:0 gamma: 1.79769313486232E+308 theta/vega/undPrice: -8.98437349660399E-05-2.34694047814044E-04-1.578</t>
  </si>
  <si>
    <t>2014-11-26 15:52:34.415: RTWSControl  - tickOptionComputation - id:200053 tickType:10 impliedVol:6.06310950292583E-02 delta:7.37501358381323E-02 optPrice:5.00000023748726E-04 pvDividend:0 gamma: 1.79769313486232E+308 theta/vega/undPrice: -1.16566341512639E-04-4.30480660152796E-04-1.578</t>
  </si>
  <si>
    <t>2014-11-26 15:52:34.453: RTWSControl  - tickOptionComputation - id:200053 tickType:11 impliedVol:6.54614508899278E-02 delta:9.12521619684883E-02 optPrice:6.99999975040555E-04 pvDividend:0 gamma: 1.79769313486232E+308 theta/vega/undPrice: -1.46877318000538E-04-4.47297972042952E-04-1.578</t>
  </si>
  <si>
    <t>2014-11-26 15:52:34.499: RTWSControl  - tickOptionComputation - id:200054 tickType:10 impliedVol:1.79769313486232E+308 delta:1.79769313486232E+308 optPrice:1.79769313486232E+308 pvDividend:0 gamma: 1.79769313486232E+308 theta/vega/undPrice: 1.79769313486232E+308-1.79769313486232E+308-1.578</t>
  </si>
  <si>
    <t>2014-11-26 15:52:34.533: RTWSControl  - tickOptionComputation - id:200054 tickType:11 impliedVol:9.18662069255419E-02 delta:1.23617709897722E-02 optPrice:9.99999974737875E-05 pvDividend:0 gamma: 1.79769313486232E+308 theta/vega/undPrice: -4.01507193342206E-05-1.03764260075995E-04-1.578</t>
  </si>
  <si>
    <t>2014-11-26 15:52:34.620: DirectionIndicator - notify - price/longMA/ShortMA/prevDirection are 1.578/1.57797013677764/1.57798916756204/1</t>
  </si>
  <si>
    <t>2014-11-26 15:52:34.620: Algorithm - handleTransition - currentHedgeShortfall is NOT ZERO and AUTOHEDGE IS NOT ENABLED!</t>
  </si>
  <si>
    <t>2014-11-26 15:52:34.782: DirectionIndicator - notify - price/longMA/ShortMA/prevDirection are 1.57795/1.57796647554534/1.57797611170803/1</t>
  </si>
  <si>
    <t>2014-11-26 15:52:34.782: Algorithm - handleTransition - currentHedgeShortfall is NOT ZERO and AUTOHEDGE IS NOT ENABLED!</t>
  </si>
  <si>
    <t>2014-11-26 15:52:34.987: DirectionIndicator - notify - price/longMA/ShortMA/prevDirection are 1.578/1.57797257090073/1.57798407447202/1</t>
  </si>
  <si>
    <t>2014-11-26 15:52:34.987: Algorithm - handleTransition - currentHedgeShortfall is NOT ZERO and AUTOHEDGE IS NOT ENABLED!</t>
  </si>
  <si>
    <t>2014-11-26 15:52:35.70: DirectionIndicator - notify - price/longMA/ShortMA/prevDirection are 1.57795/1.5779684671006/1.57797271631468/1</t>
  </si>
  <si>
    <t>2014-11-26 15:52:35.71: Algorithm - handleTransition - currentHedgeShortfall is NOT ZERO and AUTOHEDGE IS NOT ENABLED!</t>
  </si>
  <si>
    <t>2014-11-26 15:52:35.122: DirectionIndicator - notify - price/longMA/ShortMA/prevDirection are 1.578/1.57797420035504/1.57798181087645/1</t>
  </si>
  <si>
    <t>2014-11-26 15:52:35.126: Algorithm - handleTransition - currentHedgeShortfall is NOT ZERO and AUTOHEDGE IS NOT ENABLED!</t>
  </si>
  <si>
    <t>2014-11-26 15:52:35.194: DirectionIndicator - notify - price/longMA/ShortMA/prevDirection are 1.57795/1.57796980029048/1.57797120725097/1</t>
  </si>
  <si>
    <t>2014-11-26 15:52:35.195: Algorithm - handleTransition - currentHedgeShortfall is NOT ZERO and AUTOHEDGE IS NOT ENABLED!</t>
  </si>
  <si>
    <t>2014-11-26 15:52:35.452: RTWSControl  - tickOptionComputation - id:200042 tickType:13 impliedVol:8.02845106357779E-02 delta:-3.12335710241823E-02 optPrice:1.20965219629209E-04 pvDividend:0 gamma: 1.79769313486232E+308 theta/vega/undPrice: -1.58087080745273E-04-1.02549513375373E-04-1.578</t>
  </si>
  <si>
    <t>2014-11-26 15:52:35.529: RTWSControl  - tickOptionComputation - id:200041 tickType:10 impliedVol:6.11376953125031E-03 delta:0.999985990111608 optPrice:1.30000002682209E-02 pvDividend:0 gamma: -1.26578150247533E-10 theta/vega/undPrice: 8.55564393951481E-08--2.94902990916057E-17-1.578</t>
  </si>
  <si>
    <t>2014-11-26 15:52:35.582: RTWSControl  - tickOptionComputation - id:200041 tickType:13 impliedVol:7.18125425621849E-02 delta:0.933615171299664 optPrice:1.32575664050076E-02 pvDividend:0 gamma: 1.79769313486232E+308 theta/vega/undPrice: -2.60666074518374E-04-1.8649530838653E-04-1.578</t>
  </si>
  <si>
    <t>2014-11-26 15:52:35.622: RTWSControl  - tickOptionComputation - id:200043 tickType:13 impliedVol:7.18125425621849E-02 delta:-6.64973539483419E-02 optPrice:2.57752499128044E-04 pvDividend:0 gamma: 1.79769313486232E+308 theta/vega/undPrice: -2.60752000325438E-04-1.86495588798414E-04-1.578</t>
  </si>
  <si>
    <t>2014-11-26 15:52:35.664: RTWSControl  - tickOptionComputation - id:200044 tickType:10 impliedVol:6.00781012804886E-02 delta:0.865539148127636 optPrice:0.008500000461936 pvDividend:0 gamma: 1.79769313486232E+308 theta/vega/undPrice: -3.6736423465735E-04-2.97784950107434E-04-1.578</t>
  </si>
  <si>
    <t>2014-11-26 15:52:35.705: RTWSControl  - tickOptionComputation - id:200044 tickType:11 impliedVol:7.01524701123752E-02 delta:0.827109667564333 optPrice:8.79999995231628E-03 pvDividend:0 gamma: 1.79769313486232E+308 theta/vega/undPrice: -5.05471685106761E-04-3.1814185896898E-04-1.578</t>
  </si>
  <si>
    <t>2014-11-26 15:52:35.747: RTWSControl  - tickOptionComputation - id:200044 tickType:13 impliedVol:6.58004279913484E-02 delta:0.842370093609893 optPrice:0.008670402776888 pvDividend:0 gamma: 1.79769313486232E+308 theta/vega/undPrice: -4.45810467857677E-04-2.97784777867774E-04-1.578</t>
  </si>
  <si>
    <t>2014-11-26 15:52:35.788: RTWSControl  - tickOptionComputation - id:200046 tickType:13 impliedVol:6.58004279913484E-02 delta:-0.157742606771542 optPrice:6.7051802349552E-04 pvDividend:0 gamma: 1.79769313486232E+308 theta/vega/undPrice: -4.45864049780438E-04-2.9778506796137E-04-1.578</t>
  </si>
  <si>
    <t>2014-11-26 15:52:35.837: RTWSControl  - tickOptionComputation - id:200045 tickType:13 impliedVol:6.22481669232684E-02 delta:0.654802363180967 optPrice:4.76616310186228E-03 pvDividend:0 gamma: 1.79769313486232E+308 theta/vega/undPrice: -6.46211231576472E-04-4.45619701959765E-04-1.578</t>
  </si>
  <si>
    <t>2014-11-26 15:52:35.878: RTWSControl  - tickOptionComputation - id:200047 tickType:13 impliedVol:6.22481669232684E-02 delta:-0.345310816122342 optPrice:1.76620888891752E-03 pvDividend:0 gamma: 1.79769313486232E+308 theta/vega/undPrice: -6.46233025503129E-04-4.4562034409246E-04-1.578</t>
  </si>
  <si>
    <t>2014-11-26 15:52:35.921: RTWSControl  - tickOptionComputation - id:200055 tickType:13 impliedVol:6.11557593579306E-02 delta:0.394375949957952 optPrice:2.06930093080364E-03 pvDividend:0 gamma: 1.79769313486232E+308 theta/vega/undPrice: -6.68160534751449E-04-4.83520412757991E-04-1.578</t>
  </si>
  <si>
    <t>2014-11-26 15:52:35.985: RTWSControl  - tickOptionComputation - id:200049 tickType:10 impliedVol:6.76827081286905E-02 delta:0.684091478053655 optPrice:1.15000000223517E-02 pvDividend:0 gamma: 1.79769313486232E+308 theta/vega/undPrice: -3.30000915220858E-04-9.1418961111305E-04-1.578</t>
  </si>
  <si>
    <t>2014-11-26 15:52:36.34: RTWSControl  - tickOptionComputation - id:200049 tickType:13 impliedVol:6.88510166163336E-02 delta:0.681273769524382 optPrice:0.011606805788848 pvDividend:0 gamma: 1.79769313486232E+308 theta/vega/undPrice: -3.36891724283819E-04-9.14189106884266E-04-1.578</t>
  </si>
  <si>
    <t>2014-11-26 15:52:36.77: RTWSControl  - tickOptionComputation - id:200050 tickType:13 impliedVol:6.88510166163336E-02 delta:-0.318796443794345 optPrice:3.60731473640388E-03 pvDividend:0 gamma: 1.79769313486232E+308 theta/vega/undPrice: -3.36948874249845E-04-9.14194692024147E-04-1.578</t>
  </si>
  <si>
    <t>2014-11-26 15:52:36.115: RTWSControl  - tickOptionComputation - id:200051 tickType:13 impliedVol:7.09661992275725E-02 delta:-0.321854751950361 optPrice:3.70001000898241E-03 pvDividend:0 gamma: 1.79769313486232E+308 theta/vega/undPrice: -3.50852124947682E-04-8.86394834363347E-04-1.578</t>
  </si>
  <si>
    <t>2014-11-26 15:52:36.159: RTWSControl  - tickOptionComputation - id:200052 tickType:13 impliedVol:0.118248954298145 delta:-0.523593700852728 optPrice:1.26995490058234E-02 pvDividend:0 gamma: 1.79769313486232E+308 theta/vega/undPrice: -6.49458011758459E-04-9.8476854143661E-04-1.578</t>
  </si>
  <si>
    <t>2014-11-26 15:52:36.199: RTWSControl  - tickOptionComputation - id:200048 tickType:13 impliedVol:8.29946447175676E-02 delta:-3.09582947802016E-02 optPrice:2.55015421415835E-04 pvDividend:0 gamma: 1.79769313486232E+308 theta/vega/undPrice: -7.89482443405637E-05-2.06319754219532E-04-1.578</t>
  </si>
  <si>
    <t>2014-11-26 15:52:36.243: RTWSControl  - tickOptionComputation - id:200053 tickType:13 impliedVol:0.064889054589699 delta:0.089150781953596 optPrice:6.73640078353087E-04 pvDividend:0 gamma: 1.79769313486232E+308 theta/vega/undPrice: -1.43174635107811E-04-4.47298083125779E-04-1.578</t>
  </si>
  <si>
    <t>2014-11-26 15:52:36.282: RTWSControl  - tickOptionComputation - id:200054 tickType:13 impliedVol:7.11087586376635E-02 delta:1.72879367369021E-03 optPrice:9.01299773543148E-06 pvDividend:0 gamma: 0.311106934400599 theta/vega/undPrice: -5.36454668515137E-06-2.55886477584051E-05-1.578</t>
  </si>
  <si>
    <t>2014-11-26 15:52:36.329: RTWSControl  - tickOptionComputation - id:200052 tickType:10 impliedVol:1.79769313486232E+308 delta:1.79769313486232E+308 optPrice:1.79769313486232E+308 pvDividend:0 gamma: 1.79769313486232E+308 theta/vega/undPrice: 1.79769313486232E+308-1.79769313486232E+308-1.578</t>
  </si>
  <si>
    <t>2014-11-26 15:52:36.364: RTWSControl  - tickOptionComputation - id:200052 tickType:11 impliedVol:1.79769313486232E+308 delta:1.79769313486232E+308 optPrice:1.79769313486232E+308 pvDividend:0 gamma: 1.79769313486232E+308 theta/vega/undPrice: 1.79769313486232E+308-1.79769313486232E+308-1.578</t>
  </si>
  <si>
    <t>2014-11-26 15:52:36.404: RTWSControl  - tickOptionComputation - id:200054 tickType:10 impliedVol:1.79769313486232E+308 delta:1.79769313486232E+308 optPrice:1.79769313486232E+308 pvDividend:0 gamma: 1.79769313486232E+308 theta/vega/undPrice: 1.79769313486232E+308-1.79769313486232E+308-1.578</t>
  </si>
  <si>
    <t>2014-11-26 15:52:36.459: DirectionIndicator - notify - price/longMA/ShortMA/prevDirection are 1.578/1.57797529114676/1.57798080483398/1</t>
  </si>
  <si>
    <t>2014-11-26 15:52:36.459: Algorithm - handleTransition - currentHedgeShortfall is NOT ZERO and AUTOHEDGE IS NOT ENABLED!</t>
  </si>
  <si>
    <t>2014-11-26 15:52:36.495: DirectionIndicator - notify - price/longMA/ShortMA/prevDirection are 1.57805/1.57798887457462/1.57800386988932/1</t>
  </si>
  <si>
    <t>2014-11-26 15:52:36.496: Algorithm - handleTransition - currentHedgeShortfall is NOT ZERO and AUTOHEDGE IS NOT ENABLED!</t>
  </si>
  <si>
    <t>2014-11-26 15:52:37.113: RTWSControl  - tickOptionComputation - id:200041 tickType:10 impliedVol:5.93297812273921E-02 delta:0.965452856267819 optPrice:1.31000000983477E-02 pvDividend:0 gamma: 1.79769313486232E+308 theta/vega/undPrice: -1.27053059132793E-04-1.22093894348415E-04-1.578</t>
  </si>
  <si>
    <t>2014-11-26 15:52:37.163: RTWSControl  - tickOptionComputation - id:200041 tickType:11 impliedVol:8.44107965950003E-02 delta:0.898817468642525 optPrice:1.35000003501773E-02 pvDividend:0 gamma: 1.79769313486232E+308 theta/vega/undPrice: -4.19538799943689E-04-2.15293125553816E-04-1.578</t>
  </si>
  <si>
    <t>2014-11-26 15:52:37.210: RTWSControl  - tickOptionComputation - id:200044 tickType:10 impliedVol:6.34362242279484E-02 delta:0.851369734719325 optPrice:8.60000029206276E-03 pvDividend:0 gamma: 1.79769313486232E+308 theta/vega/undPrice: -4.13400081370237E-04-2.97784849101894E-04-1.578</t>
  </si>
  <si>
    <t>2014-11-26 15:52:37.253: RTWSControl  - tickOptionComputation - id:200044 tickType:11 impliedVol:7.35105930483415E-02 delta:0.81664636032506 optPrice:8.89999978244305E-03 pvDividend:0 gamma: 1.79769313486232E+308 theta/vega/undPrice: -5.51507440568818E-04-3.45414380993876E-04-1.578</t>
  </si>
  <si>
    <t>2014-11-26 15:52:37.319: RTWSControl  - tickOptionComputation - id:200049 tickType:10 impliedVol:6.87778463225234E-02 delta:0.68136656222899 optPrice:1.15999998524785E-02 pvDividend:0 gamma: 1.79769313486232E+308 theta/vega/undPrice: -3.36460158297566E-04-9.14189138660584E-04-1.578</t>
  </si>
  <si>
    <t>2014-11-26 15:52:37.373: RTWSControl  - tickOptionComputation - id:200052 tickType:10 impliedVol:1.79769313486232E+308 delta:1.79769313486232E+308 optPrice:1.79769313486232E+308 pvDividend:0 gamma: 1.79769313486232E+308 theta/vega/undPrice: 1.79769313486232E+308-1.79769313486232E+308-1.578</t>
  </si>
  <si>
    <t>2014-11-26 15:52:37.405: RTWSControl  - tickOptionComputation - id:200052 tickType:11 impliedVol:1.79769313486232E+308 delta:1.79769313486232E+308 optPrice:1.79769313486232E+308 pvDividend:0 gamma: 1.79769313486232E+308 theta/vega/undPrice: 1.79769313486232E+308-1.79769313486232E+308-1.578</t>
  </si>
  <si>
    <t>2014-11-26 15:52:37.446: RTWSControl  - tickOptionComputation - id:200054 tickType:10 impliedVol:1.79769313486232E+308 delta:1.79769313486232E+308 optPrice:1.79769313486232E+308 pvDividend:0 gamma: 1.79769313486232E+308 theta/vega/undPrice: 1.79769313486232E+308-1.79769313486232E+308-1.578</t>
  </si>
  <si>
    <t>2014-11-26 15:52:39.226: RTWSControl  - tickOptionComputation - id:200042 tickType:13 impliedVol:7.92085722055162E-02 delta:-2.94209694727257E-02 optPrice:1.11515386535873E-04 pvDividend:0 gamma: 1.79769313486232E+308 theta/vega/undPrice: -1.48409760779351E-04-9.65812151008695E-05-1.578</t>
  </si>
  <si>
    <t>2014-11-26 15:52:39.284: RTWSControl  - tickOptionComputation - id:200041 tickType:13 impliedVol:7.08858009689948E-02 delta:0.935913008058766 optPrice:1.32442649697607E-02 pvDividend:0 gamma: 1.79769313486232E+308 theta/vega/undPrice: -2.50043716542964E-04-1.79844613886026E-04-1.578</t>
  </si>
  <si>
    <t>2014-11-26 15:52:39.343: RTWSControl  - tickOptionComputation - id:200043 tickType:13 impliedVol:7.08858009689948E-02 delta:-6.41995155123768E-02 optPrice:2.44451054737846E-04 pvDividend:0 gamma: 1.79769313486232E+308 theta/vega/undPrice: -2.50129630407636E-04-1.79844887233458E-04-1.578</t>
  </si>
  <si>
    <t>2014-11-26 15:52:39.404: RTWSControl  - tickOptionComputation - id:200044 tickType:13 impliedVol:6.51708447780095E-02 delta:0.844730642635327 optPrice:8.65165473707625E-03 pvDividend:0 gamma: 1.79769313486232E+308 theta/vega/undPrice: -4.371796416307E-04-2.97784796844929E-04-1.578</t>
  </si>
  <si>
    <t>2014-11-26 15:52:39.452: RTWSControl  - tickOptionComputation - id:200046 tickType:13 impliedVol:6.51708447780095E-02 delta:-0.15538205527877 optPrice:6.51769965509133E-04 pvDividend:0 gamma: 1.79769313486232E+308 theta/vega/undPrice: -4.37233207091903E-04-2.97785086506683E-04-1.578</t>
  </si>
  <si>
    <t>2014-11-26 15:52:39.495: RTWSControl  - tickOptionComputation - id:200045 tickType:13 impliedVol:0.062063703632532 delta:0.655230961919183 optPrice:4.75794305011875E-03 pvDividend:0 gamma: 1.79769313486232E+308 theta/vega/undPrice: -6.43971644442651E-04-4.45619710139592E-04-1.578</t>
  </si>
  <si>
    <t>2014-11-26 15:52:39.535: RTWSControl  - tickOptionComputation - id:200047 tickType:13 impliedVol:0.062063703632532 delta:-0.344882216689276 optPrice:1.75798882536984E-03 pvDividend:0 gamma: 1.79769313486232E+308 theta/vega/undPrice: -6.43993430715484E-04-4.4562035215377E-04-1.578</t>
  </si>
  <si>
    <t>2014-11-26 15:52:39.577: RTWSControl  - tickOptionComputation - id:200055 tickType:13 impliedVol:6.15643775325907E-02 delta:0.395090089180633 optPrice:2.08905846308781E-03 pvDividend:0 gamma: 1.79769313486232E+308 theta/vega/undPrice: -6.72801049620246E-04-4.83520392569135E-04-1.578</t>
  </si>
  <si>
    <t>2014-11-26 15:52:39.617: RTWSControl  - tickOptionComputation - id:200049 tickType:13 impliedVol:6.87248525308313E-02 delta:0.68158258106896 optPrice:1.15952719783614E-02 pvDividend:0 gamma: 1.79769313486232E+308 theta/vega/undPrice: -3.36147595391996E-04-9.1418916165374E-04-1.578</t>
  </si>
  <si>
    <t>2014-11-26 15:52:39.660: RTWSControl  - tickOptionComputation - id:200050 tickType:13 impliedVol:6.87248525308313E-02 delta:-0.318487630127118 optPrice:3.59578085579222E-03 pvDividend:0 gamma: 1.79769313486232E+308 theta/vega/undPrice: -3.36204734495277E-04-9.14194745990249E-04-1.578</t>
  </si>
  <si>
    <t>2014-11-26 15:52:39.700: RTWSControl  - tickOptionComputation - id:200048 tickType:13 impliedVol:8.31391184516406E-02 delta:-3.11882854082895E-02 optPrice:2.57605931053086E-04 pvDividend:0 gamma: 1.79769313486232E+308 theta/vega/undPrice: -7.9576489191997E-05-2.07955844592344E-04-1.578</t>
  </si>
  <si>
    <t>2014-11-26 15:52:39.743: RTWSControl  - tickOptionComputation - id:200053 tickType:13 impliedVol:0.06481574932846 delta:8.88775005695336E-02 optPrice:6.70361140781251E-04 pvDividend:0 gamma: 1.79769313486232E+308 theta/vega/undPrice: -1.4270044231185E-04-4.47298097391454E-04-1.578</t>
  </si>
  <si>
    <t>2014-11-26 15:52:39.792: RTWSControl  - tickOptionComputation - id:200054 tickType:13 impliedVol:0.071411808844525 delta:1.78150866005797E-03 optPrice:9.33971167062451E-06 pvDividend:0 gamma: 0.318713058088199 theta/vega/undPrice: -5.54264495389721E-06-2.6881882672336E-05-1.578</t>
  </si>
  <si>
    <t>2014-11-26 15:52:40.995: RTWSControl  - tickOptionComputation - id:200044 tickType:11 impliedVol:7.68688750176505E-02 delta:0.807099602413746 optPrice:8.99999961256981E-03 pvDividend:0 gamma: 1.79769313486232E+308 theta/vega/undPrice: -5.97545344272459E-04-3.72688171399425E-04-1.578</t>
  </si>
  <si>
    <t>2014-11-26 15:52:41.70: RTWSControl  - tickOptionComputation - id:200045 tickType:11 impliedVol:0.067495617262235 delta:0.643515768193517 optPrice:4.99999988824129E-03 pvDividend:0 gamma: 1.79769313486232E+308 theta/vega/undPrice: -7.09921003647204E-04-4.4561946135753E-04-1.578</t>
  </si>
  <si>
    <t>2014-11-26 15:52:41.121: RTWSControl  - tickOptionComputation - id:200055 tickType:11 impliedVol:6.38588305437087E-02 delta:0.398881395154516 optPrice:2.19999998807907E-03 pvDividend:0 gamma: 1.79769313486232E+308 theta/vega/undPrice: -6.98858234633203E-04-4.8352027697348E-04-1.578</t>
  </si>
  <si>
    <t>2014-11-26 15:52:41.168: RTWSControl  - tickOptionComputation - id:200052 tickType:10 impliedVol:1.79769313486232E+308 delta:1.79769313486232E+308 optPrice:1.79769313486232E+308 pvDividend:0 gamma: 1.79769313486232E+308 theta/vega/undPrice: 1.79769313486232E+308-1.79769313486232E+308-1.578</t>
  </si>
  <si>
    <t>2014-11-26 15:52:41.200: RTWSControl  - tickOptionComputation - id:200052 tickType:11 impliedVol:1.79769313486232E+308 delta:1.79769313486232E+308 optPrice:1.79769313486232E+308 pvDividend:0 gamma: 1.79769313486232E+308 theta/vega/undPrice: 1.79769313486232E+308-1.79769313486232E+308-1.578</t>
  </si>
  <si>
    <t>2014-11-26 15:52:41.242: RTWSControl  - tickOptionComputation - id:200053 tickType:10 impliedVol:6.32405420650171E-02 delta:8.28421681267096E-02 optPrice:6.00000028498471E-04 pvDividend:0 gamma: 1.79769313486232E+308 theta/vega/undPrice: -1.32510827239376E-04-4.47298406133627E-04-1.578</t>
  </si>
  <si>
    <t>2014-11-26 15:52:41.286: RTWSControl  - tickOptionComputation - id:200054 tickType:10 impliedVol:1.79769313486232E+308 delta:1.79769313486232E+308 optPrice:1.79769313486232E+308 pvDividend:0 gamma: 1.79769313486232E+308 theta/vega/undPrice: 1.79769313486232E+308-1.79769313486232E+308-1.578</t>
  </si>
  <si>
    <t>2014-11-26 15:52:42.275: RTWSControl  - tickOptionComputation - id:200042 tickType:13 impliedVol:8.00467556335605E-02 delta:-3.08372332870573E-02 optPrice:1.18877047196792E-04 pvDividend:0 gamma: 1.79769313486232E+308 theta/vega/undPrice: -1.55948639551492E-04-1.01230671509234E-04-1.578</t>
  </si>
  <si>
    <t>2014-11-26 15:52:42.354: RTWSControl  - tickOptionComputation - id:200041 tickType:13 impliedVol:7.16552762461902E-02 delta:0.934000914822854 optPrice:1.32553091763955E-02 pvDividend:0 gamma: 1.79769313486232E+308 theta/vega/undPrice: -2.58863480334313E-04-1.85366698046092E-04-1.578</t>
  </si>
  <si>
    <t>2014-11-26 15:52:42.409: RTWSControl  - tickOptionComputation - id:200043 tickType:13 impliedVol:7.16552762461902E-02 delta:-6.61116101436869E-02 optPrice:2.55495268965926E-04 pvDividend:0 gamma: 1.79769313486232E+308 theta/vega/undPrice: -2.58949404115449E-04-1.85366977258245E-04-1.578</t>
  </si>
  <si>
    <t>2014-11-26 15:52:42.451: RTWSControl  - tickOptionComputation - id:200044 tickType:11 impliedVol:7.35105930483415E-02 delta:0.81664636032506 optPrice:8.89999978244305E-03 pvDividend:0 gamma: 1.79769313486232E+308 theta/vega/undPrice: -5.51507440568818E-04-3.45414380993876E-04-1.578</t>
  </si>
  <si>
    <t>2014-11-26 15:52:42.492: RTWSControl  - tickOptionComputation - id:200044 tickType:13 impliedVol:6.56993432066599E-02 delta:0.842746042772642 optPrice:8.66739262433647E-03 pvDividend:0 gamma: 1.79769313486232E+308 theta/vega/undPrice: -4.44424717496103E-04-2.97784780912143E-04-1.578</t>
  </si>
  <si>
    <t>2014-11-26 15:52:42.534: RTWSControl  - tickOptionComputation - id:200046 tickType:13 impliedVol:6.56993432066599E-02 delta:-0.157366657215114 optPrice:6.67507868022829E-04 pvDividend:0 gamma: 1.79769313486232E+308 theta/vega/undPrice: -4.44478296768979E-04-2.97785070939812E-04-1.578</t>
  </si>
  <si>
    <t>2014-11-26 15:52:42.579: RTWSControl  - tickOptionComputation - id:200045 tickType:13 impliedVol:6.21789565149129E-02 delta:0.654962873036154 optPrice:4.76307894819485E-03 pvDividend:0 gamma: 1.79769313486232E+308 theta/vega/undPrice: -6.45370941146918E-04-4.45619705030255E-04-1.578</t>
  </si>
  <si>
    <t>2014-11-26 15:52:42.621: RTWSControl  - tickOptionComputation - id:200047 tickType:13 impliedVol:6.21789565149129E-02 delta:-0.345150306006904 optPrice:1.76312473081993E-03 pvDividend:0 gamma: 1.79769313486232E+308 theta/vega/undPrice: -6.4539273220128E-04-4.45620347119946E-04-1.578</t>
  </si>
  <si>
    <t>2014-11-26 15:52:42.662: RTWSControl  - tickOptionComputation - id:200055 tickType:11 impliedVol:6.17911633844278E-02 delta:0.395432394429199 optPrice:2.09999992512167E-03 pvDividend:0 gamma: 1.79769313486232E+308 theta/vega/undPrice: -6.75376566551302E-04-4.83520381313053E-04-1.578</t>
  </si>
  <si>
    <t>2014-11-26 15:52:42.702: RTWSControl  - tickOptionComputation - id:200055 tickType:13 impliedVol:6.10941161709349E-02 delta:0.394267394585501 optPrice:2.06632035539048E-03 pvDividend:0 gamma: 1.79769313486232E+308 theta/vega/undPrice: -6.67460477431826E-04-4.83520415794992E-04-1.578</t>
  </si>
  <si>
    <t>2014-11-26 15:52:42.743: RTWSControl  - tickOptionComputation - id:200049 tickType:13 impliedVol:6.84642357037042E-02 delta:0.682224138798603 optPrice:1.15714466136214E-02 pvDividend:0 gamma: 1.79769313486232E+308 theta/vega/undPrice: -3.34610449908019E-04-9.14189274545106E-04-1.578</t>
  </si>
  <si>
    <t>2014-11-26 15:52:42.787: RTWSControl  - tickOptionComputation - id:200050 tickType:13 impliedVol:6.84642357037042E-02 delta:-0.317846067987726 optPrice:3.5719553461979E-03 pvDividend:0 gamma: 1.79769313486232E+308 theta/vega/undPrice: -3.34667566572445E-04-9.14194857225893E-04-1.578</t>
  </si>
  <si>
    <t>2014-11-26 15:52:42.831: RTWSControl  - tickOptionComputation - id:200052 tickType:10 impliedVol:1.79769313486232E+308 delta:1.79769313486232E+308 optPrice:1.79769313486232E+308 pvDividend:0 gamma: 1.79769313486232E+308 theta/vega/undPrice: 1.79769313486232E+308-1.79769313486232E+308-1.578</t>
  </si>
  <si>
    <t>2014-11-26 15:52:42.868: RTWSControl  - tickOptionComputation - id:200052 tickType:11 impliedVol:1.79769313486232E+308 delta:1.79769313486232E+308 optPrice:1.79769313486232E+308 pvDividend:0 gamma: 1.79769313486232E+308 theta/vega/undPrice: 1.79769313486232E+308-1.79769313486232E+308-1.578</t>
  </si>
  <si>
    <t>2014-11-26 15:52:42.909: RTWSControl  - tickOptionComputation - id:200048 tickType:13 impliedVol:8.28100140726633E-02 delta:-3.06632052778865E-02 optPrice:2.51704871502204E-04 pvDividend:0 gamma: 1.79769313486232E+308 theta/vega/undPrice: -7.81453768346527E-05-2.04228907273994E-04-1.578</t>
  </si>
  <si>
    <t>2014-11-26 15:52:42.954: RTWSControl  - tickOptionComputation - id:200053 tickType:10 impliedVol:6.06310950292583E-02 delta:7.37501358381323E-02 optPrice:5.00000023748726E-04 pvDividend:0 gamma: 1.79769313486232E+308 theta/vega/undPrice: -1.16566341512639E-04-4.30480660152796E-04-1.578</t>
  </si>
  <si>
    <t>2014-11-26 15:52:42.995: RTWSControl  - tickOptionComputation - id:200053 tickType:13 impliedVol:6.48599092437383E-02 delta:8.90422020509391E-02 optPrice:6.72336409730242E-04 pvDividend:0 gamma: 1.79769313486232E+308 theta/vega/undPrice: -1.42986101397803E-04-4.47298088796854E-04-1.578</t>
  </si>
  <si>
    <t>2014-11-26 15:52:43.35: RTWSControl  - tickOptionComputation - id:200054 tickType:13 impliedVol:7.19970346927692E-02 delta:1.88205403488942E-03 optPrice:9.97063489402812E-06 pvDividend:0 gamma: 0.333009213481309 theta/vega/undPrice: -5.8865737494244E-06-2.93792716673243E-05-1.578</t>
  </si>
  <si>
    <t>2014-11-26 15:52:43.76: RTWSControl  - tickOptionComputation - id:200054 tickType:10 impliedVol:1.79769313486232E+308 delta:1.79769313486232E+308 optPrice:1.79769313486232E+308 pvDividend:0 gamma: 1.79769313486232E+308 theta/vega/undPrice: 1.79769313486232E+308-1.79769313486232E+308-1.578</t>
  </si>
  <si>
    <t>2014-11-26 15:52:44.548: Algorithm - FindNextStrikes - price is 1.57805 nextStrikeUp/Down 1.58/1.575</t>
  </si>
  <si>
    <t>2014-11-26 15:52:44.548: Algorithm - getPortfolioForwardDelta - required deltas is 4 currentHedgePosition is 6</t>
  </si>
  <si>
    <t>2014-11-26 15:52:44.548: Algorithm - getHedgeShortfall - required deltas is 4 price is 1.57815 currentHedgePositionDeltas is 6</t>
  </si>
  <si>
    <t>2014-11-26 15:52:44.552: Algorithm - processTransitionPoint - nextUpper/LowerStrikes are 1.58/1.575 requiredDeltas/currentPosition/currentHedgeShortfall/direction/transitionPrice are 4/6/-2/1/1.57815</t>
  </si>
  <si>
    <t>2014-11-26 15:52:44.552: TransitionLogger - processTransitionpoint - checking transition - currentHedgeShortfall is -2</t>
  </si>
  <si>
    <t>2014-11-26 15:52:44.553: Algorithm - handleTransition - currentHedgeShortfall is NOT ZERO and AUTOHEDGE IS NOT ENABLED!</t>
  </si>
  <si>
    <t>2014-11-26 15:52:44.553: Algorithm - updatePortfolio - haveAllDetails is True</t>
  </si>
  <si>
    <t>2014-11-26 15:52:44.601: Algorithm - FindNextStrikes - price is 1.57805 nextStrikeUp/Down 1.58/1.575</t>
  </si>
  <si>
    <t>2014-11-26 15:52:44.601: Algorithm - getPortfolioForwardDelta - required deltas is 4 currentHedgePosition is 6</t>
  </si>
  <si>
    <t>2014-11-26 15:52:44.601: Algorithm - getHedgeShortfall - required deltas is 4 price is 1.57815 currentHedgePositionDeltas is 6</t>
  </si>
  <si>
    <t>2014-11-26 15:52:44.601: Algorithm - processTransitionPoint - nextUpper/LowerStrikes are 1.58/1.575 requiredDeltas/currentPosition/currentHedgeShortfall/direction/transitionPrice are 4/6/-2/1/1.57815</t>
  </si>
  <si>
    <t>2014-11-26 15:52:44.602: TransitionLogger - processTransitionpoint - checking transition - currentHedgeShortfall is -2</t>
  </si>
  <si>
    <t>2014-11-26 15:52:44.602: Algorithm - handleTransition - currentHedgeShortfall is NOT ZERO and AUTOHEDGE IS NOT ENABLED!</t>
  </si>
  <si>
    <t>2014-11-26 15:52:44.603: Algorithm - updatePortfolio - haveAllDetails is True</t>
  </si>
  <si>
    <t>2014-11-26 15:52:44.675: Algorithm - FindNextStrikes - price is 1.57805 nextStrikeUp/Down 1.58/1.575</t>
  </si>
  <si>
    <t>2014-11-26 15:52:44.675: Algorithm - getPortfolioForwardDelta - required deltas is 4 currentHedgePosition is 6</t>
  </si>
  <si>
    <t>2014-11-26 15:52:44.675: Algorithm - getHedgeShortfall - required deltas is 4 price is 1.57815 currentHedgePositionDeltas is 6</t>
  </si>
  <si>
    <t>2014-11-26 15:52:44.675: Algorithm - processTransitionPoint - nextUpper/LowerStrikes are 1.58/1.575 requiredDeltas/currentPosition/currentHedgeShortfall/direction/transitionPrice are 4/6/-2/1/1.57815</t>
  </si>
  <si>
    <t>2014-11-26 15:52:44.679: TransitionLogger - processTransitionpoint - checking transition - currentHedgeShortfall is -2</t>
  </si>
  <si>
    <t>2014-11-26 15:52:44.680: Algorithm - handleTransition - currentHedgeShortfall is NOT ZERO and AUTOHEDGE IS NOT ENABLED!</t>
  </si>
  <si>
    <t>2014-11-26 15:52:44.680: Algorithm - updatePortfolio - haveAllDetails is True</t>
  </si>
  <si>
    <t>2014-11-26 15:52:44.712: Algorithm - FindNextStrikes - price is 1.57805 nextStrikeUp/Down 1.58/1.575</t>
  </si>
  <si>
    <t>2014-11-26 15:52:44.712: Algorithm - getPortfolioForwardDelta - required deltas is 4 currentHedgePosition is 6</t>
  </si>
  <si>
    <t>2014-11-26 15:52:44.712: Algorithm - getHedgeShortfall - required deltas is 4 price is 1.57815 currentHedgePositionDeltas is 6</t>
  </si>
  <si>
    <t>2014-11-26 15:52:44.712: Algorithm - processTransitionPoint - nextUpper/LowerStrikes are 1.58/1.575 requiredDeltas/currentPosition/currentHedgeShortfall/direction/transitionPrice are 4/6/-2/1/1.57815</t>
  </si>
  <si>
    <t>2014-11-26 15:52:44.713: TransitionLogger - processTransitionpoint - checking transition - currentHedgeShortfall is -2</t>
  </si>
  <si>
    <t>2014-11-26 15:52:44.713: Algorithm - handleTransition - currentHedgeShortfall is NOT ZERO and AUTOHEDGE IS NOT ENABLED!</t>
  </si>
  <si>
    <t>2014-11-26 15:52:44.714: Algorithm - updatePortfolio - haveAllDetails is True</t>
  </si>
  <si>
    <t>2014-11-26 15:52:44.754: Algorithm - FindNextStrikes - price is 1.57805 nextStrikeUp/Down 1.58/1.575</t>
  </si>
  <si>
    <t>2014-11-26 15:52:44.754: Algorithm - getPortfolioForwardDelta - required deltas is 4 currentHedgePosition is 6</t>
  </si>
  <si>
    <t>2014-11-26 15:52:44.754: Algorithm - getHedgeShortfall - required deltas is 4 price is 1.57815 currentHedgePositionDeltas is 6</t>
  </si>
  <si>
    <t>2014-11-26 15:52:44.754: Algorithm - processTransitionPoint - nextUpper/LowerStrikes are 1.58/1.575 requiredDeltas/currentPosition/currentHedgeShortfall/direction/transitionPrice are 4/6/-2/1/1.57815</t>
  </si>
  <si>
    <t>2014-11-26 15:52:44.755: TransitionLogger - processTransitionpoint - checking transition - currentHedgeShortfall is -2</t>
  </si>
  <si>
    <t>2014-11-26 15:52:44.758: Algorithm - handleTransition - currentHedgeShortfall is NOT ZERO and AUTOHEDGE IS NOT ENABLED!</t>
  </si>
  <si>
    <t>2014-11-26 15:52:44.759: Algorithm - updatePortfolio - haveAllDetails is True</t>
  </si>
  <si>
    <t>2014-11-26 15:52:44.820: Algorithm - FindNextStrikes - price is 1.57805 nextStrikeUp/Down 1.58/1.575</t>
  </si>
  <si>
    <t>2014-11-26 15:52:44.820: Algorithm - getPortfolioForwardDelta - required deltas is 4 currentHedgePosition is 6</t>
  </si>
  <si>
    <t>2014-11-26 15:52:44.820: Algorithm - getHedgeShortfall - required deltas is 4 price is 1.57815 currentHedgePositionDeltas is 6</t>
  </si>
  <si>
    <t>2014-11-26 15:52:44.820: Algorithm - processTransitionPoint - nextUpper/LowerStrikes are 1.58/1.575 requiredDeltas/currentPosition/currentHedgeShortfall/direction/transitionPrice are 4/6/-2/1/1.57815</t>
  </si>
  <si>
    <t>2014-11-26 15:52:44.821: TransitionLogger - processTransitionpoint - checking transition - currentHedgeShortfall is -2</t>
  </si>
  <si>
    <t>2014-11-26 15:52:44.821: Algorithm - handleTransition - currentHedgeShortfall is NOT ZERO and AUTOHEDGE IS NOT ENABLED!</t>
  </si>
  <si>
    <t>2014-11-26 15:52:44.822: Algorithm - updatePortfolio - haveAllDetails is True</t>
  </si>
  <si>
    <t>2014-11-26 15:52:44.872: Algorithm - FindNextStrikes - price is 1.57805 nextStrikeUp/Down 1.58/1.575</t>
  </si>
  <si>
    <t>2014-11-26 15:52:44.872: Algorithm - getPortfolioForwardDelta - required deltas is 4 currentHedgePosition is 6</t>
  </si>
  <si>
    <t>2014-11-26 15:52:44.873: Algorithm - getHedgeShortfall - required deltas is 4 price is 1.57815 currentHedgePositionDeltas is 6</t>
  </si>
  <si>
    <t>2014-11-26 15:52:44.873: Algorithm - processTransitionPoint - nextUpper/LowerStrikes are 1.58/1.575 requiredDeltas/currentPosition/currentHedgeShortfall/direction/transitionPrice are 4/6/-2/1/1.57815</t>
  </si>
  <si>
    <t>2014-11-26 15:52:44.874: TransitionLogger - processTransitionpoint - checking transition - currentHedgeShortfall is -2</t>
  </si>
  <si>
    <t>2014-11-26 15:52:44.874: Algorithm - handleTransition - currentHedgeShortfall is NOT ZERO and AUTOHEDGE IS NOT ENABLED!</t>
  </si>
  <si>
    <t>2014-11-26 15:52:44.878: Algorithm - updatePortfolio - haveAllDetails is True</t>
  </si>
  <si>
    <t>2014-11-26 15:52:44.921: Algorithm - FindNextStrikes - price is 1.57805 nextStrikeUp/Down 1.58/1.575</t>
  </si>
  <si>
    <t>2014-11-26 15:52:44.922: Algorithm - getPortfolioForwardDelta - required deltas is 4 currentHedgePosition is 6</t>
  </si>
  <si>
    <t>2014-11-26 15:52:44.922: Algorithm - getHedgeShortfall - required deltas is 4 price is 1.57815 currentHedgePositionDeltas is 6</t>
  </si>
  <si>
    <t>2014-11-26 15:52:44.922: Algorithm - processTransitionPoint - nextUpper/LowerStrikes are 1.58/1.575 requiredDeltas/currentPosition/currentHedgeShortfall/direction/transitionPrice are 4/6/-2/1/1.57815</t>
  </si>
  <si>
    <t>2014-11-26 15:52:44.922: TransitionLogger - processTransitionpoint - checking transition - currentHedgeShortfall is -2</t>
  </si>
  <si>
    <t>2014-11-26 15:52:44.923: Algorithm - handleTransition - currentHedgeShortfall is NOT ZERO and AUTOHEDGE IS NOT ENABLED!</t>
  </si>
  <si>
    <t>2014-11-26 15:52:44.923: Algorithm - updatePortfolio - haveAllDetails is True</t>
  </si>
  <si>
    <t>2014-11-26 15:52:44.960: Algorithm - FindNextStrikes - price is 1.57805 nextStrikeUp/Down 1.58/1.575</t>
  </si>
  <si>
    <t>2014-11-26 15:52:44.960: Algorithm - getPortfolioForwardDelta - required deltas is 4 currentHedgePosition is 6</t>
  </si>
  <si>
    <t>2014-11-26 15:52:44.960: Algorithm - getHedgeShortfall - required deltas is 4 price is 1.57815 currentHedgePositionDeltas is 6</t>
  </si>
  <si>
    <t>2014-11-26 15:52:44.961: Algorithm - processTransitionPoint - nextUpper/LowerStrikes are 1.58/1.575 requiredDeltas/currentPosition/currentHedgeShortfall/direction/transitionPrice are 4/6/-2/1/1.57815</t>
  </si>
  <si>
    <t>2014-11-26 15:52:44.961: TransitionLogger - processTransitionpoint - checking transition - currentHedgeShortfall is -2</t>
  </si>
  <si>
    <t>2014-11-26 15:52:44.961: Algorithm - handleTransition - currentHedgeShortfall is NOT ZERO and AUTOHEDGE IS NOT ENABLED!</t>
  </si>
  <si>
    <t>2014-11-26 15:52:44.962: Algorithm - updatePortfolio - haveAllDetails is True</t>
  </si>
  <si>
    <t>2014-11-26 15:52:44.994: Algorithm - FindNextStrikes - price is 1.57805 nextStrikeUp/Down 1.58/1.575</t>
  </si>
  <si>
    <t>2014-11-26 15:52:44.997: Algorithm - getPortfolioForwardDelta - required deltas is 4 currentHedgePosition is 6</t>
  </si>
  <si>
    <t>2014-11-26 15:52:44.997: Algorithm - getHedgeShortfall - required deltas is 4 price is 1.57815 currentHedgePositionDeltas is 6</t>
  </si>
  <si>
    <t>2014-11-26 15:52:44.998: Algorithm - processTransitionPoint - nextUpper/LowerStrikes are 1.58/1.575 requiredDeltas/currentPosition/currentHedgeShortfall/direction/transitionPrice are 4/6/-2/1/1.57815</t>
  </si>
  <si>
    <t>2014-11-26 15:52:44.998: TransitionLogger - processTransitionpoint - checking transition - currentHedgeShortfall is -2</t>
  </si>
  <si>
    <t>2014-11-26 15:52:44.998: Algorithm - handleTransition - currentHedgeShortfall is NOT ZERO and AUTOHEDGE IS NOT ENABLED!</t>
  </si>
  <si>
    <t>2014-11-26 15:52:44.999: Algorithm - updatePortfolio - haveAllDetails is True</t>
  </si>
  <si>
    <t>2014-11-26 15:52:45.37: Algorithm - FindNextStrikes - price is 1.57805 nextStrikeUp/Down 1.58/1.575</t>
  </si>
  <si>
    <t>2014-11-26 15:52:45.37: Algorithm - getPortfolioForwardDelta - required deltas is 4 currentHedgePosition is 6</t>
  </si>
  <si>
    <t>2014-11-26 15:52:45.38: Algorithm - getHedgeShortfall - required deltas is 4 price is 1.57815 currentHedgePositionDeltas is 6</t>
  </si>
  <si>
    <t>2014-11-26 15:52:45.38: Algorithm - processTransitionPoint - nextUpper/LowerStrikes are 1.58/1.575 requiredDeltas/currentPosition/currentHedgeShortfall/direction/transitionPrice are 4/6/-2/1/1.57815</t>
  </si>
  <si>
    <t>2014-11-26 15:52:45.38: TransitionLogger - processTransitionpoint - checking transition - currentHedgeShortfall is -2</t>
  </si>
  <si>
    <t>2014-11-26 15:52:45.38: Algorithm - handleTransition - currentHedgeShortfall is NOT ZERO and AUTOHEDGE IS NOT ENABLED!</t>
  </si>
  <si>
    <t>2014-11-26 15:52:45.39: Algorithm - updatePortfolio - haveAllDetails is True</t>
  </si>
  <si>
    <t>2014-11-26 15:52:45.79: Algorithm - FindNextStrikes - price is 1.57805 nextStrikeUp/Down 1.58/1.575</t>
  </si>
  <si>
    <t>2014-11-26 15:52:45.80: Algorithm - getPortfolioForwardDelta - required deltas is 4 currentHedgePosition is 6</t>
  </si>
  <si>
    <t>2014-11-26 15:52:45.80: Algorithm - getHedgeShortfall - required deltas is 4 price is 1.57815 currentHedgePositionDeltas is 6</t>
  </si>
  <si>
    <t>2014-11-26 15:52:45.83: Algorithm - processTransitionPoint - nextUpper/LowerStrikes are 1.58/1.575 requiredDeltas/currentPosition/currentHedgeShortfall/direction/transitionPrice are 4/6/-2/1/1.57815</t>
  </si>
  <si>
    <t>2014-11-26 15:52:45.84: TransitionLogger - processTransitionpoint - checking transition - currentHedgeShortfall is -2</t>
  </si>
  <si>
    <t>2014-11-26 15:52:45.84: Algorithm - handleTransition - currentHedgeShortfall is NOT ZERO and AUTOHEDGE IS NOT ENABLED!</t>
  </si>
  <si>
    <t>2014-11-26 15:52:45.84: Algorithm - updatePortfolio - haveAllDetails is True</t>
  </si>
  <si>
    <t>2014-11-26 15:52:45.122: Algorithm - FindNextStrikes - price is 1.57805 nextStrikeUp/Down 1.58/1.575</t>
  </si>
  <si>
    <t>2014-11-26 15:52:45.122: Algorithm - getPortfolioForwardDelta - required deltas is 4 currentHedgePosition is 6</t>
  </si>
  <si>
    <t>2014-11-26 15:52:45.122: Algorithm - getHedgeShortfall - required deltas is 4 price is 1.57815 currentHedgePositionDeltas is 6</t>
  </si>
  <si>
    <t>2014-11-26 15:52:45.122: Algorithm - processTransitionPoint - nextUpper/LowerStrikes are 1.58/1.575 requiredDeltas/currentPosition/currentHedgeShortfall/direction/transitionPrice are 4/6/-2/1/1.57815</t>
  </si>
  <si>
    <t>2014-11-26 15:52:45.123: TransitionLogger - processTransitionpoint - checking transition - currentHedgeShortfall is -2</t>
  </si>
  <si>
    <t>2014-11-26 15:52:45.123: Algorithm - handleTransition - currentHedgeShortfall is NOT ZERO and AUTOHEDGE IS NOT ENABLED!</t>
  </si>
  <si>
    <t>2014-11-26 15:52:45.123: Algorithm - updatePortfolio - haveAllDetails is True</t>
  </si>
  <si>
    <t>2014-11-26 15:52:45.169: Algorithm - FindNextStrikes - price is 1.57805 nextStrikeUp/Down 1.58/1.575</t>
  </si>
  <si>
    <t>2014-11-26 15:52:45.170: Algorithm - getPortfolioForwardDelta - required deltas is 4 currentHedgePosition is 6</t>
  </si>
  <si>
    <t>2014-11-26 15:52:45.170: Algorithm - getHedgeShortfall - required deltas is 4 price is 1.57815 currentHedgePositionDeltas is 6</t>
  </si>
  <si>
    <t>2014-11-26 15:52:45.170: Algorithm - processTransitionPoint - nextUpper/LowerStrikes are 1.58/1.575 requiredDeltas/currentPosition/currentHedgeShortfall/direction/transitionPrice are 4/6/-2/1/1.57815</t>
  </si>
  <si>
    <t>2014-11-26 15:52:45.174: TransitionLogger - processTransitionpoint - checking transition - currentHedgeShortfall is -2</t>
  </si>
  <si>
    <t>2014-11-26 15:52:45.174: Algorithm - handleTransition - currentHedgeShortfall is NOT ZERO and AUTOHEDGE IS NOT ENABLED!</t>
  </si>
  <si>
    <t>2014-11-26 15:52:45.175: Algorithm - updatePortfolio - haveAllDetails is True</t>
  </si>
  <si>
    <t>2014-11-26 15:52:45.210: Algorithm - FindNextStrikes - price is 1.57805 nextStrikeUp/Down 1.58/1.575</t>
  </si>
  <si>
    <t>2014-11-26 15:52:45.211: Algorithm - getPortfolioForwardDelta - required deltas is 4 currentHedgePosition is 6</t>
  </si>
  <si>
    <t>2014-11-26 15:52:45.211: Algorithm - getHedgeShortfall - required deltas is 4 price is 1.57815 currentHedgePositionDeltas is 6</t>
  </si>
  <si>
    <t>2014-11-26 15:52:45.211: Algorithm - processTransitionPoint - nextUpper/LowerStrikes are 1.58/1.575 requiredDeltas/currentPosition/currentHedgeShortfall/direction/transitionPrice are 4/6/-2/1/1.57815</t>
  </si>
  <si>
    <t>2014-11-26 15:52:45.211: TransitionLogger - processTransitionpoint - checking transition - currentHedgeShortfall is -2</t>
  </si>
  <si>
    <t>2014-11-26 15:52:45.212: Algorithm - handleTransition - currentHedgeShortfall is NOT ZERO and AUTOHEDGE IS NOT ENABLED!</t>
  </si>
  <si>
    <t>2014-11-26 15:52:45.212: Algorithm - updatePortfolio - haveAllDetails is True</t>
  </si>
  <si>
    <t>2014-11-26 15:52:45.248: Algorithm - FindNextStrikes - price is 1.57805 nextStrikeUp/Down 1.58/1.575</t>
  </si>
  <si>
    <t>2014-11-26 15:52:45.248: Algorithm - getPortfolioForwardDelta - required deltas is 4 currentHedgePosition is 6</t>
  </si>
  <si>
    <t>2014-11-26 15:52:45.248: Algorithm - getHedgeShortfall - required deltas is 4 price is 1.57815 currentHedgePositionDeltas is 6</t>
  </si>
  <si>
    <t>2014-11-26 15:52:45.248: Algorithm - processTransitionPoint - nextUpper/LowerStrikes are 1.58/1.575 requiredDeltas/currentPosition/currentHedgeShortfall/direction/transitionPrice are 4/6/-2/1/1.57815</t>
  </si>
  <si>
    <t>2014-11-26 15:52:45.249: TransitionLogger - processTransitionpoint - checking transition - currentHedgeShortfall is -2</t>
  </si>
  <si>
    <t>2014-11-26 15:52:45.252: Algorithm - handleTransition - currentHedgeShortfall is NOT ZERO and AUTOHEDGE IS NOT ENABLED!</t>
  </si>
  <si>
    <t>2014-11-26 15:52:45.253: Algorithm - updatePortfolio - haveAllDetails is True</t>
  </si>
  <si>
    <t>2014-11-26 15:52:45.358: RTWSControl  - tickOptionComputation - id:200047 tickType:11 impliedVol:0.063006461400996 delta:-0.347002303525576 optPrice:1.79999996908009E-03 pvDividend:0 gamma: 1.79769313486232E+308 theta/vega/undPrice: -6.55439584462957E-04-4.4562031075758E-04-1.578</t>
  </si>
  <si>
    <t>2014-11-26 15:52:45.528: DirectionIndicator - notify - price/longMA/ShortMA/prevDirection are 1.5781/1.57800907919742/1.57803591325955/1</t>
  </si>
  <si>
    <t>2014-11-26 15:52:45.529: Algorithm - handleTransition - currentHedgeShortfall is NOT ZERO and AUTOHEDGE IS NOT ENABLED!</t>
  </si>
  <si>
    <t>2014-11-26 15:52:45.571: DirectionIndicator - notify - price/longMA/ShortMA/prevDirection are 1.57815/1.57803470116152/1.57807394217303/1</t>
  </si>
  <si>
    <t>2014-11-26 15:52:45.571: Algorithm - handleTransition - currentHedgeShortfall is NOT ZERO and AUTOHEDGE IS NOT ENABLED!</t>
  </si>
  <si>
    <t>2014-11-26 15:52:46.528: RTWSControl  - tickOptionComputation - id:200042 tickType:13 impliedVol:7.97827922074958E-02 delta:-2.96515800715369E-02 optPrice:1.13335569355519E-04 pvDividend:0 gamma: 1.79769313486232E+308 theta/vega/undPrice: -1.50463810739733E-04-9.70845193244753E-05-1.5781</t>
  </si>
  <si>
    <t>2014-11-26 15:52:46.579: RTWSControl  - tickOptionComputation - id:200042 tickType:10 impliedVol:8.90414277462018E-02 delta:-4.44858473193391E-02 optPrice:1.99999994947575E-04 pvDividend:0 gamma: 1.79769313486232E+308 theta/vega/undPrice: -2.36011335786567E-04-1.43303831601216E-04-1.5781</t>
  </si>
  <si>
    <t>2014-11-26 15:52:46.621: RTWSControl  - tickOptionComputation - id:200042 tickType:11 impliedVol:8.90414277462018E-02 delta:-4.44858473193391E-02 optPrice:1.99999994947575E-04 pvDividend:0 gamma: 1.79769313486232E+308 theta/vega/undPrice: -2.36011335786567E-04-1.43303831601216E-04-1.5781</t>
  </si>
  <si>
    <t>2014-11-26 15:52:46.667: RTWSControl  - tickOptionComputation - id:200041 tickType:13 impliedVol:7.15286564113029E-02 delta:0.935667094401397 optPrice:0.013347577041438 pvDividend:0 gamma: 1.79769313486232E+308 theta/vega/undPrice: -2.53111585142028E-04-1.80295305638546E-04-1.5781</t>
  </si>
  <si>
    <t>2014-11-26 15:52:46.710: RTWSControl  - tickOptionComputation - id:200041 tickType:10 impliedVol:5.96981340950081E-02 delta:0.965642395668557 optPrice:1.31999999284744E-02 pvDividend:0 gamma: 1.79769313486232E+308 theta/vega/undPrice: -1.27254404790066E-04-1.21454983694069E-04-1.5781</t>
  </si>
  <si>
    <t>2014-11-26 15:52:46.754: RTWSControl  - tickOptionComputation - id:200041 tickType:11 impliedVol:0.080192050372094 delta:0.912419581499093 optPrice:1.35000003501773E-02 pvDividend:0 gamma: 1.79769313486232E+308 theta/vega/undPrice: -3.58796248180867E-04-2.15300060605109E-04-1.5781</t>
  </si>
  <si>
    <t>2014-11-26 15:52:46.825: RTWSControl  - tickOptionComputation - id:200043 tickType:13 impliedVol:7.15286564113029E-02 delta:-6.44454293482921E-02 optPrice:2.4776455882561E-04 pvDividend:0 gamma: 1.79769313486232E+308 theta/vega/undPrice: -2.5319816117034E-04-1.80295580509186E-04-1.5781</t>
  </si>
  <si>
    <t>2014-11-26 15:52:46.870: RTWSControl  - tickOptionComputation - id:200043 tickType:10 impliedVol:0.059627513947772 delta:-0.034188917452041 optPrice:9.99999974737875E-05 pvDividend:0 gamma: 1.79769313486232E+308 theta/vega/undPrice: -1.26704555557823E-04-1.21062745341003E-04-1.5781</t>
  </si>
  <si>
    <t>2014-11-26 15:52:46.913: RTWSControl  - tickOptionComputation - id:200043 tickType:11 impliedVol:7.51679036819762E-02 delta:-7.30437782589851E-02 optPrice:3.00000014249235E-04 pvDividend:0 gamma: 1.79769313486232E+308 theta/vega/undPrice: -2.94912749005922E-04-2.06413222882031E-04-1.5781</t>
  </si>
  <si>
    <t>2014-11-26 15:52:46.961: RTWSControl  - tickOptionComputation - id:200044 tickType:13 impliedVol:6.58167780461554E-02 delta:0.845362656165634 optPrice:8.75483882313453E-03 pvDividend:0 gamma: 1.79769313486232E+308 theta/vega/undPrice: -4.40360248623108E-04-2.97794211348255E-04-1.5781</t>
  </si>
  <si>
    <t>2014-11-26 15:52:47.2: RTWSControl  - tickOptionComputation - id:200044 tickType:10 impliedVol:6.39752826241134E-02 delta:0.852374606469735 optPrice:8.70000012218952E-03 pvDividend:0 gamma: 1.79769313486232E+308 theta/vega/undPrice: -4.15114765427052E-04-2.97794267510232E-04-1.5781</t>
  </si>
  <si>
    <t>2014-11-26 15:52:47.45: RTWSControl  - tickOptionComputation - id:200044 tickType:11 impliedVol:0.074049334560354 delta:0.817770662594284 optPrice:8.99999961256981E-03 pvDividend:0 gamma: 1.79769313486232E+308 theta/vega/undPrice: -5.53222141171748E-04-3.41938363952262E-04-1.5781</t>
  </si>
  <si>
    <t>2014-11-26 15:52:47.116: RTWSControl  - tickOptionComputation - id:200046 tickType:13 impliedVol:6.58167780461554E-02 delta:-0.154750041085538 optPrice:6.54955487111413E-04 pvDividend:0 gamma: 1.79769313486232E+308 theta/vega/undPrice: -4.40414479305105E-04-2.97794500840299E-04-1.5781</t>
  </si>
  <si>
    <t>2014-11-26 15:52:47.163: RTWSControl  - tickOptionComputation - id:200046 tickType:10 impliedVol:6.39611404085571E-02 delta:-0.147555362967626 optPrice:6.00000028498471E-04 pvDividend:0 gamma: 1.79769313486232E+308 theta/vega/undPrice: -4.14975068794606E-04-2.97794556930982E-04-1.5781</t>
  </si>
  <si>
    <t>2014-11-26 15:52:47.205: RTWSControl  - tickOptionComputation - id:200046 tickType:11 impliedVol:7.06573020721916E-02 delta:-0.171669009174949 optPrice:7.999999797903E-04 pvDividend:0 gamma: 1.79769313486232E+308 theta/vega/undPrice: -5.06774416638422E-04-3.14390367282623E-04-1.5781</t>
  </si>
  <si>
    <t>2014-11-26 15:52:47.250: RTWSControl  - tickOptionComputation - id:200045 tickType:13 impliedVol:6.26471571120533E-02 delta:0.658684709149838 optPrice:4.85043989338446E-03 pvDividend:0 gamma: 1.79769313486232E+308 theta/vega/undPrice: -6.47427724720999E-04-4.45633801769864E-04-1.5781</t>
  </si>
  <si>
    <t>2014-11-26 15:52:47.294: RTWSControl  - tickOptionComputation - id:200045 tickType:10 impliedVol:6.15174584785807E-02 delta:0.661320472611008 optPrice:4.80000022798777E-03 pvDividend:0 gamma: 1.79769313486232E+308 theta/vega/undPrice: -6.33711506598874E-04-4.45633852073666E-04-1.5781</t>
  </si>
  <si>
    <t>2014-11-26 15:52:47.340: RTWSControl  - tickOptionComputation - id:200045 tickType:11 impliedVol:6.60236345082258E-02 delta:0.651032555907894 optPrice:4.99999988824129E-03 pvDividend:0 gamma: 1.79769313486232E+308 theta/vega/undPrice: -6.88423148540868E-04-4.45633647181539E-04-1.5781</t>
  </si>
  <si>
    <t>2014-11-26 15:52:47.408: RTWSControl  - tickOptionComputation - id:200047 tickType:13 impliedVol:6.26471571120533E-02 delta:-0.341428463854685 optPrice:1.75048709955534E-03 pvDividend:0 gamma: 1.79769313486232E+308 theta/vega/undPrice: -6.4745017565568E-04-4.45634442711432E-04-1.5781</t>
  </si>
  <si>
    <t>2014-11-26 15:52:47.454: RTWSControl  - tickOptionComputation - id:200047 tickType:10 impliedVol:6.15142372524963E-02 delta:-0.338658339727366 optPrice:1.70000002253801E-03 pvDividend:0 gamma: 1.79769313486232E+308 theta/vega/undPrice: -6.33694800053778E-04-4.45634492498464E-04-1.5781</t>
  </si>
  <si>
    <t>2014-11-26 15:52:47.496: RTWSControl  - tickOptionComputation - id:200047 tickType:11 impliedVol:0.063758224184448 delta:-0.343964967168429 optPrice:1.79999996908009E-03 pvDividend:0 gamma: 1.79769313486232E+308 theta/vega/undPrice: -6.60940221325032E-04-4.45634393254877E-04-1.5781</t>
  </si>
  <si>
    <t>2014-11-26 15:52:47.543: RTWSControl  - tickOptionComputation - id:200055 tickType:13 impliedVol:6.20197936090534E-02 delta:0.401137899465406 optPrice:2.15555935107861E-03 pvDividend:0 gamma: 1.79769313486232E+308 theta/vega/undPrice: -6.79313590737231E-04-4.83535686495314E-04-1.5781</t>
  </si>
  <si>
    <t>2014-11-26 15:52:47.583: RTWSControl  - tickOptionComputation - id:200055 tickType:10 impliedVol:6.08707699388705E-02 delta:0.399184021458309 optPrice:2.09999992512167E-03 pvDividend:0 gamma: 1.79769313486232E+308 theta/vega/undPrice: -6.66264170685149E-04-4.83535743241999E-04-1.5781</t>
  </si>
  <si>
    <t>2014-11-26 15:52:47.626: RTWSControl  - tickOptionComputation - id:200055 tickType:11 impliedVol:6.29388698623744E-02 delta:0.402559907862442 optPrice:2.19999998807907E-03 pvDividend:0 gamma: 1.79769313486232E+308 theta/vega/undPrice: -6.89751503395506E-04-4.83535640419549E-04-1.5781</t>
  </si>
  <si>
    <t>2014-11-26 15:52:47.696: RTWSControl  - tickOptionComputation - id:200049 tickType:13 impliedVol:6.86733894391001E-02 delta:0.683835948196719 optPrice:1.16571719095936E-02 pvDividend:0 gamma: 1.79769313486232E+308 theta/vega/undPrice: -3.34991788757783E-04-9.14218152527084E-04-1.5781</t>
  </si>
  <si>
    <t>2014-11-26 15:52:47.745: RTWSControl  - tickOptionComputation - id:200049 tickType:10 impliedVol:6.80480267138263E-02 delta:0.685318935346791 optPrice:1.15999998524785E-02 pvDividend:0 gamma: 1.79769313486232E+308 theta/vega/undPrice: -3.31303215670133E-04-9.14218423323329E-04-1.5781</t>
  </si>
  <si>
    <t>2014-11-26 15:52:47.789: RTWSControl  - tickOptionComputation - id:200049 tickType:11 impliedVol:7.13369669501827E-02 delta:0.677376531501751 optPrice:1.19000002741814E-02 pvDividend:0 gamma: 1.79769313486232E+308 theta/vega/undPrice: -3.50702321225594E-04-9.14216977993279E-04-1.5781</t>
  </si>
  <si>
    <t>2014-11-26 15:52:47.835: RTWSControl  - tickOptionComputation - id:200050 tickType:13 impliedVol:6.86733894391001E-02 delta:-0.316234247483031 optPrice:3.55768664311897E-03 pvDividend:0 gamma: 1.79769313486232E+308 theta/vega/undPrice: -3.35049563891544E-04-9.14223730803762E-04-1.5781</t>
  </si>
  <si>
    <t>2014-11-26 15:52:47.875: RTWSControl  - tickOptionComputation - id:200050 tickType:10 impliedVol:6.80424017321515E-02 delta:-0.314610546094418 optPrice:3.50000010803342E-03 pvDividend:0 gamma: 1.79769313486232E+308 theta/vega/undPrice: -3.31327758667705E-04-9.14224000022556E-04-1.5781</t>
  </si>
  <si>
    <t>2014-11-26 15:52:47.918: RTWSControl  - tickOptionComputation - id:200050 tickType:11 impliedVol:7.02385070507813E-02 delta:-0.319998304795888 optPrice:3.70000000111759E-03 pvDividend:0 gamma: 1.79769313486232E+308 theta/vega/undPrice: -3.44281210377687E-04-9.1422305473503E-04-1.5781</t>
  </si>
  <si>
    <t>2014-11-26 15:52:47.987: RTWSControl  - tickOptionComputation - id:200051 tickType:13 impliedVol:7.13261685914226E-02 delta:-0.320640065348345 optPrice:3.69977295219347E-03 pvDividend:0 gamma: 1.79769313486232E+308 theta/vega/undPrice: -3.52099454376336E-04-8.85056506196833E-04-1.5781</t>
  </si>
  <si>
    <t>2014-11-26 15:52:48.35: RTWSControl  - tickOptionComputation - id:200051 tickType:10 impliedVol:6.79210759694834E-02 delta:-0.312478983185277 optPrice:3.40000004507601E-03 pvDividend:0 gamma: 1.79769313486232E+308 theta/vega/undPrice: -3.31659159724517E-04-8.75469960966038E-04-1.5781</t>
  </si>
  <si>
    <t>2014-11-26 15:52:48.77: RTWSControl  - tickOptionComputation - id:200051 tickType:11 impliedVol:7.01911368474131E-02 delta:-0.317971600854451 optPrice:3.59999993816018E-03 pvDividend:0 gamma: 1.79769313486232E+308 theta/vega/undPrice: -3.4530165694735E-04-8.82004274127649E-04-1.5781</t>
  </si>
  <si>
    <t>2014-11-26 15:52:48.123: RTWSControl  - tickOptionComputation - id:200052 tickType:13 impliedVol:0.118779698097036 delta:-0.522099467736652 optPrice:1.26995468579967E-02 pvDividend:0 gamma: 1.79769313486232E+308 theta/vega/undPrice: -6.52554787897982E-04-9.85042332771775E-04-1.5781</t>
  </si>
  <si>
    <t>2014-11-26 15:52:48.167: RTWSControl  - tickOptionComputation - id:200052 tickType:10 impliedVol:1.79769313486232E+308 delta:1.79769313486232E+308 optPrice:1.79769313486232E+308 pvDividend:0 gamma: 1.79769313486232E+308 theta/vega/undPrice: 1.79769313486232E+308-1.79769313486232E+308-1.5781</t>
  </si>
  <si>
    <t>2014-11-26 15:52:48.204: RTWSControl  - tickOptionComputation - id:200052 tickType:11 impliedVol:1.79769313486232E+308 delta:1.79769313486232E+308 optPrice:1.79769313486232E+308 pvDividend:0 gamma: 1.79769313486232E+308 theta/vega/undPrice: 1.79769313486232E+308-1.79769313486232E+308-1.5781</t>
  </si>
  <si>
    <t>2014-11-26 15:52:48.244: RTWSControl  - tickOptionComputation - id:200048 tickType:13 impliedVol:8.28419058098753E-02 delta:-3.03683874520695E-02 optPrice:2.49078825647817E-04 pvDividend:0 gamma: 1.79769313486232E+308 theta/vega/undPrice: -7.75535147138111E-05-2.01928893787018E-04-1.5781</t>
  </si>
  <si>
    <t>2014-11-26 15:52:48.293: RTWSControl  - tickOptionComputation - id:200048 tickType:10 impliedVol:8.01273430840441E-02 delta:-2.58608643957424E-02 optPrice:1.99999994947575E-04 pvDividend:0 gamma: 1.79769313486232E+308 theta/vega/undPrice: -6.57488347867332E-05-1.79312113527217E-04-1.5781</t>
  </si>
  <si>
    <t>2014-11-26 15:52:48.339: RTWSControl  - tickOptionComputation - id:200048 tickType:11 impliedVol:8.56784689802184E-02 delta:-3.47646799491985E-02 optPrice:3.00000014249235E-04 pvDividend:0 gamma: 1.79769313486232E+308 theta/vega/undPrice: -8.98887055980778E-05-2.34052490401421E-04-1.5781</t>
  </si>
  <si>
    <t>2014-11-26 15:52:48.409: RTWSControl  - tickOptionComputation - id:200053 tickType:13 impliedVol:6.47292761259788E-02 delta:8.96591830262368E-02 optPrice:6.76715934898069E-04 pvDividend:0 gamma: 1.79769313486232E+308 theta/vega/undPrice: -1.43411496842218E-04-4.47312288760031E-04-1.5781</t>
  </si>
  <si>
    <t>2014-11-26 15:52:48.452: RTWSControl  - tickOptionComputation - id:200053 tickType:10 impliedVol:6.04298012122296E-02 delta:0.073964359288414 optPrice:5.00000023748726E-04 pvDividend:0 gamma: 1.79769313486232E+308 theta/vega/undPrice: -1.16466315161237E-04-4.31707640044815E-04-1.5781</t>
  </si>
  <si>
    <t>2014-11-26 15:52:48.494: RTWSControl  - tickOptionComputation - id:200053 tickType:11 impliedVol:0.065233862763116 delta:9.15126877624424E-02 optPrice:6.99999975040555E-04 pvDividend:0 gamma: 1.79769313486232E+308 theta/vega/undPrice: -1.46675640505342E-04-4.47312191390213E-04-1.5781</t>
  </si>
  <si>
    <t>2014-11-26 15:52:48.540: RTWSControl  - tickOptionComputation - id:200054 tickType:13 impliedVol:7.10095658705008E-02 delta:0.001735693953253 optPrice:9.03856695129467E-06 pvDividend:0 gamma: 0.312697188841258 theta/vega/undPrice: -5.37761706930984E-06-2.58137383823463E-05-1.5781</t>
  </si>
  <si>
    <t>2014-11-26 15:52:48.584: RTWSControl  - tickOptionComputation - id:200054 tickType:10 impliedVol:1.79769313486232E+308 delta:1.79769313486232E+308 optPrice:1.79769313486232E+308 pvDividend:0 gamma: 1.79769313486232E+308 theta/vega/undPrice: 1.79769313486232E+308-1.79769313486232E+308-1.5781</t>
  </si>
  <si>
    <t>2014-11-26 15:52:48.620: RTWSControl  - tickOptionComputation - id:200054 tickType:11 impliedVol:9.17208985873158E-02 delta:1.23959125310641E-02 optPrice:9.99999974737875E-05 pvDividend:0 gamma: 1.79769313486232E+308 theta/vega/undPrice: -4.01818411080778E-05-1.03767557276864E-04-1.5781</t>
  </si>
  <si>
    <t>2014-11-26 15:52:48.997: RTWSControl  - tickOptionComputation - id:200043 tickType:10 impliedVol:6.81899990818937E-02 delta:-5.57321324431184E-02 optPrice:1.99999994947575E-04 pvDividend:0 gamma: 1.79769313486232E+308 theta/vega/undPrice: -2.14929041242603E-04-1.56335153902351E-04-1.5781</t>
  </si>
  <si>
    <t>2014-11-26 15:52:49.70: RTWSControl  - tickOptionComputation - id:200047 tickType:11 impliedVol:6.60022137593978E-02 delta:-0.348908608298764 optPrice:1.9000000320375E-03 pvDividend:0 gamma: 1.79769313486232E+308 theta/vega/undPrice: -6.88185659262603E-04-4.45634291271272E-04-1.5781</t>
  </si>
  <si>
    <t>2014-11-26 15:52:50.278: DirectionIndicator - notify - price/longMA/ShortMA/prevDirection are 1.5781/1.57804657367761/1.57808262811535/1</t>
  </si>
  <si>
    <t>2014-11-26 15:52:50.278: Algorithm - handleTransition - currentHedgeShortfall is NOT ZERO and AUTOHEDGE IS NOT ENABLED!</t>
  </si>
  <si>
    <t>2014-11-26 15:52:50.325: DirectionIndicator - notify - price/longMA/ShortMA/prevDirection are 1.57805/1.57804719664532/1.5780717520769/1</t>
  </si>
  <si>
    <t>2014-11-26 15:52:50.325: Algorithm - handleTransition - currentHedgeShortfall is NOT ZERO and AUTOHEDGE IS NOT ENABLED!</t>
  </si>
  <si>
    <t>2014-11-26 15:52:50.987: RTWSControl  - tickOptionComputation - id:200042 tickType:13 impliedVol:8.05627796055148E-02 delta:-3.09587666104593E-02 optPrice:1.20186318135696E-04 pvDividend:0 gamma: 1.79769313486232E+308 theta/vega/undPrice: -1.57479478203955E-04-1.01411295391159E-04-1.5781</t>
  </si>
  <si>
    <t>2014-11-26 15:52:51.36: RTWSControl  - tickOptionComputation - id:200041 tickType:13 impliedVol:7.21564481461172E-02 delta:0.93412014575377 optPrice:0.013356587962399 pvDividend:0 gamma: 1.79769313486232E+308 theta/vega/undPrice: -2.60307592464408E-04-1.84800750371923E-04-1.5781</t>
  </si>
  <si>
    <t>2014-11-26 15:52:51.80: RTWSControl  - tickOptionComputation - id:200041 tickType:10 impliedVol:1.79769313486232E+308 delta:0.999985832703666 optPrice:1.31000000983477E-02 pvDividend:0 gamma: 2.96726669749399E-04 theta/vega/undPrice: 8.57123499201573E-08--8.21667820588567E-11-1.5781</t>
  </si>
  <si>
    <t>2014-11-26 15:52:51.127: RTWSControl  - tickOptionComputation - id:200043 tickType:13 impliedVol:7.21564481461172E-02 delta:-6.59923791247947E-02 optPrice:2.56775485979808E-04 pvDividend:0 gamma: 1.79769313486232E+308 theta/vega/undPrice: -2.60394176582572E-04-1.84801030027876E-04-1.5781</t>
  </si>
  <si>
    <t>2014-11-26 15:52:51.170: RTWSControl  - tickOptionComputation - id:200044 tickType:13 impliedVol:6.62753916967347E-02 delta:0.84365121341953 optPrice:8.7684960788407E-03 pvDividend:0 gamma: 1.79769313486232E+308 theta/vega/undPrice: -4.46647486954199E-04-2.9779419735579E-04-1.5781</t>
  </si>
  <si>
    <t>2014-11-26 15:52:51.214: RTWSControl  - tickOptionComputation - id:200044 tickType:10 impliedVol:6.06172653120332E-02 delta:0.866472226026967 optPrice:8.60000029206276E-03 pvDividend:0 gamma: 1.79769313486232E+308 theta/vega/undPrice: -3.69078912678619E-04-2.97794369760566E-04-1.5781</t>
  </si>
  <si>
    <t>2014-11-26 15:52:51.278: RTWSControl  - tickOptionComputation - id:200044 tickType:11 impliedVol:0.070691317252322 delta:0.82820644642849 optPrice:8.89999978244305E-03 pvDividend:0 gamma: 1.79769313486232E+308 theta/vega/undPrice: -5.07186380502182E-04-3.14665837408627E-04-1.5781</t>
  </si>
  <si>
    <t>2014-11-26 15:52:51.327: RTWSControl  - tickOptionComputation - id:200046 tickType:13 impliedVol:6.62753916967347E-02 delta:-0.156461485617194 optPrice:6.68612756055444E-04 pvDividend:0 gamma: 1.79769313486232E+308 theta/vega/undPrice: -4.46701729600187E-04-2.97794487151529E-04-1.5781</t>
  </si>
  <si>
    <t>2014-11-26 15:52:51.368: RTWSControl  - tickOptionComputation - id:200045 tickType:13 impliedVol:6.29196102573957E-02 delta:0.658043564901115 optPrice:4.8625813323058E-03 pvDividend:0 gamma: 1.79769313486232E+308 theta/vega/undPrice: -6.50735709710091E-04-4.45633789531143E-04-1.5781</t>
  </si>
  <si>
    <t>2014-11-26 15:52:51.410: RTWSControl  - tickOptionComputation - id:200045 tickType:10 impliedVol:5.92712942008564E-02 delta:0.66703645066498 optPrice:4.69999993219972E-03 pvDividend:0 gamma: 1.79769313486232E+308 theta/vega/undPrice: -6.06439727316466E-04-4.45633949986942E-04-1.5781</t>
  </si>
  <si>
    <t>2014-11-26 15:52:51.456: RTWSControl  - tickOptionComputation - id:200047 tickType:13 impliedVol:6.29196102573957E-02 delta:-0.342069609142518 optPrice:1.76262855591353E-03 pvDividend:0 gamma: 1.79769313486232E+308 theta/vega/undPrice: -6.50758171950477E-04-4.45634430647767E-04-1.5781</t>
  </si>
  <si>
    <t>2014-11-26 15:52:51.496: RTWSControl  - tickOptionComputation - id:200055 tickType:13 impliedVol:0.062089103828086 delta:0.401250482094233 optPrice:2.15891074918592E-03 pvDividend:0 gamma: 1.79769313486232E+308 theta/vega/undPrice: -6.80100744245145E-04-4.83535683041049E-04-1.5781</t>
  </si>
  <si>
    <t>2014-11-26 15:52:51.536: RTWSControl  - tickOptionComputation - id:200055 tickType:10 impliedVol:5.88015641157041E-02 delta:0.395570903638287 optPrice:2.0000000949949E-03 pvDividend:0 gamma: 1.79769313486232E+308 theta/vega/undPrice: -6.42764265298908E-04-4.83535843041082E-04-1.5781</t>
  </si>
  <si>
    <t>2014-11-26 15:52:51.577: RTWSControl  - tickOptionComputation - id:200049 tickType:11 impliedVol:7.02442520405064E-02 delta:0.679931815747255 optPrice:1.18000004440546E-02 pvDividend:0 gamma: 1.79769313486232E+308 theta/vega/undPrice: -3.44257186046788E-04-9.14217463978252E-04-1.5781</t>
  </si>
  <si>
    <t>2014-11-26 15:52:51.621: RTWSControl  - tickOptionComputation - id:200049 tickType:13 impliedVol:6.83286383762134E-02 delta:0.684697674715336 optPrice:1.16256540656618E-02 pvDividend:0 gamma: 1.79769313486232E+308 theta/vega/undPrice: -3.32958346029413E-04-9.14218302047562E-04-1.5781</t>
  </si>
  <si>
    <t>2014-11-26 15:52:51.662: RTWSControl  - tickOptionComputation - id:200050 tickType:13 impliedVol:6.83286383762134E-02 delta:-0.315372515041401 optPrice:3.52616860756136E-03 pvDividend:0 gamma: 1.79769313486232E+308 theta/vega/undPrice: -3.33016091479216E-04-9.14223878135189E-04-1.5781</t>
  </si>
  <si>
    <t>2014-11-26 15:52:51.702: RTWSControl  - tickOptionComputation - id:200051 tickType:13 impliedVol:7.01911375428947E-02 delta:-0.318011813554638 optPrice:3.5994881835448E-03 pvDividend:0 gamma: 1.79769313486232E+308 theta/vega/undPrice: -3.45301661117323E-04-8.82004276040067E-04-1.5781</t>
  </si>
  <si>
    <t>2014-11-26 15:52:51.744: RTWSControl  - tickOptionComputation - id:200052 tickType:13 impliedVol:0.118779698097047 delta:-0.52209946773665 optPrice:1.26995468579973E-02 pvDividend:0 gamma: 1.79769313486232E+308 theta/vega/undPrice: -6.5255478789804E-04-9.85042332771775E-04-1.5781</t>
  </si>
  <si>
    <t>2014-11-26 15:52:51.786: RTWSControl  - tickOptionComputation - id:200051 tickType:11 impliedVol:7.13396361957047E-02 delta:-0.320630248713202 optPrice:3.70000000111759E-03 pvDividend:0 gamma: 1.79769313486232E+308 theta/vega/undPrice: -3.5218002241013E-04-8.85091911603135E-04-1.5781</t>
  </si>
  <si>
    <t>2014-11-26 15:52:51.833: RTWSControl  - tickOptionComputation - id:200048 tickType:13 impliedVol:8.29547661736356E-02 delta:-3.05492509302071E-02 optPrice:2.51102550953676E-04 pvDividend:0 gamma: 1.79769313486232E+308 theta/vega/undPrice: -7.80443042601891E-05-2.03207019840711E-04-1.5781</t>
  </si>
  <si>
    <t>2014-11-26 15:52:51.876: RTWSControl  - tickOptionComputation - id:200052 tickType:10 impliedVol:1.79769313486232E+308 delta:1.79769313486232E+308 optPrice:1.79769313486232E+308 pvDividend:0 gamma: 1.79769313486232E+308 theta/vega/undPrice: 1.79769313486232E+308-1.79769313486232E+308-1.5781</t>
  </si>
  <si>
    <t>2014-11-26 15:52:51.912: RTWSControl  - tickOptionComputation - id:200052 tickType:11 impliedVol:1.79769313486232E+308 delta:1.79769313486232E+308 optPrice:1.79769313486232E+308 pvDividend:0 gamma: 1.79769313486232E+308 theta/vega/undPrice: 1.79769313486232E+308-1.79769313486232E+308-1.5781</t>
  </si>
  <si>
    <t>2014-11-26 15:52:51.953: RTWSControl  - tickOptionComputation - id:200053 tickType:13 impliedVol:6.44680826032626E-02 delta:8.86823228278239E-02 optPrice:6.65032401339449E-04 pvDividend:0 gamma: 1.79769313486232E+308 theta/vega/undPrice: -1.41721849591633E-04-4.47312339331648E-04-1.5781</t>
  </si>
  <si>
    <t>2014-11-26 15:52:52.0: RTWSControl  - tickOptionComputation - id:200054 tickType:13 impliedVol:7.13730988547852E-02 delta:1.7989266430326E-03 optPrice:9.43049890601476E-06 pvDividend:0 gamma: 0.321816977868646 theta/vega/undPrice: -5.5912669796056E-06-2.73651263761501E-05-1.5781</t>
  </si>
  <si>
    <t>2014-11-26 15:52:52.44: RTWSControl  - tickOptionComputation - id:200053 tickType:10 impliedVol:6.30142392475056E-02 delta:8.30870334025511E-02 optPrice:6.00000028498471E-04 pvDividend:0 gamma: 1.79769313486232E+308 theta/vega/undPrice: -1.32317006913408E-04-4.47312622919672E-04-1.5781</t>
  </si>
  <si>
    <t>2014-11-26 15:52:52.110: TransitionLogger - flushFile - flushing file</t>
  </si>
  <si>
    <t>2014-11-26 15:52:52.110: TransitionLogger - openTransitionFile - opening file C:\temp\transitionlog_2014-11-26_155023</t>
  </si>
  <si>
    <t>2014-11-26 15:52:52.112: RTWSControl  - tickOptionComputation - id:200054 tickType:10 impliedVol:1.79769313486232E+308 delta:1.79769313486232E+308 optPrice:1.79769313486232E+308 pvDividend:0 gamma: 1.79769313486232E+308 theta/vega/undPrice: 1.79769313486232E+308-1.79769313486232E+308-1.5781</t>
  </si>
  <si>
    <t>2014-11-26 15:52:52.155: DirectionIndicator - notify - price/longMA/ShortMA/prevDirection are 1.5781/1.57805679725526/1.57808116805127/1</t>
  </si>
  <si>
    <t>2014-11-26 15:52:52.159: Algorithm - handleTransition - currentHedgeShortfall is NOT ZERO and AUTOHEDGE IS NOT ENABLED!</t>
  </si>
  <si>
    <t>2014-11-26 15:52:52.371: DirectionIndicator - notify - price/longMA/ShortMA/prevDirection are 1.57805/1.57805556139067/1.57807077870085/1</t>
  </si>
  <si>
    <t>2014-11-26 15:52:52.371: Algorithm - handleTransition - currentHedgeShortfall is NOT ZERO and AUTOHEDGE IS NOT ENABLED!</t>
  </si>
  <si>
    <t>2014-11-26 15:52:52.859: RTWSControl  - tickOptionComputation - id:200044 tickType:11 impliedVol:0.074049334560354 delta:0.817770662594284 optPrice:8.99999961256981E-03 pvDividend:0 gamma: 1.79769313486232E+308 theta/vega/undPrice: -5.53222141171748E-04-3.41938363952262E-04-1.5781</t>
  </si>
  <si>
    <t>2014-11-26 15:52:52.919: RTWSControl  - tickOptionComputation - id:200052 tickType:10 impliedVol:1.79769313486232E+308 delta:1.79769313486232E+308 optPrice:1.79769313486232E+308 pvDividend:0 gamma: 1.79769313486232E+308 theta/vega/undPrice: 1.79769313486232E+308-1.79769313486232E+308-1.5781</t>
  </si>
  <si>
    <t>2014-11-26 15:52:52.951: RTWSControl  - tickOptionComputation - id:200052 tickType:11 impliedVol:1.79769313486232E+308 delta:1.79769313486232E+308 optPrice:1.79769313486232E+308 pvDividend:0 gamma: 1.79769313486232E+308 theta/vega/undPrice: 1.79769313486232E+308-1.79769313486232E+308-1.5781</t>
  </si>
  <si>
    <t>2014-11-26 15:52:52.994: RTWSControl  - tickOptionComputation - id:200054 tickType:10 impliedVol:1.79769313486232E+308 delta:1.79769313486232E+308 optPrice:1.79769313486232E+308 pvDividend:0 gamma: 1.79769313486232E+308 theta/vega/undPrice: 1.79769313486232E+308-1.79769313486232E+308-1.5781</t>
  </si>
  <si>
    <t>2014-11-26 15:52:54.229: RTWSControl  - tickOptionComputation - id:200042 tickType:13 impliedVol:7.94881265894105E-02 delta:-0.029151060255079 optPrice:1.10747475922177E-04 pvDividend:0 gamma: 1.79769313486232E+308 theta/vega/undPrice: -1.47813413833838E-04-9.54499387030849E-05-1.5781</t>
  </si>
  <si>
    <t>2014-11-26 15:52:54.301: RTWSControl  - tickOptionComputation - id:200041 tickType:13 impliedVol:7.12136252179505E-02 delta:0.936453662645682 optPrice:1.33430552850026E-02 pvDividend:0 gamma: 1.79769313486232E+308 theta/vega/undPrice: -2.49500567639364E-04-1.78034435221214E-04-1.5781</t>
  </si>
  <si>
    <t>2014-11-26 15:52:54.361: RTWSControl  - tickOptionComputation - id:200043 tickType:13 impliedVol:7.12136252179505E-02 delta:-6.36588605299108E-02 optPrice:2.43242799279624E-04 pvDividend:0 gamma: 1.79769313486232E+308 theta/vega/undPrice: -2.49587139606844E-04-1.78034707692304E-04-1.5781</t>
  </si>
  <si>
    <t>2014-11-26 15:52:54.410: RTWSControl  - tickOptionComputation - id:200044 tickType:13 impliedVol:6.56181882571616E-02 delta:0.846111189739008 optPrice:8.74892493108657E-03 pvDividend:0 gamma: 1.79769313486232E+308 theta/vega/undPrice: -4.3763773608342E-04-2.97794217410651E-04-1.5781</t>
  </si>
  <si>
    <t>2014-11-26 15:52:54.451: RTWSControl  - tickOptionComputation - id:200044 tickType:11 impliedVol:0.070691317252322 delta:0.82820644642849 optPrice:8.89999978244305E-03 pvDividend:0 gamma: 1.79769313486232E+308 theta/vega/undPrice: -5.07186380502182E-04-3.14665837408627E-04-1.5781</t>
  </si>
  <si>
    <t>2014-11-26 15:52:54.494: RTWSControl  - tickOptionComputation - id:200046 tickType:13 impliedVol:6.56181882571616E-02 delta:-0.154001506731253 optPrice:6.49041589334787E-04 pvDividend:0 gamma: 1.79769313486232E+308 theta/vega/undPrice: -4.37691961586438E-04-2.97794506765751E-04-1.5781</t>
  </si>
  <si>
    <t>2014-11-26 15:52:54.536: RTWSControl  - tickOptionComputation - id:200045 tickType:13 impliedVol:6.27018157070154E-02 delta:0.658555635580411 optPrice:4.8528756663258E-03 pvDividend:0 gamma: 1.79769313486232E+308 theta/vega/undPrice: -6.48091361091849E-04-4.45633799317677E-04-1.5781</t>
  </si>
  <si>
    <t>2014-11-26 15:52:54.582: RTWSControl  - tickOptionComputation - id:200047 tickType:13 impliedVol:6.27018157070154E-02 delta:-0.341557537633349 optPrice:1.75292287599463E-03 pvDividend:0 gamma: 1.79769313486232E+308 theta/vega/undPrice: -6.48113814294514E-04-4.45634440294368E-04-1.5781</t>
  </si>
  <si>
    <t>2014-11-26 15:52:54.622: RTWSControl  - tickOptionComputation - id:200055 tickType:13 impliedVol:6.24645075675403E-02 delta:0.401855961072613 optPrice:2.17706286834874E-03 pvDividend:0 gamma: 1.79769313486232E+308 theta/vega/undPrice: -6.8436418990381E-04-4.83535664276722E-04-1.5781</t>
  </si>
  <si>
    <t>2014-11-26 15:52:54.662: RTWSControl  - tickOptionComputation - id:200049 tickType:13 impliedVol:6.86951214212108E-02 delta:0.683781920926988 optPrice:1.16591586914726E-02 pvDividend:0 gamma: 1.79769313486232E+308 theta/vega/undPrice: -3.35119970325279E-04-9.14218143082042E-04-1.5781</t>
  </si>
  <si>
    <t>2014-11-26 15:52:54.705: RTWSControl  - tickOptionComputation - id:200050 tickType:13 impliedVol:6.86951214212108E-02 delta:-0.316288275124095 optPrice:3.55967343707676E-03 pvDividend:0 gamma: 1.79769313486232E+308 theta/vega/undPrice: -3.35177747330138E-04-9.14223721497394E-04-1.5781</t>
  </si>
  <si>
    <t>2014-11-26 15:52:54.750: RTWSControl  - tickOptionComputation - id:200052 tickType:10 impliedVol:1.79769313486232E+308 delta:1.79769313486232E+308 optPrice:1.79769313486232E+308 pvDividend:0 gamma: 1.79769313486232E+308 theta/vega/undPrice: 1.79769313486232E+308-1.79769313486232E+308-1.5781</t>
  </si>
  <si>
    <t>2014-11-26 15:52:54.784: RTWSControl  - tickOptionComputation - id:200052 tickType:11 impliedVol:1.79769313486232E+308 delta:1.79769313486232E+308 optPrice:1.79769313486232E+308 pvDividend:0 gamma: 1.79769313486232E+308 theta/vega/undPrice: 1.79769313486232E+308-1.79769313486232E+308-1.5781</t>
  </si>
  <si>
    <t>2014-11-26 15:52:54.826: RTWSControl  - tickOptionComputation - id:200048 tickType:13 impliedVol:8.28779580956169E-02 delta:-0.03042621649077 optPrice:2.49725287542089E-04 pvDividend:0 gamma: 1.79769313486232E+308 theta/vega/undPrice: -7.77102932753674E-05-2.0233718032598E-04-1.5781</t>
  </si>
  <si>
    <t>2014-11-26 15:52:54.870: RTWSControl  - tickOptionComputation - id:200053 tickType:13 impliedVol:6.45209863153031E-02 delta:8.88808183134946E-02 optPrice:6.67398854831931E-04 pvDividend:0 gamma: 1.79769313486232E+308 theta/vega/undPrice: -1.42064080966897E-04-4.47312329079239E-04-1.5781</t>
  </si>
  <si>
    <t>2014-11-26 15:52:54.912: RTWSControl  - tickOptionComputation - id:200054 tickType:13 impliedVol:7.03555527778992E-02 delta:1.62029327483016E-03 optPrice:8.33346264333448E-06 pvDividend:0 gamma: 0.29577019338281 theta/vega/undPrice: -4.99325066133037E-06-2.30227166896503E-05-1.5781</t>
  </si>
  <si>
    <t>2014-11-26 15:52:54.952: RTWSControl  - tickOptionComputation - id:200054 tickType:10 impliedVol:1.79769313486232E+308 delta:1.79769313486232E+308 optPrice:1.79769313486232E+308 pvDividend:0 gamma: 1.79769313486232E+308 theta/vega/undPrice: 1.79769313486232E+308-1.79769313486232E+308-1.5781</t>
  </si>
  <si>
    <t>2014-11-26 15:52:55.953: DirectionIndicator - notify - price/longMA/ShortMA/prevDirection are 1.5781/1.57806364113782/1.5780805191339/1</t>
  </si>
  <si>
    <t>2014-11-26 15:52:55.953: Algorithm - handleTransition - currentHedgeShortfall is NOT ZERO and AUTOHEDGE IS NOT ENABLED!</t>
  </si>
  <si>
    <t>2014-11-26 15:52:55.979: DirectionIndicator - notify - price/longMA/ShortMA/prevDirection are 1.57815/1.57807934274912/1.5781036794226/1</t>
  </si>
  <si>
    <t>2014-11-26 15:52:55.980: Algorithm - handleTransition - currentHedgeShortfall is NOT ZERO and AUTOHEDGE IS NOT ENABLED!</t>
  </si>
  <si>
    <t>2014-11-26 15:52:56.788: RTWSControl  - tickOptionComputation - id:200041 tickType:10 impliedVol:5.96981340950081E-02 delta:0.965642395668557 optPrice:1.31999999284744E-02 pvDividend:0 gamma: 1.79769313486232E+308 theta/vega/undPrice: -1.27254404790066E-04-1.21454983694069E-04-1.5781</t>
  </si>
  <si>
    <t>2014-11-26 15:52:56.862: RTWSControl  - tickOptionComputation - id:200041 tickType:11 impliedVol:8.48787632214276E-02 delta:0.899293542577896 optPrice:1.36000001803041E-02 pvDividend:0 gamma: 1.79769313486232E+308 theta/vega/undPrice: -4.20417102490888E-04-2.1529993298313E-04-1.5781</t>
  </si>
  <si>
    <t>2014-11-26 15:52:56.915: RTWSControl  - tickOptionComputation - id:200044 tickType:10 impliedVol:6.39752826241134E-02 delta:0.852374606469735 optPrice:8.70000012218952E-03 pvDividend:0 gamma: 1.79769313486232E+308 theta/vega/undPrice: -4.15114765427052E-04-2.97794267510232E-04-1.5781</t>
  </si>
  <si>
    <t>2014-11-26 15:52:56.955: RTWSControl  - tickOptionComputation - id:200044 tickType:11 impliedVol:0.074049334560354 delta:0.817770662594284 optPrice:8.99999961256981E-03 pvDividend:0 gamma: 1.79769313486232E+308 theta/vega/undPrice: -5.53222141171748E-04-3.41938363952262E-04-1.5781</t>
  </si>
  <si>
    <t>2014-11-26 15:52:56.998: RTWSControl  - tickOptionComputation - id:200045 tickType:10 impliedVol:6.15174584785807E-02 delta:0.661320472611008 optPrice:4.80000022798777E-03 pvDividend:0 gamma: 1.79769313486232E+308 theta/vega/undPrice: -6.33711506598874E-04-4.45633852073666E-04-1.5781</t>
  </si>
  <si>
    <t>2014-11-26 15:52:57.42: RTWSControl  - tickOptionComputation - id:200047 tickType:11 impliedVol:0.063758224184448 delta:-0.343964967168429 optPrice:1.79999996908009E-03 pvDividend:0 gamma: 1.79769313486232E+308 theta/vega/undPrice: -6.60940221325032E-04-4.45634393254877E-04-1.5781</t>
  </si>
  <si>
    <t>2014-11-26 15:52:57.86: RTWSControl  - tickOptionComputation - id:200055 tickType:10 impliedVol:6.08707699388705E-02 delta:0.399184021458309 optPrice:2.09999992512167E-03 pvDividend:0 gamma: 1.79769313486232E+308 theta/vega/undPrice: -6.66264170685149E-04-4.83535743241999E-04-1.5781</t>
  </si>
  <si>
    <t>2014-11-26 15:52:57.128: RTWSControl  - tickOptionComputation - id:200049 tickType:11 impliedVol:7.13369669501827E-02 delta:0.677376531501751 optPrice:1.19000002741814E-02 pvDividend:0 gamma: 1.79769313486232E+308 theta/vega/undPrice: -3.50702321225594E-04-9.14216977993279E-04-1.5781</t>
  </si>
  <si>
    <t>2014-11-26 15:52:57.195: RTWSControl  - tickOptionComputation - id:200051 tickType:11 impliedVol:7.01911368474131E-02 delta:-0.317971600854451 optPrice:3.59999993816018E-03 pvDividend:0 gamma: 1.79769313486232E+308 theta/vega/undPrice: -3.4530165694735E-04-8.82004274127649E-04-1.5781</t>
  </si>
  <si>
    <t>2014-11-26 15:52:57.248: RTWSControl  - tickOptionComputation - id:200052 tickType:10 impliedVol:1.79769313486232E+308 delta:1.79769313486232E+308 optPrice:1.79769313486232E+308 pvDividend:0 gamma: 1.79769313486232E+308 theta/vega/undPrice: 1.79769313486232E+308-1.79769313486232E+308-1.5781</t>
  </si>
  <si>
    <t>2014-11-26 15:52:57.281: RTWSControl  - tickOptionComputation - id:200052 tickType:11 impliedVol:1.79769313486232E+308 delta:1.79769313486232E+308 optPrice:1.79769313486232E+308 pvDividend:0 gamma: 1.79769313486232E+308 theta/vega/undPrice: 1.79769313486232E+308-1.79769313486232E+308-1.5781</t>
  </si>
  <si>
    <t>2014-11-26 15:52:57.322: RTWSControl  - tickOptionComputation - id:200054 tickType:10 impliedVol:1.79769313486232E+308 delta:1.79769313486232E+308 optPrice:1.79769313486232E+308 pvDividend:0 gamma: 1.79769313486232E+308 theta/vega/undPrice: 1.79769313486232E+308-1.79769313486232E+308-1.5781</t>
  </si>
  <si>
    <t>2014-11-26 15:52:58.297: RTWSControl  - tickOptionComputation - id:200042 tickType:13 impliedVol:7.98856369829508E-02 delta:-0.02980384192834 optPrice:1.14126704272448E-04 pvDividend:0 gamma: 1.79769313486232E+308 theta/vega/undPrice: -1.51322368687671E-04-9.75612732378444E-05-1.5781</t>
  </si>
  <si>
    <t>2014-11-26 15:52:58.334: RTWSControl  - tickOptionComputation - id:200041 tickType:13 impliedVol:7.16051440107464E-02 delta:0.935505564866246 optPrice:1.33485106541745E-02 pvDividend:0 gamma: 1.79769313486232E+308 theta/vega/undPrice: -2.53938320769165E-04-1.80727662333182E-04-1.5781</t>
  </si>
  <si>
    <t>2014-11-26 15:52:58.377: RTWSControl  - tickOptionComputation - id:200043 tickType:13 impliedVol:7.16051440107464E-02 delta:-6.46069588860226E-02 optPrice:2.48698112253953E-04 pvDividend:0 gamma: 1.79769313486232E+308 theta/vega/undPrice: -2.54024897635564E-04-1.80727937583516E-04-1.5781</t>
  </si>
  <si>
    <t>2014-11-26 15:52:58.422: RTWSControl  - tickOptionComputation - id:200044 tickType:13 impliedVol:6.57969664028286E-02 delta:0.845476684525802 optPrice:8.75393564994857E-03 pvDividend:0 gamma: 1.79769313486232E+308 theta/vega/undPrice: -4.40085161582788E-04-2.97746607597876E-04-1.5781</t>
  </si>
  <si>
    <t>2014-11-26 15:52:58.487: RTWSControl  - tickOptionComputation - id:200046 tickType:13 impliedVol:6.57969664028286E-02 delta:-0.154636012435965 optPrice:6.54052275756762E-04 pvDividend:0 gamma: 1.79769313486232E+308 theta/vega/undPrice: -4.40139391475405E-04-2.97746896925756E-04-1.5781</t>
  </si>
  <si>
    <t>2014-11-26 15:52:58.535: RTWSControl  - tickOptionComputation - id:200046 tickType:11 impliedVol:7.06970487748608E-02 delta:-0.171761672799144 optPrice:7.999999797903E-04 pvDividend:0 gamma: 1.79769313486232E+308 theta/vega/undPrice: -5.07326570121589E-04-3.14560798099558E-04-1.5781</t>
  </si>
  <si>
    <t>2014-11-26 15:52:58.577: RTWSControl  - tickOptionComputation - id:200045 tickType:13 impliedVol:0.062461104159155 delta:0.659149512904879 optPrice:4.84170378950333E-03 pvDividend:0 gamma: 1.79769313486232E+308 theta/vega/undPrice: -6.45253831193814E-04-4.45562572584075E-04-1.5781</t>
  </si>
  <si>
    <t>2014-11-26 15:52:58.619: RTWSControl  - tickOptionComputation - id:200047 tickType:13 impliedVol:0.062461104159155 delta:-0.340963659022976 optPrice:1.74175096804253E-03 pvDividend:0 gamma: 1.79769313486232E+308 theta/vega/undPrice: -6.4527627399055E-04-4.45563213088116E-04-1.5781</t>
  </si>
  <si>
    <t>2014-11-26 15:52:58.663: RTWSControl  - tickOptionComputation - id:200055 tickType:13 impliedVol:0.061597557279768 delta:0.40043039361548 optPrice:2.13466657286728E-03 pvDividend:0 gamma: 1.79769313486232E+308 theta/vega/undPrice: -6.7462211859411E-04-4.83458411071763E-04-1.5781</t>
  </si>
  <si>
    <t>2014-11-26 15:52:58.703: RTWSControl  - tickOptionComputation - id:200049 tickType:13 impliedVol:6.87725296071964E-02 delta:0.683596215148706 optPrice:1.16659975404778E-02 pvDividend:0 gamma: 1.79769313486232E+308 theta/vega/undPrice: -3.355866053599E-04-9.14183505508974E-04-1.5781</t>
  </si>
  <si>
    <t>2014-11-26 15:52:58.746: RTWSControl  - tickOptionComputation - id:200050 tickType:13 impliedVol:6.87725296071964E-02 delta:-0.31647398186681 optPrice:3.56651228868002E-03 pvDividend:0 gamma: 1.79769313486232E+308 theta/vega/undPrice: -3.35644388801941E-04-9.14189083756851E-04-1.5781</t>
  </si>
  <si>
    <t>2014-11-26 15:52:58.785: RTWSControl  - tickOptionComputation - id:200051 tickType:13 impliedVol:7.13261685914226E-02 delta:-0.320633759533379 optPrice:3.69952843490305E-03 pvDividend:0 gamma: 1.79769313486232E+308 theta/vega/undPrice: -3.52110207329686E-04-8.85014960585331E-04-1.5781</t>
  </si>
  <si>
    <t>2014-11-26 15:52:58.829: RTWSControl  - tickOptionComputation - id:200052 tickType:13 impliedVol:0.118779698097036 delta:-0.522100608888615 optPrice:1.26990936844547E-02 pvDividend:0 gamma: 1.79769313486232E+308 theta/vega/undPrice: -6.52579972369838E-04-9.85004023949514E-04-1.5781</t>
  </si>
  <si>
    <t>2014-11-26 15:52:58.869: RTWSControl  - tickOptionComputation - id:200048 tickType:13 impliedVol:8.30970445651715E-02 delta:-0.030771538187852 optPrice:2.53597370887929E-04 pvDividend:0 gamma: 1.79769313486232E+308 theta/vega/undPrice: -7.86552979837217E-05-2.04771600257535E-04-1.5781</t>
  </si>
  <si>
    <t>2014-11-26 15:52:58.918: RTWSControl  - tickOptionComputation - id:200052 tickType:10 impliedVol:1.79769313486232E+308 delta:1.79769313486232E+308 optPrice:1.79769313486232E+308 pvDividend:0 gamma: 1.79769313486232E+308 theta/vega/undPrice: 1.79769313486232E+308-1.79769313486232E+308-1.5781</t>
  </si>
  <si>
    <t>2014-11-26 15:52:58.948: RTWSControl  - tickOptionComputation - id:200052 tickType:11 impliedVol:1.79769313486232E+308 delta:1.79769313486232E+308 optPrice:1.79769313486232E+308 pvDividend:0 gamma: 1.79769313486232E+308 theta/vega/undPrice: 1.79769313486232E+308-1.79769313486232E+308-1.5781</t>
  </si>
  <si>
    <t>2014-11-26 15:52:58.992: RTWSControl  - tickOptionComputation - id:200053 tickType:13 impliedVol:0.064497578806364 delta:8.87838723567831E-02 optPrice:6.66242589808245E-04 pvDividend:0 gamma: 1.79769313486232E+308 theta/vega/undPrice: -1.41907609052061E-04-4.47295402387672E-04-1.5781</t>
  </si>
  <si>
    <t>2014-11-26 15:52:59.36: RTWSControl  - tickOptionComputation - id:200054 tickType:13 impliedVol:7.02721921626743E-02 delta:1.60495533792023E-03 optPrice:8.24072186430972E-06 pvDividend:0 gamma: 0.293492867846281 theta/vega/undPrice: -4.94307006852323E-06-2.26535961127516E-05-1.5781</t>
  </si>
  <si>
    <t>2014-11-26 15:52:59.78: RTWSControl  - tickOptionComputation - id:200054 tickType:10 impliedVol:1.79769313486232E+308 delta:1.79769313486232E+308 optPrice:1.79769313486232E+308 pvDividend:0 gamma: 1.79769313486232E+308 theta/vega/undPrice: 1.79769313486232E+308-1.79769313486232E+308-1.5781</t>
  </si>
  <si>
    <t>2014-11-26 15:53:0.441: RTWSControl  - tickOptionComputation - id:200043 tickType:10 impliedVol:0.059627513947772 delta:-3.41680067543563E-02 optPrice:9.99999974737875E-05 pvDividend:0 gamma: 1.79769313486232E+308 theta/vega/undPrice: -1.26659173377992E-04-1.2098683806327E-04-1.5781</t>
  </si>
  <si>
    <t>2014-11-26 15:53:0.524: RTWSControl  - tickOptionComputation - id:200047 tickType:11 impliedVol:6.60022137593978E-02 delta:-0.348886156324225 optPrice:1.9000000320375E-03 pvDividend:0 gamma: 1.79769313486232E+308 theta/vega/undPrice: -6.88277598921555E-04-4.45563053504991E-04-1.5781</t>
  </si>
  <si>
    <t>2014-11-26 15:53:0.653: RTWSControl  - tickOptionComputation - id:200052 tickType:10 impliedVol:1.79769313486232E+308 delta:1.79769313486232E+308 optPrice:1.79769313486232E+308 pvDividend:0 gamma: 1.79769313486232E+308 theta/vega/undPrice: 1.79769313486232E+308-1.79769313486232E+308-1.5781</t>
  </si>
  <si>
    <t>2014-11-26 15:53:0.674: RTWSControl  - tickOptionComputation - id:200052 tickType:11 impliedVol:1.79769313486232E+308 delta:1.79769313486232E+308 optPrice:1.79769313486232E+308 pvDividend:0 gamma: 1.79769313486232E+308 theta/vega/undPrice: 1.79769313486232E+308-1.79769313486232E+308-1.5781</t>
  </si>
  <si>
    <t>2014-11-26 15:53:0.730: RTWSControl  - tickOptionComputation - id:200054 tickType:10 impliedVol:1.79769313486232E+308 delta:1.79769313486232E+308 optPrice:1.79769313486232E+308 pvDividend:0 gamma: 1.79769313486232E+308 theta/vega/undPrice: 1.79769313486232E+308-1.79769313486232E+308-1.5781</t>
  </si>
  <si>
    <t>2014-11-26 15:53:2.532: RTWSControl  - tickOptionComputation - id:200042 tickType:13 impliedVol:8.00228857153655E-02 delta:-3.00351510024662E-02 optPrice:1.15331988240974E-04 pvDividend:0 gamma: 1.79769313486232E+308 theta/vega/undPrice: -1.52557062310758E-04-9.8322503009041E-05-1.5781</t>
  </si>
  <si>
    <t>2014-11-26 15:53:2.604: RTWSControl  - tickOptionComputation - id:200041 tickType:13 impliedVol:7.16680570189112E-02 delta:0.935349623840257 optPrice:1.33494135229169E-02 pvDividend:0 gamma: 1.79769313486232E+308 theta/vega/undPrice: -2.54659570901228E-04-1.81179095130633E-04-1.5781</t>
  </si>
  <si>
    <t>2014-11-26 15:53:2.659: RTWSControl  - tickOptionComputation - id:200043 tickType:13 impliedVol:7.16680570189112E-02 delta:-6.47629000258549E-02 optPrice:2.49600981613725E-04 pvDividend:0 gamma: 1.79769313486232E+308 theta/vega/undPrice: -2.54746148576895E-04-1.811793708645E-04-1.5781</t>
  </si>
  <si>
    <t>2014-11-26 15:53:2.703: RTWSControl  - tickOptionComputation - id:200044 tickType:13 impliedVol:6.57787619025925E-02 delta:0.84554516548963 optPrice:8.75339361685372E-03 pvDividend:0 gamma: 1.79769313486232E+308 theta/vega/undPrice: -4.39835552051077E-04-2.97746608151841E-04-1.5781</t>
  </si>
  <si>
    <t>2014-11-26 15:53:2.743: RTWSControl  - tickOptionComputation - id:200046 tickType:13 impliedVol:6.57787619025925E-02 delta:-0.1545675314006 optPrice:6.53510242134841E-04 pvDividend:0 gamma: 1.79769313486232E+308 theta/vega/undPrice: -4.39889781468008E-04-2.97746897468805E-04-1.5781</t>
  </si>
  <si>
    <t>2014-11-26 15:53:2.785: RTWSControl  - tickOptionComputation - id:200045 tickType:13 impliedVol:6.23550003663809E-02 delta:0.659402269565125 optPrice:4.83697619927225E-03 pvDividend:0 gamma: 1.79769313486232E+308 theta/vega/undPrice: -6.43965367777879E-04-4.45562577322492E-04-1.5781</t>
  </si>
  <si>
    <t>2014-11-26 15:53:2.827: RTWSControl  - tickOptionComputation - id:200047 tickType:13 impliedVol:6.23550003663809E-02 delta:-0.340710901953221 optPrice:1.73702337102159E-03 pvDividend:0 gamma: 1.79769313486232E+308 theta/vega/undPrice: -6.43987806171236E-04-4.45563217762341E-04-1.5781</t>
  </si>
  <si>
    <t>2014-11-26 15:53:2.872: RTWSControl  - tickOptionComputation - id:200055 tickType:13 impliedVol:6.13967724102906E-02 delta:0.400098318236555 optPrice:2.12495945453207E-03 pvDividend:0 gamma: 1.79769313486232E+308 theta/vega/undPrice: -6.72341447532439E-04-4.83458420991687E-04-1.5781</t>
  </si>
  <si>
    <t>2014-11-26 15:53:2.911: RTWSControl  - tickOptionComputation - id:200049 tickType:13 impliedVol:6.86659970016272E-02 delta:0.683860800345098 optPrice:0.01165625848242 pvDividend:0 gamma: 1.79769313486232E+308 theta/vega/undPrice: -3.34958221215115E-04-9.14183551822875E-04-1.5781</t>
  </si>
  <si>
    <t>2014-11-26 15:53:2.954: RTWSControl  - tickOptionComputation - id:200050 tickType:13 impliedVol:6.86659970016272E-02 delta:-0.316209394851943 optPrice:3.55677317141745E-03 pvDividend:0 gamma: 1.79769313486232E+308 theta/vega/undPrice: -3.35015995485118E-04-9.1418912939113E-04-1.5781</t>
  </si>
  <si>
    <t>2014-11-26 15:53:2.995: RTWSControl  - tickOptionComputation - id:200048 tickType:13 impliedVol:8.29589918404743E-02 delta:-3.05509874558386E-02 optPrice:2.51122009401161E-04 pvDividend:0 gamma: 1.79769313486232E+308 theta/vega/undPrice: -7.80549331540116E-05-2.03208233995264E-04-1.5781</t>
  </si>
  <si>
    <t>2014-11-26 15:53:3.42: RTWSControl  - tickOptionComputation - id:200053 tickType:13 impliedVol:0.064514090311814 delta:8.88458044576987E-02 optPrice:6.66981143475862E-04 pvDividend:0 gamma: 1.79769313486232E+308 theta/vega/undPrice: -1.42014425170118E-04-4.47295399188316E-04-1.5781</t>
  </si>
  <si>
    <t>2014-11-26 15:53:3.83: RTWSControl  - tickOptionComputation - id:200052 tickType:10 impliedVol:1.79769313486232E+308 delta:1.79769313486232E+308 optPrice:1.79769313486232E+308 pvDividend:0 gamma: 1.79769313486232E+308 theta/vega/undPrice: 1.79769313486232E+308-1.79769313486232E+308-1.5781</t>
  </si>
  <si>
    <t>2014-11-26 15:53:3.118: RTWSControl  - tickOptionComputation - id:200052 tickType:11 impliedVol:1.79769313486232E+308 delta:1.79769313486232E+308 optPrice:1.79769313486232E+308 pvDividend:0 gamma: 1.79769313486232E+308 theta/vega/undPrice: 1.79769313486232E+308-1.79769313486232E+308-1.5781</t>
  </si>
  <si>
    <t>2014-11-26 15:53:3.159: RTWSControl  - tickOptionComputation - id:200054 tickType:13 impliedVol:7.05032717710328E-02 delta:1.64607177218805E-03 optPrice:8.48984390586601E-06 pvDividend:0 gamma: 0.299583131092524 theta/vega/undPrice: -5.0788817428537E-06-2.36396985919866E-05-1.5781</t>
  </si>
  <si>
    <t>2014-11-26 15:53:3.208: RTWSControl  - tickOptionComputation - id:200054 tickType:10 impliedVol:1.79769313486232E+308 delta:1.79769313486232E+308 optPrice:1.79769313486232E+308 pvDividend:0 gamma: 1.79769313486232E+308 theta/vega/undPrice: 1.79769313486232E+308-1.79769313486232E+308-1.5781</t>
  </si>
  <si>
    <t>2014-11-26 15:53:6.547: RTWSControl  - tickOptionComputation - id:200049 tickType:13 impliedVol:6.86851019040393E-02 delta:0.683813290160715 optPrice:1.16580050252418E-02 pvDividend:0 gamma: 1.79769313486232E+308 theta/vega/undPrice: -3.35070911769519E-04-9.14183543520379E-04-1.5781</t>
  </si>
  <si>
    <t>2014-11-26 15:53:6.615: RTWSControl  - tickOptionComputation - id:200050 tickType:13 impliedVol:6.86851019040393E-02 delta:-0.316256905362872 optPrice:3.55851972485506E-03 pvDividend:0 gamma: 1.79769313486232E+308 theta/vega/undPrice: -3.3512868768421E-04-9.14189121211149E-04-1.5781</t>
  </si>
  <si>
    <t>2014-11-26 15:53:6.665: RTWSControl  - tickOptionComputation - id:200052 tickType:10 impliedVol:1.79769313486232E+308 delta:1.79769313486232E+308 optPrice:1.79769313486232E+308 pvDividend:0 gamma: 1.79769313486232E+308 theta/vega/undPrice: 1.79769313486232E+308-1.79769313486232E+308-1.5781</t>
  </si>
  <si>
    <t>2014-11-26 15:53:6.701: RTWSControl  - tickOptionComputation - id:200052 tickType:11 impliedVol:1.79769313486232E+308 delta:1.79769313486232E+308 optPrice:1.79769313486232E+308 pvDividend:0 gamma: 1.79769313486232E+308 theta/vega/undPrice: 1.79769313486232E+308-1.79769313486232E+308-1.5781</t>
  </si>
  <si>
    <t>2014-11-26 15:53:6.744: RTWSControl  - tickOptionComputation - id:200048 tickType:13 impliedVol:8.29837493672336E-02 delta:-3.05905938606591E-02 optPrice:2.51565925523011E-04 pvDividend:0 gamma: 1.79769313486232E+308 theta/vega/undPrice: -7.8162598895583E-05-2.03488598502172E-04-1.5781</t>
  </si>
  <si>
    <t>2014-11-26 15:53:6.789: RTWSControl  - tickOptionComputation - id:200053 tickType:13 impliedVol:6.45111292399587E-02 delta:8.88347002596806E-02 optPrice:6.66848695803061E-04 pvDividend:0 gamma: 1.79769313486232E+308 theta/vega/undPrice: -1.41995269424442E-04-4.47295399761682E-04-1.5781</t>
  </si>
  <si>
    <t>2014-11-26 15:53:6.830: RTWSControl  - tickOptionComputation - id:200054 tickType:10 impliedVol:1.79769313486232E+308 delta:1.79769313486232E+308 optPrice:1.79769313486232E+308 pvDividend:0 gamma: 1.79769313486232E+308 theta/vega/undPrice: 1.79769313486232E+308-1.79769313486232E+308-1.5781</t>
  </si>
  <si>
    <t>2014-11-26 15:53:6.865: RTWSControl  - tickOptionComputation - id:200054 tickType:13 impliedVol:7.04618313749883E-02 delta:1.63871801087579E-03 optPrice:8.44516789230846E-06 pvDividend:0 gamma: 0.298497286077971 theta/vega/undPrice: -5.05452611327917E-06-2.34628570496621E-05-1.5781</t>
  </si>
  <si>
    <t>2014-11-26 15:53:6.988: DirectionIndicator - notify - price/longMA/ShortMA/prevDirection are 1.5782/1.5781012804311/1.57813578628173/1</t>
  </si>
  <si>
    <t>2014-11-26 15:53:6.989: Algorithm - handleTransition - currentHedgeShortfall is NOT ZERO and AUTOHEDGE IS NOT ENABLED!</t>
  </si>
  <si>
    <t>2014-11-26 15:53:7.30: DirectionIndicator - notify - price/longMA/ShortMA/prevDirection are 1.57825/1.57812832035272/1.57817385752115/1</t>
  </si>
  <si>
    <t>2014-11-26 15:53:7.30: Algorithm - handleTransition - currentHedgeShortfall is NOT ZERO and AUTOHEDGE IS NOT ENABLED!</t>
  </si>
  <si>
    <t>2014-11-26 15:53:7.860: RTWSControl  - tickOptionComputation - id:200042 tickType:13 impliedVol:8.00228857153655E-02 delta:-2.92944890822097E-02 optPrice:1.1210893145831E-04 pvDividend:0 gamma: 1.79769313486232E+308 theta/vega/undPrice: -1.4944547136596E-04-9.56406117759218E-05-1.5782</t>
  </si>
  <si>
    <t>2014-11-26 15:53:7.909: RTWSControl  - tickOptionComputation - id:200041 tickType:13 impliedVol:7.16680570189112E-02 delta:0.936701415600135 optPrice:1.34434988091475E-02 pvDividend:0 gamma: 1.79769313486232E+308 theta/vega/undPrice: -2.50357669788322E-04-1.77016408838928E-04-1.5782</t>
  </si>
  <si>
    <t>2014-11-26 15:53:7.951: RTWSControl  - tickOptionComputation - id:200043 tickType:13 impliedVol:7.16680570189112E-02 delta:-6.34111072787632E-02 optPrice:2.43687693454873E-04 pvDividend:0 gamma: 1.79769313486232E+308 theta/vega/undPrice: -2.50444901342897E-04-1.77016681196744E-04-1.5782</t>
  </si>
  <si>
    <t>2014-11-26 15:53:7.994: RTWSControl  - tickOptionComputation - id:200044 tickType:13 impliedVol:6.57787619025925E-02 delta:0.848600287726706 optPrice:8.83734273769922E-03 pvDividend:0 gamma: 1.79769313486232E+308 theta/vega/undPrice: -4.3415935770238E-04-2.97756040638152E-04-1.5782</t>
  </si>
  <si>
    <t>2014-11-26 15:53:8.36: RTWSControl  - tickOptionComputation - id:200046 tickType:13 impliedVol:6.57787619025925E-02 delta:-0.151512405973681 optPrice:6.37460779434532E-04 pvDividend:0 gamma: 1.79769313486232E+308 theta/vega/undPrice: -4.342142354934E-04-2.97756329634596E-04-1.5782</t>
  </si>
  <si>
    <t>2014-11-26 15:53:8.77: RTWSControl  - tickOptionComputation - id:200045 tickType:13 impliedVol:6.23550003663809E-02 delta:0.664225608375197 optPrice:4.90347276729482E-03 pvDividend:0 gamma: 1.79769313486232E+308 theta/vega/undPrice: -6.40336405489911E-04-4.4557669270163E-04-1.5782</t>
  </si>
  <si>
    <t>2014-11-26 15:53:8.119: RTWSControl  - tickOptionComputation - id:200047 tickType:13 impliedVol:6.23550003663809E-02 delta:-0.335887555321491 optPrice:0.001703521332183 pvDividend:0 gamma: 1.79769313486232E+308 theta/vega/undPrice: -6.40359484336178E-04-4.45577332354634E-04-1.5782</t>
  </si>
  <si>
    <t>2014-11-26 15:53:8.161: RTWSControl  - tickOptionComputation - id:200055 tickType:13 impliedVol:6.13967724102906E-02 delta:0.405414791917528 optPrice:2.16943906692478E-03 pvDividend:0 gamma: 1.79769313486232E+308 theta/vega/undPrice: -6.73682210225339E-04-4.83473735060257E-04-1.5782</t>
  </si>
  <si>
    <t>2014-11-26 15:53:8.201: RTWSControl  - tickOptionComputation - id:200049 tickType:13 impliedVol:6.86851019040393E-02 delta:0.685939810435756 optPrice:1.17246096942604E-02 pvDividend:0 gamma: 1.79769313486232E+308 theta/vega/undPrice: -3.34218577032593E-04-9.14212510968484E-04-1.5782</t>
  </si>
  <si>
    <t>2014-11-26 15:53:8.244: RTWSControl  - tickOptionComputation - id:200050 tickType:13 impliedVol:6.86851019040393E-02 delta:-0.314130370444431 optPrice:3.52513027812295E-03 pvDividend:0 gamma: 1.79769313486232E+308 theta/vega/undPrice: -3.3427699340822E-04-9.14218082928665E-04-1.5782</t>
  </si>
  <si>
    <t>2014-11-26 15:53:8.284: RTWSControl  - tickOptionComputation - id:200051 tickType:13 impliedVol:7.13261685914226E-02 delta:-0.318607334049451 optPrice:3.66757055838384E-03 pvDividend:0 gamma: 1.79769313486232E+308 theta/vega/undPrice: -3.51198001220043E-04-8.82721796838797E-04-1.5782</t>
  </si>
  <si>
    <t>2014-11-26 15:53:8.325: RTWSControl  - tickOptionComputation - id:200052 tickType:13 impliedVol:0.118779698097036 delta:-0.520744357242682 optPrice:1.26469604531277E-02 pvDividend:0 gamma: 1.79769313486232E+308 theta/vega/undPrice: -6.52740861853121E-04-9.8524632157188E-04-1.5782</t>
  </si>
  <si>
    <t>2014-11-26 15:53:8.367: RTWSControl  - tickOptionComputation - id:200048 tickType:13 impliedVol:8.29837493672336E-02 delta:-3.02453250847385E-02 optPrice:2.48368118442607E-04 pvDividend:0 gamma: 1.79769313486232E+308 theta/vega/undPrice: -7.74320191442644E-05-2.00827476987146E-04-1.5782</t>
  </si>
  <si>
    <t>2014-11-26 15:53:8.411: RTWSControl  - tickOptionComputation - id:200053 tickType:13 impliedVol:6.45111292399587E-02 delta:8.99432091292424E-02 optPrice:6.77071115961437E-04 pvDividend:0 gamma: 1.79769313486232E+308 theta/vega/undPrice: -1.43265747799991E-04-4.47309573439254E-04-1.5782</t>
  </si>
  <si>
    <t>2014-11-26 15:53:8.450: RTWSControl  - tickOptionComputation - id:200054 tickType:13 impliedVol:7.04618313749883E-02 delta:1.66315975050341E-03 optPrice:8.57765655762468E-06 pvDividend:0 gamma: 0.302673110094376 theta/vega/undPrice: -5.12588582105537E-06-2.41111680494452E-05-1.5782</t>
  </si>
  <si>
    <t>2014-11-26 15:53:8.526: RTWSControl  - tickOptionComputation - id:200042 tickType:10 impliedVol:8.94820392899833E-02 delta:-4.43456326186347E-02 optPrice:1.99999994947575E-04 pvDividend:0 gamma: 1.79769313486232E+308 theta/vega/undPrice: -2.3667227431194E-04-1.43285454332149E-04-1.5782</t>
  </si>
  <si>
    <t>2014-11-26 15:53:8.577: RTWSControl  - tickOptionComputation - id:200042 tickType:11 impliedVol:8.94820392899833E-02 delta:-4.43456326186347E-02 optPrice:1.99999994947575E-04 pvDividend:0 gamma: 1.79769313486232E+308 theta/vega/undPrice: -2.3667227431194E-04-1.43285454332149E-04-1.5782</t>
  </si>
  <si>
    <t>2014-11-26 15:53:8.622: RTWSControl  - tickOptionComputation - id:200041 tickType:10 impliedVol:6.00764378829874E-02 delta:0.96582879806297 optPrice:1.32999997586012E-02 pvDividend:0 gamma: 1.79769313486232E+308 theta/vega/undPrice: -1.27499876595294E-04-1.2079518467838E-04-1.5782</t>
  </si>
  <si>
    <t>2014-11-26 15:53:8.664: RTWSControl  - tickOptionComputation - id:200041 tickType:11 impliedVol:8.07150774218189E-02 delta:0.912716341161943 optPrice:1.36000001803041E-02 pvDividend:0 gamma: 1.79769313486232E+308 theta/vega/undPrice: -3.60342524353994E-04-2.15272449291105E-04-1.5782</t>
  </si>
  <si>
    <t>2014-11-26 15:53:8.709: RTWSControl  - tickOptionComputation - id:200043 tickType:10 impliedVol:6.00547273982629E-02 delta:-3.41099419460272E-02 optPrice:9.99999974737875E-05 pvDividend:0 gamma: 1.79769313486232E+308 theta/vega/undPrice: -1.27391276707339E-04-1.20674710404084E-04-1.5782</t>
  </si>
  <si>
    <t>2014-11-26 15:53:8.752: RTWSControl  - tickOptionComputation - id:200043 tickType:11 impliedVol:7.56539844571329E-02 delta:-0.072822927879598 optPrice:3.00000014249235E-04 pvDividend:0 gamma: 1.79769313486232E+308 theta/vega/undPrice: -2.96142034120244E-04-2.05618661753686E-04-1.5782</t>
  </si>
  <si>
    <t>2014-11-26 15:53:8.818: RTWSControl  - tickOptionComputation - id:200044 tickType:10 impliedVol:6.11661766966444E-02 delta:0.867388799764454 optPrice:8.70000012218952E-03 pvDividend:0 gamma: 1.79769313486232E+308 theta/vega/undPrice: -3.70912236240508E-04-2.9775618280845E-04-1.5782</t>
  </si>
  <si>
    <t>2014-11-26 15:53:8.868: RTWSControl  - tickOptionComputation - id:200044 tickType:11 impliedVol:1.79769313486232E+308 delta:1.79769313486232E+308 optPrice:9.10000037401915E-03 pvDividend:0 gamma: 1.79769313486232E+308 theta/vega/undPrice: 1.79769313486232E+308-1.79769313486232E+308-1.5782</t>
  </si>
  <si>
    <t>2014-11-26 15:53:8.908: RTWSControl  - tickOptionComputation - id:200046 tickType:10 impliedVol:0.064520661724358 delta:-0.146607913367664 optPrice:6.00000028498471E-04 pvDividend:0 gamma: 1.79769313486232E+308 theta/vega/undPrice: -4.16963315100316E-04-2.97756368267074E-04-1.5782</t>
  </si>
  <si>
    <t>2014-11-26 15:53:8.950: RTWSControl  - tickOptionComputation - id:200046 tickType:11 impliedVol:7.12214657998713E-02 delta:-0.170634575200646 optPrice:7.999999797903E-04 pvDividend:0 gamma: 1.79769313486232E+308 theta/vega/undPrice: -5.08843896337693E-04-3.10967168963347E-04-1.5782</t>
  </si>
  <si>
    <t>2014-11-26 15:53:8.997: RTWSControl  - tickOptionComputation - id:200045 tickType:10 impliedVol:1.79769313486232E+308 delta:1.79769313486232E+308 optPrice:4.90000005811453E-03 pvDividend:0 gamma: 1.79769313486232E+308 theta/vega/undPrice: 1.79769313486232E+308-1.79769313486232E+308-1.5782</t>
  </si>
  <si>
    <t>2014-11-26 15:53:9.32: RTWSControl  - tickOptionComputation - id:200045 tickType:11 impliedVol:6.67614741100003E-02 delta:0.654008086502575 optPrice:5.10000018402934E-03 pvDividend:0 gamma: 1.79769313486232E+308 theta/vega/undPrice: -6.93847753749557E-04-4.45576489475183E-04-1.5782</t>
  </si>
  <si>
    <t>2014-11-26 15:53:9.80: RTWSControl  - tickOptionComputation - id:200047 tickType:10 impliedVol:0.062275978966538 delta:-0.335650190888486 optPrice:1.70000002253801E-03 pvDividend:0 gamma: 1.79769313486232E+308 theta/vega/undPrice: -6.39399860215686E-04-4.45577335899806E-04-1.5782</t>
  </si>
  <si>
    <t>2014-11-26 15:53:9.121: RTWSControl  - tickOptionComputation - id:200047 tickType:11 impliedVol:0.06452025313591 delta:-0.34099854127712 optPrice:1.79999996908009E-03 pvDividend:0 gamma: 1.79769313486232E+308 theta/vega/undPrice: -6.66653984381729E-04-4.45577234581094E-04-1.5782</t>
  </si>
  <si>
    <t>2014-11-26 15:53:9.169: RTWSControl  - tickOptionComputation - id:200055 tickType:10 impliedVol:5.99605185345598E-02 delta:0.403051560589044 optPrice:2.09999992512167E-03 pvDividend:0 gamma: 1.79769313486232E+308 theta/vega/undPrice: -6.57367598794578E-04-4.83473805050097E-04-1.5782</t>
  </si>
  <si>
    <t>2014-11-26 15:53:9.208: RTWSControl  - tickOptionComputation - id:200055 tickType:11 impliedVol:6.20288989497115E-02 delta:0.406347471619345 optPrice:2.19999998807907E-03 pvDividend:0 gamma: 1.79769313486232E+308 theta/vega/undPrice: -6.8086262322492E-04-4.83473703786484E-04-1.5782</t>
  </si>
  <si>
    <t>2014-11-26 15:53:9.276: RTWSControl  - tickOptionComputation - id:200049 tickType:10 impliedVol:6.84159089949376E-02 delta:0.68653324791303 optPrice:1.16999996826053E-02 pvDividend:0 gamma: 1.79769313486232E+308 theta/vega/undPrice: -3.32630688056814E-04-9.1421262803484E-04-1.5782</t>
  </si>
  <si>
    <t>2014-11-26 15:53:9.327: RTWSControl  - tickOptionComputation - id:200049 tickType:11 impliedVol:7.06035863293513E-02 delta:0.681157579663233 optPrice:1.19000002741814E-02 pvDividend:0 gamma: 1.79769313486232E+308 theta/vega/undPrice: -3.45535132060508E-04-9.14211666526501E-04-1.5782</t>
  </si>
  <si>
    <t>2014-11-26 15:53:9.373: RTWSControl  - tickOptionComputation - id:200050 tickType:10 impliedVol:0.068410220991583 delta:-0.313396048437285 optPrice:3.50000010803342E-03 pvDividend:0 gamma: 1.79769313486232E+308 theta/vega/undPrice: -3.32655528919243E-04-9.14218200721232E-04-1.5782</t>
  </si>
  <si>
    <t>2014-11-26 15:53:9.411: RTWSControl  - tickOptionComputation - id:200050 tickType:11 impliedVol:7.06067608038737E-02 delta:-0.318793739618146 optPrice:3.70000000111759E-03 pvDividend:0 gamma: 1.79769313486232E+308 theta/vega/undPrice: -3.45612439130719E-04-9.14217249278225E-04-1.5782</t>
  </si>
  <si>
    <t>2014-11-26 15:53:9.457: RTWSControl  - tickOptionComputation - id:200051 tickType:10 impliedVol:6.71349167677246E-02 delta:-0.308369609679901 optPrice:3.29999998211861E-03 pvDividend:0 gamma: 1.79769313486232E+308 theta/vega/undPrice: -3.25971726643661E-04-8.70464926399103E-04-1.5782</t>
  </si>
  <si>
    <t>2014-11-26 15:53:9.502: RTWSControl  - tickOptionComputation - id:200051 tickType:11 impliedVol:7.05606882239087E-02 delta:-0.316785887146904 optPrice:3.59999993816018E-03 pvDividend:0 gamma: 1.79769313486232E+308 theta/vega/undPrice: -3.46606960907848E-04-8.80633134325923E-04-1.5782</t>
  </si>
  <si>
    <t>2014-11-26 15:53:9.568: RTWSControl  - tickOptionComputation - id:200052 tickType:10 impliedVol:1.79769313486232E+308 delta:1.79769313486232E+308 optPrice:1.79769313486232E+308 pvDividend:0 gamma: 1.79769313486232E+308 theta/vega/undPrice: 1.79769313486232E+308-1.79769313486232E+308-1.5782</t>
  </si>
  <si>
    <t>2014-11-26 15:53:9.583: RTWSControl  - tickOptionComputation - id:200052 tickType:11 impliedVol:1.79769313486232E+308 delta:1.79769313486232E+308 optPrice:1.79769313486232E+308 pvDividend:0 gamma: 1.79769313486232E+308 theta/vega/undPrice: 1.79769313486232E+308-1.79769313486232E+308-1.5782</t>
  </si>
  <si>
    <t>2014-11-26 15:53:9.647: RTWSControl  - tickOptionComputation - id:200048 tickType:10 impliedVol:8.03132236881595E-02 delta:-2.58172411936203E-02 optPrice:1.99999994947575E-04 pvDividend:0 gamma: 1.79769313486232E+308 theta/vega/undPrice: -6.58180345218897E-05-1.79310988808745E-04-1.5782</t>
  </si>
  <si>
    <t>2014-11-26 15:53:9.700: RTWSControl  - tickOptionComputation - id:200048 tickType:11 impliedVol:8.58632090656982E-02 delta:-3.47024904522425E-02 optPrice:3.00000014249235E-04 pvDividend:0 gamma: 1.79769313486232E+308 theta/vega/undPrice: -8.99546209139138E-05-2.33436665256583E-04-1.5782</t>
  </si>
  <si>
    <t>2014-11-26 15:53:9.748: RTWSControl  - tickOptionComputation - id:200053 tickType:10 impliedVol:6.27881415394862E-02 delta:8.33250393951559E-02 optPrice:6.00000028498471E-04 pvDividend:0 gamma: 1.79769313486232E+308 theta/vega/undPrice: -1.32119047494809E-04-4.473099073223E-04-1.5782</t>
  </si>
  <si>
    <t>2014-11-26 15:53:9.786: RTWSControl  - tickOptionComputation - id:200053 tickType:11 impliedVol:6.50083246377887E-02 delta:9.17734611917862E-02 optPrice:6.99999975040555E-04 pvDividend:0 gamma: 1.79769313486232E+308 theta/vega/undPrice: -1.46482302132931E-04-4.47309478022752E-04-1.5782</t>
  </si>
  <si>
    <t>2014-11-26 15:53:9.834: RTWSControl  - tickOptionComputation - id:200054 tickType:10 impliedVol:1.79769313486232E+308 delta:1.79769313486232E+308 optPrice:1.79769313486232E+308 pvDividend:0 gamma: 1.79769313486232E+308 theta/vega/undPrice: 1.79769313486232E+308-1.79769313486232E+308-1.5782</t>
  </si>
  <si>
    <t>2014-11-26 15:53:9.866: RTWSControl  - tickOptionComputation - id:200054 tickType:11 impliedVol:9.15651305014409E-02 delta:0.012416069259172 optPrice:9.99999974737875E-05 pvDividend:0 gamma: 1.79769313486232E+308 theta/vega/undPrice: -4.01719254061316E-05-1.03766927298838E-04-1.5782</t>
  </si>
  <si>
    <t>2014-11-26 15:53:10.566: RTWSControl  - tickOptionComputation - id:200042 tickType:13 impliedVol:8.07798385595788E-02 delta:-3.05629586531834E-02 optPrice:1.18756511864773E-04 pvDividend:0 gamma: 1.79769313486232E+308 theta/vega/undPrice: -1.5625525658804E-04-9.9839071375043E-05-1.5782</t>
  </si>
  <si>
    <t>2014-11-26 15:53:10.618: RTWSControl  - tickOptionComputation - id:200041 tickType:11 impliedVol:8.53603460961835E-02 delta:0.899764375349679 optPrice:1.37000000104308E-02 pvDividend:0 gamma: 1.79769313486232E+308 theta/vega/undPrice: -4.21430165906121E-04-2.1527232171727E-04-1.5782</t>
  </si>
  <si>
    <t>2014-11-26 15:53:10.664: RTWSControl  - tickOptionComputation - id:200041 tickType:13 impliedVol:7.23810434397052E-02 delta:0.934939873208478 optPrice:1.34537312481518E-02 pvDividend:0 gamma: 1.79769313486232E+308 theta/vega/undPrice: -2.58531779140659E-04-1.82132610527285E-04-1.5782</t>
  </si>
  <si>
    <t>2014-11-26 15:53:10.704: RTWSControl  - tickOptionComputation - id:200043 tickType:13 impliedVol:7.23810434397052E-02 delta:-6.51726509554389E-02 optPrice:2.53920139492276E-04 pvDividend:0 gamma: 1.79769313486232E+308 theta/vega/undPrice: -2.58619019882963E-04-1.82132888315727E-04-1.5782</t>
  </si>
  <si>
    <t>2014-11-26 15:53:10.746: RTWSControl  - tickOptionComputation - id:200044 tickType:10 impliedVol:6.45246235042806E-02 delta:0.853362636629491 optPrice:8.79999995231628E-03 pvDividend:0 gamma: 1.79769313486232E+308 theta/vega/undPrice: -4.16962793481017E-04-2.97756079331407E-04-1.5782</t>
  </si>
  <si>
    <t>2014-11-26 15:53:10.788: RTWSControl  - tickOptionComputation - id:200044 tickType:11 impliedVol:7.45999976264977E-02 delta:0.818878582018148 optPrice:9.10000037401915E-03 pvDividend:0 gamma: 1.79769313486232E+308 theta/vega/undPrice: -5.5511474286019E-04-3.38402000500697E-04-1.5782</t>
  </si>
  <si>
    <t>2014-11-26 15:53:10.831: RTWSControl  - tickOptionComputation - id:200044 tickType:13 impliedVol:6.64725408315263E-02 delta:0.845985241979704 optPrice:8.85800043435185E-03 pvDividend:0 gamma: 1.79769313486232E+308 theta/vega/undPrice: -4.43672352148924E-04-2.97756019217985E-04-1.5782</t>
  </si>
  <si>
    <t>2014-11-26 15:53:10.871: RTWSControl  - tickOptionComputation - id:200046 tickType:13 impliedVol:6.64725408315263E-02 delta:-0.154127454448086 optPrice:6.58118496097688E-04 pvDividend:0 gamma: 1.79769313486232E+308 theta/vega/undPrice: -4.43727248033462E-04-2.97756308399252E-04-1.5782</t>
  </si>
  <si>
    <t>2014-11-26 15:53:10.915: RTWSControl  - tickOptionComputation - id:200045 tickType:10 impliedVol:0.062282631414827 delta:0.664320091129693 optPrice:4.90000005811453E-03 pvDividend:0 gamma: 1.79769313486232E+308 theta/vega/undPrice: -6.39457570714512E-04-4.45576695950062E-04-1.5782</t>
  </si>
  <si>
    <t>2014-11-26 15:53:10.957: RTWSControl  - tickOptionComputation - id:200045 tickType:13 impliedVol:6.30543307350564E-02 delta:0.662522013813293 optPrice:4.93463331291229E-03 pvDividend:0 gamma: 1.79769313486232E+308 theta/vega/undPrice: -6.48828939585801E-04-4.45576661171087E-04-1.5782</t>
  </si>
  <si>
    <t>2014-11-26 15:53:11.1: RTWSControl  - tickOptionComputation - id:200047 tickType:10 impliedVol:6.00316953390516E-02 delta:-0.329899551150089 optPrice:1.5999999595806E-03 pvDividend:0 gamma: 1.79769313486232E+308 theta/vega/undPrice: -6.12145606130793E-04-4.45577435138029E-04-1.5782</t>
  </si>
  <si>
    <t>2014-11-26 15:53:11.46: RTWSControl  - tickOptionComputation - id:200047 tickType:13 impliedVol:6.30543307350564E-02 delta:-0.3375911526438 optPrice:1.73468192253335E-03 pvDividend:0 gamma: 1.79769313486232E+308 theta/vega/undPrice: -6.48852047446079E-04-4.45577300825417E-04-1.5782</t>
  </si>
  <si>
    <t>2014-11-26 15:53:11.113: RTWSControl  - tickOptionComputation - id:200055 tickType:13 impliedVol:6.21264131502528E-02 delta:0.406548897157907 optPrice:2.20471529661319E-03 pvDividend:0 gamma: 1.79769313486232E+308 theta/vega/undPrice: -6.81970300438543E-04-4.83473698936684E-04-1.5782</t>
  </si>
  <si>
    <t>2014-11-26 15:53:11.158: RTWSControl  - tickOptionComputation - id:200049 tickType:13 impliedVol:6.85048944962343E-02 delta:0.686394598689194 optPrice:1.17081348683968E-02 pvDividend:0 gamma: 1.79769313486232E+308 theta/vega/undPrice: -3.33155587140408E-04-9.14212589373796E-04-1.5782</t>
  </si>
  <si>
    <t>2014-11-26 15:53:11.202: RTWSControl  - tickOptionComputation - id:200050 tickType:13 impliedVol:6.85048944962343E-02 delta:-0.313675579065332 optPrice:3.50865535210112E-03 pvDividend:0 gamma: 1.79769313486232E+308 theta/vega/undPrice: -3.33213988000028E-04-9.14218160193788E-04-1.5782</t>
  </si>
  <si>
    <t>2014-11-26 15:53:11.241: RTWSControl  - tickOptionComputation - id:200051 tickType:13 impliedVol:7.05606889276318E-02 delta:-0.316825948472031 optPrice:3.60007950337042E-03 pvDividend:0 gamma: 1.79769313486232E+308 theta/vega/undPrice: -3.46606965131708E-04-8.80633136275075E-04-1.5782</t>
  </si>
  <si>
    <t>2014-11-26 15:53:11.284: RTWSControl  - tickOptionComputation - id:200052 tickType:13 impliedVol:0.119315447449964 delta:-0.520618070128252 optPrice:1.26997456112696E-02 pvDividend:0 gamma: 1.79769313486232E+308 theta/vega/undPrice: -6.55695803528167E-04-9.85262490085856E-04-1.5782</t>
  </si>
  <si>
    <t>2014-11-26 15:53:11.325: RTWSControl  - tickOptionComputation - id:200048 tickType:13 impliedVol:8.40566270940073E-02 delta:-3.19435461300313E-02 optPrice:2.67606012135292E-04 pvDividend:0 gamma: 1.79769313486232E+308 theta/vega/undPrice: -8.2097904762974E-05-2.12977569123191E-04-1.5782</t>
  </si>
  <si>
    <t>2014-11-26 15:53:11.369: RTWSControl  - tickOptionComputation - id:200055 tickType:11 impliedVol:6.40972631715691E-02 delta:0.409432689274868 optPrice:2.30000005103648E-03 pvDividend:0 gamma: 1.79769313486232E+308 theta/vega/undPrice: -7.04357450471257E-04-4.83473599443522E-04-1.5782</t>
  </si>
  <si>
    <t>2014-11-26 15:53:11.409: RTWSControl  - tickOptionComputation - id:200053 tickType:13 impliedVol:6.41502965285046E-02 delta:8.85886958495112E-02 optPrice:6.60930686822166E-04 pvDividend:0 gamma: 1.79769313486232E+308 theta/vega/undPrice: -1.40931377059388E-04-4.47309642948181E-04-1.5782</t>
  </si>
  <si>
    <t>2014-11-26 15:53:11.450: RTWSControl  - tickOptionComputation - id:200054 tickType:13 impliedVol:7.09928331908181E-02 delta:1.75655370953839E-03 optPrice:9.15013646993991E-06 pvDividend:0 gamma: 0.31631613350766 theta/vega/undPrice: -5.43797965688434E-06-2.63772210701238E-05-1.5782</t>
  </si>
  <si>
    <t>2014-11-26 15:53:11.495: RTWSControl  - tickOptionComputation - id:200052 tickType:10 impliedVol:1.79769313486232E+308 delta:1.79769313486232E+308 optPrice:1.79769313486232E+308 pvDividend:0 gamma: 1.79769313486232E+308 theta/vega/undPrice: 1.79769313486232E+308-1.79769313486232E+308-1.5782</t>
  </si>
  <si>
    <t>2014-11-26 15:53:11.532: RTWSControl  - tickOptionComputation - id:200052 tickType:11 impliedVol:1.79769313486232E+308 delta:1.79769313486232E+308 optPrice:1.79769313486232E+308 pvDividend:0 gamma: 1.79769313486232E+308 theta/vega/undPrice: 1.79769313486232E+308-1.79769313486232E+308-1.5782</t>
  </si>
  <si>
    <t>2014-11-26 15:53:11.572: RTWSControl  - tickOptionComputation - id:200054 tickType:10 impliedVol:1.79769313486232E+308 delta:1.79769313486232E+308 optPrice:1.79769313486232E+308 pvDividend:0 gamma: 1.79769313486232E+308 theta/vega/undPrice: 1.79769313486232E+308-1.79769313486232E+308-1.5782</t>
  </si>
  <si>
    <t>2014-11-26 15:53:11.745: DirectionIndicator - notify - price/longMA/ShortMA/prevDirection are 1.5783/1.57815953483404/1.5782159050141/1</t>
  </si>
  <si>
    <t>2014-11-26 15:53:11.746: Algorithm - handleTransition - currentHedgeShortfall is NOT ZERO and AUTOHEDGE IS NOT ENABLED!</t>
  </si>
  <si>
    <t>2014-11-26 15:53:11.868: DirectionIndicator - notify - price/longMA/ShortMA/prevDirection are 1.57825/1.57817598304604/1.5782272700094/1</t>
  </si>
  <si>
    <t>2014-11-26 15:53:11.869: Algorithm - handleTransition - currentHedgeShortfall is NOT ZERO and AUTOHEDGE IS NOT ENABLED!</t>
  </si>
  <si>
    <t>2014-11-26 15:53:12.67: RTWSControl  - tickOptionComputation - id:200042 tickType:13 impliedVol:8.07798385595788E-02 delta:-0.029829290822986 optPrice:1.15533665709354E-04 pvDividend:0 gamma: 1.79769313486232E+308 theta/vega/undPrice: -1.53143881409914E-04-9.7157313264451E-05-1.5783</t>
  </si>
  <si>
    <t>2014-11-26 15:53:12.119: RTWSControl  - tickOptionComputation - id:200041 tickType:13 impliedVol:7.23810434397052E-02 delta:0.936278236735259 optPrice:1.35478168585236E-02 pvDividend:0 gamma: 1.79769313486232E+308 theta/vega/undPrice: -2.54230136965718E-04-1.77970086449196E-04-1.5783</t>
  </si>
  <si>
    <t>2014-11-26 15:53:12.160: RTWSControl  - tickOptionComputation - id:200043 tickType:13 impliedVol:7.23810434397052E-02 delta:-0.06383428645127 optPrice:2.48007175474993E-04 pvDividend:0 gamma: 1.79769313486232E+308 theta/vega/undPrice: -2.54318031587208E-04-1.77970360861465E-04-1.5783</t>
  </si>
  <si>
    <t>2014-11-26 15:53:12.203: RTWSControl  - tickOptionComputation - id:200044 tickType:13 impliedVol:6.64725408315263E-02 delta:0.849008174435376 optPrice:8.94195020971999E-03 pvDividend:0 gamma: 1.79769313486232E+308 theta/vega/undPrice: -4.3799645921184E-04-2.97765451453786E-04-1.5783</t>
  </si>
  <si>
    <t>2014-11-26 15:53:12.244: RTWSControl  - tickOptionComputation - id:200046 tickType:13 impliedVol:6.64725408315263E-02 delta:-0.151104518836127 optPrice:6.42069687920599E-04 pvDividend:0 gamma: 1.79769313486232E+308 theta/vega/undPrice: -4.38052003471038E-04-2.97765740437148E-04-1.5783</t>
  </si>
  <si>
    <t>2014-11-26 15:53:12.287: RTWSControl  - tickOptionComputation - id:200045 tickType:13 impliedVol:6.30543307350564E-02 delta:0.667291307202644 optPrice:5.00113086814185E-03 pvDividend:0 gamma: 1.79769313486232E+308 theta/vega/undPrice: -6.45200246352443E-04-4.45590776387698E-04-1.5783</t>
  </si>
  <si>
    <t>2014-11-26 15:53:12.327: RTWSControl  - tickOptionComputation - id:200047 tickType:13 impliedVol:6.30543307350564E-02 delta:-0.332821851520339 optPrice:1.70118087090318E-03 pvDividend:0 gamma: 1.79769313486232E+308 theta/vega/undPrice: -6.45223994666545E-04-4.45591416055869E-04-1.5783</t>
  </si>
  <si>
    <t>2014-11-26 15:53:12.369: RTWSControl  - tickOptionComputation - id:200055 tickType:13 impliedVol:6.21264131502528E-02 delta:0.411802244719457 optPrice:2.24919602635508E-03 pvDividend:0 gamma: 1.79769313486232E+308 theta/vega/undPrice: -6.83311325650716E-04-4.83489013065066E-04-1.5783</t>
  </si>
  <si>
    <t>2014-11-26 15:53:12.409: RTWSControl  - tickOptionComputation - id:200049 tickType:13 impliedVol:6.85048944962343E-02 delta:0.688526430009539 optPrice:1.17747390153099E-02 pvDividend:0 gamma: 1.79769313486232E+308 theta/vega/undPrice: -3.32303218716148E-04-9.14241556999922E-04-1.5783</t>
  </si>
  <si>
    <t>2014-11-26 15:53:12.451: RTWSControl  - tickOptionComputation - id:200050 tickType:13 impliedVol:6.85048944962343E-02 delta:-0.311543733066803 optPrice:3.47526538326491E-03 pvDividend:0 gamma: 1.79769313486232E+308 theta/vega/undPrice: -3.32362260046131E-04-9.14247122084853E-04-1.5783</t>
  </si>
  <si>
    <t>2014-11-26 15:53:12.491: RTWSControl  - tickOptionComputation - id:200051 tickType:13 impliedVol:7.05606889276318E-02 delta:-0.31478803095373 optPrice:3.56850289871196E-03 pvDividend:0 gamma: 1.79769313486232E+308 theta/vega/undPrice: -3.45677917628269E-04-8.78272315017661E-04-1.5783</t>
  </si>
  <si>
    <t>2014-11-26 15:53:12.534: RTWSControl  - tickOptionComputation - id:200052 tickType:13 impliedVol:0.119315447449964 delta:-0.51926773387216 optPrice:1.26477604740348E-02 pvDividend:0 gamma: 1.79769313486232E+308 theta/vega/undPrice: -6.55848656085486E-04-9.85491626292498E-04-1.5783</t>
  </si>
  <si>
    <t>2014-11-26 15:53:12.575: RTWSControl  - tickOptionComputation - id:200048 tickType:13 impliedVol:8.40566270940073E-02 delta:-3.16026743785915E-02 optPrice:2.64408814589732E-04 pvDividend:0 gamma: 1.79769313486232E+308 theta/vega/undPrice: -8.13674728418212E-05-2.10316833213439E-04-1.5783</t>
  </si>
  <si>
    <t>2014-11-26 15:53:12.619: RTWSControl  - tickOptionComputation - id:200053 tickType:13 impliedVol:6.41502965285046E-02 delta:8.97033393394876E-02 optPrice:6.71152595814009E-04 pvDividend:0 gamma: 1.79769313486232E+308 theta/vega/undPrice: -1.42201781505539E-04-4.47323816112065E-04-1.5783</t>
  </si>
  <si>
    <t>2014-11-26 15:53:12.658: RTWSControl  - tickOptionComputation - id:200054 tickType:13 impliedVol:7.09928331908181E-02 delta:1.78080652205875E-03 optPrice:9.28264328145013E-06 pvDividend:0 gamma: 0.320426953748613 theta/vega/undPrice: -5.50934925726143E-06-2.70256037843634E-05-1.5783</t>
  </si>
  <si>
    <t>2014-11-26 15:53:12.862: RTWSControl  - tickOptionComputation - id:200042 tickType:10 impliedVol:8.98941538433329E-02 delta:-4.41754736670565E-02 optPrice:1.99999994947575E-04 pvDividend:0 gamma: 1.79769313486232E+308 theta/vega/undPrice: -2.3709481092338E-04-1.43289985432651E-04-1.5783</t>
  </si>
  <si>
    <t>2014-11-26 15:53:12.913: RTWSControl  - tickOptionComputation - id:200042 tickType:11 impliedVol:8.98941538433329E-02 delta:-4.41754736670565E-02 optPrice:1.99999994947575E-04 pvDividend:0 gamma: 1.79769313486232E+308 theta/vega/undPrice: -2.3709481092338E-04-1.43289985432651E-04-1.5783</t>
  </si>
  <si>
    <t>2014-11-26 15:53:12.960: RTWSControl  - tickOptionComputation - id:200041 tickType:10 impliedVol:3.40299561973206E-02 delta:0.999473050974062 optPrice:1.32999997586012E-02 pvDividend:0 gamma: 0.434067164386034 theta/vega/undPrice: -1.62774924656769E-06-9.59944301072435E-06-1.5783</t>
  </si>
  <si>
    <t>2014-11-26 15:53:13.2: RTWSControl  - tickOptionComputation - id:200041 tickType:11 impliedVol:8.11832076798887E-02 delta:0.913132786464621 optPrice:1.37000000104308E-02 pvDividend:0 gamma: 1.79769313486232E+308 theta/vega/undPrice: -3.61221125407215E-04-2.15279256228211E-04-1.5783</t>
  </si>
  <si>
    <t>2014-11-26 15:53:13.69: RTWSControl  - tickOptionComputation - id:200043 tickType:10 impliedVol:6.04819408487537E-02 delta:-3.40527455641712E-02 optPrice:9.99999974737875E-05 pvDividend:0 gamma: 1.79769313486232E+308 theta/vega/undPrice: -1.28123623736858E-04-1.20362733003317E-04-1.5783</t>
  </si>
  <si>
    <t>2014-11-26 15:53:13.119: RTWSControl  - tickOptionComputation - id:200043 tickType:11 impliedVol:7.60037375424433E-02 delta:-7.23275604454265E-02 optPrice:3.00000014249235E-04 pvDividend:0 gamma: 1.79769313486232E+308 theta/vega/undPrice: -2.95852145159084E-04-2.03966694738051E-04-1.5783</t>
  </si>
  <si>
    <t>2014-11-26 15:53:13.164: RTWSControl  - tickOptionComputation - id:200044 tickType:10 impliedVol:6.17053609587926E-02 delta:0.868289314769921 optPrice:8.79999995231628E-03 pvDividend:0 gamma: 1.79769313486232E+308 theta/vega/undPrice: -3.72627493936537E-04-2.97765600163667E-04-1.5783</t>
  </si>
  <si>
    <t>2014-11-26 15:53:13.205: RTWSControl  - tickOptionComputation - id:200044 tickType:11 impliedVol:7.17804139855364E-02 delta:0.830350343900403 optPrice:9.10000037401915E-03 pvDividend:0 gamma: 1.79769313486232E+308 theta/vega/undPrice: -5.10779495712889E-04-3.07653445361799E-04-1.5783</t>
  </si>
  <si>
    <t>2014-11-26 15:53:13.251: RTWSControl  - tickOptionComputation - id:200046 tickType:10 impliedVol:6.50596974921634E-02 delta:-0.145636210965801 optPrice:6.00000028498471E-04 pvDividend:0 gamma: 1.79769313486232E+308 theta/vega/undPrice: -4.18678651742491E-04-2.97765784346119E-04-1.5783</t>
  </si>
  <si>
    <t>2014-11-26 15:53:13.293: RTWSControl  - tickOptionComputation - id:200046 tickType:11 impliedVol:7.17621850839554E-02 delta:-0.169576914328869 optPrice:7.999999797903E-04 pvDividend:0 gamma: 1.79769313486232E+308 theta/vega/undPrice: -5.10585218784178E-04-3.07506197923147E-04-1.5783</t>
  </si>
  <si>
    <t>2014-11-26 15:53:13.360: RTWSControl  - tickOptionComputation - id:200045 tickType:10 impliedVol:6.07847431037284E-02 delta:0.67305654175217 optPrice:4.90000005811453E-03 pvDividend:0 gamma: 1.79769313486232E+308 theta/vega/undPrice: -6.17637930189355E-04-4.45590878257906E-04-1.5783</t>
  </si>
  <si>
    <t>2014-11-26 15:53:13.410: RTWSControl  - tickOptionComputation - id:200045 tickType:11 impliedVol:6.52767882727149E-02 delta:0.661875143381955 optPrice:5.10000018402934E-03 pvDividend:0 gamma: 1.79769313486232E+308 theta/vega/undPrice: -6.72190190250235E-04-4.45590673856184E-04-1.5783</t>
  </si>
  <si>
    <t>2014-11-26 15:53:13.456: RTWSControl  - tickOptionComputation - id:200047 tickType:10 impliedVol:6.07966083978783E-02 delta:-0.326961876053413 optPrice:1.5999999595806E-03 pvDividend:0 gamma: 1.79769313486232E+308 theta/vega/undPrice: -6.17805679967474E-04-4.45591517225939E-04-1.5783</t>
  </si>
  <si>
    <t>2014-11-26 15:53:13.497: RTWSControl  - tickOptionComputation - id:200047 tickType:11 impliedVol:6.52720363265627E-02 delta:-0.338100558478556 optPrice:1.79999996908009E-03 pvDividend:0 gamma: 1.79769313486232E+308 theta/vega/undPrice: -6.7215632206045E-04-4.45591313751182E-04-1.5783</t>
  </si>
  <si>
    <t>2014-11-26 15:53:13.542: RTWSControl  - tickOptionComputation - id:200055 tickType:10 impliedVol:5.90200446113161E-02 delta:0.407006513791025 optPrice:2.09999992512167E-03 pvDividend:0 gamma: 1.79769313486232E+308 theta/vega/undPrice: -6.48024526361375E-04-4.83489163951207E-04-1.5783</t>
  </si>
  <si>
    <t>2014-11-26 15:53:13.585: RTWSControl  - tickOptionComputation - id:200055 tickType:11 impliedVol:6.31598178346826E-02 delta:0.413225866519519 optPrice:2.30000005103648E-03 pvDividend:0 gamma: 1.79769313486232E+308 theta/vega/undPrice: -6.95050281562291E-04-4.83488961328902E-04-1.5783</t>
  </si>
  <si>
    <t>2014-11-26 15:53:13.651: RTWSControl  - tickOptionComputation - id:200049 tickType:10 impliedVol:6.76873956276847E-02 delta:0.690558669285803 optPrice:1.16999996826053E-02 pvDividend:0 gamma: 1.79769313486232E+308 theta/vega/undPrice: -3.27480880468915E-04-9.1424191153436E-04-1.5783</t>
  </si>
  <si>
    <t>2014-11-26 15:53:13.701: RTWSControl  - tickOptionComputation - id:200049 tickType:11 impliedVol:6.98750029112689E-02 delta:0.684999926204871 optPrice:1.19000002741814E-02 pvDividend:0 gamma: 1.79769313486232E+308 theta/vega/undPrice: -3.40385331195662E-04-9.14240955583874E-04-1.5783</t>
  </si>
  <si>
    <t>2014-11-26 15:53:13.748: RTWSControl  - tickOptionComputation - id:200050 tickType:10 impliedVol:6.87754413556765E-02 delta:-0.312194495988873 optPrice:3.50000010803342E-03 pvDividend:0 gamma: 1.79769313486232E+308 theta/vega/undPrice: -3.33958209273738E-04-9.14247005762003E-04-1.5783</t>
  </si>
  <si>
    <t>2014-11-26 15:53:13.785: RTWSControl  - tickOptionComputation - id:200050 tickType:11 impliedVol:7.09723879946914E-02 delta:-0.317601762404833 optPrice:3.70000000111759E-03 pvDividend:0 gamma: 1.79769313486232E+308 theta/vega/undPrice: -3.46917924362141E-04-9.14246048101733E-04-1.5783</t>
  </si>
  <si>
    <t>2014-11-26 15:53:13.834: RTWSControl  - tickOptionComputation - id:200051 tickType:10 impliedVol:6.74879021968727E-02 delta:-0.307163749525426 optPrice:3.29999998211861E-03 pvDividend:0 gamma: 1.79769313486232E+308 theta/vega/undPrice: -3.271427116453E-04-8.69022487985016E-04-1.5783</t>
  </si>
  <si>
    <t>2014-11-26 15:53:13.875: RTWSControl  - tickOptionComputation - id:200051 tickType:11 impliedVol:7.09193139018856E-02 delta:-0.315595021925839 optPrice:3.59999993816018E-03 pvDividend:0 gamma: 1.79769313486232E+308 theta/vega/undPrice: -3.47833434874319E-04-8.79280100624138E-04-1.5783</t>
  </si>
  <si>
    <t>2014-11-26 15:53:13.942: RTWSControl  - tickOptionComputation - id:200052 tickType:10 impliedVol:1.79769313486232E+308 delta:1.79769313486232E+308 optPrice:1.79769313486232E+308 pvDividend:0 gamma: 1.79769313486232E+308 theta/vega/undPrice: 1.79769313486232E+308-1.79769313486232E+308-1.5783</t>
  </si>
  <si>
    <t>2014-11-26 15:53:13.958: RTWSControl  - tickOptionComputation - id:200052 tickType:11 impliedVol:1.79769313486232E+308 delta:1.79769313486232E+308 optPrice:1.79769313486232E+308 pvDividend:0 gamma: 1.79769313486232E+308 theta/vega/undPrice: 1.79769313486232E+308-1.79769313486232E+308-1.5783</t>
  </si>
  <si>
    <t>2014-11-26 15:53:14.22: RTWSControl  - tickOptionComputation - id:200048 tickType:10 impliedVol:8.04905533932256E-02 delta:-2.57644100568493E-02 optPrice:1.99999994947575E-04 pvDividend:0 gamma: 1.79769313486232E+308 theta/vega/undPrice: -6.58583100466427E-05-1.79316651798671E-04-1.5783</t>
  </si>
  <si>
    <t>2014-11-26 15:53:14.76: RTWSControl  - tickOptionComputation - id:200048 tickType:11 impliedVol:8.60414508587795E-02 delta:-3.46357188833915E-02 optPrice:3.00000014249235E-04 pvDividend:0 gamma: 1.79769313486232E+308 theta/vega/undPrice: -8.99996246743496E-05-2.32795185219006E-04-1.5783</t>
  </si>
  <si>
    <t>2014-11-26 15:53:14.123: RTWSControl  - tickOptionComputation - id:200053 tickType:10 impliedVol:6.25596728075276E-02 delta:0.083564772712331 optPrice:6.00000028498471E-04 pvDividend:0 gamma: 1.79769313486232E+308 theta/vega/undPrice: -1.31911068911807E-04-4.47324122871433E-04-1.5783</t>
  </si>
  <si>
    <t>2014-11-26 15:53:14.162: RTWSControl  - tickOptionComputation - id:200053 tickType:11 impliedVol:6.47800333545459E-02 delta:9.20349590362901E-02 optPrice:6.99999975040555E-04 pvDividend:0 gamma: 1.79769313486232E+308 theta/vega/undPrice: -1.46275928846175E-04-4.47323695842645E-04-1.5783</t>
  </si>
  <si>
    <t>2014-11-26 15:53:14.208: RTWSControl  - tickOptionComputation - id:200054 tickType:10 impliedVol:1.79769313486232E+308 delta:1.79769313486232E+308 optPrice:1.79769313486232E+308 pvDividend:0 gamma: 1.79769313486232E+308 theta/vega/undPrice: 1.79769313486232E+308-1.79769313486232E+308-1.5783</t>
  </si>
  <si>
    <t>2014-11-26 15:53:14.242: RTWSControl  - tickOptionComputation - id:200054 tickType:11 impliedVol:9.14031469229053E-02 delta:1.24335066609033E-02 optPrice:9.99999974737875E-05 pvDividend:0 gamma: 1.79769313486232E+308 theta/vega/undPrice: -4.01502576300541E-05-1.03770225188912E-04-1.5783</t>
  </si>
  <si>
    <t>2014-11-26 15:53:15.71: DirectionIndicator - notify - price/longMA/ShortMA/prevDirection are 1.5783/1.57819853158312/1.5782515133396/1</t>
  </si>
  <si>
    <t>2014-11-26 15:53:15.71: Algorithm - handleTransition - currentHedgeShortfall is NOT ZERO and AUTOHEDGE IS NOT ENABLED!</t>
  </si>
  <si>
    <t>2014-11-26 15:53:15.118: DirectionIndicator - notify - price/longMA/ShortMA/prevDirection are 1.57835/1.57822607129528/1.5782843422264/1</t>
  </si>
  <si>
    <t>2014-11-26 15:53:15.118: Algorithm - handleTransition - currentHedgeShortfall is NOT ZERO and AUTOHEDGE IS NOT ENABLED!</t>
  </si>
  <si>
    <t>2014-11-26 15:53:15.608: RTWSControl  - tickOptionComputation - id:200042 tickType:13 impliedVol:8.02389177093232E-02 delta:-2.89203654406288E-02 optPrice:1.10783133685035E-04 pvDividend:0 gamma: 1.79769313486232E+308 theta/vega/undPrice: -1.4827743367596E-04-9.41569859509278E-05-1.5783</t>
  </si>
  <si>
    <t>2014-11-26 15:53:15.660: RTWSControl  - tickOptionComputation - id:200041 tickType:13 impliedVol:7.17913041546581E-02 delta:0.937743718694867 optPrice:1.35393529352159E-02 pvDividend:0 gamma: 1.79769313486232E+308 theta/vega/undPrice: -2.4746879351853E-04-1.73738139440681E-04-1.5783</t>
  </si>
  <si>
    <t>2014-11-26 15:53:15.702: RTWSControl  - tickOptionComputation - id:200043 tickType:13 impliedVol:7.17913041546581E-02 delta:-6.23688034225811E-02 optPrice:2.39543246353032E-04 pvDividend:0 gamma: 1.79769313486232E+308 theta/vega/undPrice: -2.47556680541788E-04-1.73738409357238E-04-1.5783</t>
  </si>
  <si>
    <t>2014-11-26 15:53:15.744: RTWSControl  - tickOptionComputation - id:200044 tickType:13 impliedVol:6.59573538296172E-02 delta:0.850968338434275 optPrice:8.92660971224675E-03 pvDividend:0 gamma: 1.79769313486232E+308 theta/vega/undPrice: -4.3093206725689E-04-2.97765467546687E-04-1.5783</t>
  </si>
  <si>
    <t>2014-11-26 15:53:15.785: RTWSControl  - tickOptionComputation - id:200046 tickType:13 impliedVol:6.59573538296172E-02 delta:-0.149144352792795 optPrice:0.000626729175586 pvDividend:0 gamma: 1.79769313486232E+308 theta/vega/undPrice: -4.30987598078994E-04-2.97765756452795E-04-1.5783</t>
  </si>
  <si>
    <t>2014-11-26 15:53:15.829: RTWSControl  - tickOptionComputation - id:200045 tickType:13 impliedVol:6.27370667341722E-02 delta:0.668083533762619 optPrice:4.98699386960763E-03 pvDividend:0 gamma: 1.79769313486232E+308 theta/vega/undPrice: -6.41347331194645E-04-4.45590790800738E-04-1.5783</t>
  </si>
  <si>
    <t>2014-11-26 15:53:15.870: RTWSControl  - tickOptionComputation - id:200047 tickType:13 impliedVol:6.27370667341722E-02 delta:-0.332029623676609 optPrice:1.68704385207371E-03 pvDividend:0 gamma: 1.79769313486232E+308 theta/vega/undPrice: -6.41371066345281E-04-4.45591430467665E-04-1.5783</t>
  </si>
  <si>
    <t>2014-11-26 15:53:15.911: RTWSControl  - tickOptionComputation - id:200055 tickType:13 impliedVol:0.06213044286838 delta:0.411808094167841 optPrice:2.24939085889781E-03 pvDividend:0 gamma: 1.79769313486232E+308 theta/vega/undPrice: -6.83357101222724E-04-4.83489012862431E-04-1.5783</t>
  </si>
  <si>
    <t>2014-11-26 15:53:15.949: RTWSControl  - tickOptionComputation - id:200049 tickType:13 impliedVol:6.87303732810971E-02 delta:0.687950791959124 optPrice:1.17953532700049E-02 pvDividend:0 gamma: 1.79769313486232E+308 theta/vega/undPrice: -3.33633293109911E-04-9.14241458647937E-04-1.5783</t>
  </si>
  <si>
    <t>2014-11-26 15:53:15.994: RTWSControl  - tickOptionComputation - id:200050 tickType:13 impliedVol:6.87303732810971E-02 delta:-0.31211937507297 optPrice:3.49587976328303E-03 pvDividend:0 gamma: 1.79769313486232E+308 theta/vega/undPrice: -3.33692353852119E-04-9.14247025163179E-04-1.5783</t>
  </si>
  <si>
    <t>2014-11-26 15:53:16.33: RTWSControl  - tickOptionComputation - id:200051 tickType:13 impliedVol:7.09193146147493E-02 delta:-0.315634932680283 optPrice:3.60001814111217E-03 pvDividend:0 gamma: 1.79769313486232E+308 theta/vega/undPrice: -3.47833439157441E-04-8.79280102613339E-04-1.5783</t>
  </si>
  <si>
    <t>2014-11-26 15:53:16.74: RTWSControl  - tickOptionComputation - id:200052 tickType:13 impliedVol:0.119845527547898 delta:-0.519149697385261 optPrice:1.27000000227003E-02 pvDividend:0 gamma: 1.79769313486232E+308 theta/vega/undPrice: -6.58771789073434E-04-9.85505660757897E-04-1.5783</t>
  </si>
  <si>
    <t>2014-11-26 15:53:16.118: RTWSControl  - tickOptionComputation - id:200048 tickType:13 impliedVol:8.41213409818362E-02 delta:-3.17039765503935E-02 optPrice:2.65569243145872E-04 pvDividend:0 gamma: 1.79769313486232E+308 theta/vega/undPrice: -8.1648918738675E-05-2.11049725904958E-04-1.5783</t>
  </si>
  <si>
    <t>2014-11-26 15:53:16.159: RTWSControl  - tickOptionComputation - id:200053 tickType:13 impliedVol:6.40025634192014E-02 delta:8.91469703713295E-02 optPrice:6.64544127420085E-04 pvDividend:0 gamma: 1.79769313486232E+308 theta/vega/undPrice: -1.41246006646303E-04-4.47323844422728E-04-1.5783</t>
  </si>
  <si>
    <t>2014-11-26 15:53:16.199: RTWSControl  - tickOptionComputation - id:200054 tickType:13 impliedVol:0.069937911396142 delta:1.59424886792474E-03 optPrice:8.14528232477728E-06 pvDividend:0 gamma: 0.293007986472733 theta/vega/undPrice: -4.88930418207223E-06-2.25235761661656E-05-1.5783</t>
  </si>
  <si>
    <t>2014-11-26 15:53:16.649: RTWSControl  - tickOptionComputation - id:200041 tickType:10 impliedVol:0.060562303876347 delta:0.965759576573342 optPrice:0.013399999588728 pvDividend:0 gamma: 1.79769313486232E+308 theta/vega/undPrice: -1.28760090165085E-04-1.20809060708962E-04-1.5783</t>
  </si>
  <si>
    <t>2014-11-26 15:53:16.737: RTWSControl  - tickOptionComputation - id:200044 tickType:11 impliedVol:7.51387570844764E-02 delta:0.819970640692237 optPrice:9.20000020414591E-03 pvDividend:0 gamma: 1.79769313486232E+308 theta/vega/undPrice: -5.56829991382822E-04-3.34925982312209E-04-1.5783</t>
  </si>
  <si>
    <t>2014-11-26 15:53:16.804: RTWSControl  - tickOptionComputation - id:200055 tickType:11 impliedVol:6.10899312244588E-02 delta:0.410220480205954 optPrice:2.19999998807907E-03 pvDividend:0 gamma: 1.79769313486232E+308 theta/vega/undPrice: -6.71537410506854E-04-4.83489064179519E-04-1.5783</t>
  </si>
  <si>
    <t>2014-11-26 15:53:16.869: RTWSControl  - tickOptionComputation - id:200049 tickType:10 impliedVol:6.87812040906721E-02 delta:0.687734581641846 optPrice:1.18000004440546E-02 pvDividend:0 gamma: 1.79769313486232E+308 theta/vega/undPrice: -3.339331383811E-04-9.1424143644047E-04-1.5783</t>
  </si>
  <si>
    <t>2014-11-26 15:53:16.915: RTWSControl  - tickOptionComputation - id:200049 tickType:11 impliedVol:7.09688017318657E-02 delta:0.682350543746722 optPrice:1.20000001043081E-02 pvDividend:0 gamma: 1.79769313486232E+308 theta/vega/undPrice: -3.46837515671383E-04-9.14240468954998E-04-1.5783</t>
  </si>
  <si>
    <t>2014-11-26 15:53:16.960: RTWSControl  - tickOptionComputation - id:200052 tickType:10 impliedVol:1.79769313486232E+308 delta:1.79769313486232E+308 optPrice:1.79769313486232E+308 pvDividend:0 gamma: 1.79769313486232E+308 theta/vega/undPrice: 1.79769313486232E+308-1.79769313486232E+308-1.5783</t>
  </si>
  <si>
    <t>2014-11-26 15:53:16.992: RTWSControl  - tickOptionComputation - id:200052 tickType:11 impliedVol:1.79769313486232E+308 delta:1.79769313486232E+308 optPrice:1.79769313486232E+308 pvDividend:0 gamma: 1.79769313486232E+308 theta/vega/undPrice: 1.79769313486232E+308-1.79769313486232E+308-1.5783</t>
  </si>
  <si>
    <t>2014-11-26 15:53:17.34: RTWSControl  - tickOptionComputation - id:200054 tickType:10 impliedVol:1.79769313486232E+308 delta:1.79769313486232E+308 optPrice:1.79769313486232E+308 pvDividend:0 gamma: 1.79769313486232E+308 theta/vega/undPrice: 1.79769313486232E+308-1.79769313486232E+308-1.5783</t>
  </si>
  <si>
    <t>2014-11-26 15:53:17.73: DirectionIndicator - notify - price/longMA/ShortMA/prevDirection are 1.5783/1.57823951287796/1.57828956148427/1</t>
  </si>
  <si>
    <t>2014-11-26 15:53:17.73: Algorithm - handleTransition - currentHedgeShortfall is NOT ZERO and AUTOHEDGE IS NOT ENABLED!</t>
  </si>
  <si>
    <t>2014-11-26 15:53:17.110: DirectionIndicator - notify - price/longMA/ShortMA/prevDirection are 1.57825/1.57824141962742/1.57827637432284/1</t>
  </si>
  <si>
    <t>2014-11-26 15:53:17.110: Algorithm - handleTransition - currentHedgeShortfall is NOT ZERO and AUTOHEDGE IS NOT ENABLED!</t>
  </si>
  <si>
    <t>2014-11-26 15:53:18.391: RTWSControl  - tickOptionComputation - id:200042 tickType:13 impliedVol:8.14102212496408E-02 delta:-3.08732761256015E-02 optPrice:1.21069878498274E-04 pvDividend:0 gamma: 1.79769313486232E+308 theta/vega/undPrice: -1.58815180806886E-04-1.00653858405213E-04-1.5783</t>
  </si>
  <si>
    <t>2014-11-26 15:53:18.448: RTWSControl  - tickOptionComputation - id:200041 tickType:10 impliedVol:3.40299561973206E-02 delta:0.999473050974062 optPrice:1.32999997586012E-02 pvDividend:0 gamma: 0.434067164386034 theta/vega/undPrice: -1.62774924656769E-06-9.59944301072435E-06-1.5783</t>
  </si>
  <si>
    <t>2014-11-26 15:53:18.529: RTWSControl  - tickOptionComputation - id:200041 tickType:13 impliedVol:0.072841028012931 delta:0.935151693622217 optPrice:1.35544185451319E-02 pvDividend:0 gamma: 1.79769313486232E+308 theta/vega/undPrice: -2.59503846037591E-04-1.81270918168259E-04-1.5783</t>
  </si>
  <si>
    <t>2014-11-26 15:53:18.579: RTWSControl  - tickOptionComputation - id:200043 tickType:13 impliedVol:0.072841028012931 delta:-6.49608303862178E-02 optPrice:2.54608866616573E-04 pvDividend:0 gamma: 1.79769313486232E+308 theta/vega/undPrice: -2.59591746584818E-04-1.81271196087328E-04-1.5783</t>
  </si>
  <si>
    <t>2014-11-26 15:53:18.619: RTWSControl  - tickOptionComputation - id:200044 tickType:13 impliedVol:6.65804405716983E-02 delta:0.848601493061563 optPrice:8.94516309286652E-03 pvDividend:0 gamma: 1.79769313486232E+308 theta/vega/undPrice: -4.39476011307585E-04-2.9776544808849E-04-1.5783</t>
  </si>
  <si>
    <t>2014-11-26 15:53:18.660: RTWSControl  - tickOptionComputation - id:200046 tickType:13 impliedVol:6.65804405716983E-02 delta:-0.151511200634126 optPrice:6.45282574183527E-04 pvDividend:0 gamma: 1.79769313486232E+308 theta/vega/undPrice: -4.39531558382775E-04-2.97765737081632E-04-1.5783</t>
  </si>
  <si>
    <t>2014-11-26 15:53:18.701: RTWSControl  - tickOptionComputation - id:200044 tickType:11 impliedVol:7.17804139855364E-02 delta:0.830350343900403 optPrice:9.10000037401915E-03 pvDividend:0 gamma: 1.79769313486232E+308 theta/vega/undPrice: -5.10779495712889E-04-3.07653445361799E-04-1.5783</t>
  </si>
  <si>
    <t>2014-11-26 15:53:18.745: RTWSControl  - tickOptionComputation - id:200045 tickType:13 impliedVol:6.26284589259569E-02 delta:0.668356588325711 optPrice:4.98215440325347E-03 pvDividend:0 gamma: 1.79769313486232E+308 theta/vega/undPrice: -6.40028376973668E-04-4.45590795722883E-04-1.5783</t>
  </si>
  <si>
    <t>2014-11-26 15:53:18.785: RTWSControl  - tickOptionComputation - id:200047 tickType:13 impliedVol:6.26284589259569E-02 delta:-0.331756568671198 optPrice:1.68220437877638E-03 pvDividend:0 gamma: 1.79769313486232E+308 theta/vega/undPrice: -6.40052107620085E-04-4.45591435386784E-04-1.5783</t>
  </si>
  <si>
    <t>2014-11-26 15:53:18.829: RTWSControl  - tickOptionComputation - id:200055 tickType:13 impliedVol:6.09850830756784E-02 delta:0.410114728903022 optPrice:2.1940139405654E-03 pvDividend:0 gamma: 1.79769313486232E+308 theta/vega/undPrice: -6.70346387907586E-04-4.83489069307827E-04-1.5783</t>
  </si>
  <si>
    <t>2014-11-26 15:53:18.871: RTWSControl  - tickOptionComputation - id:200049 tickType:13 impliedVol:6.86052114474514E-02 delta:0.688269852424198 optPrice:1.17839104291181E-02 pvDividend:0 gamma: 1.79769313486232E+308 theta/vega/undPrice: -3.32894977350374E-04-9.14241513274783E-04-1.5783</t>
  </si>
  <si>
    <t>2014-11-26 15:53:18.914: RTWSControl  - tickOptionComputation - id:200050 tickType:13 impliedVol:6.86052114474514E-02 delta:-0.311800312415323 optPrice:3.4844368528299E-03 pvDividend:0 gamma: 1.79769313486232E+308 theta/vega/undPrice: -3.32954027316953E-04-9.14247078993478E-04-1.5783</t>
  </si>
  <si>
    <t>2014-11-26 15:53:18.953: RTWSControl  - tickOptionComputation - id:200048 tickType:13 impliedVol:8.41245209751662E-02 delta:-3.17089504331798E-02 optPrice:2.65626265759034E-04 pvDividend:0 gamma: 1.79769313486232E+308 theta/vega/undPrice: -8.16627487847552E-05-2.11085739717082E-04-1.5783</t>
  </si>
  <si>
    <t>2014-11-26 15:53:18.996: RTWSControl  - tickOptionComputation - id:200053 tickType:13 impliedVol:6.39904042949286E-02 delta:8.91010646185566E-02 optPrice:6.64000219614341E-04 pvDividend:0 gamma: 1.79769313486232E+308 theta/vega/undPrice: -1.41167341910776E-04-4.47323846754758E-04-1.5783</t>
  </si>
  <si>
    <t>2014-11-26 15:53:19.36: RTWSControl  - tickOptionComputation - id:200049 tickType:10 impliedVol:6.76873956276847E-02 delta:0.690558669285803 optPrice:1.16999996826053E-02 pvDividend:0 gamma: 1.79769313486232E+308 theta/vega/undPrice: -3.27480880468915E-04-9.1424191153436E-04-1.5783</t>
  </si>
  <si>
    <t>2014-11-26 15:53:19.80: RTWSControl  - tickOptionComputation - id:200049 tickType:11 impliedVol:6.98750029112689E-02 delta:0.684999926204871 optPrice:1.19000002741814E-02 pvDividend:0 gamma: 1.79769313486232E+308 theta/vega/undPrice: -3.40385331195662E-04-9.14240955583874E-04-1.5783</t>
  </si>
  <si>
    <t>2014-11-26 15:53:19.121: RTWSControl  - tickOptionComputation - id:200054 tickType:13 impliedVol:7.02800995175963E-02 delta:1.65537564627555E-03 optPrice:8.51421152770094E-06 pvDividend:0 gamma: 0.302097736679541 theta/vega/undPrice: -5.09043007776354E-06-2.39839126498545E-05-1.5783</t>
  </si>
  <si>
    <t>2014-11-26 15:53:19.167: RTWSControl  - tickOptionComputation - id:200052 tickType:10 impliedVol:1.79769313486232E+308 delta:1.79769313486232E+308 optPrice:1.79769313486232E+308 pvDividend:0 gamma: 1.79769313486232E+308 theta/vega/undPrice: 1.79769313486232E+308-1.79769313486232E+308-1.5783</t>
  </si>
  <si>
    <t>2014-11-26 15:53:19.200: RTWSControl  - tickOptionComputation - id:200052 tickType:11 impliedVol:1.79769313486232E+308 delta:1.79769313486232E+308 optPrice:1.79769313486232E+308 pvDividend:0 gamma: 1.79769313486232E+308 theta/vega/undPrice: 1.79769313486232E+308-1.79769313486232E+308-1.5783</t>
  </si>
  <si>
    <t>2014-11-26 15:53:19.244: RTWSControl  - tickOptionComputation - id:200054 tickType:10 impliedVol:1.79769313486232E+308 delta:1.79769313486232E+308 optPrice:1.79769313486232E+308 pvDividend:0 gamma: 1.79769313486232E+308 theta/vega/undPrice: 1.79769313486232E+308-1.79769313486232E+308-1.5783</t>
  </si>
  <si>
    <t>2014-11-26 15:53:20.388: RTWSControl  - tickOptionComputation - id:200050 tickType:11 impliedVol:6.98751309697127E-02 delta:-0.31494412610615 optPrice:3.59999993816018E-03 pvDividend:0 gamma: 1.79769313486232E+308 theta/vega/undPrice: -3.40445245900419E-04-9.14246529314182E-04-1.5783</t>
  </si>
  <si>
    <t>2014-11-26 15:53:21.779: DirectionIndicator - notify - price/longMA/ShortMA/prevDirection are 1.5783/1.57825207060425/1.57828424954856/1</t>
  </si>
  <si>
    <t>2014-11-26 15:53:21.780: Algorithm - handleTransition - currentHedgeShortfall is NOT ZERO and AUTOHEDGE IS NOT ENABLED!</t>
  </si>
  <si>
    <t>2014-11-26 15:53:21.824: DirectionIndicator - notify - price/longMA/ShortMA/prevDirection are 1.57835/1.57826987594893/1.57830616636571/1</t>
  </si>
  <si>
    <t>2014-11-26 15:53:21.824: Algorithm - handleTransition - currentHedgeShortfall is NOT ZERO and AUTOHEDGE IS NOT ENABLED!</t>
  </si>
  <si>
    <t>2014-11-26 15:53:22.404: DirectionIndicator - notify - price/longMA/ShortMA/prevDirection are 1.5783/1.57827535304913/1.57830411091047/1</t>
  </si>
  <si>
    <t>2014-11-26 15:53:22.405: Algorithm - handleTransition - currentHedgeShortfall is NOT ZERO and AUTOHEDGE IS NOT ENABLED!</t>
  </si>
  <si>
    <t>2014-11-26 15:53:22.446: DirectionIndicator - notify - price/longMA/ShortMA/prevDirection are 1.57825/1.57827074340383/1.57828607394032/1</t>
  </si>
  <si>
    <t>2014-11-26 15:53:22.447: Algorithm - handleTransition - currentHedgeShortfall is NOT ZERO and AUTOHEDGE IS NOT ENABLED!</t>
  </si>
  <si>
    <t>2014-11-26 15:53:22.697: DirectionIndicator - notify - price/longMA/ShortMA/prevDirection are 1.5783/1.57827606278495/1.57829071596021/1</t>
  </si>
  <si>
    <t>2014-11-26 15:53:22.697: Algorithm - handleTransition - currentHedgeShortfall is NOT ZERO and AUTOHEDGE IS NOT ENABLED!</t>
  </si>
  <si>
    <t>2014-11-26 15:53:22.740: DirectionIndicator - notify - price/longMA/ShortMA/prevDirection are 1.57835/1.57828950591496/1.57831047730681/1</t>
  </si>
  <si>
    <t>2014-11-26 15:53:22.743: Algorithm - handleTransition - currentHedgeShortfall is NOT ZERO and AUTOHEDGE IS NOT ENABLED!</t>
  </si>
  <si>
    <t>2014-11-26 15:53:23.30: TransitionLogger - flushFile - flushing file</t>
  </si>
  <si>
    <t>2014-11-26 15:53:23.30: TransitionLogger - openTransitionFile - opening file C:\temp\transitionlog_2014-11-26_155023</t>
  </si>
  <si>
    <t>2014-11-26 15:53:23.163: RTWSControl  - tickOptionComputation - id:200042 tickType:13 impliedVol:8.01493512186653E-02 delta:-0.028768678333692 optPrice:1.09996533391286E-04 pvDividend:0 gamma: 1.79769313486232E+308 theta/vega/undPrice: -1.47471639870852E-04-9.36601871940768E-05-1.5783</t>
  </si>
  <si>
    <t>2014-11-26 15:53:23.237: RTWSControl  - tickOptionComputation - id:200041 tickType:10 impliedVol:0.060562303876347 delta:0.965759576573342 optPrice:0.013399999588728 pvDividend:0 gamma: 1.79769313486232E+308 theta/vega/undPrice: -1.28760090165085E-04-1.20809060708962E-04-1.5783</t>
  </si>
  <si>
    <t>2014-11-26 15:53:23.286: RTWSControl  - tickOptionComputation - id:200041 tickType:11 impliedVol:8.58283275009162E-02 delta:0.900230047123935 optPrice:1.37999998405576E-02 pvDividend:0 gamma: 1.79769313486232E+308 theta/vega/undPrice: -4.22308738656884E-04-2.15279127512851E-04-1.5783</t>
  </si>
  <si>
    <t>2014-11-26 15:53:23.333: RTWSControl  - tickOptionComputation - id:200041 tickType:13 impliedVol:0.071418904443334 delta:0.938681608886991 optPrice:1.35340082637102E-02 pvDividend:0 gamma: 1.79769313486232E+308 theta/vega/undPrice: -2.4319924152047E-04-1.71065812814232E-04-1.5783</t>
  </si>
  <si>
    <t>2014-11-26 15:53:23.372: RTWSControl  - tickOptionComputation - id:200043 tickType:13 impliedVol:0.071418904443334 delta:-6.14309125461607E-02 optPrice:2.34198571172156E-04 pvDividend:0 gamma: 1.79769313486232E+308 theta/vega/undPrice: -2.43287123743938E-04-1.71066079894814E-04-1.5783</t>
  </si>
  <si>
    <t>2014-11-26 15:53:23.414: RTWSControl  - tickOptionComputation - id:200044 tickType:11 impliedVol:7.51387570844764E-02 delta:0.819970640692237 optPrice:9.20000020414591E-03 pvDividend:0 gamma: 1.79769313486232E+308 theta/vega/undPrice: -5.56829991382822E-04-3.34925982312209E-04-1.5783</t>
  </si>
  <si>
    <t>2014-11-26 15:53:23.455: RTWSControl  - tickOptionComputation - id:200044 tickType:13 impliedVol:6.53657981536071E-02 delta:0.853257269966941 optPrice:8.90899521722656E-03 pvDividend:0 gamma: 1.79769313486232E+308 theta/vega/undPrice: -4.228204852427E-04-2.97765486017905E-04-1.5783</t>
  </si>
  <si>
    <t>2014-11-26 15:53:23.498: RTWSControl  - tickOptionComputation - id:200046 tickType:11 impliedVol:6.84180390418856E-02 delta:-0.158219793342358 optPrice:6.99999975040555E-04 pvDividend:0 gamma: 1.79769313486232E+308 theta/vega/undPrice: -4.64729277240376E-04-2.97765680526817E-04-1.5783</t>
  </si>
  <si>
    <t>2014-11-26 15:53:23.539: RTWSControl  - tickOptionComputation - id:200046 tickType:13 impliedVol:6.53657981536071E-02 delta:-0.146855418872924 optPrice:6.09114663505229E-04 pvDividend:0 gamma: 1.79769313486232E+308 theta/vega/undPrice: -4.2287600063776E-04-2.9776577483614E-04-1.5783</t>
  </si>
  <si>
    <t>2014-11-26 15:53:23.586: RTWSControl  - tickOptionComputation - id:200045 tickType:13 impliedVol:6.19900323495415E-02 delta:0.669981129589117 optPrice:4.95370668761468E-03 pvDividend:0 gamma: 1.79769313486232E+308 theta/vega/undPrice: -6.32275200484907E-04-4.45590824514432E-04-1.5783</t>
  </si>
  <si>
    <t>2014-11-26 15:53:23.629: RTWSControl  - tickOptionComputation - id:200047 tickType:13 impliedVol:6.19900323495415E-02 delta:-0.33013202478164 optPrice:1.65375662230606E-03 pvDividend:0 gamma: 1.79769313486232E+308 theta/vega/undPrice: -6.32298904695041E-04-4.45591464170426E-04-1.5783</t>
  </si>
  <si>
    <t>2014-11-26 15:53:23.673: RTWSControl  - tickOptionComputation - id:200055 tickType:11 impliedVol:6.31598178346826E-02 delta:0.413225866519519 optPrice:2.30000005103648E-03 pvDividend:0 gamma: 1.79769313486232E+308 theta/vega/undPrice: -6.95050281562291E-04-4.83488961328902E-04-1.5783</t>
  </si>
  <si>
    <t>2014-11-26 15:53:23.736: RTWSControl  - tickOptionComputation - id:200055 tickType:13 impliedVol:6.12916070310803E-02 delta:0.410574049409301 optPrice:2.20883404585141E-03 pvDividend:0 gamma: 1.79769313486232E+308 theta/vega/undPrice: -6.73828346839097E-04-4.83489054293902E-04-1.5783</t>
  </si>
  <si>
    <t>2014-11-26 15:53:23.784: RTWSControl  - tickOptionComputation - id:200049 tickType:11 impliedVol:7.09688017318657E-02 delta:0.682350543746722 optPrice:1.20000001043081E-02 pvDividend:0 gamma: 1.79769313486232E+308 theta/vega/undPrice: -3.46837515671383E-04-9.14240468954998E-04-1.5783</t>
  </si>
  <si>
    <t>2014-11-26 15:53:23.830: RTWSControl  - tickOptionComputation - id:200049 tickType:13 impliedVol:6.88866680180862E-02 delta:0.687554014414396 optPrice:1.18096424158342E-02 pvDividend:0 gamma: 1.79769313486232E+308 theta/vega/undPrice: -3.34555258258511E-04-9.14241390330696E-04-1.5783</t>
  </si>
  <si>
    <t>2014-11-26 15:53:23.870: RTWSControl  - tickOptionComputation - id:200050 tickType:13 impliedVol:6.88866680180862E-02 delta:-0.312516155344343 optPrice:3.51016899598196E-03 pvDividend:0 gamma: 1.79769313486232E+308 theta/vega/undPrice: -3.34614332456609E-04-9.14246957837774E-04-1.5783</t>
  </si>
  <si>
    <t>2014-11-26 15:53:23.913: RTWSControl  - tickOptionComputation - id:200052 tickType:10 impliedVol:1.79769313486232E+308 delta:1.79769313486232E+308 optPrice:1.79769313486232E+308 pvDividend:0 gamma: 1.79769313486232E+308 theta/vega/undPrice: 1.79769313486232E+308-1.79769313486232E+308-1.5783</t>
  </si>
  <si>
    <t>2014-11-26 15:53:23.949: RTWSControl  - tickOptionComputation - id:200052 tickType:11 impliedVol:1.79769313486232E+308 delta:1.79769313486232E+308 optPrice:1.79769313486232E+308 pvDividend:0 gamma: 1.79769313486232E+308 theta/vega/undPrice: 1.79769313486232E+308-1.79769313486232E+308-1.5783</t>
  </si>
  <si>
    <t>2014-11-26 15:53:23.990: RTWSControl  - tickOptionComputation - id:200048 tickType:13 impliedVol:8.39846247852307E-02 delta:-3.14897788697069E-02 optPrice:2.63117692372901E-04 pvDividend:0 gamma: 1.79769313486232E+308 theta/vega/undPrice: -8.10543290005111E-05-2.09501398213079E-04-1.5783</t>
  </si>
  <si>
    <t>2014-11-26 15:53:24.36: RTWSControl  - tickOptionComputation - id:200053 tickType:13 impliedVol:6.40831192281439E-02 delta:8.94506636946672E-02 optPrice:6.68147588606784E-04 pvDividend:0 gamma: 1.79769313486232E+308 theta/vega/undPrice: -1.41767170921669E-04-4.47323828980706E-04-1.5783</t>
  </si>
  <si>
    <t>2014-11-26 15:53:24.76: RTWSControl  - tickOptionComputation - id:200054 tickType:13 impliedVol:6.95739784154021E-02 delta:1.52857913755168E-03 optPrice:7.75290890945753E-06 pvDividend:0 gamma: 0.283127828190466 theta/vega/undPrice: -4.67539740555665E-06-2.18282671264045E-05-1.5783</t>
  </si>
  <si>
    <t>2014-11-26 15:53:24.118: RTWSControl  - tickOptionComputation - id:200054 tickType:10 impliedVol:1.79769313486232E+308 delta:1.79769313486232E+308 optPrice:1.79769313486232E+308 pvDividend:0 gamma: 1.79769313486232E+308 theta/vega/undPrice: 1.79769313486232E+308-1.79769313486232E+308-1.5783</t>
  </si>
  <si>
    <t>2014-11-26 15:53:26.229: RTWSControl  - tickOptionComputation - id:200042 tickType:13 impliedVol:8.02330030349765E-02 delta:-2.89103589875623E-02 optPrice:1.1073118920779E-04 pvDividend:0 gamma: 1.79769313486232E+308 theta/vega/undPrice: -1.48224221722943E-04-9.41241790072265E-05-1.5783</t>
  </si>
  <si>
    <t>2014-11-26 15:53:26.285: RTWSControl  - tickOptionComputation - id:200041 tickType:13 impliedVol:7.16018386758321E-02 delta:0.938219666958635 optPrice:1.35366337313452E-02 pvDividend:0 gamma: 1.79769313486232E+308 theta/vega/undPrice: -2.45296577275611E-04-1.7237854215965E-04-1.5783</t>
  </si>
  <si>
    <t>2014-11-26 15:53:26.334: RTWSControl  - tickOptionComputation - id:200043 tickType:13 impliedVol:7.16018386758321E-02 delta:-6.18928548115336E-02 optPrice:2.36824040612932E-04 pvDividend:0 gamma: 1.79769313486232E+308 theta/vega/undPrice: -2.4538446185706E-04-1.72378810634057E-04-1.5783</t>
  </si>
  <si>
    <t>2014-11-26 15:53:26.382: RTWSControl  - tickOptionComputation - id:200044 tickType:13 impliedVol:6.56137734082449E-02 delta:0.852292732162995 optPrice:8.91637906822269E-03 pvDividend:0 gamma: 1.79769313486232E+308 theta/vega/undPrice: -4.26220793558641E-04-2.97765478272042E-04-1.5783</t>
  </si>
  <si>
    <t>2014-11-26 15:53:26.447: RTWSControl  - tickOptionComputation - id:200046 tickType:13 impliedVol:6.56137734082449E-02 delta:-0.147819957682846 optPrice:6.1649852165063E-04 pvDividend:0 gamma: 1.79769313486232E+308 theta/vega/undPrice: -4.26276315419479E-04-2.97765767131089E-04-1.5783</t>
  </si>
  <si>
    <t>2014-11-26 15:53:26.494: RTWSControl  - tickOptionComputation - id:200045 tickType:11 impliedVol:6.75228056277825E-02 delta:0.656845514125128 optPrice:5.2000000141561E-03 pvDividend:0 gamma: 1.79769313486232E+308 theta/vega/undPrice: -6.99466233241338E-04-4.45590567447499E-04-1.5783</t>
  </si>
  <si>
    <t>2014-11-26 15:53:26.541: RTWSControl  - tickOptionComputation - id:200045 tickType:13 impliedVol:6.22688072322717E-02 delta:0.669267638663666 optPrice:4.9661286465673E-03 pvDividend:0 gamma: 1.79769313486232E+308 theta/vega/undPrice: -6.3566069702062E-04-4.4559081197232E-04-1.5783</t>
  </si>
  <si>
    <t>2014-11-26 15:53:26.581: RTWSControl  - tickOptionComputation - id:200047 tickType:13 impliedVol:6.22688072322717E-02 delta:-0.330845516859761 optPrice:1.66617859908647E-03 pvDividend:0 gamma: 1.79769313486232E+308 theta/vega/undPrice: -6.35684412768074E-04-4.4559145163063E-04-1.5783</t>
  </si>
  <si>
    <t>2014-11-26 15:53:26.622: RTWSControl  - tickOptionComputation - id:200055 tickType:13 impliedVol:0.061566940147884 delta:0.410982771639901 optPrice:2.22214610709553E-03 pvDividend:0 gamma: 1.79769313486232E+308 theta/vega/undPrice: -6.76955993187218E-04-4.8348904075217E-04-1.5783</t>
  </si>
  <si>
    <t>2014-11-26 15:53:26.662: RTWSControl  - tickOptionComputation - id:200049 tickType:10 impliedVol:6.87812040906721E-02 delta:0.687734581641846 optPrice:1.18000004440546E-02 pvDividend:0 gamma: 1.79769313486232E+308 theta/vega/undPrice: -3.339331383811E-04-9.1424143644047E-04-1.5783</t>
  </si>
  <si>
    <t>2014-11-26 15:53:26.706: RTWSControl  - tickOptionComputation - id:200049 tickType:13 impliedVol:6.87367000616543E-02 delta:0.687934695038354 optPrice:1.17959316918682E-02 pvDividend:0 gamma: 1.79769313486232E+308 theta/vega/undPrice: -3.3367061408305E-04-9.14241455886996E-04-1.5783</t>
  </si>
  <si>
    <t>2014-11-26 15:53:26.746: RTWSControl  - tickOptionComputation - id:200050 tickType:13 impliedVol:6.87367000616543E-02 delta:-0.312135472104296 optPrice:3.49645818866284E-03 pvDividend:0 gamma: 1.79769313486232E+308 theta/vega/undPrice: -3.33729675369947E-04-9.1424702243941E-04-1.5783</t>
  </si>
  <si>
    <t>2014-11-26 15:53:26.791: RTWSControl  - tickOptionComputation - id:200052 tickType:10 impliedVol:1.79769313486232E+308 delta:1.79769313486232E+308 optPrice:1.79769313486232E+308 pvDividend:0 gamma: 1.79769313486232E+308 theta/vega/undPrice: 1.79769313486232E+308-1.79769313486232E+308-1.5783</t>
  </si>
  <si>
    <t>2014-11-26 15:53:26.825: RTWSControl  - tickOptionComputation - id:200052 tickType:11 impliedVol:1.79769313486232E+308 delta:1.79769313486232E+308 optPrice:1.79769313486232E+308 pvDividend:0 gamma: 1.79769313486232E+308 theta/vega/undPrice: 1.79769313486232E+308-1.79769313486232E+308-1.5783</t>
  </si>
  <si>
    <t>2014-11-26 15:53:26.870: RTWSControl  - tickOptionComputation - id:200048 tickType:13 impliedVol:8.41428755642681E-02 delta:-3.17376517906206E-02 optPrice:2.65955394320993E-04 pvDividend:0 gamma: 1.79769313486232E+308 theta/vega/undPrice: -8.17425743651243E-05-2.11293607673828E-04-1.5783</t>
  </si>
  <si>
    <t>2014-11-26 15:53:26.914: RTWSControl  - tickOptionComputation - id:200053 tickType:13 impliedVol:6.40140016049084E-02 delta:8.91901384218651E-02 optPrice:6.65055785852038E-04 pvDividend:0 gamma: 1.79769313486232E+308 theta/vega/undPrice: -1.41320007193231E-04-4.47323842229642E-04-1.5783</t>
  </si>
  <si>
    <t>2014-11-26 15:53:26.955: RTWSControl  - tickOptionComputation - id:200054 tickType:13 impliedVol:0.069974780194034 delta:1.60086360818923E-03 optPrice:8.1850323222672E-06 pvDividend:0 gamma: 0.293996593537462 theta/vega/undPrice: -4.91097433957541E-06-2.26809190238517E-05-1.5783</t>
  </si>
  <si>
    <t>2014-11-26 15:53:26.995: RTWSControl  - tickOptionComputation - id:200054 tickType:10 impliedVol:1.79769313486232E+308 delta:1.79769313486232E+308 optPrice:1.79769313486232E+308 pvDividend:0 gamma: 1.79769313486232E+308 theta/vega/undPrice: 1.79769313486232E+308-1.79769313486232E+308-1.5783</t>
  </si>
  <si>
    <t>2014-11-26 15:53:28.262: RTWSControl  - tickOptionComputation - id:200042 tickType:10 impliedVol:9.03062423028407E-02 delta:-4.40068763080489E-02 optPrice:1.99999994947575E-04 pvDividend:0 gamma: 1.79769313486232E+308 theta/vega/undPrice: -2.37517347400337E-04-1.43294516359696E-04-1.5784</t>
  </si>
  <si>
    <t>2014-11-26 15:53:28.326: RTWSControl  - tickOptionComputation - id:200042 tickType:11 impliedVol:9.03062423028407E-02 delta:-4.40068763080489E-02 optPrice:1.99999994947575E-04 pvDividend:0 gamma: 1.79769313486232E+308 theta/vega/undPrice: -2.37517347400337E-04-1.43294516359696E-04-1.5784</t>
  </si>
  <si>
    <t>2014-11-26 15:53:28.379: RTWSControl  - tickOptionComputation - id:200042 tickType:13 impliedVol:8.02330030349765E-02 delta:-2.81718129595625E-02 optPrice:1.07508190892813E-04 pvDividend:0 gamma: 1.79769313486232E+308 theta/vega/undPrice: -1.45112690672481E-04-9.14423247271339E-05-1.5784</t>
  </si>
  <si>
    <t>2014-11-26 15:53:28.419: RTWSControl  - tickOptionComputation - id:200041 tickType:10 impliedVol:1.69932070630239E-02 delta:0.999985994590878 optPrice:0.013399999588728 pvDividend:0 gamma: -4.92544252847794E-10 theta/vega/undPrice: 8.81889452880257E-08-9.01572650216509E-09-1.5784</t>
  </si>
  <si>
    <t>2014-11-26 15:53:28.463: RTWSControl  - tickOptionComputation - id:200041 tickType:11 impliedVol:8.16513083009809E-02 delta:0.913544436105826 optPrice:1.37999998405576E-02 pvDividend:0 gamma: 1.79769313486232E+308 theta/vega/undPrice: -3.62099726215104E-04-2.15286062889241E-04-1.5784</t>
  </si>
  <si>
    <t>2014-11-26 15:53:28.534: RTWSControl  - tickOptionComputation - id:200041 tickType:13 impliedVol:7.16018386758321E-02 delta:0.939572360630809 optPrice:1.36307189874706E-02 pvDividend:0 gamma: 1.79769313486232E+308 theta/vega/undPrice: -2.40994652113379E-04-1.6821584080237E-04-1.5784</t>
  </si>
  <si>
    <t>2014-11-26 15:53:28.579: RTWSControl  - tickOptionComputation - id:200043 tickType:10 impliedVol:6.09091542992446E-02 delta:-3.39963993223046E-02 optPrice:9.99999974737875E-05 pvDividend:0 gamma: 1.79769313486232E+308 theta/vega/undPrice: -1.28856214457948E-04-1.20050905855698E-04-1.5784</t>
  </si>
  <si>
    <t>2014-11-26 15:53:28.622: RTWSControl  - tickOptionComputation - id:200043 tickType:11 impliedVol:7.64156062183406E-02 delta:-7.19752722915199E-02 optPrice:3.00000014249235E-04 pvDividend:0 gamma: 1.79769313486232E+308 theta/vega/undPrice: -2.96274686254797E-04-2.02760640044438E-04-1.5784</t>
  </si>
  <si>
    <t>2014-11-26 15:53:28.669: RTWSControl  - tickOptionComputation - id:200043 tickType:13 impliedVol:7.16018386758321E-02 delta:-6.05401601514988E-02 optPrice:2.30910722348871E-04 pvDividend:0 gamma: 1.79769313486232E+308 theta/vega/undPrice: -2.41083190573729E-04-1.68216105900508E-04-1.5784</t>
  </si>
  <si>
    <t>2014-11-26 15:53:28.711: RTWSControl  - tickOptionComputation - id:200044 tickType:10 impliedVol:5.80510971638543E-02 delta:0.884707483321164 optPrice:8.79999995231628E-03 pvDividend:0 gamma: 1.79769313486232E+308 theta/vega/undPrice: -3.1851304630573E-04-2.72334593873913E-04-1.5784</t>
  </si>
  <si>
    <t>2014-11-26 15:53:28.755: RTWSControl  - tickOptionComputation - id:200044 tickType:11 impliedVol:7.23192454885833E-02 delta:0.831398295518775 optPrice:9.20000020414591E-03 pvDividend:0 gamma: 1.79769313486232E+308 theta/vega/undPrice: -5.1249474591719E-04-3.04177427240723E-04-1.5784</t>
  </si>
  <si>
    <t>2014-11-26 15:53:28.827: RTWSControl  - tickOptionComputation - id:200044 tickType:13 impliedVol:6.56137734082449E-02 delta:0.855354741236018 optPrice:9.00032803341273E-03 pvDividend:0 gamma: 1.79769313486232E+308 theta/vega/undPrice: -4.20544527529604E-04-2.97774910817953E-04-1.5784</t>
  </si>
  <si>
    <t>2014-11-26 15:53:28.871: RTWSControl  - tickOptionComputation - id:200046 tickType:10 impliedVol:6.55986991333416E-02 delta:-0.144680522637292 optPrice:6.00000028498471E-04 pvDividend:0 gamma: 1.79769313486232E+308 theta/vega/undPrice: -4.20393988015785E-04-2.97775200032454E-04-1.5784</t>
  </si>
  <si>
    <t>2014-11-26 15:53:28.914: RTWSControl  - tickOptionComputation - id:200046 tickType:11 impliedVol:6.89703943881901E-02 delta:-0.157258805400596 optPrice:6.99999975040555E-04 pvDividend:0 gamma: 1.79769313486232E+308 theta/vega/undPrice: -4.66629183358041E-04-2.97775094345882E-04-1.5784</t>
  </si>
  <si>
    <t>2014-11-26 15:53:28.961: RTWSControl  - tickOptionComputation - id:200046 tickType:13 impliedVol:6.56137734082449E-02 delta:-0.144757945412753 optPrice:6.00448903294634E-04 pvDividend:0 gamma: 1.79769313486232E+308 theta/vega/undPrice: -4.20600697764426E-04-2.97775199558907E-04-1.5784</t>
  </si>
  <si>
    <t>2014-11-26 15:53:29.4: RTWSControl  - tickOptionComputation - id:200045 tickType:10 impliedVol:5.92925172067633E-02 delta:0.682218222862212 optPrice:4.90000005811453E-03 pvDividend:0 gamma: 1.79769313486232E+308 theta/vega/undPrice: -5.95885898145217E-04-4.45605059764364E-04-1.5784</t>
  </si>
  <si>
    <t>2014-11-26 15:53:29.47: RTWSControl  - tickOptionComputation - id:200045 tickType:11 impliedVol:6.60239240390236E-02 delta:0.664717668309544 optPrice:5.2000000141561E-03 pvDividend:0 gamma: 1.79769313486232E+308 theta/vega/undPrice: -6.77635993807437E-04-4.45604753299249E-04-1.5784</t>
  </si>
  <si>
    <t>2014-11-26 15:53:29.117: RTWSControl  - tickOptionComputation - id:200045 tickType:13 impliedVol:6.22688072322717E-02 delta:0.674096423229115 optPrice:5.03262509291487E-03 pvDividend:0 gamma: 1.79769313486232E+308 theta/vega/undPrice: -6.32031701571193E-04-4.45604927371558E-04-1.5784</t>
  </si>
  <si>
    <t>2014-11-26 15:53:29.163: RTWSControl  - tickOptionComputation - id:200047 tickType:10 impliedVol:6.15509503928468E-02 delta:-0.324069033434353 optPrice:1.5999999595806E-03 pvDividend:0 gamma: 1.79769313486232E+308 theta/vega/undPrice: -6.23337959275689E-04-4.4560559905357E-04-1.5784</t>
  </si>
  <si>
    <t>2014-11-26 15:53:29.205: RTWSControl  - tickOptionComputation - id:200047 tickType:11 impliedVol:6.60150618483029E-02 delta:-0.335248358243258 optPrice:1.79999996908009E-03 pvDividend:0 gamma: 1.79769313486232E+308 theta/vega/undPrice: -6.77552877942607E-04-4.45605393406288E-04-1.5784</t>
  </si>
  <si>
    <t>2014-11-26 15:53:29.252: RTWSControl  - tickOptionComputation - id:200047 tickType:13 impliedVol:6.22688072322717E-02 delta:-0.326016724594304 optPrice:1.63267643881214E-03 pvDividend:0 gamma: 1.79769313486232E+308 theta/vega/undPrice: -6.32056058661604E-04-4.45605566808959E-04-1.5784</t>
  </si>
  <si>
    <t>2014-11-26 15:53:29.295: RTWSControl  - tickOptionComputation - id:200055 tickType:10 impliedVol:5.81027722522943E-02 delta:0.411125586650716 optPrice:2.09999992512167E-03 pvDividend:0 gamma: 1.79769313486232E+308 theta/vega/undPrice: -6.38944341312185E-04-4.83504520977209E-04-1.5784</t>
  </si>
  <si>
    <t>2014-11-26 15:53:29.337: RTWSControl  - tickOptionComputation - id:200055 tickType:11 impliedVol:6.22420602178269E-02 delta:0.417159983849942 optPrice:2.30000005103648E-03 pvDividend:0 gamma: 1.79769313486232E+308 theta/vega/undPrice: -6.85966084987089E-04-4.8350432145072E-04-1.5784</t>
  </si>
  <si>
    <t>2014-11-26 15:53:29.406: RTWSControl  - tickOptionComputation - id:200055 tickType:13 impliedVol:0.061566940147884 delta:0.416283202328316 optPrice:2.26662598007745E-03 pvDividend:0 gamma: 1.79769313486232E+308 theta/vega/undPrice: -6.78296817105095E-04-4.83504354834719E-04-1.5784</t>
  </si>
  <si>
    <t>2014-11-26 15:53:29.454: RTWSControl  - tickOptionComputation - id:200049 tickType:10 impliedVol:0.068052702113846 delta:0.691750701186049 optPrice:1.18000004440546E-02 pvDividend:0 gamma: 1.79769313486232E+308 theta/vega/undPrice: -3.28783331901111E-04-9.14270721580413E-04-1.5784</t>
  </si>
  <si>
    <t>2014-11-26 15:53:29.498: RTWSControl  - tickOptionComputation - id:200049 tickType:11 impliedVol:7.02402302505431E-02 delta:0.686184748586407 optPrice:1.20000001043081E-02 pvDividend:0 gamma: 1.79769313486232E+308 theta/vega/undPrice: -3.41687719168101E-04-9.14269759648598E-04-1.5784</t>
  </si>
  <si>
    <t>2014-11-26 15:53:29.543: RTWSControl  - tickOptionComputation - id:200049 tickType:13 impliedVol:6.87367000616543E-02 delta:0.690059084166054 optPrice:1.18625365103788E-02 pvDividend:0 gamma: 1.79769313486232E+308 theta/vega/undPrice: -3.32818288991656E-04-9.14270423284127E-04-1.5784</t>
  </si>
  <si>
    <t>2014-11-26 15:53:29.586: RTWSControl  - tickOptionComputation - id:200050 tickType:10 impliedVol:6.91406386330271E-02 delta:-0.311005683186183 optPrice:3.50000010803342E-03 pvDividend:0 gamma: 1.79769313486232E+308 theta/vega/undPrice: -3.35260889066675E-04-9.14275809448687E-04-1.5784</t>
  </si>
  <si>
    <t>2014-11-26 15:53:29.627: RTWSControl  - tickOptionComputation - id:200050 tickType:11 impliedVol:7.02350342342548E-02 delta:-0.313746175086212 optPrice:3.59999993816018E-03 pvDividend:0 gamma: 1.79769313486232E+308 theta/vega/undPrice: -3.41716898287776E-04-9.14275332303714E-04-1.5784</t>
  </si>
  <si>
    <t>2014-11-26 15:53:29.698: RTWSControl  - tickOptionComputation - id:200050 tickType:13 impliedVol:6.87367000616543E-02 delta:-0.31001106834949 optPrice:3.4630688914282E-03 pvDividend:0 gamma: 1.79769313486232E+308 theta/vega/undPrice: -3.32877990749539E-04-9.14275984101573E-04-1.5784</t>
  </si>
  <si>
    <t>2014-11-26 15:53:29.745: RTWSControl  - tickOptionComputation - id:200051 tickType:10 impliedVol:6.78409674153259E-02 delta:-0.305972723413712 optPrice:3.29999998211861E-03 pvDividend:0 gamma: 1.79769313486232E+308 theta/vega/undPrice: -3.28311499752992E-04-8.6758823582725E-04-1.5784</t>
  </si>
  <si>
    <t>2014-11-26 15:53:29.788: RTWSControl  - tickOptionComputation - id:200051 tickType:11 impliedVol:7.12776229650417E-02 delta:-0.314417305748107 optPrice:3.59999993816018E-03 pvDividend:0 gamma: 1.79769313486232E+308 theta/vega/undPrice: -3.49055200553098E-04-8.77932741319941E-04-1.5784</t>
  </si>
  <si>
    <t>2014-11-26 15:53:29.835: RTWSControl  - tickOptionComputation - id:200051 tickType:13 impliedVol:7.09193146147493E-02 delta:-0.313610697386104 optPrice:3.56855992751002E-03 pvDividend:0 gamma: 1.79769313486232E+308 theta/vega/undPrice: -3.468993913816E-04-8.76918582344265E-04-1.5784</t>
  </si>
  <si>
    <t>2014-11-26 15:53:29.876: RTWSControl  - tickOptionComputation - id:200052 tickType:10 impliedVol:1.79769313486232E+308 delta:1.79769313486232E+308 optPrice:1.79769313486232E+308 pvDividend:0 gamma: 1.79769313486232E+308 theta/vega/undPrice: 1.79769313486232E+308-1.79769313486232E+308-1.5784</t>
  </si>
  <si>
    <t>2014-11-26 15:53:29.912: RTWSControl  - tickOptionComputation - id:200052 tickType:11 impliedVol:1.79769313486232E+308 delta:1.79769313486232E+308 optPrice:1.79769313486232E+308 pvDividend:0 gamma: 1.79769313486232E+308 theta/vega/undPrice: 1.79769313486232E+308-1.79769313486232E+308-1.5784</t>
  </si>
  <si>
    <t>2014-11-26 15:53:29.953: RTWSControl  - tickOptionComputation - id:200052 tickType:13 impliedVol:0.119845527547898 delta:-0.517805180774183 optPrice:1.26481615717835E-02 pvDividend:0 gamma: 1.79769313486232E+308 theta/vega/undPrice: -6.58916677688006E-04-9.85721872590549E-04-1.5784</t>
  </si>
  <si>
    <t>2014-11-26 15:53:30.1: RTWSControl  - tickOptionComputation - id:200048 tickType:10 impliedVol:8.06693900679562E-02 delta:-2.57144036779867E-02 optPrice:1.99999994947575E-04 pvDividend:0 gamma: 1.79769313486232E+308 theta/vega/undPrice: -6.59051885101466E-05-1.79322314592202E-04-1.5784</t>
  </si>
  <si>
    <t>2014-11-26 15:53:30.46: RTWSControl  - tickOptionComputation - id:200048 tickType:11 impliedVol:8.62196813695485E-02 delta:-3.45692272564566E-02 optPrice:3.00000014249235E-04 pvDividend:0 gamma: 1.79769313486232E+308 theta/vega/undPrice: -9.00446283668534E-05-2.32153705169015E-04-1.5784</t>
  </si>
  <si>
    <t>2014-11-26 15:53:30.117: RTWSControl  - tickOptionComputation - id:200048 tickType:13 impliedVol:8.41428755642681E-02 delta:-3.13971683259612E-02 optPrice:2.62758245774582E-04 pvDividend:0 gamma: 1.79769313486232E+308 theta/vega/undPrice: -8.10121543315173E-05-2.08632902758308E-04-1.5784</t>
  </si>
  <si>
    <t>2014-11-26 15:53:30.163: RTWSControl  - tickOptionComputation - id:200053 tickType:10 impliedVol:0.062331218566864 delta:8.38062522159332E-02 optPrice:6.00000028498471E-04 pvDividend:0 gamma: 1.79769313486232E+308 theta/vega/undPrice: -1.31703090233887E-04-4.47338337854677E-04-1.5784</t>
  </si>
  <si>
    <t>2014-11-26 15:53:30.203: RTWSControl  - tickOptionComputation - id:200053 tickType:11 impliedVol:6.45519450483842E-02 delta:9.22989898112693E-02 optPrice:6.99999975040555E-04 pvDividend:0 gamma: 1.79769313486232E+308 theta/vega/undPrice: -1.46070774982881E-04-4.47337913062207E-04-1.5784</t>
  </si>
  <si>
    <t>2014-11-26 15:53:30.248: RTWSControl  - tickOptionComputation - id:200053 tickType:13 impliedVol:6.40140016049084E-02 delta:9.03070290267264E-02 optPrice:6.75277501769159E-04 pvDividend:0 gamma: 1.79769313486232E+308 theta/vega/undPrice: -1.42590383715218E-04-4.47338015199527E-04-1.5784</t>
  </si>
  <si>
    <t>2014-11-26 15:53:30.293: RTWSControl  - tickOptionComputation - id:200054 tickType:13 impliedVol:0.069974780194034 delta:1.6254720610625E-03 optPrice:8.31750434532696E-06 pvDividend:0 gamma: 0.298230228320038 theta/vega/undPrice: -4.98232497463877E-06-2.33291642509172E-05-1.5784</t>
  </si>
  <si>
    <t>2014-11-26 15:53:30.339: RTWSControl  - tickOptionComputation - id:200054 tickType:10 impliedVol:1.79769313486232E+308 delta:1.79769313486232E+308 optPrice:1.79769313486232E+308 pvDividend:0 gamma: 1.79769313486232E+308 theta/vega/undPrice: 1.79769313486232E+308-1.79769313486232E+308-1.5784</t>
  </si>
  <si>
    <t>2014-11-26 15:53:30.373: RTWSControl  - tickOptionComputation - id:200054 tickType:11 impliedVol:9.12423991575868E-02 delta:1.24522482572751E-02 optPrice:9.99999974737875E-05 pvDividend:0 gamma: 1.79769313486232E+308 theta/vega/undPrice: -4.01324667691179E-05-1.03773522883123E-04-1.5784</t>
  </si>
  <si>
    <t>2014-11-26 15:53:30.526: DirectionIndicator - notify - price/longMA/ShortMA/prevDirection are 1.5784/1.5783095957486/1.57834031820454/1</t>
  </si>
  <si>
    <t>2014-11-26 15:53:30.527: Algorithm - handleTransition - currentHedgeShortfall is NOT ZERO and AUTOHEDGE IS NOT ENABLED!</t>
  </si>
  <si>
    <t>2014-11-26 15:53:30.570: DirectionIndicator - notify - price/longMA/ShortMA/prevDirection are 1.57845/1.57833512379431/1.57837687880303/1</t>
  </si>
  <si>
    <t>2014-11-26 15:53:30.570: Algorithm - handleTransition - currentHedgeShortfall is NOT ZERO and AUTOHEDGE IS NOT ENABLED!</t>
  </si>
  <si>
    <t>2014-11-26 15:53:31.659: RTWSControl  - tickOptionComputation - id:200042 tickType:13 impliedVol:8.02330030349765E-02 delta:-2.89103589875623E-02 optPrice:1.1073118920779E-04 pvDividend:0 gamma: 1.79769313486232E+308 theta/vega/undPrice: -1.48224221722943E-04-9.41241790072265E-05-1.5783</t>
  </si>
  <si>
    <t>2014-11-26 15:53:31.710: RTWSControl  - tickOptionComputation - id:200041 tickType:13 impliedVol:7.16018386758321E-02 delta:0.938219666958635 optPrice:1.35366337313452E-02 pvDividend:0 gamma: 1.79769313486232E+308 theta/vega/undPrice: -2.45296577275611E-04-1.7237854215965E-04-1.5783</t>
  </si>
  <si>
    <t>2014-11-26 15:53:31.756: RTWSControl  - tickOptionComputation - id:200043 tickType:13 impliedVol:7.16018386758321E-02 delta:-6.18928548115336E-02 optPrice:2.36824040612932E-04 pvDividend:0 gamma: 1.79769313486232E+308 theta/vega/undPrice: -2.4538446185706E-04-1.72378810634057E-04-1.5783</t>
  </si>
  <si>
    <t>2014-11-26 15:53:31.821: RTWSControl  - tickOptionComputation - id:200044 tickType:13 impliedVol:6.56137734082449E-02 delta:0.852292732162995 optPrice:8.91637906822269E-03 pvDividend:0 gamma: 1.79769313486232E+308 theta/vega/undPrice: -4.26220793558641E-04-2.97765478272042E-04-1.5783</t>
  </si>
  <si>
    <t>2014-11-26 15:53:31.869: RTWSControl  - tickOptionComputation - id:200046 tickType:13 impliedVol:6.56137734082449E-02 delta:-0.147819957682846 optPrice:6.1649852165063E-04 pvDividend:0 gamma: 1.79769313486232E+308 theta/vega/undPrice: -4.26276315419479E-04-2.97765767131089E-04-1.5783</t>
  </si>
  <si>
    <t>2014-11-26 15:53:31.910: RTWSControl  - tickOptionComputation - id:200045 tickType:13 impliedVol:6.22688072322717E-02 delta:0.669267638663666 optPrice:4.9661286465673E-03 pvDividend:0 gamma: 1.79769313486232E+308 theta/vega/undPrice: -6.3566069702062E-04-4.4559081197232E-04-1.5783</t>
  </si>
  <si>
    <t>2014-11-26 15:53:31.951: RTWSControl  - tickOptionComputation - id:200047 tickType:13 impliedVol:6.22688072322717E-02 delta:-0.330845516859761 optPrice:1.66617859908647E-03 pvDividend:0 gamma: 1.79769313486232E+308 theta/vega/undPrice: -6.35684412768074E-04-4.4559145163063E-04-1.5783</t>
  </si>
  <si>
    <t>2014-11-26 15:53:31.994: RTWSControl  - tickOptionComputation - id:200055 tickType:13 impliedVol:0.061566940147884 delta:0.410982771639901 optPrice:2.22214610709553E-03 pvDividend:0 gamma: 1.79769313486232E+308 theta/vega/undPrice: -6.76955993187218E-04-4.8348904075217E-04-1.5783</t>
  </si>
  <si>
    <t>2014-11-26 15:53:32.33: RTWSControl  - tickOptionComputation - id:200049 tickType:13 impliedVol:6.87367000616543E-02 delta:0.687934695038354 optPrice:1.17959316918682E-02 pvDividend:0 gamma: 1.79769313486232E+308 theta/vega/undPrice: -3.3367061408305E-04-9.14241455886996E-04-1.5783</t>
  </si>
  <si>
    <t>2014-11-26 15:53:32.77: RTWSControl  - tickOptionComputation - id:200050 tickType:13 impliedVol:6.87367000616543E-02 delta:-0.312135472104296 optPrice:3.49645818866284E-03 pvDividend:0 gamma: 1.79769313486232E+308 theta/vega/undPrice: -3.33729675369947E-04-9.1424702243941E-04-1.5783</t>
  </si>
  <si>
    <t>2014-11-26 15:53:32.118: RTWSControl  - tickOptionComputation - id:200051 tickType:13 impliedVol:7.09193146147493E-02 delta:-0.315634932680283 optPrice:3.60001814111217E-03 pvDividend:0 gamma: 1.79769313486232E+308 theta/vega/undPrice: -3.47833439157441E-04-8.79280102613339E-04-1.5783</t>
  </si>
  <si>
    <t>2014-11-26 15:53:32.159: RTWSControl  - tickOptionComputation - id:200052 tickType:13 impliedVol:0.119845527547898 delta:-0.519149697385261 optPrice:1.27000000227003E-02 pvDividend:0 gamma: 1.79769313486232E+308 theta/vega/undPrice: -6.58771789073434E-04-9.85505660757897E-04-1.5783</t>
  </si>
  <si>
    <t>2014-11-26 15:53:32.201: RTWSControl  - tickOptionComputation - id:200048 tickType:13 impliedVol:8.41428755642681E-02 delta:-3.17376517906206E-02 optPrice:2.65955394320993E-04 pvDividend:0 gamma: 1.79769313486232E+308 theta/vega/undPrice: -8.17425743651243E-05-2.11293607673828E-04-1.5783</t>
  </si>
  <si>
    <t>2014-11-26 15:53:32.244: RTWSControl  - tickOptionComputation - id:200053 tickType:13 impliedVol:6.40140016049084E-02 delta:8.91901384218651E-02 optPrice:6.65055785852038E-04 pvDividend:0 gamma: 1.79769313486232E+308 theta/vega/undPrice: -1.41320007193231E-04-4.47323842229642E-04-1.5783</t>
  </si>
  <si>
    <t>2014-11-26 15:53:32.284: RTWSControl  - tickOptionComputation - id:200054 tickType:13 impliedVol:0.069974780194034 delta:1.60086360818923E-03 optPrice:8.1850323222672E-06 pvDividend:0 gamma: 0.293996593537462 theta/vega/undPrice: -4.91097433957541E-06-2.26809190238517E-05-1.5783</t>
  </si>
  <si>
    <t>2014-11-26 15:53:32.613: RTWSControl  - tickOptionComputation - id:200042 tickType:10 impliedVol:8.98941538433329E-02 delta:-4.41754736670565E-02 optPrice:1.99999994947575E-04 pvDividend:0 gamma: 1.79769313486232E+308 theta/vega/undPrice: -2.3709481092338E-04-1.43289985432651E-04-1.5783</t>
  </si>
  <si>
    <t>2014-11-26 15:53:32.663: RTWSControl  - tickOptionComputation - id:200042 tickType:11 impliedVol:8.98941538433329E-02 delta:-4.41754736670565E-02 optPrice:1.99999994947575E-04 pvDividend:0 gamma: 1.79769313486232E+308 theta/vega/undPrice: -2.3709481092338E-04-1.43289985432651E-04-1.5783</t>
  </si>
  <si>
    <t>2014-11-26 15:53:32.711: RTWSControl  - tickOptionComputation - id:200042 tickType:13 impliedVol:7.95643215318478E-02 delta:-2.77694753290155E-02 optPrice:1.04858623657502E-04 pvDividend:0 gamma: 1.79769313486232E+308 theta/vega/undPrice: -1.42208362021106E-04-9.04152008197832E-05-1.5783</t>
  </si>
  <si>
    <t>2014-11-26 15:53:32.752: RTWSControl  - tickOptionComputation - id:200041 tickType:10 impliedVol:6.90493415528736E-02 delta:0.944767300049569 optPrice:1.35000003501773E-02 pvDividend:0 gamma: 1.79769313486232E+308 theta/vega/undPrice: -2.16032264937772E-04-1.5406191219311E-04-1.5783</t>
  </si>
  <si>
    <t>2014-11-26 15:53:32.797: RTWSControl  - tickOptionComputation - id:200041 tickType:11 impliedVol:8.58283275009162E-02 delta:0.900230047123935 optPrice:1.37999998405576E-02 pvDividend:0 gamma: 1.79769313486232E+308 theta/vega/undPrice: -4.22308738656884E-04-2.15279127512851E-04-1.5783</t>
  </si>
  <si>
    <t>2014-11-26 15:53:32.867: RTWSControl  - tickOptionComputation - id:200041 tickType:13 impliedVol:7.11515688604152E-02 delta:0.939360959217208 optPrice:1.35301714698608E-02 pvDividend:0 gamma: 1.79769313486232E+308 theta/vega/undPrice: -2.4013424657747E-04-1.69147422388957E-04-1.5783</t>
  </si>
  <si>
    <t>2014-11-26 15:53:32.913: RTWSControl  - tickOptionComputation - id:200043 tickType:10 impliedVol:6.04819408487537E-02 delta:-3.40527455641712E-02 optPrice:9.99999974737875E-05 pvDividend:0 gamma: 1.79769313486232E+308 theta/vega/undPrice: -1.28123623736858E-04-1.20362733003317E-04-1.5783</t>
  </si>
  <si>
    <t>2014-11-26 15:53:32.956: RTWSControl  - tickOptionComputation - id:200043 tickType:11 impliedVol:7.60037375424433E-02 delta:-7.23275604454265E-02 optPrice:3.00000014249235E-04 pvDividend:0 gamma: 1.79769313486232E+308 theta/vega/undPrice: -2.95852145159084E-04-2.03966694738051E-04-1.5783</t>
  </si>
  <si>
    <t>2014-11-26 15:53:33.2: RTWSControl  - tickOptionComputation - id:200043 tickType:13 impliedVol:7.11515688604152E-02 delta:-6.07515617203845E-02 optPrice:2.30361774688712E-04 pvDividend:0 gamma: 1.79769313486232E+308 theta/vega/undPrice: -2.40222125357371E-04-1.69147687432698E-04-1.5783</t>
  </si>
  <si>
    <t>2014-11-26 15:53:33.45: RTWSControl  - tickOptionComputation - id:200044 tickType:10 impliedVol:6.50951058278867E-02 delta:0.854210558441145 optPrice:8.89999978244305E-03 pvDividend:0 gamma: 1.79769313486232E+308 theta/vega/undPrice: -4.19108673697788E-04-2.97765494466789E-04-1.5783</t>
  </si>
  <si>
    <t>2014-11-26 15:53:33.87: RTWSControl  - tickOptionComputation - id:200044 tickType:11 impliedVol:7.84971011639742E-02 delta:0.810481798963042 optPrice:9.30000003427267E-03 pvDividend:0 gamma: 1.79769313486232E+308 theta/vega/undPrice: -6.02880467648506E-04-3.62198503656732E-04-1.5783</t>
  </si>
  <si>
    <t>2014-11-26 15:53:33.158: RTWSControl  - tickOptionComputation - id:200044 tickType:13 impliedVol:6.53442655602987E-02 delta:0.853341370570632 optPrice:8.90835405057927E-03 pvDividend:0 gamma: 1.79769313486232E+308 theta/vega/undPrice: -4.22525224096261E-04-2.97765486692084E-04-1.5783</t>
  </si>
  <si>
    <t>2014-11-26 15:53:33.204: RTWSControl  - tickOptionComputation - id:200046 tickType:10 impliedVol:0.061701353978374 delta:-0.131679343582617 optPrice:5.00000023748726E-04 pvDividend:0 gamma: 1.79769313486232E+308 theta/vega/undPrice: -3.72627968841761E-04-2.97765888846484E-04-1.5783</t>
  </si>
  <si>
    <t>2014-11-26 15:53:33.247: RTWSControl  - tickOptionComputation - id:200046 tickType:11 impliedVol:6.84180390418856E-02 delta:-0.158219793342358 optPrice:6.99999975040555E-04 pvDividend:0 gamma: 1.79769313486232E+308 theta/vega/undPrice: -4.64729277240376E-04-2.97765680526817E-04-1.5783</t>
  </si>
  <si>
    <t>2014-11-26 15:53:33.293: RTWSControl  - tickOptionComputation - id:200046 tickType:13 impliedVol:6.53442655602987E-02 delta:-0.146771318181535 optPrice:6.08473496236444E-04 pvDividend:0 gamma: 1.79769313486232E+308 theta/vega/undPrice: -4.22580738929532E-04-2.97765775504861E-04-1.5783</t>
  </si>
  <si>
    <t>2014-11-26 15:53:33.336: RTWSControl  - tickOptionComputation - id:200045 tickType:10 impliedVol:6.30289550130891E-02 delta:0.6672699960392 optPrice:4.99999988824129E-03 pvDividend:0 gamma: 1.79769313486232E+308 theta/vega/undPrice: -6.44892078706244E-04-4.45590777544929E-04-1.5783</t>
  </si>
  <si>
    <t>2014-11-26 15:53:33.380: RTWSControl  - tickOptionComputation - id:200045 tickType:11 impliedVol:6.75228056277825E-02 delta:0.656845514125128 optPrice:5.2000000141561E-03 pvDividend:0 gamma: 1.79769313486232E+308 theta/vega/undPrice: -6.99466233241338E-04-4.45590567447499E-04-1.5783</t>
  </si>
  <si>
    <t>2014-11-26 15:53:33.449: RTWSControl  - tickOptionComputation - id:200045 tickType:13 impliedVol:6.21424116314415E-02 delta:0.669590335448561 optPrice:4.96049657190382E-03 pvDividend:0 gamma: 1.79769313486232E+308 theta/vega/undPrice: -6.34125724226594E-04-4.455908176633E-04-1.5783</t>
  </si>
  <si>
    <t>2014-11-26 15:53:33.497: RTWSControl  - tickOptionComputation - id:200047 tickType:10 impliedVol:6.07966083978783E-02 delta:-0.326961876053413 optPrice:1.5999999595806E-03 pvDividend:0 gamma: 1.79769313486232E+308 theta/vega/undPrice: -6.17805679967474E-04-4.45591517225939E-04-1.5783</t>
  </si>
  <si>
    <t>2014-11-26 15:53:33.537: RTWSControl  - tickOptionComputation - id:200047 tickType:11 impliedVol:6.52720363265627E-02 delta:-0.338100558478556 optPrice:1.79999996908009E-03 pvDividend:0 gamma: 1.79769313486232E+308 theta/vega/undPrice: -6.7215632206045E-04-4.45591313751182E-04-1.5783</t>
  </si>
  <si>
    <t>2014-11-26 15:53:33.585: RTWSControl  - tickOptionComputation - id:200047 tickType:13 impliedVol:6.21424116314415E-02 delta:-0.330522819553641 optPrice:1.66054651634027E-03 pvDividend:0 gamma: 1.79769313486232E+308 theta/vega/undPrice: -6.34149434743211E-04-4.45591457321637E-04-1.5783</t>
  </si>
  <si>
    <t>2014-11-26 15:53:33.627: RTWSControl  - tickOptionComputation - id:200055 tickType:10 impliedVol:6.10899312244588E-02 delta:0.410220480205954 optPrice:2.19999998807907E-03 pvDividend:0 gamma: 1.79769313486232E+308 theta/vega/undPrice: -6.71537410506854E-04-4.83489064179519E-04-1.5783</t>
  </si>
  <si>
    <t>2014-11-26 15:53:33.668: RTWSControl  - tickOptionComputation - id:200055 tickType:11 impliedVol:6.31598178346826E-02 delta:0.413225866519519 optPrice:2.30000005103648E-03 pvDividend:0 gamma: 1.79769313486232E+308 theta/vega/undPrice: -6.95050281562291E-04-4.83488961328902E-04-1.5783</t>
  </si>
  <si>
    <t>2014-11-26 15:53:33.739: RTWSControl  - tickOptionComputation - id:200055 tickType:13 impliedVol:6.15460070738436E-02 delta:0.410951824355888 optPrice:2.22113401540257E-03 pvDividend:0 gamma: 1.79769313486232E+308 theta/vega/undPrice: -6.76718203955337E-04-4.83489041782553E-04-1.5783</t>
  </si>
  <si>
    <t>2014-11-26 15:53:33.784: RTWSControl  - tickOptionComputation - id:200049 tickType:10 impliedVol:6.87812040906721E-02 delta:0.687734581641846 optPrice:1.18000004440546E-02 pvDividend:0 gamma: 1.79769313486232E+308 theta/vega/undPrice: -3.339331383811E-04-9.1424143644047E-04-1.5783</t>
  </si>
  <si>
    <t>2014-11-26 15:53:33.832: RTWSControl  - tickOptionComputation - id:200049 tickType:11 impliedVol:7.20626005524625E-02 delta:0.679782551327819 optPrice:1.20999999344349E-02 pvDividend:0 gamma: 1.79769313486232E+308 theta/vega/undPrice: -3.53289691687949E-04-9.14239976552201E-04-1.5783</t>
  </si>
  <si>
    <t>2014-11-26 15:53:33.876: RTWSControl  - tickOptionComputation - id:200049 tickType:13 impliedVol:6.89425461732345E-02 delta:0.687412600919208 optPrice:1.18147510399929E-02 pvDividend:0 gamma: 1.79769313486232E+308 theta/vega/undPrice: -3.34884877196655E-04-9.14241365876438E-04-1.5783</t>
  </si>
  <si>
    <t>2014-11-26 15:53:33.917: RTWSControl  - tickOptionComputation - id:200050 tickType:10 impliedVol:6.87754413556765E-02 delta:-0.312194495988873 optPrice:3.50000010803342E-03 pvDividend:0 gamma: 1.79769313486232E+308 theta/vega/undPrice: -3.33958209273738E-04-9.14247005762003E-04-1.5783</t>
  </si>
  <si>
    <t>2014-11-26 15:53:33.962: RTWSControl  - tickOptionComputation - id:200050 tickType:11 impliedVol:6.98751309697127E-02 delta:-0.31494412610615 optPrice:3.59999993816018E-03 pvDividend:0 gamma: 1.79769313486232E+308 theta/vega/undPrice: -3.40445245900419E-04-9.14246529314182E-04-1.5783</t>
  </si>
  <si>
    <t>2014-11-26 15:53:34.31: RTWSControl  - tickOptionComputation - id:200050 tickType:13 impliedVol:6.89425461732345E-02 delta:-0.312657569811274 optPrice:3.51527765119762E-03 pvDividend:0 gamma: 1.79769313486232E+308 theta/vega/undPrice: -3.34943956205421E-04-9.14246933739949E-04-1.5783</t>
  </si>
  <si>
    <t>2014-11-26 15:53:34.77: RTWSControl  - tickOptionComputation - id:200051 tickType:10 impliedVol:6.74879021968727E-02 delta:-0.307163749525426 optPrice:3.29999998211861E-03 pvDividend:0 gamma: 1.79769313486232E+308 theta/vega/undPrice: -3.271427116453E-04-8.69022487985016E-04-1.5783</t>
  </si>
  <si>
    <t>2014-11-26 15:53:34.120: RTWSControl  - tickOptionComputation - id:200051 tickType:11 impliedVol:0.069779708307471 delta:-0.312877155506507 optPrice:3.50000010803342E-03 pvDividend:0 gamma: 1.79769313486232E+308 theta/vega/undPrice: -3.40978373243981E-04-8.76027794565711E-04-1.5783</t>
  </si>
  <si>
    <t>2014-11-26 15:53:34.165: RTWSControl  - tickOptionComputation - id:200052 tickType:10 impliedVol:1.79769313486232E+308 delta:1.79769313486232E+308 optPrice:1.79769313486232E+308 pvDividend:0 gamma: 1.79769313486232E+308 theta/vega/undPrice: 1.79769313486232E+308-1.79769313486232E+308-1.5783</t>
  </si>
  <si>
    <t>2014-11-26 15:53:34.200: RTWSControl  - tickOptionComputation - id:200052 tickType:11 impliedVol:1.79769313486232E+308 delta:1.79769313486232E+308 optPrice:1.79769313486232E+308 pvDividend:0 gamma: 1.79769313486232E+308 theta/vega/undPrice: 1.79769313486232E+308-1.79769313486232E+308-1.5783</t>
  </si>
  <si>
    <t>2014-11-26 15:53:34.244: RTWSControl  - tickOptionComputation - id:200048 tickType:10 impliedVol:8.04905533932256E-02 delta:-2.57644100568493E-02 optPrice:1.99999994947575E-04 pvDividend:0 gamma: 1.79769313486232E+308 theta/vega/undPrice: -6.58583100466427E-05-1.79316651798671E-04-1.5783</t>
  </si>
  <si>
    <t>2014-11-26 15:53:34.288: RTWSControl  - tickOptionComputation - id:200048 tickType:11 impliedVol:8.60414508587795E-02 delta:-3.46357188833915E-02 optPrice:3.00000014249235E-04 pvDividend:0 gamma: 1.79769313486232E+308 theta/vega/undPrice: -8.99996246743496E-05-2.32795185219006E-04-1.5783</t>
  </si>
  <si>
    <t>2014-11-26 15:53:34.335: RTWSControl  - tickOptionComputation - id:200048 tickType:13 impliedVol:8.36852694321362E-02 delta:-3.10183163115897E-02 optPrice:2.57749748027045E-04 pvDividend:0 gamma: 1.79769313486232E+308 theta/vega/undPrice: -7.97524082699599E-05-2.06111161453384E-04-1.5783</t>
  </si>
  <si>
    <t>2014-11-26 15:53:34.378: RTWSControl  - tickOptionComputation - id:200053 tickType:10 impliedVol:6.25596728075276E-02 delta:0.083564772712331 optPrice:6.00000028498471E-04 pvDividend:0 gamma: 1.79769313486232E+308 theta/vega/undPrice: -1.31911068911807E-04-4.47324122871433E-04-1.5783</t>
  </si>
  <si>
    <t>2014-11-26 15:53:34.419: RTWSControl  - tickOptionComputation - id:200053 tickType:11 impliedVol:6.47800333545459E-02 delta:9.20349590362901E-02 optPrice:6.99999975040555E-04 pvDividend:0 gamma: 1.79769313486232E+308 theta/vega/undPrice: -1.46275928846175E-04-4.47323695842645E-04-1.5783</t>
  </si>
  <si>
    <t>2014-11-26 15:53:34.488: RTWSControl  - tickOptionComputation - id:200053 tickType:13 impliedVol:6.41256453784873E-02 delta:0.089610679616884 optPrice:6.70049888763786E-04 pvDividend:0 gamma: 1.79769313486232E+308 theta/vega/undPrice: -1.42042298310019E-04-4.47323820832557E-04-1.5783</t>
  </si>
  <si>
    <t>2014-11-26 15:53:34.536: RTWSControl  - tickOptionComputation - id:200054 tickType:10 impliedVol:1.79769313486232E+308 delta:1.79769313486232E+308 optPrice:1.79769313486232E+308 pvDividend:0 gamma: 1.79769313486232E+308 theta/vega/undPrice: 1.79769313486232E+308-1.79769313486232E+308-1.5783</t>
  </si>
  <si>
    <t>2014-11-26 15:53:34.572: RTWSControl  - tickOptionComputation - id:200054 tickType:11 impliedVol:9.14031469229053E-02 delta:1.24335066609033E-02 optPrice:9.99999974737875E-05 pvDividend:0 gamma: 1.79769313486232E+308 theta/vega/undPrice: -4.01502576300541E-05-1.03770225188912E-04-1.5783</t>
  </si>
  <si>
    <t>2014-11-26 15:53:34.621: RTWSControl  - tickOptionComputation - id:200054 tickType:13 impliedVol:0.0692345670479 delta:1.46671318989031E-03 optPrice:7.38697335951155E-06 pvDividend:0 gamma: 0.273711119732868 theta/vega/undPrice: -4.4759035235289E-06-2.13403568817656E-05-1.5783</t>
  </si>
  <si>
    <t>2014-11-26 15:53:35.235: RTWSControl  - tickOptionComputation - id:200046 tickType:10 impliedVol:6.50596974921634E-02 delta:-0.145636210965801 optPrice:6.00000028498471E-04 pvDividend:0 gamma: 1.79769313486232E+308 theta/vega/undPrice: -4.18678651742491E-04-2.97765784346119E-04-1.5783</t>
  </si>
  <si>
    <t>2014-11-26 15:53:35.290: RTWSControl  - tickOptionComputation - id:200047 tickType:11 impliedVol:6.30343236605446E-02 delta:-0.3327300536291 optPrice:1.70000002253801E-03 pvDividend:0 gamma: 1.79769313486232E+308 theta/vega/undPrice: -6.44981024077781E-04-4.45591416965364E-04-1.5783</t>
  </si>
  <si>
    <t>2014-11-26 15:53:35.335: RTWSControl  - tickOptionComputation - id:200052 tickType:10 impliedVol:1.79769313486232E+308 delta:1.79769313486232E+308 optPrice:1.79769313486232E+308 pvDividend:0 gamma: 1.79769313486232E+308 theta/vega/undPrice: 1.79769313486232E+308-1.79769313486232E+308-1.5783</t>
  </si>
  <si>
    <t>2014-11-26 15:53:35.367: RTWSControl  - tickOptionComputation - id:200052 tickType:11 impliedVol:1.79769313486232E+308 delta:1.79769313486232E+308 optPrice:1.79769313486232E+308 pvDividend:0 gamma: 1.79769313486232E+308 theta/vega/undPrice: 1.79769313486232E+308-1.79769313486232E+308-1.5783</t>
  </si>
  <si>
    <t>2014-11-26 15:53:35.410: RTWSControl  - tickOptionComputation - id:200054 tickType:10 impliedVol:1.79769313486232E+308 delta:1.79769313486232E+308 optPrice:1.79769313486232E+308 pvDividend:0 gamma: 1.79769313486232E+308 theta/vega/undPrice: 1.79769313486232E+308-1.79769313486232E+308-1.5783</t>
  </si>
  <si>
    <t>2014-11-26 15:53:35.535: DirectionIndicator - notify - price/longMA/ShortMA/prevDirection are 1.5785/1.57836510128626/1.57841791920202/1</t>
  </si>
  <si>
    <t>2014-11-26 15:53:35.536: Algorithm - handleTransition - currentHedgeShortfall is NOT ZERO and AUTOHEDGE IS NOT ENABLED!</t>
  </si>
  <si>
    <t>2014-11-26 15:53:35.577: DirectionIndicator - notify - price/longMA/ShortMA/prevDirection are 1.57855/1.57839871923421/1.57846194613468/1</t>
  </si>
  <si>
    <t>2014-11-26 15:53:35.577: Algorithm - handleTransition - currentHedgeShortfall is NOT ZERO and AUTOHEDGE IS NOT ENABLED!</t>
  </si>
  <si>
    <t>2014-11-26 15:53:36.276: RTWSControl  - tickOptionComputation - id:200042 tickType:13 impliedVol:7.95643215318478E-02 delta:-2.62801342213432E-02 optPrice:9.84122548839859E-05 pvDividend:0 gamma: 1.79769313486232E+308 theta/vega/undPrice: -1.35984918696093E-04-8.78285732672176E-05-1.5785</t>
  </si>
  <si>
    <t>2014-11-26 15:53:36.326: RTWSControl  - tickOptionComputation - id:200041 tickType:13 impliedVol:7.11515688604152E-02 delta:0.942083221232822 optPrice:0.013718341572688 pvDividend:0 gamma: 1.79769313486232E+308 theta/vega/undPrice: -2.31530069188049E-04-1.60821814786516E-04-1.5785</t>
  </si>
  <si>
    <t>2014-11-26 15:53:36.368: RTWSControl  - tickOptionComputation - id:200043 tickType:13 impliedVol:7.11515688604152E-02 delta:-5.80292977167543E-02 optPrice:2.18534728736752E-04 pvDividend:0 gamma: 1.79769313486232E+308 theta/vega/undPrice: -2.31619255725297E-04-1.60822073077664E-04-1.5785</t>
  </si>
  <si>
    <t>2014-11-26 15:53:36.410: RTWSControl  - tickOptionComputation - id:200044 tickType:13 impliedVol:6.53442655602987E-02 delta:0.859490194131143 optPrice:9.07625147243029E-03 pvDividend:0 gamma: 1.79769313486232E+308 theta/vega/undPrice: -4.11172457857599E-04-2.97784351978718E-04-1.5785</t>
  </si>
  <si>
    <t>2014-11-26 15:53:36.453: RTWSControl  - tickOptionComputation - id:200046 tickType:13 impliedVol:6.53442655602987E-02 delta:-0.140622488201074 optPrice:5.76373750995082E-04 pvDividend:0 gamma: 1.79769313486232E+308 theta/vega/undPrice: -4.11229269438312E-04-2.97784640597936E-04-1.5785</t>
  </si>
  <si>
    <t>2014-11-26 15:53:36.494: RTWSControl  - tickOptionComputation - id:200045 tickType:13 impliedVol:6.21424116314415E-02 delta:0.679266914792258 optPrice:5.09348910774451E-03 pvDividend:0 gamma: 1.79769313486232E+308 theta/vega/undPrice: -6.26867636070177E-04-4.45619048520376E-04-1.5785</t>
  </si>
  <si>
    <t>2014-11-26 15:53:36.535: RTWSControl  - tickOptionComputation - id:200047 tickType:13 impliedVol:6.21424116314415E-02 delta:-0.320846224852166 optPrice:1.5935418390746E-03 pvDividend:0 gamma: 1.79769313486232E+308 theta/vega/undPrice: -6.26892629739287E-04-4.45619687601059E-04-1.5785</t>
  </si>
  <si>
    <t>2014-11-26 15:53:36.578: RTWSControl  - tickOptionComputation - id:200055 tickType:13 impliedVol:6.15460070738436E-02 delta:0.421555620730126 optPrice:2.31009369725385E-03 pvDividend:0 gamma: 1.79769313486232E+308 theta/vega/undPrice: -6.79399836728018E-04-4.83519669944385E-04-1.5785</t>
  </si>
  <si>
    <t>2014-11-26 15:53:36.617: RTWSControl  - tickOptionComputation - id:200049 tickType:13 impliedVol:6.89425461732345E-02 delta:0.691648453907595 optPrice:1.19479618697784E-02 pvDividend:0 gamma: 1.79769313486232E+308 theta/vega/undPrice: -3.33180303973475E-04-9.14299300264021E-04-1.5785</t>
  </si>
  <si>
    <t>2014-11-26 15:53:36.661: RTWSControl  - tickOptionComputation - id:200050 tickType:13 impliedVol:6.89425461732345E-02 delta:-0.308421687657386 optPrice:3.44850024949986E-03 pvDividend:0 gamma: 1.79769313486232E+308 theta/vega/undPrice: -3.33240663925329E-04-9.14304860048743E-04-1.5785</t>
  </si>
  <si>
    <t>2014-11-26 15:53:36.700: RTWSControl  - tickOptionComputation - id:200051 tickType:13 impliedVol:7.09193146147493E-02 delta:-0.311592187062316 optPrice:3.53730380706073E-03 pvDividend:0 gamma: 1.79769313486232E+308 theta/vega/undPrice: -3.45956666596091E-04-8.7453513251917E-04-1.5785</t>
  </si>
  <si>
    <t>2014-11-26 15:53:36.741: RTWSControl  - tickOptionComputation - id:200052 tickType:13 impliedVol:0.119845527547898 delta:-0.516460546869315 optPrice:0.012596457713327 pvDividend:0 gamma: 1.79769313486232E+308 theta/vega/undPrice: -6.59054086978705E-04-9.85926898291367E-04-1.5785</t>
  </si>
  <si>
    <t>2014-11-26 15:53:36.783: RTWSControl  - tickOptionComputation - id:200048 tickType:13 impliedVol:8.36852694321362E-02 delta:-3.03337145929882E-02 optPrice:2.51354931002147E-04 pvDividend:0 gamma: 1.79769313486232E+308 theta/vega/undPrice: -7.82914421016195E-05-2.00789422697254E-04-1.5785</t>
  </si>
  <si>
    <t>2014-11-26 15:53:36.832: RTWSControl  - tickOptionComputation - id:200053 tickType:13 impliedVol:6.41256453784873E-02 delta:9.18404052979599E-02 optPrice:6.90493636905643E-04 pvDividend:0 gamma: 1.79769313486232E+308 theta/vega/undPrice: -1.44583097101181E-04-4.47352167090179E-04-1.5785</t>
  </si>
  <si>
    <t>2014-11-26 15:53:36.866: RTWSControl  - tickOptionComputation - id:200054 tickType:13 impliedVol:0.0692345670479 delta:1.51646182443369E-03 optPrice:7.651866827613E-06 pvDividend:0 gamma: 0.28236436858681 theta/vega/undPrice: -4.61857722048045E-06-2.17480013478749E-05-1.5785</t>
  </si>
  <si>
    <t>2014-11-26 15:53:36.984: RTWSControl  - tickOptionComputation - id:200042 tickType:10 impliedVol:9.07085879154556E-02 delta:-4.38186211240014E-02 optPrice:1.99999994947575E-04 pvDividend:0 gamma: 1.79769313486232E+308 theta/vega/undPrice: -2.37828652727457E-04-1.43299047328079E-04-1.5785</t>
  </si>
  <si>
    <t>2014-11-26 15:53:37.34: RTWSControl  - tickOptionComputation - id:200042 tickType:11 impliedVol:9.07085879154556E-02 delta:-4.38186211240014E-02 optPrice:1.99999994947575E-04 pvDividend:0 gamma: 1.79769313486232E+308 theta/vega/undPrice: -2.37828652727457E-04-1.43299047328079E-04-1.5785</t>
  </si>
  <si>
    <t>2014-11-26 15:53:37.80: RTWSControl  - tickOptionComputation - id:200042 tickType:13 impliedVol:8.01576196274141E-02 delta:-2.73043160671634E-02 optPrice:1.03623110501802E-04 pvDividend:0 gamma: 1.79769313486232E+308 theta/vega/undPrice: -1.41322922352643E-04-8.83423145298452E-05-1.5785</t>
  </si>
  <si>
    <t>2014-11-26 15:53:37.123: RTWSControl  - tickOptionComputation - id:200041 tickType:10 impliedVol:6.11937388229733E-02 delta:0.96635049031686 optPrice:1.36000001803041E-02 pvDividend:0 gamma: 1.79769313486232E+308 theta/vega/undPrice: -1.28214730046194E-04-1.18946653151913E-04-1.5785</t>
  </si>
  <si>
    <t>2014-11-26 15:53:37.163: RTWSControl  - tickOptionComputation - id:200041 tickType:11 impliedVol:8.21193792669989E-02 delta:0.913951372606279 optPrice:1.38999996706843E-02 pvDividend:0 gamma: 1.79769313486232E+308 theta/vega/undPrice: -3.62978326488533E-04-2.15292869279626E-04-1.5785</t>
  </si>
  <si>
    <t>2014-11-26 15:53:37.209: RTWSControl  - tickOptionComputation - id:200041 tickType:13 impliedVol:7.16232780237931E-02 delta:0.940870093159476 optPrice:1.37251119600843E-02 pvDividend:0 gamma: 1.79769313486232E+308 theta/vega/undPrice: -2.36938544032251E-04-1.64206997175302E-04-1.5785</t>
  </si>
  <si>
    <t>2014-11-26 15:53:37.252: RTWSControl  - tickOptionComputation - id:200043 tickType:10 impliedVol:6.11807812672692E-02 delta:-3.36077277228792E-02 optPrice:9.99999974737875E-05 pvDividend:0 gamma: 1.79769313486232E+308 theta/vega/undPrice: -1.28186965461054E-04-1.18874798016452E-04-1.5785</t>
  </si>
  <si>
    <t>2014-11-26 15:53:37.295: RTWSControl  - tickOptionComputation - id:200043 tickType:11 impliedVol:7.68274488390918E-02 delta:-7.16267809648216E-02 optPrice:3.00000014249235E-04 pvDividend:0 gamma: 1.79769313486232E+308 theta/vega/undPrice: -2.96697227384506E-04-2.01554585508878E-04-1.5785</t>
  </si>
  <si>
    <t>2014-11-26 15:53:37.366: RTWSControl  - tickOptionComputation - id:200043 tickType:13 impliedVol:7.16232780237931E-02 delta:-5.92424266752078E-02 optPrice:2.25305120785794E-04 pvDividend:0 gamma: 1.79769313486232E+308 theta/vega/undPrice: -2.37027736648347E-04-1.64207259057339E-04-1.5785</t>
  </si>
  <si>
    <t>2014-11-26 15:53:37.413: RTWSControl  - tickOptionComputation - id:200044 tickType:10 impliedVol:0.062783627056328 delta:0.870043827641401 optPrice:8.99999961256981E-03 pvDividend:0 gamma: 1.79769313486232E+308 theta/vega/undPrice: -3.76058008140444E-04-2.97784433701397E-04-1.5785</t>
  </si>
  <si>
    <t>2014-11-26 15:53:37.454: RTWSControl  - tickOptionComputation - id:200044 tickType:11 impliedVol:7.62161735119558E-02 delta:0.822108279633417 optPrice:9.39999986439943E-03 pvDividend:0 gamma: 1.79769313486232E+308 theta/vega/undPrice: -5.60260484331392E-04-3.27973945328375E-04-1.5785</t>
  </si>
  <si>
    <t>2014-11-26 15:53:37.502: RTWSControl  - tickOptionComputation - id:200044 tickType:13 impliedVol:6.58343495839517E-02 delta:0.85754405274764 optPrice:9.09084541520881E-03 pvDividend:0 gamma: 1.79769313486232E+308 theta/vega/undPrice: -4.17893057251729E-04-2.97784336320845E-04-1.5785</t>
  </si>
  <si>
    <t>2014-11-26 15:53:37.544: RTWSControl  - tickOptionComputation - id:200046 tickType:10 impliedVol:6.27795370726572E-02 delta:-0.129924660970057 optPrice:5.00000023748726E-04 pvDividend:0 gamma: 1.79769313486232E+308 theta/vega/undPrice: -3.76058666202406E-04-2.97784722391244E-04-1.5785</t>
  </si>
  <si>
    <t>2014-11-26 15:53:37.588: RTWSControl  - tickOptionComputation - id:200046 tickType:11 impliedVol:6.94957955101719E-02 delta:-0.156217986334669 optPrice:6.99999975040555E-04 pvDividend:0 gamma: 1.79769313486232E+308 theta/vega/undPrice: -4.68159940585088E-04-2.97784508615377E-04-1.5785</t>
  </si>
  <si>
    <t>2014-11-26 15:53:37.658: RTWSControl  - tickOptionComputation - id:200046 tickType:13 impliedVol:6.58343495839517E-02 delta:-0.142568631614312 optPrice:5.90967707909395E-04 pvDividend:0 gamma: 1.79769313486232E+308 theta/vega/undPrice: -4.17949881614471E-04-2.97784624973894E-04-1.5785</t>
  </si>
  <si>
    <t>2014-11-26 15:53:37.705: RTWSControl  - tickOptionComputation - id:200045 tickType:10 impliedVol:6.22885253437554E-02 delta:0.678785482170416 optPrice:5.10000018402934E-03 pvDividend:0 gamma: 1.79769313486232E+308 theta/vega/undPrice: -6.28642181876479E-04-4.45619041871394E-04-1.5785</t>
  </si>
  <si>
    <t>2014-11-26 15:53:37.746: RTWSControl  - tickOptionComputation - id:200045 tickType:11 impliedVol:6.67723255331542E-02 delta:0.667493382884563 optPrice:5.29999984428287E-03 pvDividend:0 gamma: 1.79769313486232E+308 theta/vega/undPrice: -6.83097742651556E-04-4.4561883202061E-04-1.5785</t>
  </si>
  <si>
    <t>2014-11-26 15:53:37.793: RTWSControl  - tickOptionComputation - id:200045 tickType:13 impliedVol:6.27908343078047E-02 delta:0.677525459568392 optPrice:5.12238407089415E-03 pvDividend:0 gamma: 1.79769313486232E+308 theta/vega/undPrice: -6.34742705773166E-04-4.45619018919898E-04-1.5785</t>
  </si>
  <si>
    <t>2014-11-26 15:53:37.836: RTWSControl  - tickOptionComputation - id:200047 tickType:10 impliedVol:6.23052923878153E-02 delta:-0.321246474167239 optPrice:1.5999999595806E-03 pvDividend:0 gamma: 1.79769313486232E+308 theta/vega/undPrice: -6.28870817337496E-04-4.45619680218873E-04-1.5785</t>
  </si>
  <si>
    <t>2014-11-26 15:53:37.880: RTWSControl  - tickOptionComputation - id:200047 tickType:11 impliedVol:6.45403917399335E-02 delta:-0.32706958076071 optPrice:1.70000002253801E-03 pvDividend:0 gamma: 1.79769313486232E+308 theta/vega/undPrice: -6.56016101933216E-04-4.45619577414435E-04-1.5785</t>
  </si>
  <si>
    <t>2014-11-26 15:53:37.950: RTWSControl  - tickOptionComputation - id:200047 tickType:13 impliedVol:6.27908343078047E-02 delta:-0.322587682828217 optPrice:1.62243684358076E-03 pvDividend:0 gamma: 1.79769313486232E+308 theta/vega/undPrice: -6.34767725901183E-04-4.45619658121059E-04-1.5785</t>
  </si>
  <si>
    <t>2014-11-26 15:53:37.996: RTWSControl  - tickOptionComputation - id:200055 tickType:10 impliedVol:5.92690853743505E-02 delta:0.418414874288346 optPrice:2.19999998807907E-03 pvDividend:0 gamma: 1.79769313486232E+308 theta/vega/undPrice: -6.53533500792625E-04-4.83519779899147E-04-1.5785</t>
  </si>
  <si>
    <t>2014-11-26 15:53:38.36: RTWSControl  - tickOptionComputation - id:200055 tickType:11 impliedVol:6.34054344133085E-02 delta:0.423861026918039 optPrice:2.40000011399388E-03 pvDividend:0 gamma: 1.79769313486232E+308 theta/vega/undPrice: -7.00523332294934E-04-4.835195773855E-04-1.5785</t>
  </si>
  <si>
    <t>2014-11-26 15:53:38.82: RTWSControl  - tickOptionComputation - id:200055 tickType:13 impliedVol:6.24927321954374E-02 delta:0.422774035841829 optPrice:2.35586973971645E-03 pvDividend:0 gamma: 1.79769313486232E+308 theta/vega/undPrice: -6.9015483961817E-04-4.83519623130486E-04-1.5785</t>
  </si>
  <si>
    <t>2014-11-26 15:53:38.125: RTWSControl  - tickOptionComputation - id:200049 tickType:10 impliedVol:0.068417975318316 delta:0.692929985815338 optPrice:1.19000002741814E-02 pvDividend:0 gamma: 1.79769313486232E+308 theta/vega/undPrice: -3.300857226683E-04-9.14299530271799E-04-1.5785</t>
  </si>
  <si>
    <t>2014-11-26 15:53:38.169: RTWSControl  - tickOptionComputation - id:200049 tickType:11 impliedVol:7.06054345155312E-02 delta:0.687357267911714 optPrice:1.20999999344349E-02 pvDividend:0 gamma: 1.79769313486232E+308 theta/vega/undPrice: -3.42990106625164E-04-9.14298562357502E-04-1.5785</t>
  </si>
  <si>
    <t>2014-11-26 15:53:38.241: RTWSControl  - tickOptionComputation - id:200049 tickType:13 impliedVol:6.88944320480331E-02 delta:0.691773156168018 optPrice:1.19435627882444E-02 pvDividend:0 gamma: 1.79769313486232E+308 theta/vega/undPrice: -3.32896466185651E-04-9.14299321417554E-04-1.5785</t>
  </si>
  <si>
    <t>2014-11-26 15:53:38.287: RTWSControl  - tickOptionComputation - id:200050 tickType:10 impliedVol:6.84120876119844E-02 delta:-0.30699821099591 optPrice:3.40000004507601E-03 pvDividend:0 gamma: 1.79769313486232E+308 theta/vega/undPrice: -3.30111303811183E-04-9.14305092069053E-04-1.5785</t>
  </si>
  <si>
    <t>2014-11-26 15:53:38.327: RTWSControl  - tickOptionComputation - id:200050 tickType:11 impliedVol:6.95058130989339E-02 delta:-0.309829408725689 optPrice:3.50000010803342E-03 pvDividend:0 gamma: 1.79769313486232E+308 theta/vega/undPrice: -3.36563569902483E-04-9.14304612190788E-04-1.5785</t>
  </si>
  <si>
    <t>2014-11-26 15:53:38.372: RTWSControl  - tickOptionComputation - id:200050 tickType:13 impliedVol:6.88944320480331E-02 delta:-0.308296984540009 optPrice:3.44410114122255E-03 pvDividend:0 gamma: 1.79769313486232E+308 theta/vega/undPrice: -3.32956821995005E-04-9.14304881148715E-04-1.5785</t>
  </si>
  <si>
    <t>2014-11-26 15:53:38.416: RTWSControl  - tickOptionComputation - id:200051 tickType:10 impliedVol:6.81929742722361E-02 delta:-0.304793360573951 optPrice:3.29999998211861E-03 pvDividend:0 gamma: 1.79769313486232E+308 theta/vega/undPrice: -3.29471251465853E-04-8.66158523038791E-04-1.5785</t>
  </si>
  <si>
    <t>2014-11-26 15:53:38.459: RTWSControl  - tickOptionComputation - id:200051 tickType:11 impliedVol:7.04879027112348E-02 delta:-0.310514196702348 optPrice:3.50000010803342E-03 pvDividend:0 gamma: 1.79769313486232E+308 theta/vega/undPrice: -3.43354384887581E-04-8.73268920103793E-04-1.5785</t>
  </si>
  <si>
    <t>2014-11-26 15:53:38.530: RTWSControl  - tickOptionComputation - id:200051 tickType:13 impliedVol:7.16353649652977E-02 delta:-0.313291534801583 optPrice:3.59999892718281E-03 pvDividend:0 gamma: 1.79769313486232E+308 theta/vega/undPrice: -3.50270805358778E-04-8.76590382712061E-04-1.5785</t>
  </si>
  <si>
    <t>2014-11-26 15:53:38.577: RTWSControl  - tickOptionComputation - id:200052 tickType:10 impliedVol:1.79769313486232E+308 delta:1.79769313486232E+308 optPrice:1.79769313486232E+308 pvDividend:0 gamma: 1.79769313486232E+308 theta/vega/undPrice: 1.79769313486232E+308-1.79769313486232E+308-1.5785</t>
  </si>
  <si>
    <t>2014-11-26 15:53:38.613: RTWSControl  - tickOptionComputation - id:200052 tickType:11 impliedVol:1.79769313486232E+308 delta:1.79769313486232E+308 optPrice:1.79769313486232E+308 pvDividend:0 gamma: 1.79769313486232E+308 theta/vega/undPrice: 1.79769313486232E+308-1.79769313486232E+308-1.5785</t>
  </si>
  <si>
    <t>2014-11-26 15:53:38.656: RTWSControl  - tickOptionComputation - id:200052 tickType:13 impliedVol:0.120895714006602 delta:-0.516252612727038 optPrice:1.27000000242423E-02 pvDividend:0 gamma: 1.79769313486232E+308 theta/vega/undPrice: -6.64843507195782E-04-9.85947944548439E-04-1.5785</t>
  </si>
  <si>
    <t>2014-11-26 15:53:38.700: RTWSControl  - tickOptionComputation - id:200048 tickType:10 impliedVol:8.08215312747918E-02 delta:-2.56191815540658E-02 optPrice:1.99999994947575E-04 pvDividend:0 gamma: 1.79769313486232E+308 theta/vega/undPrice: -6.58360077783354E-05-1.79327979669503E-04-1.5785</t>
  </si>
  <si>
    <t>2014-11-26 15:53:38.742: RTWSControl  - tickOptionComputation - id:200048 tickType:11 impliedVol:8.63979006122436E-02 delta:-3.45030138315126E-02 optPrice:3.00000014249235E-04 pvDividend:0 gamma: 1.79769313486232E+308 theta/vega/undPrice: -9.00896320469872E-05-2.31512225253136E-04-1.5785</t>
  </si>
  <si>
    <t>2014-11-26 15:53:38.789: RTWSControl  - tickOptionComputation - id:200048 tickType:13 impliedVol:8.44367921961453E-02 delta:-3.15169653488616E-02 optPrice:2.64831848794158E-04 pvDividend:0 gamma: 1.79769313486232E+308 theta/vega/undPrice: -8.15600821374107E-05-2.0930105027812E-04-1.5785</t>
  </si>
  <si>
    <t>2014-11-26 15:53:38.831: RTWSControl  - tickOptionComputation - id:200053 tickType:10 impliedVol:6.21027788201271E-02 delta:0.084049497026503 optPrice:6.00000028498471E-04 pvDividend:0 gamma: 1.79769313486232E+308 theta/vega/undPrice: -1.31495111490356E-04-4.47352552273115E-04-1.5785</t>
  </si>
  <si>
    <t>2014-11-26 15:53:38.869: RTWSControl  - tickOptionComputation - id:200053 tickType:11 impliedVol:6.43381472739962E-02 delta:9.26177179605422E-02 optPrice:6.99999975040555E-04 pvDividend:0 gamma: 1.79769313486232E+308 theta/vega/undPrice: -1.45957987341298E-04-4.47352127027545E-04-1.5785</t>
  </si>
  <si>
    <t>2014-11-26 15:53:38.915: RTWSControl  - tickOptionComputation - id:200053 tickType:13 impliedVol:6.36126574403164E-02 delta:8.99140278739973E-02 optPrice:6.6754495860081E-04 pvDividend:0 gamma: 1.79769313486232E+308 theta/vega/undPrice: -1.41264057079728E-04-4.47352264117422E-04-1.5785</t>
  </si>
  <si>
    <t>2014-11-26 15:53:38.958: RTWSControl  - tickOptionComputation - id:200054 tickType:10 impliedVol:1.79769313486232E+308 delta:1.79769313486232E+308 optPrice:1.79769313486232E+308 pvDividend:0 gamma: 1.79769313486232E+308 theta/vega/undPrice: 1.79769313486232E+308-1.79769313486232E+308-1.5785</t>
  </si>
  <si>
    <t>2014-11-26 15:53:38.993: RTWSControl  - tickOptionComputation - id:200054 tickType:11 impliedVol:9.10520166204874E-02 delta:1.24409304288941E-02 optPrice:9.99999974737875E-05 pvDividend:0 gamma: 1.79769313486232E+308 theta/vega/undPrice: -4.00208925969914E-05-1.03776822300623E-04-1.5785</t>
  </si>
  <si>
    <t>2014-11-26 15:53:39.63: RTWSControl  - tickOptionComputation - id:200054 tickType:13 impliedVol:6.85914683730005E-02 delta:1.39803960252066E-03 optPrice:6.95846746381361E-06 pvDividend:0 gamma: 0.264138011402024 theta/vega/undPrice: -4.24056274327953E-06-2.08234760893912E-05-1.5785</t>
  </si>
  <si>
    <t>2014-11-26 15:53:39.367: DirectionIndicator - notify - price/longMA/ShortMA/prevDirection are 1.5786/1.57843531573708/1.57850796408979/1</t>
  </si>
  <si>
    <t>2014-11-26 15:53:39.367: Algorithm - handleTransition - currentHedgeShortfall is NOT ZERO and AUTOHEDGE IS NOT ENABLED!</t>
  </si>
  <si>
    <t>2014-11-26 15:53:39.411: DirectionIndicator - notify - price/longMA/ShortMA/prevDirection are 1.57865/1.57847434923943/1.57855530939319/1</t>
  </si>
  <si>
    <t>2014-11-26 15:53:39.411: Algorithm - handleTransition - currentHedgeShortfall is NOT ZERO and AUTOHEDGE IS NOT ENABLED!</t>
  </si>
  <si>
    <t>2014-11-26 15:53:40.120: RTWSControl  - tickOptionComputation - id:200042 tickType:13 impliedVol:8.01576196274141E-02 delta:-0.026565266734158 optPrice:1.00400091210589E-04 pvDividend:0 gamma: 1.79769313486232E+308 theta/vega/undPrice: -1.38211369814112E-04-8.78313486563817E-05-1.5786</t>
  </si>
  <si>
    <t>2014-11-26 15:53:40.197: RTWSControl  - tickOptionComputation - id:200042 tickType:10 impliedVol:9.11303409524406E-02 delta:-4.36742810477615E-02 optPrice:1.99999994947575E-04 pvDividend:0 gamma: 1.79769313486232E+308 theta/vega/undPrice: -2.38362419936024E-04-1.43303577692804E-04-1.5786</t>
  </si>
  <si>
    <t>2014-11-26 15:53:40.244: RTWSControl  - tickOptionComputation - id:200042 tickType:11 impliedVol:9.11303409524406E-02 delta:-4.36742810477615E-02 optPrice:1.99999994947575E-04 pvDividend:0 gamma: 1.79769313486232E+308 theta/vega/undPrice: -2.38362419936024E-04-1.43303577692804E-04-1.5786</t>
  </si>
  <si>
    <t>2014-11-26 15:53:40.290: RTWSControl  - tickOptionComputation - id:200041 tickType:13 impliedVol:7.16232780237931E-02 delta:0.942222041014665 optPrice:1.38191972259567E-02 pvDividend:0 gamma: 1.79769313486232E+308 theta/vega/undPrice: -2.32636626656428E-04-1.60044300695677E-04-1.5786</t>
  </si>
  <si>
    <t>2014-11-26 15:53:40.331: RTWSControl  - tickOptionComputation - id:200041 tickType:10 impliedVol:6.15521229997189E-02 delta:0.966550072158647 optPrice:1.37000000104308E-02 pvDividend:0 gamma: 1.79769313486232E+308 theta/vega/undPrice: -1.2832682732544E-04-1.18252677399214E-04-1.5786</t>
  </si>
  <si>
    <t>2014-11-26 15:53:40.371: RTWSControl  - tickOptionComputation - id:200041 tickType:11 impliedVol:8.25874638737774E-02 delta:0.914353550936102 optPrice:1.40000004321337E-02 pvDividend:0 gamma: 1.79769313486232E+308 theta/vega/undPrice: -3.63857495609378E-04-2.15299675400221E-04-1.5786</t>
  </si>
  <si>
    <t>2014-11-26 15:53:40.420: RTWSControl  - tickOptionComputation - id:200043 tickType:13 impliedVol:7.16232780237931E-02 delta:-5.78904778326963E-02 optPrice:2.19391812268837E-04 pvDividend:0 gamma: 1.79769313486232E+308 theta/vega/undPrice: -2.32726473151418E-04-1.60044559201666E-04-1.5786</t>
  </si>
  <si>
    <t>2014-11-26 15:53:40.462: RTWSControl  - tickOptionComputation - id:200043 tickType:10 impliedVol:6.14524082352938E-02 delta:-3.32225705789671E-02 optPrice:9.99999974737875E-05 pvDividend:0 gamma: 1.79769313486232E+308 theta/vega/undPrice: -1.27517871443846E-04-1.17698785738593E-04-1.5786</t>
  </si>
  <si>
    <t>2014-11-26 15:53:40.506: RTWSControl  - tickOptionComputation - id:200043 tickType:11 impliedVol:7.72392654526567E-02 delta:-7.12820254768488E-02 optPrice:3.00000014249235E-04 pvDividend:0 gamma: 1.79769313486232E+308 theta/vega/undPrice: -2.97119769082079E-04-2.00348531450659E-04-1.5786</t>
  </si>
  <si>
    <t>2014-11-26 15:53:40.576: RTWSControl  - tickOptionComputation - id:200044 tickType:13 impliedVol:6.58343495839517E-02 delta:0.860595055014751 optPrice:9.17479458849737E-03 pvDividend:0 gamma: 1.79769313486232E+308 theta/vega/undPrice: -4.12216887053353E-04-2.97793768787146E-04-1.5786</t>
  </si>
  <si>
    <t>2014-11-26 15:53:40.622: RTWSControl  - tickOptionComputation - id:200046 tickType:13 impliedVol:6.58343495839517E-02 delta:-0.139517626161644 optPrice:5.74918297652104E-04 pvDividend:0 gamma: 1.79769313486232E+308 theta/vega/undPrice: -4.12274359790213E-04-2.9779405741032E-04-1.5786</t>
  </si>
  <si>
    <t>2014-11-26 15:53:40.665: RTWSControl  - tickOptionComputation - id:200045 tickType:13 impliedVol:6.27908343078047E-02 delta:0.68231292615063 optPrice:5.18888125416137E-03 pvDividend:0 gamma: 1.79769313486232E+308 theta/vega/undPrice: -6.31113911164731E-04-4.45633134197668E-04-1.5786</t>
  </si>
  <si>
    <t>2014-11-26 15:53:40.707: RTWSControl  - tickOptionComputation - id:200044 tickType:10 impliedVol:6.33227401566561E-02 delta:0.870898485722025 optPrice:9.10000037401915E-03 pvDividend:0 gamma: 1.79769313486232E+308 theta/vega/undPrice: -3.77773693280086E-04-2.97793849875997E-04-1.5786</t>
  </si>
  <si>
    <t>2014-11-26 15:53:40.746: RTWSControl  - tickOptionComputation - id:200044 tickType:11 impliedVol:7.33892752236268E-02 delta:0.833472033700351 optPrice:9.39999986439943E-03 pvDividend:0 gamma: 1.79769313486232E+308 theta/vega/undPrice: -5.15821968647525E-04-2.97793524192345E-04-1.5786</t>
  </si>
  <si>
    <t>2014-11-26 15:53:40.802: RTWSControl  - tickOptionComputation - id:200047 tickType:13 impliedVol:6.27908343078047E-02 delta:-0.317800208672209 optPrice:1.58893542034343E-03 pvDividend:0 gamma: 1.79769313486232E+308 theta/vega/undPrice: -6.31139573029734E-04-4.45633773063308E-04-1.5786</t>
  </si>
  <si>
    <t>2014-11-26 15:53:40.848: RTWSControl  - tickOptionComputation - id:200055 tickType:13 impliedVol:6.24927321954374E-02 delta:0.427994593912348 optPrice:2.40035103042955E-03 pvDividend:0 gamma: 1.79769313486232E+308 theta/vega/undPrice: -6.91495996629577E-04-4.83534937288848E-04-1.5786</t>
  </si>
  <si>
    <t>2014-11-26 15:53:40.885: RTWSControl  - tickOptionComputation - id:200046 tickType:10 impliedVol:6.33185766461924E-02 delta:-0.129069781904443 optPrice:5.00000023748726E-04 pvDividend:0 gamma: 1.79769313486232E+308 theta/vega/undPrice: -3.77774003685478E-04-2.97794138574317E-04-1.5786</t>
  </si>
  <si>
    <t>2014-11-26 15:53:40.945: RTWSControl  - tickOptionComputation - id:200046 tickType:11 impliedVol:7.00525597206068E-02 delta:-0.155303418545434 optPrice:6.99999975040555E-04 pvDividend:0 gamma: 1.79769313486232E+308 theta/vega/undPrice: -4.70121254541568E-04-2.977939215011E-04-1.5786</t>
  </si>
  <si>
    <t>2014-11-26 15:53:40.998: RTWSControl  - tickOptionComputation - id:200045 tickType:10 impliedVol:6.07818983454644E-02 delta:0.687900767693551 optPrice:5.10000018402934E-03 pvDividend:0 gamma: 1.79769313486232E+308 theta/vega/undPrice: -6.06714680313912E-04-4.45633225617128E-04-1.5786</t>
  </si>
  <si>
    <t>2014-11-26 15:53:41.39: RTWSControl  - tickOptionComputation - id:200045 tickType:11 impliedVol:6.52645384509728E-02 delta:0.675722115480538 optPrice:5.29999984428287E-03 pvDividend:0 gamma: 1.79769313486232E+308 theta/vega/undPrice: -6.61157897393328E-04-4.45633018538951E-04-1.5786</t>
  </si>
  <si>
    <t>2014-11-26 15:53:41.85: RTWSControl  - tickOptionComputation - id:200047 tickType:10 impliedVol:6.07951293328605E-02 delta:-0.312124506256936 optPrice:1.50000001303852E-03 pvDividend:0 gamma: 1.79769313486232E+308 theta/vega/undPrice: -6.06900955758029E-04-4.45633863510111E-04-1.5786</t>
  </si>
  <si>
    <t>2014-11-26 15:53:41.127: RTWSControl  - tickOptionComputation - id:200047 tickType:11 impliedVol:6.52982198416411E-02 delta:-0.324349720091086 optPrice:1.70000002253801E-03 pvDividend:0 gamma: 1.79769313486232E+308 theta/vega/undPrice: -6.61592733498198E-04-4.45633656285728E-04-1.5786</t>
  </si>
  <si>
    <t>2014-11-26 15:53:41.195: RTWSControl  - tickOptionComputation - id:200055 tickType:10 impliedVol:6.04333293224523E-02 delta:0.425420135278912 optPrice:2.30000005103648E-03 pvDividend:0 gamma: 1.79769313486232E+308 theta/vega/undPrice: -6.68099988485985E-04-4.83535038130907E-04-1.5786</t>
  </si>
  <si>
    <t>2014-11-26 15:53:41.241: RTWSControl  - tickOptionComputation - id:200055 tickType:11 impliedVol:6.24749011717185E-02 delta:0.427919360189835 optPrice:2.40000011399388E-03 pvDividend:0 gamma: 1.79769313486232E+308 theta/vega/undPrice: -6.91293425939055E-04-4.83534938174769E-04-1.5786</t>
  </si>
  <si>
    <t>2014-11-26 15:53:41.287: RTWSControl  - tickOptionComputation - id:200049 tickType:10 impliedVol:6.87832254372765E-02 delta:0.694096701125266 optPrice:1.20000001043081E-02 pvDividend:0 gamma: 1.79769313486232E+308 theta/vega/undPrice: -3.31388112896082E-04-9.14328337612966E-04-1.5786</t>
  </si>
  <si>
    <t>2014-11-26 15:53:41.331: RTWSControl  - tickOptionComputation - id:200049 tickType:11 impliedVol:7.09706387805194E-02 delta:0.688517618246373 optPrice:1.21999997645617E-02 pvDividend:0 gamma: 1.79769313486232E+308 theta/vega/undPrice: -3.44292629672409E-04-9.14327363702802E-04-1.5786</t>
  </si>
  <si>
    <t>2014-11-26 15:53:41.377: RTWSControl  - tickOptionComputation - id:200049 tickType:13 impliedVol:6.88944320480331E-02 delta:0.69389215560882 optPrice:1.20101680637401E-02 pvDividend:0 gamma: 1.79769313486232E+308 theta/vega/undPrice: -3.32044170579881E-04-9.1432828865882E-04-1.5786</t>
  </si>
  <si>
    <t>2014-11-26 15:53:41.419: RTWSControl  - tickOptionComputation - id:200050 tickType:13 impliedVol:6.88944320480331E-02 delta:-0.306177970509111 optPrice:3.41071230097592E-03 pvDividend:0 gamma: 1.79769313486232E+308 theta/vega/undPrice: -3.32105166860654E-04-9.14333847597083E-04-1.5786</t>
  </si>
  <si>
    <t>2014-11-26 15:53:41.463: RTWSControl  - tickOptionComputation - id:200050 tickType:10 impliedVol:6.87772731985029E-02 delta:-0.305831302312673 optPrice:3.40000004507601E-03 pvDividend:0 gamma: 1.79769313486232E+308 theta/vega/undPrice: -3.31413984160324E-04-9.14333899046976E-04-1.5786</t>
  </si>
  <si>
    <t>2014-11-26 15:53:41.528: RTWSControl  - tickOptionComputation - id:200050 tickType:11 impliedVol:6.98709642128871E-02 delta:-0.308665473474376 optPrice:3.50000010803342E-03 pvDividend:0 gamma: 1.79769313486232E+308 theta/vega/undPrice: -3.37866248572541E-04-9.14333416178751E-04-1.5786</t>
  </si>
  <si>
    <t>2014-11-26 15:53:41.580: RTWSControl  - tickOptionComputation - id:200051 tickType:13 impliedVol:7.16353649652977E-02 delta:-0.311294179082804 optPrice:3.56877365779465E-03 pvDividend:0 gamma: 1.79769313486232E+308 theta/vega/undPrice: -3.49326982883419E-04-8.74228010900792E-04-1.5786</t>
  </si>
  <si>
    <t>2014-11-26 15:53:41.620: RTWSControl  - tickOptionComputation - id:200051 tickType:10 impliedVol:6.73867833871645E-02 delta:-0.300611061412011 optPrice:3.1999999191612E-03 pvDividend:0 gamma: 1.79769313486232E+308 theta/vega/undPrice: -3.23588085459108E-04-8.60868713907162E-04-1.5786</t>
  </si>
  <si>
    <t>2014-11-26 15:53:41.661: RTWSControl  - tickOptionComputation - id:200051 tickType:11 impliedVol:7.08478767556472E-02 delta:-0.309367562151975 optPrice:3.50000010803342E-03 pvDividend:0 gamma: 1.79769313486232E+308 theta/vega/undPrice: -3.44573845630358E-04-8.71917441923289E-04-1.5786</t>
  </si>
  <si>
    <t>2014-11-26 15:53:41.707: RTWSControl  - tickOptionComputation - id:200052 tickType:13 impliedVol:0.120895714006602 delta:-0.51491953155204 optPrice:1.26484510023517E-02 pvDividend:0 gamma: 1.79769313486232E+308 theta/vega/undPrice: -6.64972675001544E-04-9.86138970360526E-04-1.5786</t>
  </si>
  <si>
    <t>2014-11-26 15:53:41.751: RTWSControl  - tickOptionComputation - id:200052 tickType:10 impliedVol:1.79769313486232E+308 delta:1.79769313486232E+308 optPrice:1.79769313486232E+308 pvDividend:0 gamma: 1.79769313486232E+308 theta/vega/undPrice: 1.79769313486232E+308-1.79769313486232E+308-1.5786</t>
  </si>
  <si>
    <t>2014-11-26 15:53:41.787: RTWSControl  - tickOptionComputation - id:200052 tickType:11 impliedVol:1.79769313486232E+308 delta:1.79769313486232E+308 optPrice:1.79769313486232E+308 pvDividend:0 gamma: 1.79769313486232E+308 theta/vega/undPrice: 1.79769313486232E+308-1.79769313486232E+308-1.5786</t>
  </si>
  <si>
    <t>2014-11-26 15:53:41.828: RTWSControl  - tickOptionComputation - id:200048 tickType:13 impliedVol:8.44367921961453E-02 delta:-3.11777385724775E-02 optPrice:2.61634867213271E-04 pvDividend:0 gamma: 1.79769313486232E+308 theta/vega/undPrice: -8.08297025994949E-05-2.06640450991365E-04-1.5786</t>
  </si>
  <si>
    <t>2014-11-26 15:53:41.878: RTWSControl  - tickOptionComputation - id:200053 tickType:13 impliedVol:6.36126574403164E-02 delta:9.10377260428392E-02 optPrice:6.77766105991153E-04 pvDividend:0 gamma: 1.79769313486232E+308 theta/vega/undPrice: -1.42534351376361E-04-4.47366436516041E-04-1.5786</t>
  </si>
  <si>
    <t>2014-11-26 15:53:41.921: RTWSControl  - tickOptionComputation - id:200054 tickType:13 impliedVol:6.85914683730005E-02 delta:1.42314617175983E-03 optPrice:7.09089223029248E-06 pvDividend:0 gamma: 0.268546705675244 theta/vega/undPrice: -4.31188761588595E-06-2.10272690026107E-05-1.5786</t>
  </si>
  <si>
    <t>2014-11-26 15:53:41.985: RTWSControl  - tickOptionComputation - id:200048 tickType:10 impliedVol:8.10314120391975E-02 delta:-2.56225071227623E-02 optPrice:1.99999994947575E-04 pvDividend:0 gamma: 1.79769313486232E+308 theta/vega/undPrice: -6.60180073642944E-05-1.79333639135858E-04-1.5786</t>
  </si>
  <si>
    <t>2014-11-26 15:53:42.36: RTWSControl  - tickOptionComputation - id:200048 tickType:11 impliedVol:8.65761085774246E-02 delta:-3.44370768480166E-02 optPrice:3.00000014249235E-04 pvDividend:0 gamma: 1.79769313486232E+308 theta/vega/undPrice: -9.01346356674227E-05-2.30870745349217E-04-1.5786</t>
  </si>
  <si>
    <t>2014-11-26 15:53:42.83: RTWSControl  - tickOptionComputation - id:200053 tickType:10 impliedVol:6.18743535521905E-02 delta:8.42945264736326E-02 optPrice:6.00000028498471E-04 pvDividend:0 gamma: 1.79769313486232E+308 theta/vega/undPrice: -1.31287132595379E-04-4.4736676612582E-04-1.5786</t>
  </si>
  <si>
    <t>2014-11-26 15:53:42.121: RTWSControl  - tickOptionComputation - id:200053 tickType:11 impliedVol:6.40949690637638E-02 delta:9.28295218876203E-02 optPrice:6.99999975040555E-04 pvDividend:0 gamma: 1.79769313486232E+308 theta/vega/undPrice: -1.45655014008294E-04-4.47366345965634E-04-1.5786</t>
  </si>
  <si>
    <t>2014-11-26 15:53:42.167: RTWSControl  - tickOptionComputation - id:200054 tickType:10 impliedVol:1.79769313486232E+308 delta:1.79769313486232E+308 optPrice:1.79769313486232E+308 pvDividend:0 gamma: 1.79769313486232E+308 theta/vega/undPrice: 1.79769313486232E+308-1.79769313486232E+308-1.5786</t>
  </si>
  <si>
    <t>2014-11-26 15:53:42.200: RTWSControl  - tickOptionComputation - id:200054 tickType:11 impliedVol:9.09262055091595E-02 delta:1.24952899419984E-02 optPrice:9.99999974737875E-05 pvDividend:0 gamma: 1.79769313486232E+308 theta/vega/undPrice: -4.0113561545479E-05-1.03780117588085E-04-1.5786</t>
  </si>
  <si>
    <t>2014-11-26 15:53:42.617: RTWSControl  - tickOptionComputation - id:200042 tickType:13 impliedVol:8.10097429571925E-02 delta:-0.028017687381184 optPrice:1.07884409650986E-04 pvDividend:0 gamma: 1.79769313486232E+308 theta/vega/undPrice: -1.45878309894691E-04-9.03873715408028E-05-1.5786</t>
  </si>
  <si>
    <t>2014-11-26 15:53:42.670: RTWSControl  - tickOptionComputation - id:200041 tickType:13 impliedVol:7.22820987303123E-02 delta:0.940541982533296 optPrice:1.38286535027627E-02 pvDividend:0 gamma: 1.79769313486232E+308 theta/vega/undPrice: -2.40190704520898E-04-1.64772423187062E-04-1.5786</t>
  </si>
  <si>
    <t>2014-11-26 15:53:42.714: RTWSControl  - tickOptionComputation - id:200043 tickType:13 impliedVol:7.22820987303123E-02 delta:-5.95705375396662E-02 optPrice:2.28848095570259E-04 pvDividend:0 gamma: 1.79769313486232E+308 theta/vega/undPrice: -2.40280559504781E-04-1.64772686719378E-04-1.5786</t>
  </si>
  <si>
    <t>2014-11-26 15:53:42.780: RTWSControl  - tickOptionComputation - id:200044 tickType:13 impliedVol:6.60491619631358E-02 delta:0.859741254782612 optPrice:9.18119157068853E-03 pvDividend:0 gamma: 1.79769313486232E+308 theta/vega/undPrice: -4.15162736154492E-04-2.977937618454E-04-1.5786</t>
  </si>
  <si>
    <t>2014-11-26 15:53:42.829: RTWSControl  - tickOptionComputation - id:200046 tickType:13 impliedVol:6.60491619631358E-02 delta:-0.14037142728422 optPrice:5.81315286039305E-04 pvDividend:0 gamma: 1.79769313486232E+308 theta/vega/undPrice: -4.15220214494013E-04-2.97794050475464E-04-1.5786</t>
  </si>
  <si>
    <t>2014-11-26 15:53:42.869: RTWSControl  - tickOptionComputation - id:200045 tickType:11 impliedVol:6.75285878361297E-02 delta:0.67018877771004 optPrice:5.40000014007092E-03 pvDividend:0 gamma: 1.79769313486232E+308 theta/vega/undPrice: -6.88655537653766E-04-4.45632909699214E-04-1.5786</t>
  </si>
  <si>
    <t>2014-11-26 15:53:42.914: RTWSControl  - tickOptionComputation - id:200045 tickType:13 impliedVol:6.23109326556772E-02 delta:0.68363511798589 optPrice:5.16749523509857E-03 pvDividend:0 gamma: 1.79769313486232E+308 theta/vega/undPrice: -6.25285338629679E-04-4.45633156239247E-04-1.5786</t>
  </si>
  <si>
    <t>2014-11-26 15:53:42.956: RTWSControl  - tickOptionComputation - id:200047 tickType:13 impliedVol:6.23109326556772E-02 delta:-0.316478014747276 optPrice:1.56754937067104E-03 pvDividend:0 gamma: 1.79769313486232E+308 theta/vega/undPrice: -6.25310980911531E-04-4.45633795016183E-04-1.5786</t>
  </si>
  <si>
    <t>2014-11-26 15:53:42.997: RTWSControl  - tickOptionComputation - id:200055 tickType:13 impliedVol:6.10674108079223E-02 delta:0.426267921193114 optPrice:2.33143172243718E-03 pvDividend:0 gamma: 1.79769313486232E+308 theta/vega/undPrice: -6.75303522400592E-04-4.83535007406613E-04-1.5786</t>
  </si>
  <si>
    <t>2014-11-26 15:53:43.36: RTWSControl  - tickOptionComputation - id:200049 tickType:13 impliedVol:6.89565363800391E-02 delta:0.69372932246123 optPrice:1.20158464518484E-02 pvDividend:0 gamma: 1.79769313486232E+308 theta/vega/undPrice: -3.32410551857091E-04-9.14328261291753E-04-1.5786</t>
  </si>
  <si>
    <t>2014-11-26 15:53:43.81: RTWSControl  - tickOptionComputation - id:200050 tickType:13 impliedVol:6.89565363800391E-02 delta:-0.3063408047757 optPrice:3.41639072360548E-03 pvDividend:0 gamma: 1.79769313486232E+308 theta/vega/undPrice: -3.32471553485122E-04-9.14333820297011E-04-1.5786</t>
  </si>
  <si>
    <t>2014-11-26 15:53:43.119: RTWSControl  - tickOptionComputation - id:200051 tickType:13 impliedVol:7.08486862386817E-02 delta:-0.30940864313592 optPrice:3.50009022476922E-03 pvDividend:0 gamma: 1.79769313486232E+308 theta/vega/undPrice: -3.4457873550698E-04-8.71919853474799E-04-1.5786</t>
  </si>
  <si>
    <t>2014-11-26 15:53:43.161: RTWSControl  - tickOptionComputation - id:200052 tickType:13 impliedVol:0.121418444956155 delta:-0.514822886126043 optPrice:1.27000000276938E-02 pvDividend:0 gamma: 1.79769313486232E+308 theta/vega/undPrice: -6.67853938606515E-04-9.86147862386251E-04-1.5786</t>
  </si>
  <si>
    <t>2014-11-26 15:53:43.202: RTWSControl  - tickOptionComputation - id:200048 tickType:13 impliedVol:8.32500863488175E-02 delta:-2.92947258344148E-02 optPrice:2.40353215466147E-04 pvDividend:0 gamma: 1.79769313486232E+308 theta/vega/undPrice: -7.56681320340191E-05-1.93199579667616E-04-1.5786</t>
  </si>
  <si>
    <t>2014-11-26 15:53:43.247: RTWSControl  - tickOptionComputation - id:200053 tickType:13 impliedVol:6.35780013050375E-02 delta:9.09070846622215E-02 optPrice:6.76215703496327E-04 pvDividend:0 gamma: 1.79769313486232E+308 theta/vega/undPrice: -1.42310118491819E-04-4.47366443037734E-04-1.5786</t>
  </si>
  <si>
    <t>2014-11-26 15:53:43.287: RTWSControl  - tickOptionComputation - id:200054 tickType:13 impliedVol:6.71144811238147E-02 delta:1.14315482896869E-03 optPrice:5.49832958816832E-06 pvDividend:0 gamma: 0.224018205717701 theta/vega/undPrice: -3.44368408150366E-06-1.89038689194312E-05-1.5786</t>
  </si>
  <si>
    <t>2014-11-26 15:53:43.451: DirectionIndicator - notify - price/longMA/ShortMA/prevDirection are 1.5787/1.57851537665044/1.57860353959546/1</t>
  </si>
  <si>
    <t>2014-11-26 15:53:43.452: Algorithm - handleTransition - currentHedgeShortfall is NOT ZERO and AUTOHEDGE IS NOT ENABLED!</t>
  </si>
  <si>
    <t>2014-11-26 15:53:43.493: DirectionIndicator - notify - price/longMA/ShortMA/prevDirection are 1.57875/1.57855803544127/1.57865235973031/1</t>
  </si>
  <si>
    <t>2014-11-26 15:53:43.494: Algorithm - handleTransition - currentHedgeShortfall is NOT ZERO and AUTOHEDGE IS NOT ENABLED!</t>
  </si>
  <si>
    <t>2014-11-26 15:53:43.912: DirectionIndicator - notify - price/longMA/ShortMA/prevDirection are 1.5787/1.57858384717922/1.5786682398202/1</t>
  </si>
  <si>
    <t>2014-11-26 15:53:43.912: Algorithm - handleTransition - currentHedgeShortfall is NOT ZERO and AUTOHEDGE IS NOT ENABLED!</t>
  </si>
  <si>
    <t>2014-11-26 15:53:43.954: DirectionIndicator - notify - price/longMA/ShortMA/prevDirection are 1.57865/1.57859587496482/1.57866215988014/1</t>
  </si>
  <si>
    <t>2014-11-26 15:53:43.954: Algorithm - handleTransition - currentHedgeShortfall is NOT ZERO and AUTOHEDGE IS NOT ENABLED!</t>
  </si>
  <si>
    <t>2014-11-26 15:53:44.204: RTWSControl  - tickOptionComputation - id:200042 tickType:13 impliedVol:8.10097429571925E-02 delta:-2.72864604827798E-02 optPrice:1.04661627465766E-04 pvDividend:0 gamma: 1.79769313486232E+308 theta/vega/undPrice: -1.42767000247673E-04-8.78341228673884E-05-1.5787</t>
  </si>
  <si>
    <t>2014-11-26 15:53:44.279: RTWSControl  - tickOptionComputation - id:200042 tickType:10 impliedVol:9.15423511487342E-02 delta:-4.35102414534828E-02 optPrice:1.99999994947575E-04 pvDividend:0 gamma: 1.79769313486232E+308 theta/vega/undPrice: -2.38784955988839E-04-1.43308108099036E-04-1.5787</t>
  </si>
  <si>
    <t>2014-11-26 15:53:44.329: RTWSControl  - tickOptionComputation - id:200042 tickType:11 impliedVol:9.15423511487342E-02 delta:-4.35102414534828E-02 optPrice:1.99999994947575E-04 pvDividend:0 gamma: 1.79769313486232E+308 theta/vega/undPrice: -2.38784955988839E-04-1.43308108099036E-04-1.5787</t>
  </si>
  <si>
    <t>2014-11-26 15:53:44.375: RTWSControl  - tickOptionComputation - id:200041 tickType:13 impliedVol:7.22820987303123E-02 delta:0.941881491092699 optPrice:1.39227390681527E-02 pvDividend:0 gamma: 1.79769313486232E+308 theta/vega/undPrice: -2.35889026412489E-04-1.60609876597856E-04-1.5787</t>
  </si>
  <si>
    <t>2014-11-26 15:53:44.413: RTWSControl  - tickOptionComputation - id:200041 tickType:10 impliedVol:3.50494701194363E-02 delta:0.999473045364331 optPrice:1.37000000104308E-02 pvDividend:0 gamma: 0.421340099565516 theta/vega/undPrice: -1.67697741565856E-06-9.12596128821094E-06-1.5787</t>
  </si>
  <si>
    <t>2014-11-26 15:53:44.455: RTWSControl  - tickOptionComputation - id:200041 tickType:11 impliedVol:7.77048734431011E-02 delta:0.928926565248483 optPrice:1.40000004321337E-02 pvDividend:0 gamma: 1.79769313486232E+308 theta/vega/undPrice: -2.98068825494823E-04-1.99528416849164E-04-1.5787</t>
  </si>
  <si>
    <t>2014-11-26 15:53:44.504: RTWSControl  - tickOptionComputation - id:200043 tickType:13 impliedVol:7.22820987303123E-02 delta:-5.82310280020267E-02 optPrice:2.2293508657103E-04 pvDividend:0 gamma: 1.79769313486232E+308 theta/vega/undPrice: -2.35979535275513E-04-1.6061013675417E-04-1.5787</t>
  </si>
  <si>
    <t>2014-11-26 15:53:44.544: RTWSControl  - tickOptionComputation - id:200043 tickType:10 impliedVol:6.19005801074866E-02 delta:-3.32176261004878E-02 optPrice:9.99999974737875E-05 pvDividend:0 gamma: 1.79769313486232E+308 theta/vega/undPrice: -1.28439985419016E-04-1.17503806004354E-04-1.5787</t>
  </si>
  <si>
    <t>2014-11-26 15:53:44.590: RTWSControl  - tickOptionComputation - id:200043 tickType:11 impliedVol:7.76510559795561E-02 delta:-7.09409458577043E-02 optPrice:3.00000014249235E-04 pvDividend:0 gamma: 1.79769313486232E+308 theta/vega/undPrice: -2.97542310391023E-04-1.99142477278854E-04-1.5787</t>
  </si>
  <si>
    <t>2014-11-26 15:53:44.660: RTWSControl  - tickOptionComputation - id:200044 tickType:13 impliedVol:6.60491619631358E-02 delta:0.862781973852231 optPrice:9.26514094663602E-03 pvDividend:0 gamma: 1.79769313486232E+308 theta/vega/undPrice: -4.09486659281799E-04-2.97803194234151E-04-1.5787</t>
  </si>
  <si>
    <t>2014-11-26 15:53:44.705: RTWSControl  - tickOptionComputation - id:200044 tickType:10 impliedVol:5.94287905910351E-02 delta:0.887168166307998 optPrice:9.10000037401915E-03 pvDividend:0 gamma: 1.79769313486232E+308 theta/vega/undPrice: -3.2080069532325E-04-2.6578703129963E-04-1.5787</t>
  </si>
  <si>
    <t>2014-11-26 15:53:44.748: RTWSControl  - tickOptionComputation - id:200044 tickType:11 impliedVol:7.05776179665945E-02 delta:0.845693992053545 optPrice:9.39999986439943E-03 pvDividend:0 gamma: 1.79769313486232E+308 theta/vega/undPrice: -4.71589989661103E-04-2.97803046093793E-04-1.5787</t>
  </si>
  <si>
    <t>2014-11-26 15:53:44.793: RTWSControl  - tickOptionComputation - id:200046 tickType:13 impliedVol:6.60491619631358E-02 delta:-0.137330705039776 optPrice:5.65266078441235E-04 pvDividend:0 gamma: 1.79769313486232E+308 theta/vega/undPrice: -4.09544785995641E-04-2.97803482853398E-04-1.5787</t>
  </si>
  <si>
    <t>2014-11-26 15:53:44.838: RTWSControl  - tickOptionComputation - id:200046 tickType:10 impliedVol:6.38572983049069E-02 delta:-0.128228155626939 optPrice:5.00000023748726E-04 pvDividend:0 gamma: 1.79769313486232E+308 theta/vega/undPrice: -3.79485448897736E-04-2.97803554373519E-04-1.5787</t>
  </si>
  <si>
    <t>2014-11-26 15:53:44.882: RTWSControl  - tickOptionComputation - id:200046 tickType:11 impliedVol:7.05927494129004E-02 delta:-0.154345322473448 optPrice:6.99999975040555E-04 pvDividend:0 gamma: 1.79769313486232E+308 theta/vega/undPrice: -4.71855747735547E-04-2.97803334702739E-04-1.5787</t>
  </si>
  <si>
    <t>2014-11-26 15:53:44.950: RTWSControl  - tickOptionComputation - id:200045 tickType:13 impliedVol:6.23109326556772E-02 delta:0.688458807479498 optPrice:5.23399174091277E-03 pvDividend:0 gamma: 1.79769313486232E+308 theta/vega/undPrice: -6.21656359387377E-04-4.45647271628615E-04-1.5787</t>
  </si>
  <si>
    <t>2014-11-26 15:53:44.996: RTWSControl  - tickOptionComputation - id:200045 tickType:10 impliedVol:6.15481834947726E-02 delta:0.690575317436402 optPrice:5.2000000141561E-03 pvDividend:0 gamma: 1.79769313486232E+308 theta/vega/undPrice: -6.12392210557587E-04-4.45647306575919E-04-1.5787</t>
  </si>
  <si>
    <t>2014-11-26 15:53:45.39: RTWSControl  - tickOptionComputation - id:200045 tickType:11 impliedVol:6.60360389513655E-02 delta:0.67834498886451 optPrice:5.40000014007092E-03 pvDividend:0 gamma: 1.79769313486232E+308 theta/vega/undPrice: -6.66900485848431E-04-4.45647096293682E-04-1.5787</t>
  </si>
  <si>
    <t>2014-11-26 15:53:45.86: RTWSControl  - tickOptionComputation - id:200047 tickType:13 impliedVol:6.23109326556772E-02 delta:-0.31165431762276 optPrice:1.53404726997984E-03 pvDividend:0 gamma: 1.79769313486232E+308 theta/vega/undPrice: -6.21682643406731E-04-4.45647910069892E-04-1.5787</t>
  </si>
  <si>
    <t>2014-11-26 15:53:45.128: RTWSControl  - tickOptionComputation - id:200047 tickType:10 impliedVol:0.061546938532014 delta:-0.309407707723461 optPrice:1.50000001303852E-03 pvDividend:0 gamma: 1.79769313486232E+308 theta/vega/undPrice: -6.1240334241436E-04-4.45647944928527E-04-1.5787</t>
  </si>
  <si>
    <t>2014-11-26 15:53:45.173: RTWSControl  - tickOptionComputation - id:200047 tickType:11 impliedVol:0.066052286394834 delta:-0.321682939905356 optPrice:1.70000002253801E-03 pvDividend:0 gamma: 1.79769313486232E+308 theta/vega/undPrice: -6.67124259469191E-04-4.4564773466654E-04-1.5787</t>
  </si>
  <si>
    <t>2014-11-26 15:53:45.243: RTWSControl  - tickOptionComputation - id:200055 tickType:13 impliedVol:6.10674108079223E-02 delta:0.43160969319335 optPrice:2.37591083045739E-03 pvDividend:0 gamma: 1.79769313486232E+308 theta/vega/undPrice: -6.76644166592001E-04-4.83550321448034E-04-1.5787</t>
  </si>
  <si>
    <t>2014-11-26 15:53:45.287: RTWSControl  - tickOptionComputation - id:200055 tickType:10 impliedVol:0.059497560409347 delta:0.429700060349556 optPrice:2.30000005103648E-03 pvDividend:0 gamma: 1.79769313486232E+308 theta/vega/undPrice: -6.58809187358853E-04-4.83550396857923E-04-1.5787</t>
  </si>
  <si>
    <t>2014-11-26 15:53:45.328: RTWSControl  - tickOptionComputation - id:200055 tickType:11 impliedVol:6.15568242718717E-02 delta:0.432114353779434 optPrice:2.40000011399388E-03 pvDividend:0 gamma: 1.79769313486232E+308 theta/vega/undPrice: -6.822043630187E-04-4.83550297575878E-04-1.5787</t>
  </si>
  <si>
    <t>2014-11-26 15:53:45.374: RTWSControl  - tickOptionComputation - id:200049 tickType:13 impliedVol:6.89565363800391E-02 delta:0.695846149623835 optPrice:1.20824519072738E-02 pvDividend:0 gamma: 1.79769313486232E+308 theta/vega/undPrice: -3.31558267860745E-04-9.14357228471677E-04-1.5787</t>
  </si>
  <si>
    <t>2014-11-26 15:53:45.421: RTWSControl  - tickOptionComputation - id:200049 tickType:10 impliedVol:6.80547926601243E-02 delta:0.698179645290926 optPrice:1.20000001043081E-02 pvDividend:0 gamma: 1.79769313486232E+308 theta/vega/undPrice: -3.26238306504243E-04-9.14357624883497E-04-1.5787</t>
  </si>
  <si>
    <t>2014-11-26 15:53:45.463: RTWSControl  - tickOptionComputation - id:200049 tickType:11 impliedVol:7.02421128474729E-02 delta:0.692414631566275 optPrice:1.21999997645617E-02 pvDividend:0 gamma: 1.79769313486232E+308 theta/vega/undPrice: -3.39142693678553E-04-9.14356656542381E-04-1.5787</t>
  </si>
  <si>
    <t>2014-11-26 15:53:45.533: RTWSControl  - tickOptionComputation - id:200050 tickType:13 impliedVol:6.89565363800391E-02 delta:-0.304223963037912 optPrice:3.38300206328953E-03 pvDividend:0 gamma: 1.79769313486232E+308 theta/vega/undPrice: -3.31619909960362E-04-9.14362787211783E-04-1.5787</t>
  </si>
  <si>
    <t>2014-11-26 15:53:45.577: RTWSControl  - tickOptionComputation - id:200050 tickType:10 impliedVol:6.91424357031036E-02 delta:-0.304676763585397 optPrice:3.40000004507601E-03 pvDividend:0 gamma: 1.79769313486232E+308 theta/vega/undPrice: -3.32716663947961E-04-9.14362705003724E-04-1.5787</t>
  </si>
  <si>
    <t>2014-11-26 15:53:45.620: RTWSControl  - tickOptionComputation - id:200050 tickType:11 impliedVol:7.02360922580361E-02 delta:-0.307513684533019 optPrice:3.50000010803342E-03 pvDividend:0 gamma: 1.79769313486232E+308 theta/vega/undPrice: -3.39168926727523E-04-9.14362218810042E-04-1.5787</t>
  </si>
  <si>
    <t>2014-11-26 15:53:45.665: RTWSControl  - tickOptionComputation - id:200051 tickType:13 impliedVol:7.08486862386817E-02 delta:-0.30740021776524 optPrice:3.46925371524678E-03 pvDividend:0 gamma: 1.79769313486232E+308 theta/vega/undPrice: -3.43618172378852E-04-8.69488899586857E-04-1.5787</t>
  </si>
  <si>
    <t>2014-11-26 15:53:45.709: RTWSControl  - tickOptionComputation - id:200051 tickType:10 impliedVol:6.77345804309006E-02 delta:-0.299450141611082 optPrice:3.1999999191612E-03 pvDividend:0 gamma: 1.79769313486232E+308 theta/vega/undPrice: -3.24709982616215E-04-8.59417565140911E-04-1.5787</t>
  </si>
  <si>
    <t>2014-11-26 15:53:45.753: RTWSControl  - tickOptionComputation - id:200051 tickType:11 impliedVol:7.12023017943817E-02 delta:-0.308220943479045 optPrice:3.50000010803342E-03 pvDividend:0 gamma: 1.79769313486232E+308 theta/vega/undPrice: -3.45757205069439E-04-8.70556577050193E-04-1.5787</t>
  </si>
  <si>
    <t>2014-11-26 15:53:45.821: RTWSControl  - tickOptionComputation - id:200052 tickType:13 impliedVol:0.121418444956155 delta:-0.513495451052602 optPrice:1.26485938485183E-02 pvDividend:0 gamma: 1.79769313486232E+308 theta/vega/undPrice: -6.67975345470908E-04-9.86326608870738E-04-1.5787</t>
  </si>
  <si>
    <t>2014-11-26 15:53:45.873: RTWSControl  - tickOptionComputation - id:200048 tickType:13 impliedVol:8.32500863488175E-02 delta:-2.89507663329003E-02 optPrice:2.37155559709658E-04 pvDividend:0 gamma: 1.79769313486232E+308 theta/vega/undPrice: -7.49375889842305E-05-1.90538553880011E-04-1.5787</t>
  </si>
  <si>
    <t>2014-11-26 15:53:45.924: RTWSControl  - tickOptionComputation - id:200053 tickType:13 impliedVol:6.35780013050375E-02 delta:9.20312568656695E-02 optPrice:6.86436801795404E-04 pvDividend:0 gamma: 1.79769313486232E+308 theta/vega/undPrice: -1.4358040568844E-04-4.47380615386943E-04-1.5787</t>
  </si>
  <si>
    <t>2014-11-26 15:53:45.992: RTWSControl  - tickOptionComputation - id:200052 tickType:10 impliedVol:1.79769313486232E+308 delta:1.79769313486232E+308 optPrice:1.79769313486232E+308 pvDividend:0 gamma: 1.79769313486232E+308 theta/vega/undPrice: 1.79769313486232E+308-1.79769313486232E+308-1.5787</t>
  </si>
  <si>
    <t>2014-11-26 15:53:46.30: RTWSControl  - tickOptionComputation - id:200052 tickType:11 impliedVol:1.79769313486232E+308 delta:1.79769313486232E+308 optPrice:1.79769313486232E+308 pvDividend:0 gamma: 1.79769313486232E+308 theta/vega/undPrice: 1.79769313486232E+308-1.79769313486232E+308-1.5787</t>
  </si>
  <si>
    <t>2014-11-26 15:53:46.74: RTWSControl  - tickOptionComputation - id:200048 tickType:10 impliedVol:8.12041970950643E-02 delta:-2.55629490529506E-02 optPrice:1.99999994947575E-04 pvDividend:0 gamma: 1.79769313486232E+308 theta/vega/undPrice: -6.6038711627447E-05-1.79339301861624E-04-1.5787</t>
  </si>
  <si>
    <t>2014-11-26 15:53:46.118: RTWSControl  - tickOptionComputation - id:200048 tickType:11 impliedVol:8.67543052867898E-02 delta:-3.43714146063911E-02 optPrice:3.00000014249235E-04 pvDividend:0 gamma: 1.79769313486232E+308 theta/vega/undPrice: -9.01796393164256E-05-2.3022926568736E-04-1.5787</t>
  </si>
  <si>
    <t>2014-11-26 15:53:46.165: RTWSControl  - tickOptionComputation - id:200053 tickType:10 impliedVol:6.16459427745107E-02 delta:8.45413602774778E-02 optPrice:6.00000028498471E-04 pvDividend:0 gamma: 1.79769313486232E+308 theta/vega/undPrice: -1.31079153635567E-04-4.47380979413509E-04-1.5787</t>
  </si>
  <si>
    <t>2014-11-26 15:53:46.203: RTWSControl  - tickOptionComputation - id:200053 tickType:11 impliedVol:6.38677992877624E-02 delta:0.093102437907427 optPrice:6.99999975040555E-04 pvDividend:0 gamma: 1.79769313486232E+308 theta/vega/undPrice: -1.45455522133957E-04-4.47380561327973E-04-1.5787</t>
  </si>
  <si>
    <t>2014-11-26 15:53:46.249: RTWSControl  - tickOptionComputation - id:200054 tickType:10 impliedVol:1.79769313486232E+308 delta:1.79769313486232E+308 optPrice:1.79769313486232E+308 pvDividend:0 gamma: 1.79769313486232E+308 theta/vega/undPrice: 1.79769313486232E+308-1.79769313486232E+308-1.5787</t>
  </si>
  <si>
    <t>2014-11-26 15:53:46.284: RTWSControl  - tickOptionComputation - id:200054 tickType:11 impliedVol:9.07585014474785E-02 delta:1.25071172327357E-02 optPrice:9.99999974737875E-05 pvDividend:0 gamma: 1.79769313486232E+308 theta/vega/undPrice: -4.00736664407041E-05-1.037834153573E-04-1.5787</t>
  </si>
  <si>
    <t>2014-11-26 15:53:46.333: RTWSControl  - tickOptionComputation - id:200054 tickType:13 impliedVol:6.71144811238147E-02 delta:1.16881960471109E-03 optPrice:5.63070391488539E-06 pvDividend:0 gamma: 0.228627276878643 theta/vega/undPrice: -3.51498145630351E-06-1.91075945085373E-05-1.5787</t>
  </si>
  <si>
    <t>2014-11-26 15:53:46.621: DirectionIndicator - notify - price/longMA/ShortMA/prevDirection are 1.5787/1.5786148067894/1.57867477325342/1</t>
  </si>
  <si>
    <t>2014-11-26 15:53:46.621: Algorithm - handleTransition - currentHedgeShortfall is NOT ZERO and AUTOHEDGE IS NOT ENABLED!</t>
  </si>
  <si>
    <t>2014-11-26 15:53:46.780: DirectionIndicator - notify - price/longMA/ShortMA/prevDirection are 1.57875/1.57863938737314/1.57869984883562/1</t>
  </si>
  <si>
    <t>2014-11-26 15:53:46.780: Algorithm - handleTransition - currentHedgeShortfall is NOT ZERO and AUTOHEDGE IS NOT ENABLED!</t>
  </si>
  <si>
    <t>2014-11-26 15:53:46.908: DirectionIndicator - notify - price/longMA/ShortMA/prevDirection are 1.5787/1.57865040785075/1.57869989922374/1</t>
  </si>
  <si>
    <t>2014-11-26 15:53:46.912: Algorithm - handleTransition - currentHedgeShortfall is NOT ZERO and AUTOHEDGE IS NOT ENABLED!</t>
  </si>
  <si>
    <t>2014-11-26 15:53:46.952: DirectionIndicator - notify - price/longMA/ShortMA/prevDirection are 1.57865/1.57865033369607/1.57868326614916/1</t>
  </si>
  <si>
    <t>2014-11-26 15:53:46.953: Algorithm - handleTransition - currentHedgeShortfall is NOT ZERO and AUTOHEDGE IS NOT ENABLED!</t>
  </si>
  <si>
    <t>2014-11-26 15:53:47.234: RTWSControl  - tickOptionComputation - id:200042 tickType:13 impliedVol:8.11660098736837E-02 delta:-2.75508983291194E-02 optPrice:1.06034185044835E-04 pvDividend:0 gamma: 1.79769313486232E+308 theta/vega/undPrice: -1.44173048979926E-04-8.85725298593948E-05-1.5787</t>
  </si>
  <si>
    <t>2014-11-26 15:53:47.290: RTWSControl  - tickOptionComputation - id:200041 tickType:13 impliedVol:7.24323061100733E-02 delta:0.941499967530398 optPrice:1.39248951137538E-02 pvDividend:0 gamma: 1.79769313486232E+308 theta/vega/undPrice: -2.37611367700826E-04-1.61687895766925E-04-1.5787</t>
  </si>
  <si>
    <t>2014-11-26 15:53:47.331: RTWSControl  - tickOptionComputation - id:200043 tickType:13 impliedVol:7.24323061100733E-02 delta:-5.86125518427475E-02 optPrice:2.25091133654834E-04 pvDividend:0 gamma: 1.79769313486232E+308 theta/vega/undPrice: -2.37701878500128E-04-1.61688157064892E-04-1.5787</t>
  </si>
  <si>
    <t>2014-11-26 15:53:47.373: RTWSControl  - tickOptionComputation - id:200044 tickType:13 impliedVol:6.61884042574314E-02 delta:0.86222512365077 optPrice:9.26928762887738E-03 pvDividend:0 gamma: 1.79769313486232E+308 theta/vega/undPrice: -4.1139623157471E-04-2.97803189683428E-04-1.5787</t>
  </si>
  <si>
    <t>2014-11-26 15:53:47.414: RTWSControl  - tickOptionComputation - id:200046 tickType:13 impliedVol:6.61884042574314E-02 delta:-0.137887555822068 optPrice:5.69412764701462E-04 pvDividend:0 gamma: 1.79769313486232E+308 theta/vega/undPrice: -4.11454361921445E-04-2.97803478306452E-04-1.5787</t>
  </si>
  <si>
    <t>2014-11-26 15:53:47.455: RTWSControl  - tickOptionComputation - id:200045 tickType:10 impliedVol:5.93042617556153E-02 delta:0.697388208650662 optPrice:5.10000018402934E-03 pvDividend:0 gamma: 1.79769313486232E+308 theta/vega/undPrice: -5.85138122731754E-04-4.45647407512027E-04-1.5787</t>
  </si>
  <si>
    <t>2014-11-26 15:53:47.502: RTWSControl  - tickOptionComputation - id:200045 tickType:13 impliedVol:0.062434304315758 delta:0.68810742938089 optPrice:5.23948976803435E-03 pvDividend:0 gamma: 1.79769313486232E+308 theta/vega/undPrice: -6.23154798655673E-04-4.45647265945177E-04-1.5787</t>
  </si>
  <si>
    <t>2014-11-26 15:53:47.545: RTWSControl  - tickOptionComputation - id:200047 tickType:13 impliedVol:0.062434304315758 delta:-0.312005696276673 optPrice:1.53954530496943E-03 pvDividend:0 gamma: 1.79769313486232E+308 theta/vega/undPrice: -6.2318108770861E-04-4.45647904410297E-04-1.5787</t>
  </si>
  <si>
    <t>2014-11-26 15:53:47.589: RTWSControl  - tickOptionComputation - id:200055 tickType:13 impliedVol:6.11700062850247E-02 delta:0.431727671341502 optPrice:2.38087184045752E-03 pvDividend:0 gamma: 1.79769313486232E+308 theta/vega/undPrice: -6.77809747591848E-04-4.83550316458584E-04-1.5787</t>
  </si>
  <si>
    <t>2014-11-26 15:53:47.651: RTWSControl  - tickOptionComputation - id:200049 tickType:13 impliedVol:6.82189372598732E-02 delta:0.697822278753061 optPrice:1.20150088272573E-02 pvDividend:0 gamma: 1.79769313486232E+308 theta/vega/undPrice: -3.27206700608661E-04-9.14357553018677E-04-1.5787</t>
  </si>
  <si>
    <t>2014-11-26 15:53:47.702: RTWSControl  - tickOptionComputation - id:200050 tickType:13 impliedVol:6.82189372598732E-02 delta:-0.302247820330277 optPrice:3.31555857326472E-03 pvDividend:0 gamma: 1.79769313486232E+308 theta/vega/undPrice: -3.27268279200896E-04-9.14363111751277E-04-1.5787</t>
  </si>
  <si>
    <t>2014-11-26 15:53:47.748: RTWSControl  - tickOptionComputation - id:200051 tickType:13 impliedVol:7.12022995478767E-02 delta:-0.308259914619137 optPrice:3.50001897599438E-03 pvDividend:0 gamma: 1.79769313486232E+308 theta/vega/undPrice: -3.4575719148529E-04-8.70556570313646E-04-1.5787</t>
  </si>
  <si>
    <t>2014-11-26 15:53:47.787: RTWSControl  - tickOptionComputation - id:200052 tickType:10 impliedVol:1.79769313486232E+308 delta:1.79769313486232E+308 optPrice:1.79769313486232E+308 pvDividend:0 gamma: 1.79769313486232E+308 theta/vega/undPrice: 1.79769313486232E+308-1.79769313486232E+308-1.5787</t>
  </si>
  <si>
    <t>2014-11-26 15:53:47.822: RTWSControl  - tickOptionComputation - id:200052 tickType:11 impliedVol:1.79769313486232E+308 delta:1.79769313486232E+308 optPrice:1.79769313486232E+308 pvDividend:0 gamma: 1.79769313486232E+308 theta/vega/undPrice: 1.79769313486232E+308-1.79769313486232E+308-1.5787</t>
  </si>
  <si>
    <t>2014-11-26 15:53:47.865: RTWSControl  - tickOptionComputation - id:200052 tickType:13 impliedVol:0.121939628579189 delta:-0.513405439098955 optPrice:1.27000000373649E-02 pvDividend:0 gamma: 1.79769313486232E+308 theta/vega/undPrice: -6.70847714965676E-04-9.86334097713108E-04-1.5787</t>
  </si>
  <si>
    <t>2014-11-26 15:53:47.909: RTWSControl  - tickOptionComputation - id:200048 tickType:13 impliedVol:8.32547308364635E-02 delta:-2.89582599708984E-02 optPrice:2.37238853756685E-04 pvDividend:0 gamma: 1.79769313486232E+308 theta/vega/undPrice: -7.49577908069543E-05-1.90591159988069E-04-1.5787</t>
  </si>
  <si>
    <t>2014-11-26 15:53:47.952: RTWSControl  - tickOptionComputation - id:200053 tickType:13 impliedVol:6.33302851066553E-02 delta:9.10977318907418E-02 optPrice:6.75354435185391E-04 pvDividend:0 gamma: 1.79769313486232E+308 theta/vega/undPrice: -1.41977576009899E-04-4.47380661708482E-04-1.5787</t>
  </si>
  <si>
    <t>2014-11-26 15:53:47.991: RTWSControl  - tickOptionComputation - id:200054 tickType:13 impliedVol:0.068588774376817 delta:1.44775082117352E-03 optPrice:7.22041210222863E-06 pvDividend:0 gamma: 0.272877098110035 theta/vega/undPrice: -4.38162885246143E-06-2.1227188753201E-05-1.5787</t>
  </si>
  <si>
    <t>2014-11-26 15:53:48.34: RTWSControl  - tickOptionComputation - id:200054 tickType:10 impliedVol:1.79769313486232E+308 delta:1.79769313486232E+308 optPrice:1.79769313486232E+308 pvDividend:0 gamma: 1.79769313486232E+308 theta/vega/undPrice: 1.79769313486232E+308-1.79769313486232E+308-1.5787</t>
  </si>
  <si>
    <t>2014-11-26 15:53:48.84: DirectionIndicator - notify - price/longMA/ShortMA/prevDirection are 1.5787/1.57865936393315/1.57868884409944/1</t>
  </si>
  <si>
    <t>2014-11-26 15:53:48.85: Algorithm - handleTransition - currentHedgeShortfall is NOT ZERO and AUTOHEDGE IS NOT ENABLED!</t>
  </si>
  <si>
    <t>2014-11-26 15:53:48.454: DirectionIndicator - notify - price/longMA/ShortMA/prevDirection are 1.57875/1.57867584321803/1.57870922939963/1</t>
  </si>
  <si>
    <t>2014-11-26 15:53:48.455: Algorithm - handleTransition - currentHedgeShortfall is NOT ZERO and AUTOHEDGE IS NOT ENABLED!</t>
  </si>
  <si>
    <t>2014-11-26 15:53:48.654: RTWSControl  - tickOptionComputation - id:200041 tickType:11 impliedVol:8.30554758175991E-02 delta:0.914751300766715 optPrice:1.41000002622604E-02 pvDividend:0 gamma: 1.79769313486232E+308 theta/vega/undPrice: -3.64736098465016E-04-2.15306481247884E-04-1.5787</t>
  </si>
  <si>
    <t>2014-11-26 15:53:48.710: RTWSControl  - tickOptionComputation - id:200044 tickType:10 impliedVol:6.38574456940879E-02 delta:0.871757426977888 optPrice:9.20000020414591E-03 pvDividend:0 gamma: 1.79769313486232E+308 theta/vega/undPrice: -3.79429400658485E-04-2.97803265802326E-04-1.5787</t>
  </si>
  <si>
    <t>2014-11-26 15:53:48.753: RTWSControl  - tickOptionComputation - id:200044 tickType:11 impliedVol:7.39355354206517E-02 delta:0.834450204757835 optPrice:9.4999996945262E-03 pvDividend:0 gamma: 1.79769313486232E+308 theta/vega/undPrice: -5.17640494357762E-04-2.97802936008623E-04-1.5787</t>
  </si>
  <si>
    <t>2014-11-26 15:53:48.795: RTWSControl  - tickOptionComputation - id:200045 tickType:10 impliedVol:6.15481834947726E-02 delta:0.690575317436402 optPrice:5.2000000141561E-03 pvDividend:0 gamma: 1.79769313486232E+308 theta/vega/undPrice: -6.12392210557587E-04-4.45647306575919E-04-1.5787</t>
  </si>
  <si>
    <t>2014-11-26 15:53:48.868: RTWSControl  - tickOptionComputation - id:200049 tickType:11 impliedVol:7.13357729411472E-02 delta:0.689666159970074 optPrice:1.22999995946884E-02 pvDividend:0 gamma: 1.79769313486232E+308 theta/vega/undPrice: -3.45594874713757E-04-9.14356163713183E-04-1.5787</t>
  </si>
  <si>
    <t>2014-11-26 15:53:48.919: RTWSControl  - tickOptionComputation - id:200052 tickType:10 impliedVol:1.79769313486232E+308 delta:1.79769313486232E+308 optPrice:1.79769313486232E+308 pvDividend:0 gamma: 1.79769313486232E+308 theta/vega/undPrice: 1.79769313486232E+308-1.79769313486232E+308-1.5787</t>
  </si>
  <si>
    <t>2014-11-26 15:53:48.950: RTWSControl  - tickOptionComputation - id:200052 tickType:11 impliedVol:1.79769313486232E+308 delta:1.79769313486232E+308 optPrice:1.79769313486232E+308 pvDividend:0 gamma: 1.79769313486232E+308 theta/vega/undPrice: 1.79769313486232E+308-1.79769313486232E+308-1.5787</t>
  </si>
  <si>
    <t>2014-11-26 15:53:48.993: RTWSControl  - tickOptionComputation - id:200054 tickType:10 impliedVol:1.79769313486232E+308 delta:1.79769313486232E+308 optPrice:1.79769313486232E+308 pvDividend:0 gamma: 1.79769313486232E+308 theta/vega/undPrice: 1.79769313486232E+308-1.79769313486232E+308-1.5787</t>
  </si>
  <si>
    <t>2014-11-26 15:53:49.155: DirectionIndicator - notify - price/longMA/ShortMA/prevDirection are 1.5787/1.57868023536021/1.57870615293309/1</t>
  </si>
  <si>
    <t>2014-11-26 15:53:49.155: Algorithm - handleTransition - currentHedgeShortfall is NOT ZERO and AUTOHEDGE IS NOT ENABLED!</t>
  </si>
  <si>
    <t>2014-11-26 15:53:49.198: DirectionIndicator - notify - price/longMA/ShortMA/prevDirection are 1.57865/1.57867473802199/1.57868743528872/1</t>
  </si>
  <si>
    <t>2014-11-26 15:53:49.198: Algorithm - handleTransition - currentHedgeShortfall is NOT ZERO and AUTOHEDGE IS NOT ENABLED!</t>
  </si>
  <si>
    <t>2014-11-26 15:53:49.871: DirectionIndicator - notify - price/longMA/ShortMA/prevDirection are 1.5786/1.57866114929072/1.57865829019248/1</t>
  </si>
  <si>
    <t>2014-11-26 15:53:49.872: Algorithm - handleTransition - currentHedgeShortfall is NOT ZERO and AUTOHEDGE IS NOT ENABLED!</t>
  </si>
  <si>
    <t>2014-11-26 15:53:49.913: DirectionIndicator - notify - price/longMA/ShortMA/prevDirection are 1.57855/1.57864094032877/1.57862219346165/1</t>
  </si>
  <si>
    <t>2014-11-26 15:53:49.916: Algorithm - handleTransition - currentHedgeShortfall is NOT ZERO and AUTOHEDGE IS NOT ENABLED!</t>
  </si>
  <si>
    <t>2014-11-26 15:53:50.654: RTWSControl  - tickOptionComputation - id:200042 tickType:13 impliedVol:8.24351831220298E-02 delta:-3.03800738444896E-02 optPrice:1.20404248148887E-04 pvDividend:0 gamma: 1.79769313486232E+308 theta/vega/undPrice: -1.58703638872851E-04-9.82946148126858E-05-1.5786</t>
  </si>
  <si>
    <t>2014-11-26 15:53:50.703: RTWSControl  - tickOptionComputation - id:200042 tickType:10 impliedVol:9.11303409524406E-02 delta:-4.36742810477615E-02 optPrice:1.99999994947575E-04 pvDividend:0 gamma: 1.79769313486232E+308 theta/vega/undPrice: -2.38362419936024E-04-1.43303577692804E-04-1.5786</t>
  </si>
  <si>
    <t>2014-11-26 15:53:50.748: RTWSControl  - tickOptionComputation - id:200042 tickType:11 impliedVol:9.11303409524406E-02 delta:-4.36742810477615E-02 optPrice:1.99999994947575E-04 pvDividend:0 gamma: 1.79769313486232E+308 theta/vega/undPrice: -2.38362419936024E-04-1.43303577692804E-04-1.5786</t>
  </si>
  <si>
    <t>2014-11-26 15:53:50.793: RTWSControl  - tickOptionComputation - id:200041 tickType:13 impliedVol:7.36897561075551E-02 delta:0.937053160598751 optPrice:1.38488580837383E-02 pvDividend:0 gamma: 1.79769313486232E+308 theta/vega/undPrice: -2.56330985936401E-04-1.74874678742403E-04-1.5786</t>
  </si>
  <si>
    <t>2014-11-26 15:53:50.837: RTWSControl  - tickOptionComputation - id:200041 tickType:10 impliedVol:6.15521229997189E-02 delta:0.966550072158647 optPrice:1.37000000104308E-02 pvDividend:0 gamma: 1.79769313486232E+308 theta/vega/undPrice: -1.2832682732544E-04-1.18252677399214E-04-1.5786</t>
  </si>
  <si>
    <t>2014-11-26 15:53:50.881: RTWSControl  - tickOptionComputation - id:200041 tickType:11 impliedVol:8.25874638737774E-02 delta:0.914353550936102 optPrice:1.40000004321337E-02 pvDividend:0 gamma: 1.79769313486232E+308 theta/vega/undPrice: -3.63857495609378E-04-2.15299675400221E-04-1.5786</t>
  </si>
  <si>
    <t>2014-11-26 15:53:50.953: RTWSControl  - tickOptionComputation - id:200043 tickType:13 impliedVol:7.36897561075551E-02 delta:-6.30593620195022E-02 optPrice:2.4905269042699E-04 pvDividend:0 gamma: 1.79769313486232E+308 theta/vega/undPrice: -2.56420859059198E-04-1.74874953004059E-04-1.5786</t>
  </si>
  <si>
    <t>2014-11-26 15:53:51.7: RTWSControl  - tickOptionComputation - id:200043 tickType:10 impliedVol:6.14524082352938E-02 delta:-3.32225705789671E-02 optPrice:9.99999974737875E-05 pvDividend:0 gamma: 1.79769313486232E+308 theta/vega/undPrice: -1.27517871443846E-04-1.17698785738593E-04-1.5786</t>
  </si>
  <si>
    <t>2014-11-26 15:53:51.42: RTWSControl  - tickOptionComputation - id:200043 tickType:11 impliedVol:7.72392654526567E-02 delta:-7.12820254768488E-02 optPrice:3.00000014249235E-04 pvDividend:0 gamma: 1.79769313486232E+308 theta/vega/undPrice: -2.97119769082079E-04-2.00348531450659E-04-1.5786</t>
  </si>
  <si>
    <t>2014-11-26 15:53:51.82: RTWSControl  - tickOptionComputation - id:200044 tickType:13 impliedVol:6.72069525705865E-02 delta:0.855233670990665 optPrice:9.21566986925808E-03 pvDividend:0 gamma: 1.79769313486232E+308 theta/vega/undPrice: -4.31040200748107E-04-2.97793724421191E-04-1.5786</t>
  </si>
  <si>
    <t>2014-11-26 15:53:51.127: RTWSControl  - tickOptionComputation - id:200044 tickType:10 impliedVol:6.33227401566561E-02 delta:0.870898485722025 optPrice:9.10000037401915E-03 pvDividend:0 gamma: 1.79769313486232E+308 theta/vega/undPrice: -3.77773693280086E-04-2.97793849875997E-04-1.5786</t>
  </si>
  <si>
    <t>2014-11-26 15:53:51.171: RTWSControl  - tickOptionComputation - id:200044 tickType:11 impliedVol:7.33892752236268E-02 delta:0.833472033700351 optPrice:9.39999986439943E-03 pvDividend:0 gamma: 1.79769313486232E+308 theta/vega/undPrice: -5.15821968647525E-04-2.97793524192345E-04-1.5786</t>
  </si>
  <si>
    <t>2014-11-26 15:53:51.241: RTWSControl  - tickOptionComputation - id:200046 tickType:13 impliedVol:6.72069525705865E-02 delta:-0.144879015777385 optPrice:6.15793618011185E-04 pvDividend:0 gamma: 1.79769313486232E+308 theta/vega/undPrice: -4.31097709288185E-04-2.97794013156395E-04-1.5786</t>
  </si>
  <si>
    <t>2014-11-26 15:53:51.288: RTWSControl  - tickOptionComputation - id:200046 tickType:10 impliedVol:6.33185766461924E-02 delta:-0.129069781904443 optPrice:5.00000023748726E-04 pvDividend:0 gamma: 1.79769313486232E+308 theta/vega/undPrice: -3.77774003685478E-04-2.97794138574317E-04-1.5786</t>
  </si>
  <si>
    <t>2014-11-26 15:53:51.330: RTWSControl  - tickOptionComputation - id:200046 tickType:11 impliedVol:7.00525597206068E-02 delta:-0.155303418545434 optPrice:6.99999975040555E-04 pvDividend:0 gamma: 1.79769313486232E+308 theta/vega/undPrice: -4.70121254541568E-04-2.977939215011E-04-1.5786</t>
  </si>
  <si>
    <t>2014-11-26 15:53:51.376: RTWSControl  - tickOptionComputation - id:200045 tickType:13 impliedVol:6.29867725111382E-02 delta:0.68177891282606 optPrice:5.19761291406738E-03 pvDividend:0 gamma: 1.79769313486232E+308 theta/vega/undPrice: -6.33493648614824E-04-4.45633125158598E-04-1.5786</t>
  </si>
  <si>
    <t>2014-11-26 15:53:51.418: RTWSControl  - tickOptionComputation - id:200045 tickType:10 impliedVol:6.07818983454644E-02 delta:0.687900767693551 optPrice:5.10000018402934E-03 pvDividend:0 gamma: 1.79769313486232E+308 theta/vega/undPrice: -6.06714680313912E-04-4.45633225617128E-04-1.5786</t>
  </si>
  <si>
    <t>2014-11-26 15:53:51.463: RTWSControl  - tickOptionComputation - id:200045 tickType:11 impliedVol:6.75285878361297E-02 delta:0.67018877771004 optPrice:5.40000014007092E-03 pvDividend:0 gamma: 1.79769313486232E+308 theta/vega/undPrice: -6.88655537653766E-04-4.45632909699214E-04-1.5786</t>
  </si>
  <si>
    <t>2014-11-26 15:53:51.533: RTWSControl  - tickOptionComputation - id:200047 tickType:13 impliedVol:6.29867725111382E-02 delta:-0.318334222840823 optPrice:1.5976670927448E-03 pvDividend:0 gamma: 1.79769313486232E+308 theta/vega/undPrice: -6.3351931847446E-04-4.4563376406563E-04-1.5786</t>
  </si>
  <si>
    <t>2014-11-26 15:53:51.579: RTWSControl  - tickOptionComputation - id:200047 tickType:10 impliedVol:6.07951293328605E-02 delta:-0.312124506256936 optPrice:1.50000001303852E-03 pvDividend:0 gamma: 1.79769313486232E+308 theta/vega/undPrice: -6.06900955758029E-04-4.45633863510111E-04-1.5786</t>
  </si>
  <si>
    <t>2014-11-26 15:53:51.621: RTWSControl  - tickOptionComputation - id:200047 tickType:11 impliedVol:6.52982198416411E-02 delta:-0.324349720091086 optPrice:1.70000002253801E-03 pvDividend:0 gamma: 1.79769313486232E+308 theta/vega/undPrice: -6.61592733498198E-04-4.45633656285728E-04-1.5786</t>
  </si>
  <si>
    <t>2014-11-26 15:53:51.668: RTWSControl  - tickOptionComputation - id:200055 tickType:13 impliedVol:6.10292159291816E-02 delta:0.426220555325661 optPrice:2.32958486542913E-03 pvDividend:0 gamma: 1.79769313486232E+308 theta/vega/undPrice: -6.74869606430775E-04-4.83535009265119E-04-1.5786</t>
  </si>
  <si>
    <t>2014-11-26 15:53:51.709: RTWSControl  - tickOptionComputation - id:200055 tickType:10 impliedVol:6.04333293224523E-02 delta:0.425420135278912 optPrice:2.30000005103648E-03 pvDividend:0 gamma: 1.79769313486232E+308 theta/vega/undPrice: -6.68099988485985E-04-4.83535038130907E-04-1.5786</t>
  </si>
  <si>
    <t>2014-11-26 15:53:51.752: RTWSControl  - tickOptionComputation - id:200055 tickType:11 impliedVol:6.24749011717185E-02 delta:0.427919360189835 optPrice:2.40000011399388E-03 pvDividend:0 gamma: 1.79769313486232E+308 theta/vega/undPrice: -6.91293425939055E-04-4.83534938174769E-04-1.5786</t>
  </si>
  <si>
    <t>2014-11-26 15:53:51.822: RTWSControl  - tickOptionComputation - id:200049 tickType:13 impliedVol:6.85773952268462E-02 delta:0.694728050163868 optPrice:1.19811804196838E-02 pvDividend:0 gamma: 1.79769313486232E+308 theta/vega/undPrice: -3.30173827925324E-04-9.14328428069012E-04-1.5786</t>
  </si>
  <si>
    <t>2014-11-26 15:53:51.871: RTWSControl  - tickOptionComputation - id:200049 tickType:10 impliedVol:6.76895311368138E-02 delta:0.697022964097655 optPrice:1.19000002741814E-02 pvDividend:0 gamma: 1.79769313486232E+308 theta/vega/undPrice: -3.24935915070452E-04-9.14328815906593E-04-1.5786</t>
  </si>
  <si>
    <t>2014-11-26 15:53:51.913: RTWSControl  - tickOptionComputation - id:200049 tickType:11 impliedVol:7.09706387805194E-02 delta:0.688517618246373 optPrice:1.21999997645617E-02 pvDividend:0 gamma: 1.79769313486232E+308 theta/vega/undPrice: -3.44292629672409E-04-9.14327363702802E-04-1.5786</t>
  </si>
  <si>
    <t>2014-11-26 15:53:51.958: RTWSControl  - tickOptionComputation - id:200050 tickType:13 impliedVol:6.85773952268462E-02 delta:-0.30534207021012 optPrice:3.38172448069084E-03 pvDividend:0 gamma: 1.79769313486232E+308 theta/vega/undPrice: -3.30234796908737E-04-9.14333986671624E-04-1.5786</t>
  </si>
  <si>
    <t>2014-11-26 15:53:51.999: RTWSControl  - tickOptionComputation - id:200050 tickType:10 impliedVol:6.87772731985029E-02 delta:-0.305831302312673 optPrice:3.40000004507601E-03 pvDividend:0 gamma: 1.79769313486232E+308 theta/vega/undPrice: -3.31413984160324E-04-9.14333899046976E-04-1.5786</t>
  </si>
  <si>
    <t>2014-11-26 15:53:52.44: TransitionLogger - flushFile - flushing file</t>
  </si>
  <si>
    <t>2014-11-26 15:53:52.44: TransitionLogger - openTransitionFile - opening file C:\temp\transitionlog_2014-11-26_155023</t>
  </si>
  <si>
    <t>2014-11-26 15:53:52.46: RTWSControl  - tickOptionComputation - id:200050 tickType:11 impliedVol:6.98709642128871E-02 delta:-0.308665473474376 optPrice:3.50000010803342E-03 pvDividend:0 gamma: 1.79769313486232E+308 theta/vega/undPrice: -3.37866248572541E-04-9.14333416178751E-04-1.5786</t>
  </si>
  <si>
    <t>2014-11-26 15:53:52.108: RTWSControl  - tickOptionComputation - id:200051 tickType:13 impliedVol:7.08486862386817E-02 delta:-0.30940864313592 optPrice:3.50009022476922E-03 pvDividend:0 gamma: 1.79769313486232E+308 theta/vega/undPrice: -3.4457873550698E-04-8.71919853474799E-04-1.5786</t>
  </si>
  <si>
    <t>2014-11-26 15:53:52.156: RTWSControl  - tickOptionComputation - id:200051 tickType:10 impliedVol:6.73867833871645E-02 delta:-0.300611061412011 optPrice:3.1999999191612E-03 pvDividend:0 gamma: 1.79769313486232E+308 theta/vega/undPrice: -3.23588085459108E-04-8.60868713907162E-04-1.5786</t>
  </si>
  <si>
    <t>2014-11-26 15:53:52.199: RTWSControl  - tickOptionComputation - id:200051 tickType:11 impliedVol:7.08478767556472E-02 delta:-0.309367562151975 optPrice:3.50000010803342E-03 pvDividend:0 gamma: 1.79769313486232E+308 theta/vega/undPrice: -3.44573845630358E-04-8.71917441923289E-04-1.5786</t>
  </si>
  <si>
    <t>2014-11-26 15:53:52.245: RTWSControl  - tickOptionComputation - id:200052 tickType:13 impliedVol:0.121418444956155 delta:-0.514822886126043 optPrice:1.27000000276938E-02 pvDividend:0 gamma: 1.79769313486232E+308 theta/vega/undPrice: -6.67853938606515E-04-9.86147862386251E-04-1.5786</t>
  </si>
  <si>
    <t>2014-11-26 15:53:52.286: RTWSControl  - tickOptionComputation - id:200052 tickType:10 impliedVol:1.79769313486232E+308 delta:1.79769313486232E+308 optPrice:1.79769313486232E+308 pvDividend:0 gamma: 1.79769313486232E+308 theta/vega/undPrice: 1.79769313486232E+308-1.79769313486232E+308-1.5786</t>
  </si>
  <si>
    <t>2014-11-26 15:53:52.322: RTWSControl  - tickOptionComputation - id:200052 tickType:11 impliedVol:1.79769313486232E+308 delta:1.79769313486232E+308 optPrice:1.79769313486232E+308 pvDividend:0 gamma: 1.79769313486232E+308 theta/vega/undPrice: 1.79769313486232E+308-1.79769313486232E+308-1.5786</t>
  </si>
  <si>
    <t>2014-11-26 15:53:52.365: RTWSControl  - tickOptionComputation - id:200048 tickType:13 impliedVol:8.28695538538238E-02 delta:-2.86794530594202E-02 optPrice:2.33528977055457E-04 pvDividend:0 gamma: 1.79769313486232E+308 theta/vega/undPrice: -7.40130070248587E-05-1.88889588267039E-04-1.5786</t>
  </si>
  <si>
    <t>2014-11-26 15:53:52.409: RTWSControl  - tickOptionComputation - id:200048 tickType:10 impliedVol:8.10314120391975E-02 delta:-2.56225071227623E-02 optPrice:1.99999994947575E-04 pvDividend:0 gamma: 1.79769313486232E+308 theta/vega/undPrice: -6.60180073642944E-05-1.79333639135858E-04-1.5786</t>
  </si>
  <si>
    <t>2014-11-26 15:53:52.451: RTWSControl  - tickOptionComputation - id:200048 tickType:11 impliedVol:8.65761085774246E-02 delta:-3.44370768480166E-02 optPrice:3.00000014249235E-04 pvDividend:0 gamma: 1.79769313486232E+308 theta/vega/undPrice: -9.01346356674227E-05-2.30870745349217E-04-1.5786</t>
  </si>
  <si>
    <t>2014-11-26 15:53:52.498: RTWSControl  - tickOptionComputation - id:200053 tickType:13 impliedVol:6.36403823384626E-02 delta:9.11421370481982E-02 optPrice:6.79006427519714E-04 pvDividend:0 gamma: 1.79769313486232E+308 theta/vega/undPrice: -1.42713737614823E-04-4.47366431300545E-04-1.5786</t>
  </si>
  <si>
    <t>2014-11-26 15:53:52.536: RTWSControl  - tickOptionComputation - id:200053 tickType:10 impliedVol:6.18743535521905E-02 delta:8.42945264736326E-02 optPrice:6.00000028498471E-04 pvDividend:0 gamma: 1.79769313486232E+308 theta/vega/undPrice: -1.31287132595379E-04-4.4736676612582E-04-1.5786</t>
  </si>
  <si>
    <t>2014-11-26 15:53:52.577: RTWSControl  - tickOptionComputation - id:200053 tickType:11 impliedVol:6.40949690637638E-02 delta:9.28295218876203E-02 optPrice:6.99999975040555E-04 pvDividend:0 gamma: 1.79769313486232E+308 theta/vega/undPrice: -1.45655014008294E-04-4.47366345965634E-04-1.5786</t>
  </si>
  <si>
    <t>2014-11-26 15:53:52.623: RTWSControl  - tickOptionComputation - id:200054 tickType:13 impliedVol:6.80585151886763E-02 delta:1.32351354024096E-03 optPrice:6.51623516786136E-06 pvDividend:0 gamma: 0.252950956889038 theta/vega/undPrice: -3.99860682969496E-06-2.02610655966162E-05-1.5786</t>
  </si>
  <si>
    <t>2014-11-26 15:53:52.666: RTWSControl  - tickOptionComputation - id:200054 tickType:10 impliedVol:1.79769313486232E+308 delta:1.79769313486232E+308 optPrice:1.79769313486232E+308 pvDividend:0 gamma: 1.79769313486232E+308 theta/vega/undPrice: 1.79769313486232E+308-1.79769313486232E+308-1.5786</t>
  </si>
  <si>
    <t>2014-11-26 15:53:52.703: RTWSControl  - tickOptionComputation - id:200054 tickType:11 impliedVol:9.09262055091595E-02 delta:1.24952899419984E-02 optPrice:9.99999974737875E-05 pvDividend:0 gamma: 1.79769313486232E+308 theta/vega/undPrice: -4.0113561545479E-05-1.03780117588085E-04-1.5786</t>
  </si>
  <si>
    <t>2014-11-26 15:53:53.69: RTWSControl  - tickOptionComputation - id:200041 tickType:10 impliedVol:0.013050634765591 delta:0.999985994590874 optPrice:1.36000001803041E-02 pvDividend:0 gamma: 4.37222522671843E-11 theta/vega/undPrice: 8.95051972155194E-08-8.05146643800825E-11-1.5786</t>
  </si>
  <si>
    <t>2014-11-26 15:53:53.119: RTWSControl  - tickOptionComputation - id:200041 tickType:11 impliedVol:7.72528020756632E-02 delta:0.92867411002547 optPrice:1.38999996706843E-02 pvDividend:0 gamma: 1.79769313486232E+308 theta/vega/undPrice: -2.97185061729822E-04-2.00445377586438E-04-1.5786</t>
  </si>
  <si>
    <t>2014-11-26 15:53:53.164: RTWSControl  - tickOptionComputation - id:200044 tickType:10 impliedVol:5.89942643189309E-02 delta:0.886271959793892 optPrice:8.99999961256981E-03 pvDividend:0 gamma: 1.79769313486232E+308 theta/vega/undPrice: -3.20363205709466E-04-2.68172263338485E-04-1.5786</t>
  </si>
  <si>
    <t>2014-11-26 15:53:53.205: RTWSControl  - tickOptionComputation - id:200045 tickType:11 impliedVol:6.52645384509728E-02 delta:0.675722115480538 optPrice:5.29999984428287E-03 pvDividend:0 gamma: 1.79769313486232E+308 theta/vega/undPrice: -6.61157897393328E-04-4.45633018538951E-04-1.5786</t>
  </si>
  <si>
    <t>2014-11-26 15:53:53.252: RTWSControl  - tickOptionComputation - id:200055 tickType:10 impliedVol:5.83364868927977E-02 delta:0.422673431699115 optPrice:2.19999998807907E-03 pvDividend:0 gamma: 1.79769313486232E+308 theta/vega/undPrice: -6.44278632206867E-04-4.83535137673679E-04-1.5786</t>
  </si>
  <si>
    <t>2014-11-26 15:53:53.293: RTWSControl  - tickOptionComputation - id:200050 tickType:11 impliedVol:0.070964652681006 delta:-0.311411301488787 optPrice:3.59999993816018E-03 pvDividend:0 gamma: 1.79769313486232E+308 theta/vega/undPrice: -3.44318489603088E-04-9.14332929909284E-04-1.5786</t>
  </si>
  <si>
    <t>2014-11-26 15:53:53.358: RTWSControl  - tickOptionComputation - id:200052 tickType:10 impliedVol:1.79769313486232E+308 delta:1.79769313486232E+308 optPrice:1.79769313486232E+308 pvDividend:0 gamma: 1.79769313486232E+308 theta/vega/undPrice: 1.79769313486232E+308-1.79769313486232E+308-1.5786</t>
  </si>
  <si>
    <t>2014-11-26 15:53:53.378: RTWSControl  - tickOptionComputation - id:200052 tickType:11 impliedVol:1.79769313486232E+308 delta:1.79769313486232E+308 optPrice:1.79769313486232E+308 pvDividend:0 gamma: 1.79769313486232E+308 theta/vega/undPrice: 1.79769313486232E+308-1.79769313486232E+308-1.5786</t>
  </si>
  <si>
    <t>2014-11-26 15:53:53.439: RTWSControl  - tickOptionComputation - id:200054 tickType:10 impliedVol:1.79769313486232E+308 delta:1.79769313486232E+308 optPrice:1.79769313486232E+308 pvDividend:0 gamma: 1.79769313486232E+308 theta/vega/undPrice: 1.79769313486232E+308-1.79769313486232E+308-1.5786</t>
  </si>
  <si>
    <t>2014-11-26 15:53:54.74: RTWSControl  - tickOptionComputation - id:200042 tickType:13 impliedVol:8.16593194001598E-02 delta:-2.91044781868724E-02 optPrice:1.13589729859831E-04 pvDividend:0 gamma: 1.79769313486232E+308 theta/vega/undPrice: -1.51722842955492E-04-9.3990721236784E-05-1.5786</t>
  </si>
  <si>
    <t>2014-11-26 15:53:54.127: RTWSControl  - tickOptionComputation - id:200041 tickType:13 impliedVol:7.27872501991271E-02 delta:0.93927443268257 optPrice:1.38359041124751E-02 pvDividend:0 gamma: 1.79769313486232E+308 theta/vega/undPrice: -2.4598280109626E-04-1.68397715657971E-04-1.5786</t>
  </si>
  <si>
    <t>2014-11-26 15:53:54.195: RTWSControl  - tickOptionComputation - id:200043 tickType:13 impliedVol:7.27872501991271E-02 delta:-6.08380883152137E-02 optPrice:2.360987102654E-04 pvDividend:0 gamma: 1.79769313486232E+308 theta/vega/undPrice: -2.46072662590055E-04-1.68397983040849E-04-1.5786</t>
  </si>
  <si>
    <t>2014-11-26 15:53:54.243: RTWSControl  - tickOptionComputation - id:200044 tickType:13 impliedVol:6.65058131068577E-02 delta:0.857944602944229 optPrice:9.19479036391419E-03 pvDividend:0 gamma: 1.79769313486232E+308 theta/vega/undPrice: -4.21425062722719E-04-2.97793747090349E-04-1.5786</t>
  </si>
  <si>
    <t>2014-11-26 15:53:54.286: RTWSControl  - tickOptionComputation - id:200046 tickType:13 impliedVol:6.65058131068577E-02 delta:-0.142168080996486 optPrice:5.94914092442848E-04 pvDividend:0 gamma: 1.79769313486232E+308 theta/vega/undPrice: -4.21482552975424E-04-2.97794035728461E-04-1.5786</t>
  </si>
  <si>
    <t>2014-11-26 15:53:54.326: RTWSControl  - tickOptionComputation - id:200045 tickType:13 impliedVol:6.28150081233798E-02 delta:0.682246861331627 optPrice:5.18995852002539E-03 pvDividend:0 gamma: 1.79769313486232E+308 theta/vega/undPrice: -6.31407510547004E-04-4.4563313308397E-04-1.5786</t>
  </si>
  <si>
    <t>2014-11-26 15:53:54.373: RTWSControl  - tickOptionComputation - id:200047 tickType:13 impliedVol:6.28150081233798E-02 delta:-0.317866273595548 optPrice:1.59001268774864E-03 pvDividend:0 gamma: 1.79769313486232E+308 theta/vega/undPrice: -6.31433173398177E-04-4.45633771955178E-04-1.5786</t>
  </si>
  <si>
    <t>2014-11-26 15:53:54.414: RTWSControl  - tickOptionComputation - id:200055 tickType:13 impliedVol:6.17148352486367E-02 delta:0.427061989588199 optPrice:2.36273697503262E-03 pvDividend:0 gamma: 1.79769313486232E+308 theta/vega/undPrice: -6.82658638773717E-04-4.83534975739902E-04-1.5786</t>
  </si>
  <si>
    <t>2014-11-26 15:53:54.453: RTWSControl  - tickOptionComputation - id:200049 tickType:13 impliedVol:6.88916222247844E-02 delta:0.693899529784435 optPrice:1.20099111530431E-02 pvDividend:0 gamma: 1.79769313486232E+308 theta/vega/undPrice: -3.3202759417304E-04-9.14328289896732E-04-1.5786</t>
  </si>
  <si>
    <t>2014-11-26 15:53:54.497: RTWSControl  - tickOptionComputation - id:200050 tickType:13 impliedVol:6.88916222247844E-02 delta:-0.306170596282834 optPrice:3.41045538871757E-03 pvDividend:0 gamma: 1.79769313486232E+308 theta/vega/undPrice: -3.32088590211934E-04-9.14333848832309E-04-1.5786</t>
  </si>
  <si>
    <t>2014-11-26 15:53:54.540: RTWSControl  - tickOptionComputation - id:200052 tickType:10 impliedVol:1.79769313486232E+308 delta:1.79769313486232E+308 optPrice:1.79769313486232E+308 pvDividend:0 gamma: 1.79769313486232E+308 theta/vega/undPrice: 1.79769313486232E+308-1.79769313486232E+308-1.5786</t>
  </si>
  <si>
    <t>2014-11-26 15:53:54.575: RTWSControl  - tickOptionComputation - id:200052 tickType:11 impliedVol:1.79769313486232E+308 delta:1.79769313486232E+308 optPrice:1.79769313486232E+308 pvDividend:0 gamma: 1.79769313486232E+308 theta/vega/undPrice: 1.79769313486232E+308-1.79769313486232E+308-1.5786</t>
  </si>
  <si>
    <t>2014-11-26 15:53:54.617: RTWSControl  - tickOptionComputation - id:200048 tickType:13 impliedVol:8.27875126837174E-02 delta:-2.85460590920747E-02 optPrice:2.32057700394653E-04 pvDividend:0 gamma: 1.79769313486232E+308 theta/vega/undPrice: -7.36561691229008E-05-1.87960372450234E-04-1.5786</t>
  </si>
  <si>
    <t>2014-11-26 15:53:54.662: RTWSControl  - tickOptionComputation - id:200053 tickType:13 impliedVol:0.063684201141081 delta:9.13069724491067E-02 optPrice:6.8096673781872E-04 pvDividend:0 gamma: 1.79769313486232E+308 theta/vega/undPrice: -1.42997254976283E-04-4.47366423059801E-04-1.5786</t>
  </si>
  <si>
    <t>2014-11-26 15:53:54.702: RTWSControl  - tickOptionComputation - id:200054 tickType:13 impliedVol:6.71652494326054E-02 delta:1.15298293629392E-03 optPrice:5.55307057418447E-06 pvDividend:0 gamma: 0.225618067026418 theta/vega/undPrice: -3.47352675053328E-06-1.89768563179686E-05-1.5786</t>
  </si>
  <si>
    <t>2014-11-26 15:53:54.744: RTWSControl  - tickOptionComputation - id:200054 tickType:10 impliedVol:1.79769313486232E+308 delta:1.79769313486232E+308 optPrice:1.79769313486232E+308 pvDividend:0 gamma: 1.79769313486232E+308 theta/vega/undPrice: 1.79769313486232E+308-1.79769313486232E+308-1.5786</t>
  </si>
  <si>
    <t>2014-11-26 15:53:55.329: DirectionIndicator - notify - price/longMA/ShortMA/prevDirection are 1.5785/1.57861531481445/1.57858146230777/1</t>
  </si>
  <si>
    <t>2014-11-26 15:53:55.329: Algorithm - handleTransition - currentHedgeShortfall is NOT ZERO and AUTOHEDGE IS NOT ENABLED!</t>
  </si>
  <si>
    <t>2014-11-26 15:53:55.446: DirectionIndicator - notify - price/longMA/ShortMA/prevDirection are 1.57845/1.57858525757546/1.57853764153851/-1</t>
  </si>
  <si>
    <t>2014-11-26 15:53:55.449: Algorithm - handleTransition - currentHedgeShortfall is NOT ZERO and AUTOHEDGE IS NOT ENABLED!</t>
  </si>
  <si>
    <t>2014-11-26 15:53:56.316: RTWSControl  - tickOptionComputation - id:200042 tickType:10 impliedVol:9.07085879154556E-02 delta:-4.38186211240014E-02 optPrice:1.99999994947575E-04 pvDividend:0 gamma: 1.79769313486232E+308 theta/vega/undPrice: -2.37828652727457E-04-1.43299047328079E-04-1.5785</t>
  </si>
  <si>
    <t>2014-11-26 15:53:56.368: RTWSControl  - tickOptionComputation - id:200042 tickType:11 impliedVol:9.07085879154556E-02 delta:-4.38186211240014E-02 optPrice:1.99999994947575E-04 pvDividend:0 gamma: 1.79769313486232E+308 theta/vega/undPrice: -2.37828652727457E-04-1.43299047328079E-04-1.5785</t>
  </si>
  <si>
    <t>2014-11-26 15:53:56.414: RTWSControl  - tickOptionComputation - id:200042 tickType:13 impliedVol:8.16593194001598E-02 delta:-2.98300136540205E-02 optPrice:1.16812331308016E-04 pvDividend:0 gamma: 1.79769313486232E+308 theta/vega/undPrice: -1.54833967455393E-04-9.66723246816639E-05-1.5785</t>
  </si>
  <si>
    <t>2014-11-26 15:53:56.454: RTWSControl  - tickOptionComputation - id:200041 tickType:10 impliedVol:1.79769313486232E+308 delta:0.999985993573037 optPrice:1.35000003501773E-02 pvDividend:0 gamma: 2.42210810600503E-06 theta/vega/undPrice: 8.88438091200833E-08--4.25954410632201E-13-1.5785</t>
  </si>
  <si>
    <t>2014-11-26 15:53:56.497: RTWSControl  - tickOptionComputation - id:200041 tickType:11 impliedVol:0.076840898204036 delta:0.928329446997943 optPrice:1.37999998405576E-02 pvDividend:0 gamma: 1.79769313486232E+308 theta/vega/undPrice: -2.96762173820726E-04-2.01650802136766E-04-1.5785</t>
  </si>
  <si>
    <t>2014-11-26 15:53:56.545: RTWSControl  - tickOptionComputation - id:200041 tickType:13 impliedVol:7.27872501991271E-02 delta:0.937944011671184 optPrice:1.37418183174378E-02 pvDividend:0 gamma: 1.79769313486232E+308 theta/vega/undPrice: -2.50284295752593E-04-1.72560147320396E-04-1.5785</t>
  </si>
  <si>
    <t>2014-11-26 15:53:56.584: RTWSControl  - tickOptionComputation - id:200043 tickType:10 impliedVol:6.98602109119399E-02 delta:-5.46173484612167E-02 optPrice:1.99999994947575E-04 pvDividend:0 gamma: 1.79769313486232E+308 theta/vega/undPrice: -2.16812916578838E-04-1.51554736513544E-04-1.5785</t>
  </si>
  <si>
    <t>2014-11-26 15:53:56.631: RTWSControl  - tickOptionComputation - id:200043 tickType:11 impliedVol:7.68274488390918E-02 delta:-7.16267809648216E-02 optPrice:3.00000014249235E-04 pvDividend:0 gamma: 1.79769313486232E+308 theta/vega/undPrice: -2.96697227384506E-04-2.01554585508878E-04-1.5785</t>
  </si>
  <si>
    <t>2014-11-26 15:53:56.700: RTWSControl  - tickOptionComputation - id:200043 tickType:13 impliedVol:7.27872501991271E-02 delta:-6.21685102981867E-02 optPrice:2.42011489617125E-04 pvDividend:0 gamma: 1.79769313486232E+308 theta/vega/undPrice: -2.50373503367018E-04-1.72560418079235E-04-1.5785</t>
  </si>
  <si>
    <t>2014-11-26 15:53:56.747: RTWSControl  - tickOptionComputation - id:200044 tickType:10 impliedVol:5.84926929116148E-02 delta:0.885604506779876 optPrice:8.89999978244305E-03 pvDividend:0 gamma: 1.79769313486232E+308 theta/vega/undPrice: -3.1904290552327E-04-2.70006964300957E-04-1.5785</t>
  </si>
  <si>
    <t>2014-11-26 15:53:56.790: RTWSControl  - tickOptionComputation - id:200044 tickType:11 impliedVol:7.28538742451069E-02 delta:0.832444102274679 optPrice:9.30000003427267E-03 pvDividend:0 gamma: 1.79769313486232E+308 theta/vega/undPrice: -5.14152830527586E-04-3.00667554447409E-04-1.5785</t>
  </si>
  <si>
    <t>2014-11-26 15:53:56.837: RTWSControl  - tickOptionComputation - id:200044 tickType:13 impliedVol:6.65058131068577E-02 delta:0.854924327328134 optPrice:9.11084055715687E-03 pvDividend:0 gamma: 1.79769313486232E+308 theta/vega/undPrice: -4.27100941204876E-04-2.97784314866562E-04-1.5785</t>
  </si>
  <si>
    <t>2014-11-26 15:53:56.879: RTWSControl  - tickOptionComputation - id:200046 tickType:10 impliedVol:6.61376666574689E-02 delta:-0.143740455389837 optPrice:6.00000028498471E-04 pvDividend:0 gamma: 1.79769313486232E+308 theta/vega/undPrice: -4.2210932398913E-04-2.97784615325392E-04-1.5785</t>
  </si>
  <si>
    <t>2014-11-26 15:53:56.924: RTWSControl  - tickOptionComputation - id:200046 tickType:11 impliedVol:6.94957955101719E-02 delta:-0.156217986334669 optPrice:6.99999975040555E-04 pvDividend:0 gamma: 1.79769313486232E+308 theta/vega/undPrice: -4.68159940585088E-04-2.97784508615377E-04-1.5785</t>
  </si>
  <si>
    <t>2014-11-26 15:53:56.992: RTWSControl  - tickOptionComputation - id:200046 tickType:13 impliedVol:6.65058131068577E-02 delta:-0.145188359766112 optPrice:6.10962869230788E-04 pvDividend:0 gamma: 1.79769313486232E+308 theta/vega/undPrice: -4.27157783082932E-04-2.9778460361302E-04-1.5785</t>
  </si>
  <si>
    <t>2014-11-26 15:53:57.39: RTWSControl  - tickOptionComputation - id:200045 tickType:10 impliedVol:6.00444500785147E-02 delta:0.685073804801798 optPrice:4.99999988824129E-03 pvDividend:0 gamma: 1.79769313486232E+308 theta/vega/undPrice: -6.01387961071074E-04-4.45619142696858E-04-1.5785</t>
  </si>
  <si>
    <t>2014-11-26 15:53:57.82: RTWSControl  - tickOptionComputation - id:200045 tickType:11 impliedVol:6.45304254327488E-02 delta:0.672942178856627 optPrice:5.2000000141561E-03 pvDividend:0 gamma: 1.79769313486232E+308 theta/vega/undPrice: -6.55869970041878E-04-4.45618938345179E-04-1.5785</t>
  </si>
  <si>
    <t>2014-11-26 15:53:57.128: RTWSControl  - tickOptionComputation - id:200045 tickType:13 impliedVol:6.28150081233798E-02 delta:0.677461235282728 optPrice:5.1234613026334E-03 pvDividend:0 gamma: 1.79769313486232E+308 theta/vega/undPrice: -6.35036295854994E-04-4.45619017811752E-04-1.5785</t>
  </si>
  <si>
    <t>2014-11-26 15:53:57.171: RTWSControl  - tickOptionComputation - id:200047 tickType:10 impliedVol:6.00306321876327E-02 delta:-0.314872686490894 optPrice:1.50000001303852E-03 pvDividend:0 gamma: 1.79769313486232E+308 theta/vega/undPrice: -6.01245050689642E-04-4.45619781986189E-04-1.5785</t>
  </si>
  <si>
    <t>2014-11-26 15:53:57.215: RTWSControl  - tickOptionComputation - id:200047 tickType:11 impliedVol:6.67754884928378E-02 delta:-0.332500747852104 optPrice:1.79999996908009E-03 pvDividend:0 gamma: 1.79769313486232E+308 theta/vega/undPrice: -6.83161340257992E-04-4.45619471571246E-04-1.5785</t>
  </si>
  <si>
    <t>2014-11-26 15:53:57.283: RTWSControl  - tickOptionComputation - id:200047 tickType:13 impliedVol:6.28150081233798E-02 delta:-0.322651907215318 optPrice:1.62351407686118E-03 pvDividend:0 gamma: 1.79769313486232E+308 theta/vega/undPrice: -6.35061316969151E-04-4.45619657018275E-04-1.5785</t>
  </si>
  <si>
    <t>2014-11-26 15:53:57.330: RTWSControl  - tickOptionComputation - id:200055 tickType:13 impliedVol:6.17148352486367E-02 delta:0.421775605141814 optPrice:2.31825687556902E-03 pvDividend:0 gamma: 1.79769313486232E+308 theta/vega/undPrice: -6.81317761644335E-04-4.83519661645076E-04-1.5785</t>
  </si>
  <si>
    <t>2014-11-26 15:53:57.371: RTWSControl  - tickOptionComputation - id:200055 tickType:10 impliedVol:5.92690853743505E-02 delta:0.418414874288346 optPrice:2.19999998807907E-03 pvDividend:0 gamma: 1.79769313486232E+308 theta/vega/undPrice: -6.53533500792625E-04-4.83519779899147E-04-1.5785</t>
  </si>
  <si>
    <t>2014-11-26 15:53:57.412: RTWSControl  - tickOptionComputation - id:200055 tickType:11 impliedVol:6.34054344133085E-02 delta:0.423861026918039 optPrice:2.40000011399388E-03 pvDividend:0 gamma: 1.79769313486232E+308 theta/vega/undPrice: -7.00523332294934E-04-4.835195773855E-04-1.5785</t>
  </si>
  <si>
    <t>2014-11-26 15:53:57.459: RTWSControl  - tickOptionComputation - id:200049 tickType:10 impliedVol:6.73242465573894E-02 delta:0.695853687472513 optPrice:1.18000004440546E-02 pvDividend:0 gamma: 1.79769313486232E+308 theta/vega/undPrice: -3.23633523282264E-04-9.14300005577252E-04-1.5785</t>
  </si>
  <si>
    <t>2014-11-26 15:53:57.501: RTWSControl  - tickOptionComputation - id:200049 tickType:11 impliedVol:7.06054345155312E-02 delta:0.687357267911714 optPrice:1.20999999344349E-02 pvDividend:0 gamma: 1.79769313486232E+308 theta/vega/undPrice: -3.42990106625164E-04-9.14298562357502E-04-1.5785</t>
  </si>
  <si>
    <t>2014-11-26 15:53:57.569: RTWSControl  - tickOptionComputation - id:200049 tickType:13 impliedVol:6.88916222247844E-02 delta:0.691780444115459 optPrice:1.19433058856881E-02 pvDividend:0 gamma: 1.79769313486232E+308 theta/vega/undPrice: -3.32879890304055E-04-9.14299322652546E-04-1.5785</t>
  </si>
  <si>
    <t>2014-11-26 15:53:57.620: RTWSControl  - tickOptionComputation - id:200050 tickType:13 impliedVol:6.88916222247844E-02 delta:-0.30828969654251 optPrice:3.44384423710501E-03 pvDividend:0 gamma: 1.79769313486232E+308 theta/vega/undPrice: -3.32940245871553E-04-9.14304882381125E-04-1.5785</t>
  </si>
  <si>
    <t>2014-11-26 15:53:57.660: RTWSControl  - tickOptionComputation - id:200051 tickType:13 impliedVol:7.08486862386817E-02 delta:-0.311422906313438 optPrice:3.53112782565778E-03 pvDividend:0 gamma: 1.79769313486232E+308 theta/vega/undPrice: -3.45530794362019E-04-8.74329292991002E-04-1.5785</t>
  </si>
  <si>
    <t>2014-11-26 15:53:57.701: RTWSControl  - tickOptionComputation - id:200050 tickType:10 impliedVol:6.84120876119844E-02 delta:-0.30699821099591 optPrice:3.40000004507601E-03 pvDividend:0 gamma: 1.79769313486232E+308 theta/vega/undPrice: -3.30111303811183E-04-9.14305092069053E-04-1.5785</t>
  </si>
  <si>
    <t>2014-11-26 15:53:57.742: RTWSControl  - tickOptionComputation - id:200050 tickType:11 impliedVol:7.06099963846297E-02 delta:-0.312597709937387 optPrice:3.59999993816018E-03 pvDividend:0 gamma: 1.79769313486232E+308 theta/vega/undPrice: -3.43077521744232E-04-9.14304127305624E-04-1.5785</t>
  </si>
  <si>
    <t>2014-11-26 15:53:57.788: RTWSControl  - tickOptionComputation - id:200052 tickType:13 impliedVol:0.121418444956155 delta:-0.516150241028556 optPrice:1.27515390900227E-02 pvDividend:0 gamma: 1.79769313486232E+308 theta/vega/undPrice: -6.67725142495326E-04-9.85958207654723E-04-1.5785</t>
  </si>
  <si>
    <t>2014-11-26 15:53:57.830: RTWSControl  - tickOptionComputation - id:200048 tickType:13 impliedVol:8.27875126837174E-02 delta:-2.88919610530635E-02 optPrice:2.35255618974094E-04 pvDividend:0 gamma: 1.79769313486232E+308 theta/vega/undPrice: -7.43867759167755E-05-1.90621564498475E-04-1.5785</t>
  </si>
  <si>
    <t>2014-11-26 15:53:57.871: RTWSControl  - tickOptionComputation - id:200051 tickType:10 impliedVol:6.81929742722361E-02 delta:-0.304793360573951 optPrice:3.29999998211861E-03 pvDividend:0 gamma: 1.79769313486232E+308 theta/vega/undPrice: -3.29471251465853E-04-8.66158523038791E-04-1.5785</t>
  </si>
  <si>
    <t>2014-11-26 15:53:57.913: RTWSControl  - tickOptionComputation - id:200051 tickType:11 impliedVol:7.04879027112348E-02 delta:-0.310514196702348 optPrice:3.50000010803342E-03 pvDividend:0 gamma: 1.79769313486232E+308 theta/vega/undPrice: -3.43354384887581E-04-8.73268920103793E-04-1.5785</t>
  </si>
  <si>
    <t>2014-11-26 15:53:57.957: RTWSControl  - tickOptionComputation - id:200053 tickType:13 impliedVol:0.063684201141081 delta:0.090184544791328 optPrice:6.70745489084346E-04 pvDividend:0 gamma: 1.79769313486232E+308 theta/vega/undPrice: -1.41726946022382E-04-4.47352250559377E-04-1.5785</t>
  </si>
  <si>
    <t>2014-11-26 15:53:58.2: RTWSControl  - tickOptionComputation - id:200054 tickType:13 impliedVol:6.71652494326054E-02 delta:1.12733461754711E-03 optPrice:5.42069451399771E-06 pvDividend:0 gamma: 0.221014977123916 theta/vega/undPrice: -3.40222843071278E-06-1.87731284150628E-05-1.5785</t>
  </si>
  <si>
    <t>2014-11-26 15:53:58.45: RTWSControl  - tickOptionComputation - id:200052 tickType:10 impliedVol:1.79769313486232E+308 delta:1.79769313486232E+308 optPrice:1.79769313486232E+308 pvDividend:0 gamma: 1.79769313486232E+308 theta/vega/undPrice: 1.79769313486232E+308-1.79769313486232E+308-1.5785</t>
  </si>
  <si>
    <t>2014-11-26 15:53:58.81: RTWSControl  - tickOptionComputation - id:200052 tickType:11 impliedVol:1.79769313486232E+308 delta:1.79769313486232E+308 optPrice:1.79769313486232E+308 pvDividend:0 gamma: 1.79769313486232E+308 theta/vega/undPrice: 1.79769313486232E+308-1.79769313486232E+308-1.5785</t>
  </si>
  <si>
    <t>2014-11-26 15:53:58.145: RTWSControl  - tickOptionComputation - id:200048 tickType:10 impliedVol:8.08215312747918E-02 delta:-2.56191815540658E-02 optPrice:1.99999994947575E-04 pvDividend:0 gamma: 1.79769313486232E+308 theta/vega/undPrice: -6.58360077783354E-05-1.79327979669503E-04-1.5785</t>
  </si>
  <si>
    <t>2014-11-26 15:53:58.202: RTWSControl  - tickOptionComputation - id:200048 tickType:11 impliedVol:8.63979006122436E-02 delta:-3.45030138315126E-02 optPrice:3.00000014249235E-04 pvDividend:0 gamma: 1.79769313486232E+308 theta/vega/undPrice: -9.00896320469872E-05-2.31512225253136E-04-1.5785</t>
  </si>
  <si>
    <t>2014-11-26 15:53:58.249: RTWSControl  - tickOptionComputation - id:200053 tickType:10 impliedVol:6.21027788201271E-02 delta:0.084049497026503 optPrice:6.00000028498471E-04 pvDividend:0 gamma: 1.79769313486232E+308 theta/vega/undPrice: -1.31495111490356E-04-4.47352552273115E-04-1.5785</t>
  </si>
  <si>
    <t>2014-11-26 15:53:58.287: RTWSControl  - tickOptionComputation - id:200053 tickType:11 impliedVol:6.43381472739962E-02 delta:9.26177179605422E-02 optPrice:6.99999975040555E-04 pvDividend:0 gamma: 1.79769313486232E+308 theta/vega/undPrice: -1.45957987341298E-04-4.47352127027545E-04-1.5785</t>
  </si>
  <si>
    <t>2014-11-26 15:53:58.333: RTWSControl  - tickOptionComputation - id:200054 tickType:10 impliedVol:1.79769313486232E+308 delta:1.79769313486232E+308 optPrice:1.79769313486232E+308 pvDividend:0 gamma: 1.79769313486232E+308 theta/vega/undPrice: 1.79769313486232E+308-1.79769313486232E+308-1.5785</t>
  </si>
  <si>
    <t>2014-11-26 15:53:58.368: RTWSControl  - tickOptionComputation - id:200054 tickType:11 impliedVol:9.10520166204874E-02 delta:1.24409304288941E-02 optPrice:9.99999974737875E-05 pvDividend:0 gamma: 1.79769313486232E+308 theta/vega/undPrice: -4.00208925969914E-05-1.03776822300623E-04-1.5785</t>
  </si>
  <si>
    <t>2014-11-26 15:53:58.777: RTWSControl  - tickOptionComputation - id:200042 tickType:13 impliedVol:7.95388108006421E-02 delta:-2.62357531106484E-02 optPrice:9.81881976288354E-05 pvDividend:0 gamma: 1.79769313486232E+308 theta/vega/undPrice: -1.35755394304504E-04-8.78285735369992E-05-1.5785</t>
  </si>
  <si>
    <t>2014-11-26 15:53:58.829: RTWSControl  - tickOptionComputation - id:200041 tickType:11 impliedVol:8.21193792669989E-02 delta:0.913951372606279 optPrice:1.38999996706843E-02 pvDividend:0 gamma: 1.79769313486232E+308 theta/vega/undPrice: -3.62978326488533E-04-2.15292869279626E-04-1.5785</t>
  </si>
  <si>
    <t>2014-11-26 15:53:58.871: RTWSControl  - tickOptionComputation - id:200041 tickType:13 impliedVol:7.09626759970945E-02 delta:0.942573540768269 optPrice:1.37156304150376E-02 pvDividend:0 gamma: 1.79769313486232E+308 theta/vega/undPrice: -2.29364280530951E-04-1.59466240453501E-04-1.5785</t>
  </si>
  <si>
    <t>2014-11-26 15:53:58.915: RTWSControl  - tickOptionComputation - id:200043 tickType:13 impliedVol:7.09626759970945E-02 delta:-5.75389778236025E-02 optPrice:2.15823569223015E-04 pvDividend:0 gamma: 1.79769313486232E+308 theta/vega/undPrice: -2.2945346463396E-04-1.59466497303702E-04-1.5785</t>
  </si>
  <si>
    <t>2014-11-26 15:53:58.957: RTWSControl  - tickOptionComputation - id:200044 tickType:13 impliedVol:6.53225356353175E-02 delta:0.859577162158004 optPrice:9.07560438892089E-03 pvDividend:0 gamma: 1.79769313486232E+308 theta/vega/undPrice: -4.10874471959449E-04-2.97784352668615E-04-1.5785</t>
  </si>
  <si>
    <t>2014-11-26 15:53:58.998: RTWSControl  - tickOptionComputation - id:200046 tickType:10 impliedVol:6.27795370726572E-02 delta:-0.129924660970057 optPrice:5.00000023748726E-04 pvDividend:0 gamma: 1.79769313486232E+308 theta/vega/undPrice: -3.76058666202406E-04-2.97784722391244E-04-1.5785</t>
  </si>
  <si>
    <t>2014-11-26 15:53:59.39: RTWSControl  - tickOptionComputation - id:200046 tickType:13 impliedVol:6.53225356353175E-02 delta:-0.140535520083421 optPrice:5.75726666857559E-04 pvDividend:0 gamma: 1.79769313486232E+308 theta/vega/undPrice: -4.10931282972786E-04-2.9778464129225E-04-1.5785</t>
  </si>
  <si>
    <t>2014-11-26 15:53:59.85: RTWSControl  - tickOptionComputation - id:200045 tickType:13 impliedVol:6.26183897152544E-02 delta:0.677985051516215 optPrice:5.11469960794236E-03 pvDividend:0 gamma: 1.79769313486232E+308 theta/vega/undPrice: -6.32648372623945E-04-4.45619026814435E-04-1.5785</t>
  </si>
  <si>
    <t>2014-11-26 15:53:59.129: RTWSControl  - tickOptionComputation - id:200047 tickType:13 impliedVol:6.26183897152544E-02 delta:-0.322128090154114 optPrice:1.61475236963177E-03 pvDividend:0 gamma: 1.79769313486232E+308 theta/vega/undPrice: -6.32673385715978E-04-4.45619665983174E-04-1.5785</t>
  </si>
  <si>
    <t>2014-11-26 15:53:59.171: RTWSControl  - tickOptionComputation - id:200055 tickType:13 impliedVol:6.28502382369334E-02 delta:0.423224704350232 optPrice:2.37315586675081E-03 pvDividend:0 gamma: 1.79769313486232E+308 theta/vega/undPrice: -6.94216185130593E-04-4.83519605283947E-04-1.5785</t>
  </si>
  <si>
    <t>2014-11-26 15:53:59.235: RTWSControl  - tickOptionComputation - id:200049 tickType:13 impliedVol:6.81888717863046E-02 delta:0.693622266334238 optPrice:0.011879053298869 pvDividend:0 gamma: 1.79769313486232E+308 theta/vega/undPrice: -3.28734180143179E-04-9.14299630315217E-04-1.5785</t>
  </si>
  <si>
    <t>2014-11-26 15:53:59.286: RTWSControl  - tickOptionComputation - id:200050 tickType:13 impliedVol:6.81888717863046E-02 delta:-0.306447861667409 optPrice:3.37959125967163E-03 pvDividend:0 gamma: 1.79769313486232E+308 theta/vega/undPrice: -3.2879447520531E-04-9.14305189295052E-04-1.5785</t>
  </si>
  <si>
    <t>2014-11-26 15:53:59.330: RTWSControl  - tickOptionComputation - id:200051 tickType:13 impliedVol:0.070487901468014 delta:-0.310553460267348 optPrice:3.49960239501205E-03 pvDividend:0 gamma: 1.79769313486232E+308 theta/vega/undPrice: -3.433543773851E-04-8.73268916424015E-04-1.5785</t>
  </si>
  <si>
    <t>2014-11-26 15:53:59.371: RTWSControl  - tickOptionComputation - id:200052 tickType:10 impliedVol:1.79769313486232E+308 delta:1.79769313486232E+308 optPrice:1.79769313486232E+308 pvDividend:0 gamma: 1.79769313486232E+308 theta/vega/undPrice: 1.79769313486232E+308-1.79769313486232E+308-1.5785</t>
  </si>
  <si>
    <t>2014-11-26 15:53:59.406: RTWSControl  - tickOptionComputation - id:200052 tickType:11 impliedVol:1.79769313486232E+308 delta:1.79769313486232E+308 optPrice:1.79769313486232E+308 pvDividend:0 gamma: 1.79769313486232E+308 theta/vega/undPrice: 1.79769313486232E+308-1.79769313486232E+308-1.5785</t>
  </si>
  <si>
    <t>2014-11-26 15:53:59.448: RTWSControl  - tickOptionComputation - id:200052 tickType:13 impliedVol:0.120895714006616 delta:-0.516252612727035 optPrice:1.27000000242442E-02 pvDividend:0 gamma: 1.79769313486232E+308 theta/vega/undPrice: -6.6484350719586E-04-9.85947944548439E-04-1.5785</t>
  </si>
  <si>
    <t>2014-11-26 15:53:59.492: RTWSControl  - tickOptionComputation - id:200048 tickType:13 impliedVol:8.37258417038651E-02 delta:-3.03981388558771E-02 optPrice:2.52082506139677E-04 pvDividend:0 gamma: 1.79769313486232E+308 theta/vega/undPrice: -7.84679054029922E-05-2.0124893795957E-04-1.5785</t>
  </si>
  <si>
    <t>2014-11-26 15:53:59.535: RTWSControl  - tickOptionComputation - id:200053 tickType:13 impliedVol:6.36477307071139E-02 delta:9.00467205950976E-02 optPrice:6.69113972494069E-04 pvDividend:0 gamma: 1.79769313486232E+308 theta/vega/undPrice: -1.41490981706626E-04-4.47352257469188E-04-1.5785</t>
  </si>
  <si>
    <t>2014-11-26 15:53:59.574: RTWSControl  - tickOptionComputation - id:200054 tickType:10 impliedVol:1.79769313486232E+308 delta:1.79769313486232E+308 optPrice:1.79769313486232E+308 pvDividend:0 gamma: 1.79769313486232E+308 theta/vega/undPrice: 1.79769313486232E+308-1.79769313486232E+308-1.5785</t>
  </si>
  <si>
    <t>2014-11-26 15:53:59.595: RTWSControl  - tickOptionComputation - id:200054 tickType:13 impliedVol:7.01024184662984E-02 delta:1.67283263546561E-03 optPrice:8.58759795411169E-06 pvDividend:0 gamma: 0.305836352939124 theta/vega/undPrice: -5.12870156214345E-06-2.45221584621741E-05-1.5785</t>
  </si>
  <si>
    <t>2014-11-26 15:53:59.696: DirectionIndicator - notify - price/longMA/ShortMA/prevDirection are 1.5785/1.5785697561981/1.57852509435901/-1</t>
  </si>
  <si>
    <t>2014-11-26 15:53:59.696: Algorithm - handleTransition - currentHedgeShortfall is NOT ZERO and AUTOHEDGE IS NOT ENABLED!</t>
  </si>
  <si>
    <t>2014-11-26 15:53:59.738: DirectionIndicator - notify - price/longMA/ShortMA/prevDirection are 1.57855/1.57856616416208/1.57853339623934/-1</t>
  </si>
  <si>
    <t>2014-11-26 15:53:59.739: Algorithm - handleTransition - currentHedgeShortfall is NOT ZERO and AUTOHEDGE IS NOT ENABLED!</t>
  </si>
  <si>
    <t>2014-11-26 15:54:0.279: RTWSControl  - tickOptionComputation - id:200041 tickType:10 impliedVol:6.11938055478054E-02 delta:0.966350347135916 optPrice:1.36000001803041E-02 pvDividend:0 gamma: 1.79769313486232E+308 theta/vega/undPrice: -1.28215331343371E-04-1.18947023872466E-04-1.5785</t>
  </si>
  <si>
    <t>2014-11-26 15:54:0.331: RTWSControl  - tickOptionComputation - id:200041 tickType:11 impliedVol:0.082119379276767 delta:0.913951372577845 optPrice:1.38999996706843E-02 pvDividend:0 gamma: 1.79769313486232E+308 theta/vega/undPrice: -3.62978326616551E-04-2.15292869281023E-04-1.5785</t>
  </si>
  <si>
    <t>2014-11-26 15:54:0.377: RTWSControl  - tickOptionComputation - id:200044 tickType:10 impliedVol:6.27836270330897E-02 delta:0.870043827742121 optPrice:8.99999961256981E-03 pvDividend:0 gamma: 1.79769313486232E+308 theta/vega/undPrice: -3.76058007821318E-04-2.97784433703664E-04-1.5785</t>
  </si>
  <si>
    <t>2014-11-26 15:54:0.420: RTWSControl  - tickOptionComputation - id:200044 tickType:11 impliedVol:7.62161736573295E-02 delta:0.822108279206342 optPrice:9.39999986439943E-03 pvDividend:0 gamma: 1.79769313486232E+308 theta/vega/undPrice: -5.60260486326175E-04-3.27973946508572E-04-1.5785</t>
  </si>
  <si>
    <t>2014-11-26 15:54:0.465: RTWSControl  - tickOptionComputation - id:200045 tickType:10 impliedVol:6.22885253397537E-02 delta:0.678785482181167 optPrice:5.10000018402934E-03 pvDividend:0 gamma: 1.79769313486232E+308 theta/vega/undPrice: -6.28642181827179E-04-4.45619041871316E-04-1.5785</t>
  </si>
  <si>
    <t>2014-11-26 15:54:0.530: RTWSControl  - tickOptionComputation - id:200045 tickType:11 impliedVol:6.67723255257439E-02 delta:0.667493382901991 optPrice:5.29999984428287E-03 pvDividend:0 gamma: 1.79769313486232E+308 theta/vega/undPrice: -6.83097742561643E-04-4.45618832019664E-04-1.5785</t>
  </si>
  <si>
    <t>2014-11-26 15:54:0.582: RTWSControl  - tickOptionComputation - id:200047 tickType:11 impliedVol:6.45403917399335E-02 delta:-0.32706958076071 optPrice:1.70000002253801E-03 pvDividend:0 gamma: 1.79769313486232E+308 theta/vega/undPrice: -6.56016101933216E-04-4.45619577414435E-04-1.5785</t>
  </si>
  <si>
    <t>2014-11-26 15:54:0.622: RTWSControl  - tickOptionComputation - id:200049 tickType:10 impliedVol:0.06841797586885 delta:0.692929984367466 optPrice:1.19000002741814E-02 pvDividend:0 gamma: 1.79769313486232E+308 theta/vega/undPrice: -3.30085725916038E-04-9.14299530273163E-04-1.5785</t>
  </si>
  <si>
    <t>2014-11-26 15:54:0.664: RTWSControl  - tickOptionComputation - id:200049 tickType:11 impliedVol:7.16991649315311E-02 delta:0.684699871503034 optPrice:1.21999997645617E-02 pvDividend:0 gamma: 1.79769313486232E+308 theta/vega/undPrice: -3.49442290835427E-04-9.14298069741748E-04-1.5785</t>
  </si>
  <si>
    <t>2014-11-26 15:54:0.711: RTWSControl  - tickOptionComputation - id:200052 tickType:10 impliedVol:1.79769313486232E+308 delta:1.79769313486232E+308 optPrice:1.79769313486232E+308 pvDividend:0 gamma: 1.79769313486232E+308 theta/vega/undPrice: 1.79769313486232E+308-1.79769313486232E+308-1.5785</t>
  </si>
  <si>
    <t>2014-11-26 15:54:0.742: RTWSControl  - tickOptionComputation - id:200052 tickType:11 impliedVol:1.79769313486232E+308 delta:1.79769313486232E+308 optPrice:1.79769313486232E+308 pvDividend:0 gamma: 1.79769313486232E+308 theta/vega/undPrice: 1.79769313486232E+308-1.79769313486232E+308-1.5785</t>
  </si>
  <si>
    <t>2014-11-26 15:54:0.785: RTWSControl  - tickOptionComputation - id:200054 tickType:10 impliedVol:1.79769313486232E+308 delta:1.79769313486232E+308 optPrice:1.79769313486232E+308 pvDividend:0 gamma: 1.79769313486232E+308 theta/vega/undPrice: 1.79769313486232E+308-1.79769313486232E+308-1.5785</t>
  </si>
  <si>
    <t>2014-11-26 15:54:1.275: RTWSControl  - tickOptionComputation - id:200042 tickType:13 impliedVol:7.97961732353656E-02 delta:-2.66601175738961E-02 optPrice:1.00336503472008E-04 pvDividend:0 gamma: 1.79769313486232E+308 theta/vega/undPrice: -1.38000253111322E-04-8.78145264338946E-05-1.5785</t>
  </si>
  <si>
    <t>2014-11-26 15:54:1.327: RTWSControl  - tickOptionComputation - id:200041 tickType:13 impliedVol:7.12136046161618E-02 delta:0.941952195093976 optPrice:1.37190685766704E-02 pvDividend:0 gamma: 1.79769313486232E+308 theta/vega/undPrice: -2.32185063930571E-04-1.61150856707719E-04-1.5785</t>
  </si>
  <si>
    <t>2014-11-26 15:54:1.374: RTWSControl  - tickOptionComputation - id:200043 tickType:13 impliedVol:7.12136046161618E-02 delta:-5.81603238374512E-02 optPrice:2.19261671444735E-04 pvDividend:0 gamma: 1.79769313486232E+308 theta/vega/undPrice: -2.32274251119672E-04-1.61151115274918E-04-1.5785</t>
  </si>
  <si>
    <t>2014-11-26 15:54:1.414: RTWSControl  - tickOptionComputation - id:200043 tickType:10 impliedVol:6.11807812672692E-02 delta:-3.35867214466805E-02 optPrice:9.99999974737875E-05 pvDividend:0 gamma: 1.79769313486232E+308 theta/vega/undPrice: -1.28139779289874E-04-1.18797488949517E-04-1.5785</t>
  </si>
  <si>
    <t>2014-11-26 15:54:1.456: RTWSControl  - tickOptionComputation - id:200044 tickType:13 impliedVol:6.54962909776771E-02 delta:0.858925088410108 optPrice:9.08046670374042E-03 pvDividend:0 gamma: 1.79769313486232E+308 theta/vega/undPrice: -4.13245755866111E-04-2.97736729130691E-04-1.5785</t>
  </si>
  <si>
    <t>2014-11-26 15:54:1.498: RTWSControl  - tickOptionComputation - id:200046 tickType:13 impliedVol:6.54962909776771E-02 delta:-0.141187594345363 optPrice:5.80588947282811E-04 pvDividend:0 gamma: 1.79769313486232E+308 theta/vega/undPrice: -4.13302571139095E-04-2.97737017616136E-04-1.5785</t>
  </si>
  <si>
    <t>2014-11-26 15:54:1.539: RTWSControl  - tickOptionComputation - id:200045 tickType:13 impliedVol:6.26442323199399E-02 delta:0.677942769448904 optPrice:5.11540482162564E-03 pvDividend:0 gamma: 1.79769313486232E+308 theta/vega/undPrice: -6.3304302757476E-04-4.45547767704612E-04-1.5785</t>
  </si>
  <si>
    <t>2014-11-26 15:54:1.585: RTWSControl  - tickOptionComputation - id:200047 tickType:13 impliedVol:6.26442323199399E-02 delta:-0.322170371975212 optPrice:1.61545756744981E-03 pvDividend:0 gamma: 1.79769313486232E+308 theta/vega/undPrice: -6.33068041310669E-04-4.45548406567848E-04-1.5785</t>
  </si>
  <si>
    <t>2014-11-26 15:54:1.627: RTWSControl  - tickOptionComputation - id:200055 tickType:13 impliedVol:6.26574286429218E-02 delta:0.422969643287532 optPrice:2.36334867541752E-03 pvDividend:0 gamma: 1.79769313486232E+308 theta/vega/undPrice: -6.92133353188566E-04-4.83442296397382E-04-1.5785</t>
  </si>
  <si>
    <t>2014-11-26 15:54:1.670: RTWSControl  - tickOptionComputation - id:200049 tickType:13 impliedVol:6.82618268727815E-02 delta:0.693436105722782 optPrice:1.18854873606092E-02 pvDividend:0 gamma: 1.79769313486232E+308 theta/vega/undPrice: -3.29174247441099E-04-9.14264988863071E-04-1.5785</t>
  </si>
  <si>
    <t>2014-11-26 15:54:1.738: RTWSControl  - tickOptionComputation - id:200050 tickType:13 impliedVol:6.82618268727815E-02 delta:-0.306634023250962 optPrice:3.38602531978319E-03 pvDividend:0 gamma: 1.79769313486232E+308 theta/vega/undPrice: -3.29234548557763E-04-9.14270547289504E-04-1.5785</t>
  </si>
  <si>
    <t>2014-11-26 15:54:1.784: RTWSControl  - tickOptionComputation - id:200051 tickType:13 impliedVol:0.070487901468014 delta:-0.310546849407517 optPrice:3.49936395060395E-03 pvDividend:0 gamma: 1.79769313486232E+308 theta/vega/undPrice: -3.43364504953296E-04-8.73227007763461E-04-1.5785</t>
  </si>
  <si>
    <t>2014-11-26 15:54:1.829: RTWSControl  - tickOptionComputation - id:200051 tickType:10 impliedVol:6.70410742831967E-02 delta:-0.301784774856367 optPrice:3.1999999191612E-03 pvDividend:0 gamma: 1.79769313486232E+308 theta/vega/undPrice: -3.2248558690492E-04-8.62293120250278E-04-1.5785</t>
  </si>
  <si>
    <t>2014-11-26 15:54:1.871: RTWSControl  - tickOptionComputation - id:200052 tickType:13 impliedVol:0.120895714006616 delta:-0.516253533293129 optPrice:1.26995383162341E-02 pvDividend:0 gamma: 1.79769313486232E+308 theta/vega/undPrice: -6.6486921083463E-04-9.85909661250815E-04-1.5785</t>
  </si>
  <si>
    <t>2014-11-26 15:54:1.912: RTWSControl  - tickOptionComputation - id:200052 tickType:10 impliedVol:1.79769313486232E+308 delta:1.79769313486232E+308 optPrice:1.79769313486232E+308 pvDividend:0 gamma: 1.79769313486232E+308 theta/vega/undPrice: 1.79769313486232E+308-1.79769313486232E+308-1.5785</t>
  </si>
  <si>
    <t>2014-11-26 15:54:1.949: RTWSControl  - tickOptionComputation - id:200052 tickType:11 impliedVol:1.79769313486232E+308 delta:1.79769313486232E+308 optPrice:1.79769313486232E+308 pvDividend:0 gamma: 1.79769313486232E+308 theta/vega/undPrice: 1.79769313486232E+308-1.79769313486232E+308-1.5785</t>
  </si>
  <si>
    <t>2014-11-26 15:54:1.989: RTWSControl  - tickOptionComputation - id:200048 tickType:13 impliedVol:8.27200501951424E-02 delta:-2.87772582039072E-02 optPrice:2.33989665749712E-04 pvDividend:0 gamma: 1.79769313486232E+308 theta/vega/undPrice: -7.40853461283528E-05-1.89810947978266E-04-1.5785</t>
  </si>
  <si>
    <t>2014-11-26 15:54:2.35: RTWSControl  - tickOptionComputation - id:200053 tickType:13 impliedVol:6.37457235406416E-02 delta:0.090407587983634 optPrice:6.73389752779716E-04 pvDividend:0 gamma: 1.79769313486232E+308 theta/vega/undPrice: -1.42120144281742E-04-4.4733530486923E-04-1.5785</t>
  </si>
  <si>
    <t>2014-11-26 15:54:2.75: RTWSControl  - tickOptionComputation - id:200054 tickType:13 impliedVol:6.91717401987155E-02 delta:1.50451091255039E-03 optPrice:7.58130230074966E-06 pvDividend:0 gamma: 0.280542624072471 theta/vega/undPrice: -4.58045500098189E-06-2.1652963615985E-05-1.5785</t>
  </si>
  <si>
    <t>2014-11-26 15:54:2.117: RTWSControl  - tickOptionComputation - id:200054 tickType:10 impliedVol:1.79769313486232E+308 delta:1.79769313486232E+308 optPrice:1.79769313486232E+308 pvDividend:0 gamma: 1.79769313486232E+308 theta/vega/undPrice: 1.79769313486232E+308-1.79769313486232E+308-1.5785</t>
  </si>
  <si>
    <t>2014-11-26 15:54:2.452: RTWSControl  - tickOptionComputation - id:200052 tickType:10 impliedVol:1.79769313486232E+308 delta:1.79769313486232E+308 optPrice:1.79769313486232E+308 pvDividend:0 gamma: 1.79769313486232E+308 theta/vega/undPrice: 1.79769313486232E+308-1.79769313486232E+308-1.5785</t>
  </si>
  <si>
    <t>2014-11-26 15:54:2.491: RTWSControl  - tickOptionComputation - id:200052 tickType:11 impliedVol:1.79769313486232E+308 delta:1.79769313486232E+308 optPrice:1.79769313486232E+308 pvDividend:0 gamma: 1.79769313486232E+308 theta/vega/undPrice: 1.79769313486232E+308-1.79769313486232E+308-1.5785</t>
  </si>
  <si>
    <t>2014-11-26 15:54:2.536: RTWSControl  - tickOptionComputation - id:200054 tickType:10 impliedVol:1.79769313486232E+308 delta:1.79769313486232E+308 optPrice:1.79769313486232E+308 pvDividend:0 gamma: 1.79769313486232E+308 theta/vega/undPrice: 1.79769313486232E+308-1.79769313486232E+308-1.5785</t>
  </si>
  <si>
    <t>2014-11-26 15:54:2.789: RTWSControl  - tickOptionComputation - id:200049 tickType:13 impliedVol:6.82504826922354E-02 delta:0.693466088539556 optPrice:1.18844501994639E-02 pvDividend:0 gamma: 1.79769313486232E+308 theta/vega/undPrice: -3.2910732257136E-04-9.14264993816156E-04-1.5785</t>
  </si>
  <si>
    <t>2014-11-26 15:54:2.864: RTWSControl  - tickOptionComputation - id:200050 tickType:13 impliedVol:6.82504826922354E-02 delta:-0.306604040228216 optPrice:3.38498815233666E-03 pvDividend:0 gamma: 1.79769313486232E+308 theta/vega/undPrice: -3.29167622711717E-04-9.14270552226553E-04-1.5785</t>
  </si>
  <si>
    <t>2014-11-26 15:54:2.908: RTWSControl  - tickOptionComputation - id:200048 tickType:13 impliedVol:8.27058011554804E-02 delta:-2.87540831401149E-02 optPrice:2.33734149853463E-04 pvDividend:0 gamma: 1.79769313486232E+308 theta/vega/undPrice: -7.40233695704898E-05-1.89649571524247E-04-1.5785</t>
  </si>
  <si>
    <t>2014-11-26 15:54:2.953: RTWSControl  - tickOptionComputation - id:200053 tickType:13 impliedVol:6.37478058751295E-02 delta:9.04154376970571E-02 optPrice:6.73482903152845E-04 pvDividend:0 gamma: 1.79769313486232E+308 theta/vega/undPrice: -1.42133617529961E-04-4.47335304475192E-04-1.5785</t>
  </si>
  <si>
    <t>2014-11-26 15:54:2.992: RTWSControl  - tickOptionComputation - id:200054 tickType:13 impliedVol:6.91977707041591E-02 delta:1.50926681771014E-03 optPrice:7.60936774609562E-06 pvDividend:0 gamma: 0.281268066701491 theta/vega/undPrice: -4.5957563530958E-06-2.16903839182522E-05-1.5785</t>
  </si>
  <si>
    <t>2014-11-26 15:54:3.38: RTWSControl  - tickOptionComputation - id:200052 tickType:10 impliedVol:1.79769313486232E+308 delta:1.79769313486232E+308 optPrice:1.79769313486232E+308 pvDividend:0 gamma: 1.79769313486232E+308 theta/vega/undPrice: 1.79769313486232E+308-1.79769313486232E+308-1.5785</t>
  </si>
  <si>
    <t>2014-11-26 15:54:3.73: RTWSControl  - tickOptionComputation - id:200052 tickType:11 impliedVol:1.79769313486232E+308 delta:1.79769313486232E+308 optPrice:1.79769313486232E+308 pvDividend:0 gamma: 1.79769313486232E+308 theta/vega/undPrice: 1.79769313486232E+308-1.79769313486232E+308-1.5785</t>
  </si>
  <si>
    <t>2014-11-26 15:54:3.115: RTWSControl  - tickOptionComputation - id:200054 tickType:10 impliedVol:1.79769313486232E+308 delta:1.79769313486232E+308 optPrice:1.79769313486232E+308 pvDividend:0 gamma: 1.79769313486232E+308 theta/vega/undPrice: 1.79769313486232E+308-1.79769313486232E+308-1.5785</t>
  </si>
  <si>
    <t>2014-11-26 15:54:4.690: RTWSControl  - tickOptionComputation - id:200052 tickType:10 impliedVol:1.79769313486232E+308 delta:1.79769313486232E+308 optPrice:1.79769313486232E+308 pvDividend:0 gamma: 1.79769313486232E+308 theta/vega/undPrice: 1.79769313486232E+308-1.79769313486232E+308-1.5785</t>
  </si>
  <si>
    <t>2014-11-26 15:54:4.737: RTWSControl  - tickOptionComputation - id:200052 tickType:11 impliedVol:1.79769313486232E+308 delta:1.79769313486232E+308 optPrice:1.79769313486232E+308 pvDividend:0 gamma: 1.79769313486232E+308 theta/vega/undPrice: 1.79769313486232E+308-1.79769313486232E+308-1.5785</t>
  </si>
  <si>
    <t>2014-11-26 15:54:4.796: RTWSControl  - tickOptionComputation - id:200054 tickType:10 impliedVol:1.79769313486232E+308 delta:1.79769313486232E+308 optPrice:1.79769313486232E+308 pvDividend:0 gamma: 1.79769313486232E+308 theta/vega/undPrice: 1.79769313486232E+308-1.79769313486232E+308-1.5785</t>
  </si>
  <si>
    <t>2014-11-26 15:54:6.421: RTWSControl  - tickOptionComputation - id:200049 tickType:13 impliedVol:6.82618268727815E-02 delta:0.693436105722782 optPrice:1.18854873606092E-02 pvDividend:0 gamma: 1.79769313486232E+308 theta/vega/undPrice: -3.29174247441099E-04-9.14264988863071E-04-1.5785</t>
  </si>
  <si>
    <t>2014-11-26 15:54:6.479: RTWSControl  - tickOptionComputation - id:200050 tickType:13 impliedVol:6.82618268727815E-02 delta:-0.306634023250962 optPrice:3.38602531978319E-03 pvDividend:0 gamma: 1.79769313486232E+308 theta/vega/undPrice: -3.29234548557763E-04-9.14270547289504E-04-1.5785</t>
  </si>
  <si>
    <t>2014-11-26 15:54:6.545: RTWSControl  - tickOptionComputation - id:200052 tickType:10 impliedVol:1.79769313486232E+308 delta:1.79769313486232E+308 optPrice:1.79769313486232E+308 pvDividend:0 gamma: 1.79769313486232E+308 theta/vega/undPrice: 1.79769313486232E+308-1.79769313486232E+308-1.5785</t>
  </si>
  <si>
    <t>2014-11-26 15:54:6.574: RTWSControl  - tickOptionComputation - id:200052 tickType:11 impliedVol:1.79769313486232E+308 delta:1.79769313486232E+308 optPrice:1.79769313486232E+308 pvDividend:0 gamma: 1.79769313486232E+308 theta/vega/undPrice: 1.79769313486232E+308-1.79769313486232E+308-1.5785</t>
  </si>
  <si>
    <t>2014-11-26 15:54:6.614: RTWSControl  - tickOptionComputation - id:200048 tickType:13 impliedVol:8.27200501951424E-02 delta:-2.87772582039072E-02 optPrice:2.33989665749712E-04 pvDividend:0 gamma: 1.79769313486232E+308 theta/vega/undPrice: -7.40853461283528E-05-1.89810947978266E-04-1.5785</t>
  </si>
  <si>
    <t>2014-11-26 15:54:6.660: RTWSControl  - tickOptionComputation - id:200053 tickType:13 impliedVol:6.37457235406416E-02 delta:0.090407587983634 optPrice:6.73389752779716E-04 pvDividend:0 gamma: 1.79769313486232E+308 theta/vega/undPrice: -1.42120144281742E-04-4.4733530486923E-04-1.5785</t>
  </si>
  <si>
    <t>2014-11-26 15:54:6.701: RTWSControl  - tickOptionComputation - id:200054 tickType:13 impliedVol:6.91717401987155E-02 delta:1.50451091255039E-03 optPrice:7.58130230074966E-06 pvDividend:0 gamma: 0.280542624072471 theta/vega/undPrice: -4.58045500098189E-06-2.1652963615985E-05-1.5785</t>
  </si>
  <si>
    <t>2014-11-26 15:54:6.741: RTWSControl  - tickOptionComputation - id:200054 tickType:10 impliedVol:1.79769313486232E+308 delta:1.79769313486232E+308 optPrice:1.79769313486232E+308 pvDividend:0 gamma: 1.79769313486232E+308 theta/vega/undPrice: 1.79769313486232E+308-1.79769313486232E+308-1.5785</t>
  </si>
  <si>
    <t>2014-11-26 15:54:6.827: DirectionIndicator - notify - price/longMA/ShortMA/prevDirection are 1.5786/1.57857231613261/1.57855559749289/-1</t>
  </si>
  <si>
    <t>2014-11-26 15:54:6.827: Algorithm - handleTransition - currentHedgeShortfall is NOT ZERO and AUTOHEDGE IS NOT ENABLED!</t>
  </si>
  <si>
    <t>2014-11-26 15:54:6.868: DirectionIndicator - notify - price/longMA/ShortMA/prevDirection are 1.57865/1.57858644047214/1.57858706499526/-1</t>
  </si>
  <si>
    <t>2014-11-26 15:54:6.871: Algorithm - handleTransition - currentHedgeShortfall is NOT ZERO and AUTOHEDGE IS NOT ENABLED!</t>
  </si>
  <si>
    <t>2014-11-26 15:54:7.367: DirectionIndicator - notify - price/longMA/ShortMA/prevDirection are 1.5786/1.57858890584084/1.57859137666351/-1</t>
  </si>
  <si>
    <t>2014-11-26 15:54:7.368: Algorithm - handleTransition - currentHedgeShortfall is NOT ZERO and AUTOHEDGE IS NOT ENABLED!</t>
  </si>
  <si>
    <t>2014-11-26 15:54:7.653: DirectionIndicator - notify - price/longMA/ShortMA/prevDirection are 1.57865/1.57860001386978/1.57861091777567/-1</t>
  </si>
  <si>
    <t>2014-11-26 15:54:7.653: Algorithm - handleTransition - currentHedgeShortfall is NOT ZERO and AUTOHEDGE IS NOT ENABLED!</t>
  </si>
  <si>
    <t>2014-11-26 15:54:7.985: RTWSControl  - tickOptionComputation - id:200042 tickType:13 impliedVol:7.97961732353656E-02 delta:-2.59176215567883E-02 optPrice:9.71133800378134E-05 pvDividend:0 gamma: 1.79769313486232E+308 theta/vega/undPrice: -1.34887598452673E-04-8.78173076088275E-05-1.5786</t>
  </si>
  <si>
    <t>2014-11-26 15:54:8.36: RTWSControl  - tickOptionComputation - id:200041 tickType:13 impliedVol:7.12136046161618E-02 delta:0.943312103535465 optPrice:0.013813153651541 pvDividend:0 gamma: 1.79769313486232E+308 theta/vega/undPrice: -2.27881617562283E-04-1.56988063319681E-04-1.5786</t>
  </si>
  <si>
    <t>2014-11-26 15:54:8.77: RTWSControl  - tickOptionComputation - id:200043 tickType:13 impliedVol:7.12136046161618E-02 delta:-5.68004144032646E-02 optPrice:2.13348171469918E-04 pvDividend:0 gamma: 1.79769313486232E+308 theta/vega/undPrice: -2.27971458631234E-04-1.56988318511708E-04-1.5786</t>
  </si>
  <si>
    <t>2014-11-26 15:54:8.119: RTWSControl  - tickOptionComputation - id:200044 tickType:13 impliedVol:6.54962909776771E-02 delta:0.861992288186411 optPrice:9.16441554859547E-03 pvDividend:0 gamma: 1.79769313486232E+308 theta/vega/undPrice: -4.07567618521788E-04-2.97746160214779E-04-1.5786</t>
  </si>
  <si>
    <t>2014-11-26 15:54:8.161: RTWSControl  - tickOptionComputation - id:200046 tickType:13 impliedVol:6.54962909776771E-02 delta:-0.138120391367622 optPrice:5.64539208138775E-04 pvDividend:0 gamma: 1.79769313486232E+308 theta/vega/undPrice: -4.07625082168566E-04-2.97746448689548E-04-1.5786</t>
  </si>
  <si>
    <t>2014-11-26 15:54:8.204: RTWSControl  - tickOptionComputation - id:200045 tickType:13 impliedVol:6.26442323199399E-02 delta:0.682742195075383 optPrice:5.18190178410527E-03 pvDividend:0 gamma: 1.79769313486232E+308 theta/vega/undPrice: -6.29413011950277E-04-4.455618807619E-04-1.5786</t>
  </si>
  <si>
    <t>2014-11-26 15:54:8.244: RTWSControl  - tickOptionComputation - id:200047 tickType:13 impliedVol:6.26442323199399E-02 delta:-0.317370938758468 optPrice:1.58195592297888E-03 pvDividend:0 gamma: 1.79769313486232E+308 theta/vega/undPrice: -6.294386674228E-04-4.4556251928968E-04-1.5786</t>
  </si>
  <si>
    <t>2014-11-26 15:54:8.286: RTWSControl  - tickOptionComputation - id:200055 tickType:13 impliedVol:6.26574286429218E-02 delta:0.428177307311697 optPrice:2.40783020320195E-03 pvDividend:0 gamma: 1.79769313486232E+308 theta/vega/undPrice: -6.93474995009957E-04-4.8345760811965E-04-1.5786</t>
  </si>
  <si>
    <t>2014-11-26 15:54:8.325: RTWSControl  - tickOptionComputation - id:200049 tickType:13 impliedVol:6.82618268727815E-02 delta:0.695574778519251 optPrice:1.19520907961069E-02 pvDividend:0 gamma: 1.79769313486232E+308 theta/vega/undPrice: -3.28321768576878E-04-9.14293955635397E-04-1.5786</t>
  </si>
  <si>
    <t>2014-11-26 15:54:8.368: RTWSControl  - tickOptionComputation - id:200050 tickType:13 impliedVol:6.82618268727815E-02 delta:-0.304495335730461 optPrice:3.3526346390817E-03 pvDividend:0 gamma: 1.79769313486232E+308 theta/vega/undPrice: -3.2838271016312E-04-9.14299513573424E-04-1.5786</t>
  </si>
  <si>
    <t>2014-11-26 15:54:8.409: RTWSControl  - tickOptionComputation - id:200051 tickType:13 impliedVol:0.070487901468014 delta:-0.308524701313729 optPrice:3.46841433102764E-03 pvDividend:0 gamma: 1.79769313486232E+308 theta/vega/undPrice: -3.42408531471731E-04-8.70795470085227E-04-1.5786</t>
  </si>
  <si>
    <t>2014-11-26 15:54:8.451: RTWSControl  - tickOptionComputation - id:200052 tickType:13 impliedVol:0.120895714006616 delta:-0.514920400590092 optPrice:1.26479892045502E-02 pvDividend:0 gamma: 1.79769313486232E+308 theta/vega/undPrice: -6.64998391971608E-04-9.86100692027664E-04-1.5786</t>
  </si>
  <si>
    <t>2014-11-26 15:54:8.493: RTWSControl  - tickOptionComputation - id:200048 tickType:13 impliedVol:8.27200501951424E-02 delta:-2.84310645835359E-02 optPrice:2.3079170704472E-04 pvDividend:0 gamma: 1.79769313486232E+308 theta/vega/undPrice: -7.33546742765474E-05-1.87149730193326E-04-1.5786</t>
  </si>
  <si>
    <t>2014-11-26 15:54:8.536: RTWSControl  - tickOptionComputation - id:200053 tickType:13 impliedVol:6.37457235406416E-02 delta:9.15289681035872E-02 optPrice:6.83611085291252E-04 pvDividend:0 gamma: 1.79769313486232E+308 theta/vega/undPrice: -1.43390561549288E-04-4.47349476917012E-04-1.5786</t>
  </si>
  <si>
    <t>2014-11-26 15:54:8.575: RTWSControl  - tickOptionComputation - id:200054 tickType:13 impliedVol:6.91717401987155E-02 delta:1.52940441768096E-03 optPrice:7.7137467996991E-06 pvDividend:0 gamma: 0.284876012833786 theta/vega/undPrice: -4.65179603279879E-06-2.18567828358415E-05-1.5786</t>
  </si>
  <si>
    <t>2014-11-26 15:54:8.693: DirectionIndicator - notify - price/longMA/ShortMA/prevDirection are 1.5786/1.578600011348/1.57860727851711/-1</t>
  </si>
  <si>
    <t>2014-11-26 15:54:8.693: Algorithm - handleTransition - currentHedgeShortfall is NOT ZERO and AUTOHEDGE IS NOT ENABLED!</t>
  </si>
  <si>
    <t>2014-11-26 15:54:8.944: RTWSControl  - tickOptionComputation - id:200042 tickType:10 impliedVol:9.11303409524406E-02 delta:-4.36426060930848E-02 optPrice:1.99999994947575E-04 pvDividend:0 gamma: 1.79769313486232E+308 theta/vega/undPrice: -2.38271793953878E-04-1.43280662493529E-04-1.5786</t>
  </si>
  <si>
    <t>2014-11-26 15:54:8.994: RTWSControl  - tickOptionComputation - id:200042 tickType:11 impliedVol:9.11303409524406E-02 delta:-4.36426060930848E-02 optPrice:1.99999994947575E-04 pvDividend:0 gamma: 1.79769313486232E+308 theta/vega/undPrice: -2.38271793953878E-04-1.43280662493529E-04-1.5786</t>
  </si>
  <si>
    <t>2014-11-26 15:54:9.40: RTWSControl  - tickOptionComputation - id:200041 tickType:10 impliedVol:0.013050634765591 delta:0.99998599906965 optPrice:1.36000001803041E-02 pvDividend:0 gamma: 5.61068450617081E-10 theta/vega/undPrice: 8.95051978089334E-08-8.0271924524089E-11-1.5786</t>
  </si>
  <si>
    <t>2014-11-26 15:54:9.80: RTWSControl  - tickOptionComputation - id:200041 tickType:11 impliedVol:8.25874638737774E-02 delta:0.914391879171414 optPrice:1.40000004321337E-02 pvDividend:0 gamma: 1.79769313486232E+308 theta/vega/undPrice: -3.63800171696289E-04-2.15265247481243E-04-1.5786</t>
  </si>
  <si>
    <t>2014-11-26 15:54:9.127: RTWSControl  - tickOptionComputation - id:200043 tickType:10 impliedVol:6.14524082352938E-02 delta:-3.32015036141346E-02 optPrice:9.99999974737875E-05 pvDividend:0 gamma: 1.79769313486232E+308 theta/vega/undPrice: -1.27470076859265E-04-1.17621232880093E-04-1.5786</t>
  </si>
  <si>
    <t>2014-11-26 15:54:9.170: RTWSControl  - tickOptionComputation - id:200043 tickType:11 impliedVol:7.72392654526567E-02 delta:-7.12546991686086E-02 optPrice:3.00000014249235E-04 pvDividend:0 gamma: 1.79769313486232E+308 theta/vega/undPrice: -2.9707315108571E-04-2.00225459920041E-04-1.5786</t>
  </si>
  <si>
    <t>2014-11-26 15:54:9.235: RTWSControl  - tickOptionComputation - id:200044 tickType:10 impliedVol:6.33313683775445E-02 delta:0.870904952500315 optPrice:9.10000037401915E-03 pvDividend:0 gamma: 1.79769313486232E+308 theta/vega/undPrice: -3.7787399767257E-04-2.97746230080529E-04-1.5786</t>
  </si>
  <si>
    <t>2014-11-26 15:54:9.286: RTWSControl  - tickOptionComputation - id:200044 tickType:11 impliedVol:7.33921540834086E-02 delta:0.833500443790114 optPrice:9.39999986439943E-03 pvDividend:0 gamma: 1.79769313486232E+308 theta/vega/undPrice: -5.15865496770376E-04-2.97745904686515E-04-1.5786</t>
  </si>
  <si>
    <t>2014-11-26 15:54:9.332: RTWSControl  - tickOptionComputation - id:200046 tickType:10 impliedVol:6.33185766461924E-02 delta:-0.129026124172916 optPrice:5.00000023748726E-04 pvDividend:0 gamma: 1.79769313486232E+308 theta/vega/undPrice: -3.77755955802308E-04-2.97746518917211E-04-1.5786</t>
  </si>
  <si>
    <t>2014-11-26 15:54:9.371: RTWSControl  - tickOptionComputation - id:200046 tickType:11 impliedVol:7.00525597206068E-02 delta:-0.155263977049835 optPrice:6.99999975040555E-04 pvDividend:0 gamma: 1.79769313486232E+308 theta/vega/undPrice: -4.701179775564E-04-2.97746301905074E-04-1.5786</t>
  </si>
  <si>
    <t>2014-11-26 15:54:9.418: RTWSControl  - tickOptionComputation - id:200045 tickType:10 impliedVol:6.08068942846393E-02 delta:0.687856214122128 optPrice:5.10000018402934E-03 pvDividend:0 gamma: 1.79769313486232E+308 theta/vega/undPrice: -6.07094328302195E-04-4.45561964272082E-04-1.5786</t>
  </si>
  <si>
    <t>2014-11-26 15:54:9.460: RTWSControl  - tickOptionComputation - id:200045 tickType:11 impliedVol:6.75285878361297E-02 delta:0.670214286941171 optPrice:5.40000014007092E-03 pvDividend:0 gamma: 1.79769313486232E+308 theta/vega/undPrice: -6.88744659319756E-04-4.45561649618213E-04-1.5786</t>
  </si>
  <si>
    <t>2014-11-26 15:54:9.528: RTWSControl  - tickOptionComputation - id:200047 tickType:10 impliedVol:6.07951293328605E-02 delta:-0.312096144083323 optPrice:1.50000001303852E-03 pvDividend:0 gamma: 1.79769313486232E+308 theta/vega/undPrice: -6.06976995982384E-04-4.45562602979188E-04-1.5786</t>
  </si>
  <si>
    <t>2014-11-26 15:54:9.577: RTWSControl  - tickOptionComputation - id:200047 tickType:11 impliedVol:6.52982198416411E-02 delta:-0.324323333596518 optPrice:1.70000002253801E-03 pvDividend:0 gamma: 1.79769313486232E+308 theta/vega/undPrice: -6.61677521813977E-04-4.45562395849143E-04-1.5786</t>
  </si>
  <si>
    <t>2014-11-26 15:54:9.623: RTWSControl  - tickOptionComputation - id:200055 tickType:10 impliedVol:5.83589225486881E-02 delta:0.422691203685253 optPrice:2.19999998807907E-03 pvDividend:0 gamma: 1.79769313486232E+308 theta/vega/undPrice: -6.4463365529797E-04-4.83457815553991E-04-1.5786</t>
  </si>
  <si>
    <t>2014-11-26 15:54:9.662: RTWSControl  - tickOptionComputation - id:200055 tickType:11 impliedVol:6.24749011717185E-02 delta:0.427907524766443 optPrice:2.40000011399388E-03 pvDividend:0 gamma: 1.79769313486232E+308 theta/vega/undPrice: -6.91401046266569E-04-4.83457617198783E-04-1.5786</t>
  </si>
  <si>
    <t>2014-11-26 15:54:9.707: RTWSControl  - tickOptionComputation - id:200049 tickType:10 impliedVol:6.87858290473782E-02 delta:0.694096705796468 optPrice:1.20000001043081E-02 pvDividend:0 gamma: 1.79769313486232E+308 theta/vega/undPrice: -3.3141321069321E-04-9.1429372577813E-04-1.5786</t>
  </si>
  <si>
    <t>2014-11-26 15:54:9.753: RTWSControl  - tickOptionComputation - id:200049 tickType:11 impliedVol:7.09706388896091E-02 delta:0.688524260784546 optPrice:1.21999997645617E-02 pvDividend:0 gamma: 1.79769313486232E+308 theta/vega/undPrice: -3.44302856441365E-04-9.14292753113761E-04-1.5786</t>
  </si>
  <si>
    <t>2014-11-26 15:54:9.820: RTWSControl  - tickOptionComputation - id:200050 tickType:10 impliedVol:6.87772731985029E-02 delta:-0.305824447056575 optPrice:3.40000004507601E-03 pvDividend:0 gamma: 1.79769313486232E+308 theta/vega/undPrice: -3.31423719952378E-04-9.14299287721098E-04-1.5786</t>
  </si>
  <si>
    <t>2014-11-26 15:54:9.866: RTWSControl  - tickOptionComputation - id:200050 tickType:11 impliedVol:6.98709642128871E-02 delta:-0.308658727935973 optPrice:3.50000010803342E-03 pvDividend:0 gamma: 1.79769313486232E+308 theta/vega/undPrice: -3.37876228745064E-04-9.14298804903933E-04-1.5786</t>
  </si>
  <si>
    <t>2014-11-26 15:54:9.913: RTWSControl  - tickOptionComputation - id:200051 tickType:10 impliedVol:6.73867833871645E-02 delta:-0.300604159605915 optPrice:3.1999999191612E-03 pvDividend:0 gamma: 1.79769313486232E+308 theta/vega/undPrice: -3.23597270509202E-04-8.60826444138495E-04-1.5786</t>
  </si>
  <si>
    <t>2014-11-26 15:54:9.953: RTWSControl  - tickOptionComputation - id:200051 tickType:11 impliedVol:7.08478767556472E-02 delta:-0.309360920574664 optPrice:3.50000010803342E-03 pvDividend:0 gamma: 1.79769313486232E+308 theta/vega/undPrice: -3.44583966972956E-04-8.71875491370902E-04-1.5786</t>
  </si>
  <si>
    <t>2014-11-26 15:54:9.998: RTWSControl  - tickOptionComputation - id:200052 tickType:10 impliedVol:1.79769313486232E+308 delta:1.79769313486232E+308 optPrice:1.79769313486232E+308 pvDividend:0 gamma: 1.79769313486232E+308 theta/vega/undPrice: 1.79769313486232E+308-1.79769313486232E+308-1.5786</t>
  </si>
  <si>
    <t>2014-11-26 15:54:10.34: RTWSControl  - tickOptionComputation - id:200052 tickType:11 impliedVol:1.79769313486232E+308 delta:1.79769313486232E+308 optPrice:1.79769313486232E+308 pvDividend:0 gamma: 1.79769313486232E+308 theta/vega/undPrice: 1.79769313486232E+308-1.79769313486232E+308-1.5786</t>
  </si>
  <si>
    <t>2014-11-26 15:54:10.76: RTWSControl  - tickOptionComputation - id:200048 tickType:10 impliedVol:8.10314120391975E-02 delta:-2.56172951143729E-02 optPrice:1.99999994947575E-04 pvDividend:0 gamma: 1.79769313486232E+308 theta/vega/undPrice: -6.60096623489856E-05-1.79326850727613E-04-1.5786</t>
  </si>
  <si>
    <t>2014-11-26 15:54:10.121: RTWSControl  - tickOptionComputation - id:200048 tickType:11 impliedVol:8.65761085774246E-02 delta:-3.44322010064162E-02 optPrice:3.00000014249235E-04 pvDividend:0 gamma: 1.79769313486232E+308 theta/vega/undPrice: -9.01272039403157E-05-2.30822544549776E-04-1.5786</t>
  </si>
  <si>
    <t>2014-11-26 15:54:10.168: RTWSControl  - tickOptionComputation - id:200053 tickType:10 impliedVol:6.18743535521905E-02 delta:0.084285200947268 optPrice:6.00000028498471E-04 pvDividend:0 gamma: 1.79769313486232E+308 theta/vega/undPrice: -1.31281917083455E-04-4.47349831529341E-04-1.5786</t>
  </si>
  <si>
    <t>2014-11-26 15:54:10.210: RTWSControl  - tickOptionComputation - id:200053 tickType:11 impliedVol:6.40949690637638E-02 delta:9.28205171693877E-02 optPrice:6.99999975040555E-04 pvDividend:0 gamma: 1.79769313486232E+308 theta/vega/undPrice: -1.45650342616329E-04-4.47349411391075E-04-1.5786</t>
  </si>
  <si>
    <t>2014-11-26 15:54:10.276: RTWSControl  - tickOptionComputation - id:200054 tickType:10 impliedVol:1.79769313486232E+308 delta:1.79769313486232E+308 optPrice:1.79769313486232E+308 pvDividend:0 gamma: 1.79769313486232E+308 theta/vega/undPrice: 1.79769313486232E+308-1.79769313486232E+308-1.5786</t>
  </si>
  <si>
    <t>2014-11-26 15:54:10.292: RTWSControl  - tickOptionComputation - id:200054 tickType:11 impliedVol:9.09262055091595E-02 delta:1.24917879606971E-02 optPrice:9.99999974737875E-05 pvDividend:0 gamma: 1.79769313486232E+308 theta/vega/undPrice: -4.01057078465611E-05-1.03776189213304E-04-1.5786</t>
  </si>
  <si>
    <t>2014-11-26 15:54:10.443: DirectionIndicator - notify - price/longMA/ShortMA/prevDirection are 1.57865/1.57860910019382/1.57862151901141/-1</t>
  </si>
  <si>
    <t>2014-11-26 15:54:10.443: Algorithm - handleTransition - currentHedgeShortfall is NOT ZERO and AUTOHEDGE IS NOT ENABLED!</t>
  </si>
  <si>
    <t>2014-11-26 15:54:11.408: DirectionIndicator - notify - price/longMA/ShortMA/prevDirection are 1.5786/1.57860744561312/1.57861434600761/-1</t>
  </si>
  <si>
    <t>2014-11-26 15:54:11.408: Algorithm - handleTransition - currentHedgeShortfall is NOT ZERO and AUTOHEDGE IS NOT ENABLED!</t>
  </si>
  <si>
    <t>2014-11-26 15:54:11.661: RTWSControl  - tickOptionComputation - id:200042 tickType:13 impliedVol:7.97961732353656E-02 delta:-2.51752196039107E-02 optPrice:9.38902566036101E-05 pvDividend:0 gamma: 1.79769313486232E+308 theta/vega/undPrice: -1.31774943794015E-04-8.78200888529008E-05-1.5787</t>
  </si>
  <si>
    <t>2014-11-26 15:54:11.737: RTWSControl  - tickOptionComputation - id:200041 tickType:13 impliedVol:7.12136046161618E-02 delta:0.944671839694892 optPrice:1.39072387264114E-02 pvDividend:0 gamma: 1.79769313486232E+308 theta/vega/undPrice: -2.23578171194035E-04-1.52825269931938E-04-1.5787</t>
  </si>
  <si>
    <t>2014-11-26 15:54:11.785: RTWSControl  - tickOptionComputation - id:200043 tickType:13 impliedVol:7.12136046161618E-02 delta:-5.54406772514785E-02 optPrice:2.07434671495427E-04 pvDividend:0 gamma: 1.79769313486232E+308 theta/vega/undPrice: -2.23668666145218E-04-1.52825521748186E-04-1.5787</t>
  </si>
  <si>
    <t>2014-11-26 15:54:11.830: RTWSControl  - tickOptionComputation - id:200044 tickType:13 impliedVol:6.54962909776771E-02 delta:0.865059099389863 optPrice:9.24836439345049E-03 pvDividend:0 gamma: 1.79769313486232E+308 theta/vega/undPrice: -4.01889481177425E-04-2.97755591298883E-04-1.5787</t>
  </si>
  <si>
    <t>2014-11-26 15:54:11.871: RTWSControl  - tickOptionComputation - id:200046 tickType:13 impliedVol:6.54962909776771E-02 delta:-0.135053576963152 optPrice:5.48489468994805E-04 pvDividend:0 gamma: 1.79769313486232E+308 theta/vega/undPrice: -4.01947593198082E-04-2.97755879762823E-04-1.5787</t>
  </si>
  <si>
    <t>2014-11-26 15:54:11.911: RTWSControl  - tickOptionComputation - id:200045 tickType:13 impliedVol:6.26442323199399E-02 delta:0.68754101267934 optPrice:5.24839874658482E-03 pvDividend:0 gamma: 1.79769313486232E+308 theta/vega/undPrice: -6.25782996325743E-04-4.45575993819312E-04-1.5787</t>
  </si>
  <si>
    <t>2014-11-26 15:54:11.952: RTWSControl  - tickOptionComputation - id:200047 tickType:13 impliedVol:6.26442323199399E-02 delta:-0.312572113565199 optPrice:1.54845427850793E-03 pvDividend:0 gamma: 1.79769313486232E+308 theta/vega/undPrice: -6.25809293535063E-04-4.45576632011467E-04-1.5787</t>
  </si>
  <si>
    <t>2014-11-26 15:54:11.994: RTWSControl  - tickOptionComputation - id:200055 tickType:13 impliedVol:6.26574286429218E-02 delta:0.433384311595054 optPrice:2.45231173098636E-03 pvDividend:0 gamma: 1.79769313486232E+308 theta/vega/undPrice: -6.94816636831337E-04-4.83472919841842E-04-1.5787</t>
  </si>
  <si>
    <t>2014-11-26 15:54:12.34: RTWSControl  - tickOptionComputation - id:200049 tickType:13 impliedVol:6.82618268727815E-02 delta:0.697713180374718 optPrice:1.20186942316046E-02 pvDividend:0 gamma: 1.79769313486232E+308 theta/vega/undPrice: -3.27469289712648E-04-9.14322922407779E-04-1.5787</t>
  </si>
  <si>
    <t>2014-11-26 15:54:12.76: RTWSControl  - tickOptionComputation - id:200050 tickType:13 impliedVol:6.82618268727815E-02 delta:-0.302356919152817 optPrice:3.31924395838012E-03 pvDividend:0 gamma: 1.79769313486232E+308 theta/vega/undPrice: -3.27530871768461E-04-9.14328480516861E-04-1.5787</t>
  </si>
  <si>
    <t>2014-11-26 15:54:12.116: RTWSControl  - tickOptionComputation - id:200051 tickType:13 impliedVol:0.070487901468014 delta:-0.30650847241803 optPrice:3.43766658726769E-03 pvDividend:0 gamma: 1.79769313486232E+308 theta/vega/undPrice: -3.41444048091299E-04-8.68342295298562E-04-1.5787</t>
  </si>
  <si>
    <t>2014-11-26 15:54:12.159: RTWSControl  - tickOptionComputation - id:200052 tickType:13 impliedVol:0.120895714006616 delta:-0.513587185558448 optPrice:1.25965735542368E-02 pvDividend:0 gamma: 1.79769313486232E+308 theta/vega/undPrice: -6.65120151264223E-04-9.86280719915013E-04-1.5787</t>
  </si>
  <si>
    <t>2014-11-26 15:54:12.200: RTWSControl  - tickOptionComputation - id:200048 tickType:13 impliedVol:8.27200501951424E-02 delta:-2.80849148212286E-02 optPrice:2.27593748339736E-04 pvDividend:0 gamma: 1.79769313486232E+308 theta/vega/undPrice: -7.26240024247444E-05-1.84488512408346E-04-1.5787</t>
  </si>
  <si>
    <t>2014-11-26 15:54:12.244: RTWSControl  - tickOptionComputation - id:200053 tickType:13 impliedVol:6.37457235406416E-02 delta:9.26502061597992E-02 optPrice:6.93832417802761E-04 pvDividend:0 gamma: 1.79769313486232E+308 theta/vega/undPrice: -1.44660978816832E-04-4.473636489648E-04-1.5787</t>
  </si>
  <si>
    <t>2014-11-26 15:54:12.284: RTWSControl  - tickOptionComputation - id:200054 tickType:13 impliedVol:6.91717401987155E-02 delta:1.5542947691401E-03 optPrice:7.8461912986483E-06 pvDividend:0 gamma: 0.289208301414753 theta/vega/undPrice: -4.72313706461556E-06-2.20606020557005E-05-1.5787</t>
  </si>
  <si>
    <t>2014-11-26 15:54:12.443: RTWSControl  - tickOptionComputation - id:200042 tickType:10 impliedVol:9.15423511487342E-02 delta:-0.043478541787004 optPrice:1.99999994947575E-04 pvDividend:0 gamma: 1.79769313486232E+308 theta/vega/undPrice: -2.38693705399608E-04-1.43285192178676E-04-1.5787</t>
  </si>
  <si>
    <t>2014-11-26 15:54:12.493: RTWSControl  - tickOptionComputation - id:200042 tickType:11 impliedVol:9.15423511487342E-02 delta:-0.043478541787004 optPrice:1.99999994947575E-04 pvDividend:0 gamma: 1.79769313486232E+308 theta/vega/undPrice: -2.38693705399608E-04-1.43285192178676E-04-1.5787</t>
  </si>
  <si>
    <t>2014-11-26 15:54:12.540: RTWSControl  - tickOptionComputation - id:200042 tickType:13 impliedVol:8.05676845150174E-02 delta:-2.65107475094533E-02 optPrice:1.00665679572674E-04 pvDividend:0 gamma: 1.79769313486232E+308 theta/vega/undPrice: -1.38717911472286E-04-8.78200805210536E-05-1.5787</t>
  </si>
  <si>
    <t>2014-11-26 15:54:12.581: RTWSControl  - tickOptionComputation - id:200041 tickType:10 impliedVol:1.79769313486232E+308 delta:1.79769313486232E+308 optPrice:1.36000001803041E-02 pvDividend:0 gamma: 1.79769313486232E+308 theta/vega/undPrice: 1.79769313486232E+308-1.79769313486232E+308-1.5787</t>
  </si>
  <si>
    <t>2014-11-26 15:54:12.616: RTWSControl  - tickOptionComputation - id:200041 tickType:11 impliedVol:7.77048734431011E-02 delta:0.928953929974835 optPrice:1.40000004321337E-02 pvDividend:0 gamma: 1.79769313486232E+308 theta/vega/undPrice: -2.98021681744282E-04-1.99404807275568E-04-1.5787</t>
  </si>
  <si>
    <t>2014-11-26 15:54:12.666: RTWSControl  - tickOptionComputation - id:200041 tickType:13 impliedVol:0.071593535178323 delta:0.943680663829992 optPrice:1.39126912994997E-02 pvDividend:0 gamma: 1.79769313486232E+308 theta/vega/undPrice: -2.27935313070648E-04-1.55551547518959E-04-1.5787</t>
  </si>
  <si>
    <t>2014-11-26 15:54:12.705: RTWSControl  - tickOptionComputation - id:200043 tickType:10 impliedVol:6.19005801074866E-02 delta:-3.31965594171127E-02 optPrice:9.99999974737875E-05 pvDividend:0 gamma: 1.79769313486232E+308 theta/vega/undPrice: -1.28391836929274E-04-1.17425852479496E-04-1.5787</t>
  </si>
  <si>
    <t>2014-11-26 15:54:12.747: RTWSControl  - tickOptionComputation - id:200043 tickType:11 impliedVol:7.76510559795561E-02 delta:-7.09135665233668E-02 optPrice:3.00000014249235E-04 pvDividend:0 gamma: 1.79769313486232E+308 theta/vega/undPrice: -2.97495067776958E-04-1.99018929248474E-04-1.5787</t>
  </si>
  <si>
    <t>2014-11-26 15:54:12.791: RTWSControl  - tickOptionComputation - id:200043 tickType:13 impliedVol:0.071593535178323 delta:-0.056431853839119 optPrice:2.12887248332131E-04 pvDividend:0 gamma: 1.79769313486232E+308 theta/vega/undPrice: -2.28025812916156E-04-1.55551802227485E-04-1.5787</t>
  </si>
  <si>
    <t>2014-11-26 15:54:12.839: RTWSControl  - tickOptionComputation - id:200044 tickType:10 impliedVol:1.79769313486232E+308 delta:1.79769313486232E+308 optPrice:9.10000037401915E-03 pvDividend:0 gamma: 1.79769313486232E+308 theta/vega/undPrice: 1.79769313486232E+308-1.79769313486232E+308-1.5787</t>
  </si>
  <si>
    <t>2014-11-26 15:54:12.898: RTWSControl  - tickOptionComputation - id:200044 tickType:11 impliedVol:1.79769313486232E+308 delta:1.79769313486232E+308 optPrice:9.39999986439943E-03 pvDividend:0 gamma: 1.79769313486232E+308 theta/vega/undPrice: 1.79769313486232E+308-1.79769313486232E+308-1.5787</t>
  </si>
  <si>
    <t>2014-11-26 15:54:12.954: RTWSControl  - tickOptionComputation - id:200044 tickType:13 impliedVol:6.53854574575234E-02 delta:0.865511663794338 optPrice:9.24506426159084E-03 pvDividend:0 gamma: 1.79769313486232E+308 theta/vega/undPrice: -4.00369264191552E-04-2.97755594918072E-04-1.5787</t>
  </si>
  <si>
    <t>2014-11-26 15:54:13.3: RTWSControl  - tickOptionComputation - id:200046 tickType:10 impliedVol:6.38572983049069E-02 delta:-0.128184366133865 optPrice:5.00000023748726E-04 pvDividend:0 gamma: 1.79769313486232E+308 theta/vega/undPrice: -3.79466762304553E-04-2.97755933216806E-04-1.5787</t>
  </si>
  <si>
    <t>2014-11-26 15:54:13.45: RTWSControl  - tickOptionComputation - id:200046 tickType:11 impliedVol:7.05927494129004E-02 delta:-0.154305730592012 optPrice:6.99999975040555E-04 pvDividend:0 gamma: 1.79769313486232E+308 theta/vega/undPrice: -4.7185183573053E-04-2.97755713616118E-04-1.5787</t>
  </si>
  <si>
    <t>2014-11-26 15:54:13.116: RTWSControl  - tickOptionComputation - id:200046 tickType:13 impliedVol:6.53854574575234E-02 delta:-0.134601012086937 optPrice:5.45189333938196E-04 pvDividend:0 gamma: 1.79769313486232E+308 theta/vega/undPrice: -4.00427373321152E-04-2.97755883378607E-04-1.5787</t>
  </si>
  <si>
    <t>2014-11-26 15:54:13.163: RTWSControl  - tickOptionComputation - id:200045 tickType:13 impliedVol:6.19434513526755E-02 delta:0.689542386711339 optPrice:5.21717361206724E-03 pvDividend:0 gamma: 1.79769313486232E+308 theta/vega/undPrice: -6.17270136053598E-04-4.45576026055309E-04-1.5787</t>
  </si>
  <si>
    <t>2014-11-26 15:54:13.206: RTWSControl  - tickOptionComputation - id:200047 tickType:13 impliedVol:6.19434513526755E-02 delta:-0.310570736371486 optPrice:1.51722909931195E-03 pvDividend:0 gamma: 1.79769313486232E+308 theta/vega/undPrice: -6.17296404671927E-04-4.45576664115444E-04-1.5787</t>
  </si>
  <si>
    <t>2014-11-26 15:54:13.248: RTWSControl  - tickOptionComputation - id:200045 tickType:10 impliedVol:5.93042617556153E-02 delta:0.697418104622749 optPrice:5.10000018402934E-03 pvDividend:0 gamma: 1.79769313486232E+308 theta/vega/undPrice: -5.85210102240378E-04-4.45576145007472E-04-1.5787</t>
  </si>
  <si>
    <t>2014-11-26 15:54:13.289: RTWSControl  - tickOptionComputation - id:200045 tickType:11 impliedVol:6.37995409203449E-02 delta:0.684251483839009 optPrice:5.29999984428287E-03 pvDividend:0 gamma: 1.79769313486232E+308 theta/vega/undPrice: -6.39817307828663E-04-4.45575940076447E-04-1.5787</t>
  </si>
  <si>
    <t>2014-11-26 15:54:13.336: RTWSControl  - tickOptionComputation - id:200055 tickType:13 impliedVol:6.12675168637793E-02 delta:0.431828226478224 optPrice:2.38511322222402E-03 pvDividend:0 gamma: 1.79769313486232E+308 theta/vega/undPrice: -6.79023411104699E-04-4.83472988253418E-04-1.5787</t>
  </si>
  <si>
    <t>2014-11-26 15:54:13.376: RTWSControl  - tickOptionComputation - id:200049 tickType:13 impliedVol:6.90763106228793E-02 delta:0.695536190678532 optPrice:0.012093164509339 pvDividend:0 gamma: 1.79769313486232E+308 theta/vega/undPrice: -3.3227462993703E-04-9.14322563751369E-04-1.5787</t>
  </si>
  <si>
    <t>2014-11-26 15:54:13.420: RTWSControl  - tickOptionComputation - id:200050 tickType:13 impliedVol:6.90763106228793E-02 delta:-0.304533923807062 optPrice:3.39371468881068E-03 pvDividend:0 gamma: 1.79769313486232E+308 theta/vega/undPrice: -3.32336282119966E-04-9.14328121863581E-04-1.5787</t>
  </si>
  <si>
    <t>2014-11-26 15:54:13.485: RTWSControl  - tickOptionComputation - id:200051 tickType:13 impliedVol:7.12022995478767E-02 delta:-0.308253237944549 optPrice:3.49977886289945E-03 pvDividend:0 gamma: 1.79769313486232E+308 theta/vega/undPrice: -3.45767304893424E-04-8.70514577763417E-04-1.5787</t>
  </si>
  <si>
    <t>2014-11-26 15:54:13.533: RTWSControl  - tickOptionComputation - id:200052 tickType:13 impliedVol:0.121939628579189 delta:-0.513406252119762 optPrice:1.26995341594741E-02 pvDividend:0 gamma: 1.79769313486232E+308 theta/vega/undPrice: -6.70873667850218E-04-9.86295824624654E-04-1.5787</t>
  </si>
  <si>
    <t>2014-11-26 15:54:13.576: RTWSControl  - tickOptionComputation - id:200047 tickType:10 impliedVol:0.061546938532014 delta:-0.309378915195373 optPrice:1.50000001303852E-03 pvDividend:0 gamma: 1.79769313486232E+308 theta/vega/undPrice: -6.124796784862E-04-4.45576682158183E-04-1.5787</t>
  </si>
  <si>
    <t>2014-11-26 15:54:13.618: RTWSControl  - tickOptionComputation - id:200047 tickType:11 impliedVol:0.066052286394834 delta:-0.321656131066225 optPrice:1.70000002253801E-03 pvDividend:0 gamma: 1.79769313486232E+308 theta/vega/undPrice: -6.67209348296786E-04-4.45576471989482E-04-1.5787</t>
  </si>
  <si>
    <t>2014-11-26 15:54:13.663: RTWSControl  - tickOptionComputation - id:200048 tickType:13 impliedVol:8.33404355127456E-02 delta:-2.90913093196203E-02 optPrice:2.38719292967721E-04 pvDividend:0 gamma: 1.79769313486232E+308 theta/vega/undPrice: -7.53225543497954E-05-1.91515084727067E-04-1.5787</t>
  </si>
  <si>
    <t>2014-11-26 15:54:13.705: RTWSControl  - tickOptionComputation - id:200053 tickType:13 impliedVol:6.34170254504607E-02 delta:9.14163829011192E-02 optPrice:6.79127627933842E-04 pvDividend:0 gamma: 1.79769313486232E+308 theta/vega/undPrice: -1.42534081337754E-04-4.47363710355333E-04-1.5787</t>
  </si>
  <si>
    <t>2014-11-26 15:54:13.745: RTWSControl  - tickOptionComputation - id:200055 tickType:10 impliedVol:5.74298283405808E-02 delta:0.427091964749344 optPrice:2.19999998807907E-03 pvDividend:0 gamma: 1.79769313486232E+308 theta/vega/undPrice: -6.35416670043085E-04-4.83473169939123E-04-1.5787</t>
  </si>
  <si>
    <t>2014-11-26 15:54:13.787: RTWSControl  - tickOptionComputation - id:200055 tickType:11 impliedVol:6.15568242718717E-02 delta:0.432103194103525 optPrice:2.40000011399388E-03 pvDividend:0 gamma: 1.79769313486232E+308 theta/vega/undPrice: -6.82310740523729E-04-4.83472974127657E-04-1.5787</t>
  </si>
  <si>
    <t>2014-11-26 15:54:13.836: RTWSControl  - tickOptionComputation - id:200054 tickType:13 impliedVol:6.63625799954914E-02 delta:1.02130204691916E-03 optPrice:4.81723071823492E-06 pvDividend:0 gamma: 0.204350312883587 theta/vega/undPrice: -3.07173989934145E-06-1.80220197708879E-05-1.5787</t>
  </si>
  <si>
    <t>2014-11-26 15:54:13.876: RTWSControl  - tickOptionComputation - id:200049 tickType:10 impliedVol:6.80547926601243E-02 delta:0.69818666017583 optPrice:1.20000001043081E-02 pvDividend:0 gamma: 1.79769313486232E+308 theta/vega/undPrice: -3.26247816084389E-04-9.1432301306806E-04-1.5787</t>
  </si>
  <si>
    <t>2014-11-26 15:54:13.920: RTWSControl  - tickOptionComputation - id:200049 tickType:11 impliedVol:7.02421128474729E-02 delta:0.692421423352801 optPrice:1.21999997645617E-02 pvDividend:0 gamma: 1.79769313486232E+308 theta/vega/undPrice: -3.39152692028113E-04-9.14322044825392E-04-1.5787</t>
  </si>
  <si>
    <t>2014-11-26 15:54:13.992: RTWSControl  - tickOptionComputation - id:200050 tickType:10 impliedVol:6.91424357031036E-02 delta:-0.304669865598072 optPrice:3.40000004507601E-03 pvDividend:0 gamma: 1.79769313486232E+308 theta/vega/undPrice: -3.32726416338733E-04-9.14328092604239E-04-1.5787</t>
  </si>
  <si>
    <t>2014-11-26 15:54:14.35: RTWSControl  - tickOptionComputation - id:200050 tickType:11 impliedVol:7.13324467084908E-02 delta:-0.310262633697437 optPrice:3.59999993816018E-03 pvDividend:0 gamma: 1.79769313486232E+308 theta/vega/undPrice: -3.45647339639724E-04-9.14327113661414E-04-1.5787</t>
  </si>
  <si>
    <t>2014-11-26 15:54:14.81: RTWSControl  - tickOptionComputation - id:200051 tickType:10 impliedVol:6.77345804309006E-02 delta:-0.2994432076711 optPrice:3.1999999191612E-03 pvDividend:0 gamma: 1.79769313486232E+308 theta/vega/undPrice: -3.24719156268611E-04-8.59375252195721E-04-1.5787</t>
  </si>
  <si>
    <t>2014-11-26 15:54:14.127: RTWSControl  - tickOptionComputation - id:200051 tickType:11 impliedVol:7.12023017943817E-02 delta:-0.308214269057483 optPrice:3.50000010803342E-03 pvDividend:0 gamma: 1.79769313486232E+308 theta/vega/undPrice: -3.45767318478178E-04-8.70514584500161E-04-1.5787</t>
  </si>
  <si>
    <t>2014-11-26 15:54:14.192: RTWSControl  - tickOptionComputation - id:200052 tickType:10 impliedVol:1.79769313486232E+308 delta:1.79769313486232E+308 optPrice:1.79769313486232E+308 pvDividend:0 gamma: 1.79769313486232E+308 theta/vega/undPrice: 1.79769313486232E+308-1.79769313486232E+308-1.5787</t>
  </si>
  <si>
    <t>2014-11-26 15:54:14.208: RTWSControl  - tickOptionComputation - id:200052 tickType:11 impliedVol:1.79769313486232E+308 delta:1.79769313486232E+308 optPrice:1.79769313486232E+308 pvDividend:0 gamma: 1.79769313486232E+308 theta/vega/undPrice: 1.79769313486232E+308-1.79769313486232E+308-1.5787</t>
  </si>
  <si>
    <t>2014-11-26 15:54:14.271: RTWSControl  - tickOptionComputation - id:200048 tickType:10 impliedVol:8.12041970950643E-02 delta:-2.55577350216014E-02 optPrice:1.99999994947575E-04 pvDividend:0 gamma: 1.79769313486232E+308 theta/vega/undPrice: -6.60303393033318E-05-1.7933251324044E-04-1.5787</t>
  </si>
  <si>
    <t>2014-11-26 15:54:14.326: RTWSControl  - tickOptionComputation - id:200048 tickType:11 impliedVol:8.67543052867898E-02 delta:-3.43665365129771E-02 optPrice:3.00000014249235E-04 pvDividend:0 gamma: 1.79769313486232E+308 theta/vega/undPrice: -9.01721812009084E-05-2.30180986949937E-04-1.5787</t>
  </si>
  <si>
    <t>2014-11-26 15:54:14.374: RTWSControl  - tickOptionComputation - id:200053 tickType:10 impliedVol:6.16459427745107E-02 delta:8.45320446157056E-02 optPrice:6.00000028498471E-04 pvDividend:0 gamma: 1.79769313486232E+308 theta/vega/undPrice: -1.31073977848905E-04-4.4736404427518E-04-1.5787</t>
  </si>
  <si>
    <t>2014-11-26 15:54:14.413: RTWSControl  - tickOptionComputation - id:200053 tickType:11 impliedVol:6.38677992877624E-02 delta:9.30934440402198E-02 optPrice:6.99999975040555E-04 pvDividend:0 gamma: 1.79769313486232E+308 theta/vega/undPrice: -1.45450890788712E-04-4.473636262114E-04-1.5787</t>
  </si>
  <si>
    <t>2014-11-26 15:54:14.458: RTWSControl  - tickOptionComputation - id:200054 tickType:10 impliedVol:1.79769313486232E+308 delta:1.79769313486232E+308 optPrice:1.79769313486232E+308 pvDividend:0 gamma: 1.79769313486232E+308 theta/vega/undPrice: 1.79769313486232E+308-1.79769313486232E+308-1.5787</t>
  </si>
  <si>
    <t>2014-11-26 15:54:14.493: RTWSControl  - tickOptionComputation - id:200054 tickType:11 impliedVol:9.07585014474785E-02 delta:1.25036158465412E-02 optPrice:9.99999974737875E-05 pvDividend:0 gamma: 1.79769313486232E+308 theta/vega/undPrice: -4.00658294630448E-05-1.03779486856785E-04-1.5787</t>
  </si>
  <si>
    <t>2014-11-26 15:54:14.615: DirectionIndicator - notify - price/longMA/ShortMA/prevDirection are 1.57865/1.57861518277437/1.57862623067174/-1</t>
  </si>
  <si>
    <t>2014-11-26 15:54:14.615: Algorithm - handleTransition - currentHedgeShortfall is NOT ZERO and AUTOHEDGE IS NOT ENABLED!</t>
  </si>
  <si>
    <t>2014-11-26 15:54:14.990: DirectionIndicator - notify - price/longMA/ShortMA/prevDirection are 1.5786/1.57861242226994/1.57861748711449/-1</t>
  </si>
  <si>
    <t>2014-11-26 15:54:14.991: Algorithm - handleTransition - currentHedgeShortfall is NOT ZERO and AUTOHEDGE IS NOT ENABLED!</t>
  </si>
  <si>
    <t>2014-11-26 15:54:15.198: RTWSControl  - tickOptionComputation - id:200041 tickType:10 impliedVol:1.79769313486232E+308 delta:1.79769313486232E+308 optPrice:1.36000001803041E-02 pvDividend:0 gamma: 1.79769313486232E+308 theta/vega/undPrice: 1.79769313486232E+308-1.79769313486232E+308-1.5787</t>
  </si>
  <si>
    <t>2014-11-26 15:54:15.246: RTWSControl  - tickOptionComputation - id:200044 tickType:10 impliedVol:5.94382937337187E-02 delta:0.887168176872064 optPrice:9.10000037401915E-03 pvDividend:0 gamma: 1.79769313486232E+308 theta/vega/undPrice: -3.20903316958075E-04-2.6573939467511E-04-1.5787</t>
  </si>
  <si>
    <t>2014-11-26 15:54:15.290: RTWSControl  - tickOptionComputation - id:200044 tickType:11 impliedVol:7.05761716876536E-02 delta:0.845738671585328 optPrice:9.39999986439943E-03 pvDividend:0 gamma: 1.79769313486232E+308 theta/vega/undPrice: -4.715662072987E-04-2.97755425193886E-04-1.5787</t>
  </si>
  <si>
    <t>2014-11-26 15:54:15.336: RTWSControl  - tickOptionComputation - id:200055 tickType:10 impliedVol:0.059497560409347 delta:0.429688524608181 optPrice:2.30000005103648E-03 pvDividend:0 gamma: 1.79769313486232E+308 theta/vega/undPrice: -6.58911822690194E-04-4.83473073362483E-04-1.5787</t>
  </si>
  <si>
    <t>2014-11-26 15:54:15.397: RTWSControl  - tickOptionComputation - id:200052 tickType:10 impliedVol:1.79769313486232E+308 delta:1.79769313486232E+308 optPrice:1.79769313486232E+308 pvDividend:0 gamma: 1.79769313486232E+308 theta/vega/undPrice: 1.79769313486232E+308-1.79769313486232E+308-1.5787</t>
  </si>
  <si>
    <t>2014-11-26 15:54:15.414: RTWSControl  - tickOptionComputation - id:200052 tickType:11 impliedVol:1.79769313486232E+308 delta:1.79769313486232E+308 optPrice:1.79769313486232E+308 pvDividend:0 gamma: 1.79769313486232E+308 theta/vega/undPrice: 1.79769313486232E+308-1.79769313486232E+308-1.5787</t>
  </si>
  <si>
    <t>2014-11-26 15:54:15.482: RTWSControl  - tickOptionComputation - id:200054 tickType:10 impliedVol:1.79769313486232E+308 delta:1.79769313486232E+308 optPrice:1.79769313486232E+308 pvDividend:0 gamma: 1.79769313486232E+308 theta/vega/undPrice: 1.79769313486232E+308-1.79769313486232E+308-1.5787</t>
  </si>
  <si>
    <t>2014-11-26 15:54:15.500: DirectionIndicator - notify - price/longMA/ShortMA/prevDirection are 1.57855/1.57860107276632/1.57859499140966/-1</t>
  </si>
  <si>
    <t>2014-11-26 15:54:15.500: Algorithm - handleTransition - currentHedgeShortfall is NOT ZERO and AUTOHEDGE IS NOT ENABLED!</t>
  </si>
  <si>
    <t>2014-11-26 15:54:15.779: RTWSControl  - tickOptionComputation - id:200042 tickType:13 impliedVol:8.05676845150174E-02 delta:-2.72460804146189E-02 optPrice:1.03888588359438E-04 pvDividend:0 gamma: 1.79769313486232E+308 theta/vega/undPrice: -1.41830346175641E-04-8.78407860303762E-05-1.5786</t>
  </si>
  <si>
    <t>2014-11-26 15:54:15.831: RTWSControl  - tickOptionComputation - id:200041 tickType:13 impliedVol:0.071593535178323 delta:0.942328112710833 optPrice:1.38186060519244E-02 pvDividend:0 gamma: 1.79769313486232E+308 theta/vega/undPrice: -2.32238621430847E-04-1.59714254480114E-04-1.5786</t>
  </si>
  <si>
    <t>2014-11-26 15:54:15.873: RTWSControl  - tickOptionComputation - id:200043 tickType:13 impliedVol:0.071593535178323 delta:-0.057784405945525 optPrice:2.18800575601914E-04 pvDividend:0 gamma: 1.79769313486232E+308 theta/vega/undPrice: -2.32328467395383E-04-1.59714512564015E-04-1.5786</t>
  </si>
  <si>
    <t>2014-11-26 15:54:15.914: RTWSControl  - tickOptionComputation - id:200044 tickType:13 impliedVol:6.53854574575234E-02 delta:0.862439667066927 optPrice:9.16111552128409E-03 pvDividend:0 gamma: 1.79769313486232E+308 theta/vega/undPrice: -4.06047449696401E-04-2.97746163793834E-04-1.5786</t>
  </si>
  <si>
    <t>2014-11-26 15:54:15.957: RTWSControl  - tickOptionComputation - id:200046 tickType:13 impliedVol:6.53854574575234E-02 delta:-0.137673012020772 optPrice:5.61239177630531E-04 pvDividend:0 gamma: 1.79769313486232E+308 theta/vega/undPrice: -4.06104910452252E-04-2.9774645226526E-04-1.5786</t>
  </si>
  <si>
    <t>2014-11-26 15:54:15.997: RTWSControl  - tickOptionComputation - id:200045 tickType:13 impliedVol:6.19434513526755E-02 delta:0.684689334265385 optPrice:5.1506776386909E-03 pvDividend:0 gamma: 1.79769313486232E+308 theta/vega/undPrice: -6.20900421335814E-04-4.45561912835224E-04-1.5786</t>
  </si>
  <si>
    <t>2014-11-26 15:54:16.38: RTWSControl  - tickOptionComputation - id:200047 tickType:13 impliedVol:6.19434513526755E-02 delta:-0.315423796492181 optPrice:1.55073173288735E-03 pvDividend:0 gamma: 1.79769313486232E+308 theta/vega/undPrice: -6.2092604821598E-04-4.45562551230962E-04-1.5786</t>
  </si>
  <si>
    <t>2014-11-26 15:54:16.81: RTWSControl  - tickOptionComputation - id:200055 tickType:13 impliedVol:6.12675168637793E-02 delta:0.426503055311988 optPrice:2.34063382256913E-03 pvDividend:0 gamma: 1.79769313486232E+308 theta/vega/undPrice: -6.77682269443647E-04-0.000483457676645-1.5786</t>
  </si>
  <si>
    <t>2014-11-26 15:54:16.120: RTWSControl  - tickOptionComputation - id:200049 tickType:13 impliedVol:6.90763106228793E-02 delta:0.693422945745783 optPrice:1.20265587141755E-02 pvDividend:0 gamma: 1.79769313486232E+308 theta/vega/undPrice: -3.33126956539201E-04-9.14293597783411E-04-1.5786</t>
  </si>
  <si>
    <t>2014-11-26 15:54:16.164: RTWSControl  - tickOptionComputation - id:200050 tickType:13 impliedVol:6.90763106228793E-02 delta:-0.306647183289353 optPrice:3.42710300983206E-03 pvDividend:0 gamma: 1.79769313486232E+308 theta/vega/undPrice: -3.33187968250348E-04-9.14299156281961E-04-1.5786</t>
  </si>
  <si>
    <t>2014-11-26 15:54:16.203: RTWSControl  - tickOptionComputation - id:200051 tickType:13 impliedVol:7.12022995478767E-02 delta:-0.310254173459693 optPrice:3.53070028234646E-03 pvDividend:0 gamma: 1.79769313486232E+308 theta/vega/undPrice: -3.46724250929341E-04-8.72924166859353E-04-1.5786</t>
  </si>
  <si>
    <t>2014-11-26 15:54:16.245: RTWSControl  - tickOptionComputation - id:200052 tickType:13 impliedVol:0.121939628579189 delta:-0.514728075593037 optPrice:1.27509311301868E-02 pvDividend:0 gamma: 1.79769313486232E+308 theta/vega/undPrice: -6.70752583890397E-04-9.86118330487506E-04-1.5786</t>
  </si>
  <si>
    <t>2014-11-26 15:54:16.286: RTWSControl  - tickOptionComputation - id:200048 tickType:13 impliedVol:8.33404355127456E-02 delta:-2.94349132937347E-02 optPrice:2.41916899198859E-04 pvDividend:0 gamma: 1.79769313486232E+308 theta/vega/undPrice: -7.60531407074493E-05-1.94176079538481E-04-1.5786</t>
  </si>
  <si>
    <t>2014-11-26 15:54:16.336: RTWSControl  - tickOptionComputation - id:200053 tickType:13 impliedVol:6.34170254504607E-02 delta:9.02892958131509E-02 optPrice:6.6890676101323E-04 pvDividend:0 gamma: 1.79769313486232E+308 theta/vega/undPrice: -1.41263731413174E-04-4.4734953877542E-04-1.5786</t>
  </si>
  <si>
    <t>2014-11-26 15:54:16.381: RTWSControl  - tickOptionComputation - id:200054 tickType:13 impliedVol:6.63625799954914E-02 delta:9.95340883534573E-04 optPrice:4.68488214771498E-06 pvDividend:0 gamma: 0.199633045688662 theta/vega/undPrice: -3.00045116795314E-06-1.78183285912438E-05-1.5786</t>
  </si>
  <si>
    <t>2014-11-26 15:54:16.492: DirectionIndicator - notify - price/longMA/ShortMA/prevDirection are 1.5786/1.5786008777179/1.57859666093977/-1</t>
  </si>
  <si>
    <t>2014-11-26 15:54:16.492: Algorithm - handleTransition - currentHedgeShortfall is NOT ZERO and AUTOHEDGE IS NOT ENABLED!</t>
  </si>
  <si>
    <t>2014-11-26 15:54:16.535: DirectionIndicator - notify - price/longMA/ShortMA/prevDirection are 1.57865/1.57860980904191/1.57861444062652/-1</t>
  </si>
  <si>
    <t>2014-11-26 15:54:16.536: Algorithm - handleTransition - currentHedgeShortfall is NOT ZERO and AUTOHEDGE IS NOT ENABLED!</t>
  </si>
  <si>
    <t>2014-11-26 15:54:17.164: RTWSControl  - tickOptionComputation - id:200042 tickType:13 impliedVol:8.12780946550618E-02 delta:-2.84469904022271E-02 optPrice:1.10127221972895E-04 pvDividend:0 gamma: 1.79769313486232E+308 theta/vega/undPrice: -1.48223250376418E-04-9.17809644033215E-05-1.5786</t>
  </si>
  <si>
    <t>2014-11-26 15:54:17.238: RTWSControl  - tickOptionComputation - id:200042 tickType:10 impliedVol:9.11303409524406E-02 delta:-4.36426060930848E-02 optPrice:1.99999994947575E-04 pvDividend:0 gamma: 1.79769313486232E+308 theta/vega/undPrice: -2.38271793953878E-04-1.43280662493529E-04-1.5786</t>
  </si>
  <si>
    <t>2014-11-26 15:54:17.286: RTWSControl  - tickOptionComputation - id:200042 tickType:11 impliedVol:9.11303409524406E-02 delta:-4.36426060930848E-02 optPrice:1.99999994947575E-04 pvDividend:0 gamma: 1.79769313486232E+308 theta/vega/undPrice: -2.38271793953878E-04-1.43280662493529E-04-1.5786</t>
  </si>
  <si>
    <t>2014-11-26 15:54:17.333: RTWSControl  - tickOptionComputation - id:200041 tickType:13 impliedVol:7.25723728919832E-02 delta:0.939840546891858 optPrice:1.38326533944204E-02 pvDividend:0 gamma: 1.79769313486232E+308 theta/vega/undPrice: -2.4346382847443E-04-1.66737902022721E-04-1.5786</t>
  </si>
  <si>
    <t>2014-11-26 15:54:17.373: RTWSControl  - tickOptionComputation - id:200041 tickType:10 impliedVol:1.79769313486232E+308 delta:1.79769313486232E+308 optPrice:1.37000000104308E-02 pvDividend:0 gamma: 1.79769313486232E+308 theta/vega/undPrice: 1.79769313486232E+308-1.79769313486232E+308-1.5786</t>
  </si>
  <si>
    <t>2014-11-26 15:54:17.409: RTWSControl  - tickOptionComputation - id:200041 tickType:11 impliedVol:8.25874638737774E-02 delta:0.914391879171414 optPrice:1.40000004321337E-02 pvDividend:0 gamma: 1.79769313486232E+308 theta/vega/undPrice: -3.63800171696289E-04-2.15265247481243E-04-1.5786</t>
  </si>
  <si>
    <t>2014-11-26 15:54:17.457: RTWSControl  - tickOptionComputation - id:200043 tickType:13 impliedVol:7.25723728919832E-02 delta:-0.060271973578619 optPrice:2.32847927742091E-04 pvDividend:0 gamma: 1.79769313486232E+308 theta/vega/undPrice: -2.4355368704849E-04-1.66738167568093E-04-1.5786</t>
  </si>
  <si>
    <t>2014-11-26 15:54:17.499: RTWSControl  - tickOptionComputation - id:200043 tickType:10 impliedVol:6.14524082352938E-02 delta:-3.32015036141346E-02 optPrice:9.99999974737875E-05 pvDividend:0 gamma: 1.79769313486232E+308 theta/vega/undPrice: -1.27470076859265E-04-1.17621232880093E-04-1.5786</t>
  </si>
  <si>
    <t>2014-11-26 15:54:17.540: RTWSControl  - tickOptionComputation - id:200043 tickType:11 impliedVol:7.72392654526567E-02 delta:-7.12546991686086E-02 optPrice:3.00000014249235E-04 pvDividend:0 gamma: 1.79769313486232E+308 theta/vega/undPrice: -2.9707315108571E-04-2.00225459920041E-04-1.5786</t>
  </si>
  <si>
    <t>2014-11-26 15:54:17.587: RTWSControl  - tickOptionComputation - id:200044 tickType:13 impliedVol:6.63412517683781E-02 delta:0.858630862176344 optPrice:9.18957394417382E-03 pvDividend:0 gamma: 1.79769313486232E+308 theta/vega/undPrice: -4.19156918648355E-04-2.97746132922357E-04-1.5786</t>
  </si>
  <si>
    <t>2014-11-26 15:54:17.627: RTWSControl  - tickOptionComputation - id:200044 tickType:10 impliedVol:6.33313683775445E-02 delta:0.870904952500315 optPrice:9.10000037401915E-03 pvDividend:0 gamma: 1.79769313486232E+308 theta/vega/undPrice: -3.7787399767257E-04-2.97746230080529E-04-1.5786</t>
  </si>
  <si>
    <t>2014-11-26 15:54:17.673: RTWSControl  - tickOptionComputation - id:200044 tickType:11 impliedVol:7.33921540834086E-02 delta:0.833500443790114 optPrice:9.39999986439943E-03 pvDividend:0 gamma: 1.79769313486232E+308 theta/vega/undPrice: -5.15865496770376E-04-2.97745904686515E-04-1.5786</t>
  </si>
  <si>
    <t>2014-11-26 15:54:17.742: RTWSControl  - tickOptionComputation - id:200046 tickType:13 impliedVol:6.63412517683781E-02 delta:-0.141481820882495 optPrice:5.89697628080555E-04 pvDividend:0 gamma: 1.79769313486232E+308 theta/vega/undPrice: -4.19214404331243E-04-2.97746421417188E-04-1.5786</t>
  </si>
  <si>
    <t>2014-11-26 15:54:17.790: RTWSControl  - tickOptionComputation - id:200045 tickType:13 impliedVol:6.25847312842751E-02 delta:0.682905817709198 optPrice:5.17925064342175E-03 pvDividend:0 gamma: 1.79769313486232E+308 theta/vega/undPrice: -6.28690235589398E-04-4.45561883495614E-04-1.5786</t>
  </si>
  <si>
    <t>2014-11-26 15:54:17.834: RTWSControl  - tickOptionComputation - id:200046 tickType:10 impliedVol:6.33185766461924E-02 delta:-0.129026124172916 optPrice:5.00000023748726E-04 pvDividend:0 gamma: 1.79769313486232E+308 theta/vega/undPrice: -3.77755955802308E-04-2.97746518917211E-04-1.5786</t>
  </si>
  <si>
    <t>2014-11-26 15:54:17.872: RTWSControl  - tickOptionComputation - id:200046 tickType:11 impliedVol:7.00525597206068E-02 delta:-0.155263977049835 optPrice:6.99999975040555E-04 pvDividend:0 gamma: 1.79769313486232E+308 theta/vega/undPrice: -4.701179775564E-04-2.97746301905074E-04-1.5786</t>
  </si>
  <si>
    <t>2014-11-26 15:54:17.919: RTWSControl  - tickOptionComputation - id:200047 tickType:13 impliedVol:6.25847312842751E-02 delta:-0.317207315866172 optPrice:1.5793047785026E-03 pvDividend:0 gamma: 1.79769313486232E+308 theta/vega/undPrice: -6.28715888634525E-04-4.45562522011952E-04-1.5786</t>
  </si>
  <si>
    <t>2014-11-26 15:54:17.963: RTWSControl  - tickOptionComputation - id:200055 tickType:13 impliedVol:6.13028114396315E-02 delta:0.426546497768095 optPrice:2.34234016676996E-03 pvDividend:0 gamma: 1.79769313486232E+308 theta/vega/undPrice: -6.78083300401696E-04-4.83457674923033E-04-1.5786</t>
  </si>
  <si>
    <t>2014-11-26 15:54:18.4: RTWSControl  - tickOptionComputation - id:200049 tickType:13 impliedVol:0.068962336737318 delta:0.693720967836483 optPrice:1.20161381298239E-02 pvDividend:0 gamma: 1.79769313486232E+308 theta/vega/undPrice: -3.32454548134498E-04-9.14293648052381E-04-1.5786</t>
  </si>
  <si>
    <t>2014-11-26 15:54:18.71: RTWSControl  - tickOptionComputation - id:200050 tickType:13 impliedVol:0.068962336737318 delta:-0.30634915915092 optPrice:3.41668236213669E-03 pvDividend:0 gamma: 1.79769313486232E+308 theta/vega/undPrice: -3.3251555003298E-04-9.14299206427873E-04-1.5786</t>
  </si>
  <si>
    <t>2014-11-26 15:54:18.118: RTWSControl  - tickOptionComputation - id:200045 tickType:10 impliedVol:6.08068942327547E-02 delta:0.687856214273396 optPrice:5.10000018402934E-03 pvDividend:0 gamma: 1.79769313486232E+308 theta/vega/undPrice: -6.07094327672169E-04-4.45561964272388E-04-1.5786</t>
  </si>
  <si>
    <t>2014-11-26 15:54:18.160: RTWSControl  - tickOptionComputation - id:200045 tickType:11 impliedVol:6.75285878361297E-02 delta:0.670214286941171 optPrice:5.40000014007092E-03 pvDividend:0 gamma: 1.79769313486232E+308 theta/vega/undPrice: -6.88744659319756E-04-4.45561649618213E-04-1.5786</t>
  </si>
  <si>
    <t>2014-11-26 15:54:18.207: RTWSControl  - tickOptionComputation - id:200051 tickType:13 impliedVol:7.08486862386817E-02 delta:-0.309401999363924 optPrice:3.49985093007948E-03 pvDividend:0 gamma: 1.79769313486232E+308 theta/vega/undPrice: -3.44588857067085E-04-8.7187790299328E-04-1.5786</t>
  </si>
  <si>
    <t>2014-11-26 15:54:18.246: RTWSControl  - tickOptionComputation - id:200052 tickType:13 impliedVol:0.121418444956155 delta:-0.514823752693012 optPrice:1.26995362289587E-02 pvDividend:0 gamma: 1.79769313486232E+308 theta/vega/undPrice: -6.67879767511796E-04-9.8610958445661E-04-1.5786</t>
  </si>
  <si>
    <t>2014-11-26 15:54:18.286: RTWSControl  - tickOptionComputation - id:200048 tickType:13 impliedVol:8.32439436326737E-02 delta:-2.92797653784226E-02 optPrice:2.40186538218562E-04 pvDividend:0 gamma: 1.79769313486232E+308 theta/vega/undPrice: -7.56334337313815E-05-1.9308323372917E-04-1.5786</t>
  </si>
  <si>
    <t>2014-11-26 15:54:18.333: RTWSControl  - tickOptionComputation - id:200047 tickType:10 impliedVol:6.07951293328605E-02 delta:-0.312096144083323 optPrice:1.50000001303852E-03 pvDividend:0 gamma: 1.79769313486232E+308 theta/vega/undPrice: -6.06976995982384E-04-4.45562602979188E-04-1.5786</t>
  </si>
  <si>
    <t>2014-11-26 15:54:18.374: RTWSControl  - tickOptionComputation - id:200047 tickType:11 impliedVol:6.52982198416411E-02 delta:-0.324323333596518 optPrice:1.70000002253801E-03 pvDividend:0 gamma: 1.79769313486232E+308 theta/vega/undPrice: -6.61677521813977E-04-4.45562395849143E-04-1.5786</t>
  </si>
  <si>
    <t>2014-11-26 15:54:18.418: RTWSControl  - tickOptionComputation - id:200053 tickType:13 impliedVol:6.35806826467498E-02 delta:9.09081188587083E-02 optPrice:6.76227973529469E-04 pvDividend:0 gamma: 1.79769313486232E+308 theta/vega/undPrice: -1.42322669959699E-04-4.4734950795368E-04-1.5786</t>
  </si>
  <si>
    <t>2014-11-26 15:54:18.460: RTWSControl  - tickOptionComputation - id:200054 tickType:13 impliedVol:6.70989813609619E-02 delta:1.13965891617352E-03 optPrice:5.47887785148961E-06 pvDividend:0 gamma: 0.223448478645498 theta/vega/undPrice: -3.43333971565521E-06-1.88769810181278E-05-1.5786</t>
  </si>
  <si>
    <t>2014-11-26 15:54:18.504: RTWSControl  - tickOptionComputation - id:200055 tickType:10 impliedVol:6.04333293224523E-02 delta:0.42540791011953 optPrice:2.30000005103648E-03 pvDividend:0 gamma: 1.79769313486232E+308 theta/vega/undPrice: -6.68203898907884E-04-4.83457717105228E-04-1.5786</t>
  </si>
  <si>
    <t>2014-11-26 15:54:18.568: RTWSControl  - tickOptionComputation - id:200055 tickType:11 impliedVol:6.24749011717185E-02 delta:0.427907524766443 optPrice:2.40000011399388E-03 pvDividend:0 gamma: 1.79769313486232E+308 theta/vega/undPrice: -6.91401046266569E-04-4.83457617198783E-04-1.5786</t>
  </si>
  <si>
    <t>2014-11-26 15:54:18.622: RTWSControl  - tickOptionComputation - id:200049 tickType:10 impliedVol:6.87858290473782E-02 delta:0.694096705796468 optPrice:1.20000001043081E-02 pvDividend:0 gamma: 1.79769313486232E+308 theta/vega/undPrice: -3.3141321069321E-04-9.1429372577813E-04-1.5786</t>
  </si>
  <si>
    <t>2014-11-26 15:54:18.664: RTWSControl  - tickOptionComputation - id:200049 tickType:11 impliedVol:7.20630438107246E-02 delta:0.685866188140417 optPrice:1.22999995946884E-02 pvDividend:0 gamma: 1.79769313486232E+308 theta/vega/undPrice: -3.50747666683911E-04-9.14292258148075E-04-1.5786</t>
  </si>
  <si>
    <t>2014-11-26 15:54:18.710: RTWSControl  - tickOptionComputation - id:200050 tickType:10 impliedVol:6.87772731985029E-02 delta:-0.305824447056575 optPrice:3.40000004507601E-03 pvDividend:0 gamma: 1.79769313486232E+308 theta/vega/undPrice: -3.31423719952378E-04-9.14299287721098E-04-1.5786</t>
  </si>
  <si>
    <t>2014-11-26 15:54:18.752: RTWSControl  - tickOptionComputation - id:200050 tickType:11 impliedVol:6.98709642128871E-02 delta:-0.308658727935973 optPrice:3.50000010803342E-03 pvDividend:0 gamma: 1.79769313486232E+308 theta/vega/undPrice: -3.37876228745064E-04-9.14298804903933E-04-1.5786</t>
  </si>
  <si>
    <t>2014-11-26 15:54:18.819: RTWSControl  - tickOptionComputation - id:200051 tickType:10 impliedVol:6.73867833871645E-02 delta:-0.300604159605915 optPrice:3.1999999191612E-03 pvDividend:0 gamma: 1.79769313486232E+308 theta/vega/undPrice: -3.23597270509202E-04-8.60826444138495E-04-1.5786</t>
  </si>
  <si>
    <t>2014-11-26 15:54:18.867: RTWSControl  - tickOptionComputation - id:200051 tickType:11 impliedVol:7.08478767556472E-02 delta:-0.309360920574664 optPrice:3.50000010803342E-03 pvDividend:0 gamma: 1.79769313486232E+308 theta/vega/undPrice: -3.44583966972956E-04-8.71875491370902E-04-1.5786</t>
  </si>
  <si>
    <t>2014-11-26 15:54:18.975: RTWSControl  - tickOptionComputation - id:200052 tickType:10 impliedVol:1.79769313486232E+308 delta:1.79769313486232E+308 optPrice:1.79769313486232E+308 pvDividend:0 gamma: 1.79769313486232E+308 theta/vega/undPrice: 1.79769313486232E+308-1.79769313486232E+308-1.5786</t>
  </si>
  <si>
    <t>2014-11-26 15:54:19.31: RTWSControl  - tickOptionComputation - id:200052 tickType:11 impliedVol:1.79769313486232E+308 delta:1.79769313486232E+308 optPrice:1.79769313486232E+308 pvDividend:0 gamma: 1.79769313486232E+308 theta/vega/undPrice: 1.79769313486232E+308-1.79769313486232E+308-1.5786</t>
  </si>
  <si>
    <t>2014-11-26 15:54:19.73: RTWSControl  - tickOptionComputation - id:200048 tickType:10 impliedVol:8.10314120391975E-02 delta:-2.56172951143729E-02 optPrice:1.99999994947575E-04 pvDividend:0 gamma: 1.79769313486232E+308 theta/vega/undPrice: -6.60096623489856E-05-1.79326850727613E-04-1.5786</t>
  </si>
  <si>
    <t>2014-11-26 15:54:19.120: RTWSControl  - tickOptionComputation - id:200048 tickType:11 impliedVol:8.65761085774246E-02 delta:-3.44322010064162E-02 optPrice:3.00000014249235E-04 pvDividend:0 gamma: 1.79769313486232E+308 theta/vega/undPrice: -9.01272039403157E-05-2.30822544549776E-04-1.5786</t>
  </si>
  <si>
    <t>2014-11-26 15:54:19.165: RTWSControl  - tickOptionComputation - id:200053 tickType:10 impliedVol:6.18743535521905E-02 delta:0.084285200947268 optPrice:6.00000028498471E-04 pvDividend:0 gamma: 1.79769313486232E+308 theta/vega/undPrice: -1.31281917083455E-04-4.47349831529341E-04-1.5786</t>
  </si>
  <si>
    <t>2014-11-26 15:54:19.204: RTWSControl  - tickOptionComputation - id:200053 tickType:11 impliedVol:6.40949690637638E-02 delta:9.28205171693877E-02 optPrice:6.99999975040555E-04 pvDividend:0 gamma: 1.79769313486232E+308 theta/vega/undPrice: -1.45650342616329E-04-4.47349411391075E-04-1.5786</t>
  </si>
  <si>
    <t>2014-11-26 15:54:19.250: RTWSControl  - tickOptionComputation - id:200054 tickType:10 impliedVol:1.79769313486232E+308 delta:1.79769313486232E+308 optPrice:1.79769313486232E+308 pvDividend:0 gamma: 1.79769313486232E+308 theta/vega/undPrice: 1.79769313486232E+308-1.79769313486232E+308-1.5786</t>
  </si>
  <si>
    <t>2014-11-26 15:54:19.285: RTWSControl  - tickOptionComputation - id:200054 tickType:11 impliedVol:9.09262055091595E-02 delta:1.24917879606971E-02 optPrice:9.99999974737875E-05 pvDividend:0 gamma: 1.79769313486232E+308 theta/vega/undPrice: -4.01057078465611E-05-1.03776189213304E-04-1.5786</t>
  </si>
  <si>
    <t>2014-11-26 15:54:19.451: DirectionIndicator - notify - price/longMA/ShortMA/prevDirection are 1.5786/1.57860802557975/1.57860962708434/-1</t>
  </si>
  <si>
    <t>2014-11-26 15:54:19.452: Algorithm - handleTransition - currentHedgeShortfall is NOT ZERO and AUTOHEDGE IS NOT ENABLED!</t>
  </si>
  <si>
    <t>2014-11-26 15:54:19.696: RTWSControl  - tickOptionComputation - id:200042 tickType:13 impliedVol:8.12780946550618E-02 delta:-0.027718048017723 optPrice:1.06904510823793E-04 pvDividend:0 gamma: 1.79769313486232E+308 theta/vega/undPrice: -1.45111018197963E-04-8.90992908933063E-05-1.5787</t>
  </si>
  <si>
    <t>2014-11-26 15:54:19.747: RTWSControl  - tickOptionComputation - id:200041 tickType:13 impliedVol:7.25723728919832E-02 delta:0.941174933351073 optPrice:1.39267390869271E-02 pvDividend:0 gamma: 1.79769313486232E+308 theta/vega/undPrice: -2.3916087565816E-04-1.62575417723501E-04-1.5787</t>
  </si>
  <si>
    <t>2014-11-26 15:54:19.790: RTWSControl  - tickOptionComputation - id:200043 tickType:13 impliedVol:7.25723728919832E-02 delta:-5.89375861452099E-02 optPrice:2.26935045403795E-04 pvDividend:0 gamma: 1.79769313486232E+308 theta/vega/undPrice: -2.39251388111539E-04-1.62575679894202E-04-1.5787</t>
  </si>
  <si>
    <t>2014-11-26 15:54:19.833: RTWSControl  - tickOptionComputation - id:200044 tickType:13 impliedVol:6.63412517683781E-02 delta:0.861658710093479 optPrice:9.27352358605809E-03 pvDividend:0 gamma: 1.79769313486232E+308 theta/vega/undPrice: -4.13479148458212E-04-2.97755563701483E-04-1.5787</t>
  </si>
  <si>
    <t>2014-11-26 15:54:19.873: RTWSControl  - tickOptionComputation - id:200046 tickType:13 impliedVol:6.63412517683781E-02 delta:-0.138453969804946 optPrice:5.7364868596657E-04 pvDividend:0 gamma: 1.79769313486232E+308 theta/vega/undPrice: -4.13537282515662E-04-2.97755852185531E-04-1.5787</t>
  </si>
  <si>
    <t>2014-11-26 15:54:19.914: RTWSControl  - tickOptionComputation - id:200045 tickType:13 impliedVol:6.25847312842751E-02 delta:0.687709193033011 optPrice:5.24574752192036E-03 pvDividend:0 gamma: 1.79769313486232E+308 theta/vega/undPrice: -6.25060197069266E-04-4.45575996566606E-04-1.5787</t>
  </si>
  <si>
    <t>2014-11-26 15:54:19.956: RTWSControl  - tickOptionComputation - id:200047 tickType:13 impliedVol:6.25847312842751E-02 delta:-0.312403932945888 optPrice:1.54580305005041E-03 pvDividend:0 gamma: 1.79769313486232E+308 theta/vega/undPrice: -6.25086491851243E-04-4.45576634747625E-04-1.5787</t>
  </si>
  <si>
    <t>2014-11-26 15:54:19.998: RTWSControl  - tickOptionComputation - id:200055 tickType:13 impliedVol:6.13028114396315E-02 delta:0.431868601970469 optPrice:2.38681962046518E-03 pvDividend:0 gamma: 1.79769313486232E+308 theta/vega/undPrice: -6.79424454763477E-04-4.83472986534247E-04-1.5787</t>
  </si>
  <si>
    <t>2014-11-26 15:54:20.37: RTWSControl  - tickOptionComputation - id:200049 tickType:13 impliedVol:0.068962336737318 delta:0.695837697317131 optPrice:1.20827435947942E-02 pvDividend:0 gamma: 1.79769313486232E+308 theta/vega/undPrice: -3.31602200225953E-04-9.14322614132936E-04-1.5787</t>
  </si>
  <si>
    <t>2014-11-26 15:54:20.81: RTWSControl  - tickOptionComputation - id:200050 tickType:13 impliedVol:0.068962336737318 delta:-0.304232415096814 optPrice:0.00338329371092 pvDividend:0 gamma: 1.79769313486232E+308 theta/vega/undPrice: -3.31663842595919E-04-9.14328172242683E-04-1.5787</t>
  </si>
  <si>
    <t>2014-11-26 15:54:20.120: RTWSControl  - tickOptionComputation - id:200051 tickType:13 impliedVol:7.08486862386817E-02 delta:-0.307393515239838 optPrice:3.46901508759176E-03 pvDividend:0 gamma: 1.79769313486232E+308 theta/vega/undPrice: -3.43628190534208E-04-8.69446875844165E-04-1.5787</t>
  </si>
  <si>
    <t>2014-11-26 15:54:20.162: RTWSControl  - tickOptionComputation - id:200052 tickType:13 impliedVol:0.121418444956155 delta:-0.513496266292738 optPrice:1.26481299653827E-02 pvDividend:0 gamma: 1.79769313486232E+308 theta/vega/undPrice: -6.68001186800364E-04-9.86288335433135E-04-1.5787</t>
  </si>
  <si>
    <t>2014-11-26 15:54:20.204: RTWSControl  - tickOptionComputation - id:200048 tickType:13 impliedVol:8.32439436326737E-02 delta:-2.89357679362101E-02 optPrice:2.36988877167365E-04 pvDividend:0 gamma: 1.79769313486232E+308 theta/vega/undPrice: -7.49028340768716E-05-1.90422204238256E-04-1.5787</t>
  </si>
  <si>
    <t>2014-11-26 15:54:20.247: RTWSControl  - tickOptionComputation - id:200053 tickType:13 impliedVol:6.35806826467498E-02 delta:9.20322861824572E-02 optPrice:6.86449072263653E-04 pvDividend:0 gamma: 1.79769313486232E+308 theta/vega/undPrice: -1.43593053413742E-04-4.47363679766568E-04-1.5787</t>
  </si>
  <si>
    <t>2014-11-26 15:54:20.287: RTWSControl  - tickOptionComputation - id:200054 tickType:13 impliedVol:6.70989813609619E-02 delta:1.16533070156501E-03 optPrice:5.61125156284257E-06 pvDividend:0 gamma: 0.228060094170133 theta/vega/undPrice: -3.50464215389184E-06-1.90807057557988E-05-1.5787</t>
  </si>
  <si>
    <t>2014-11-26 15:54:20.329: DirectionIndicator - notify - price/longMA/ShortMA/prevDirection are 1.57855/1.57859747547434/1.57858975138956/-1</t>
  </si>
  <si>
    <t>2014-11-26 15:54:20.329: Algorithm - handleTransition - currentHedgeShortfall is NOT ZERO and AUTOHEDGE IS NOT ENABLED!</t>
  </si>
  <si>
    <t>2014-11-26 15:54:20.663: RTWSControl  - tickOptionComputation - id:200042 tickType:10 impliedVol:9.15423511487342E-02 delta:-0.043478541787004 optPrice:1.99999994947575E-04 pvDividend:0 gamma: 1.79769313486232E+308 theta/vega/undPrice: -2.38693705399608E-04-1.43285192178676E-04-1.5787</t>
  </si>
  <si>
    <t>2014-11-26 15:54:20.739: RTWSControl  - tickOptionComputation - id:200042 tickType:11 impliedVol:9.15423511487342E-02 delta:-0.043478541787004 optPrice:1.99999994947575E-04 pvDividend:0 gamma: 1.79769313486232E+308 theta/vega/undPrice: -2.38693705399608E-04-1.43285192178676E-04-1.5787</t>
  </si>
  <si>
    <t>2014-11-26 15:54:20.789: RTWSControl  - tickOptionComputation - id:200041 tickType:10 impliedVol:1.79769313486232E+308 delta:1.79769313486232E+308 optPrice:1.36000001803041E-02 pvDividend:0 gamma: 1.79769313486232E+308 theta/vega/undPrice: 1.79769313486232E+308-1.79769313486232E+308-1.5787</t>
  </si>
  <si>
    <t>2014-11-26 15:54:20.828: RTWSControl  - tickOptionComputation - id:200041 tickType:11 impliedVol:7.07091935396551E-02 delta:0.945884642219536 optPrice:1.38999996706843E-02 pvDividend:0 gamma: 1.79769313486232E+308 theta/vega/undPrice: -2.17793454169386E-04-1.49205753980567E-04-1.5787</t>
  </si>
  <si>
    <t>2014-11-26 15:54:20.873: RTWSControl  - tickOptionComputation - id:200043 tickType:10 impliedVol:6.19005801074866E-02 delta:-3.31965594171127E-02 optPrice:9.99999974737875E-05 pvDividend:0 gamma: 1.79769313486232E+308 theta/vega/undPrice: -1.28391836929274E-04-1.17425852479496E-04-1.5787</t>
  </si>
  <si>
    <t>2014-11-26 15:54:20.914: RTWSControl  - tickOptionComputation - id:200043 tickType:11 impliedVol:7.76510559795561E-02 delta:-7.09135665233668E-02 optPrice:3.00000014249235E-04 pvDividend:0 gamma: 1.79769313486232E+308 theta/vega/undPrice: -2.97495067776958E-04-1.99018929248474E-04-1.5787</t>
  </si>
  <si>
    <t>2014-11-26 15:54:20.961: RTWSControl  - tickOptionComputation - id:200044 tickType:10 impliedVol:5.48003917437434E-02 delta:0.90520605722379 optPrice:8.99999961256981E-03 pvDividend:0 gamma: 1.79769313486232E+308 theta/vega/undPrice: -2.59795465014383E-04-2.27643990190486E-04-1.5787</t>
  </si>
  <si>
    <t>2014-11-26 15:54:21.2: RTWSControl  - tickOptionComputation - id:200044 tickType:11 impliedVol:7.05761716876536E-02 delta:0.845738671585328 optPrice:9.39999986439943E-03 pvDividend:0 gamma: 1.79769313486232E+308 theta/vega/undPrice: -4.715662072987E-04-2.97755425193886E-04-1.5787</t>
  </si>
  <si>
    <t>2014-11-26 15:54:21.69: RTWSControl  - tickOptionComputation - id:200046 tickType:10 impliedVol:6.38572983049069E-02 delta:-0.128184366133865 optPrice:5.00000023748726E-04 pvDividend:0 gamma: 1.79769313486232E+308 theta/vega/undPrice: -3.79466762304553E-04-2.97755933216806E-04-1.5787</t>
  </si>
  <si>
    <t>2014-11-26 15:54:21.120: RTWSControl  - tickOptionComputation - id:200046 tickType:11 impliedVol:7.05927494129004E-02 delta:-0.154305730592012 optPrice:6.99999975040555E-04 pvDividend:0 gamma: 1.79769313486232E+308 theta/vega/undPrice: -4.7185183573053E-04-2.97755713616118E-04-1.5787</t>
  </si>
  <si>
    <t>2014-11-26 15:54:21.166: RTWSControl  - tickOptionComputation - id:200045 tickType:10 impliedVol:5.93042617556153E-02 delta:0.697418104622749 optPrice:5.10000018402934E-03 pvDividend:0 gamma: 1.79769313486232E+308 theta/vega/undPrice: -5.85210102240378E-04-4.45576145007472E-04-1.5787</t>
  </si>
  <si>
    <t>2014-11-26 15:54:21.206: RTWSControl  - tickOptionComputation - id:200045 tickType:11 impliedVol:6.37995409203449E-02 delta:0.684251483839009 optPrice:5.29999984428287E-03 pvDividend:0 gamma: 1.79769313486232E+308 theta/vega/undPrice: -6.39817307828663E-04-4.45575940076447E-04-1.5787</t>
  </si>
  <si>
    <t>2014-11-26 15:54:21.253: RTWSControl  - tickOptionComputation - id:200047 tickType:10 impliedVol:0.061546938532014 delta:-0.309378915195373 optPrice:1.50000001303852E-03 pvDividend:0 gamma: 1.79769313486232E+308 theta/vega/undPrice: -6.124796784862E-04-4.45576682158183E-04-1.5787</t>
  </si>
  <si>
    <t>2014-11-26 15:54:21.296: RTWSControl  - tickOptionComputation - id:200047 tickType:11 impliedVol:0.066052286394834 delta:-0.321656131066225 optPrice:1.70000002253801E-03 pvDividend:0 gamma: 1.79769313486232E+308 theta/vega/undPrice: -6.67209348296786E-04-4.45576471989482E-04-1.5787</t>
  </si>
  <si>
    <t>2014-11-26 15:54:21.362: RTWSControl  - tickOptionComputation - id:200055 tickType:10 impliedVol:5.74298283405808E-02 delta:0.427091964749344 optPrice:2.19999998807907E-03 pvDividend:0 gamma: 1.79769313486232E+308 theta/vega/undPrice: -6.35416670043085E-04-4.83473169939123E-04-1.5787</t>
  </si>
  <si>
    <t>2014-11-26 15:54:21.410: RTWSControl  - tickOptionComputation - id:200055 tickType:11 impliedVol:6.15568242718717E-02 delta:0.432103194103525 optPrice:2.40000011399388E-03 pvDividend:0 gamma: 1.79769313486232E+308 theta/vega/undPrice: -6.82310740523729E-04-4.83472974127657E-04-1.5787</t>
  </si>
  <si>
    <t>2014-11-26 15:54:21.467: RTWSControl  - tickOptionComputation - id:200049 tickType:10 impliedVol:6.69678870274834E-02 delta:0.701193084477341 optPrice:1.19000002741814E-02 pvDividend:0 gamma: 1.79769313486232E+308 theta/vega/undPrice: -3.19835216256357E-04-9.14323485610779E-04-1.5787</t>
  </si>
  <si>
    <t>2014-11-26 15:54:21.507: RTWSControl  - tickOptionComputation - id:200049 tickType:11 impliedVol:7.02421128394115E-02 delta:0.692421423373395 optPrice:1.21999997645617E-02 pvDividend:0 gamma: 1.79769313486232E+308 theta/vega/undPrice: -3.39152691980549E-04-9.14322044824939E-04-1.5787</t>
  </si>
  <si>
    <t>2014-11-26 15:54:21.585: RTWSControl  - tickOptionComputation - id:200050 tickType:10 impliedVol:6.91424357031036E-02 delta:-0.304669865598072 optPrice:3.40000004507601E-03 pvDividend:0 gamma: 1.79769313486232E+308 theta/vega/undPrice: -3.32726416338733E-04-9.14328092604239E-04-1.5787</t>
  </si>
  <si>
    <t>2014-11-26 15:54:21.626: RTWSControl  - tickOptionComputation - id:200050 tickType:11 impliedVol:7.13324467084908E-02 delta:-0.310262633697437 optPrice:3.59999993816018E-03 pvDividend:0 gamma: 1.79769313486232E+308 theta/vega/undPrice: -3.45647339639724E-04-9.14327113661414E-04-1.5787</t>
  </si>
  <si>
    <t>2014-11-26 15:54:21.693: RTWSControl  - tickOptionComputation - id:200051 tickType:10 impliedVol:6.77345804309006E-02 delta:-0.2994432076711 optPrice:3.1999999191612E-03 pvDividend:0 gamma: 1.79769313486232E+308 theta/vega/undPrice: -3.24719156268611E-04-8.59375252195721E-04-1.5787</t>
  </si>
  <si>
    <t>2014-11-26 15:54:21.743: RTWSControl  - tickOptionComputation - id:200051 tickType:11 impliedVol:7.12023017943817E-02 delta:-0.308214269057483 optPrice:3.50000010803342E-03 pvDividend:0 gamma: 1.79769313486232E+308 theta/vega/undPrice: -3.45767318478178E-04-8.70514584500161E-04-1.5787</t>
  </si>
  <si>
    <t>2014-11-26 15:54:21.788: RTWSControl  - tickOptionComputation - id:200052 tickType:10 impliedVol:1.79769313486232E+308 delta:1.79769313486232E+308 optPrice:1.79769313486232E+308 pvDividend:0 gamma: 1.79769313486232E+308 theta/vega/undPrice: 1.79769313486232E+308-1.79769313486232E+308-1.5787</t>
  </si>
  <si>
    <t>2014-11-26 15:54:21.824: RTWSControl  - tickOptionComputation - id:200052 tickType:11 impliedVol:1.79769313486232E+308 delta:1.79769313486232E+308 optPrice:1.79769313486232E+308 pvDividend:0 gamma: 1.79769313486232E+308 theta/vega/undPrice: 1.79769313486232E+308-1.79769313486232E+308-1.5787</t>
  </si>
  <si>
    <t>2014-11-26 15:54:21.865: RTWSControl  - tickOptionComputation - id:200048 tickType:10 impliedVol:8.12041970950643E-02 delta:-2.55577350216014E-02 optPrice:1.99999994947575E-04 pvDividend:0 gamma: 1.79769313486232E+308 theta/vega/undPrice: -6.60303393033318E-05-1.7933251324044E-04-1.5787</t>
  </si>
  <si>
    <t>2014-11-26 15:54:21.910: RTWSControl  - tickOptionComputation - id:200048 tickType:11 impliedVol:8.67543052867898E-02 delta:-3.43665365129771E-02 optPrice:3.00000014249235E-04 pvDividend:0 gamma: 1.79769313486232E+308 theta/vega/undPrice: -9.01721812009084E-05-2.30180986949937E-04-1.5787</t>
  </si>
  <si>
    <t>2014-11-26 15:54:21.958: RTWSControl  - tickOptionComputation - id:200053 tickType:10 impliedVol:6.16459427745107E-02 delta:8.45320446157056E-02 optPrice:6.00000028498471E-04 pvDividend:0 gamma: 1.79769313486232E+308 theta/vega/undPrice: -1.31073977848905E-04-4.4736404427518E-04-1.5787</t>
  </si>
  <si>
    <t>2014-11-26 15:54:21.996: RTWSControl  - tickOptionComputation - id:200053 tickType:11 impliedVol:6.38677992877624E-02 delta:9.30934440402198E-02 optPrice:6.99999975040555E-04 pvDividend:0 gamma: 1.79769313486232E+308 theta/vega/undPrice: -1.45450890788712E-04-4.473636262114E-04-1.5787</t>
  </si>
  <si>
    <t>2014-11-26 15:54:22.42: RTWSControl  - tickOptionComputation - id:200054 tickType:10 impliedVol:1.79769313486232E+308 delta:1.79769313486232E+308 optPrice:1.79769313486232E+308 pvDividend:0 gamma: 1.79769313486232E+308 theta/vega/undPrice: 1.79769313486232E+308-1.79769313486232E+308-1.5787</t>
  </si>
  <si>
    <t>2014-11-26 15:54:22.76: RTWSControl  - tickOptionComputation - id:200054 tickType:11 impliedVol:9.07585014474785E-02 delta:1.25036158465412E-02 optPrice:9.99999974737875E-05 pvDividend:0 gamma: 1.79769313486232E+308 theta/vega/undPrice: -4.00658294630448E-05-1.03779486856785E-04-1.5787</t>
  </si>
  <si>
    <t>2014-11-26 15:54:22.654: RTWSControl  - tickOptionComputation - id:200042 tickType:10 impliedVol:9.11303409524406E-02 delta:-4.36426060930848E-02 optPrice:1.99999994947575E-04 pvDividend:0 gamma: 1.79769313486232E+308 theta/vega/undPrice: -2.38271793953878E-04-1.43280662493529E-04-1.5786</t>
  </si>
  <si>
    <t>2014-11-26 15:54:22.705: RTWSControl  - tickOptionComputation - id:200042 tickType:11 impliedVol:9.11303409524406E-02 delta:-4.36426060930848E-02 optPrice:1.99999994947575E-04 pvDividend:0 gamma: 1.79769313486232E+308 theta/vega/undPrice: -2.38271793953878E-04-1.43280662493529E-04-1.5786</t>
  </si>
  <si>
    <t>2014-11-26 15:54:22.753: RTWSControl  - tickOptionComputation - id:200042 tickType:13 impliedVol:8.18301544394302E-02 delta:-2.93657961264151E-02 optPrice:1.14975264307208E-04 pvDividend:0 gamma: 1.79769313486232E+308 theta/vega/undPrice: -1.53191176232792E-04-9.4842876961096E-05-1.5786</t>
  </si>
  <si>
    <t>2014-11-26 15:54:22.794: RTWSControl  - tickOptionComputation - id:200041 tickType:10 impliedVol:0.013050634765591 delta:0.99998599906965 optPrice:1.36000001803041E-02 pvDividend:0 gamma: 5.61068450617081E-10 theta/vega/undPrice: 8.95051978089334E-08-8.0271924524089E-11-1.5786</t>
  </si>
  <si>
    <t>2014-11-26 15:54:22.840: RTWSControl  - tickOptionComputation - id:200041 tickType:11 impliedVol:7.72528020756632E-02 delta:0.928701435959242 optPrice:1.38999996706843E-02 pvDividend:0 gamma: 1.79769313486232E+308 theta/vega/undPrice: -2.97138468719755E-04-2.00322290734968E-04-1.5786</t>
  </si>
  <si>
    <t>2014-11-26 15:54:22.909: RTWSControl  - tickOptionComputation - id:200041 tickType:13 impliedVol:7.29781351249557E-02 delta:0.938828963949719 optPrice:1.38384765053869E-02 pvDividend:0 gamma: 1.79769313486232E+308 theta/vega/undPrice: -2.48117066171523E-04-1.69649447505289E-04-1.5786</t>
  </si>
  <si>
    <t>2014-11-26 15:54:22.955: RTWSControl  - tickOptionComputation - id:200043 tickType:10 impliedVol:6.14524082352938E-02 delta:-3.32015036141346E-02 optPrice:9.99999974737875E-05 pvDividend:0 gamma: 1.79769313486232E+308 theta/vega/undPrice: -1.27470076859265E-04-1.17621232880093E-04-1.5786</t>
  </si>
  <si>
    <t>2014-11-26 15:54:22.998: RTWSControl  - tickOptionComputation - id:200043 tickType:11 impliedVol:7.72392654526567E-02 delta:-7.12546991686086E-02 optPrice:3.00000014249235E-04 pvDividend:0 gamma: 1.79769313486232E+308 theta/vega/undPrice: -2.9707315108571E-04-2.00225459920041E-04-1.5786</t>
  </si>
  <si>
    <t>2014-11-26 15:54:23.44: TransitionLogger - flushFile - flushing file</t>
  </si>
  <si>
    <t>2014-11-26 15:54:23.45: TransitionLogger - openTransitionFile - opening file C:\temp\transitionlog_2014-11-26_155023</t>
  </si>
  <si>
    <t>2014-11-26 15:54:23.47: RTWSControl  - tickOptionComputation - id:200043 tickType:13 impliedVol:7.29781351249557E-02 delta:-6.12835572585196E-02 optPrice:2.38671042710648E-04 pvDividend:0 gamma: 1.79769313486232E+308 theta/vega/undPrice: -2.48206929974521E-04-1.69649716137922E-04-1.5786</t>
  </si>
  <si>
    <t>2014-11-26 15:54:23.78: RTWSControl  - tickOptionComputation - id:200044 tickType:10 impliedVol:5.89558922512056E-02 delta:0.886444051271972 optPrice:8.99999961256981E-03 pvDividend:0 gamma: 1.79769313486232E+308 theta/vega/undPrice: -3.19835831023483E-04-2.67731968014153E-04-1.5786</t>
  </si>
  <si>
    <t>2014-11-26 15:54:23.122: RTWSControl  - tickOptionComputation - id:200044 tickType:11 impliedVol:7.00499836419112E-02 delta:0.844731340486155 optPrice:9.30000003427267E-03 pvDividend:0 gamma: 1.79769313486232E+308 theta/vega/undPrice: -4.70025062172515E-04-2.97746012978252E-04-1.5786</t>
  </si>
  <si>
    <t>2014-11-26 15:54:23.168: RTWSControl  - tickOptionComputation - id:200044 tickType:13 impliedVol:6.66312439449683E-02 delta:0.85749691141326 optPrice:9.19820835363341E-03 pvDividend:0 gamma: 1.79769313486232E+308 theta/vega/undPrice: -4.23134388394802E-04-2.97746123552661E-04-1.5786</t>
  </si>
  <si>
    <t>2014-11-26 15:54:23.211: RTWSControl  - tickOptionComputation - id:200046 tickType:10 impliedVol:6.33185766461924E-02 delta:-0.129026124172916 optPrice:5.00000023748726E-04 pvDividend:0 gamma: 1.79769313486232E+308 theta/vega/undPrice: -3.77755955802308E-04-2.97746518917211E-04-1.5786</t>
  </si>
  <si>
    <t>2014-11-26 15:54:23.257: RTWSControl  - tickOptionComputation - id:200046 tickType:11 impliedVol:7.00525597206068E-02 delta:-0.155263977049835 optPrice:6.99999975040555E-04 pvDividend:0 gamma: 1.79769313486232E+308 theta/vega/undPrice: -4.701179775564E-04-2.97746301905074E-04-1.5786</t>
  </si>
  <si>
    <t>2014-11-26 15:54:23.326: RTWSControl  - tickOptionComputation - id:200046 tickType:13 impliedVol:6.66312439449683E-02 delta:-0.142615772827828 optPrice:5.98332045903012E-04 pvDividend:0 gamma: 1.79769313486232E+308 theta/vega/undPrice: -4.23191881641129E-04-2.97746412061967E-04-1.5786</t>
  </si>
  <si>
    <t>2014-11-26 15:54:23.371: RTWSControl  - tickOptionComputation - id:200045 tickType:10 impliedVol:6.08068942327547E-02 delta:0.687856214273396 optPrice:5.10000018402934E-03 pvDividend:0 gamma: 1.79769313486232E+308 theta/vega/undPrice: -6.07094327672169E-04-4.45561964272388E-04-1.5786</t>
  </si>
  <si>
    <t>2014-11-26 15:54:23.414: RTWSControl  - tickOptionComputation - id:200045 tickType:11 impliedVol:6.52859332231342E-02 delta:0.675694415810924 optPrice:5.29999984428287E-03 pvDividend:0 gamma: 1.79769313486232E+308 theta/vega/undPrice: -6.61502509038877E-04-4.45561757395237E-04-1.5786</t>
  </si>
  <si>
    <t>2014-11-26 15:54:23.461: RTWSControl  - tickOptionComputation - id:200045 tickType:13 impliedVol:6.27894808994824E-02 delta:0.682344083366838 optPrice:5.18837351035816E-03 pvDividend:0 gamma: 1.79769313486232E+308 theta/vega/undPrice: -6.31177388584405E-04-4.45561874077524E-04-1.5786</t>
  </si>
  <si>
    <t>2014-11-26 15:54:23.505: RTWSControl  - tickOptionComputation - id:200047 tickType:10 impliedVol:6.07951293328605E-02 delta:-0.312096144083323 optPrice:1.50000001303852E-03 pvDividend:0 gamma: 1.79769313486232E+308 theta/vega/undPrice: -6.06976995982384E-04-4.45562602979188E-04-1.5786</t>
  </si>
  <si>
    <t>2014-11-26 15:54:23.548: RTWSControl  - tickOptionComputation - id:200047 tickType:11 impliedVol:6.52982198416411E-02 delta:-0.324323333596518 optPrice:1.70000002253801E-03 pvDividend:0 gamma: 1.79769313486232E+308 theta/vega/undPrice: -6.61677521813977E-04-4.45562395849143E-04-1.5786</t>
  </si>
  <si>
    <t>2014-11-26 15:54:23.618: RTWSControl  - tickOptionComputation - id:200047 tickType:13 impliedVol:6.27894808994824E-02 delta:-0.31776905109595 optPrice:1.58842765849171E-03 pvDividend:0 gamma: 1.79769313486232E+308 theta/vega/undPrice: -6.31203049983095E-04-4.45562512636413E-04-1.5786</t>
  </si>
  <si>
    <t>2014-11-26 15:54:23.665: RTWSControl  - tickOptionComputation - id:200055 tickType:10 impliedVol:5.83589225486881E-02 delta:0.422691203685253 optPrice:2.19999998807907E-03 pvDividend:0 gamma: 1.79769313486232E+308 theta/vega/undPrice: -6.4463365529797E-04-4.83457815553991E-04-1.5786</t>
  </si>
  <si>
    <t>2014-11-26 15:54:23.703: RTWSControl  - tickOptionComputation - id:200055 tickType:11 impliedVol:6.24749011717185E-02 delta:0.427907524766443 optPrice:2.40000011399388E-03 pvDividend:0 gamma: 1.79769313486232E+308 theta/vega/undPrice: -6.91401046266569E-04-4.83457617198783E-04-1.5786</t>
  </si>
  <si>
    <t>2014-11-26 15:54:23.749: RTWSControl  - tickOptionComputation - id:200055 tickType:13 impliedVol:0.061452845988498 delta:0.426730618334084 optPrice:2.34959370570852E-03 pvDividend:0 gamma: 1.79769313486232E+308 theta/vega/undPrice: -6.7978805236286E-04-4.83457667587523E-04-1.5786</t>
  </si>
  <si>
    <t>2014-11-26 15:54:23.793: RTWSControl  - tickOptionComputation - id:200049 tickType:10 impliedVol:6.76895311368138E-02 delta:0.697029936169747 optPrice:1.19000002741814E-02 pvDividend:0 gamma: 1.79769313486232E+308 theta/vega/undPrice: -3.24945408036392E-04-9.14294205167396E-04-1.5786</t>
  </si>
  <si>
    <t>2014-11-26 15:54:23.841: RTWSControl  - tickOptionComputation - id:200049 tickType:11 impliedVol:7.09706388896091E-02 delta:0.688524260784546 optPrice:1.21999997645617E-02 pvDividend:0 gamma: 1.79769313486232E+308 theta/vega/undPrice: -3.44302856441365E-04-9.14292753113761E-04-1.5786</t>
  </si>
  <si>
    <t>2014-11-26 15:54:23.910: RTWSControl  - tickOptionComputation - id:200049 tickType:13 impliedVol:6.84577482255975E-02 delta:0.695052433954648 optPrice:1.19700038082398E-02 pvDividend:0 gamma: 1.79769313486232E+308 theta/vega/undPrice: -3.29477640950224E-04-9.14293869846755E-04-1.5786</t>
  </si>
  <si>
    <t>2014-11-26 15:54:23.955: RTWSControl  - tickOptionComputation - id:200050 tickType:13 impliedVol:6.84577482255975E-02 delta:-0.305017683884079 optPrice:3.37054776010527E-03 pvDividend:0 gamma: 1.79769313486232E+308 theta/vega/undPrice: -3.29538599404732E-04-9.14299427786266E-04-1.5786</t>
  </si>
  <si>
    <t>2014-11-26 15:54:23.995: RTWSControl  - tickOptionComputation - id:200050 tickType:10 impliedVol:6.87772731985029E-02 delta:-0.305824447056575 optPrice:3.40000004507601E-03 pvDividend:0 gamma: 1.79769313486232E+308 theta/vega/undPrice: -3.31423719952378E-04-9.14299287721098E-04-1.5786</t>
  </si>
  <si>
    <t>2014-11-26 15:54:24.36: RTWSControl  - tickOptionComputation - id:200050 tickType:11 impliedVol:0.070964652681006 delta:-0.311404662322899 optPrice:3.59999993816018E-03 pvDividend:0 gamma: 1.79769313486232E+308 theta/vega/undPrice: -3.44328714155798E-04-9.14298318658566E-04-1.5786</t>
  </si>
  <si>
    <t>2014-11-26 15:54:24.83: RTWSControl  - tickOptionComputation - id:200051 tickType:13 impliedVol:7.08486862386817E-02 delta:-0.309401999363924 optPrice:3.49985093007948E-03 pvDividend:0 gamma: 1.79769313486232E+308 theta/vega/undPrice: -3.44588857067085E-04-8.7187790299328E-04-1.5786</t>
  </si>
  <si>
    <t>2014-11-26 15:54:24.127: RTWSControl  - tickOptionComputation - id:200052 tickType:13 impliedVol:0.121418444956155 delta:-0.514823752693012 optPrice:1.26995362289587E-02 pvDividend:0 gamma: 1.79769313486232E+308 theta/vega/undPrice: -6.67879767511796E-04-9.8610958445661E-04-1.5786</t>
  </si>
  <si>
    <t>2014-11-26 15:54:24.169: RTWSControl  - tickOptionComputation - id:200051 tickType:10 impliedVol:6.73867833871645E-02 delta:-0.300604159605915 optPrice:3.1999999191612E-03 pvDividend:0 gamma: 1.79769313486232E+308 theta/vega/undPrice: -3.23597270509202E-04-8.60826444138495E-04-1.5786</t>
  </si>
  <si>
    <t>2014-11-26 15:54:24.235: RTWSControl  - tickOptionComputation - id:200051 tickType:11 impliedVol:7.08478767556472E-02 delta:-0.309360920574664 optPrice:3.50000010803342E-03 pvDividend:0 gamma: 1.79769313486232E+308 theta/vega/undPrice: -3.44583966972956E-04-8.71875491370902E-04-1.5786</t>
  </si>
  <si>
    <t>2014-11-26 15:54:24.289: RTWSControl  - tickOptionComputation - id:200052 tickType:10 impliedVol:1.79769313486232E+308 delta:1.79769313486232E+308 optPrice:1.79769313486232E+308 pvDividend:0 gamma: 1.79769313486232E+308 theta/vega/undPrice: 1.79769313486232E+308-1.79769313486232E+308-1.5786</t>
  </si>
  <si>
    <t>2014-11-26 15:54:24.324: RTWSControl  - tickOptionComputation - id:200052 tickType:11 impliedVol:1.79769313486232E+308 delta:1.79769313486232E+308 optPrice:1.79769313486232E+308 pvDividend:0 gamma: 1.79769313486232E+308 theta/vega/undPrice: 1.79769313486232E+308-1.79769313486232E+308-1.5786</t>
  </si>
  <si>
    <t>2014-11-26 15:54:24.365: RTWSControl  - tickOptionComputation - id:200048 tickType:13 impliedVol:8.21754987858068E-02 delta:-2.75373877221314E-02 optPrice:2.21026419358829E-04 pvDividend:0 gamma: 1.79769313486232E+308 theta/vega/undPrice: -7.09860586238362E-05-1.80982255908228E-04-1.5786</t>
  </si>
  <si>
    <t>2014-11-26 15:54:24.411: RTWSControl  - tickOptionComputation - id:200048 tickType:10 impliedVol:8.10314120391975E-02 delta:-2.56172951143729E-02 optPrice:1.99999994947575E-04 pvDividend:0 gamma: 1.79769313486232E+308 theta/vega/undPrice: -6.60096623489856E-05-1.79326850727613E-04-1.5786</t>
  </si>
  <si>
    <t>2014-11-26 15:54:24.453: RTWSControl  - tickOptionComputation - id:200048 tickType:11 impliedVol:8.65761085774246E-02 delta:-3.44322010064162E-02 optPrice:3.00000014249235E-04 pvDividend:0 gamma: 1.79769313486232E+308 theta/vega/undPrice: -9.01272039403157E-05-2.30822544549776E-04-1.5786</t>
  </si>
  <si>
    <t>2014-11-26 15:54:24.499: RTWSControl  - tickOptionComputation - id:200053 tickType:13 impliedVol:6.37088749037922E-02 delta:9.13906291283872E-02 optPrice:6.81962659921412E-04 pvDividend:0 gamma: 1.79769313486232E+308 theta/vega/undPrice: -1.43152133686711E-04-4.4734948384346E-04-1.5786</t>
  </si>
  <si>
    <t>2014-11-26 15:54:24.539: RTWSControl  - tickOptionComputation - id:200054 tickType:13 impliedVol:6.79288788203891E-02 delta:1.29855638039331E-03 optPrice:6.3736816902319E-06 pvDividend:0 gamma: 0.249001201689781 theta/vega/undPrice: -3.92118909811809E-06-2.00700433318165E-05-1.5786</t>
  </si>
  <si>
    <t>2014-11-26 15:54:24.578: RTWSControl  - tickOptionComputation - id:200053 tickType:10 impliedVol:6.18743535521905E-02 delta:0.084285200947268 optPrice:6.00000028498471E-04 pvDividend:0 gamma: 1.79769313486232E+308 theta/vega/undPrice: -1.31281917083455E-04-4.47349831529341E-04-1.5786</t>
  </si>
  <si>
    <t>2014-11-26 15:54:24.620: RTWSControl  - tickOptionComputation - id:200053 tickType:11 impliedVol:6.40949690637638E-02 delta:9.28205171693877E-02 optPrice:6.99999975040555E-04 pvDividend:0 gamma: 1.79769313486232E+308 theta/vega/undPrice: -1.45650342616329E-04-4.47349411391075E-04-1.5786</t>
  </si>
  <si>
    <t>2014-11-26 15:54:24.666: RTWSControl  - tickOptionComputation - id:200054 tickType:10 impliedVol:1.79769313486232E+308 delta:1.79769313486232E+308 optPrice:1.79769313486232E+308 pvDividend:0 gamma: 1.79769313486232E+308 theta/vega/undPrice: 1.79769313486232E+308-1.79769313486232E+308-1.5786</t>
  </si>
  <si>
    <t>2014-11-26 15:54:24.702: RTWSControl  - tickOptionComputation - id:200054 tickType:11 impliedVol:9.09262055091595E-02 delta:1.24917879606971E-02 optPrice:9.99999974737875E-05 pvDividend:0 gamma: 1.79769313486232E+308 theta/vega/undPrice: -4.01057078465611E-05-1.03776189213304E-04-1.5786</t>
  </si>
  <si>
    <t>2014-11-26 15:54:25.413: RTWSControl  - tickOptionComputation - id:200042 tickType:10 impliedVol:9.07085879154556E-02 delta:-4.37869677160551E-02 optPrice:1.99999994947575E-04 pvDividend:0 gamma: 1.79769313486232E+308 theta/vega/undPrice: -2.37738633561446E-04-1.43276132849408E-04-1.5785</t>
  </si>
  <si>
    <t>2014-11-26 15:54:25.488: RTWSControl  - tickOptionComputation - id:200042 tickType:11 impliedVol:9.07085879154556E-02 delta:-4.37869677160551E-02 optPrice:1.99999994947575E-04 pvDividend:0 gamma: 1.79769313486232E+308 theta/vega/undPrice: -2.37738633561446E-04-1.43276132849408E-04-1.5785</t>
  </si>
  <si>
    <t>2014-11-26 15:54:25.539: RTWSControl  - tickOptionComputation - id:200042 tickType:13 impliedVol:8.18301544394302E-02 delta:-3.00899407932327E-02 optPrice:1.18197821878964E-04 pvDividend:0 gamma: 1.79769313486232E+308 theta/vega/undPrice: -1.56303251036204E-04-9.75244534025717E-05-1.5785</t>
  </si>
  <si>
    <t>2014-11-26 15:54:25.582: RTWSControl  - tickOptionComputation - id:200041 tickType:13 impliedVol:7.29781351249557E-02 delta:0.937501796375003 optPrice:1.37443906284485E-02 pvDividend:0 gamma: 1.79769313486232E+308 theta/vega/undPrice: -2.52419871608567E-04-1.73811839504809E-04-1.5785</t>
  </si>
  <si>
    <t>2014-11-26 15:54:25.623: RTWSControl  - tickOptionComputation - id:200043 tickType:13 impliedVol:7.29781351249557E-02 delta:-6.26107258021636E-02 optPrice:2.44583740616937E-04 pvDividend:0 gamma: 1.79769313486232E+308 theta/vega/undPrice: -2.52509081532115E-04-1.73812111512334E-04-1.5785</t>
  </si>
  <si>
    <t>2014-11-26 15:54:25.663: RTWSControl  - tickOptionComputation - id:200044 tickType:13 impliedVol:6.66312439449683E-02 delta:0.854481826026085 optPrice:9.11425843821305E-03 pvDividend:0 gamma: 1.79769313486232E+308 theta/vega/undPrice: -4.28812032579634E-04-2.97736692878314E-04-1.5785</t>
  </si>
  <si>
    <t>2014-11-26 15:54:25.706: RTWSControl  - tickOptionComputation - id:200046 tickType:13 impliedVol:6.66312439449683E-02 delta:-0.145630861362114 optPrice:6.14380714480707E-04 pvDividend:0 gamma: 1.79769313486232E+308 theta/vega/undPrice: -4.28868877451184E-04-2.97736981502395E-04-1.5785</t>
  </si>
  <si>
    <t>2014-11-26 15:54:25.748: RTWSControl  - tickOptionComputation - id:200045 tickType:13 impliedVol:6.27894808994824E-02 delta:0.677555748761153 optPrice:5.12187634287182E-03 pvDividend:0 gamma: 1.79769313486232E+308 theta/vega/undPrice: -6.34807348318248E-04-4.45547761053942E-04-1.5785</t>
  </si>
  <si>
    <t>2014-11-26 15:54:25.790: RTWSControl  - tickOptionComputation - id:200047 tickType:13 impliedVol:6.27894808994824E-02 delta:-0.322557393274401 optPrice:1.62192909795556E-03 pvDividend:0 gamma: 1.79769313486232E+308 theta/vega/undPrice: -6.34832367980098E-04-4.45548399948395E-04-1.5785</t>
  </si>
  <si>
    <t>2014-11-26 15:54:25.834: RTWSControl  - tickOptionComputation - id:200055 tickType:13 impliedVol:0.061452845988498 delta:0.421420839565669 optPrice:2.3051140222923E-03 pvDividend:0 gamma: 1.79769313486232E+308 theta/vega/undPrice: -6.78446844011236E-04-4.83442355963959E-04-1.5785</t>
  </si>
  <si>
    <t>2014-11-26 15:54:25.869: RTWSControl  - tickOptionComputation - id:200049 tickType:13 impliedVol:6.84577482255975E-02 delta:0.692919868023764 optPrice:1.19033998051264E-02 pvDividend:0 gamma: 1.79769313486232E+308 theta/vega/undPrice: -3.30330083187938E-04-9.14264903267875E-04-1.5785</t>
  </si>
  <si>
    <t>2014-11-26 15:54:25.914: RTWSControl  - tickOptionComputation - id:200050 tickType:13 impliedVol:6.84577482255975E-02 delta:-0.307150264497092 optPrice:3.40393787318762E-03 pvDividend:0 gamma: 1.79769313486232E+308 theta/vega/undPrice: -3.30390401172329E-04-9.14270461903219E-04-1.5785</t>
  </si>
  <si>
    <t>2014-11-26 15:54:25.953: RTWSControl  - tickOptionComputation - id:200051 tickType:13 impliedVol:7.08486862386817E-02 delta:-0.311416321903818 optPrice:3.53088786984011E-03 pvDividend:0 gamma: 1.79769313486232E+308 theta/vega/undPrice: -3.45541018628765E-04-8.74287415671403E-04-1.5785</t>
  </si>
  <si>
    <t>2014-11-26 15:54:25.996: RTWSControl  - tickOptionComputation - id:200052 tickType:13 impliedVol:0.121418444956155 delta:-0.516151158903301 optPrice:1.27510753808238E-02 pvDividend:0 gamma: 1.79769313486232E+308 theta/vega/undPrice: -6.67750958119524E-04-9.85919924813192E-04-1.5785</t>
  </si>
  <si>
    <t>2014-11-26 15:54:26.36: RTWSControl  - tickOptionComputation - id:200048 tickType:13 impliedVol:8.21754987858068E-02 delta:-0.027885847908636 optPrice:2.24224687478748E-04 pvDividend:0 gamma: 1.79769313486232E+308 theta/vega/undPrice: -7.17168055256614E-05-1.83643669421289E-04-1.5785</t>
  </si>
  <si>
    <t>2014-11-26 15:54:26.82: RTWSControl  - tickOptionComputation - id:200053 tickType:13 impliedVol:6.37088749037922E-02 delta:9.02685962249402E-02 optPrice:6.71741379605624E-04 pvDividend:0 gamma: 1.79769313486232E+308 theta/vega/undPrice: -1.41881723968745E-04-4.47335311848133E-04-1.5785</t>
  </si>
  <si>
    <t>2014-11-26 15:54:26.121: RTWSControl  - tickOptionComputation - id:200054 tickType:13 impliedVol:6.79288788203891E-02 delta:1.27319998069778E-03 optPrice:6.24127964086425E-06 pvDividend:0 gamma: 0.244503381603993 theta/vega/undPrice: -3.84987120992206E-06-1.98662807696796E-05-1.5785</t>
  </si>
  <si>
    <t>2014-11-26 15:54:26.163: RTWSControl  - tickOptionComputation - id:200041 tickType:10 impliedVol:6.11938055478054E-02 delta:0.966371353384488 optPrice:1.36000001803041E-02 pvDividend:0 gamma: 1.79769313486232E+308 theta/vega/undPrice: -1.28168164022932E-04-1.18869703339882E-04-1.5785</t>
  </si>
  <si>
    <t>2014-11-26 15:54:26.206: RTWSControl  - tickOptionComputation - id:200041 tickType:11 impliedVol:8.67781245637093E-02 delta:0.901146133230394 optPrice:1.40000004321337E-02 pvDividend:0 gamma: 1.79769313486232E+308 theta/vega/undPrice: -4.24202181762583E-04-2.15258311099739E-04-1.5785</t>
  </si>
  <si>
    <t>2014-11-26 15:54:26.253: RTWSControl  - tickOptionComputation - id:200043 tickType:10 impliedVol:6.11807812672692E-02 delta:-3.35867214466805E-02 optPrice:9.99999974737875E-05 pvDividend:0 gamma: 1.79769313486232E+308 theta/vega/undPrice: -1.28139779289874E-04-1.18797488949517E-04-1.5785</t>
  </si>
  <si>
    <t>2014-11-26 15:54:26.294: RTWSControl  - tickOptionComputation - id:200043 tickType:11 impliedVol:7.68274488390918E-02 delta:-7.15995082700111E-02 optPrice:3.00000014249235E-04 pvDividend:0 gamma: 1.79769313486232E+308 theta/vega/undPrice: -2.96651234002114E-04-2.01431990478816E-04-1.5785</t>
  </si>
  <si>
    <t>2014-11-26 15:54:26.361: RTWSControl  - tickOptionComputation - id:200044 tickType:10 impliedVol:6.27836270330897E-02 delta:0.870087353108429 optPrice:8.99999961256981E-03 pvDividend:0 gamma: 1.79769313486232E+308 theta/vega/undPrice: -3.76040607258982E-04-2.97736815681508E-04-1.5785</t>
  </si>
  <si>
    <t>2014-11-26 15:54:26.412: RTWSControl  - tickOptionComputation - id:200044 tickType:11 impliedVol:7.62161736573295E-02 delta:0.822144097012237 optPrice:9.39999986439943E-03 pvDividend:0 gamma: 1.79769313486232E+308 theta/vega/undPrice: -5.60272548995154E-04-3.27814358396142E-04-1.5785</t>
  </si>
  <si>
    <t>2014-11-26 15:54:26.457: RTWSControl  - tickOptionComputation - id:200046 tickType:10 impliedVol:6.27795370726572E-02 delta:-0.129881137118583 optPrice:5.00000023748726E-04 pvDividend:0 gamma: 1.79769313486232E+308 theta/vega/undPrice: -3.76041256407092E-04-2.977371042337E-04-1.5785</t>
  </si>
  <si>
    <t>2014-11-26 15:54:26.498: RTWSControl  - tickOptionComputation - id:200046 tickType:11 impliedVol:6.94957955101719E-02 delta:-0.156178688212601 optPrice:6.99999975040555E-04 pvDividend:0 gamma: 1.79769313486232E+308 theta/vega/undPrice: -4.68157262340255E-04-2.97736890517571E-04-1.5785</t>
  </si>
  <si>
    <t>2014-11-26 15:54:26.553: RTWSControl  - tickOptionComputation - id:200045 tickType:10 impliedVol:6.22885253397537E-02 delta:0.678812390852114 optPrice:5.10000018402934E-03 pvDividend:0 gamma: 1.79769313486232E+308 theta/vega/undPrice: -6.28722288294979E-04-4.4554778393531E-04-1.5785</t>
  </si>
  <si>
    <t>2014-11-26 15:54:26.625: RTWSControl  - tickOptionComputation - id:200045 tickType:11 impliedVol:6.67723255257439E-02 delta:0.66751846522038 optPrice:5.29999984428287E-03 pvDividend:0 gamma: 1.79769313486232E+308 theta/vega/undPrice: -6.83186559400266E-04-4.45547574176962E-04-1.5785</t>
  </si>
  <si>
    <t>2014-11-26 15:54:26.695: RTWSControl  - tickOptionComputation - id:200047 tickType:10 impliedVol:6.00306321876327E-02 delta:-0.314844759633825 optPrice:1.50000001303852E-03 pvDividend:0 gamma: 1.79769313486232E+308 theta/vega/undPrice: -6.01320770512304E-04-4.45548523694035E-04-1.5785</t>
  </si>
  <si>
    <t>2014-11-26 15:54:26.744: RTWSControl  - tickOptionComputation - id:200047 tickType:11 impliedVol:6.45403917399335E-02 delta:-0.327043625083564 optPrice:1.70000002253801E-03 pvDividend:0 gamma: 1.79769313486232E+308 theta/vega/undPrice: -6.5610058252352E-04-4.45548319214099E-04-1.5785</t>
  </si>
  <si>
    <t>2014-11-26 15:54:26.789: RTWSControl  - tickOptionComputation - id:200055 tickType:10 impliedVol:5.92690853743505E-02 delta:0.418401534095917 optPrice:2.19999998807907E-03 pvDividend:0 gamma: 1.79769313486232E+308 theta/vega/undPrice: -6.5363487021499E-04-4.83442461294657E-04-1.5785</t>
  </si>
  <si>
    <t>2014-11-26 15:54:26.829: RTWSControl  - tickOptionComputation - id:200055 tickType:11 impliedVol:6.34054344133085E-02 delta:0.423848537543866 optPrice:2.40000011399388E-03 pvDividend:0 gamma: 1.79769313486232E+308 theta/vega/undPrice: -7.00632217974285E-04-4.83442258882645E-04-1.5785</t>
  </si>
  <si>
    <t>2014-11-26 15:54:26.874: RTWSControl  - tickOptionComputation - id:200049 tickType:10 impliedVol:0.06841797586885 delta:0.692936800040545 optPrice:1.19000002741814E-02 pvDividend:0 gamma: 1.79769313486232E+308 theta/vega/undPrice: -3.30095446651928E-04-9.14264920661599E-04-1.5785</t>
  </si>
  <si>
    <t>2014-11-26 15:54:26.919: RTWSControl  - tickOptionComputation - id:200049 tickType:11 impliedVol:7.16991649315311E-02 delta:0.684706368333379 optPrice:1.21999997645617E-02 pvDividend:0 gamma: 1.79769313486232E+308 theta/vega/undPrice: -3.49452744726432E-04-9.14263460281438E-04-1.5785</t>
  </si>
  <si>
    <t>2014-11-26 15:54:26.987: RTWSControl  - tickOptionComputation - id:200050 tickType:10 impliedVol:6.84120876119844E-02 delta:-0.306991398939443 optPrice:3.40000004507601E-03 pvDividend:0 gamma: 1.79769313486232E+308 theta/vega/undPrice: -3.30121023004695E-04-9.14270481819412E-04-1.5785</t>
  </si>
  <si>
    <t>2014-11-26 15:54:27.33: RTWSControl  - tickOptionComputation - id:200050 tickType:11 impliedVol:7.06099963846297E-02 delta:-0.312591114732563 optPrice:3.59999993816018E-03 pvDividend:0 gamma: 1.79769313486232E+308 theta/vega/undPrice: -3.43087732035179E-04-9.14269517133648E-04-1.5785</t>
  </si>
  <si>
    <t>2014-11-26 15:54:27.80: RTWSControl  - tickOptionComputation - id:200051 tickType:10 impliedVol:6.70410742831967E-02 delta:-0.301784774856367 optPrice:3.1999999191612E-03 pvDividend:0 gamma: 1.79769313486232E+308 theta/vega/undPrice: -3.2248558690492E-04-8.62293120250278E-04-1.5785</t>
  </si>
  <si>
    <t>2014-11-26 15:54:27.120: RTWSControl  - tickOptionComputation - id:200051 tickType:11 impliedVol:7.04879027112348E-02 delta:-0.31050758809763 optPrice:3.50000010803342E-03 pvDividend:0 gamma: 1.79769313486232E+308 theta/vega/undPrice: -3.4336451245611E-04-8.73227011443348E-04-1.5785</t>
  </si>
  <si>
    <t>2014-11-26 15:54:27.167: RTWSControl  - tickOptionComputation - id:200052 tickType:10 impliedVol:1.79769313486232E+308 delta:1.79769313486232E+308 optPrice:1.79769313486232E+308 pvDividend:0 gamma: 1.79769313486232E+308 theta/vega/undPrice: 1.79769313486232E+308-1.79769313486232E+308-1.5785</t>
  </si>
  <si>
    <t>2014-11-26 15:54:27.201: RTWSControl  - tickOptionComputation - id:200052 tickType:11 impliedVol:1.79769313486232E+308 delta:1.79769313486232E+308 optPrice:1.79769313486232E+308 pvDividend:0 gamma: 1.79769313486232E+308 theta/vega/undPrice: 1.79769313486232E+308-1.79769313486232E+308-1.5785</t>
  </si>
  <si>
    <t>2014-11-26 15:54:27.245: RTWSControl  - tickOptionComputation - id:200048 tickType:10 impliedVol:8.08215312747918E-02 delta:-2.56139691714778E-02 optPrice:1.99999994947575E-04 pvDividend:0 gamma: 1.79769313486232E+308 theta/vega/undPrice: -6.5827683963751E-05-1.79321191473733E-04-1.5785</t>
  </si>
  <si>
    <t>2014-11-26 15:54:27.289: RTWSControl  - tickOptionComputation - id:200048 tickType:11 impliedVol:8.63979006122436E-02 delta:-3.44981402520687E-02 optPrice:3.00000014249235E-04 pvDividend:0 gamma: 1.79769313486232E+308 theta/vega/undPrice: -9.00822267082061E-05-2.31464102391443E-04-1.5785</t>
  </si>
  <si>
    <t>2014-11-26 15:54:27.336: RTWSControl  - tickOptionComputation - id:200053 tickType:10 impliedVol:6.21027788201271E-02 delta:8.40401617037016E-02 optPrice:6.00000028498471E-04 pvDividend:0 gamma: 1.79769313486232E+308 theta/vega/undPrice: -1.31489856252966E-04-4.47335618218219E-04-1.5785</t>
  </si>
  <si>
    <t>2014-11-26 15:54:27.376: RTWSControl  - tickOptionComputation - id:200053 tickType:11 impliedVol:6.43381472739962E-02 delta:9.26087046882438E-02 optPrice:6.99999975040555E-04 pvDividend:0 gamma: 1.79769313486232E+308 theta/vega/undPrice: -1.45953279821705E-04-4.47335192996441E-04-1.5785</t>
  </si>
  <si>
    <t>2014-11-26 15:54:27.443: RTWSControl  - tickOptionComputation - id:200054 tickType:10 impliedVol:1.79769313486232E+308 delta:1.79769313486232E+308 optPrice:1.79769313486232E+308 pvDividend:0 gamma: 1.79769313486232E+308 theta/vega/undPrice: 1.79769313486232E+308-1.79769313486232E+308-1.5785</t>
  </si>
  <si>
    <t>2014-11-26 15:54:27.459: RTWSControl  - tickOptionComputation - id:200054 tickType:11 impliedVol:9.10520166204874E-02 delta:1.24374262522782E-02 optPrice:9.99999974737875E-05 pvDividend:0 gamma: 1.79769313486232E+308 theta/vega/undPrice: -4.00130171565595E-05-1.03772894051857E-04-1.5785</t>
  </si>
  <si>
    <t>2014-11-26 15:54:27.612: RTWSControl  - tickOptionComputation - id:200042 tickType:13 impliedVol:8.11459303047855E-02 delta:-2.89553837093262E-02 optPrice:1.12189337630717E-04 pvDividend:0 gamma: 1.79769313486232E+308 theta/vega/undPrice: -1.5014618756732E-04-9.37296323658053E-05-1.5785</t>
  </si>
  <si>
    <t>2014-11-26 15:54:27.663: RTWSControl  - tickOptionComputation - id:200041 tickType:13 impliedVol:7.24898155912683E-02 delta:0.938711686027584 optPrice:1.37373829560892E-02 pvDividend:0 gamma: 1.79769313486232E+308 theta/vega/undPrice: -2.46820052981401E-04-1.70308015456106E-04-1.5785</t>
  </si>
  <si>
    <t>2014-11-26 15:54:27.705: RTWSControl  - tickOptionComputation - id:200043 tickType:13 impliedVol:7.24898155912683E-02 delta:-6.14008352672786E-02 optPrice:2.37576063446246E-04 pvDividend:0 gamma: 1.79769313486232E+308 theta/vega/undPrice: -2.46909256614344E-04-1.70308283741872E-04-1.5785</t>
  </si>
  <si>
    <t>2014-11-26 15:54:27.747: RTWSControl  - tickOptionComputation - id:200044 tickType:13 impliedVol:6.63882441610468E-02 delta:0.85542034106606 optPrice:9.10702343903598E-03 pvDividend:0 gamma: 1.79769313486232E+308 theta/vega/undPrice: -4.25479205892194E-04-2.97736700641295E-04-1.5785</t>
  </si>
  <si>
    <t>2014-11-26 15:54:27.789: RTWSControl  - tickOptionComputation - id:200046 tickType:13 impliedVol:6.63882441610468E-02 delta:-0.144692345343639 optPrice:6.0714570829786E-04 pvDividend:0 gamma: 1.79769313486232E+308 theta/vega/undPrice: -4.25536044426888E-04-2.97736989231252E-04-1.5785</t>
  </si>
  <si>
    <t>2014-11-26 15:54:27.834: RTWSControl  - tickOptionComputation - id:200045 tickType:13 impliedVol:6.28412160140925E-02 delta:0.677418332864905 optPrice:5.12418139047669E-03 pvDividend:0 gamma: 1.79769313486232E+308 theta/vega/undPrice: -6.35435769842144E-04-4.45547758683649E-04-1.5785</t>
  </si>
  <si>
    <t>2014-11-26 15:54:27.872: RTWSControl  - tickOptionComputation - id:200047 tickType:13 impliedVol:6.28412160140925E-02 delta:-0.322694809387683 optPrice:1.62423414885655E-03 pvDividend:0 gamma: 1.79769313486232E+308 theta/vega/undPrice: -6.35460791613758E-04-4.4554839758692E-04-1.5785</t>
  </si>
  <si>
    <t>2014-11-26 15:54:27.914: RTWSControl  - tickOptionComputation - id:200055 tickType:13 impliedVol:6.18487311504623E-02 delta:0.421936429013629 optPrice:2.32425279693933E-03 pvDividend:0 gamma: 1.79769313486232E+308 theta/vega/undPrice: -6.82944905209052E-04-4.83442336503156E-04-1.5785</t>
  </si>
  <si>
    <t>2014-11-26 15:54:27.953: RTWSControl  - tickOptionComputation - id:200049 tickType:13 impliedVol:6.90648968985759E-02 delta:0.691338884692707 optPrice:1.19589094000947E-02 pvDividend:0 gamma: 1.79769313486232E+308 theta/vega/undPrice: -3.33911948062862E-04-9.14264636842341E-04-1.5785</t>
  </si>
  <si>
    <t>2014-11-26 15:54:27.996: RTWSControl  - tickOptionComputation - id:200050 tickType:13 impliedVol:6.90648968985759E-02 delta:-0.308731258691485 optPrice:3.45944780559669E-03 pvDividend:0 gamma: 1.79769313486232E+308 theta/vega/undPrice: -3.3397231831999E-04-9.14270196119912E-04-1.5785</t>
  </si>
  <si>
    <t>2014-11-26 15:54:28.36: RTWSControl  - tickOptionComputation - id:200051 tickType:13 impliedVol:0.070487901468014 delta:-0.310546849407517 optPrice:3.49936395060395E-03 pvDividend:0 gamma: 1.79769313486232E+308 theta/vega/undPrice: -3.43364504953296E-04-8.73227007763461E-04-1.5785</t>
  </si>
  <si>
    <t>2014-11-26 15:54:28.78: RTWSControl  - tickOptionComputation - id:200052 tickType:13 impliedVol:0.120895714006616 delta:-0.516253533293129 optPrice:1.26995383162341E-02 pvDividend:0 gamma: 1.79769313486232E+308 theta/vega/undPrice: -6.6486921083463E-04-9.85909661250815E-04-1.5785</t>
  </si>
  <si>
    <t>2014-11-26 15:54:28.120: RTWSControl  - tickOptionComputation - id:200048 tickType:13 impliedVol:8.27259748403169E-02 delta:-2.87868918657031E-02 optPrice:2.34095907366652E-04 pvDividend:0 gamma: 1.79769313486232E+308 theta/vega/undPrice: -7.41111155219684E-05-1.89878047112121E-04-1.5785</t>
  </si>
  <si>
    <t>2014-11-26 15:54:28.164: RTWSControl  - tickOptionComputation - id:200053 tickType:13 impliedVol:6.38480800122032E-02 delta:9.07928343715279E-02 optPrice:6.77968528851234E-04 pvDividend:0 gamma: 1.79769313486232E+308 theta/vega/undPrice: -1.42782417375834E-04-4.47335285498061E-04-1.5785</t>
  </si>
  <si>
    <t>2014-11-26 15:54:28.203: RTWSControl  - tickOptionComputation - id:200054 tickType:13 impliedVol:6.70755241812024E-02 delta:1.10942645766918E-03 optPrice:5.3212131673724E-06 pvDividend:0 gamma: 0.218090640074699 theta/vega/undPrice: -3.34824857282543E-06-1.86395352540918E-05-1.5785</t>
  </si>
  <si>
    <t>2014-11-26 15:54:28.408: DirectionIndicator - notify - price/longMA/ShortMA/prevDirection are 1.5786/1.57859793447901/1.57859316759304/-1</t>
  </si>
  <si>
    <t>2014-11-26 15:54:28.409: Algorithm - handleTransition - currentHedgeShortfall is NOT ZERO and AUTOHEDGE IS NOT ENABLED!</t>
  </si>
  <si>
    <t>2014-11-26 15:54:28.660: RTWSControl  - tickOptionComputation - id:200042 tickType:10 impliedVol:9.11303409524406E-02 delta:-4.36426060930848E-02 optPrice:1.99999994947575E-04 pvDividend:0 gamma: 1.79769313486232E+308 theta/vega/undPrice: -2.38271793953878E-04-1.43280662493529E-04-1.5786</t>
  </si>
  <si>
    <t>2014-11-26 15:54:28.711: RTWSControl  - tickOptionComputation - id:200042 tickType:11 impliedVol:9.11303409524406E-02 delta:-4.36426060930848E-02 optPrice:1.99999994947575E-04 pvDividend:0 gamma: 1.79769313486232E+308 theta/vega/undPrice: -2.38271793953878E-04-1.43280662493529E-04-1.5786</t>
  </si>
  <si>
    <t>2014-11-26 15:54:28.778: RTWSControl  - tickOptionComputation - id:200042 tickType:13 impliedVol:8.03721302624467E-02 delta:-0.026911774086716 optPrice:1.02171282622683E-04 pvDividend:0 gamma: 1.79769313486232E+308 theta/vega/undPrice: -1.40070574407796E-04-8.78173015868882E-05-1.5786</t>
  </si>
  <si>
    <t>2014-11-26 15:54:28.829: RTWSControl  - tickOptionComputation - id:200041 tickType:10 impliedVol:0.013050634765591 delta:0.99998599906965 optPrice:1.36000001803041E-02 pvDividend:0 gamma: 5.61068450617081E-10 theta/vega/undPrice: 8.95051978089334E-08-8.0271924524089E-11-1.5786</t>
  </si>
  <si>
    <t>2014-11-26 15:54:28.869: RTWSControl  - tickOptionComputation - id:200041 tickType:11 impliedVol:8.26469710665882E-02 delta:0.914219323409661 optPrice:1.40000004321337E-02 pvDividend:0 gamma: 1.79769313486232E+308 theta/vega/undPrice: -3.64582945935965E-04-2.15265245762947E-04-1.5786</t>
  </si>
  <si>
    <t>2014-11-26 15:54:28.915: RTWSControl  - tickOptionComputation - id:200041 tickType:13 impliedVol:7.16217483407036E-02 delta:0.942255459927168 optPrice:1.38190109402642E-02 pvDividend:0 gamma: 1.79769313486232E+308 theta/vega/undPrice: -2.32562167009807E-04-1.59916697974381E-04-1.5786</t>
  </si>
  <si>
    <t>2014-11-26 15:54:28.954: RTWSControl  - tickOptionComputation - id:200043 tickType:10 impliedVol:6.14524082352938E-02 delta:-3.32015036141346E-02 optPrice:9.99999974737875E-05 pvDividend:0 gamma: 1.79769313486232E+308 theta/vega/undPrice: -1.27470076859265E-04-1.17621232880093E-04-1.5786</t>
  </si>
  <si>
    <t>2014-11-26 15:54:28.996: RTWSControl  - tickOptionComputation - id:200043 tickType:11 impliedVol:7.72392654526567E-02 delta:-7.12546991686086E-02 optPrice:3.00000014249235E-04 pvDividend:0 gamma: 1.79769313486232E+308 theta/vega/undPrice: -2.9707315108571E-04-2.00225459920041E-04-1.5786</t>
  </si>
  <si>
    <t>2014-11-26 15:54:29.44: RTWSControl  - tickOptionComputation - id:200043 tickType:13 impliedVol:7.16217483407036E-02 delta:-0.057857058782235 optPrice:2.19205464218524E-04 pvDividend:0 gamma: 1.79769313486232E+308 theta/vega/undPrice: -2.3265201333734E-04-1.59916956272924E-04-1.5786</t>
  </si>
  <si>
    <t>2014-11-26 15:54:29.88: RTWSControl  - tickOptionComputation - id:200044 tickType:10 impliedVol:5.89558922512056E-02 delta:0.886444051271972 optPrice:8.99999961256981E-03 pvDividend:0 gamma: 1.79769313486232E+308 theta/vega/undPrice: -3.19835831023483E-04-2.67731968014153E-04-1.5786</t>
  </si>
  <si>
    <t>2014-11-26 15:54:29.130: RTWSControl  - tickOptionComputation - id:200044 tickType:11 impliedVol:7.33921540834086E-02 delta:0.833500443790114 optPrice:9.39999986439943E-03 pvDividend:0 gamma: 1.79769313486232E+308 theta/vega/undPrice: -5.15865496770376E-04-2.97745904686515E-04-1.5786</t>
  </si>
  <si>
    <t>2014-11-26 15:54:29.201: RTWSControl  - tickOptionComputation - id:200044 tickType:13 impliedVol:0.065585283982557 delta:0.861634165462029 optPrice:9.16706528256827E-03 pvDividend:0 gamma: 1.79769313486232E+308 theta/vega/undPrice: -4.08788227493445E-04-2.97746157340201E-04-1.5786</t>
  </si>
  <si>
    <t>2014-11-26 15:54:29.246: RTWSControl  - tickOptionComputation - id:200046 tickType:10 impliedVol:6.33185766461924E-02 delta:-0.129026124172916 optPrice:5.00000023748726E-04 pvDividend:0 gamma: 1.79769313486232E+308 theta/vega/undPrice: -3.77755955802308E-04-2.97746518917211E-04-1.5786</t>
  </si>
  <si>
    <t>2014-11-26 15:54:29.290: RTWSControl  - tickOptionComputation - id:200046 tickType:11 impliedVol:7.00525597206068E-02 delta:-0.155263977049835 optPrice:6.99999975040555E-04 pvDividend:0 gamma: 1.79769313486232E+308 theta/vega/undPrice: -4.701179775564E-04-2.97746301905074E-04-1.5786</t>
  </si>
  <si>
    <t>2014-11-26 15:54:29.333: RTWSControl  - tickOptionComputation - id:200046 tickType:13 impliedVol:0.065585283982557 delta:-0.138478514465491 optPrice:5.67188944677075E-04 pvDividend:0 gamma: 1.79769313486232E+308 theta/vega/undPrice: -4.08845693460908E-04-2.97746445817135E-04-1.5786</t>
  </si>
  <si>
    <t>2014-11-26 15:54:29.378: RTWSControl  - tickOptionComputation - id:200045 tickType:10 impliedVol:6.08068942327547E-02 delta:0.687856214273396 optPrice:5.10000018402934E-03 pvDividend:0 gamma: 1.79769313486232E+308 theta/vega/undPrice: -6.07094327672169E-04-4.45561964272388E-04-1.5786</t>
  </si>
  <si>
    <t>2014-11-26 15:54:29.422: RTWSControl  - tickOptionComputation - id:200045 tickType:11 impliedVol:6.52859332231342E-02 delta:0.675694415810924 optPrice:5.29999984428287E-03 pvDividend:0 gamma: 1.79769313486232E+308 theta/vega/undPrice: -6.61502509038877E-04-4.45561757395237E-04-1.5786</t>
  </si>
  <si>
    <t>2014-11-26 15:54:29.492: RTWSControl  - tickOptionComputation - id:200045 tickType:13 impliedVol:6.22627371880071E-02 delta:0.68379672646691 optPrice:5.16490380635291E-03 pvDividend:0 gamma: 1.79769313486232E+308 theta/vega/undPrice: -6.2477887960077E-04-4.45561898254359E-04-1.5786</t>
  </si>
  <si>
    <t>2014-11-26 15:54:29.538: RTWSControl  - tickOptionComputation - id:200047 tickType:10 impliedVol:6.07951293328605E-02 delta:-0.312096144083323 optPrice:1.50000001303852E-03 pvDividend:0 gamma: 1.79769313486232E+308 theta/vega/undPrice: -6.06976995982384E-04-4.45562602979188E-04-1.5786</t>
  </si>
  <si>
    <t>2014-11-26 15:54:29.581: RTWSControl  - tickOptionComputation - id:200047 tickType:11 impliedVol:6.52982198416411E-02 delta:-0.324323333596518 optPrice:1.70000002253801E-03 pvDividend:0 gamma: 1.79769313486232E+308 theta/vega/undPrice: -6.61677521813977E-04-4.45562395849143E-04-1.5786</t>
  </si>
  <si>
    <t>2014-11-26 15:54:29.626: RTWSControl  - tickOptionComputation - id:200047 tickType:13 impliedVol:6.22627371880071E-02 delta:-0.316316405700828 optPrice:1.56495792090455E-03 pvDividend:0 gamma: 1.79769313486232E+308 theta/vega/undPrice: -6.24804519507895E-04-4.45562536714129E-04-1.5786</t>
  </si>
  <si>
    <t>2014-11-26 15:54:29.669: RTWSControl  - tickOptionComputation - id:200055 tickType:10 impliedVol:5.83589225486881E-02 delta:0.422691203685253 optPrice:2.19999998807907E-03 pvDividend:0 gamma: 1.79769313486232E+308 theta/vega/undPrice: -6.4463365529797E-04-4.83457815553991E-04-1.5786</t>
  </si>
  <si>
    <t>2014-11-26 15:54:29.711: RTWSControl  - tickOptionComputation - id:200055 tickType:11 impliedVol:6.24749011717185E-02 delta:0.427907524766443 optPrice:2.40000011399388E-03 pvDividend:0 gamma: 1.79769313486232E+308 theta/vega/undPrice: -6.91401046266569E-04-4.83457617198783E-04-1.5786</t>
  </si>
  <si>
    <t>2014-11-26 15:54:29.782: RTWSControl  - tickOptionComputation - id:200055 tickType:13 impliedVol:6.16541079570823E-02 delta:0.426976214829174 optPrice:2.35932387461037E-03 pvDividend:0 gamma: 1.79769313486232E+308 theta/vega/undPrice: -6.82074870445094E-04-4.83457657726663E-04-1.5786</t>
  </si>
  <si>
    <t>2014-11-26 15:54:29.828: RTWSControl  - tickOptionComputation - id:200049 tickType:10 impliedVol:6.87858290473782E-02 delta:0.694096705796468 optPrice:1.20000001043081E-02 pvDividend:0 gamma: 1.79769313486232E+308 theta/vega/undPrice: -3.3141321069321E-04-9.1429372577813E-04-1.5786</t>
  </si>
  <si>
    <t>2014-11-26 15:54:29.872: RTWSControl  - tickOptionComputation - id:200049 tickType:11 impliedVol:7.09706388896091E-02 delta:0.688524260784546 optPrice:1.21999997645617E-02 pvDividend:0 gamma: 1.79769313486232E+308 theta/vega/undPrice: -3.44302856441365E-04-9.14292753113761E-04-1.5786</t>
  </si>
  <si>
    <t>2014-11-26 15:54:29.920: RTWSControl  - tickOptionComputation - id:200049 tickType:13 impliedVol:6.89481108062751E-02 delta:0.693758236129799 optPrice:1.20148374589028E-02 pvDividend:0 gamma: 1.79769313486232E+308 theta/vega/undPrice: -3.32370619818243E-04-9.14293654322601E-04-1.5786</t>
  </si>
  <si>
    <t>2014-11-26 15:54:29.960: RTWSControl  - tickOptionComputation - id:200050 tickType:10 impliedVol:6.87772731985029E-02 delta:-0.305824447056575 optPrice:3.40000004507601E-03 pvDividend:0 gamma: 1.79769313486232E+308 theta/vega/undPrice: -3.31423719952378E-04-9.14299287721098E-04-1.5786</t>
  </si>
  <si>
    <t>2014-11-26 15:54:30.4: RTWSControl  - tickOptionComputation - id:200050 tickType:11 impliedVol:0.070964652681006 delta:-0.311404662322899 optPrice:3.59999993816018E-03 pvDividend:0 gamma: 1.79769313486232E+308 theta/vega/undPrice: -3.44328714155798E-04-9.14298318658566E-04-1.5786</t>
  </si>
  <si>
    <t>2014-11-26 15:54:30.73: RTWSControl  - tickOptionComputation - id:200050 tickType:13 impliedVol:6.89481108062751E-02 delta:-0.306311890601498 optPrice:3.41538168330847E-03 pvDividend:0 gamma: 1.79769313486232E+308 theta/vega/undPrice: -3.3243162049185E-04-9.14299212683682E-04-1.5786</t>
  </si>
  <si>
    <t>2014-11-26 15:54:30.120: RTWSControl  - tickOptionComputation - id:200051 tickType:13 impliedVol:7.08486862386817E-02 delta:-0.309401999363924 optPrice:3.49985093007948E-03 pvDividend:0 gamma: 1.79769313486232E+308 theta/vega/undPrice: -3.44588857067085E-04-8.7187790299328E-04-1.5786</t>
  </si>
  <si>
    <t>2014-11-26 15:54:30.161: RTWSControl  - tickOptionComputation - id:200052 tickType:13 impliedVol:0.121418444956155 delta:-0.514823752693012 optPrice:1.26995362289587E-02 pvDividend:0 gamma: 1.79769313486232E+308 theta/vega/undPrice: -6.67879767511796E-04-9.8610958445661E-04-1.5786</t>
  </si>
  <si>
    <t>2014-11-26 15:54:30.204: RTWSControl  - tickOptionComputation - id:200051 tickType:10 impliedVol:6.73867833871645E-02 delta:-0.300604159605915 optPrice:3.1999999191612E-03 pvDividend:0 gamma: 1.79769313486232E+308 theta/vega/undPrice: -3.23597270509202E-04-8.60826444138495E-04-1.5786</t>
  </si>
  <si>
    <t>2014-11-26 15:54:30.245: RTWSControl  - tickOptionComputation - id:200051 tickType:11 impliedVol:7.08478767556472E-02 delta:-0.309360920574664 optPrice:3.50000010803342E-03 pvDividend:0 gamma: 1.79769313486232E+308 theta/vega/undPrice: -3.44583966972956E-04-8.71875491370902E-04-1.5786</t>
  </si>
  <si>
    <t>2014-11-26 15:54:30.290: RTWSControl  - tickOptionComputation - id:200052 tickType:10 impliedVol:1.79769313486232E+308 delta:1.79769313486232E+308 optPrice:1.79769313486232E+308 pvDividend:0 gamma: 1.79769313486232E+308 theta/vega/undPrice: 1.79769313486232E+308-1.79769313486232E+308-1.5786</t>
  </si>
  <si>
    <t>2014-11-26 15:54:30.325: RTWSControl  - tickOptionComputation - id:200052 tickType:11 impliedVol:1.79769313486232E+308 delta:1.79769313486232E+308 optPrice:1.79769313486232E+308 pvDividend:0 gamma: 1.79769313486232E+308 theta/vega/undPrice: 1.79769313486232E+308-1.79769313486232E+308-1.5786</t>
  </si>
  <si>
    <t>2014-11-26 15:54:30.369: RTWSControl  - tickOptionComputation - id:200048 tickType:13 impliedVol:8.26870841491285E-02 delta:-0.028377299077685 optPrice:2.30200536275789E-04 pvDividend:0 gamma: 1.79769313486232E+308 theta/vega/undPrice: -7.32112830825801E-05-1.86776363804611E-04-1.5786</t>
  </si>
  <si>
    <t>2014-11-26 15:54:30.412: RTWSControl  - tickOptionComputation - id:200048 tickType:10 impliedVol:8.10314120391975E-02 delta:-2.56172951143729E-02 optPrice:1.99999994947575E-04 pvDividend:0 gamma: 1.79769313486232E+308 theta/vega/undPrice: -6.60096623489856E-05-1.79326850727613E-04-1.5786</t>
  </si>
  <si>
    <t>2014-11-26 15:54:30.456: RTWSControl  - tickOptionComputation - id:200048 tickType:11 impliedVol:8.65761085774246E-02 delta:-3.44322010064162E-02 optPrice:3.00000014249235E-04 pvDividend:0 gamma: 1.79769313486232E+308 theta/vega/undPrice: -9.01272039403157E-05-2.30822544549776E-04-1.5786</t>
  </si>
  <si>
    <t>2014-11-26 15:54:30.502: RTWSControl  - tickOptionComputation - id:200053 tickType:13 impliedVol:6.36139338755868E-02 delta:9.10334611766524E-02 optPrice:6.77715468780521E-04 pvDividend:0 gamma: 1.79769313486232E+308 theta/vega/undPrice: -1.42537820935246E-04-4.47349501696774E-04-1.5786</t>
  </si>
  <si>
    <t>2014-11-26 15:54:30.543: RTWSControl  - tickOptionComputation - id:200053 tickType:10 impliedVol:6.18743535521905E-02 delta:0.084285200947268 optPrice:6.00000028498471E-04 pvDividend:0 gamma: 1.79769313486232E+308 theta/vega/undPrice: -1.31281917083455E-04-4.47349831529341E-04-1.5786</t>
  </si>
  <si>
    <t>2014-11-26 15:54:30.586: RTWSControl  - tickOptionComputation - id:200053 tickType:11 impliedVol:6.40949690637638E-02 delta:9.28205171693877E-02 optPrice:6.99999975040555E-04 pvDividend:0 gamma: 1.79769313486232E+308 theta/vega/undPrice: -1.45650342616329E-04-4.47349411391075E-04-1.5786</t>
  </si>
  <si>
    <t>2014-11-26 15:54:30.654: RTWSControl  - tickOptionComputation - id:200054 tickType:13 impliedVol:6.66845533570655E-02 delta:1.0588318600562E-03 optPrice:5.03203725146135E-06 pvDividend:0 gamma: 0.210181576282289 theta/vega/undPrice: -3.18972104694829E-06-1.82811983283502E-05-1.5786</t>
  </si>
  <si>
    <t>2014-11-26 15:54:30.702: RTWSControl  - tickOptionComputation - id:200054 tickType:10 impliedVol:1.79769313486232E+308 delta:1.79769313486232E+308 optPrice:1.79769313486232E+308 pvDividend:0 gamma: 1.79769313486232E+308 theta/vega/undPrice: 1.79769313486232E+308-1.79769313486232E+308-1.5786</t>
  </si>
  <si>
    <t>2014-11-26 15:54:30.741: RTWSControl  - tickOptionComputation - id:200054 tickType:11 impliedVol:9.09262055091595E-02 delta:1.24917879606971E-02 optPrice:9.99999974737875E-05 pvDividend:0 gamma: 1.79769313486232E+308 theta/vega/undPrice: -4.01057078465611E-05-1.03776189213304E-04-1.5786</t>
  </si>
  <si>
    <t>2014-11-26 15:54:30.790: DirectionIndicator - notify - price/longMA/ShortMA/prevDirection are 1.57855/1.57858921911919/1.57857877839536/-1</t>
  </si>
  <si>
    <t>2014-11-26 15:54:30.790: Algorithm - handleTransition - currentHedgeShortfall is NOT ZERO and AUTOHEDGE IS NOT ENABLED!</t>
  </si>
  <si>
    <t>2014-11-26 15:54:31.326: RTWSControl  - tickOptionComputation - id:200041 tickType:11 impliedVol:7.72528020756632E-02 delta:0.928701435959242 optPrice:1.38999996706843E-02 pvDividend:0 gamma: 1.79769313486232E+308 theta/vega/undPrice: -2.97138468719755E-04-2.00322290734968E-04-1.5786</t>
  </si>
  <si>
    <t>2014-11-26 15:54:31.403: RTWSControl  - tickOptionComputation - id:200049 tickType:10 impliedVol:6.76895311368138E-02 delta:0.697029936169747 optPrice:1.19000002741814E-02 pvDividend:0 gamma: 1.79769313486232E+308 theta/vega/undPrice: -3.24945408036392E-04-9.14294205167396E-04-1.5786</t>
  </si>
  <si>
    <t>2014-11-26 15:54:31.455: RTWSControl  - tickOptionComputation - id:200049 tickType:11 impliedVol:6.98782339684937E-02 delta:0.69126643109259 optPrice:1.20999999344349E-02 pvDividend:0 gamma: 1.79769313486232E+308 theta/vega/undPrice: -3.37858037737804E-04-9.14293242321671E-04-1.5786</t>
  </si>
  <si>
    <t>2014-11-26 15:54:31.501: RTWSControl  - tickOptionComputation - id:200052 tickType:10 impliedVol:1.79769313486232E+308 delta:1.79769313486232E+308 optPrice:1.79769313486232E+308 pvDividend:0 gamma: 1.79769313486232E+308 theta/vega/undPrice: 1.79769313486232E+308-1.79769313486232E+308-1.5786</t>
  </si>
  <si>
    <t>2014-11-26 15:54:31.534: RTWSControl  - tickOptionComputation - id:200052 tickType:11 impliedVol:1.79769313486232E+308 delta:1.79769313486232E+308 optPrice:1.79769313486232E+308 pvDividend:0 gamma: 1.79769313486232E+308 theta/vega/undPrice: 1.79769313486232E+308-1.79769313486232E+308-1.5786</t>
  </si>
  <si>
    <t>2014-11-26 15:54:31.578: RTWSControl  - tickOptionComputation - id:200054 tickType:10 impliedVol:1.79769313486232E+308 delta:1.79769313486232E+308 optPrice:1.79769313486232E+308 pvDividend:0 gamma: 1.79769313486232E+308 theta/vega/undPrice: 1.79769313486232E+308-1.79769313486232E+308-1.5786</t>
  </si>
  <si>
    <t>2014-11-26 15:54:31.738: DirectionIndicator - notify - price/longMA/ShortMA/prevDirection are 1.5786/1.57859117927933/1.57858585226357/-1</t>
  </si>
  <si>
    <t>2014-11-26 15:54:31.738: Algorithm - handleTransition - currentHedgeShortfall is NOT ZERO and AUTOHEDGE IS NOT ENABLED!</t>
  </si>
  <si>
    <t>2014-11-26 15:54:31.779: DirectionIndicator - notify - price/longMA/ShortMA/prevDirection are 1.57865/1.57860187395582/1.57860723484238/-1</t>
  </si>
  <si>
    <t>2014-11-26 15:54:31.779: Algorithm - handleTransition - currentHedgeShortfall is NOT ZERO and AUTOHEDGE IS NOT ENABLED!</t>
  </si>
  <si>
    <t>2014-11-26 15:54:32.322: DirectionIndicator - notify - price/longMA/ShortMA/prevDirection are 1.5786/1.57860153323658/1.57860482322826/-1</t>
  </si>
  <si>
    <t>2014-11-26 15:54:32.323: Algorithm - handleTransition - currentHedgeShortfall is NOT ZERO and AUTOHEDGE IS NOT ENABLED!</t>
  </si>
  <si>
    <t>2014-11-26 15:54:32.364: DirectionIndicator - notify - price/longMA/ShortMA/prevDirection are 1.57855/1.5785921635572/1.57858654881884/-1</t>
  </si>
  <si>
    <t>2014-11-26 15:54:32.365: Algorithm - handleTransition - currentHedgeShortfall is NOT ZERO and AUTOHEDGE IS NOT ENABLED!</t>
  </si>
  <si>
    <t>2014-11-26 15:54:32.785: RTWSControl  - tickOptionComputation - id:200042 tickType:13 impliedVol:8.18295119291719E-02 delta:-2.93647339998771E-02 optPrice:1.14969621953028E-04 pvDividend:0 gamma: 1.79769313486232E+308 theta/vega/undPrice: -1.53185394353257E-04-9.48393133795131E-05-1.5786</t>
  </si>
  <si>
    <t>2014-11-26 15:54:32.838: RTWSControl  - tickOptionComputation - id:200041 tickType:13 impliedVol:7.29770365817046E-02 delta:0.93883168745181 optPrice:1.38384607401482E-02 pvDividend:0 gamma: 1.79769313486232E+308 theta/vega/undPrice: -2.48104468196666E-04-1.69641564911146E-04-1.5786</t>
  </si>
  <si>
    <t>2014-11-26 15:54:32.882: RTWSControl  - tickOptionComputation - id:200041 tickType:11 impliedVol:8.26469710665882E-02 delta:0.914219323409661 optPrice:1.40000004321337E-02 pvDividend:0 gamma: 1.79769313486232E+308 theta/vega/undPrice: -3.64582945935965E-04-2.15265245762947E-04-1.5786</t>
  </si>
  <si>
    <t>2014-11-26 15:54:32.951: RTWSControl  - tickOptionComputation - id:200043 tickType:13 impliedVol:7.29770365817046E-02 delta:-6.12808337544973E-02 optPrice:2.38655277459713E-04 pvDividend:0 gamma: 1.79769313486232E+308 theta/vega/undPrice: -2.48194331984949E-04-1.69641833536687E-04-1.5786</t>
  </si>
  <si>
    <t>2014-11-26 15:54:32.997: RTWSControl  - tickOptionComputation - id:200044 tickType:13 impliedVol:6.66299631733125E-02 delta:0.857501897836613 optPrice:9.19817021913356E-03 pvDividend:0 gamma: 1.79769313486232E+308 theta/vega/undPrice: -4.23116821609531E-04-2.97746123594456E-04-1.5786</t>
  </si>
  <si>
    <t>2014-11-26 15:54:33.40: RTWSControl  - tickOptionComputation - id:200046 tickType:13 impliedVol:6.66299631733125E-02 delta:-0.142610786399286 optPrice:5.98293911365831E-04 pvDividend:0 gamma: 1.79769313486232E+308 theta/vega/undPrice: -4.23174314822189E-04-2.97746412103443E-04-1.5786</t>
  </si>
  <si>
    <t>2014-11-26 15:54:33.81: RTWSControl  - tickOptionComputation - id:200045 tickType:13 impliedVol:6.27882917039955E-02 delta:0.682347335314792 optPrice:5.18832052431485E-03 pvDividend:0 gamma: 1.79769313486232E+308 theta/vega/undPrice: -6.3116294308229E-04-4.45561874133271E-04-1.5786</t>
  </si>
  <si>
    <t>2014-11-26 15:54:33.128: RTWSControl  - tickOptionComputation - id:200047 tickType:13 impliedVol:6.27882917039955E-02 delta:-0.317765799142769 optPrice:1.58837467237169E-03 pvDividend:0 gamma: 1.79769313486232E+308 theta/vega/undPrice: -6.31188604432064E-04-4.45562512690848E-04-1.5786</t>
  </si>
  <si>
    <t>2014-11-26 15:54:33.171: RTWSControl  - tickOptionComputation - id:200055 tickType:13 impliedVol:6.14520221737251E-02 delta:0.426729609782729 optPrice:2.34955387773135E-03 pvDividend:0 gamma: 1.79769313486232E+308 theta/vega/undPrice: -6.79778691852917E-04-4.83457667628281E-04-1.5786</t>
  </si>
  <si>
    <t>2014-11-26 15:54:33.213: RTWSControl  - tickOptionComputation - id:200049 tickType:13 impliedVol:6.90995001571935E-02 delta:0.693362430805076 optPrice:1.20286789234633E-02 pvDividend:0 gamma: 1.79769313486232E+308 theta/vega/undPrice: -3.33263767146611E-04-9.14293587547153E-04-1.5786</t>
  </si>
  <si>
    <t>2014-11-26 15:54:33.280: RTWSControl  - tickOptionComputation - id:200049 tickType:10 impliedVol:6.76895310966915E-02 delta:0.697029936278901 optPrice:1.19000002741814E-02 pvDividend:0 gamma: 1.79769313486232E+308 theta/vega/undPrice: -3.24945407799785E-04-9.14294205166312E-04-1.5786</t>
  </si>
  <si>
    <t>2014-11-26 15:54:33.328: RTWSControl  - tickOptionComputation - id:200049 tickType:11 impliedVol:7.09706388896091E-02 delta:0.688524260784546 optPrice:1.21999997645617E-02 pvDividend:0 gamma: 1.79769313486232E+308 theta/vega/undPrice: -3.44302856441365E-04-9.14292753113761E-04-1.5786</t>
  </si>
  <si>
    <t>2014-11-26 15:54:33.370: RTWSControl  - tickOptionComputation - id:200050 tickType:13 impliedVol:6.90995001571935E-02 delta:-0.306707698645856 optPrice:3.42922323200954E-03 pvDividend:0 gamma: 1.79769313486232E+308 theta/vega/undPrice: -3.33324780854433E-04-9.14299146072355E-04-1.5786</t>
  </si>
  <si>
    <t>2014-11-26 15:54:33.413: RTWSControl  - tickOptionComputation - id:200052 tickType:10 impliedVol:1.79769313486232E+308 delta:1.79769313486232E+308 optPrice:1.79769313486232E+308 pvDividend:0 gamma: 1.79769313486232E+308 theta/vega/undPrice: 1.79769313486232E+308-1.79769313486232E+308-1.5786</t>
  </si>
  <si>
    <t>2014-11-26 15:54:33.449: RTWSControl  - tickOptionComputation - id:200052 tickType:11 impliedVol:1.79769313486232E+308 delta:1.79769313486232E+308 optPrice:1.79769313486232E+308 pvDividend:0 gamma: 1.79769313486232E+308 theta/vega/undPrice: 1.79769313486232E+308-1.79769313486232E+308-1.5786</t>
  </si>
  <si>
    <t>2014-11-26 15:54:33.490: RTWSControl  - tickOptionComputation - id:200048 tickType:13 impliedVol:8.24409348699131E-02 delta:-2.79744814528557E-02 optPrice:2.25786410590831E-04 pvDividend:0 gamma: 1.79769313486232E+308 theta/vega/undPrice: -7.2140616526815E-05-1.8398852933898E-04-1.5786</t>
  </si>
  <si>
    <t>2014-11-26 15:54:33.537: RTWSControl  - tickOptionComputation - id:200053 tickType:13 impliedVol:6.36896613394082E-02 delta:9.13184333594751E-02 optPrice:6.81103140274326E-04 pvDividend:0 gamma: 1.79769313486232E+308 theta/vega/undPrice: -1.43027812963641E-04-4.47349487454367E-04-1.5786</t>
  </si>
  <si>
    <t>2014-11-26 15:54:33.575: RTWSControl  - tickOptionComputation - id:200054 tickType:13 impliedVol:6.62114184165628E-02 delta:9.65320201488431E-04 optPrice:4.52189810526769E-06 pvDividend:0 gamma: 0.194606383391268 theta/vega/undPrice: -2.91159183635666E-06-1.76010182952714E-05-1.5786</t>
  </si>
  <si>
    <t>2014-11-26 15:54:33.617: RTWSControl  - tickOptionComputation - id:200054 tickType:10 impliedVol:1.79769313486232E+308 delta:1.79769313486232E+308 optPrice:1.79769313486232E+308 pvDividend:0 gamma: 1.79769313486232E+308 theta/vega/undPrice: 1.79769313486232E+308-1.79769313486232E+308-1.5786</t>
  </si>
  <si>
    <t>2014-11-26 15:54:33.998: DirectionIndicator - notify - price/longMA/ShortMA/prevDirection are 1.5786/1.57859358836498/1.57859103254589/-1</t>
  </si>
  <si>
    <t>2014-11-26 15:54:33.998: Algorithm - handleTransition - currentHedgeShortfall is NOT ZERO and AUTOHEDGE IS NOT ENABLED!</t>
  </si>
  <si>
    <t>2014-11-26 15:54:34.245: RTWSControl  - tickOptionComputation - id:200052 tickType:10 impliedVol:1.79769313486232E+308 delta:1.79769313486232E+308 optPrice:1.79769313486232E+308 pvDividend:0 gamma: 1.79769313486232E+308 theta/vega/undPrice: 1.79769313486232E+308-1.79769313486232E+308-1.5786</t>
  </si>
  <si>
    <t>2014-11-26 15:54:34.284: RTWSControl  - tickOptionComputation - id:200052 tickType:11 impliedVol:1.79769313486232E+308 delta:1.79769313486232E+308 optPrice:1.79769313486232E+308 pvDividend:0 gamma: 1.79769313486232E+308 theta/vega/undPrice: 1.79769313486232E+308-1.79769313486232E+308-1.5786</t>
  </si>
  <si>
    <t>2014-11-26 15:54:34.328: RTWSControl  - tickOptionComputation - id:200054 tickType:10 impliedVol:1.79769313486232E+308 delta:1.79769313486232E+308 optPrice:1.79769313486232E+308 pvDividend:0 gamma: 1.79769313486232E+308 theta/vega/undPrice: 1.79769313486232E+308-1.79769313486232E+308-1.5786</t>
  </si>
  <si>
    <t>2014-11-26 15:54:34.374: DirectionIndicator - notify - price/longMA/ShortMA/prevDirection are 1.57855/1.57858566320771/1.57857735503059/-1</t>
  </si>
  <si>
    <t>2014-11-26 15:54:34.375: Algorithm - handleTransition - currentHedgeShortfall is NOT ZERO and AUTOHEDGE IS NOT ENABLED!</t>
  </si>
  <si>
    <t>2014-11-26 15:54:34.653: DirectionIndicator - notify - price/longMA/ShortMA/prevDirection are 1.5786/1.57858826989722/1.57858490335373/-1</t>
  </si>
  <si>
    <t>2014-11-26 15:54:34.653: Algorithm - handleTransition - currentHedgeShortfall is NOT ZERO and AUTOHEDGE IS NOT ENABLED!</t>
  </si>
  <si>
    <t>2014-11-26 15:54:34.901: RTWSControl  - tickOptionComputation - id:200042 tickType:13 impliedVol:8.09335527318069E-02 delta:-2.78671981604282E-02 optPrice:1.07101546171133E-04 pvDividend:0 gamma: 1.79769313486232E+308 theta/vega/undPrice: -1.45122754888551E-04-8.98700167619397E-05-1.5786</t>
  </si>
  <si>
    <t>2014-11-26 15:54:34.954: RTWSControl  - tickOptionComputation - id:200041 tickType:13 impliedVol:7.22220703928969E-02 delta:0.940723025446816 optPrice:1.38276261882295E-02 pvDividend:0 gamma: 1.79769313486232E+308 theta/vega/undPrice: -2.39446596792868E-04-1.64224307482341E-04-1.5786</t>
  </si>
  <si>
    <t>2014-11-26 15:54:34.999: RTWSControl  - tickOptionComputation - id:200043 tickType:13 impliedVol:7.22220703928969E-02 delta:-5.93894943800775E-02 optPrice:2.27820718101071E-04 pvDividend:0 gamma: 1.79769313486232E+308 theta/vega/undPrice: -2.39536450854873E-04-1.64224570356806E-04-1.5786</t>
  </si>
  <si>
    <t>2014-11-26 15:54:35.38: RTWSControl  - tickOptionComputation - id:200044 tickType:13 impliedVol:6.60418335560991E-02 delta:0.859812145867023 optPrice:9.18065887771449E-03 pvDividend:0 gamma: 1.79769313486232E+308 theta/vega/undPrice: -4.15050163196843E-04-2.97746142591513E-04-1.5786</t>
  </si>
  <si>
    <t>2014-11-26 15:54:35.81: RTWSControl  - tickOptionComputation - id:200044 tickType:10 impliedVol:6.33313683775445E-02 delta:0.870904952500315 optPrice:9.10000037401915E-03 pvDividend:0 gamma: 1.79769313486232E+308 theta/vega/undPrice: -3.7787399767257E-04-2.97746230080529E-04-1.5786</t>
  </si>
  <si>
    <t>2014-11-26 15:54:35.124: RTWSControl  - tickOptionComputation - id:200046 tickType:13 impliedVol:6.60418335560991E-02 delta:-0.14030053596017 optPrice:5.80782552986382E-04 pvDividend:0 gamma: 1.79769313486232E+308 theta/vega/undPrice: -4.15107641070338E-04-2.97746431083855E-04-1.5786</t>
  </si>
  <si>
    <t>2014-11-26 15:54:35.165: RTWSControl  - tickOptionComputation - id:200045 tickType:13 impliedVol:6.23928422213709E-02 delta:0.683435632829384 optPrice:5.17070079379666E-03 pvDividend:0 gamma: 1.79769313486232E+308 theta/vega/undPrice: -6.26359303340102E-04-4.45561892298954E-04-1.5786</t>
  </si>
  <si>
    <t>2014-11-26 15:54:35.212: RTWSControl  - tickOptionComputation - id:200047 tickType:13 impliedVol:6.23928422213709E-02 delta:-0.316677499908816 optPrice:1.57075491664256E-03 pvDividend:0 gamma: 1.79769313486232E+308 theta/vega/undPrice: -6.26384948555429E-04-4.45562530779667E-04-1.5786</t>
  </si>
  <si>
    <t>2014-11-26 15:54:35.254: RTWSControl  - tickOptionComputation - id:200055 tickType:13 impliedVol:6.12750963886981E-02 delta:0.426512388764777 optPrice:2.34100026070021E-03 pvDividend:0 gamma: 1.79769313486232E+308 theta/vega/undPrice: -6.777683910098E-04-4.83457676276267E-04-1.5786</t>
  </si>
  <si>
    <t>2014-11-26 15:54:35.296: RTWSControl  - tickOptionComputation - id:200055 tickType:10 impliedVol:6.04333293224523E-02 delta:0.42540791011953 optPrice:2.30000005103648E-03 pvDividend:0 gamma: 1.79769313486232E+308 theta/vega/undPrice: -6.68203898907884E-04-4.83457717105228E-04-1.5786</t>
  </si>
  <si>
    <t>2014-11-26 15:54:35.361: RTWSControl  - tickOptionComputation - id:200049 tickType:13 impliedVol:6.87708980486264E-02 delta:0.694223794790073 optPrice:1.19986349699337E-02 pvDividend:0 gamma: 1.79769313486232E+308 theta/vega/undPrice: -3.3132512269106E-04-9.14293732343516E-04-1.5786</t>
  </si>
  <si>
    <t>2014-11-26 15:54:35.411: RTWSControl  - tickOptionComputation - id:200050 tickType:13 impliedVol:6.87708980486264E-02 delta:-0.305846328742299 optPrice:3.39917909584553E-03 pvDividend:0 gamma: 1.79769313486232E+308 theta/vega/undPrice: -3.31386108107032E-04-9.14299290519283E-04-1.5786</t>
  </si>
  <si>
    <t>2014-11-26 15:54:35.456: RTWSControl  - tickOptionComputation - id:200052 tickType:10 impliedVol:1.79769313486232E+308 delta:1.79769313486232E+308 optPrice:1.79769313486232E+308 pvDividend:0 gamma: 1.79769313486232E+308 theta/vega/undPrice: 1.79769313486232E+308-1.79769313486232E+308-1.5786</t>
  </si>
  <si>
    <t>2014-11-26 15:54:35.491: RTWSControl  - tickOptionComputation - id:200052 tickType:11 impliedVol:1.79769313486232E+308 delta:1.79769313486232E+308 optPrice:1.79769313486232E+308 pvDividend:0 gamma: 1.79769313486232E+308 theta/vega/undPrice: 1.79769313486232E+308-1.79769313486232E+308-1.5786</t>
  </si>
  <si>
    <t>2014-11-26 15:54:35.531: RTWSControl  - tickOptionComputation - id:200048 tickType:13 impliedVol:8.25359110776329E-02 delta:-2.81301935032621E-02 optPrice:2.27489592244126E-04 pvDividend:0 gamma: 1.79769313486232E+308 theta/vega/undPrice: -7.25537311035138E-05-1.85064209774051E-04-1.5786</t>
  </si>
  <si>
    <t>2014-11-26 15:54:35.579: RTWSControl  - tickOptionComputation - id:200053 tickType:13 impliedVol:6.36483615675729E-02 delta:9.11631007580417E-02 optPrice:6.79255593140925E-04 pvDividend:0 gamma: 1.79769313486232E+308 theta/vega/undPrice: -1.42760584171044E-04-4.47349495220598E-04-1.5786</t>
  </si>
  <si>
    <t>2014-11-26 15:54:35.618: RTWSControl  - tickOptionComputation - id:200054 tickType:13 impliedVol:6.71683016344691E-02 delta:1.15308144299388E-03 optPrice:5.55361968517663E-06 pvDividend:0 gamma: 0.225634087742833 theta/vega/undPrice: -3.47408915901791E-06-1.89766360005198E-05-1.5786</t>
  </si>
  <si>
    <t>2014-11-26 15:54:35.659: RTWSControl  - tickOptionComputation - id:200054 tickType:10 impliedVol:1.79769313486232E+308 delta:1.79769313486232E+308 optPrice:1.79769313486232E+308 pvDividend:0 gamma: 1.79769313486232E+308 theta/vega/undPrice: 1.79769313486232E+308-1.79769313486232E+308-1.5786</t>
  </si>
  <si>
    <t>2014-11-26 15:54:35.677: DirectionIndicator - notify - price/longMA/ShortMA/prevDirection are 1.57865/1.57859949355227/1.57860660223582/-1</t>
  </si>
  <si>
    <t>2014-11-26 15:54:35.678: Algorithm - handleTransition - currentHedgeShortfall is NOT ZERO and AUTOHEDGE IS NOT ENABLED!</t>
  </si>
  <si>
    <t>2014-11-26 15:54:35.989: DirectionIndicator - notify - price/longMA/ShortMA/prevDirection are 1.5786/1.57859958563368/1.57860440149055/-1</t>
  </si>
  <si>
    <t>2014-11-26 15:54:35.989: Algorithm - handleTransition - currentHedgeShortfall is NOT ZERO and AUTOHEDGE IS NOT ENABLED!</t>
  </si>
  <si>
    <t>2014-11-26 15:54:36.154: DirectionIndicator - notify - price/longMA/ShortMA/prevDirection are 1.57865/1.5786087518821/1.5786196009937/-1</t>
  </si>
  <si>
    <t>2014-11-26 15:54:36.154: Algorithm - handleTransition - currentHedgeShortfall is NOT ZERO and AUTOHEDGE IS NOT ENABLED!</t>
  </si>
  <si>
    <t>2014-11-26 15:54:36.286: DirectionIndicator - notify - price/longMA/ShortMA/prevDirection are 1.5786/1.57860716063081/1.57861306732913/-1</t>
  </si>
  <si>
    <t>2014-11-26 15:54:36.286: Algorithm - handleTransition - currentHedgeShortfall is NOT ZERO and AUTOHEDGE IS NOT ENABLED!</t>
  </si>
  <si>
    <t>2014-11-26 15:54:36.326: DirectionIndicator - notify - price/longMA/ShortMA/prevDirection are 1.57855/1.57859676778884/1.57859204488609/-1</t>
  </si>
  <si>
    <t>2014-11-26 15:54:36.329: Algorithm - handleTransition - currentHedgeShortfall is NOT ZERO and AUTOHEDGE IS NOT ENABLED!</t>
  </si>
  <si>
    <t>2014-11-26 15:54:36.618: DirectionIndicator - notify - price/longMA/ShortMA/prevDirection are 1.5786/1.5785973554636/1.57859469659073/-1</t>
  </si>
  <si>
    <t>2014-11-26 15:54:36.618: Algorithm - handleTransition - currentHedgeShortfall is NOT ZERO and AUTOHEDGE IS NOT ENABLED!</t>
  </si>
  <si>
    <t>2014-11-26 15:54:36.827: DirectionIndicator - notify - price/longMA/ShortMA/prevDirection are 1.57855/1.57858874537931/1.57857979772715/-1</t>
  </si>
  <si>
    <t>2014-11-26 15:54:36.828: Algorithm - handleTransition - currentHedgeShortfall is NOT ZERO and AUTOHEDGE IS NOT ENABLED!</t>
  </si>
  <si>
    <t>2014-11-26 15:54:37.123: RTWSControl  - tickOptionComputation - id:200044 tickType:10 impliedVol:5.89558922512056E-02 delta:0.886444051271972 optPrice:8.99999961256981E-03 pvDividend:0 gamma: 1.79769313486232E+308 theta/vega/undPrice: -3.19835831023483E-04-2.67731968014153E-04-1.5786</t>
  </si>
  <si>
    <t>2014-11-26 15:54:37.195: RTWSControl  - tickOptionComputation - id:200045 tickType:11 impliedVol:6.75391371173745E-02 delta:0.670189373786005 optPrice:5.40000014007092E-03 pvDividend:0 gamma: 1.79769313486232E+308 theta/vega/undPrice: -6.8887280433882E-04-4.45561649107443E-04-1.5786</t>
  </si>
  <si>
    <t>2014-11-26 15:54:37.249: RTWSControl  - tickOptionComputation - id:200055 tickType:10 impliedVol:5.83589225486881E-02 delta:0.422691203685253 optPrice:2.19999998807907E-03 pvDividend:0 gamma: 1.79769313486232E+308 theta/vega/undPrice: -6.4463365529797E-04-4.83457815553991E-04-1.5786</t>
  </si>
  <si>
    <t>2014-11-26 15:54:37.287: RTWSControl  - tickOptionComputation - id:200050 tickType:11 impliedVol:6.98709642128871E-02 delta:-0.308658727935973 optPrice:3.50000010803342E-03 pvDividend:0 gamma: 1.79769313486232E+308 theta/vega/undPrice: -3.37876228745064E-04-9.14298804903933E-04-1.5786</t>
  </si>
  <si>
    <t>2014-11-26 15:54:37.332: RTWSControl  - tickOptionComputation - id:200052 tickType:10 impliedVol:1.79769313486232E+308 delta:1.79769313486232E+308 optPrice:1.79769313486232E+308 pvDividend:0 gamma: 1.79769313486232E+308 theta/vega/undPrice: 1.79769313486232E+308-1.79769313486232E+308-1.5786</t>
  </si>
  <si>
    <t>2014-11-26 15:54:37.369: RTWSControl  - tickOptionComputation - id:200052 tickType:11 impliedVol:1.79769313486232E+308 delta:1.79769313486232E+308 optPrice:1.79769313486232E+308 pvDividend:0 gamma: 1.79769313486232E+308 theta/vega/undPrice: 1.79769313486232E+308-1.79769313486232E+308-1.5786</t>
  </si>
  <si>
    <t>2014-11-26 15:54:37.412: RTWSControl  - tickOptionComputation - id:200054 tickType:10 impliedVol:1.79769313486232E+308 delta:1.79769313486232E+308 optPrice:1.79769313486232E+308 pvDividend:0 gamma: 1.79769313486232E+308 theta/vega/undPrice: 1.79769313486232E+308-1.79769313486232E+308-1.5786</t>
  </si>
  <si>
    <t>2014-11-26 15:54:38.362: RTWSControl  - tickOptionComputation - id:200042 tickType:13 impliedVol:8.05104950671591E-02 delta:-2.71484814978432E-02 optPrice:1.03386365755537E-04 pvDividend:0 gamma: 1.79769313486232E+308 theta/vega/undPrice: -1.41315704468256E-04-8.78173007599606E-05-1.5786</t>
  </si>
  <si>
    <t>2014-11-26 15:54:38.419: RTWSControl  - tickOptionComputation - id:200041 tickType:11 impliedVol:7.72528020756632E-02 delta:0.928701435959242 optPrice:1.38999996706843E-02 pvDividend:0 gamma: 1.79769313486232E+308 theta/vega/undPrice: -2.97138468719755E-04-2.00322290734968E-04-1.5786</t>
  </si>
  <si>
    <t>2014-11-26 15:54:38.459: RTWSControl  - tickOptionComputation - id:200041 tickType:13 impliedVol:7.17749198665274E-02 delta:0.941862020685882 optPrice:0.013821209111568 pvDividend:0 gamma: 1.79769313486232E+308 theta/vega/undPrice: -2.34318721928307E-04-1.61015779955359E-04-1.5786</t>
  </si>
  <si>
    <t>2014-11-26 15:54:38.503: RTWSControl  - tickOptionComputation - id:200043 tickType:13 impliedVol:7.17749198665274E-02 delta:-5.82504983103538E-02 optPrice:2.21403637032642E-04 pvDividend:0 gamma: 1.79769313486232E+308 theta/vega/undPrice: -2.34408570229553E-04-1.61016039421382E-04-1.5786</t>
  </si>
  <si>
    <t>2014-11-26 15:54:38.547: RTWSControl  - tickOptionComputation - id:200044 tickType:13 impliedVol:6.56636508168447E-02 delta:0.861319609885777 optPrice:9.16939862620166E-03 pvDividend:0 gamma: 1.79769313486232E+308 theta/vega/undPrice: -4.09863090170111E-04-2.9774615480827E-04-1.5786</t>
  </si>
  <si>
    <t>2014-11-26 15:54:38.614: RTWSControl  - tickOptionComputation - id:200046 tickType:13 impliedVol:6.56636508168447E-02 delta:-0.138793070369653 optPrice:5.69522290567917E-04 pvDividend:0 gamma: 1.79769313486232E+308 theta/vega/undPrice: -4.09920558180319E-04-2.97746443288876E-04-1.5786</t>
  </si>
  <si>
    <t>2014-11-26 15:54:38.663: RTWSControl  - tickOptionComputation - id:200045 tickType:11 impliedVol:6.52859332231342E-02 delta:0.675694415810924 optPrice:5.29999984428287E-03 pvDividend:0 gamma: 1.79769313486232E+308 theta/vega/undPrice: -6.61502509038877E-04-4.45561757395237E-04-1.5786</t>
  </si>
  <si>
    <t>2014-11-26 15:54:38.707: RTWSControl  - tickOptionComputation - id:200045 tickType:13 impliedVol:6.21766879181109E-02 delta:0.684036382170484 optPrice:5.16106977680357E-03 pvDividend:0 gamma: 1.79769313486232E+308 theta/vega/undPrice: -6.23733614025031E-04-4.45561902190127E-04-1.5786</t>
  </si>
  <si>
    <t>2014-11-26 15:54:38.747: RTWSControl  - tickOptionComputation - id:200047 tickType:13 impliedVol:6.21766879181109E-02 delta:-0.316076749618677 optPrice:1.56112388587136E-03 pvDividend:0 gamma: 1.79769313486232E+308 theta/vega/undPrice: -6.2375925042223E-04-4.45562540631055E-04-1.5786</t>
  </si>
  <si>
    <t>2014-11-26 15:54:38.790: RTWSControl  - tickOptionComputation - id:200055 tickType:13 impliedVol:6.13140311703262E-02 delta:0.42656029726797 optPrice:2.3428825935279E-03 pvDividend:0 gamma: 1.79769313486232E+308 theta/vega/undPrice: -6.78210783427154E-04-4.83457674374605E-04-1.5786</t>
  </si>
  <si>
    <t>2014-11-26 15:54:38.830: RTWSControl  - tickOptionComputation - id:200049 tickType:13 impliedVol:6.90014333126019E-02 delta:0.693618624855521 optPrice:1.20197127132934E-02 pvDividend:0 gamma: 1.79769313486232E+308 theta/vega/undPrice: -3.3268520506802E-04-9.14293630818923E-04-1.5786</t>
  </si>
  <si>
    <t>2014-11-26 15:54:38.873: RTWSControl  - tickOptionComputation - id:200050 tickType:11 impliedVol:0.070964652681006 delta:-0.311404662322899 optPrice:3.59999993816018E-03 pvDividend:0 gamma: 1.79769313486232E+308 theta/vega/undPrice: -3.44328714155798E-04-9.14298318658566E-04-1.5786</t>
  </si>
  <si>
    <t>2014-11-26 15:54:38.913: RTWSControl  - tickOptionComputation - id:200050 tickType:13 impliedVol:6.90014333126019E-02 delta:-0.30645150283513 optPrice:3.42025696733801E-03 pvDividend:0 gamma: 1.79769313486232E+308 theta/vega/undPrice: -3.3274621033285E-04-9.14299189232784E-04-1.5786</t>
  </si>
  <si>
    <t>2014-11-26 15:54:38.958: RTWSControl  - tickOptionComputation - id:200052 tickType:10 impliedVol:1.79769313486232E+308 delta:1.79769313486232E+308 optPrice:1.79769313486232E+308 pvDividend:0 gamma: 1.79769313486232E+308 theta/vega/undPrice: 1.79769313486232E+308-1.79769313486232E+308-1.5786</t>
  </si>
  <si>
    <t>2014-11-26 15:54:38.993: RTWSControl  - tickOptionComputation - id:200052 tickType:11 impliedVol:1.79769313486232E+308 delta:1.79769313486232E+308 optPrice:1.79769313486232E+308 pvDividend:0 gamma: 1.79769313486232E+308 theta/vega/undPrice: 1.79769313486232E+308-1.79769313486232E+308-1.5786</t>
  </si>
  <si>
    <t>2014-11-26 15:54:39.35: RTWSControl  - tickOptionComputation - id:200048 tickType:13 impliedVol:8.24625184255989E-02 delta:-2.80098989684413E-02 optPrice:2.26173462440207E-04 pvDividend:0 gamma: 1.79769313486232E+308 theta/vega/undPrice: -7.22344977413339E-05-1.84232980132585E-04-1.5786</t>
  </si>
  <si>
    <t>2014-11-26 15:54:39.79: RTWSControl  - tickOptionComputation - id:200053 tickType:13 impliedVol:6.36787471091882E-02 delta:9.12774033543823E-02 optPrice:6.80614891701978E-04 pvDividend:0 gamma: 1.79769313486232E+308 theta/vega/undPrice: -1.42957192802698E-04-4.47349489507086E-04-1.5786</t>
  </si>
  <si>
    <t>2014-11-26 15:54:39.120: RTWSControl  - tickOptionComputation - id:200054 tickType:10 impliedVol:1.79769313486232E+308 delta:1.79769313486232E+308 optPrice:1.79769313486232E+308 pvDividend:0 gamma: 1.79769313486232E+308 theta/vega/undPrice: 1.79769313486232E+308-1.79769313486232E+308-1.5786</t>
  </si>
  <si>
    <t>2014-11-26 15:54:39.157: RTWSControl  - tickOptionComputation - id:200054 tickType:13 impliedVol:6.64944598153543E-02 delta:1.02142091260298E-03 optPrice:4.8270763794062E-06 pvDividend:0 gamma: 0.203979579699339 theta/vega/undPrice: -3.07797583893325E-06-1.80079193679776E-05-1.5786</t>
  </si>
  <si>
    <t>2014-11-26 15:54:39.414: DirectionIndicator - notify - price/longMA/ShortMA/prevDirection are 1.5785/1.5785726098558/1.57855319848477/-1</t>
  </si>
  <si>
    <t>2014-11-26 15:54:39.414: Algorithm - handleTransition - currentHedgeShortfall is NOT ZERO and AUTOHEDGE IS NOT ENABLED!</t>
  </si>
  <si>
    <t>2014-11-26 15:54:40.80: DirectionIndicator - notify - price/longMA/ShortMA/prevDirection are 1.57845/1.57855031715474/1.57851879898984/-1</t>
  </si>
  <si>
    <t>2014-11-26 15:54:40.80: Algorithm - handleTransition - currentHedgeShortfall is NOT ZERO and AUTOHEDGE IS NOT ENABLED!</t>
  </si>
  <si>
    <t>2014-11-26 15:54:40.155: DirectionIndicator - notify - price/longMA/ShortMA/prevDirection are 1.5785/1.57854116858115/1.5785125326599/-1</t>
  </si>
  <si>
    <t>2014-11-26 15:54:40.156: Algorithm - handleTransition - currentHedgeShortfall is NOT ZERO and AUTOHEDGE IS NOT ENABLED!</t>
  </si>
  <si>
    <t>2014-11-26 15:54:40.197: DirectionIndicator - notify - price/longMA/ShortMA/prevDirection are 1.57855/1.57854277429367/1.57852502177326/-1</t>
  </si>
  <si>
    <t>2014-11-26 15:54:40.197: Algorithm - handleTransition - currentHedgeShortfall is NOT ZERO and AUTOHEDGE IS NOT ENABLED!</t>
  </si>
  <si>
    <t>2014-11-26 15:54:40.658: DirectionIndicator - notify - price/longMA/ShortMA/prevDirection are 1.5785/1.57853499714937/1.57851668118218/-1</t>
  </si>
  <si>
    <t>2014-11-26 15:54:40.662: Algorithm - handleTransition - currentHedgeShortfall is NOT ZERO and AUTOHEDGE IS NOT ENABLED!</t>
  </si>
  <si>
    <t>2014-11-26 15:54:40.703: DirectionIndicator - notify - price/longMA/ShortMA/prevDirection are 1.57845/1.57851954312221/1.57849445412145/-1</t>
  </si>
  <si>
    <t>2014-11-26 15:54:40.703: Algorithm - handleTransition - currentHedgeShortfall is NOT ZERO and AUTOHEDGE IS NOT ENABLED!</t>
  </si>
  <si>
    <t>2014-11-26 15:54:41.497: RTWSControl  - tickOptionComputation - id:200042 tickType:13 impliedVol:8.05104950671591E-02 delta:-2.78844269920695E-02 optPrice:1.06609290452964E-04 pvDividend:0 gamma: 1.79769313486232E+308 theta/vega/undPrice: -1.44428155475713E-04-9.02054021860326E-05-1.5785</t>
  </si>
  <si>
    <t>2014-11-26 15:54:41.571: RTWSControl  - tickOptionComputation - id:200041 tickType:13 impliedVol:7.17749198665274E-02 delta:0.940512702048492 optPrice:1.37271237815421E-02 pvDividend:0 gamma: 1.79769313486232E+308 theta/vega/undPrice: -2.38621964402447E-04-1.65178445655553E-04-1.5785</t>
  </si>
  <si>
    <t>2014-11-26 15:54:41.620: RTWSControl  - tickOptionComputation - id:200043 tickType:13 impliedVol:7.17749198665274E-02 delta:-5.95998179328101E-02 optPrice:2.27316881852115E-04 pvDividend:0 gamma: 1.79769313486232E+308 theta/vega/undPrice: -2.38711158824704E-04-1.6517870849648E-04-1.5785</t>
  </si>
  <si>
    <t>2014-11-26 15:54:41.662: RTWSControl  - tickOptionComputation - id:200044 tickType:13 impliedVol:6.56636508168447E-02 delta:0.858260208122064 optPrice:9.08544962347847E-03 pvDividend:0 gamma: 1.79769313486232E+308 theta/vega/undPrice: -4.15541154791925E-04-2.97736723784518E-04-1.5785</t>
  </si>
  <si>
    <t>2014-11-26 15:54:41.703: RTWSControl  - tickOptionComputation - id:200046 tickType:13 impliedVol:6.56636508168447E-02 delta:-0.141852475326669 optPrice:5.85571871843583E-04 pvDividend:0 gamma: 1.79769313486232E+308 theta/vega/undPrice: -4.15597974428179E-04-2.97737012275917E-04-1.5785</t>
  </si>
  <si>
    <t>2014-11-26 15:54:41.750: RTWSControl  - tickOptionComputation - id:200045 tickType:13 impliedVol:6.21766879181109E-02 delta:0.679200903512799 optPrice:5.09457347422896E-03 pvDividend:0 gamma: 1.79769313486232E+308 theta/vega/undPrice: -6.27363809558405E-04-4.45547789024087E-04-1.5785</t>
  </si>
  <si>
    <t>2014-11-26 15:54:41.800: RTWSControl  - tickOptionComputation - id:200047 tickType:13 impliedVol:6.21766879181109E-02 delta:-0.320912235923566 optPrice:1.59462619024817E-03 pvDividend:0 gamma: 1.79769313486232E+308 theta/vega/undPrice: -6.27388804219527E-04-4.45548427800646E-04-1.5785</t>
  </si>
  <si>
    <t>2014-11-26 15:54:41.868: RTWSControl  - tickOptionComputation - id:200055 tickType:13 impliedVol:6.13140311703262E-02 delta:0.421238493076894 optPrice:2.29840312265384E-03 pvDividend:0 gamma: 1.79769313486232E+308 theta/vega/undPrice: -6.76869625027946E-04-4.83442362762625E-04-1.5785</t>
  </si>
  <si>
    <t>2014-11-26 15:54:41.910: RTWSControl  - tickOptionComputation - id:200049 tickType:13 impliedVol:6.90014333126019E-02 delta:0.691502823936432 optPrice:1.19531071350564E-02 pvDividend:0 gamma: 1.79769313486232E+308 theta/vega/undPrice: -3.33537545667797E-04-9.14264664776919E-04-1.5785</t>
  </si>
  <si>
    <t>2014-11-26 15:54:41.954: RTWSControl  - tickOptionComputation - id:200050 tickType:13 impliedVol:6.90014333126019E-02 delta:-0.308567318321313 optPrice:3.45364550528743E-03 pvDividend:0 gamma: 1.79769313486232E+308 theta/vega/undPrice: -3.33597910461068E-04-9.14270223983809E-04-1.5785</t>
  </si>
  <si>
    <t>2014-11-26 15:54:41.993: RTWSControl  - tickOptionComputation - id:200051 tickType:13 impliedVol:7.08486862386817E-02 delta:-0.311416321903818 optPrice:3.53088786984011E-03 pvDividend:0 gamma: 1.79769313486232E+308 theta/vega/undPrice: -3.45541018628765E-04-8.74287415671403E-04-1.5785</t>
  </si>
  <si>
    <t>2014-11-26 15:54:42.34: RTWSControl  - tickOptionComputation - id:200052 tickType:13 impliedVol:0.121418444956155 delta:-0.516151158903301 optPrice:1.27510753808238E-02 pvDividend:0 gamma: 1.79769313486232E+308 theta/vega/undPrice: -6.67750958119524E-04-9.85919924813192E-04-1.5785</t>
  </si>
  <si>
    <t>2014-11-26 15:54:42.77: RTWSControl  - tickOptionComputation - id:200048 tickType:13 impliedVol:8.24625184255989E-02 delta:-2.83571607726405E-02 optPrice:2.29371567472065E-04 pvDividend:0 gamma: 1.79769313486232E+308 theta/vega/undPrice: -7.29652050853951E-05-1.86894290480986E-04-1.5785</t>
  </si>
  <si>
    <t>2014-11-26 15:54:42.120: RTWSControl  - tickOptionComputation - id:200053 tickType:13 impliedVol:6.36787471091882E-02 delta:9.01548361676049E-02 optPrice:6.70393654061822E-04 pvDividend:0 gamma: 1.79769313486232E+308 theta/vega/undPrice: -1.41686789257325E-04-4.47335317554628E-04-1.5785</t>
  </si>
  <si>
    <t>2014-11-26 15:54:42.159: RTWSControl  - tickOptionComputation - id:200054 tickType:13 impliedVol:6.64944598153543E-02 delta:9.95508761496086E-04 optPrice:4.69472330681335E-06 pvDividend:0 gamma: 0.199280301648797 theta/vega/undPrice: -3.00668465300289E-06-1.78042221788849E-05-1.5785</t>
  </si>
  <si>
    <t>2014-11-26 15:54:42.540: DirectionIndicator - notify - price/longMA/ShortMA/prevDirection are 1.5784/1.57849780800908/1.5784629694143/-1</t>
  </si>
  <si>
    <t>2014-11-26 15:54:42.540: Algorithm - handleTransition - currentHedgeShortfall is NOT ZERO and AUTOHEDGE IS NOT ENABLED!</t>
  </si>
  <si>
    <t>2014-11-26 15:54:42.697: DirectionIndicator - notify - price/longMA/ShortMA/prevDirection are 1.57835/1.57847093382561/1.57842531294287/-1</t>
  </si>
  <si>
    <t>2014-11-26 15:54:42.698: Algorithm - handleTransition - currentHedgeShortfall is NOT ZERO and AUTOHEDGE IS NOT ENABLED!</t>
  </si>
  <si>
    <t>2014-11-26 15:54:42.823: DirectionIndicator - notify - price/longMA/ShortMA/prevDirection are 1.5784/1.57845803676641/1.57841687529524/-1</t>
  </si>
  <si>
    <t>2014-11-26 15:54:42.823: Algorithm - handleTransition - currentHedgeShortfall is NOT ZERO and AUTOHEDGE IS NOT ENABLED!</t>
  </si>
  <si>
    <t>2014-11-26 15:54:42.945: RTWSControl  - tickOptionComputation - id:200042 tickType:13 impliedVol:8.05104950671591E-02 delta:-2.86204657383875E-02 optPrice:1.09832215150396E-04 pvDividend:0 gamma: 1.79769313486232E+308 theta/vega/undPrice: -1.47540606483178E-04-9.28872106666295E-05-1.5784</t>
  </si>
  <si>
    <t>2014-11-26 15:54:42.997: RTWSControl  - tickOptionComputation - id:200041 tickType:13 impliedVol:7.17749198665274E-02 delta:0.939163212438158 optPrice:1.36330384515163E-02 pvDividend:0 gamma: 1.79769313486232E+308 theta/vega/undPrice: -2.42925206876567E-04-1.69341111355603E-04-1.5784</t>
  </si>
  <si>
    <t>2014-11-26 15:54:43.39: RTWSControl  - tickOptionComputation - id:200043 tickType:13 impliedVol:7.17749198665274E-02 delta:-6.09493085283591E-02 optPrice:2.33230126671598E-04 pvDividend:0 gamma: 1.79769313486232E+308 theta/vega/undPrice: -2.4301374741987E-04-1.69341377571569E-04-1.5784</t>
  </si>
  <si>
    <t>2014-11-26 15:54:43.82: RTWSControl  - tickOptionComputation - id:200044 tickType:13 impliedVol:6.56636508168447E-02 delta:0.855200418699728 optPrice:9.00150062075508E-03 pvDividend:0 gamma: 1.79769313486232E+308 theta/vega/undPrice: -4.2121921941374E-04-2.97727292761032E-04-1.5784</t>
  </si>
  <si>
    <t>2014-11-26 15:54:43.122: RTWSControl  - tickOptionComputation - id:200046 tickType:13 impliedVol:6.56636508168447E-02 delta:-0.144912267942709 optPrice:6.01621453119299E-04 pvDividend:0 gamma: 1.79769313486232E+308 theta/vega/undPrice: -4.21275390676045E-04-2.97727581364515E-04-1.5784</t>
  </si>
  <si>
    <t>2014-11-26 15:54:43.165: RTWSControl  - tickOptionComputation - id:200045 tickType:13 impliedVol:6.21766879181109E-02 delta:0.67436481214873 optPrice:5.02807717165423E-03 pvDividend:0 gamma: 1.79769313486232E+308 theta/vega/undPrice: -6.3099400509178E-04-4.45533675858268E-04-1.5784</t>
  </si>
  <si>
    <t>2014-11-26 15:54:43.206: RTWSControl  - tickOptionComputation - id:200047 tickType:13 impliedVol:6.21766879181109E-02 delta:-0.325748334935809 optPrice:1.62812849462503E-03 pvDividend:0 gamma: 1.79769313486232E+308 theta/vega/undPrice: -6.31018358016876E-04-4.45534314970076E-04-1.5784</t>
  </si>
  <si>
    <t>2014-11-26 15:54:43.247: RTWSControl  - tickOptionComputation - id:200055 tickType:13 impliedVol:6.13140311703262E-02 delta:0.415916014556887 optPrice:0.00225392365178 pvDividend:0 gamma: 1.79769313486232E+308 theta/vega/undPrice: -6.75528466628773E-04-4.83427051150392E-04-1.5784</t>
  </si>
  <si>
    <t>2014-11-26 15:54:43.287: RTWSControl  - tickOptionComputation - id:200049 tickType:13 impliedVol:6.90014333126019E-02 delta:0.689386754922956 optPrice:1.18865015568194E-02 pvDividend:0 gamma: 1.79769313486232E+308 theta/vega/undPrice: -3.34389886267584E-04-9.14235698735067E-04-1.5784</t>
  </si>
  <si>
    <t>2014-11-26 15:54:43.331: RTWSControl  - tickOptionComputation - id:200050 tickType:13 impliedVol:6.90014333126019E-02 delta:-0.310683401903708 optPrice:3.4870340432366E-03 pvDividend:0 gamma: 1.79769313486232E+308 theta/vega/undPrice: -3.34449610589259E-04-9.14241260571769E-04-1.5784</t>
  </si>
  <si>
    <t>2014-11-26 15:54:43.370: RTWSControl  - tickOptionComputation - id:200051 tickType:13 impliedVol:7.08486862386817E-02 delta:-0.313436434418733 optPrice:3.56212648774954E-03 pvDividend:0 gamma: 1.79769313486232E+308 theta/vega/undPrice: -3.46484587814776E-04-8.76675192752406E-04-1.5784</t>
  </si>
  <si>
    <t>2014-11-26 15:54:43.411: RTWSControl  - tickOptionComputation - id:200052 tickType:13 impliedVol:0.121418444956155 delta:-0.517478470227124 optPrice:0.012802747407426 pvDividend:0 gamma: 1.79769313486232E+308 theta/vega/undPrice: -6.67614761488057E-04-9.85719360731606E-04-1.5784</t>
  </si>
  <si>
    <t>2014-11-26 15:54:43.454: RTWSControl  - tickOptionComputation - id:200048 tickType:13 impliedVol:8.24625184255989E-02 delta:-2.87044665785883E-02 optPrice:2.32569672503917E-04 pvDividend:0 gamma: 1.79769313486232E+308 theta/vega/undPrice: -7.36959124294554E-05-1.89555600829417E-04-1.5784</t>
  </si>
  <si>
    <t>2014-11-26 15:54:43.497: RTWSControl  - tickOptionComputation - id:200053 tickType:13 impliedVol:6.36787471091882E-02 delta:8.90321267396728E-02 optPrice:6.60172416421659E-04 pvDividend:0 gamma: 1.79769313486232E+308 theta/vega/undPrice: -1.40416385711951E-04-4.47321145602138E-04-1.5784</t>
  </si>
  <si>
    <t>2014-11-26 15:54:43.537: RTWSControl  - tickOptionComputation - id:200054 tickType:13 impliedVol:6.64944598153543E-02 delta:9.69593327045105E-04 optPrice:4.56237023422021E-06 pvDividend:0 gamma: 0.194579831026399 theta/vega/undPrice: -2.93539346707239E-06-1.76005249897924E-05-1.5784</t>
  </si>
  <si>
    <t>2014-11-26 15:54:43.578: RTWSControl  - tickOptionComputation - id:200042 tickType:10 impliedVol:9.03062423028407E-02 delta:-4.39752514989588E-02 optPrice:1.99999994947575E-04 pvDividend:0 gamma: 1.79769313486232E+308 theta/vega/undPrice: -2.37427970633657E-04-1.43271602601718E-04-1.5784</t>
  </si>
  <si>
    <t>2014-11-26 15:54:43.621: RTWSControl  - tickOptionComputation - id:200042 tickType:11 impliedVol:9.03062423028407E-02 delta:-4.39752514989588E-02 optPrice:1.99999994947575E-04 pvDividend:0 gamma: 1.79769313486232E+308 theta/vega/undPrice: -2.37427970633657E-04-1.43271602601718E-04-1.5784</t>
  </si>
  <si>
    <t>2014-11-26 15:54:43.668: RTWSControl  - tickOptionComputation - id:200041 tickType:10 impliedVol:6.08363260554621E-02 delta:0.966167375690658 optPrice:1.35000003501773E-02 pvDividend:0 gamma: 1.79769313486232E+308 theta/vega/undPrice: -1.28064908254196E-04-1.19569151407676E-04-1.5784</t>
  </si>
  <si>
    <t>2014-11-26 15:54:43.713: RTWSControl  - tickOptionComputation - id:200041 tickType:11 impliedVol:8.16209705776446E-02 delta:0.913671426264403 optPrice:1.37999998405576E-02 pvDividend:0 gamma: 1.79769313486232E+308 theta/vega/undPrice: -3.61644774278294E-04-2.15251637998822E-04-1.5784</t>
  </si>
  <si>
    <t>2014-11-26 15:54:43.777: RTWSControl  - tickOptionComputation - id:200043 tickType:10 impliedVol:6.09091542992446E-02 delta:-3.39754542967078E-02 optPrice:9.99999974737875E-05 pvDividend:0 gamma: 1.79769313486232E+308 theta/vega/undPrice: -1.28809636724787E-04-1.19973840565744E-04-1.5784</t>
  </si>
  <si>
    <t>2014-11-26 15:54:43.831: RTWSControl  - tickOptionComputation - id:200043 tickType:11 impliedVol:7.64156062183406E-02 delta:-7.19480538079944E-02 optPrice:3.00000014249235E-04 pvDividend:0 gamma: 1.79769313486232E+308 theta/vega/undPrice: -2.96229317490743E-04-2.02638521512976E-04-1.5784</t>
  </si>
  <si>
    <t>2014-11-26 15:54:43.873: RTWSControl  - tickOptionComputation - id:200044 tickType:10 impliedVol:0.062249920283811 delta:0.869194003384783 optPrice:8.89999978244305E-03 pvDividend:0 gamma: 1.79769313486232E+308 theta/vega/undPrice: -3.74400175532868E-04-2.97727400437613E-04-1.5784</t>
  </si>
  <si>
    <t>2014-11-26 15:54:43.916: RTWSControl  - tickOptionComputation - id:200044 tickType:11 impliedVol:7.23296763739969E-02 delta:0.831401962635461 optPrice:9.20000020414591E-03 pvDividend:0 gamma: 1.79769313486232E+308 theta/vega/undPrice: -5.12643139300472E-04-3.04107601409843E-04-1.5784</t>
  </si>
  <si>
    <t>2014-11-26 15:54:43.962: RTWSControl  - tickOptionComputation - id:200046 tickType:10 impliedVol:6.55986991333416E-02 delta:-0.144639366179444 optPrice:6.00000028498471E-04 pvDividend:0 gamma: 1.79769313486232E+308 theta/vega/undPrice: -4.20384582082359E-04-2.97727583405578E-04-1.5784</t>
  </si>
  <si>
    <t>2014-11-26 15:54:44.3: RTWSControl  - tickOptionComputation - id:200046 tickType:11 impliedVol:6.89703943881901E-02 delta:-0.15721967093967 optPrice:6.99999975040555E-04 pvDividend:0 gamma: 1.79769313486232E+308 theta/vega/undPrice: -4.66627172720458E-04-2.97727477746695E-04-1.5784</t>
  </si>
  <si>
    <t>2014-11-26 15:54:44.70: RTWSControl  - tickOptionComputation - id:200045 tickType:10 impliedVol:6.15619538035006E-02 delta:0.675914545857177 optPrice:4.99999988824129E-03 pvDividend:0 gamma: 1.79769313486232E+308 theta/vega/undPrice: -6.23527122980583E-04-4.45533703561219E-04-1.5784</t>
  </si>
  <si>
    <t>2014-11-26 15:54:44.120: RTWSControl  - tickOptionComputation - id:200045 tickType:11 impliedVol:6.82799890168308E-02 delta:0.659652324863366 optPrice:5.29999984428287E-03 pvDividend:0 gamma: 1.79769313486232E+308 theta/vega/undPrice: -7.05127829364876E-04-4.45533389387432E-04-1.5784</t>
  </si>
  <si>
    <t>2014-11-26 15:54:44.165: RTWSControl  - tickOptionComputation - id:200047 tickType:10 impliedVol:5.92994085620084E-02 delta:-0.317760951635505 optPrice:1.50000001303852E-03 pvDividend:0 gamma: 1.79769313486232E+308 theta/vega/undPrice: -5.96069290894853E-04-4.45534442284356E-04-1.5784</t>
  </si>
  <si>
    <t>2014-11-26 15:54:44.206: RTWSControl  - tickOptionComputation - id:200047 tickType:11 impliedVol:6.60392426927329E-02 delta:-0.335280142203524 optPrice:1.79999996908009E-03 pvDividend:0 gamma: 1.79769313486232E+308 theta/vega/undPrice: -6.77935101536182E-04-4.45534136350625E-04-1.5784</t>
  </si>
  <si>
    <t>2014-11-26 15:54:44.253: RTWSControl  - tickOptionComputation - id:200055 tickType:10 impliedVol:6.01985860592306E-02 delta:0.414269556876351 optPrice:2.19999998807907E-03 pvDividend:0 gamma: 1.79769313486232E+308 theta/vega/undPrice: -6.62855138216377E-04-4.83427105361288E-04-1.5784</t>
  </si>
  <si>
    <t>2014-11-26 15:54:44.294: RTWSControl  - tickOptionComputation - id:200055 tickType:11 impliedVol:6.43357158452553E-02 delta:0.419906466524067 optPrice:2.40000011399388E-03 pvDividend:0 gamma: 1.79769313486232E+308 theta/vega/undPrice: -7.09859856259711E-04-4.83426899805628E-04-1.5784</t>
  </si>
  <si>
    <t>2014-11-26 15:54:44.359: RTWSControl  - tickOptionComputation - id:200049 tickType:10 impliedVol:6.80552780661513E-02 delta:0.691750705841986 optPrice:1.18000004440546E-02 pvDividend:0 gamma: 1.79769313486232E+308 theta/vega/undPrice: -3.28808232347443E-04-9.14236111924187E-04-1.5784</t>
  </si>
  <si>
    <t>2014-11-26 15:54:44.410: RTWSControl  - tickOptionComputation - id:200049 tickType:11 impliedVol:7.02428890179107E-02 delta:0.686184753138176 optPrice:1.20000001043081E-02 pvDividend:0 gamma: 1.79769313486232E+308 theta/vega/undPrice: -3.41713596894818E-04-9.14235150028267E-04-1.5784</t>
  </si>
  <si>
    <t>2014-11-26 15:54:44.456: RTWSControl  - tickOptionComputation - id:200050 tickType:10 impliedVol:6.80494551195454E-02 delta:-0.308177690763017 optPrice:3.40000004507601E-03 pvDividend:0 gamma: 1.79769313486232E+308 theta/vega/undPrice: -3.28833523381753E-04-9.14241673447086E-04-1.5784</t>
  </si>
  <si>
    <t>2014-11-26 15:54:44.497: RTWSControl  - tickOptionComputation - id:200050 tickType:11 impliedVol:0.070237055311018 delta:-0.31374460364342 optPrice:3.59999993816018E-03 pvDividend:0 gamma: 1.79769313486232E+308 theta/vega/undPrice: -3.41739012874069E-04-9.14240722319689E-04-1.5784</t>
  </si>
  <si>
    <t>2014-11-26 15:54:44.543: RTWSControl  - tickOptionComputation - id:200051 tickType:10 impliedVol:6.78409674153259E-02 delta:-0.305965976365835 optPrice:3.29999998211861E-03 pvDividend:0 gamma: 1.79769313486232E+308 theta/vega/undPrice: -3.28321018319095E-04-8.67546163059773E-04-1.5784</t>
  </si>
  <si>
    <t>2014-11-26 15:54:44.585: RTWSControl  - tickOptionComputation - id:200051 tickType:11 impliedVol:7.12776229650417E-02 delta:-0.314410814755094 optPrice:3.59999993816018E-03 pvDividend:0 gamma: 1.79769313486232E+308 theta/vega/undPrice: -3.490656412296E-04-8.77890973357613E-04-1.5784</t>
  </si>
  <si>
    <t>2014-11-26 15:54:44.651: RTWSControl  - tickOptionComputation - id:200052 tickType:10 impliedVol:1.79769313486232E+308 delta:1.79769313486232E+308 optPrice:1.79769313486232E+308 pvDividend:0 gamma: 1.79769313486232E+308 theta/vega/undPrice: 1.79769313486232E+308-1.79769313486232E+308-1.5784</t>
  </si>
  <si>
    <t>2014-11-26 15:54:44.667: RTWSControl  - tickOptionComputation - id:200052 tickType:11 impliedVol:1.79769313486232E+308 delta:1.79769313486232E+308 optPrice:1.79769313486232E+308 pvDividend:0 gamma: 1.79769313486232E+308 theta/vega/undPrice: 1.79769313486232E+308-1.79769313486232E+308-1.5784</t>
  </si>
  <si>
    <t>2014-11-26 15:54:44.731: RTWSControl  - tickOptionComputation - id:200048 tickType:10 impliedVol:8.06693900679562E-02 delta:-2.57091946777206E-02 optPrice:1.99999994947575E-04 pvDividend:0 gamma: 1.79769313486232E+308 theta/vega/undPrice: -6.58968954083889E-05-1.7931552660918E-04-1.5784</t>
  </si>
  <si>
    <t>2014-11-26 15:54:44.785: RTWSControl  - tickOptionComputation - id:200048 tickType:11 impliedVol:8.62196813695485E-02 delta:-3.45643559496363E-02 optPrice:3.00000014249235E-04 pvDividend:0 gamma: 1.79769313486232E+308 theta/vega/undPrice: -9.00372494164768E-05-2.3210566024581E-04-1.5784</t>
  </si>
  <si>
    <t>2014-11-26 15:54:44.836: RTWSControl  - tickOptionComputation - id:200053 tickType:10 impliedVol:0.062331218566864 delta:8.37969071642684E-02 optPrice:6.00000028498471E-04 pvDividend:0 gamma: 1.79769313486232E+308 theta/vega/undPrice: -1.31697795271198E-04-4.47321404342595E-04-1.5784</t>
  </si>
  <si>
    <t>2014-11-26 15:54:44.871: RTWSControl  - tickOptionComputation - id:200053 tickType:11 impliedVol:6.45519450483842E-02 delta:9.22899639675484E-02 optPrice:6.99999975040555E-04 pvDividend:0 gamma: 1.79769313486232E+308 theta/vega/undPrice: -1.46066024133262E-04-4.47320979572651E-04-1.5784</t>
  </si>
  <si>
    <t>2014-11-26 15:54:44.917: RTWSControl  - tickOptionComputation - id:200054 tickType:10 impliedVol:1.79769313486232E+308 delta:1.79769313486232E+308 optPrice:1.79769313486232E+308 pvDividend:0 gamma: 1.79769313486232E+308 theta/vega/undPrice: 1.79769313486232E+308-1.79769313486232E+308-1.5784</t>
  </si>
  <si>
    <t>2014-11-26 15:54:44.951: RTWSControl  - tickOptionComputation - id:200054 tickType:11 impliedVol:9.12423991575868E-02 delta:1.24487443563273E-02 optPrice:9.99999974737875E-05 pvDividend:0 gamma: 1.79769313486232E+308 theta/vega/undPrice: -4.01245773219151E-05-1.03769594760252E-04-1.5784</t>
  </si>
  <si>
    <t>2014-11-26 15:54:45.163: DirectionIndicator - notify - price/longMA/ShortMA/prevDirection are 1.57835/1.57843839371797/1.57839458353016/-1</t>
  </si>
  <si>
    <t>2014-11-26 15:54:45.163: Algorithm - handleTransition - currentHedgeShortfall is NOT ZERO and AUTOHEDGE IS NOT ENABLED!</t>
  </si>
  <si>
    <t>2014-11-26 15:54:45.609: RTWSControl  - tickOptionComputation - id:200042 tickType:13 impliedVol:0.080488525069967 delta:-2.85833345355303E-02 optPrice:1.09639292669869E-04 pvDividend:0 gamma: 1.79769313486232E+308 theta/vega/undPrice: -1.47342913360236E-04-9.27653652397498E-05-1.5784</t>
  </si>
  <si>
    <t>2014-11-26 15:54:45.661: RTWSControl  - tickOptionComputation - id:200041 tickType:10 impliedVol:3.52601770986019E-02 delta:0.999327490954061 optPrice:0.013399999588728 pvDividend:0 gamma: 0.53157712004138 theta/vega/undPrice: -2.16732541888199E-06-1.17548815043028E-05-1.5784</t>
  </si>
  <si>
    <t>2014-11-26 15:54:45.706: RTWSControl  - tickOptionComputation - id:200041 tickType:13 impliedVol:7.19301709978311E-02 delta:0.938771944374928 optPrice:1.36352663261517E-02 pvDividend:0 gamma: 1.79769313486232E+308 theta/vega/undPrice: -2.44705497660644E-04-1.70455044875593E-04-1.5784</t>
  </si>
  <si>
    <t>2014-11-26 15:54:45.748: RTWSControl  - tickOptionComputation - id:200043 tickType:13 impliedVol:7.19301709978311E-02 delta:-6.13405768769562E-02 optPrice:2.35458002837555E-04 pvDividend:0 gamma: 1.79769313486232E+308 theta/vega/undPrice: -2.44794040204233E-04-1.70455312274038E-04-1.5784</t>
  </si>
  <si>
    <t>2014-11-26 15:54:45.790: RTWSControl  - tickOptionComputation - id:200044 tickType:13 impliedVol:6.60977529053071E-02 delta:0.853511611230509 optPrice:9.01442503125963E-03 pvDividend:0 gamma: 1.79769313486232E+308 theta/vega/undPrice: -4.27172892905204E-04-2.97727279053727E-04-1.5784</t>
  </si>
  <si>
    <t>2014-11-26 15:54:45.831: RTWSControl  - tickOptionComputation - id:200046 tickType:13 impliedVol:6.60977529053071E-02 delta:-0.146601077172776 optPrice:6.14545876144073E-04 pvDividend:0 gamma: 1.79769313486232E+308 theta/vega/undPrice: -4.27229075489871E-04-2.97727567719707E-04-1.5784</t>
  </si>
  <si>
    <t>2014-11-26 15:54:45.872: RTWSControl  - tickOptionComputation - id:200045 tickType:11 impliedVol:6.60354938687257E-02 delta:0.664715314964667 optPrice:5.2000000141561E-03 pvDividend:0 gamma: 1.79769313486232E+308 theta/vega/undPrice: -6.77865054237284E-04-4.45533497148359E-04-1.5784</t>
  </si>
  <si>
    <t>2014-11-26 15:54:45.920: RTWSControl  - tickOptionComputation - id:200045 tickType:13 impliedVol:6.29912707924234E-02 delta:0.672247433565792 optPrice:5.06436959851746E-03 pvDividend:0 gamma: 1.79769313486232E+308 theta/vega/undPrice: -6.40888353022393E-04-4.45533638821681E-04-1.5784</t>
  </si>
  <si>
    <t>2014-11-26 15:54:45.962: RTWSControl  - tickOptionComputation - id:200047 tickType:10 impliedVol:0.061544623383065 delta:-0.324025578893021 optPrice:1.5999999595806E-03 pvDividend:0 gamma: 1.79769313486232E+308 theta/vega/undPrice: -6.23340945750507E-04-4.4553434333241E-04-1.5784</t>
  </si>
  <si>
    <t>2014-11-26 15:54:46.6: RTWSControl  - tickOptionComputation - id:200047 tickType:13 impliedVol:6.29912707924234E-02 delta:-0.32786571686411 optPrice:1.66442097341515E-03 pvDividend:0 gamma: 1.79769313486232E+308 theta/vega/undPrice: -6.40912739179858E-04-4.45534278089161E-04-1.5784</t>
  </si>
  <si>
    <t>2014-11-26 15:54:46.70: RTWSControl  - tickOptionComputation - id:200055 tickType:13 impliedVol:6.26107246591801E-02 delta:0.41769848014177 optPrice:2.3166093498867E-03 pvDividend:0 gamma: 1.79769313486232E+308 theta/vega/undPrice: -6.90261076002782E-04-4.83426987007377E-04-1.5784</t>
  </si>
  <si>
    <t>2014-11-26 15:54:46.117: RTWSControl  - tickOptionComputation - id:200049 tickType:13 impliedVol:6.80624184743532E-02 delta:0.691819420724781 optPrice:0.011800653247587 pvDividend:0 gamma: 1.79769313486232E+308 theta/vega/undPrice: -3.28850355782712E-04-9.14236108823165E-04-1.5784</t>
  </si>
  <si>
    <t>2014-11-26 15:54:46.160: RTWSControl  - tickOptionComputation - id:200050 tickType:13 impliedVol:6.80624184743532E-02 delta:-0.30825071938634 optPrice:3.4011852121385E-03 pvDividend:0 gamma: 1.79769313486232E+308 theta/vega/undPrice: -3.28909999262377E-04-9.14241667828297E-04-1.5784</t>
  </si>
  <si>
    <t>2014-11-26 15:54:46.205: RTWSControl  - tickOptionComputation - id:200051 tickType:13 impliedVol:7.01320716531288E-02 delta:-0.311717367814824 optPrice:3.49937666925419E-03 pvDividend:0 gamma: 1.79769313486232E+308 theta/vega/undPrice: -3.42167429730674E-04-8.74597927620303E-04-1.5784</t>
  </si>
  <si>
    <t>2014-11-26 15:54:46.245: RTWSControl  - tickOptionComputation - id:200052 tickType:10 impliedVol:1.79769313486232E+308 delta:1.79769313486232E+308 optPrice:1.79769313486232E+308 pvDividend:0 gamma: 1.79769313486232E+308 theta/vega/undPrice: 1.79769313486232E+308-1.79769313486232E+308-1.5784</t>
  </si>
  <si>
    <t>2014-11-26 15:54:46.281: RTWSControl  - tickOptionComputation - id:200052 tickType:11 impliedVol:1.79769313486232E+308 delta:1.79769313486232E+308 optPrice:1.79769313486232E+308 pvDividend:0 gamma: 1.79769313486232E+308 theta/vega/undPrice: 1.79769313486232E+308-1.79769313486232E+308-1.5784</t>
  </si>
  <si>
    <t>2014-11-26 15:54:46.323: RTWSControl  - tickOptionComputation - id:200052 tickType:13 impliedVol:0.120371415200737 delta:-0.517695790921469 optPrice:0.012699540417918 pvDividend:0 gamma: 1.79769313486232E+308 theta/vega/undPrice: -6.61841776457018E-04-9.85695707512702E-04-1.5784</t>
  </si>
  <si>
    <t>2014-11-26 15:54:46.367: RTWSControl  - tickOptionComputation - id:200048 tickType:13 impliedVol:8.33089233937692E-02 delta:-3.00718804760017E-02 optPrice:2.47747049760956E-04 pvDividend:0 gamma: 1.79769313486232E+308 theta/vega/undPrice: -7.73772550733864E-05-1.99141192494958E-04-1.5784</t>
  </si>
  <si>
    <t>2014-11-26 15:54:46.410: RTWSControl  - tickOptionComputation - id:200053 tickType:13 impliedVol:0.063847172635807 delta:8.96696959416323E-02 optPrice:6.67706462401602E-04 pvDividend:0 gamma: 1.79769313486232E+308 theta/vega/undPrice: -1.41506108361129E-04-4.47321113477776E-04-1.5784</t>
  </si>
  <si>
    <t>2014-11-26 15:54:46.451: RTWSControl  - tickOptionComputation - id:200054 tickType:13 impliedVol:7.06631858781339E-02 delta:1.74700247234359E-03 optPrice:9.0568461559338E-06 pvDividend:0 gamma: 0.316130184726963 theta/vega/undPrice: -5.38579326058384E-06-2.62536846040128E-05-1.5784</t>
  </si>
  <si>
    <t>2014-11-26 15:54:46.492: RTWSControl  - tickOptionComputation - id:200054 tickType:10 impliedVol:1.79769313486232E+308 delta:1.79769313486232E+308 optPrice:1.79769313486232E+308 pvDividend:0 gamma: 1.79769313486232E+308 theta/vega/undPrice: 1.79769313486232E+308-1.79769313486232E+308-1.5784</t>
  </si>
  <si>
    <t>2014-11-26 15:54:46.992: DirectionIndicator - notify - price/longMA/ShortMA/prevDirection are 1.5784/1.57843141304198/1.57839638902011/-1</t>
  </si>
  <si>
    <t>2014-11-26 15:54:46.993: Algorithm - handleTransition - currentHedgeShortfall is NOT ZERO and AUTOHEDGE IS NOT ENABLED!</t>
  </si>
  <si>
    <t>2014-11-26 15:54:47.37: DirectionIndicator - notify - price/longMA/ShortMA/prevDirection are 1.57845/1.57843479248889/1.57841425934674/-1</t>
  </si>
  <si>
    <t>2014-11-26 15:54:47.40: Algorithm - handleTransition - currentHedgeShortfall is NOT ZERO and AUTOHEDGE IS NOT ENABLED!</t>
  </si>
  <si>
    <t>2014-11-26 15:54:47.160: DirectionIndicator - notify - price/longMA/ShortMA/prevDirection are 1.5784/1.57842846658182/1.57840950623116/-1</t>
  </si>
  <si>
    <t>2014-11-26 15:54:47.161: Algorithm - handleTransition - currentHedgeShortfall is NOT ZERO and AUTOHEDGE IS NOT ENABLED!</t>
  </si>
  <si>
    <t>2014-11-26 15:54:47.201: DirectionIndicator - notify - price/longMA/ShortMA/prevDirection are 1.57835/1.57841419993058/1.57838967082077/-1</t>
  </si>
  <si>
    <t>2014-11-26 15:54:47.201: Algorithm - handleTransition - currentHedgeShortfall is NOT ZERO and AUTOHEDGE IS NOT ENABLED!</t>
  </si>
  <si>
    <t>2014-11-26 15:54:47.290: DirectionIndicator - notify - price/longMA/ShortMA/prevDirection are 1.5784/1.57841161812502/1.57839311388052/-1</t>
  </si>
  <si>
    <t>2014-11-26 15:54:47.291: Algorithm - handleTransition - currentHedgeShortfall is NOT ZERO and AUTOHEDGE IS NOT ENABLED!</t>
  </si>
  <si>
    <t>2014-11-26 15:54:47.372: RTWSControl  - tickOptionComputation - id:200045 tickType:10 impliedVol:5.93020023984003E-02 delta:0.68221822010763 optPrice:4.90000005811453E-03 pvDividend:0 gamma: 1.79769313486232E+308 theta/vega/undPrice: -5.96076561468501E-04-4.45533803606984E-04-1.5784</t>
  </si>
  <si>
    <t>2014-11-26 15:54:47.450: RTWSControl  - tickOptionComputation - id:200055 tickType:10 impliedVol:5.81300383549489E-02 delta:0.411153624421512 optPrice:2.09999992512167E-03 pvDividend:0 gamma: 1.79769313486232E+308 theta/vega/undPrice: -6.39352955007703E-04-4.83427203523993E-04-1.5784</t>
  </si>
  <si>
    <t>2014-11-26 15:54:47.495: RTWSControl  - tickOptionComputation - id:200055 tickType:11 impliedVol:6.22671509507304E-02 delta:0.417180590952117 optPrice:2.30000005103648E-03 pvDividend:0 gamma: 1.79769313486232E+308 theta/vega/undPrice: -6.86357503859325E-04-4.83427004121038E-04-1.5784</t>
  </si>
  <si>
    <t>2014-11-26 15:54:47.542: RTWSControl  - tickOptionComputation - id:200052 tickType:10 impliedVol:1.79769313486232E+308 delta:1.79769313486232E+308 optPrice:1.79769313486232E+308 pvDividend:0 gamma: 1.79769313486232E+308 theta/vega/undPrice: 1.79769313486232E+308-1.79769313486232E+308-1.5784</t>
  </si>
  <si>
    <t>2014-11-26 15:54:47.576: RTWSControl  - tickOptionComputation - id:200052 tickType:11 impliedVol:1.79769313486232E+308 delta:1.79769313486232E+308 optPrice:1.79769313486232E+308 pvDividend:0 gamma: 1.79769313486232E+308 theta/vega/undPrice: 1.79769313486232E+308-1.79769313486232E+308-1.5784</t>
  </si>
  <si>
    <t>2014-11-26 15:54:47.619: RTWSControl  - tickOptionComputation - id:200054 tickType:10 impliedVol:1.79769313486232E+308 delta:1.79769313486232E+308 optPrice:1.79769313486232E+308 pvDividend:0 gamma: 1.79769313486232E+308 theta/vega/undPrice: 1.79769313486232E+308-1.79769313486232E+308-1.5784</t>
  </si>
  <si>
    <t>2014-11-26 15:54:47.657: DirectionIndicator - notify - price/longMA/ShortMA/prevDirection are 1.57835/1.57840041482956/1.57837874258701/-1</t>
  </si>
  <si>
    <t>2014-11-26 15:54:47.657: Algorithm - handleTransition - currentHedgeShortfall is NOT ZERO and AUTOHEDGE IS NOT ENABLED!</t>
  </si>
  <si>
    <t>2014-11-26 15:54:47.987: RTWSControl  - tickOptionComputation - id:200042 tickType:13 impliedVol:8.08136121586926E-02 delta:-2.91306957446537E-02 optPrice:1.12493940567561E-04 pvDividend:0 gamma: 1.79769313486232E+308 theta/vega/undPrice: -1.50268151787717E-04-9.45682955489598E-05-1.5784</t>
  </si>
  <si>
    <t>2014-11-26 15:54:48.39: RTWSControl  - tickOptionComputation - id:200041 tickType:13 impliedVol:7.21961924621439E-02 delta:0.938105429078258 optPrice:1.36390837698929E-02 pvDividend:0 gamma: 1.79769313486232E+308 theta/vega/undPrice: -2.47756010342453E-04-1.72363760202994E-04-1.5784</t>
  </si>
  <si>
    <t>2014-11-26 15:54:48.85: RTWSControl  - tickOptionComputation - id:200043 tickType:13 impliedVol:7.21961924621439E-02 delta:-6.20070926597179E-02 optPrice:2.39275449201164E-04 pvDividend:0 gamma: 1.79769313486232E+308 theta/vega/undPrice: -2.47844556313486E-04-1.72364029627765E-04-1.5784</t>
  </si>
  <si>
    <t>2014-11-26 15:54:48.129: RTWSControl  - tickOptionComputation - id:200044 tickType:13 impliedVol:0.066125699219981 delta:0.853403651910905 optPrice:9.01525706972318E-03 pvDividend:0 gamma: 1.79769313486232E+308 theta/vega/undPrice: -4.27556174234244E-04-2.97727278171804E-04-1.5784</t>
  </si>
  <si>
    <t>2014-11-26 15:54:48.173: RTWSControl  - tickOptionComputation - id:200046 tickType:13 impliedVol:0.066125699219981 delta:-0.146709036604827 optPrice:6.15377915411936E-04 pvDividend:0 gamma: 1.79769313486232E+308 theta/vega/undPrice: -4.2761235754705E-04-2.97727566841576E-04-1.5784</t>
  </si>
  <si>
    <t>2014-11-26 15:54:48.238: RTWSControl  - tickOptionComputation - id:200045 tickType:13 impliedVol:6.26021324321897E-02 delta:0.673252025289425 optPrice:5.04703216651808E-03 pvDividend:0 gamma: 1.79769313486232E+308 theta/vega/undPrice: -6.36161676036211E-04-4.45533656561702E-04-1.5784</t>
  </si>
  <si>
    <t>2014-11-26 15:54:48.291: RTWSControl  - tickOptionComputation - id:200047 tickType:13 impliedVol:6.26021324321897E-02 delta:-0.32686112355314 optPrice:1.64708351661027E-03 pvDividend:0 gamma: 1.79769313486232E+308 theta/vega/undPrice: -6.36186046318454E-04-4.45534295754896E-04-1.5784</t>
  </si>
  <si>
    <t>2014-11-26 15:54:48.330: RTWSControl  - tickOptionComputation - id:200055 tickType:13 impliedVol:6.16254920987558E-02 delta:0.416350924760907 optPrice:2.26898052282173E-03 pvDividend:0 gamma: 1.79769313486232E+308 theta/vega/undPrice: -6.79067184796466E-04-4.83427035855093E-04-1.5784</t>
  </si>
  <si>
    <t>2014-11-26 15:54:48.370: RTWSControl  - tickOptionComputation - id:200049 tickType:13 impliedVol:6.80666085457773E-02 delta:0.691808414933115 optPrice:0.01180103631994 pvDividend:0 gamma: 1.79769313486232E+308 theta/vega/undPrice: -3.28875074285617E-04-9.14236107001334E-04-1.5784</t>
  </si>
  <si>
    <t>2014-11-26 15:54:48.414: RTWSControl  - tickOptionComputation - id:200050 tickType:13 impliedVol:6.80666085457773E-02 delta:-0.308261725253677 optPrice:3.40156828681977E-03 pvDividend:0 gamma: 1.79769313486232E+308 theta/vega/undPrice: -3.28934718125974E-04-9.14241666012296E-04-1.5784</t>
  </si>
  <si>
    <t>2014-11-26 15:54:48.458: RTWSControl  - tickOptionComputation - id:200052 tickType:10 impliedVol:1.79769313486232E+308 delta:1.79769313486232E+308 optPrice:1.79769313486232E+308 pvDividend:0 gamma: 1.79769313486232E+308 theta/vega/undPrice: 1.79769313486232E+308-1.79769313486232E+308-1.5784</t>
  </si>
  <si>
    <t>2014-11-26 15:54:48.492: RTWSControl  - tickOptionComputation - id:200052 tickType:11 impliedVol:1.79769313486232E+308 delta:1.79769313486232E+308 optPrice:1.79769313486232E+308 pvDividend:0 gamma: 1.79769313486232E+308 theta/vega/undPrice: 1.79769313486232E+308-1.79769313486232E+308-1.5784</t>
  </si>
  <si>
    <t>2014-11-26 15:54:48.536: RTWSControl  - tickOptionComputation - id:200048 tickType:13 impliedVol:8.32963165239224E-02 delta:-3.00517179793327E-02 optPrice:2.47520988735845E-04 pvDividend:0 gamma: 1.79769313486232E+308 theta/vega/undPrice: -7.73224229371303E-05-1.98998418923469E-04-1.5784</t>
  </si>
  <si>
    <t>2014-11-26 15:54:48.580: RTWSControl  - tickOptionComputation - id:200053 tickType:13 impliedVol:6.38471522384911E-02 delta:8.96696189311569E-02 optPrice:6.67705549984479E-04 pvDividend:0 gamma: 1.79769313486232E+308 theta/vega/undPrice: -1.41505976389332E-04-4.47321113481712E-04-1.5784</t>
  </si>
  <si>
    <t>2014-11-26 15:54:48.621: RTWSControl  - tickOptionComputation - id:200054 tickType:13 impliedVol:0.070637947602064 delta:1.74257146394778E-03 optPrice:9.02963574915002E-06 pvDividend:0 gamma: 0.315484721474943 theta/vega/undPrice: -5.37095807919472E-06-2.6145977383198E-05-1.5784</t>
  </si>
  <si>
    <t>2014-11-26 15:54:48.662: RTWSControl  - tickOptionComputation - id:200054 tickType:10 impliedVol:1.79769313486232E+308 delta:1.79769313486232E+308 optPrice:1.79769313486232E+308 pvDividend:0 gamma: 1.79769313486232E+308 theta/vega/undPrice: 1.79769313486232E+308-1.79769313486232E+308-1.5784</t>
  </si>
  <si>
    <t>2014-11-26 15:54:49.468: Algorithm - FindNextStrikes - price is 1.57835 nextStrikeUp/Down 1.58/1.575</t>
  </si>
  <si>
    <t>2014-11-26 15:54:49.469: Algorithm - getPortfolioForwardDelta - required deltas is 4 currentHedgePosition is 6</t>
  </si>
  <si>
    <t>2014-11-26 15:54:49.469: Algorithm - getHedgeShortfall - required deltas is 4 price is 1.57825 currentHedgePositionDeltas is 6</t>
  </si>
  <si>
    <t>2014-11-26 15:54:49.469: Algorithm - processTransitionPoint - nextUpper/LowerStrikes are 1.58/1.575 requiredDeltas/currentPosition/currentHedgeShortfall/direction/transitionPrice are 4/6/-2/-1/1.57825</t>
  </si>
  <si>
    <t>2014-11-26 15:54:49.469: TransitionLogger - processTransitionpoint - checking transition - currentHedgeShortfall is -2</t>
  </si>
  <si>
    <t>2014-11-26 15:54:49.470: Algorithm - handleTransition - currentHedgeShortfall is NOT ZERO and AUTOHEDGE IS NOT ENABLED!</t>
  </si>
  <si>
    <t>2014-11-26 15:54:49.470: Algorithm - updatePortfolio - haveAllDetails is True</t>
  </si>
  <si>
    <t>2014-11-26 15:54:49.520: Algorithm - FindNextStrikes - price is 1.57835 nextStrikeUp/Down 1.58/1.575</t>
  </si>
  <si>
    <t>2014-11-26 15:54:49.521: Algorithm - getPortfolioForwardDelta - required deltas is 4 currentHedgePosition is 6</t>
  </si>
  <si>
    <t>2014-11-26 15:54:49.521: Algorithm - getHedgeShortfall - required deltas is 4 price is 1.57825 currentHedgePositionDeltas is 6</t>
  </si>
  <si>
    <t>2014-11-26 15:54:49.521: Algorithm - processTransitionPoint - nextUpper/LowerStrikes are 1.58/1.575 requiredDeltas/currentPosition/currentHedgeShortfall/direction/transitionPrice are 4/6/-2/-1/1.57825</t>
  </si>
  <si>
    <t>2014-11-26 15:54:49.521: TransitionLogger - processTransitionpoint - checking transition - currentHedgeShortfall is -2</t>
  </si>
  <si>
    <t>2014-11-26 15:54:49.522: Algorithm - handleTransition - currentHedgeShortfall is NOT ZERO and AUTOHEDGE IS NOT ENABLED!</t>
  </si>
  <si>
    <t>2014-11-26 15:54:49.522: Algorithm - updatePortfolio - haveAllDetails is True</t>
  </si>
  <si>
    <t>2014-11-26 15:54:49.592: Algorithm - FindNextStrikes - price is 1.57835 nextStrikeUp/Down 1.58/1.575</t>
  </si>
  <si>
    <t>2014-11-26 15:54:49.593: Algorithm - getPortfolioForwardDelta - required deltas is 4 currentHedgePosition is 6</t>
  </si>
  <si>
    <t>2014-11-26 15:54:49.593: Algorithm - getHedgeShortfall - required deltas is 4 price is 1.57825 currentHedgePositionDeltas is 6</t>
  </si>
  <si>
    <t>2014-11-26 15:54:49.593: Algorithm - processTransitionPoint - nextUpper/LowerStrikes are 1.58/1.575 requiredDeltas/currentPosition/currentHedgeShortfall/direction/transitionPrice are 4/6/-2/-1/1.57825</t>
  </si>
  <si>
    <t>2014-11-26 15:54:49.593: TransitionLogger - processTransitionpoint - checking transition - currentHedgeShortfall is -2</t>
  </si>
  <si>
    <t>2014-11-26 15:54:49.594: Algorithm - handleTransition - currentHedgeShortfall is NOT ZERO and AUTOHEDGE IS NOT ENABLED!</t>
  </si>
  <si>
    <t>2014-11-26 15:54:49.594: Algorithm - updatePortfolio - haveAllDetails is True</t>
  </si>
  <si>
    <t>2014-11-26 15:54:49.629: Algorithm - FindNextStrikes - price is 1.57835 nextStrikeUp/Down 1.58/1.575</t>
  </si>
  <si>
    <t>2014-11-26 15:54:49.629: Algorithm - getPortfolioForwardDelta - required deltas is 4 currentHedgePosition is 6</t>
  </si>
  <si>
    <t>2014-11-26 15:54:49.630: Algorithm - getHedgeShortfall - required deltas is 4 price is 1.57825 currentHedgePositionDeltas is 6</t>
  </si>
  <si>
    <t>2014-11-26 15:54:49.630: Algorithm - processTransitionPoint - nextUpper/LowerStrikes are 1.58/1.575 requiredDeltas/currentPosition/currentHedgeShortfall/direction/transitionPrice are 4/6/-2/-1/1.57825</t>
  </si>
  <si>
    <t>2014-11-26 15:54:49.630: TransitionLogger - processTransitionpoint - checking transition - currentHedgeShortfall is -2</t>
  </si>
  <si>
    <t>2014-11-26 15:54:49.630: Algorithm - handleTransition - currentHedgeShortfall is NOT ZERO and AUTOHEDGE IS NOT ENABLED!</t>
  </si>
  <si>
    <t>2014-11-26 15:54:49.631: Algorithm - updatePortfolio - haveAllDetails is True</t>
  </si>
  <si>
    <t>2014-11-26 15:54:49.673: Algorithm - FindNextStrikes - price is 1.57835 nextStrikeUp/Down 1.58/1.575</t>
  </si>
  <si>
    <t>2014-11-26 15:54:49.674: Algorithm - getPortfolioForwardDelta - required deltas is 4 currentHedgePosition is 6</t>
  </si>
  <si>
    <t>2014-11-26 15:54:49.677: Algorithm - getHedgeShortfall - required deltas is 4 price is 1.57825 currentHedgePositionDeltas is 6</t>
  </si>
  <si>
    <t>2014-11-26 15:54:49.677: Algorithm - processTransitionPoint - nextUpper/LowerStrikes are 1.58/1.575 requiredDeltas/currentPosition/currentHedgeShortfall/direction/transitionPrice are 4/6/-2/-1/1.57825</t>
  </si>
  <si>
    <t>2014-11-26 15:54:49.678: TransitionLogger - processTransitionpoint - checking transition - currentHedgeShortfall is -2</t>
  </si>
  <si>
    <t>2014-11-26 15:54:49.678: Algorithm - handleTransition - currentHedgeShortfall is NOT ZERO and AUTOHEDGE IS NOT ENABLED!</t>
  </si>
  <si>
    <t>2014-11-26 15:54:49.679: Algorithm - updatePortfolio - haveAllDetails is True</t>
  </si>
  <si>
    <t>2014-11-26 15:54:49.737: Algorithm - FindNextStrikes - price is 1.57835 nextStrikeUp/Down 1.58/1.575</t>
  </si>
  <si>
    <t>2014-11-26 15:54:49.737: Algorithm - getPortfolioForwardDelta - required deltas is 4 currentHedgePosition is 6</t>
  </si>
  <si>
    <t>2014-11-26 15:54:49.737: Algorithm - getHedgeShortfall - required deltas is 4 price is 1.57825 currentHedgePositionDeltas is 6</t>
  </si>
  <si>
    <t>2014-11-26 15:54:49.738: Algorithm - processTransitionPoint - nextUpper/LowerStrikes are 1.58/1.575 requiredDeltas/currentPosition/currentHedgeShortfall/direction/transitionPrice are 4/6/-2/-1/1.57825</t>
  </si>
  <si>
    <t>2014-11-26 15:54:49.738: TransitionLogger - processTransitionpoint - checking transition - currentHedgeShortfall is -2</t>
  </si>
  <si>
    <t>2014-11-26 15:54:49.738: Algorithm - handleTransition - currentHedgeShortfall is NOT ZERO and AUTOHEDGE IS NOT ENABLED!</t>
  </si>
  <si>
    <t>2014-11-26 15:54:49.739: Algorithm - updatePortfolio - haveAllDetails is True</t>
  </si>
  <si>
    <t>2014-11-26 15:54:49.785: Algorithm - FindNextStrikes - price is 1.57835 nextStrikeUp/Down 1.58/1.575</t>
  </si>
  <si>
    <t>2014-11-26 15:54:49.785: Algorithm - getPortfolioForwardDelta - required deltas is 4 currentHedgePosition is 6</t>
  </si>
  <si>
    <t>2014-11-26 15:54:49.785: Algorithm - getHedgeShortfall - required deltas is 4 price is 1.57825 currentHedgePositionDeltas is 6</t>
  </si>
  <si>
    <t>2014-11-26 15:54:49.788: Algorithm - processTransitionPoint - nextUpper/LowerStrikes are 1.58/1.575 requiredDeltas/currentPosition/currentHedgeShortfall/direction/transitionPrice are 4/6/-2/-1/1.57825</t>
  </si>
  <si>
    <t>2014-11-26 15:54:49.789: TransitionLogger - processTransitionpoint - checking transition - currentHedgeShortfall is -2</t>
  </si>
  <si>
    <t>2014-11-26 15:54:49.789: Algorithm - handleTransition - currentHedgeShortfall is NOT ZERO and AUTOHEDGE IS NOT ENABLED!</t>
  </si>
  <si>
    <t>2014-11-26 15:54:49.790: Algorithm - updatePortfolio - haveAllDetails is True</t>
  </si>
  <si>
    <t>2014-11-26 15:54:49.836: Algorithm - FindNextStrikes - price is 1.57835 nextStrikeUp/Down 1.58/1.575</t>
  </si>
  <si>
    <t>2014-11-26 15:54:49.836: Algorithm - getPortfolioForwardDelta - required deltas is 4 currentHedgePosition is 6</t>
  </si>
  <si>
    <t>2014-11-26 15:54:49.836: Algorithm - getHedgeShortfall - required deltas is 4 price is 1.57825 currentHedgePositionDeltas is 6</t>
  </si>
  <si>
    <t>2014-11-26 15:54:49.836: Algorithm - processTransitionPoint - nextUpper/LowerStrikes are 1.58/1.575 requiredDeltas/currentPosition/currentHedgeShortfall/direction/transitionPrice are 4/6/-2/-1/1.57825</t>
  </si>
  <si>
    <t>2014-11-26 15:54:49.837: TransitionLogger - processTransitionpoint - checking transition - currentHedgeShortfall is -2</t>
  </si>
  <si>
    <t>2014-11-26 15:54:49.837: Algorithm - handleTransition - currentHedgeShortfall is NOT ZERO and AUTOHEDGE IS NOT ENABLED!</t>
  </si>
  <si>
    <t>2014-11-26 15:54:49.838: Algorithm - updatePortfolio - haveAllDetails is True</t>
  </si>
  <si>
    <t>2014-11-26 15:54:49.877: Algorithm - FindNextStrikes - price is 1.57835 nextStrikeUp/Down 1.58/1.575</t>
  </si>
  <si>
    <t>2014-11-26 15:54:49.877: Algorithm - getPortfolioForwardDelta - required deltas is 4 currentHedgePosition is 6</t>
  </si>
  <si>
    <t>2014-11-26 15:54:49.877: Algorithm - getHedgeShortfall - required deltas is 4 price is 1.57825 currentHedgePositionDeltas is 6</t>
  </si>
  <si>
    <t>2014-11-26 15:54:49.877: Algorithm - processTransitionPoint - nextUpper/LowerStrikes are 1.58/1.575 requiredDeltas/currentPosition/currentHedgeShortfall/direction/transitionPrice are 4/6/-2/-1/1.57825</t>
  </si>
  <si>
    <t>2014-11-26 15:54:49.881: TransitionLogger - processTransitionpoint - checking transition - currentHedgeShortfall is -2</t>
  </si>
  <si>
    <t>2014-11-26 15:54:49.881: Algorithm - handleTransition - currentHedgeShortfall is NOT ZERO and AUTOHEDGE IS NOT ENABLED!</t>
  </si>
  <si>
    <t>2014-11-26 15:54:49.882: Algorithm - updatePortfolio - haveAllDetails is True</t>
  </si>
  <si>
    <t>2014-11-26 15:54:49.914: Algorithm - FindNextStrikes - price is 1.57835 nextStrikeUp/Down 1.58/1.575</t>
  </si>
  <si>
    <t>2014-11-26 15:54:49.914: Algorithm - getPortfolioForwardDelta - required deltas is 4 currentHedgePosition is 6</t>
  </si>
  <si>
    <t>2014-11-26 15:54:49.914: Algorithm - getHedgeShortfall - required deltas is 4 price is 1.57825 currentHedgePositionDeltas is 6</t>
  </si>
  <si>
    <t>2014-11-26 15:54:49.915: Algorithm - processTransitionPoint - nextUpper/LowerStrikes are 1.58/1.575 requiredDeltas/currentPosition/currentHedgeShortfall/direction/transitionPrice are 4/6/-2/-1/1.57825</t>
  </si>
  <si>
    <t>2014-11-26 15:54:49.915: TransitionLogger - processTransitionpoint - checking transition - currentHedgeShortfall is -2</t>
  </si>
  <si>
    <t>2014-11-26 15:54:49.915: Algorithm - handleTransition - currentHedgeShortfall is NOT ZERO and AUTOHEDGE IS NOT ENABLED!</t>
  </si>
  <si>
    <t>2014-11-26 15:54:49.916: Algorithm - updatePortfolio - haveAllDetails is True</t>
  </si>
  <si>
    <t>2014-11-26 15:54:49.957: Algorithm - FindNextStrikes - price is 1.57835 nextStrikeUp/Down 1.58/1.575</t>
  </si>
  <si>
    <t>2014-11-26 15:54:49.957: Algorithm - getPortfolioForwardDelta - required deltas is 4 currentHedgePosition is 6</t>
  </si>
  <si>
    <t>2014-11-26 15:54:49.958: Algorithm - getHedgeShortfall - required deltas is 4 price is 1.57825 currentHedgePositionDeltas is 6</t>
  </si>
  <si>
    <t>2014-11-26 15:54:49.958: Algorithm - processTransitionPoint - nextUpper/LowerStrikes are 1.58/1.575 requiredDeltas/currentPosition/currentHedgeShortfall/direction/transitionPrice are 4/6/-2/-1/1.57825</t>
  </si>
  <si>
    <t>2014-11-26 15:54:49.958: TransitionLogger - processTransitionpoint - checking transition - currentHedgeShortfall is -2</t>
  </si>
  <si>
    <t>2014-11-26 15:54:49.962: Algorithm - handleTransition - currentHedgeShortfall is NOT ZERO and AUTOHEDGE IS NOT ENABLED!</t>
  </si>
  <si>
    <t>2014-11-26 15:54:49.962: Algorithm - updatePortfolio - haveAllDetails is True</t>
  </si>
  <si>
    <t>2014-11-26 15:54:49.998: Algorithm - FindNextStrikes - price is 1.57835 nextStrikeUp/Down 1.58/1.575</t>
  </si>
  <si>
    <t>2014-11-26 15:54:49.998: Algorithm - getPortfolioForwardDelta - required deltas is 4 currentHedgePosition is 6</t>
  </si>
  <si>
    <t>2014-11-26 15:54:49.998: Algorithm - getHedgeShortfall - required deltas is 4 price is 1.57825 currentHedgePositionDeltas is 6</t>
  </si>
  <si>
    <t>2014-11-26 15:54:49.998: Algorithm - processTransitionPoint - nextUpper/LowerStrikes are 1.58/1.575 requiredDeltas/currentPosition/currentHedgeShortfall/direction/transitionPrice are 4/6/-2/-1/1.57825</t>
  </si>
  <si>
    <t>2014-11-26 15:54:49.999: TransitionLogger - processTransitionpoint - checking transition - currentHedgeShortfall is -2</t>
  </si>
  <si>
    <t>2014-11-26 15:54:49.999: Algorithm - handleTransition - currentHedgeShortfall is NOT ZERO and AUTOHEDGE IS NOT ENABLED!</t>
  </si>
  <si>
    <t>2014-11-26 15:54:50.0: Algorithm - updatePortfolio - haveAllDetails is True</t>
  </si>
  <si>
    <t>2014-11-26 15:54:50.41: Algorithm - FindNextStrikes - price is 1.57835 nextStrikeUp/Down 1.58/1.575</t>
  </si>
  <si>
    <t>2014-11-26 15:54:50.41: Algorithm - getPortfolioForwardDelta - required deltas is 4 currentHedgePosition is 6</t>
  </si>
  <si>
    <t>2014-11-26 15:54:50.41: Algorithm - getHedgeShortfall - required deltas is 4 price is 1.57825 currentHedgePositionDeltas is 6</t>
  </si>
  <si>
    <t>2014-11-26 15:54:50.41: Algorithm - processTransitionPoint - nextUpper/LowerStrikes are 1.58/1.575 requiredDeltas/currentPosition/currentHedgeShortfall/direction/transitionPrice are 4/6/-2/-1/1.57825</t>
  </si>
  <si>
    <t>2014-11-26 15:54:50.42: TransitionLogger - processTransitionpoint - checking transition - currentHedgeShortfall is -2</t>
  </si>
  <si>
    <t>2014-11-26 15:54:50.42: Algorithm - handleTransition - currentHedgeShortfall is NOT ZERO and AUTOHEDGE IS NOT ENABLED!</t>
  </si>
  <si>
    <t>2014-11-26 15:54:50.46: Algorithm - updatePortfolio - haveAllDetails is True</t>
  </si>
  <si>
    <t>2014-11-26 15:54:50.88: Algorithm - FindNextStrikes - price is 1.57835 nextStrikeUp/Down 1.58/1.575</t>
  </si>
  <si>
    <t>2014-11-26 15:54:50.88: Algorithm - getPortfolioForwardDelta - required deltas is 4 currentHedgePosition is 6</t>
  </si>
  <si>
    <t>2014-11-26 15:54:50.88: Algorithm - getHedgeShortfall - required deltas is 4 price is 1.57825 currentHedgePositionDeltas is 6</t>
  </si>
  <si>
    <t>2014-11-26 15:54:50.88: Algorithm - processTransitionPoint - nextUpper/LowerStrikes are 1.58/1.575 requiredDeltas/currentPosition/currentHedgeShortfall/direction/transitionPrice are 4/6/-2/-1/1.57825</t>
  </si>
  <si>
    <t>2014-11-26 15:54:50.89: TransitionLogger - processTransitionpoint - checking transition - currentHedgeShortfall is -2</t>
  </si>
  <si>
    <t>2014-11-26 15:54:50.89: Algorithm - handleTransition - currentHedgeShortfall is NOT ZERO and AUTOHEDGE IS NOT ENABLED!</t>
  </si>
  <si>
    <t>2014-11-26 15:54:50.90: Algorithm - updatePortfolio - haveAllDetails is True</t>
  </si>
  <si>
    <t>2014-11-26 15:54:50.129: Algorithm - FindNextStrikes - price is 1.57835 nextStrikeUp/Down 1.58/1.575</t>
  </si>
  <si>
    <t>2014-11-26 15:54:50.130: Algorithm - getPortfolioForwardDelta - required deltas is 4 currentHedgePosition is 6</t>
  </si>
  <si>
    <t>2014-11-26 15:54:50.130: Algorithm - getHedgeShortfall - required deltas is 4 price is 1.57825 currentHedgePositionDeltas is 6</t>
  </si>
  <si>
    <t>2014-11-26 15:54:50.130: Algorithm - processTransitionPoint - nextUpper/LowerStrikes are 1.58/1.575 requiredDeltas/currentPosition/currentHedgeShortfall/direction/transitionPrice are 4/6/-2/-1/1.57825</t>
  </si>
  <si>
    <t>2014-11-26 15:54:50.131: TransitionLogger - processTransitionpoint - checking transition - currentHedgeShortfall is -2</t>
  </si>
  <si>
    <t>2014-11-26 15:54:50.131: Algorithm - handleTransition - currentHedgeShortfall is NOT ZERO and AUTOHEDGE IS NOT ENABLED!</t>
  </si>
  <si>
    <t>2014-11-26 15:54:50.132: Algorithm - updatePortfolio - haveAllDetails is True</t>
  </si>
  <si>
    <t>2014-11-26 15:54:50.166: Algorithm - FindNextStrikes - price is 1.57835 nextStrikeUp/Down 1.58/1.575</t>
  </si>
  <si>
    <t>2014-11-26 15:54:50.169: Algorithm - getPortfolioForwardDelta - required deltas is 4 currentHedgePosition is 6</t>
  </si>
  <si>
    <t>2014-11-26 15:54:50.170: Algorithm - getHedgeShortfall - required deltas is 4 price is 1.57825 currentHedgePositionDeltas is 6</t>
  </si>
  <si>
    <t>2014-11-26 15:54:50.170: Algorithm - processTransitionPoint - nextUpper/LowerStrikes are 1.58/1.575 requiredDeltas/currentPosition/currentHedgeShortfall/direction/transitionPrice are 4/6/-2/-1/1.57825</t>
  </si>
  <si>
    <t>2014-11-26 15:54:50.170: TransitionLogger - processTransitionpoint - checking transition - currentHedgeShortfall is -2</t>
  </si>
  <si>
    <t>2014-11-26 15:54:50.170: Algorithm - handleTransition - currentHedgeShortfall is NOT ZERO and AUTOHEDGE IS NOT ENABLED!</t>
  </si>
  <si>
    <t>2014-11-26 15:54:50.171: Algorithm - updatePortfolio - haveAllDetails is True</t>
  </si>
  <si>
    <t>2014-11-26 15:54:50.205: RTWSControl  - tickOptionComputation - id:200055 tickType:11 impliedVol:6.43357158452553E-02 delta:0.419906466524067 optPrice:2.40000011399388E-03 pvDividend:0 gamma: 1.79769313486232E+308 theta/vega/undPrice: -7.09859856259711E-04-4.83426899805628E-04-1.5784</t>
  </si>
  <si>
    <t>2014-11-26 15:54:50.439: RTWSControl  - tickOptionComputation - id:200042 tickType:13 impliedVol:8.04639994227898E-02 delta:-2.85418600708089E-02 optPrice:1.09423928568255E-04 pvDividend:0 gamma: 1.79769313486232E+308 theta/vega/undPrice: -1.47122223673122E-04-9.26293461978133E-05-1.5784</t>
  </si>
  <si>
    <t>2014-11-26 15:54:50.655: RTWSControl  - tickOptionComputation - id:200041 tickType:13 impliedVol:7.19006186327817E-02 delta:0.938846292596494 optPrice:1.36348422457383E-02 pvDividend:0 gamma: 1.79769313486232E+308 theta/vega/undPrice: -2.44366615733624E-04-1.7024300539227E-04-1.5784</t>
  </si>
  <si>
    <t>2014-11-26 15:54:50.708: RTWSControl  - tickOptionComputation - id:200043 tickType:13 impliedVol:7.19006186327817E-02 delta:-6.12662286012357E-02 optPrice:2.35033922132054E-04 pvDividend:0 gamma: 1.79769313486232E+308 theta/vega/undPrice: -2.44455157896134E-04-1.70243272566007E-04-1.5784</t>
  </si>
  <si>
    <t>2014-11-26 15:54:50.747: RTWSControl  - tickOptionComputation - id:200044 tickType:13 impliedVol:6.60231830277951E-02 delta:0.853800130277421 optPrice:9.01220488140315E-03 pvDividend:0 gamma: 1.79769313486232E+308 theta/vega/undPrice: -4.26150173368326E-04-2.97727281406254E-04-1.5784</t>
  </si>
  <si>
    <t>2014-11-26 15:54:50.791: RTWSControl  - tickOptionComputation - id:200046 tickType:13 impliedVol:6.60231830277951E-02 delta:-0.146312557824895 optPrice:6.12325724135477E-04 pvDividend:0 gamma: 1.79769313486232E+308 theta/vega/undPrice: -4.26206354007444E-04-2.97727570064168E-04-1.5784</t>
  </si>
  <si>
    <t>2014-11-26 15:54:50.833: RTWSControl  - tickOptionComputation - id:200045 tickType:13 impliedVol:6.28316926077162E-02 delta:0.672657884007285 optPrice:5.0572598499591E-03 pvDividend:0 gamma: 1.79769313486232E+308 theta/vega/undPrice: -6.38950033420293E-04-4.45533646108469E-04-1.5784</t>
  </si>
  <si>
    <t>2014-11-26 15:54:50.873: RTWSControl  - tickOptionComputation - id:200047 tickType:13 impliedVol:6.28316926077162E-02 delta:-0.32745526577406 optPrice:1.65731121468465E-03 pvDividend:0 gamma: 1.79769313486232E+308 theta/vega/undPrice: -6.38974413067712E-04-4.45534285343766E-04-1.5784</t>
  </si>
  <si>
    <t>2014-11-26 15:54:50.916: RTWSControl  - tickOptionComputation - id:200055 tickType:13 impliedVol:6.23261473726302E-02 delta:0.41731357519528 optPrice:2.30285210874266E-03 pvDividend:0 gamma: 1.79769313486232E+308 theta/vega/undPrice: -6.87027801941788E-04-4.83427001189934E-04-1.5784</t>
  </si>
  <si>
    <t>2014-11-26 15:54:50.955: RTWSControl  - tickOptionComputation - id:200043 tickType:10 impliedVol:0.069448148088838 delta:-5.48684198415419E-02 optPrice:1.99999994947575E-04 pvDividend:0 gamma: 1.79769313486232E+308 theta/vega/undPrice: -2.16332229443376E-04-1.52646668590751E-04-1.5784</t>
  </si>
  <si>
    <t>2014-11-26 15:54:52.17: TransitionLogger - flushFile - flushing file</t>
  </si>
  <si>
    <t>2014-11-26 15:54:52.18: TransitionLogger - openTransitionFile - opening file C:\temp\transitionlog_2014-11-26_155023</t>
  </si>
  <si>
    <t>2014-11-26 15:54:54.226: RTWSControl  - tickOptionComputation - id:200042 tickType:13 impliedVol:8.06747238786301E-02 delta:-0.028897385015538 optPrice:1.11274337742584E-04 pvDividend:0 gamma: 1.79769313486232E+308 theta/vega/undPrice: -1.4901839028948E-04-9.37980223097467E-05-1.5784</t>
  </si>
  <si>
    <t>2014-11-26 15:54:54.313: RTWSControl  - tickOptionComputation - id:200041 tickType:13 impliedVol:7.20723920187112E-02 delta:0.938414997203276 optPrice:1.36373072169185E-02 pvDividend:0 gamma: 1.79769313486232E+308 theta/vega/undPrice: -2.46336369942388E-04-1.71475486764164E-04-1.5784</t>
  </si>
  <si>
    <t>2014-11-26 15:54:54.372: RTWSControl  - tickOptionComputation - id:200043 tickType:13 impliedVol:7.20723920187112E-02 delta:-6.16975243089059E-02 optPrice:2.37498895003647E-04 pvDividend:0 gamma: 1.79769313486232E+308 theta/vega/undPrice: -2.46424914317151E-04-1.71475755247163E-04-1.5784</t>
  </si>
  <si>
    <t>2014-11-26 15:54:54.412: RTWSControl  - tickOptionComputation - id:200044 tickType:13 impliedVol:6.60362228124853E-02 delta:0.853749630793798 optPrice:9.01259311157379E-03 pvDividend:0 gamma: 1.79769313486232E+308 theta/vega/undPrice: -4.26329012909379E-04-2.97727280997051E-04-1.5784</t>
  </si>
  <si>
    <t>2014-11-26 15:54:54.453: RTWSControl  - tickOptionComputation - id:200046 tickType:13 impliedVol:6.60362228124853E-02 delta:-0.146363057361154 optPrice:6.12713954681044E-04 pvDividend:0 gamma: 1.79769313486232E+308 theta/vega/undPrice: -4.26385193888023E-04-2.97727569654518E-04-1.5784</t>
  </si>
  <si>
    <t>2014-11-26 15:54:54.494: RTWSControl  - tickOptionComputation - id:200045 tickType:13 impliedVol:6.25662162599099E-02 delta:0.673345379112512 optPrice:5.04543197935915E-03 pvDividend:0 gamma: 1.79769313486232E+308 theta/vega/undPrice: -6.35725419498118E-04-4.45533658194899E-04-1.5784</t>
  </si>
  <si>
    <t>2014-11-26 15:54:54.538: RTWSControl  - tickOptionComputation - id:200047 tickType:13 impliedVol:6.25662162599099E-02 delta:-0.3267677695827 optPrice:1.64548332716147E-03 pvDividend:0 gamma: 1.79769313486232E+308 theta/vega/undPrice: -6.357497883149E-04-4.45534297379808E-04-1.5784</t>
  </si>
  <si>
    <t>2014-11-26 15:54:54.578: RTWSControl  - tickOptionComputation - id:200055 tickType:11 impliedVol:6.22671509507304E-02 delta:0.417180590952117 optPrice:2.30000005103648E-03 pvDividend:0 gamma: 1.79769313486232E+308 theta/vega/undPrice: -6.86357503859325E-04-4.83427004121038E-04-1.5784</t>
  </si>
  <si>
    <t>2014-11-26 15:54:54.617: RTWSControl  - tickOptionComputation - id:200055 tickType:13 impliedVol:6.16623723610132E-02 delta:0.41640213499023 optPrice:2.27076341529171E-03 pvDividend:0 gamma: 1.79769313486232E+308 theta/vega/undPrice: -6.79486206369107E-04-4.8342703403862E-04-1.5784</t>
  </si>
  <si>
    <t>2014-11-26 15:54:54.659: RTWSControl  - tickOptionComputation - id:200049 tickType:13 impliedVol:6.80455787196124E-02 delta:0.691863666448868 optPrice:1.17991136928057E-02 pvDividend:0 gamma: 1.79769313486232E+308 theta/vega/undPrice: -3.28751012958026E-04-9.14236116137689E-04-1.5784</t>
  </si>
  <si>
    <t>2014-11-26 15:54:54.703: RTWSControl  - tickOptionComputation - id:200050 tickType:13 impliedVol:6.80455787196124E-02 delta:-0.308206473358329 optPrice:3.39964564799955E-03 pvDividend:0 gamma: 1.79769313486232E+308 theta/vega/undPrice: -3.28810654988039E-04-9.14241675125414E-04-1.5784</t>
  </si>
  <si>
    <t>2014-11-26 15:54:54.743: RTWSControl  - tickOptionComputation - id:200048 tickType:13 impliedVol:8.32668298206105E-02 delta:-3.00045351982614E-02 optPrice:2.46992245714355E-04 pvDividend:0 gamma: 1.79769313486232E+308 theta/vega/undPrice: -7.71941738967946E-05-1.98664480199539E-04-1.5784</t>
  </si>
  <si>
    <t>2014-11-26 15:54:54.787: RTWSControl  - tickOptionComputation - id:200053 tickType:13 impliedVol:6.38524370808771E-02 delta:0.089689570315973 optPrice:6.67941952653769E-04 pvDividend:0 gamma: 1.79769313486232E+308 theta/vega/undPrice: -1.415401696153E-04-4.4732111247383E-04-1.5784</t>
  </si>
  <si>
    <t>2014-11-26 15:54:54.827: RTWSControl  - tickOptionComputation - id:200054 tickType:13 impliedVol:7.06874049044082E-02 delta:1.75125156485966E-03 optPrice:9.08295766805849E-06 pvDividend:0 gamma: 0.316748638668663 theta/vega/undPrice: -5.40002932184964E-06-2.63570420582742E-05-1.5784</t>
  </si>
  <si>
    <t>2014-11-26 15:54:58.350: RTWSControl  - tickOptionComputation - id:200042 tickType:13 impliedVol:8.06747238786301E-02 delta:-2.88756655798541E-02 optPrice:1.11161016241672E-04 pvDividend:0 gamma: 1.79769313486232E+308 theta/vega/undPrice: -1.4894991649272E-04-9.37035327294557E-05-1.5784</t>
  </si>
  <si>
    <t>2014-11-26 15:54:58.457: RTWSControl  - tickOptionComputation - id:200041 tickType:11 impliedVol:8.16838837328451E-02 delta:0.91352558310386 optPrice:1.37999998405576E-02 pvDividend:0 gamma: 1.79769313486232E+308 theta/vega/undPrice: -3.62416398276319E-04-2.15217204952304E-04-1.5784</t>
  </si>
  <si>
    <t>2014-11-26 15:54:58.504: RTWSControl  - tickOptionComputation - id:200041 tickType:13 impliedVol:7.20723920187112E-02 delta:0.938443880171513 optPrice:1.36371418361191E-02 pvDividend:0 gamma: 1.79769313486232E+308 theta/vega/undPrice: -2.4628298122291E-04-1.71358333612766E-04-1.5784</t>
  </si>
  <si>
    <t>2014-11-26 15:54:58.539: RTWSControl  - tickOptionComputation - id:200043 tickType:13 impliedVol:7.20723920187112E-02 delta:-6.16686412051129E-02 optPrice:2.37333452774565E-04 pvDividend:0 gamma: 1.79769313486232E+308 theta/vega/undPrice: -2.46371525450419E-04-1.71358601891824E-04-1.5784</t>
  </si>
  <si>
    <t>2014-11-26 15:54:58.581: RTWSControl  - tickOptionComputation - id:200044 tickType:13 impliedVol:6.60362228124853E-02 delta:0.853790538526151 optPrice:9.0122786496786E-03 pvDividend:0 gamma: 1.79769313486232E+308 theta/vega/undPrice: -4.26320538304199E-04-2.97679656898253E-04-1.5784</t>
  </si>
  <si>
    <t>2014-11-26 15:54:58.622: RTWSControl  - tickOptionComputation - id:200046 tickType:13 impliedVol:6.60362228124853E-02 delta:-0.146322149418432 optPrice:6.12399453825676E-04 pvDividend:0 gamma: 1.79769313486232E+308 theta/vega/undPrice: -4.26376719008551E-04-2.97679945414258E-04-1.5784</t>
  </si>
  <si>
    <t>2014-11-26 15:54:58.664: RTWSControl  - tickOptionComputation - id:200045 tickType:13 impliedVol:6.25662162599099E-02 delta:0.673371412170886 optPrice:5.04498609525543E-03 pvDividend:0 gamma: 1.79769313486232E+308 theta/vega/undPrice: -6.35807262941987E-04-4.45462391117643E-04-1.5784</t>
  </si>
  <si>
    <t>2014-11-26 15:54:58.707: RTWSControl  - tickOptionComputation - id:200047 tickType:13 impliedVol:6.25662162599099E-02 delta:-0.32674173616773 optPrice:1.64503742599076E-03 pvDividend:0 gamma: 1.79769313486232E+308 theta/vega/undPrice: -6.35831631347829E-04-4.45463029995548E-04-1.5784</t>
  </si>
  <si>
    <t>2014-11-26 15:54:58.748: RTWSControl  - tickOptionComputation - id:200055 tickType:13 impliedVol:6.16623723610132E-02 delta:0.416388444477185 optPrice:2.27028658290087E-03 pvDividend:0 gamma: 1.79769313486232E+308 theta/vega/undPrice: -6.79591548648256E-04-4.83349705571516E-04-1.5784</t>
  </si>
  <si>
    <t>2014-11-26 15:54:58.791: RTWSControl  - tickOptionComputation - id:200049 tickType:13 impliedVol:6.80666085457773E-02 delta:0.691815183992905 optPrice:1.18008007591991E-02 pvDividend:0 gamma: 1.79769313486232E+308 theta/vega/undPrice: -3.28884782408681E-04-9.14201497154021E-04-1.5784</t>
  </si>
  <si>
    <t>2014-11-26 15:54:58.838: RTWSControl  - tickOptionComputation - id:200050 tickType:13 impliedVol:6.80666085457773E-02 delta:-0.308254955839461 optPrice:3.40133268436171E-03 pvDividend:0 gamma: 1.79769313486232E+308 theta/vega/undPrice: -3.28944426023482E-04-9.14207055529515E-04-1.5784</t>
  </si>
  <si>
    <t>2014-11-26 15:54:58.879: RTWSControl  - tickOptionComputation - id:200051 tickType:13 impliedVol:7.01320716531288E-02 delta:-0.311710790065639 optPrice:3.49913904914844E-03 pvDividend:0 gamma: 1.79769313486232E+308 theta/vega/undPrice: -3.4217756525679E-04-8.74556059736066E-04-1.5784</t>
  </si>
  <si>
    <t>2014-11-26 15:54:58.946: RTWSControl  - tickOptionComputation - id:200052 tickType:13 impliedVol:0.120371415200737 delta:-0.517696766047282 optPrice:1.26990807945957E-02 pvDividend:0 gamma: 1.79769313486232E+308 theta/vega/undPrice: -6.61867356489205E-04-9.85657416818823E-04-1.5784</t>
  </si>
  <si>
    <t>2014-11-26 15:54:58.992: RTWSControl  - tickOptionComputation - id:200048 tickType:13 impliedVol:8.32963165239224E-02 delta:-3.00466730480682E-02 optPrice:2.47464437130277E-04 pvDividend:0 gamma: 1.79769313486232E+308 theta/vega/undPrice: -7.73145607894574E-05-1.98951625440068E-04-1.5784</t>
  </si>
  <si>
    <t>2014-11-26 15:54:59.40: RTWSControl  - tickOptionComputation - id:200052 tickType:10 impliedVol:1.79769313486232E+308 delta:1.79769313486232E+308 optPrice:1.79769313486232E+308 pvDividend:0 gamma: 1.79769313486232E+308 theta/vega/undPrice: 1.79769313486232E+308-1.79769313486232E+308-1.5784</t>
  </si>
  <si>
    <t>2014-11-26 15:54:59.73: RTWSControl  - tickOptionComputation - id:200052 tickType:11 impliedVol:1.79769313486232E+308 delta:1.79769313486232E+308 optPrice:1.79769313486232E+308 pvDividend:0 gamma: 1.79769313486232E+308 theta/vega/undPrice: 1.79769313486232E+308-1.79769313486232E+308-1.5784</t>
  </si>
  <si>
    <t>2014-11-26 15:54:59.115: RTWSControl  - tickOptionComputation - id:200053 tickType:13 impliedVol:6.38471522384911E-02 delta:8.96604915968492E-02 optPrice:6.67597416934932E-04 pvDividend:0 gamma: 1.79769313486232E+308 theta/vega/undPrice: -1.41501051516139E-04-4.47304179343703E-04-1.5784</t>
  </si>
  <si>
    <t>2014-11-26 15:54:59.158: RTWSControl  - tickOptionComputation - id:200054 tickType:10 impliedVol:1.79769313486232E+308 delta:1.79769313486232E+308 optPrice:1.79769313486232E+308 pvDividend:0 gamma: 1.79769313486232E+308 theta/vega/undPrice: 1.79769313486232E+308-1.79769313486232E+308-1.5784</t>
  </si>
  <si>
    <t>2014-11-26 15:54:59.175: RTWSControl  - tickOptionComputation - id:200054 tickType:13 impliedVol:0.070637947602064 delta:1.74210171999378E-03 optPrice:9.02675227509544E-06 pvDividend:0 gamma: 0.315416260767983 theta/vega/undPrice: -5.36979262696885E-06-2.61325396213189E-05-1.5784</t>
  </si>
  <si>
    <t>2014-11-26 15:55:0.527: DirectionIndicator - notify - price/longMA/ShortMA/prevDirection are 1.5783/1.57838215758782/1.57835249505801/-1</t>
  </si>
  <si>
    <t>2014-11-26 15:55:0.528: Algorithm - handleTransition - currentHedgeShortfall is NOT ZERO and AUTOHEDGE IS NOT ENABLED!</t>
  </si>
  <si>
    <t>2014-11-26 15:55:0.569: DirectionIndicator - notify - price/longMA/ShortMA/prevDirection are 1.57825/1.57835812893549/1.57831833003867/-1</t>
  </si>
  <si>
    <t>2014-11-26 15:55:0.570: Algorithm - handleTransition - currentHedgeShortfall is NOT ZERO and AUTOHEDGE IS NOT ENABLED!</t>
  </si>
  <si>
    <t>2014-11-26 15:55:1.73: DirectionIndicator - notify - price/longMA/ShortMA/prevDirection are 1.5783/1.57834756003813/1.57831222002578/-1</t>
  </si>
  <si>
    <t>2014-11-26 15:55:1.74: Algorithm - handleTransition - currentHedgeShortfall is NOT ZERO and AUTOHEDGE IS NOT ENABLED!</t>
  </si>
  <si>
    <t>2014-11-26 15:55:1.155: RTWSControl  - tickOptionComputation - id:200042 tickType:13 impliedVol:8.06747238786301E-02 delta:-2.96104244612365E-02 optPrice:1.14383898853707E-04 pvDividend:0 gamma: 1.79769313486232E+308 theta/vega/undPrice: -1.5206332036819E-04-9.63853153397365E-05-1.5783</t>
  </si>
  <si>
    <t>2014-11-26 15:55:1.205: RTWSControl  - tickOptionComputation - id:200042 tickType:10 impliedVol:8.98941538433329E-02 delta:-4.41122597415013E-02 optPrice:1.99999994947575E-04 pvDividend:0 gamma: 1.79769313486232E+308 theta/vega/undPrice: -2.36917223461884E-04-0.000143244155693-1.5783</t>
  </si>
  <si>
    <t>2014-11-26 15:55:1.249: RTWSControl  - tickOptionComputation - id:200042 tickType:11 impliedVol:8.98941538433329E-02 delta:-4.41122597415013E-02 optPrice:1.99999994947575E-04 pvDividend:0 gamma: 1.79769313486232E+308 theta/vega/undPrice: -2.36917223461884E-04-0.000143244155693-1.5783</t>
  </si>
  <si>
    <t>2014-11-26 15:55:1.295: RTWSControl  - tickOptionComputation - id:200041 tickType:13 impliedVol:7.20723920187112E-02 delta:0.937099552097737 optPrice:1.35430563756863E-02 pvDividend:0 gamma: 1.79769313486232E+308 theta/vega/undPrice: -2.50587496683266E-04-1.75520935377449E-04-1.5783</t>
  </si>
  <si>
    <t>2014-11-26 15:55:1.340: RTWSControl  - tickOptionComputation - id:200041 tickType:10 impliedVol:1.79769313486232E+308 delta:1.79769313486232E+308 optPrice:1.32999997586012E-02 pvDividend:0 gamma: 1.79769313486232E+308 theta/vega/undPrice: 1.79769313486232E+308-1.79769313486232E+308-1.5783</t>
  </si>
  <si>
    <t>2014-11-26 15:55:1.374: RTWSControl  - tickOptionComputation - id:200041 tickType:11 impliedVol:8.11627523023861E-02 delta:0.913269196123516 optPrice:1.37000000104308E-02 pvDividend:0 gamma: 1.79769313486232E+308 theta/vega/undPrice: -3.6084157470028E-04-2.15210401956833E-04-1.5783</t>
  </si>
  <si>
    <t>2014-11-26 15:55:1.441: RTWSControl  - tickOptionComputation - id:200043 tickType:13 impliedVol:7.20723920187112E-02 delta:-6.30129702599947E-02 optPrice:2.43246567642877E-04 pvDividend:0 gamma: 1.79769313486232E+308 theta/vega/undPrice: -2.50675387031713E-04-1.75521207030293E-04-1.5783</t>
  </si>
  <si>
    <t>2014-11-26 15:55:1.494: RTWSControl  - tickOptionComputation - id:200043 tickType:10 impliedVol:6.90446920817686E-02 delta:-5.51463297484029E-02 optPrice:1.99999994947575E-04 pvDividend:0 gamma: 1.79769313486232E+308 theta/vega/undPrice: -2.15951742216376E-04-1.53801465245389E-04-1.5783</t>
  </si>
  <si>
    <t>2014-11-26 15:55:1.535: RTWSControl  - tickOptionComputation - id:200043 tickType:11 impliedVol:7.60280551218715E-02 delta:-7.23275606457231E-02 optPrice:3.00000014249235E-04 pvDividend:0 gamma: 1.79769313486232E+308 theta/vega/undPrice: -2.96041495607348E-04-2.03897837489384E-04-1.5783</t>
  </si>
  <si>
    <t>2014-11-26 15:55:1.582: RTWSControl  - tickOptionComputation - id:200044 tickType:13 impliedVol:6.60362228124853E-02 delta:0.850747097905381 optPrice:8.92832930509754E-03 pvDividend:0 gamma: 1.79769313486232E+308 theta/vega/undPrice: -4.32000262436982E-04-2.97670227513747E-04-1.5783</t>
  </si>
  <si>
    <t>2014-11-26 15:55:1.624: RTWSControl  - tickOptionComputation - id:200044 tickType:10 impliedVol:6.17251011494558E-02 delta:0.868289334518936 optPrice:8.79999995231628E-03 pvDividend:0 gamma: 1.79769313486232E+308 theta/vega/undPrice: -3.72865982811103E-04-2.97670361890278E-04-1.5783</t>
  </si>
  <si>
    <t>2014-11-26 15:55:1.663: RTWSControl  - tickOptionComputation - id:200044 tickType:11 impliedVol:7.18033794787707E-02 delta:0.830350354544926 optPrice:9.10000037401915E-03 pvDividend:0 gamma: 1.79769313486232E+308 theta/vega/undPrice: -5.11106429872943E-04-3.07532224446766E-04-1.5783</t>
  </si>
  <si>
    <t>2014-11-26 15:55:1.711: RTWSControl  - tickOptionComputation - id:200046 tickType:13 impliedVol:6.60362228124853E-02 delta:-0.14936559321484 optPrice:6.2844869369621E-04 pvDividend:0 gamma: 1.79769313486232E+308 theta/vega/undPrice: -4.32055794767056E-04-2.97670516147773E-04-1.5783</t>
  </si>
  <si>
    <t>2014-11-26 15:55:1.754: RTWSControl  - tickOptionComputation - id:200046 tickType:10 impliedVol:6.50502407186309E-02 delta:-0.145516893044892 optPrice:6.00000028498471E-04 pvDividend:0 gamma: 1.79769313486232E+308 theta/vega/undPrice: -4.18531371840374E-04-2.97670546766871E-04-1.5783</t>
  </si>
  <si>
    <t>2014-11-26 15:55:1.800: RTWSControl  - tickOptionComputation - id:200046 tickType:11 impliedVol:7.18133979388107E-02 delta:-0.169668314573709 optPrice:7.999999797903E-04 pvDividend:0 gamma: 1.79769313486232E+308 theta/vega/undPrice: -5.11299533129145E-04-3.07614342925217E-04-1.5783</t>
  </si>
  <si>
    <t>2014-11-26 15:55:1.869: RTWSControl  - tickOptionComputation - id:200045 tickType:13 impliedVol:6.25662162599099E-02 delta:0.668564021930252 optPrice:4.97848925671163E-03 pvDividend:0 gamma: 1.79769313486232E+308 theta/vega/undPrice: -6.3943847395103E-04-4.45448280297234E-04-1.5783</t>
  </si>
  <si>
    <t>2014-11-26 15:55:1.913: RTWSControl  - tickOptionComputation - id:200045 tickType:10 impliedVol:6.08041900846755E-02 delta:0.67305655148763 optPrice:4.90000005811453E-03 pvDividend:0 gamma: 1.79769313486232E+308 theta/vega/undPrice: -6.1803323501893E-04-4.45448359083616E-04-1.5783</t>
  </si>
  <si>
    <t>2014-11-26 15:55:1.956: RTWSControl  - tickOptionComputation - id:200045 tickType:11 impliedVol:6.52944621816692E-02 delta:0.661882588481007 optPrice:5.10000018402934E-03 pvDividend:0 gamma: 1.79769313486232E+308 theta/vega/undPrice: -6.7258141126006E-04-4.4544815490536E-04-1.5783</t>
  </si>
  <si>
    <t>2014-11-26 15:55:2.3: RTWSControl  - tickOptionComputation - id:200047 tickType:13 impliedVol:6.25662162599099E-02 delta:-0.331549134093604 optPrice:1.67853919500568E-03 pvDividend:0 gamma: 1.79769313486232E+308 theta/vega/undPrice: -6.39462201171662E-04-4.45448919350811E-04-1.5783</t>
  </si>
  <si>
    <t>2014-11-26 15:55:2.45: RTWSControl  - tickOptionComputation - id:200047 tickType:10 impliedVol:6.07939482021681E-02 delta:-0.326902767178221 optPrice:1.5999999595806E-03 pvDividend:0 gamma: 1.79769313486232E+308 theta/vega/undPrice: -6.17932470141077E-04-4.45448998411168E-04-1.5783</t>
  </si>
  <si>
    <t>2014-11-26 15:55:2.88: RTWSControl  - tickOptionComputation - id:200047 tickType:11 impliedVol:6.52929200918995E-02 delta:-0.338100560275639 optPrice:1.79999996908009E-03 pvDividend:0 gamma: 1.79769313486232E+308 theta/vega/undPrice: -6.72586518158282E-04-4.45448794036337E-04-1.5783</t>
  </si>
  <si>
    <t>2014-11-26 15:55:2.175: RTWSControl  - tickOptionComputation - id:200055 tickType:13 impliedVol:6.16623723610132E-02 delta:0.411094525988964 optPrice:2.22580659357351E-03 pvDividend:0 gamma: 1.79769313486232E+308 theta/vega/undPrice: -6.78249839130942E-04-4.83334396381002E-04-1.5783</t>
  </si>
  <si>
    <t>2014-11-26 15:55:2.222: RTWSControl  - tickOptionComputation - id:200055 tickType:10 impliedVol:5.90594831096982E-02 delta:0.407039519673852 optPrice:2.09999992512167E-03 pvDividend:0 gamma: 1.79769313486232E+308 theta/vega/undPrice: -6.486728508663E-04-4.83334522295854E-04-1.5783</t>
  </si>
  <si>
    <t>2014-11-26 15:55:2.252: RTWSControl  - tickOptionComputation - id:200055 tickType:11 impliedVol:6.32163282077992E-02 delta:0.413276824847811 optPrice:2.30000005103648E-03 pvDividend:0 gamma: 1.79769313486232E+308 theta/vega/undPrice: -6.95907643095609E-04-4.83334318887292E-04-1.5783</t>
  </si>
  <si>
    <t>2014-11-26 15:55:2.322: RTWSControl  - tickOptionComputation - id:200049 tickType:13 impliedVol:6.80666085457773E-02 delta:0.689669766643232 optPrice:1.17341978964463E-02 pvDividend:0 gamma: 1.79769313486232E+308 theta/vega/undPrice: -3.29737362780959E-04-9.14172531282825E-04-1.5783</t>
  </si>
  <si>
    <t>2014-11-26 15:55:2.372: RTWSControl  - tickOptionComputation - id:200049 tickType:10 impliedVol:6.76925201746193E-02 delta:0.690558678549313 optPrice:1.16999996826053E-02 pvDividend:0 gamma: 1.79769313486232E+308 theta/vega/undPrice: -3.27530487831797E-04-9.14172693091918E-04-1.5783</t>
  </si>
  <si>
    <t>2014-11-26 15:55:2.414: RTWSControl  - tickOptionComputation - id:200049 tickType:11 impliedVol:7.09741752864578E-02 delta:0.68235055141882 optPrice:1.20000001043081E-02 pvDividend:0 gamma: 1.79769313486232E+308 theta/vega/undPrice: -3.4689005828944E-04-9.14171250626086E-04-1.5783</t>
  </si>
  <si>
    <t>2014-11-26 15:55:2.461: RTWSControl  - tickOptionComputation - id:200050 tickType:13 impliedVol:6.80666085457773E-02 delta:-0.310400387958379 optPrice:3.43472393825727E-03 pvDividend:0 gamma: 1.79769313486232E+308 theta/vega/undPrice: -3.29796365926826E-04-9.14178092257347E-04-1.5783</t>
  </si>
  <si>
    <t>2014-11-26 15:55:2.501: RTWSControl  - tickOptionComputation - id:200050 tickType:10 impliedVol:6.87806491643448E-02 delta:-0.312194497574014 optPrice:3.50000010803342E-03 pvDividend:0 gamma: 1.79769313486232E+308 theta/vega/undPrice: -3.34008794005603E-04-9.14177786066746E-04-1.5783</t>
  </si>
  <si>
    <t>2014-11-26 15:55:2.545: RTWSControl  - tickOptionComputation - id:200050 tickType:11 impliedVol:6.98645579748718E-02 delta:-0.314905087172025 optPrice:3.59999993816018E-03 pvDividend:0 gamma: 1.79769313486232E+308 theta/vega/undPrice: -3.4040322452812E-04-9.14177316570567E-04-1.5783</t>
  </si>
  <si>
    <t>2014-11-26 15:55:2.613: RTWSControl  - tickOptionComputation - id:200051 tickType:13 impliedVol:7.01320716531288E-02 delta:-0.313752612633619 optPrice:3.53040819208717E-03 pvDividend:0 gamma: 1.79769313486232E+308 theta/vega/undPrice: -3.43120124205008E-04-8.769654670583E-04-1.5783</t>
  </si>
  <si>
    <t>2014-11-26 15:55:2.662: RTWSControl  - tickOptionComputation - id:200051 tickType:10 impliedVol:6.74931189560125E-02 delta:-0.307163719835161 optPrice:3.29999998211861E-03 pvDividend:0 gamma: 1.79769313486232E+308 theta/vega/undPrice: -3.27193341783723E-04-8.68955122973217E-04-1.5783</t>
  </si>
  <si>
    <t>2014-11-26 15:55:2.704: RTWSControl  - tickOptionComputation - id:200051 tickType:11 impliedVol:1.79769313486232E+308 delta:1.79769313486232E+308 optPrice:3.59999993816018E-03 pvDividend:0 gamma: 1.79769313486232E+308 theta/vega/undPrice: 1.79769313486232E+308-1.79769313486232E+308-1.5783</t>
  </si>
  <si>
    <t>2014-11-26 15:55:2.744: RTWSControl  - tickOptionComputation - id:200052 tickType:13 impliedVol:0.120371415200737 delta:-0.51903552963158 optPrice:1.27509081076025E-02 pvDividend:0 gamma: 1.79769313486232E+308 theta/vega/undPrice: -6.61722884557215E-04-9.85442803284501E-04-1.5783</t>
  </si>
  <si>
    <t>2014-11-26 15:55:2.786: RTWSControl  - tickOptionComputation - id:200052 tickType:10 impliedVol:1.79769313486232E+308 delta:1.79769313486232E+308 optPrice:1.79769313486232E+308 pvDividend:0 gamma: 1.79769313486232E+308 theta/vega/undPrice: 1.79769313486232E+308-1.79769313486232E+308-1.5783</t>
  </si>
  <si>
    <t>2014-11-26 15:55:2.824: RTWSControl  - tickOptionComputation - id:200052 tickType:11 impliedVol:1.79769313486232E+308 delta:1.79769313486232E+308 optPrice:1.79769313486232E+308 pvDividend:0 gamma: 1.79769313486232E+308 theta/vega/undPrice: 1.79769313486232E+308-1.79769313486232E+308-1.5783</t>
  </si>
  <si>
    <t>2014-11-26 15:55:2.865: RTWSControl  - tickOptionComputation - id:200048 tickType:13 impliedVol:8.32963165239224E-02 delta:-3.03906003785649E-02 optPrice:2.50662070232551E-04 pvDividend:0 gamma: 1.79769313486232E+308 theta/vega/undPrice: -7.80452089932569E-05-2.0161263760422E-04-1.5783</t>
  </si>
  <si>
    <t>2014-11-26 15:55:2.911: RTWSControl  - tickOptionComputation - id:200048 tickType:10 impliedVol:8.04905533932256E-02 delta:-2.57539947807083E-02 optPrice:1.99999994947575E-04 pvDividend:0 gamma: 1.79769313486232E+308 theta/vega/undPrice: -6.58417747244771E-05-1.79303076000076E-04-1.5783</t>
  </si>
  <si>
    <t>2014-11-26 15:55:2.953: RTWSControl  - tickOptionComputation - id:200048 tickType:11 impliedVol:8.60414508587795E-02 delta:-3.46259802814576E-02 optPrice:3.00000014249235E-04 pvDividend:0 gamma: 1.79769313486232E+308 theta/vega/undPrice: -8.99849179001204E-05-2.32699249432463E-04-1.5783</t>
  </si>
  <si>
    <t>2014-11-26 15:55:2.999: RTWSControl  - tickOptionComputation - id:200053 tickType:13 impliedVol:6.38471522384911E-02 delta:8.85405779911279E-02 optPrice:6.57375944127178E-04 pvDividend:0 gamma: 1.79769313486232E+308 theta/vega/undPrice: -1.4023051774302E-04-4.4729000769177E-04-1.5783</t>
  </si>
  <si>
    <t>2014-11-26 15:55:3.36: RTWSControl  - tickOptionComputation - id:200053 tickType:10 impliedVol:6.25596728075276E-02 delta:8.35460622245446E-02 optPrice:6.00000028498471E-04 pvDividend:0 gamma: 1.79769313486232E+308 theta/vega/undPrice: -1.31900398147077E-04-4.47290256291642E-04-1.5783</t>
  </si>
  <si>
    <t>2014-11-26 15:55:3.78: RTWSControl  - tickOptionComputation - id:200053 tickType:11 impliedVol:6.47800333545459E-02 delta:9.20168852935782E-02 optPrice:6.99999975040555E-04 pvDividend:0 gamma: 1.79769313486232E+308 theta/vega/undPrice: -1.46266346155908E-04-4.47289829307723E-04-1.5783</t>
  </si>
  <si>
    <t>2014-11-26 15:55:3.124: RTWSControl  - tickOptionComputation - id:200054 tickType:13 impliedVol:0.070637947602064 delta:1.71772623339113E-03 optPrice:8.89425777309122E-06 pvDividend:0 gamma: 0.311263275214663 theta/vega/undPrice: -5.29841892864636E-06-2.5484205681484E-05-1.5783</t>
  </si>
  <si>
    <t>2014-11-26 15:55:3.166: RTWSControl  - tickOptionComputation - id:200054 tickType:10 impliedVol:1.79769313486232E+308 delta:1.79769313486232E+308 optPrice:1.79769313486232E+308 pvDividend:0 gamma: 1.79769313486232E+308 theta/vega/undPrice: 1.79769313486232E+308-1.79769313486232E+308-1.5783</t>
  </si>
  <si>
    <t>2014-11-26 15:55:3.203: RTWSControl  - tickOptionComputation - id:200054 tickType:11 impliedVol:9.14031469229053E-02 delta:1.24264967512287E-02 optPrice:9.99999974737875E-05 pvDividend:0 gamma: 1.79769313486232E+308 theta/vega/undPrice: -4.01344420067459E-05-1.03762369046212E-04-1.5783</t>
  </si>
  <si>
    <t>2014-11-26 15:55:3.365: DirectionIndicator - notify - price/longMA/ShortMA/prevDirection are 1.57825/1.57832982184938/1.57829148001719/-1</t>
  </si>
  <si>
    <t>2014-11-26 15:55:3.365: Algorithm - handleTransition - currentHedgeShortfall is NOT ZERO and AUTOHEDGE IS NOT ENABLED!</t>
  </si>
  <si>
    <t>2014-11-26 15:55:3.572: DirectionIndicator - notify - price/longMA/ShortMA/prevDirection are 1.5783/1.57832439969495/1.57829432001146/-1</t>
  </si>
  <si>
    <t>2014-11-26 15:55:3.573: Algorithm - handleTransition - currentHedgeShortfall is NOT ZERO and AUTOHEDGE IS NOT ENABLED!</t>
  </si>
  <si>
    <t>2014-11-26 15:55:3.736: DirectionIndicator - notify - price/longMA/ShortMA/prevDirection are 1.57825/1.57831087247768/1.57827954667431/-1</t>
  </si>
  <si>
    <t>2014-11-26 15:55:3.736: Algorithm - handleTransition - currentHedgeShortfall is NOT ZERO and AUTOHEDGE IS NOT ENABLED!</t>
  </si>
  <si>
    <t>2014-11-26 15:55:4.110: DirectionIndicator - notify - price/longMA/ShortMA/prevDirection are 1.5782/1.57829071384538/1.5782530311162/-1</t>
  </si>
  <si>
    <t>2014-11-26 15:55:4.110: Algorithm - handleTransition - currentHedgeShortfall is NOT ZERO and AUTOHEDGE IS NOT ENABLED!</t>
  </si>
  <si>
    <t>2014-11-26 15:55:4.152: DirectionIndicator - notify - price/longMA/ShortMA/prevDirection are 1.57815/1.57826512950985/1.5782186874108/-1</t>
  </si>
  <si>
    <t>2014-11-26 15:55:4.156: Algorithm - handleTransition - currentHedgeShortfall is NOT ZERO and AUTOHEDGE IS NOT ENABLED!</t>
  </si>
  <si>
    <t>2014-11-26 15:55:4.612: DirectionIndicator - notify - price/longMA/ShortMA/prevDirection are 1.5782/1.57825328778079/1.57821245827387/-1</t>
  </si>
  <si>
    <t>2014-11-26 15:55:4.613: Algorithm - handleTransition - currentHedgeShortfall is NOT ZERO and AUTOHEDGE IS NOT ENABLED!</t>
  </si>
  <si>
    <t>2014-11-26 15:55:4.697: DirectionIndicator - notify - price/longMA/ShortMA/prevDirection are 1.57825/1.57825269000246/1.57822497218258/-1</t>
  </si>
  <si>
    <t>2014-11-26 15:55:4.697: Algorithm - handleTransition - currentHedgeShortfall is NOT ZERO and AUTOHEDGE IS NOT ENABLED!</t>
  </si>
  <si>
    <t>2014-11-26 15:55:4.905: RTWSControl  - tickOptionComputation - id:200042 tickType:13 impliedVol:0.080445937005976 delta:-2.99632843081151E-02 optPrice:1.15598211613798E-04 pvDividend:0 gamma: 1.79769313486232E+308 theta/vega/undPrice: -1.53117827253312E-04-9.7798531226536E-05-1.5782</t>
  </si>
  <si>
    <t>2014-11-26 15:55:4.956: RTWSControl  - tickOptionComputation - id:200042 tickType:10 impliedVol:8.94820392899833E-02 delta:-4.42824700855512E-02 optPrice:1.99999994947575E-04 pvDividend:0 gamma: 1.79769313486232E+308 theta/vega/undPrice: -2.36495936588618E-04-1.43239626033858E-04-1.5782</t>
  </si>
  <si>
    <t>2014-11-26 15:55:4.997: RTWSControl  - tickOptionComputation - id:200042 tickType:11 impliedVol:8.94820392899833E-02 delta:-4.42824700855512E-02 optPrice:1.99999994947575E-04 pvDividend:0 gamma: 1.79769313486232E+308 theta/vega/undPrice: -2.36495936588618E-04-1.43239626033858E-04-1.5782</t>
  </si>
  <si>
    <t>2014-11-26 15:55:5.43: RTWSControl  - tickOptionComputation - id:200041 tickType:13 impliedVol:7.18636596722604E-02 delta:0.936271725133099 optPrice:1.34459762468804E-02 pvDividend:0 gamma: 1.79769313486232E+308 theta/vega/undPrice: -2.52498212026858E-04-1.78186208150022E-04-1.5782</t>
  </si>
  <si>
    <t>2014-11-26 15:55:5.87: RTWSControl  - tickOptionComputation - id:200041 tickType:10 impliedVol:1.79769313486232E+308 delta:1.79769313486232E+308 optPrice:1.31999999284744E-02 pvDividend:0 gamma: 1.79769313486232E+308 theta/vega/undPrice: 1.79769313486232E+308-1.79769313486232E+308-1.5782</t>
  </si>
  <si>
    <t>2014-11-26 15:55:5.123: RTWSControl  - tickOptionComputation - id:200041 tickType:11 impliedVol:8.07516642366432E-02 delta:0.91268462694803 optPrice:1.36000001803041E-02 pvDividend:0 gamma: 1.79769313486232E+308 theta/vega/undPrice: -3.60714774711894E-04-2.15203595593173E-04-1.5782</t>
  </si>
  <si>
    <t>2014-11-26 15:55:5.190: RTWSControl  - tickOptionComputation - id:200043 tickType:13 impliedVol:7.18636596722604E-02 delta:-6.38407978292097E-02 optPrice:2.46165012079256E-04 pvDividend:0 gamma: 1.79769313486232E+308 theta/vega/undPrice: -2.52585445806483E-04-1.78186481593816E-04-1.5782</t>
  </si>
  <si>
    <t>2014-11-26 15:55:5.244: RTWSControl  - tickOptionComputation - id:200043 tickType:10 impliedVol:6.86338754814358E-02 delta:-5.54378910626391E-02 optPrice:1.99999994947575E-04 pvDividend:0 gamma: 1.79769313486232E+308 theta/vega/undPrice: -2.15545338080511E-04-1.55017785852291E-04-1.5782</t>
  </si>
  <si>
    <t>2014-11-26 15:55:5.287: RTWSControl  - tickOptionComputation - id:200043 tickType:11 impliedVol:7.56160286076755E-02 delta:-7.26837080747221E-02 optPrice:3.00000014249235E-04 pvDividend:0 gamma: 1.79769313486232E+308 theta/vega/undPrice: -2.95618684201869E-04-2.05103894583708E-04-1.5782</t>
  </si>
  <si>
    <t>2014-11-26 15:55:5.332: RTWSControl  - tickOptionComputation - id:200044 tickType:10 impliedVol:6.11857444057961E-02 delta:0.867388819425877 optPrice:8.70000012218952E-03 pvDividend:0 gamma: 1.79769313486232E+308 theta/vega/undPrice: -3.7114962734905E-04-2.97660947542865E-04-1.5782</t>
  </si>
  <si>
    <t>2014-11-26 15:55:5.372: RTWSControl  - tickOptionComputation - id:200044 tickType:11 impliedVol:7.46238633705559E-02 delta:0.818878597871737 optPrice:9.10000037401915E-03 pvDividend:0 gamma: 1.79769313486232E+308 theta/vega/undPrice: -5.55470026593911E-04-3.38280768423894E-04-1.5782</t>
  </si>
  <si>
    <t>2014-11-26 15:55:5.420: RTWSControl  - tickOptionComputation - id:200044 tickType:13 impliedVol:6.58531410711873E-02 delta:0.848397365170338 optPrice:8.83893033191999E-03 pvDividend:0 gamma: 1.79769313486232E+308 theta/vega/undPrice: -4.35168793353495E-04-2.97660803777067E-04-1.5782</t>
  </si>
  <si>
    <t>2014-11-26 15:55:5.462: RTWSControl  - tickOptionComputation - id:200046 tickType:13 impliedVol:6.58531410711873E-02 delta:-0.151715328402533 optPrice:6.39048299694964E-04 pvDividend:0 gamma: 1.79769313486232E+308 theta/vega/undPrice: -4.35223672536268E-04-2.97661092501488E-04-1.5782</t>
  </si>
  <si>
    <t>2014-11-26 15:55:5.505: RTWSControl  - tickOptionComputation - id:200046 tickType:10 impliedVol:6.45137226929289E-02 delta:-0.146498702481893 optPrice:6.00000028498471E-04 pvDividend:0 gamma: 1.79769313486232E+308 theta/vega/undPrice: -4.16851850099316E-04-2.97661133605138E-04-1.5782</t>
  </si>
  <si>
    <t>2014-11-26 15:55:5.571: RTWSControl  - tickOptionComputation - id:200046 tickType:11 impliedVol:7.12841701601609E-02 delta:-0.170764087804312 optPrice:7.999999797903E-04 pvDividend:0 gamma: 1.79769313486232E+308 theta/vega/undPrice: -5.09717077345707E-04-3.11170003029154E-04-1.5782</t>
  </si>
  <si>
    <t>2014-11-26 15:55:5.623: RTWSControl  - tickOptionComputation - id:200045 tickType:13 impliedVol:6.24143812027853E-02 delta:0.664128564434998 optPrice:4.90522916251605E-03 pvDividend:0 gamma: 1.79769313486232E+308 theta/vega/undPrice: -6.41225238994644E-04-4.45434176300479E-04-1.5782</t>
  </si>
  <si>
    <t>2014-11-26 15:55:5.665: RTWSControl  - tickOptionComputation - id:200045 tickType:10 impliedVol:6.00454463332858E-02 delta:0.670101657506983 optPrice:4.80000022798777E-03 pvDividend:0 gamma: 1.79769313486232E+308 theta/vega/undPrice: -6.12448131842557E-04-4.45434281072085E-04-1.5782</t>
  </si>
  <si>
    <t>2014-11-26 15:55:5.705: RTWSControl  - tickOptionComputation - id:200045 tickType:11 impliedVol:6.67813588431582E-02 delta:0.654011260174313 optPrice:5.10000018402934E-03 pvDividend:0 gamma: 1.79769313486232E+308 theta/vega/undPrice: -6.9427392314508E-04-4.45433974979971E-04-1.5782</t>
  </si>
  <si>
    <t>2014-11-26 15:55:5.751: RTWSControl  - tickOptionComputation - id:200047 tickType:13 impliedVol:6.24143812027853E-02 delta:-0.335984598777552 optPrice:1.70527769886287E-03 pvDividend:0 gamma: 1.79769313486232E+308 theta/vega/undPrice: -6.41248319467304E-04-4.45434815337206E-04-1.5782</t>
  </si>
  <si>
    <t>2014-11-26 15:55:5.794: RTWSControl  - tickOptionComputation - id:200055 tickType:13 impliedVol:6.15473800670543E-02 delta:0.40562024835889 optPrice:2.17576880438977E-03 pvDividend:0 gamma: 1.79769313486232E+308 theta/vega/undPrice: -6.75601498194497E-04-4.8331909286666E-04-1.5782</t>
  </si>
  <si>
    <t>2014-11-26 15:55:5.837: RTWSControl  - tickOptionComputation - id:200049 tickType:13 impliedVol:6.76802907243577E-02 delta:0.68852018733874 optPrice:1.16322799536057E-02 pvDividend:0 gamma: 1.79769313486232E+308 theta/vega/undPrice: -3.28310994712105E-04-9.14143732118676E-04-1.5782</t>
  </si>
  <si>
    <t>2014-11-26 15:55:5.904: RTWSControl  - tickOptionComputation - id:200050 tickType:13 impliedVol:6.76802907243577E-02 delta:-0.311549975189973 optPrice:3.43279989740428E-03 pvDividend:0 gamma: 1.79769313486232E+308 theta/vega/undPrice: -3.28369324133427E-04-9.14149296371502E-04-1.5782</t>
  </si>
  <si>
    <t>2014-11-26 15:55:5.951: RTWSControl  - tickOptionComputation - id:200051 tickType:13 impliedVol:7.05662326926131E-02 delta:-0.31682612764004 optPrice:3.60008625064981E-03 pvDividend:0 gamma: 1.79769313486232E+308 theta/vega/undPrice: -3.46661146611623E-04-8.80565123427133E-04-1.5782</t>
  </si>
  <si>
    <t>2014-11-26 15:55:5.992: RTWSControl  - tickOptionComputation - id:200052 tickType:13 impliedVol:0.119327273810022 delta:-0.520617464156737 optPrice:1.27000000050385E-02 pvDividend:0 gamma: 1.79769313486232E+308 theta/vega/undPrice: -6.55811678373211E-04-9.85186237613958E-04-1.5782</t>
  </si>
  <si>
    <t>2014-11-26 15:55:6.34: RTWSControl  - tickOptionComputation - id:200048 tickType:13 impliedVol:8.31038650921201E-02 delta:-3.04275784942246E-02 optPrice:2.50409095272463E-04 pvDividend:0 gamma: 1.79769313486232E+308 theta/vega/undPrice: -7.79388330162925E-05-2.02094346170493E-04-1.5782</t>
  </si>
  <si>
    <t>2014-11-26 15:55:6.78: RTWSControl  - tickOptionComputation - id:200053 tickType:13 impliedVol:6.41531856627147E-02 delta:8.85812644163806E-02 optPrice:6.60842635969821E-04 pvDividend:0 gamma: 1.79769313486232E+308 theta/vega/undPrice: -1.40939986710784E-04-4.47275776923767E-04-1.5782</t>
  </si>
  <si>
    <t>2014-11-26 15:55:6.117: RTWSControl  - tickOptionComputation - id:200054 tickType:13 impliedVol:7.25225499071911E-02 delta:2.12629192772793E-03 optPrice:1.14925600930228E-05 pvDividend:0 gamma: 0.368278428922955 theta/vega/undPrice: -6.60707907798942E-06-3.21786709156686E-05-1.5782</t>
  </si>
  <si>
    <t>2014-11-26 15:55:6.158: RTWSControl  - tickOptionComputation - id:200047 tickType:10 impliedVol:6.00444089408917E-02 delta:-0.329882292355025 optPrice:1.5999999595806E-03 pvDividend:0 gamma: 1.79769313486232E+308 theta/vega/undPrice: -6.12458512147861E-04-4.45434920137038E-04-1.5782</t>
  </si>
  <si>
    <t>2014-11-26 15:55:6.202: RTWSControl  - tickOptionComputation - id:200047 tickType:11 impliedVol:6.45408927867273E-02 delta:-0.340998534877689 optPrice:1.79999996908009E-03 pvDividend:0 gamma: 1.79769313486232E+308 theta/vega/undPrice: -6.67080615416245E-04-4.45434719359813E-04-1.5782</t>
  </si>
  <si>
    <t>2014-11-26 15:55:6.248: RTWSControl  - tickOptionComputation - id:200055 tickType:10 impliedVol:5.99797027902397E-02 delta:0.403051563545509 optPrice:2.09999992512167E-03 pvDividend:0 gamma: 1.79769313486232E+308 theta/vega/undPrice: -6.57788331968042E-04-4.833191692839E-04-1.5782</t>
  </si>
  <si>
    <t>2014-11-26 15:55:6.289: RTWSControl  - tickOptionComputation - id:200055 tickType:11 impliedVol:6.20487294371669E-02 delta:0.406347450685556 optPrice:2.19999998807907E-03 pvDividend:0 gamma: 1.79769313486232E+308 theta/vega/undPrice: -6.81298217357607E-04-4.83319068054132E-04-1.5782</t>
  </si>
  <si>
    <t>2014-11-26 15:55:6.333: RTWSControl  - tickOptionComputation - id:200049 tickType:10 impliedVol:6.73271731262814E-02 delta:0.689353636664853 optPrice:1.15999998524785E-02 pvDividend:0 gamma: 1.79769313486232E+308 theta/vega/undPrice: -3.262278986287E-04-9.14143883867707E-04-1.5782</t>
  </si>
  <si>
    <t>2014-11-26 15:55:6.378: RTWSControl  - tickOptionComputation - id:200049 tickType:11 impliedVol:7.17028489091627E-02 delta:0.678594235553228 optPrice:1.20000001043081E-02 pvDividend:0 gamma: 1.79769313486232E+308 theta/vega/undPrice: -3.52040635730608E-04-9.14141961005855E-04-1.5782</t>
  </si>
  <si>
    <t>2014-11-26 15:55:6.445: RTWSControl  - tickOptionComputation - id:200050 tickType:10 impliedVol:6.84046066838493E-02 delta:-0.313368660097333 optPrice:3.50000010803342E-03 pvDividend:0 gamma: 1.79769313486232E+308 theta/vega/undPrice: -3.32642237267377E-04-9.14148987823872E-04-1.5782</t>
  </si>
  <si>
    <t>2014-11-26 15:55:6.491: RTWSControl  - tickOptionComputation - id:200050 tickType:11 impliedVol:7.06032231753039E-02 delta:-0.318772595913532 optPrice:3.70000000111759E-03 pvDividend:0 gamma: 1.79769313486232E+308 theta/vega/undPrice: -3.45612379899798E-04-9.14148035735722E-04-1.5782</t>
  </si>
  <si>
    <t>2014-11-26 15:55:6.538: RTWSControl  - tickOptionComputation - id:200051 tickType:10 impliedVol:6.82866736745179E-02 delta:-0.311270200505248 optPrice:3.40000004507601E-03 pvDividend:0 gamma: 1.79769313486232E+308 theta/vega/undPrice: -3.32945785853819E-04-8.73957500022345E-04-1.5782</t>
  </si>
  <si>
    <t>2014-11-26 15:55:6.579: RTWSControl  - tickOptionComputation - id:200051 tickType:11 impliedVol:7.05662319819086E-02 delta:-0.316786069171658 optPrice:3.59999993816018E-03 pvDividend:0 gamma: 1.79769313486232E+308 theta/vega/undPrice: -3.46661142345529E-04-8.80565121458955E-04-1.5782</t>
  </si>
  <si>
    <t>2014-11-26 15:55:6.623: RTWSControl  - tickOptionComputation - id:200052 tickType:10 impliedVol:1.79769313486232E+308 delta:1.79769313486232E+308 optPrice:1.79769313486232E+308 pvDividend:0 gamma: 1.79769313486232E+308 theta/vega/undPrice: 1.79769313486232E+308-1.79769313486232E+308-1.5782</t>
  </si>
  <si>
    <t>2014-11-26 15:55:6.659: RTWSControl  - tickOptionComputation - id:200052 tickType:11 impliedVol:1.79769313486232E+308 delta:1.79769313486232E+308 optPrice:1.79769313486232E+308 pvDividend:0 gamma: 1.79769313486232E+308 theta/vega/undPrice: 1.79769313486232E+308-1.79769313486232E+308-1.5782</t>
  </si>
  <si>
    <t>2014-11-26 15:55:6.702: RTWSControl  - tickOptionComputation - id:200048 tickType:10 impliedVol:8.02626294999752E-02 delta:-2.57201519402132E-02 optPrice:1.99999994947575E-04 pvDividend:0 gamma: 1.79769313486232E+308 theta/vega/undPrice: -6.55815038057357E-05-1.79297417957683E-04-1.5782</t>
  </si>
  <si>
    <t>2014-11-26 15:55:6.746: RTWSControl  - tickOptionComputation - id:200048 tickType:11 impliedVol:8.58697110290952E-02 delta:-3.47024905245085E-02 optPrice:3.00000014249235E-04 pvDividend:0 gamma: 1.79769313486232E+308 theta/vega/undPrice: -8.99682456915165E-05-2.33414512849356E-04-1.5782</t>
  </si>
  <si>
    <t>2014-11-26 15:55:6.794: RTWSControl  - tickOptionComputation - id:200053 tickType:10 impliedVol:6.27928961343139E-02 delta:8.33250396597641E-02 optPrice:6.00000028498471E-04 pvDividend:0 gamma: 1.79769313486232E+308 theta/vega/undPrice: -1.32139059006656E-04-4.47276040899394E-04-1.5782</t>
  </si>
  <si>
    <t>2014-11-26 15:55:6.838: RTWSControl  - tickOptionComputation - id:200053 tickType:11 impliedVol:6.50502232769987E-02 delta:9.19092905701579E-02 optPrice:6.99999975040555E-04 pvDividend:0 gamma: 1.79769313486232E+308 theta/vega/undPrice: -1.4674371926418E-04-4.47275604552502E-04-1.5782</t>
  </si>
  <si>
    <t>2014-11-26 15:55:6.902: RTWSControl  - tickOptionComputation - id:200054 tickType:10 impliedVol:1.79769313486232E+308 delta:1.79769313486232E+308 optPrice:1.79769313486232E+308 pvDividend:0 gamma: 1.79769313486232E+308 theta/vega/undPrice: 1.79769313486232E+308-1.79769313486232E+308-1.5782</t>
  </si>
  <si>
    <t>2014-11-26 15:55:6.920: RTWSControl  - tickOptionComputation - id:200054 tickType:11 impliedVol:9.15651305014409E-02 delta:1.24090577370368E-02 optPrice:9.99999974737875E-05 pvDividend:0 gamma: 1.79769313486232E+308 theta/vega/undPrice: -4.01560749564493E-05-1.03759071407921E-04-1.5782</t>
  </si>
  <si>
    <t>2014-11-26 15:55:7.694: RTWSControl  - tickOptionComputation - id:200041 tickType:10 impliedVol:6.01113727288632E-02 delta:0.965794613182419 optPrice:1.32999997586012E-02 pvDividend:0 gamma: 1.79769313486232E+308 theta/vega/undPrice: -1.27723167148246E-04-1.2083654705785E-04-1.5782</t>
  </si>
  <si>
    <t>2014-11-26 15:55:7.746: RTWSControl  - tickOptionComputation - id:200041 tickType:11 impliedVol:8.53876497451037E-02 delta:0.89976440396287 optPrice:1.37000000104308E-02 pvDividend:0 gamma: 1.79769313486232E+308 theta/vega/undPrice: -4.21699845025377E-04-2.15203468354911E-04-1.5782</t>
  </si>
  <si>
    <t>2014-11-26 15:55:7.792: RTWSControl  - tickOptionComputation - id:200044 tickType:10 impliedVol:6.45452663315717E-02 delta:0.853362652712753 optPrice:8.79999995231628E-03 pvDividend:0 gamma: 1.79769313486232E+308 theta/vega/undPrice: -4.17229666097232E-04-2.97660844100486E-04-1.5782</t>
  </si>
  <si>
    <t>2014-11-26 15:55:7.832: RTWSControl  - tickOptionComputation - id:200045 tickType:10 impliedVol:6.22969877600507E-02 delta:0.664333849209992 optPrice:4.90000005811453E-03 pvDividend:0 gamma: 1.79769313486232E+308 theta/vega/undPrice: -6.39799179210166E-04-4.45434181565751E-04-1.5782</t>
  </si>
  <si>
    <t>2014-11-26 15:55:7.877: RTWSControl  - tickOptionComputation - id:200055 tickType:11 impliedVol:6.41177564952397E-02 delta:0.40943267143378 optPrice:2.30000005103648E-03 pvDividend:0 gamma: 1.79769313486232E+308 theta/vega/undPrice: -7.04808094166751E-04-4.83318963750767E-04-1.5782</t>
  </si>
  <si>
    <t>2014-11-26 15:55:7.919: RTWSControl  - tickOptionComputation - id:200049 tickType:10 impliedVol:6.84103018012022E-02 delta:0.686560623019421 optPrice:1.16999996826053E-02 pvDividend:0 gamma: 1.79769313486232E+308 theta/vega/undPrice: -3.32617441849823E-04-9.14143416494291E-04-1.5782</t>
  </si>
  <si>
    <t>2014-11-26 15:55:7.964: RTWSControl  - tickOptionComputation - id:200051 tickType:10 impliedVol:6.71413348211248E-02 delta:-0.308372735404762 optPrice:3.29999998211861E-03 pvDividend:0 gamma: 1.79769313486232E+308 theta/vega/undPrice: -3.26029603931962E-04-8.70401354748056E-04-1.5782</t>
  </si>
  <si>
    <t>2014-11-26 15:55:8.33: RTWSControl  - tickOptionComputation - id:200052 tickType:10 impliedVol:1.79769313486232E+308 delta:1.79769313486232E+308 optPrice:1.79769313486232E+308 pvDividend:0 gamma: 1.79769313486232E+308 theta/vega/undPrice: 1.79769313486232E+308-1.79769313486232E+308-1.5782</t>
  </si>
  <si>
    <t>2014-11-26 15:55:8.73: RTWSControl  - tickOptionComputation - id:200052 tickType:11 impliedVol:1.79769313486232E+308 delta:1.79769313486232E+308 optPrice:1.79769313486232E+308 pvDividend:0 gamma: 1.79769313486232E+308 theta/vega/undPrice: 1.79769313486232E+308-1.79769313486232E+308-1.5782</t>
  </si>
  <si>
    <t>2014-11-26 15:55:8.116: RTWSControl  - tickOptionComputation - id:200054 tickType:10 impliedVol:1.79769313486232E+308 delta:1.79769313486232E+308 optPrice:1.79769313486232E+308 pvDividend:0 gamma: 1.79769313486232E+308 theta/vega/undPrice: 1.79769313486232E+308-1.79769313486232E+308-1.5782</t>
  </si>
  <si>
    <t>2014-11-26 15:55:9.115: RTWSControl  - tickOptionComputation - id:200042 tickType:13 impliedVol:0.080445937005976 delta:-2.92263543367413E-02 optPrice:1.12375265361236E-04 pvDividend:0 gamma: 1.79769313486232E+308 theta/vega/undPrice: -1.50004358142724E-04-9.51167083934151E-05-1.5783</t>
  </si>
  <si>
    <t>2014-11-26 15:55:9.164: RTWSControl  - tickOptionComputation - id:200041 tickType:13 impliedVol:7.18636596722604E-02 delta:0.937620111896184 optPrice:1.35400616124482E-02 pvDividend:0 gamma: 1.79769313486232E+308 theta/vega/undPrice: -2.48193620735772E-04-1.7402355891131E-04-1.5783</t>
  </si>
  <si>
    <t>2014-11-26 15:55:9.208: RTWSControl  - tickOptionComputation - id:200043 tickType:13 impliedVol:7.18636596722604E-02 delta:-6.24924100820428E-02 optPrice:2.40251802345865E-04 pvDividend:0 gamma: 1.79769313486232E+308 theta/vega/undPrice: -2.48281508394376E-04-1.74023828981112E-04-1.5783</t>
  </si>
  <si>
    <t>2014-11-26 15:55:9.247: RTWSControl  - tickOptionComputation - id:200044 tickType:13 impliedVol:6.58531410711873E-02 delta:0.851449632503264 optPrice:8.92287950383248E-03 pvDividend:0 gamma: 1.79769313486232E+308 theta/vega/undPrice: -4.294889896549E-04-2.97670233227836E-04-1.5783</t>
  </si>
  <si>
    <t>2014-11-26 15:55:9.289: RTWSControl  - tickOptionComputation - id:200046 tickType:13 impliedVol:6.58531410711873E-02 delta:-0.148663057884741 optPrice:6.22998887155746E-04 pvDividend:0 gamma: 1.79769313486232E+308 theta/vega/undPrice: -4.29544517211797E-04-2.97670521834174E-04-1.5783</t>
  </si>
  <si>
    <t>2014-11-26 15:55:9.332: RTWSControl  - tickOptionComputation - id:200045 tickType:13 impliedVol:6.24143812027853E-02 delta:0.668948248387485 optPrice:4.97172578679021E-03 pvDividend:0 gamma: 1.79769313486232E+308 theta/vega/undPrice: -6.37593969550898E-04-4.45448287156178E-04-1.5783</t>
  </si>
  <si>
    <t>2014-11-26 15:55:9.373: RTWSControl  - tickOptionComputation - id:200047 tickType:13 impliedVol:6.24143812027853E-02 delta:-0.331164907015621 optPrice:1.67177571538687E-03 pvDividend:0 gamma: 1.79769313486232E+308 theta/vega/undPrice: -6.3761769048765E-04-4.45448926204627E-04-1.5783</t>
  </si>
  <si>
    <t>2014-11-26 15:55:9.415: RTWSControl  - tickOptionComputation - id:200055 tickType:13 impliedVol:6.15473800670543E-02 delta:0.410924733276908 optPrice:2.22024861767809E-03 pvDividend:0 gamma: 1.79769313486232E+308 theta/vega/undPrice: -6.76943166325243E-04-4.83334402047683E-04-1.5783</t>
  </si>
  <si>
    <t>2014-11-26 15:55:9.456: RTWSControl  - tickOptionComputation - id:200049 tickType:13 impliedVol:6.76802907243577E-02 delta:0.690678096451052 optPrice:1.16988816971572E-02 pvDividend:0 gamma: 1.79769313486232E+308 theta/vega/undPrice: -3.27458342115667E-04-9.14172698371367E-04-1.5783</t>
  </si>
  <si>
    <t>2014-11-26 15:55:9.497: RTWSControl  - tickOptionComputation - id:200050 tickType:13 impliedVol:6.76802907243577E-02 delta:-0.309392051222688 optPrice:3.39940752430057E-03 pvDividend:0 gamma: 1.79769313486232E+308 theta/vega/undPrice: -3.27517312004871E-04-9.14178257127305E-04-1.5783</t>
  </si>
  <si>
    <t>2014-11-26 15:55:9.538: RTWSControl  - tickOptionComputation - id:200051 tickType:13 impliedVol:7.05662326926131E-02 delta:-0.314788211829154 optPrice:3.56850962770412E-03 pvDividend:0 gamma: 1.79769313486232E+308 theta/vega/undPrice: -3.45731955886758E-04-8.7820448965498E-04-1.5783</t>
  </si>
  <si>
    <t>2014-11-26 15:55:9.579: RTWSControl  - tickOptionComputation - id:200052 tickType:13 impliedVol:0.119327273810022 delta:-0.519267157007646 optPrice:1.26480149265177E-02 pvDividend:0 gamma: 1.79769313486232E+308 theta/vega/undPrice: -6.55964552178557E-04-9.85415347525001E-04-1.5783</t>
  </si>
  <si>
    <t>2014-11-26 15:55:9.620: RTWSControl  - tickOptionComputation - id:200048 tickType:13 impliedVol:8.31038650921201E-02 delta:-3.00828206457024E-02 optPrice:2.47211352835098E-04 pvDividend:0 gamma: 1.79769313486232E+308 theta/vega/undPrice: -7.72081582907573E-05-1.99433264840758E-04-1.5783</t>
  </si>
  <si>
    <t>2014-11-26 15:55:9.664: RTWSControl  - tickOptionComputation - id:200053 tickType:13 impliedVol:6.41531856627147E-02 delta:8.96959423346026E-02 optPrice:6.7106454226639E-04 pvDividend:0 gamma: 1.79769313486232E+308 theta/vega/undPrice: -1.42210583188369E-04-4.47289949011241E-04-1.5783</t>
  </si>
  <si>
    <t>2014-11-26 15:55:9.705: RTWSControl  - tickOptionComputation - id:200054 tickType:13 impliedVol:7.25225499071911E-02 delta:2.1817625606538E-03 optPrice:1.18282936844201E-05 pvDividend:0 gamma: 0.376621638449479 theta/vega/undPrice: -6.75761577611085E-06-3.26240847217272E-05-1.5783</t>
  </si>
  <si>
    <t>2014-11-26 15:55:9.748: DirectionIndicator - notify - price/longMA/ShortMA/prevDirection are 1.5782/1.57824311000202/1.57821664812172/-1</t>
  </si>
  <si>
    <t>2014-11-26 15:55:9.748: Algorithm - handleTransition - currentHedgeShortfall is NOT ZERO and AUTOHEDGE IS NOT ENABLED!</t>
  </si>
  <si>
    <t>2014-11-26 15:55:10.166: DirectionIndicator - notify - price/longMA/ShortMA/prevDirection are 1.57815/1.57822618091074/1.57819443208115/-1</t>
  </si>
  <si>
    <t>2014-11-26 15:55:10.169: Algorithm - handleTransition - currentHedgeShortfall is NOT ZERO and AUTOHEDGE IS NOT ENABLED!</t>
  </si>
  <si>
    <t>2014-11-26 15:55:10.527: RTWSControl  - tickOptionComputation - id:200042 tickType:13 impliedVol:7.99382918640958E-02 delta:-2.91078772730799E-02 optPrice:1.11141483987306E-04 pvDividend:0 gamma: 1.79769313486232E+308 theta/vega/undPrice: -1.48549430862583E-04-9.49837640315336E-05-1.5782</t>
  </si>
  <si>
    <t>2014-11-26 15:55:10.577: RTWSControl  - tickOptionComputation - id:200041 tickType:10 impliedVol:1.79769313486232E+308 delta:0.999986003548504 optPrice:1.31999999284744E-02 pvDividend:0 gamma: -1.59619071069763E-10 theta/vega/undPrice: 8.68726929787961E-08-1.93768612266609E-15-1.5782</t>
  </si>
  <si>
    <t>2014-11-26 15:55:10.620: RTWSControl  - tickOptionComputation - id:200041 tickType:11 impliedVol:8.07516642366432E-02 delta:0.91268462694803 optPrice:1.36000001803041E-02 pvDividend:0 gamma: 1.79769313486232E+308 theta/vega/undPrice: -3.60714774711894E-04-2.15203595593173E-04-1.5782</t>
  </si>
  <si>
    <t>2014-11-26 15:55:10.665: RTWSControl  - tickOptionComputation - id:200041 tickType:13 impliedVol:7.12537630574275E-02 delta:0.937798767751528 optPrice:1.34372261024361E-02 pvDividend:0 gamma: 1.79769313486232E+308 theta/vega/undPrice: -2.45503748979478E-04-1.73811150964353E-04-1.5782</t>
  </si>
  <si>
    <t>2014-11-26 15:55:10.707: RTWSControl  - tickOptionComputation - id:200043 tickType:13 impliedVol:7.12537630574275E-02 delta:-6.23137540974226E-02 optPrice:2.37414861626775E-04 pvDividend:0 gamma: 1.79769313486232E+308 theta/vega/undPrice: -2.45590974903372E-04-1.73811419762483E-04-1.5782</t>
  </si>
  <si>
    <t>2014-11-26 15:55:10.747: RTWSControl  - tickOptionComputation - id:200044 tickType:13 impliedVol:6.53561984071587E-02 delta:0.850301009694149 optPrice:8.82413828860442E-03 pvDividend:0 gamma: 1.79769313486232E+308 theta/vega/undPrice: -4.2835260774438E-04-2.97660819101382E-04-1.5782</t>
  </si>
  <si>
    <t>2014-11-26 15:55:10.791: RTWSControl  - tickOptionComputation - id:200046 tickType:13 impliedVol:6.53561984071587E-02 delta:-0.14981168189457 optPrice:6.24256242057092E-04 pvDividend:0 gamma: 1.79769313486232E+308 theta/vega/undPrice: -4.28407473969879E-04-2.97661107755247E-04-1.5782</t>
  </si>
  <si>
    <t>2014-11-26 15:55:10.834: RTWSControl  - tickOptionComputation - id:200045 tickType:13 impliedVol:6.22455979133179E-02 delta:0.664544835911281 optPrice:4.89771097419761E-03 pvDividend:0 gamma: 1.79769313486232E+308 theta/vega/undPrice: -6.39174910992634E-04-4.45434183865849E-04-1.5782</t>
  </si>
  <si>
    <t>2014-11-26 15:55:10.873: RTWSControl  - tickOptionComputation - id:200047 tickType:13 impliedVol:6.22455979133179E-02 delta:-0.335568326627229 optPrice:1.69775949975535E-03 pvDividend:0 gamma: 1.79769313486232E+308 theta/vega/undPrice: -6.39197984463533E-04-4.45434822905241E-04-1.5782</t>
  </si>
  <si>
    <t>2014-11-26 15:55:10.915: RTWSControl  - tickOptionComputation - id:200055 tickType:13 impliedVol:6.19219615758766E-02 delta:0.406203143909021 optPrice:2.19387305258338E-03 pvDividend:0 gamma: 1.79769313486232E+308 theta/vega/undPrice: -6.79857782979572E-04-4.83319074345573E-04-1.5782</t>
  </si>
  <si>
    <t>2014-11-26 15:55:10.956: RTWSControl  - tickOptionComputation - id:200044 tickType:10 impliedVol:6.11857444057961E-02 delta:0.867388819425877 optPrice:8.70000012218952E-03 pvDividend:0 gamma: 1.79769313486232E+308 theta/vega/undPrice: -3.7114962734905E-04-2.97660947542865E-04-1.5782</t>
  </si>
  <si>
    <t>2014-11-26 15:55:10.998: RTWSControl  - tickOptionComputation - id:200044 tickType:11 impliedVol:7.12643084536108E-02 delta:0.829286603745053 optPrice:8.99999961256981E-03 pvDividend:0 gamma: 1.79769313486232E+308 theta/vega/undPrice: -5.09389628375222E-04-3.1100797884953E-04-1.5782</t>
  </si>
  <si>
    <t>2014-11-26 15:55:11.39: RTWSControl  - tickOptionComputation - id:200049 tickType:13 impliedVol:6.78685213847317E-02 delta:0.688033407220453 optPrice:1.16494869804911E-02 pvDividend:0 gamma: 1.79769313486232E+308 theta/vega/undPrice: -3.29421396549795E-04-9.1414365098152E-04-1.5782</t>
  </si>
  <si>
    <t>2014-11-26 15:55:11.81: RTWSControl  - tickOptionComputation - id:200050 tickType:13 impliedVol:6.78685213847317E-02 delta:-0.312036758652799 optPrice:3.45000702888274E-03 pvDividend:0 gamma: 1.79769313486232E+308 theta/vega/undPrice: -3.29479742174807E-04-9.1414921643101E-04-1.5782</t>
  </si>
  <si>
    <t>2014-11-26 15:55:11.120: RTWSControl  - tickOptionComputation - id:200051 tickType:13 impliedVol:7.05662326926131E-02 delta:-0.31682612764004 optPrice:3.60008625064981E-03 pvDividend:0 gamma: 1.79769313486232E+308 theta/vega/undPrice: -3.46661146611623E-04-8.80565123427133E-04-1.5782</t>
  </si>
  <si>
    <t>2014-11-26 15:55:11.162: RTWSControl  - tickOptionComputation - id:200052 tickType:13 impliedVol:0.119327273810022 delta:-0.520617464156737 optPrice:1.27000000050385E-02 pvDividend:0 gamma: 1.79769313486232E+308 theta/vega/undPrice: -6.55811678373211E-04-9.85186237613958E-04-1.5782</t>
  </si>
  <si>
    <t>2014-11-26 15:55:11.204: RTWSControl  - tickOptionComputation - id:200048 tickType:13 impliedVol:8.39693063522553E-02 delta:-3.17970004747425E-02 optPrice:2.65926246854463E-04 pvDividend:0 gamma: 1.79769313486232E+308 theta/vega/undPrice: -8.1702873998003E-05-2.11894526172141E-04-1.5782</t>
  </si>
  <si>
    <t>2014-11-26 15:55:11.247: RTWSControl  - tickOptionComputation - id:200053 tickType:13 impliedVol:6.40805387871595E-02 delta:8.83067247847022E-02 optPrice:6.57593310037068E-04 pvDividend:0 gamma: 1.79769313486232E+308 theta/vega/undPrice: -1.40469969422009E-04-4.47275790942254E-04-1.5782</t>
  </si>
  <si>
    <t>2014-11-26 15:55:11.287: RTWSControl  - tickOptionComputation - id:200054 tickType:13 impliedVol:7.26053585595388E-02 delta:2.15858272795541E-03 optPrice:1.17008573501404E-05 pvDividend:0 gamma: 0.372723750060535 theta/vega/undPrice: -6.70210906705667E-06-3.2413003061882E-05-1.5782</t>
  </si>
  <si>
    <t>2014-11-26 15:55:11.329: RTWSControl  - tickOptionComputation - id:200045 tickType:10 impliedVol:6.00454463332858E-02 delta:0.670101657506983 optPrice:4.80000022798777E-03 pvDividend:0 gamma: 1.79769313486232E+308 theta/vega/undPrice: -6.12448131842557E-04-4.45434281072085E-04-1.5782</t>
  </si>
  <si>
    <t>2014-11-26 15:55:11.373: RTWSControl  - tickOptionComputation - id:200045 tickType:11 impliedVol:6.45419836585804E-02 delta:0.658985682873181 optPrice:4.99999988824129E-03 pvDividend:0 gamma: 1.79769313486232E+308 theta/vega/undPrice: -0.00066707069832-4.45434079539133E-04-1.5782</t>
  </si>
  <si>
    <t>2014-11-26 15:55:11.419: RTWSControl  - tickOptionComputation - id:200049 tickType:10 impliedVol:6.73271731262814E-02 delta:0.689353636664853 optPrice:1.15999998524785E-02 pvDividend:0 gamma: 1.79769313486232E+308 theta/vega/undPrice: -3.262278986287E-04-9.14143883867707E-04-1.5782</t>
  </si>
  <si>
    <t>2014-11-26 15:55:11.463: RTWSControl  - tickOptionComputation - id:200049 tickType:11 impliedVol:7.06053365987486E-02 delta:0.681166145473002 optPrice:1.19000002741814E-02 pvDividend:0 gamma: 1.79769313486232E+308 theta/vega/undPrice: -3.45566266209329E-04-9.14142451976529E-04-1.5782</t>
  </si>
  <si>
    <t>2014-11-26 15:55:11.507: RTWSControl  - tickOptionComputation - id:200051 tickType:10 impliedVol:6.82866736745179E-02 delta:-0.311270200505248 optPrice:3.40000004507601E-03 pvDividend:0 gamma: 1.79769313486232E+308 theta/vega/undPrice: -3.32945785853819E-04-8.73957500022345E-04-1.5782</t>
  </si>
  <si>
    <t>2014-11-26 15:55:11.574: RTWSControl  - tickOptionComputation - id:200052 tickType:10 impliedVol:1.79769313486232E+308 delta:1.79769313486232E+308 optPrice:1.79769313486232E+308 pvDividend:0 gamma: 1.79769313486232E+308 theta/vega/undPrice: 1.79769313486232E+308-1.79769313486232E+308-1.5782</t>
  </si>
  <si>
    <t>2014-11-26 15:55:11.614: RTWSControl  - tickOptionComputation - id:200052 tickType:11 impliedVol:1.79769313486232E+308 delta:1.79769313486232E+308 optPrice:1.79769313486232E+308 pvDividend:0 gamma: 1.79769313486232E+308 theta/vega/undPrice: 1.79769313486232E+308-1.79769313486232E+308-1.5782</t>
  </si>
  <si>
    <t>2014-11-26 15:55:11.657: RTWSControl  - tickOptionComputation - id:200054 tickType:10 impliedVol:1.79769313486232E+308 delta:1.79769313486232E+308 optPrice:1.79769313486232E+308 pvDividend:0 gamma: 1.79769313486232E+308 theta/vega/undPrice: 1.79769313486232E+308-1.79769313486232E+308-1.5782</t>
  </si>
  <si>
    <t>2014-11-26 15:55:11.906: DirectionIndicator - notify - price/longMA/ShortMA/prevDirection are 1.5782/1.57822142074515/1.5781962880541/-1</t>
  </si>
  <si>
    <t>2014-11-26 15:55:11.906: Algorithm - handleTransition - currentHedgeShortfall is NOT ZERO and AUTOHEDGE IS NOT ENABLED!</t>
  </si>
  <si>
    <t>2014-11-26 15:55:12.205: DirectionIndicator - notify - price/longMA/ShortMA/prevDirection are 1.57815/1.57820843515512/1.57818085870273/-1</t>
  </si>
  <si>
    <t>2014-11-26 15:55:12.206: Algorithm - handleTransition - currentHedgeShortfall is NOT ZERO and AUTOHEDGE IS NOT ENABLED!</t>
  </si>
  <si>
    <t>2014-11-26 15:55:12.498: RTWSControl  - tickOptionComputation - id:200042 tickType:10 impliedVol:8.90531706129059E-02 delta:-4.44172004498647E-02 optPrice:1.99999994947575E-04 pvDividend:0 gamma: 1.79769313486232E+308 theta/vega/undPrice: -2.35883121108143E-04-1.43235096560663E-04-1.5781</t>
  </si>
  <si>
    <t>2014-11-26 15:55:12.572: RTWSControl  - tickOptionComputation - id:200042 tickType:11 impliedVol:8.90531706129059E-02 delta:-4.44172004498647E-02 optPrice:1.99999994947575E-04 pvDividend:0 gamma: 1.79769313486232E+308 theta/vega/undPrice: -2.35883121108143E-04-1.43235096560663E-04-1.5781</t>
  </si>
  <si>
    <t>2014-11-26 15:55:12.624: RTWSControl  - tickOptionComputation - id:200042 tickType:13 impliedVol:7.99382918640958E-02 delta:-2.98495544363186E-02 optPrice:1.14364571452723E-04 pvDividend:0 gamma: 1.79769313486232E+308 theta/vega/undPrice: -1.51663044724286E-04-9.76656761147673E-05-1.5781</t>
  </si>
  <si>
    <t>2014-11-26 15:55:12.665: RTWSControl  - tickOptionComputation - id:200041 tickType:10 impliedVol:5.97440515043823E-02 delta:0.965604651094679 optPrice:1.31999999284744E-02 pvDividend:0 gamma: 1.79769313486232E+308 theta/vega/undPrice: -1.27532304494598E-04-1.21482038368797E-04-1.5781</t>
  </si>
  <si>
    <t>2014-11-26 15:55:12.706: RTWSControl  - tickOptionComputation - id:200041 tickType:11 impliedVol:8.49194872134217E-02 delta:0.899293577922836 optPrice:1.36000001803041E-02 pvDividend:0 gamma: 1.79769313486232E+308 theta/vega/undPrice: -4.20820686152419E-04-2.15196664461232E-04-1.5781</t>
  </si>
  <si>
    <t>2014-11-26 15:55:12.754: RTWSControl  - tickOptionComputation - id:200041 tickType:13 impliedVol:7.12537630574275E-02 delta:0.936438716782189 optPrice:1.33431410140619E-02 pvDividend:0 gamma: 1.79769313486232E+308 theta/vega/undPrice: -2.49808561846395E-04-1.77973938919843E-04-1.5781</t>
  </si>
  <si>
    <t>2014-11-26 15:55:12.795: RTWSControl  - tickOptionComputation - id:200043 tickType:10 impliedVol:6.82231997649816E-02 delta:-5.57334364699823E-02 optPrice:1.99999994947575E-04 pvDividend:0 gamma: 1.79769313486232E+308 theta/vega/undPrice: -2.15140847827252E-04-1.56235303711511E-04-1.5781</t>
  </si>
  <si>
    <t>2014-11-26 15:55:12.841: RTWSControl  - tickOptionComputation - id:200043 tickType:11 impliedVol:7.51375114345632E-02 delta:-7.28941595824168E-02 optPrice:3.00000014249235E-04 pvDividend:0 gamma: 1.79769313486232E+308 theta/vega/undPrice: -2.94433662246828E-04-2.05833186999211E-04-1.5781</t>
  </si>
  <si>
    <t>2014-11-26 15:55:12.910: RTWSControl  - tickOptionComputation - id:200043 tickType:13 impliedVol:7.12537630574275E-02 delta:-6.36738060593679E-02 optPrice:2.43328348553932E-04 pvDividend:0 gamma: 1.79769313486232E+308 theta/vega/undPrice: -2.4989513389152E-04-1.77974211092057E-04-1.5781</t>
  </si>
  <si>
    <t>2014-11-26 15:55:12.955: RTWSControl  - tickOptionComputation - id:200044 tickType:10 impliedVol:6.40059800004663E-02 delta:0.852374633674659 optPrice:8.70000012218952E-03 pvDividend:0 gamma: 1.79769313486232E+308 theta/vega/undPrice: -4.15513289086057E-04-2.97651430601897E-04-1.5781</t>
  </si>
  <si>
    <t>2014-11-26 15:55:12.998: RTWSControl  - tickOptionComputation - id:200044 tickType:11 impliedVol:7.40848662142516E-02 delta:0.817770685914751 optPrice:8.99999961256981E-03 pvDividend:0 gamma: 1.79769313486232E+308 theta/vega/undPrice: -5.5375325138345E-04-3.41756537471975E-04-1.5781</t>
  </si>
  <si>
    <t>2014-11-26 15:55:13.46: RTWSControl  - tickOptionComputation - id:200044 tickType:13 impliedVol:6.53561984071587E-02 delta:0.847225202546293 optPrice:8.74018958537547E-03 pvDividend:0 gamma: 1.79769313486232E+308 theta/vega/undPrice: -4.34032627412766E-04-2.97651389471415E-04-1.5781</t>
  </si>
  <si>
    <t>2014-11-26 15:55:13.86: RTWSControl  - tickOptionComputation - id:200046 tickType:10 impliedVol:6.39766206210702E-02 delta:-0.147494839827912 optPrice:6.00000028498471E-04 pvDividend:0 gamma: 1.79769313486232E+308 theta/vega/undPrice: -4.15164783264118E-04-2.97651720068707E-04-1.5781</t>
  </si>
  <si>
    <t>2014-11-26 15:55:13.131: RTWSControl  - tickOptionComputation - id:200046 tickType:11 impliedVol:7.07478543731178E-02 delta:-0.171853375097935 optPrice:7.999999797903E-04 pvDividend:0 gamma: 1.79769313486232E+308 theta/vega/undPrice: -5.08037862835077E-04-3.14668396811366E-04-1.5781</t>
  </si>
  <si>
    <t>2014-11-26 15:55:13.201: RTWSControl  - tickOptionComputation - id:200046 tickType:13 impliedVol:6.53561984071587E-02 delta:-0.152887492251805 optPrice:6.4030612328058E-04 pvDividend:0 gamma: 1.79769313486232E+308 theta/vega/undPrice: -4.34086845264627E-04-2.97651678243314E-04-1.5781</t>
  </si>
  <si>
    <t>2014-11-26 15:55:13.248: RTWSControl  - tickOptionComputation - id:200045 tickType:13 impliedVol:6.22455979133179E-02 delta:0.659711483839146 optPrice:4.83121458811092E-03 pvDividend:0 gamma: 1.79769313486232E+308 theta/vega/undPrice: -6.42806245393865E-04-4.45420072971025E-04-1.5781</t>
  </si>
  <si>
    <t>2014-11-26 15:55:13.290: RTWSControl  - tickOptionComputation - id:200047 tickType:13 impliedVol:6.22455979133179E-02 delta:-0.340401686532342 optPrice:1.73126172142142E-03 pvDividend:0 gamma: 1.79769313486232E+308 theta/vega/undPrice: -6.42828678413053E-04-4.45420712716557E-04-1.5781</t>
  </si>
  <si>
    <t>2014-11-26 15:55:13.332: RTWSControl  - tickOptionComputation - id:200055 tickType:13 impliedVol:6.19219615758766E-02 delta:0.400930089909711 optPrice:2.14939266585624E-03 pvDividend:0 gamma: 1.79769313486232E+308 theta/vega/undPrice: -6.78515980034098E-04-4.83303765133958E-04-1.5781</t>
  </si>
  <si>
    <t>2014-11-26 15:55:13.370: RTWSControl  - tickOptionComputation - id:200049 tickType:13 impliedVol:6.78685213847317E-02 delta:0.685881196812529 optPrice:1.15828846916146E-02 pvDividend:0 gamma: 1.79769313486232E+308 theta/vega/undPrice: -3.30274013955386E-04-9.14114684914796E-04-1.5781</t>
  </si>
  <si>
    <t>2014-11-26 15:55:13.414: RTWSControl  - tickOptionComputation - id:200050 tickType:13 impliedVol:6.78685213847317E-02 delta:-0.314188983876909 optPrice:3.48339885665907E-03 pvDividend:0 gamma: 1.79769313486232E+308 theta/vega/undPrice: -3.30331719113945E-04-9.1412025609853E-04-1.5781</t>
  </si>
  <si>
    <t>2014-11-26 15:55:13.454: RTWSControl  - tickOptionComputation - id:200051 tickType:13 impliedVol:7.05662326926131E-02 delta:-0.318869746972938 optPrice:3.6318669052146E-03 pvDividend:0 gamma: 1.79769313486232E+308 theta/vega/undPrice: -3.47581478030495E-04-8.8290325833996E-04-1.5781</t>
  </si>
  <si>
    <t>2014-11-26 15:55:13.496: RTWSControl  - tickOptionComputation - id:200052 tickType:13 impliedVol:0.119327273810022 delta:-0.521967620352254 optPrice:1.27521202325633E-02 pvDividend:0 gamma: 1.79769313486232E+308 theta/vega/undPrice: -6.55651298690063E-04-9.84945854849371E-04-1.5781</t>
  </si>
  <si>
    <t>2014-11-26 15:55:13.537: RTWSControl  - tickOptionComputation - id:200048 tickType:13 impliedVol:8.39693063522553E-02 delta:-3.21382911496742E-02 optPrice:2.69123497647898E-04 pvDividend:0 gamma: 1.79769313486232E+308 theta/vega/undPrice: -8.24334294699083E-05-2.14555296473612E-04-1.5781</t>
  </si>
  <si>
    <t>2014-11-26 15:55:13.581: RTWSControl  - tickOptionComputation - id:200053 tickType:13 impliedVol:6.40805387871595E-02 delta:0.087190633537491 optPrice:6.47371506644217E-04 pvDividend:0 gamma: 1.79769313486232E+308 theta/vega/undPrice: -1.3919938782952E-04-4.47261618958165E-04-1.5781</t>
  </si>
  <si>
    <t>2014-11-26 15:55:13.622: RTWSControl  - tickOptionComputation - id:200054 tickType:13 impliedVol:7.26053585595388E-02 delta:2.10316931824667E-03 optPrice:1.13651171641262E-05 pvDividend:0 gamma: 0.364397950537883 theta/vega/undPrice: -6.5515693603196E-06-3.19675818330482E-05-1.5781</t>
  </si>
  <si>
    <t>2014-11-26 15:55:13.663: RTWSControl  - tickOptionComputation - id:200045 tickType:10 impliedVol:6.15448189183881E-02 delta:0.661325777481197 optPrice:4.80000022798777E-03 pvDividend:0 gamma: 1.79769313486232E+308 theta/vega/undPrice: -6.34293664351749E-04-4.45420104063562E-04-1.5781</t>
  </si>
  <si>
    <t>2014-11-26 15:55:13.707: RTWSControl  - tickOptionComputation - id:200045 tickType:11 impliedVol:6.60245536706911E-02 delta:0.651097979445638 optPrice:4.99999988824129E-03 pvDividend:0 gamma: 1.79769313486232E+308 theta/vega/undPrice: -6.88710373996651E-04-4.45419900613288E-04-1.5781</t>
  </si>
  <si>
    <t>2014-11-26 15:55:13.754: RTWSControl  - tickOptionComputation - id:200047 tickType:10 impliedVol:5.92948696796153E-02 delta:-0.332937396843218 optPrice:1.5999999595806E-03 pvDividend:0 gamma: 1.79769313486232E+308 theta/vega/undPrice: -6.06985130022886E-04-4.4542084105174E-04-1.5781</t>
  </si>
  <si>
    <t>2014-11-26 15:55:13.795: RTWSControl  - tickOptionComputation - id:200047 tickType:11 impliedVol:6.37888179034839E-02 delta:-0.343964963213964 optPrice:1.79999996908009E-03 pvDividend:0 gamma: 1.79769313486232E+308 theta/vega/undPrice: -6.61574711798878E-04-4.45420644265507E-04-1.5781</t>
  </si>
  <si>
    <t>2014-11-26 15:55:13.863: RTWSControl  - tickOptionComputation - id:200055 tickType:10 impliedVol:6.08999808448234E-02 delta:0.39918402581631 optPrice:2.09999992512167E-03 pvDividend:0 gamma: 1.79769313486232E+308 theta/vega/undPrice: -6.66903811423686E-04-4.83303815511314E-04-1.5781</t>
  </si>
  <si>
    <t>2014-11-26 15:55:13.909: RTWSControl  - tickOptionComputation - id:200055 tickType:11 impliedVol:6.50381806611229E-02 delta:0.405723038815361 optPrice:2.30000005103648E-03 pvDividend:0 gamma: 1.79769313486232E+308 theta/vega/undPrice: -7.13923732597454E-04-4.83303606894026E-04-1.5781</t>
  </si>
  <si>
    <t>2014-11-26 15:55:13.956: RTWSControl  - tickOptionComputation - id:200049 tickType:10 impliedVol:6.80557548371603E-02 delta:0.685318947781949 optPrice:1.15999998524785E-02 pvDividend:0 gamma: 1.79769313486232E+308 theta/vega/undPrice: -3.31378497866576E-04-9.14114604222157E-04-1.5781</t>
  </si>
  <si>
    <t>2014-11-26 15:55:13.997: RTWSControl  - tickOptionComputation - id:200049 tickType:11 impliedVol:7.13376167086347E-02 delta:0.677393699340758 optPrice:1.19000002741814E-02 pvDividend:0 gamma: 1.79769313486232E+308 theta/vega/undPrice: -3.50738052751772E-04-9.14113162398577E-04-1.5781</t>
  </si>
  <si>
    <t>2014-11-26 15:55:14.44: RTWSControl  - tickOptionComputation - id:200050 tickType:10 impliedVol:6.80402126633689E-02 delta:-0.314585422563733 optPrice:3.50000010803342E-03 pvDividend:0 gamma: 1.79769313486232E+308 theta/vega/undPrice: -3.31344535048931E-04-9.14120183201811E-04-1.5781</t>
  </si>
  <si>
    <t>2014-11-26 15:55:14.86: RTWSControl  - tickOptionComputation - id:200050 tickType:11 impliedVol:7.02303871240432E-02 delta:-0.319960059384509 optPrice:3.70000000111759E-03 pvDividend:0 gamma: 1.79769313486232E+308 theta/vega/undPrice: -3.44264472336013E-04-9.14119240825249E-04-1.5781</t>
  </si>
  <si>
    <t>2014-11-26 15:55:14.152: RTWSControl  - tickOptionComputation - id:200051 tickType:10 impliedVol:6.79292104061358E-02 delta:-0.312479585790438 optPrice:3.40000004507601E-03 pvDividend:0 gamma: 1.79769313486232E+308 theta/vega/undPrice: -3.31737716635106E-04-8.75368954018482E-04-1.5781</t>
  </si>
  <si>
    <t>2014-11-26 15:55:14.201: RTWSControl  - tickOptionComputation - id:200051 tickType:11 impliedVol:7.02052988440978E-02 delta:-0.317985706120043 optPrice:3.59999993816018E-03 pvDividend:0 gamma: 1.79769313486232E+308 theta/vega/undPrice: -3.4541794095732E-04-8.81918288125858E-04-1.5781</t>
  </si>
  <si>
    <t>2014-11-26 15:55:14.246: RTWSControl  - tickOptionComputation - id:200052 tickType:10 impliedVol:1.79769313486232E+308 delta:1.79769313486232E+308 optPrice:1.79769313486232E+308 pvDividend:0 gamma: 1.79769313486232E+308 theta/vega/undPrice: 1.79769313486232E+308-1.79769313486232E+308-1.5781</t>
  </si>
  <si>
    <t>2014-11-26 15:55:14.283: RTWSControl  - tickOptionComputation - id:200052 tickType:11 impliedVol:1.79769313486232E+308 delta:1.79769313486232E+308 optPrice:1.79769313486232E+308 pvDividend:0 gamma: 1.79769313486232E+308 theta/vega/undPrice: 1.79769313486232E+308-1.79769313486232E+308-1.5781</t>
  </si>
  <si>
    <t>2014-11-26 15:55:14.324: RTWSControl  - tickOptionComputation - id:200048 tickType:10 impliedVol:8.00914627184069E-02 delta:-2.57836644637475E-02 optPrice:1.99999994947575E-04 pvDividend:0 gamma: 1.79769313486232E+308 theta/vega/undPrice: -6.55681406168536E-05-1.79291754614394E-04-1.5781</t>
  </si>
  <si>
    <t>2014-11-26 15:55:14.370: RTWSControl  - tickOptionComputation - id:200048 tickType:11 impliedVol:8.56914444696082E-02 delta:-0.034769543833006 optPrice:3.00000014249235E-04 pvDividend:0 gamma: 1.79769313486232E+308 theta/vega/undPrice: -8.99232351153076E-05-2.34055993758162E-04-1.5781</t>
  </si>
  <si>
    <t>2014-11-26 15:55:14.417: RTWSControl  - tickOptionComputation - id:200053 tickType:10 impliedVol:6.30213966615749E-02 delta:8.30870336998878E-02 optPrice:6.00000028498471E-04 pvDividend:0 gamma: 1.79769313486232E+308 theta/vega/undPrice: -1.32347068996097E-04-4.47261825862411E-04-1.5781</t>
  </si>
  <si>
    <t>2014-11-26 15:55:14.454: RTWSControl  - tickOptionComputation - id:200053 tickType:11 impliedVol:6.52753622018507E-02 delta:9.16376270115208E-02 optPrice:6.99999975040555E-04 pvDividend:0 gamma: 1.79769313486232E+308 theta/vega/undPrice: -1.46929515781552E-04-4.47261387818577E-04-1.5781</t>
  </si>
  <si>
    <t>2014-11-26 15:55:14.500: RTWSControl  - tickOptionComputation - id:200054 tickType:10 impliedVol:1.79769313486232E+308 delta:1.79769313486232E+308 optPrice:1.79769313486232E+308 pvDividend:0 gamma: 1.79769313486232E+308 theta/vega/undPrice: 1.79769313486232E+308-1.79769313486232E+308-1.5781</t>
  </si>
  <si>
    <t>2014-11-26 15:55:14.535: RTWSControl  - tickOptionComputation - id:200054 tickType:11 impliedVol:9.17218596941893E-02 delta:1.23863633055643E-02 optPrice:9.99999974737875E-05 pvDividend:0 gamma: 1.79769313486232E+308 theta/vega/undPrice: -4.01610537368036E-05-1.03755773980942E-04-1.5781</t>
  </si>
  <si>
    <t>2014-11-26 15:55:15.163: RTWSControl  - tickOptionComputation - id:200042 tickType:13 impliedVol:7.94312848126424E-02 delta:-2.89889986611368E-02 optPrice:1.09913586506755E-04 pvDividend:0 gamma: 1.79769313486232E+308 theta/vega/undPrice: -1.47100534791314E-04-9.48545358172469E-05-1.5781</t>
  </si>
  <si>
    <t>2014-11-26 15:55:15.238: RTWSControl  - tickOptionComputation - id:200041 tickType:13 impliedVol:7.10215137784473E-02 delta:0.93702269541074 optPrice:1.33398090551735E-02 pvDividend:0 gamma: 1.79769313486232E+308 theta/vega/undPrice: -2.47145147084868E-04-1.76307965182611E-04-1.5781</t>
  </si>
  <si>
    <t>2014-11-26 15:55:15.291: RTWSControl  - tickOptionComputation - id:200043 tickType:13 impliedVol:7.10215137784473E-02 delta:-6.30898270050026E-02 optPrice:2.39996387377705E-04 pvDividend:0 gamma: 1.79769313486232E+308 theta/vega/undPrice: -2.47231716138582E-04-1.76308235586021E-04-1.5781</t>
  </si>
  <si>
    <t>2014-11-26 15:55:15.332: RTWSControl  - tickOptionComputation - id:200044 tickType:13 impliedVol:6.53333149831781E-02 delta:0.847312486912544 optPrice:8.73950845673293E-03 pvDividend:0 gamma: 1.79769313486232E+308 theta/vega/undPrice: -4.33718762771672E-04-2.97651390167951E-04-1.5781</t>
  </si>
  <si>
    <t>2014-11-26 15:55:15.373: RTWSControl  - tickOptionComputation - id:200046 tickType:13 impliedVol:6.53333149831781E-02 delta:-0.152800207794559 optPrice:6.39624993977438E-04 pvDividend:0 gamma: 1.79769313486232E+308 theta/vega/undPrice: -4.33772980026486E-04-2.97651678937339E-04-1.5781</t>
  </si>
  <si>
    <t>2014-11-26 15:55:15.415: RTWSControl  - tickOptionComputation - id:200045 tickType:13 impliedVol:0.062366688426863 delta:0.659421982608032 optPrice:4.83660820525912E-03 pvDividend:0 gamma: 1.79769313486232E+308 theta/vega/undPrice: -6.44277169484142E-04-4.45420067573208E-04-1.5781</t>
  </si>
  <si>
    <t>2014-11-26 15:55:15.457: RTWSControl  - tickOptionComputation - id:200047 tickType:13 impliedVol:0.062366688426863 delta:-0.340691188232176 optPrice:1.73665534630726E-03 pvDividend:0 gamma: 1.79769313486232E+308 theta/vega/undPrice: -6.44299607525343E-04-4.45420707384688E-04-1.5781</t>
  </si>
  <si>
    <t>2014-11-26 15:55:15.502: RTWSControl  - tickOptionComputation - id:200047 tickType:10 impliedVol:6.15437546089038E-02 delta:-0.338658336377241 optPrice:1.70000002253801E-03 pvDividend:0 gamma: 1.79769313486232E+308 theta/vega/undPrice: -6.34303139763288E-04-4.45420743460915E-04-1.5781</t>
  </si>
  <si>
    <t>2014-11-26 15:55:15.546: RTWSControl  - tickOptionComputation - id:200055 tickType:13 impliedVol:6.21216341094737E-02 delta:0.401254915844589 optPrice:2.15904291933034E-03 pvDividend:0 gamma: 1.79769313486232E+308 theta/vega/undPrice: -6.8078474173638E-04-4.83303755205151E-04-1.5781</t>
  </si>
  <si>
    <t>2014-11-26 15:55:15.588: RTWSControl  - tickOptionComputation - id:200049 tickType:13 impliedVol:6.76848234512697E-02 delta:0.686350394770494 optPrice:1.15660925542683E-02 pvDividend:0 gamma: 1.79769313486232E+308 theta/vega/undPrice: -3.29190385722392E-04-9.14114763919161E-04-1.5781</t>
  </si>
  <si>
    <t>2014-11-26 15:55:15.654: RTWSControl  - tickOptionComputation - id:200055 tickType:11 impliedVol:6.29715145280658E-02 delta:0.402563765686833 optPrice:2.19999998807907E-03 pvDividend:0 gamma: 1.79769313486232E+308 theta/vega/undPrice: -6.90441432287574E-04-4.83303712616422E-04-1.5781</t>
  </si>
  <si>
    <t>2014-11-26 15:55:15.701: RTWSControl  - tickOptionComputation - id:200050 tickType:13 impliedVol:6.76848234512697E-02 delta:-0.313719782694852 optPrice:3.46660661724206E-03 pvDividend:0 gamma: 1.79769313486232E+308 theta/vega/undPrice: -3.29248075066164E-04-9.14120333935544E-04-1.5781</t>
  </si>
  <si>
    <t>2014-11-26 15:55:15.742: RTWSControl  - tickOptionComputation - id:200051 tickType:13 impliedVol:7.02052995444316E-02 delta:-0.31802591625445 optPrice:3.60001771794841E-03 pvDividend:0 gamma: 1.79769313486232E+308 theta/vega/undPrice: -3.45417945156824E-04-8.81918290050712E-04-1.5781</t>
  </si>
  <si>
    <t>2014-11-26 15:55:15.784: RTWSControl  - tickOptionComputation - id:200052 tickType:13 impliedVol:0.118788114054088 delta:-0.52210080428272 optPrice:1.26990161988907E-02 pvDividend:0 gamma: 1.79769313486232E+308 theta/vega/undPrice: -6.52676780945964E-04-9.84927687429525E-04-1.5781</t>
  </si>
  <si>
    <t>2014-11-26 15:55:15.826: RTWSControl  - tickOptionComputation - id:200048 tickType:13 impliedVol:8.38288800268039E-02 delta:-3.19185824720598E-02 optPrice:2.66605768007312E-04 pvDividend:0 gamma: 1.79769313486232E+308 theta/vega/undPrice: -8.18226964488746E-05-2.12965172223329E-04-1.5781</t>
  </si>
  <si>
    <t>2014-11-26 15:55:15.870: RTWSControl  - tickOptionComputation - id:200053 tickType:13 impliedVol:6.42262772629607E-02 delta:8.77433180220569E-02 optPrice:6.53889843466878E-04 pvDividend:0 gamma: 1.79769313486232E+308 theta/vega/undPrice: -1.40142269840123E-04-4.47261590636016E-04-1.5781</t>
  </si>
  <si>
    <t>2014-11-26 15:55:15.910: RTWSControl  - tickOptionComputation - id:200054 tickType:13 impliedVol:7.34532414618769E-02 delta:2.43026561821319E-03 optPrice:1.3497817509742E-05 pvDividend:0 gamma: 0.408909350112901 theta/vega/undPrice: -7.52455616169429E-06-3.43668464654093E-05-1.5781</t>
  </si>
  <si>
    <t>2014-11-26 15:55:15.954: RTWSControl  - tickOptionComputation - id:200052 tickType:10 impliedVol:1.79769313486232E+308 delta:1.79769313486232E+308 optPrice:1.79769313486232E+308 pvDividend:0 gamma: 1.79769313486232E+308 theta/vega/undPrice: 1.79769313486232E+308-1.79769313486232E+308-1.5781</t>
  </si>
  <si>
    <t>2014-11-26 15:55:15.990: RTWSControl  - tickOptionComputation - id:200052 tickType:11 impliedVol:1.79769313486232E+308 delta:1.79769313486232E+308 optPrice:1.79769313486232E+308 pvDividend:0 gamma: 1.79769313486232E+308 theta/vega/undPrice: 1.79769313486232E+308-1.79769313486232E+308-1.5781</t>
  </si>
  <si>
    <t>2014-11-26 15:55:16.31: RTWSControl  - tickOptionComputation - id:200054 tickType:10 impliedVol:1.79769313486232E+308 delta:1.79769313486232E+308 optPrice:1.79769313486232E+308 pvDividend:0 gamma: 1.79769313486232E+308 theta/vega/undPrice: 1.79769313486232E+308-1.79769313486232E+308-1.5781</t>
  </si>
  <si>
    <t>2014-11-26 15:55:16.243: RTWSControl  - tickOptionComputation - id:200055 tickType:11 impliedVol:6.50381806611229E-02 delta:0.405723038815361 optPrice:2.30000005103648E-03 pvDividend:0 gamma: 1.79769313486232E+308 theta/vega/undPrice: -7.13923732597454E-04-4.83303606894026E-04-1.5781</t>
  </si>
  <si>
    <t>2014-11-26 15:55:16.653: RTWSControl  - tickOptionComputation - id:200042 tickType:13 impliedVol:7.92592749973551E-02 delta:-0.028694536776715 optPrice:1.08403522435622E-04 pvDividend:0 gamma: 1.79769313486232E+308 theta/vega/undPrice: -1.45552634153356E-04-9.39008138601688E-05-1.5781</t>
  </si>
  <si>
    <t>2014-11-26 15:55:16.708: RTWSControl  - tickOptionComputation - id:200041 tickType:13 impliedVol:0.070867538885409 delta:0.937411971034938 optPrice:1.33376000578985E-02 pvDividend:0 gamma: 1.79769313486232E+308 theta/vega/undPrice: -2.45379376195189E-04-1.75203470312135E-04-1.5781</t>
  </si>
  <si>
    <t>2014-11-26 15:55:16.749: RTWSControl  - tickOptionComputation - id:200043 tickType:13 impliedVol:0.070867538885409 delta:-6.27005510970666E-02 optPrice:2.3778738858941E-04 pvDividend:0 gamma: 1.79769313486232E+308 theta/vega/undPrice: -2.45465943267323E-04-1.75203739542067E-04-1.5781</t>
  </si>
  <si>
    <t>2014-11-26 15:55:16.791: RTWSControl  - tickOptionComputation - id:200044 tickType:13 impliedVol:0.06529288368111 delta:0.847466854159073 optPrice:8.73830501278617E-03 pvDividend:0 gamma: 1.79769313486232E+308 theta/vega/undPrice: -4.33164214805761E-04-2.97651391402544E-04-1.5781</t>
  </si>
  <si>
    <t>2014-11-26 15:55:16.832: RTWSControl  - tickOptionComputation - id:200046 tickType:13 impliedVol:0.06529288368111 delta:-0.152645840387003 optPrice:6.38421548867521E-04 pvDividend:0 gamma: 1.79769313486232E+308 theta/vega/undPrice: -4.33218431007266E-04-2.97651680163658E-04-1.5781</t>
  </si>
  <si>
    <t>2014-11-26 15:55:16.878: RTWSControl  - tickOptionComputation - id:200045 tickType:13 impliedVol:6.25353093844865E-02 delta:0.659020725031269 optPrice:4.84411892471793E-03 pvDividend:0 gamma: 1.79769313486232E+308 theta/vega/undPrice: -6.46325460573209E-04-4.45420060038761E-04-1.5781</t>
  </si>
  <si>
    <t>2014-11-26 15:55:16.920: RTWSControl  - tickOptionComputation - id:200047 tickType:13 impliedVol:6.25353093844865E-02 delta:-0.341092446458876 optPrice:1.74416607654162E-03 pvDividend:0 gamma: 1.79769313486232E+308 theta/vega/undPrice: -6.46347905607909E-04-4.45420699960208E-04-1.5781</t>
  </si>
  <si>
    <t>2014-11-26 15:55:16.965: RTWSControl  - tickOptionComputation - id:200055 tickType:13 impliedVol:6.25948159955101E-02 delta:0.402016488300277 optPrice:2.18191198855318E-03 pvDividend:0 gamma: 1.79769313486232E+308 theta/vega/undPrice: -6.86161229044708E-04-4.83303731557663E-04-1.5781</t>
  </si>
  <si>
    <t>2014-11-26 15:55:17.34: RTWSControl  - tickOptionComputation - id:200052 tickType:10 impliedVol:1.79769313486232E+308 delta:1.79769313486232E+308 optPrice:1.79769313486232E+308 pvDividend:0 gamma: 1.79769313486232E+308 theta/vega/undPrice: 1.79769313486232E+308-1.79769313486232E+308-1.5781</t>
  </si>
  <si>
    <t>2014-11-26 15:55:17.74: RTWSControl  - tickOptionComputation - id:200052 tickType:11 impliedVol:1.79769313486232E+308 delta:1.79769313486232E+308 optPrice:1.79769313486232E+308 pvDividend:0 gamma: 1.79769313486232E+308 theta/vega/undPrice: 1.79769313486232E+308-1.79769313486232E+308-1.5781</t>
  </si>
  <si>
    <t>2014-11-26 15:55:17.115: RTWSControl  - tickOptionComputation - id:200054 tickType:10 impliedVol:1.79769313486232E+308 delta:1.79769313486232E+308 optPrice:1.79769313486232E+308 pvDividend:0 gamma: 1.79769313486232E+308 theta/vega/undPrice: 1.79769313486232E+308-1.79769313486232E+308-1.5781</t>
  </si>
  <si>
    <t>2014-11-26 15:55:20.759: RTWSControl  - tickOptionComputation - id:200052 tickType:10 impliedVol:1.79769313486232E+308 delta:1.79769313486232E+308 optPrice:1.79769313486232E+308 pvDividend:0 gamma: 1.79769313486232E+308 theta/vega/undPrice: 1.79769313486232E+308-1.79769313486232E+308-1.5781</t>
  </si>
  <si>
    <t>2014-11-26 15:55:20.792: RTWSControl  - tickOptionComputation - id:200052 tickType:11 impliedVol:1.79769313486232E+308 delta:1.79769313486232E+308 optPrice:1.79769313486232E+308 pvDividend:0 gamma: 1.79769313486232E+308 theta/vega/undPrice: 1.79769313486232E+308-1.79769313486232E+308-1.5781</t>
  </si>
  <si>
    <t>2014-11-26 15:55:20.858: RTWSControl  - tickOptionComputation - id:200054 tickType:10 impliedVol:1.79769313486232E+308 delta:1.79769313486232E+308 optPrice:1.79769313486232E+308 pvDividend:0 gamma: 1.79769313486232E+308 theta/vega/undPrice: 1.79769313486232E+308-1.79769313486232E+308-1.5781</t>
  </si>
  <si>
    <t>2014-11-26 15:55:22.367: RTWSControl  - tickOptionComputation - id:200042 tickType:13 impliedVol:7.94312848126424E-02 delta:-2.89889986611368E-02 optPrice:1.09913586506755E-04 pvDividend:0 gamma: 1.79769313486232E+308 theta/vega/undPrice: -1.47100534791314E-04-9.48545358172469E-05-1.5781</t>
  </si>
  <si>
    <t>2014-11-26 15:55:22.460: RTWSControl  - tickOptionComputation - id:200041 tickType:13 impliedVol:7.10215137784473E-02 delta:0.93702269541074 optPrice:1.33398090551735E-02 pvDividend:0 gamma: 1.79769313486232E+308 theta/vega/undPrice: -2.47145147084868E-04-1.76307965182611E-04-1.5781</t>
  </si>
  <si>
    <t>2014-11-26 15:55:22.517: RTWSControl  - tickOptionComputation - id:200043 tickType:13 impliedVol:7.10215137784473E-02 delta:-6.30898270050026E-02 optPrice:2.39996387377705E-04 pvDividend:0 gamma: 1.79769313486232E+308 theta/vega/undPrice: -2.47231716138582E-04-1.76308235586021E-04-1.5781</t>
  </si>
  <si>
    <t>2014-11-26 15:55:22.576: RTWSControl  - tickOptionComputation - id:200044 tickType:13 impliedVol:6.53333149831781E-02 delta:0.847312486912544 optPrice:8.73950845673293E-03 pvDividend:0 gamma: 1.79769313486232E+308 theta/vega/undPrice: -4.33718762771672E-04-2.97651390167951E-04-1.5781</t>
  </si>
  <si>
    <t>2014-11-26 15:55:22.618: RTWSControl  - tickOptionComputation - id:200046 tickType:13 impliedVol:6.53333149831781E-02 delta:-0.152800207794559 optPrice:6.39624993977438E-04 pvDividend:0 gamma: 1.79769313486232E+308 theta/vega/undPrice: -4.33772980026486E-04-2.97651678937339E-04-1.5781</t>
  </si>
  <si>
    <t>2014-11-26 15:55:22.660: RTWSControl  - tickOptionComputation - id:200045 tickType:13 impliedVol:0.062366688426863 delta:0.659421982608032 optPrice:4.83660820525912E-03 pvDividend:0 gamma: 1.79769313486232E+308 theta/vega/undPrice: -6.44277169484142E-04-4.45420067573208E-04-1.5781</t>
  </si>
  <si>
    <t>2014-11-26 15:55:22.704: RTWSControl  - tickOptionComputation - id:200047 tickType:13 impliedVol:0.062366688426863 delta:-0.340691188232176 optPrice:1.73665534630726E-03 pvDividend:0 gamma: 1.79769313486232E+308 theta/vega/undPrice: -6.44299607525343E-04-4.45420707384688E-04-1.5781</t>
  </si>
  <si>
    <t>2014-11-26 15:55:22.745: RTWSControl  - tickOptionComputation - id:200055 tickType:11 impliedVol:6.29715145280658E-02 delta:0.402563765686833 optPrice:2.19999998807907E-03 pvDividend:0 gamma: 1.79769313486232E+308 theta/vega/undPrice: -6.90441432287574E-04-4.83303712616422E-04-1.5781</t>
  </si>
  <si>
    <t>2014-11-26 15:55:22.785: RTWSControl  - tickOptionComputation - id:200055 tickType:13 impliedVol:6.21216341094737E-02 delta:0.401254915844589 optPrice:2.15904291933034E-03 pvDividend:0 gamma: 1.79769313486232E+308 theta/vega/undPrice: -6.8078474173638E-04-4.83303755205151E-04-1.5781</t>
  </si>
  <si>
    <t>2014-11-26 15:55:23.20: TransitionLogger - flushFile - flushing file</t>
  </si>
  <si>
    <t>2014-11-26 15:55:23.20: TransitionLogger - openTransitionFile - opening file C:\temp\transitionlog_2014-11-26_155023</t>
  </si>
  <si>
    <t>2014-11-26 15:55:23.446: DirectionIndicator - notify - price/longMA/ShortMA/prevDirection are 1.5781/1.57818871967237/1.57815390580182/-1</t>
  </si>
  <si>
    <t>2014-11-26 15:55:23.446: Algorithm - handleTransition - currentHedgeShortfall is NOT ZERO and AUTOHEDGE IS NOT ENABLED!</t>
  </si>
  <si>
    <t>2014-11-26 15:55:23.489: DirectionIndicator - notify - price/longMA/ShortMA/prevDirection are 1.57805/1.57816349791376/1.57811927053455/-1</t>
  </si>
  <si>
    <t>2014-11-26 15:55:23.490: Algorithm - handleTransition - currentHedgeShortfall is NOT ZERO and AUTOHEDGE IS NOT ENABLED!</t>
  </si>
  <si>
    <t>2014-11-26 15:55:23.989: DirectionIndicator - notify - price/longMA/ShortMA/prevDirection are 1.5781/1.57815195283853/1.57811284702303/-1</t>
  </si>
  <si>
    <t>2014-11-26 15:55:23.989: Algorithm - handleTransition - currentHedgeShortfall is NOT ZERO and AUTOHEDGE IS NOT ENABLED!</t>
  </si>
  <si>
    <t>2014-11-26 15:55:24.72: DirectionIndicator - notify - price/longMA/ShortMA/prevDirection are 1.57805/1.5781334159588/1.57809189801535/-1</t>
  </si>
  <si>
    <t>2014-11-26 15:55:24.72: Algorithm - handleTransition - currentHedgeShortfall is NOT ZERO and AUTOHEDGE IS NOT ENABLED!</t>
  </si>
  <si>
    <t>2014-11-26 15:55:24.378: DirectionIndicator - notify - price/longMA/ShortMA/prevDirection are 1.5781/1.57812734032993/1.5780945986769/-1</t>
  </si>
  <si>
    <t>2014-11-26 15:55:24.379: Algorithm - handleTransition - currentHedgeShortfall is NOT ZERO and AUTOHEDGE IS NOT ENABLED!</t>
  </si>
  <si>
    <t>2014-11-26 15:55:24.567: RTWSControl  - tickOptionComputation - id:200041 tickType:10 impliedVol:9.7346305847168E-03 delta:0.999986003547868 optPrice:1.31000000983477E-02 pvDividend:0 gamma: 3.28921456105792E-09 theta/vega/undPrice: 8.62145653887776E-08-1.06318773229752E-12-1.5781</t>
  </si>
  <si>
    <t>2014-11-26 15:55:24.615: RTWSControl  - tickOptionComputation - id:200041 tickType:11 impliedVol:8.02725871851862E-02 delta:0.912295040911837 optPrice:1.35000003501773E-02 pvDividend:0 gamma: 1.79769313486232E+308 theta/vega/undPrice: -3.59693969006717E-04-2.15196790863608E-04-1.5781</t>
  </si>
  <si>
    <t>2014-11-26 15:55:24.696: RTWSControl  - tickOptionComputation - id:200044 tickType:10 impliedVol:6.06463512625379E-02 delta:0.866472254928239 optPrice:8.60000029206276E-03 pvDividend:0 gamma: 1.79769313486232E+308 theta/vega/undPrice: -3.69433240761837E-04-2.97651532804385E-04-1.5781</t>
  </si>
  <si>
    <t>2014-11-26 15:55:24.750: RTWSControl  - tickOptionComputation - id:200047 tickType:11 impliedVol:6.60338872672451E-02 delta:-0.348908611126571 optPrice:1.9000000320375E-03 pvDividend:0 gamma: 1.79769313486232E+308 theta/vega/undPrice: -6.88846342121081E-04-4.45420542335415E-04-1.5781</t>
  </si>
  <si>
    <t>2014-11-26 15:55:24.791: RTWSControl  - tickOptionComputation - id:200055 tickType:10 impliedVol:5.88467499818207E-02 delta:0.395601546264684 optPrice:2.0000000949949E-03 pvDividend:0 gamma: 1.79769313486232E+308 theta/vega/undPrice: -6.43574141882361E-04-4.83303914452102E-04-1.5781</t>
  </si>
  <si>
    <t>2014-11-26 15:55:24.832: RTWSControl  - tickOptionComputation - id:200049 tickType:11 impliedVol:7.02403621026696E-02 delta:0.679960018475457 optPrice:1.18000004440546E-02 pvDividend:0 gamma: 1.79769313486232E+308 theta/vega/undPrice: -3.44265405749591E-04-9.14113650238005E-04-1.5781</t>
  </si>
  <si>
    <t>2014-11-26 15:55:24.878: RTWSControl  - tickOptionComputation - id:200052 tickType:10 impliedVol:1.79769313486232E+308 delta:1.79769313486232E+308 optPrice:1.79769313486232E+308 pvDividend:0 gamma: 1.79769313486232E+308 theta/vega/undPrice: 1.79769313486232E+308-1.79769313486232E+308-1.5781</t>
  </si>
  <si>
    <t>2014-11-26 15:55:24.910: RTWSControl  - tickOptionComputation - id:200052 tickType:11 impliedVol:1.79769313486232E+308 delta:1.79769313486232E+308 optPrice:1.79769313486232E+308 pvDividend:0 gamma: 1.79769313486232E+308 theta/vega/undPrice: 1.79769313486232E+308-1.79769313486232E+308-1.5781</t>
  </si>
  <si>
    <t>2014-11-26 15:55:24.954: RTWSControl  - tickOptionComputation - id:200054 tickType:10 impliedVol:1.79769313486232E+308 delta:1.79769313486232E+308 optPrice:1.79769313486232E+308 pvDividend:0 gamma: 1.79769313486232E+308 theta/vega/undPrice: 1.79769313486232E+308-1.79769313486232E+308-1.5781</t>
  </si>
  <si>
    <t>2014-11-26 15:55:26.613: RTWSControl  - tickOptionComputation - id:200042 tickType:13 impliedVol:7.97598280569787E-02 delta:-2.95478931334094E-02 optPrice:1.12797848268382E-04 pvDividend:0 gamma: 1.79769313486232E+308 theta/vega/undPrice: -1.5005706534652E-04-9.66761695958157E-05-1.5781</t>
  </si>
  <si>
    <t>2014-11-26 15:55:26.665: RTWSControl  - tickOptionComputation - id:200041 tickType:13 impliedVol:7.12563958662713E-02 delta:0.936432118583669 optPrice:1.33431787855926E-02 pvDividend:0 gamma: 1.79769313486232E+308 theta/vega/undPrice: -2.4983875467142E-04-1.77992824620207E-04-1.5781</t>
  </si>
  <si>
    <t>2014-11-26 15:55:26.708: RTWSControl  - tickOptionComputation - id:200043 tickType:13 impliedVol:7.12563958662713E-02 delta:-6.36804042627239E-02 optPrice:2.43366120110471E-04 pvDividend:0 gamma: 1.79769313486232E+308 theta/vega/undPrice: -2.49925326750396E-04-1.77993096812564E-04-1.5781</t>
  </si>
  <si>
    <t>2014-11-26 15:55:26.749: RTWSControl  - tickOptionComputation - id:200044 tickType:13 impliedVol:6.54124511106033E-02 delta:0.847010897783274 optPrice:8.74186395575997E-03 pvDividend:0 gamma: 1.79769313486232E+308 theta/vega/undPrice: -4.34804178665763E-04-2.97651387758389E-04-1.5781</t>
  </si>
  <si>
    <t>2014-11-26 15:55:26.795: RTWSControl  - tickOptionComputation - id:200046 tickType:13 impliedVol:6.54124511106033E-02 delta:-0.153101797238218 optPrice:6.41980495287018E-04 pvDividend:0 gamma: 1.79769313486232E+308 theta/vega/undPrice: -4.34858397984684E-04-2.97651676537758E-04-1.5781</t>
  </si>
  <si>
    <t>2014-11-26 15:55:26.839: RTWSControl  - tickOptionComputation - id:200045 tickType:13 impliedVol:6.22279937899748E-02 delta:0.659753665850516 optPrice:4.83043046473388E-03 pvDividend:0 gamma: 1.79769313486232E+308 theta/vega/undPrice: -6.42592402633642E-04-4.4542007375806E-04-1.5781</t>
  </si>
  <si>
    <t>2014-11-26 15:55:26.904: RTWSControl  - tickOptionComputation - id:200047 tickType:13 impliedVol:6.22279937899748E-02 delta:-0.340359504452591 optPrice:1.73047759692197E-03 pvDividend:0 gamma: 1.79769313486232E+308 theta/vega/undPrice: -6.42614834923882E-04-4.45420713489994E-04-1.5781</t>
  </si>
  <si>
    <t>2014-11-26 15:55:26.955: RTWSControl  - tickOptionComputation - id:200055 tickType:13 impliedVol:6.17030239043856E-02 delta:0.40057152998867 optPrice:2.13881132034506E-03 pvDividend:0 gamma: 1.79769313486232E+308 theta/vega/undPrice: -6.76028319745413E-04-4.83303775988298E-04-1.5781</t>
  </si>
  <si>
    <t>2014-11-26 15:55:26.994: RTWSControl  - tickOptionComputation - id:200049 tickType:13 impliedVol:6.77138719627202E-02 delta:0.686276028208905 optPrice:1.15687479276954E-02 pvDividend:0 gamma: 1.79769313486232E+308 theta/vega/undPrice: -3.29361741977559E-04-9.14114751434273E-04-1.5781</t>
  </si>
  <si>
    <t>2014-11-26 15:55:27.37: RTWSControl  - tickOptionComputation - id:200050 tickType:13 impliedVol:6.77138719627202E-02 delta:-0.313794149767419 optPrice:3.46926200680707E-03 pvDividend:0 gamma: 1.79769313486232E+308 theta/vega/undPrice: -3.29419433821674E-04-9.14120321638933E-04-1.5781</t>
  </si>
  <si>
    <t>2014-11-26 15:55:27.77: RTWSControl  - tickOptionComputation - id:200048 tickType:13 impliedVol:8.38064139705246E-02 delta:-3.18833638867458E-02 optPrice:2.66202969898688E-04 pvDividend:0 gamma: 1.79769313486232E+308 theta/vega/undPrice: -8.17249885353218E-05-2.12710776735687E-04-1.5781</t>
  </si>
  <si>
    <t>2014-11-26 15:55:27.120: RTWSControl  - tickOptionComputation - id:200053 tickType:13 impliedVol:6.42374687389626E-02 delta:0.087785656194934 optPrice:6.54390396303564E-04 pvDividend:0 gamma: 1.79769313486232E+308 theta/vega/undPrice: -1.40214675158697E-04-4.47261588462964E-04-1.5781</t>
  </si>
  <si>
    <t>2014-11-26 15:55:27.160: RTWSControl  - tickOptionComputation - id:200054 tickType:13 impliedVol:7.33772042992449E-02 delta:2.40123992441553E-03 optPrice:1.33065594419003E-05 pvDividend:0 gamma: 0.405005613034318 theta/vega/undPrice: -7.43729984859629E-06-3.41516832247014E-05-1.5781</t>
  </si>
  <si>
    <t>2014-11-26 15:55:27.206: RTWSControl  - tickOptionComputation - id:200052 tickType:10 impliedVol:1.79769313486232E+308 delta:1.79769313486232E+308 optPrice:1.79769313486232E+308 pvDividend:0 gamma: 1.79769313486232E+308 theta/vega/undPrice: 1.79769313486232E+308-1.79769313486232E+308-1.5781</t>
  </si>
  <si>
    <t>2014-11-26 15:55:27.241: RTWSControl  - tickOptionComputation - id:200052 tickType:11 impliedVol:1.79769313486232E+308 delta:1.79769313486232E+308 optPrice:1.79769313486232E+308 pvDividend:0 gamma: 1.79769313486232E+308 theta/vega/undPrice: 1.79769313486232E+308-1.79769313486232E+308-1.5781</t>
  </si>
  <si>
    <t>2014-11-26 15:55:27.283: RTWSControl  - tickOptionComputation - id:200054 tickType:10 impliedVol:1.79769313486232E+308 delta:1.79769313486232E+308 optPrice:1.79769313486232E+308 pvDividend:0 gamma: 1.79769313486232E+308 theta/vega/undPrice: 1.79769313486232E+308-1.79769313486232E+308-1.5781</t>
  </si>
  <si>
    <t>2014-11-26 15:55:27.300: DirectionIndicator - notify - price/longMA/ShortMA/prevDirection are 1.57815/1.57813146026994/1.5781130657846/-1</t>
  </si>
  <si>
    <t>2014-11-26 15:55:27.301: Algorithm - handleTransition - currentHedgeShortfall is NOT ZERO and AUTOHEDGE IS NOT ENABLED!</t>
  </si>
  <si>
    <t>2014-11-26 15:55:28.489: RTWSControl  - tickOptionComputation - id:200041 tickType:10 impliedVol:5.97440515043823E-02 delta:0.965604651094679 optPrice:1.31999999284744E-02 pvDividend:0 gamma: 1.79769313486232E+308 theta/vega/undPrice: -1.27532304494598E-04-1.21482038368797E-04-1.5781</t>
  </si>
  <si>
    <t>2014-11-26 15:55:28.606: RTWSControl  - tickOptionComputation - id:200044 tickType:10 impliedVol:6.40059800004663E-02 delta:0.852374633674659 optPrice:8.70000012218952E-03 pvDividend:0 gamma: 1.79769313486232E+308 theta/vega/undPrice: -4.15513289086057E-04-2.97651430601897E-04-1.5781</t>
  </si>
  <si>
    <t>2014-11-26 15:55:28.665: RTWSControl  - tickOptionComputation - id:200055 tickType:10 impliedVol:6.08999808448234E-02 delta:0.39918402581631 optPrice:2.09999992512167E-03 pvDividend:0 gamma: 1.79769313486232E+308 theta/vega/undPrice: -6.66903811423686E-04-4.83303815511314E-04-1.5781</t>
  </si>
  <si>
    <t>2014-11-26 15:55:28.704: RTWSControl  - tickOptionComputation - id:200049 tickType:11 impliedVol:7.13376167086347E-02 delta:0.677393699340758 optPrice:1.19000002741814E-02 pvDividend:0 gamma: 1.79769313486232E+308 theta/vega/undPrice: -3.50738052751772E-04-9.14113162398577E-04-1.5781</t>
  </si>
  <si>
    <t>2014-11-26 15:55:28.753: RTWSControl  - tickOptionComputation - id:200052 tickType:10 impliedVol:1.79769313486232E+308 delta:1.79769313486232E+308 optPrice:1.79769313486232E+308 pvDividend:0 gamma: 1.79769313486232E+308 theta/vega/undPrice: 1.79769313486232E+308-1.79769313486232E+308-1.5781</t>
  </si>
  <si>
    <t>2014-11-26 15:55:28.785: RTWSControl  - tickOptionComputation - id:200052 tickType:11 impliedVol:1.79769313486232E+308 delta:1.79769313486232E+308 optPrice:1.79769313486232E+308 pvDividend:0 gamma: 1.79769313486232E+308 theta/vega/undPrice: 1.79769313486232E+308-1.79769313486232E+308-1.5781</t>
  </si>
  <si>
    <t>2014-11-26 15:55:28.830: RTWSControl  - tickOptionComputation - id:200054 tickType:10 impliedVol:1.79769313486232E+308 delta:1.79769313486232E+308 optPrice:1.79769313486232E+308 pvDividend:0 gamma: 1.79769313486232E+308 theta/vega/undPrice: 1.79769313486232E+308-1.79769313486232E+308-1.5781</t>
  </si>
  <si>
    <t>2014-11-26 15:55:28.947: DirectionIndicator - notify - price/longMA/ShortMA/prevDirection are 1.5782/1.57814392203904/1.5781420438564/-1</t>
  </si>
  <si>
    <t>2014-11-26 15:55:28.948: Algorithm - handleTransition - currentHedgeShortfall is NOT ZERO and AUTOHEDGE IS NOT ENABLED!</t>
  </si>
  <si>
    <t>2014-11-26 15:55:29.411: DirectionIndicator - notify - price/longMA/ShortMA/prevDirection are 1.57815/1.57814502712285/1.57814469590427/-1</t>
  </si>
  <si>
    <t>2014-11-26 15:55:29.414: Algorithm - handleTransition - currentHedgeShortfall is NOT ZERO and AUTOHEDGE IS NOT ENABLED!</t>
  </si>
  <si>
    <t>2014-11-26 15:55:30.369: RTWSControl  - tickOptionComputation - id:200042 tickType:13 impliedVol:7.97598280569787E-02 delta:-2.88045658433322E-02 optPrice:1.09574711158059E-04 pvDividend:0 gamma: 1.79769313486232E+308 theta/vega/undPrice: -1.46943400595995E-04-9.39942261360569E-05-1.5782</t>
  </si>
  <si>
    <t>2014-11-26 15:55:30.421: RTWSControl  - tickOptionComputation - id:200041 tickType:13 impliedVol:7.12563958662713E-02 delta:0.937792119515705 optPrice:1.34372638751634E-02 pvDividend:0 gamma: 1.79769313486232E+308 theta/vega/undPrice: -2.45533942761036E-04-1.73830037263588E-04-1.5782</t>
  </si>
  <si>
    <t>2014-11-26 15:55:30.466: RTWSControl  - tickOptionComputation - id:200043 tickType:13 impliedVol:7.12563958662713E-02 delta:-6.23204023381456E-02 optPrice:2.37452634379966E-04 pvDividend:0 gamma: 1.79769313486232E+308 theta/vega/undPrice: -2.45621168718792E-04-1.73830306081794E-04-1.5782</t>
  </si>
  <si>
    <t>2014-11-26 15:55:30.530: RTWSControl  - tickOptionComputation - id:200044 tickType:13 impliedVol:6.54124511106033E-02 delta:0.850084066412219 optPrice:8.82581271204312E-03 pvDividend:0 gamma: 1.79769313486232E+308 theta/vega/undPrice: -4.29124183444855E-04-2.9766081736809E-04-1.5782</t>
  </si>
  <si>
    <t>2014-11-26 15:55:30.579: RTWSControl  - tickOptionComputation - id:200046 tickType:13 impliedVol:6.54124511106033E-02 delta:-0.150028625402652 optPrice:6.25930667117973E-04 pvDividend:0 gamma: 1.79769313486232E+308 theta/vega/undPrice: -4.29179051137483E-04-2.97661106029424E-04-1.5782</t>
  </si>
  <si>
    <t>2014-11-26 15:55:30.620: RTWSControl  - tickOptionComputation - id:200045 tickType:13 impliedVol:6.22279937899748E-02 delta:0.664588383880039 optPrice:4.89692682597742E-03 pvDividend:0 gamma: 1.79769313486232E+308 theta/vega/undPrice: -6.38961061457315E-04-4.4543418465705E-04-1.5782</t>
  </si>
  <si>
    <t>2014-11-26 15:55:30.662: RTWSControl  - tickOptionComputation - id:200047 tickType:13 impliedVol:6.22279937899748E-02 delta:-0.335524778587863 optPrice:1.6969753504128E-03 pvDividend:0 gamma: 1.79769313486232E+308 theta/vega/undPrice: -6.38984134199234E-04-4.45434823692724E-04-1.5782</t>
  </si>
  <si>
    <t>2014-11-26 15:55:30.704: RTWSControl  - tickOptionComputation - id:200055 tickType:13 impliedVol:6.17030239043856E-02 delta:0.405863300518698 optPrice:2.18329137190488E-03 pvDividend:0 gamma: 1.79769313486232E+308 theta/vega/undPrice: -6.77370043893515E-04-4.83319085182284E-04-1.5782</t>
  </si>
  <si>
    <t>2014-11-26 15:55:30.744: RTWSControl  - tickOptionComputation - id:200049 tickType:13 impliedVol:6.77138719627202E-02 delta:0.688433142903555 optPrice:1.16353497685356E-02 pvDividend:0 gamma: 1.79769313486232E+308 theta/vega/undPrice: -3.28509095659347E-04-9.14143717653871E-04-1.5782</t>
  </si>
  <si>
    <t>2014-11-26 15:55:30.787: RTWSControl  - tickOptionComputation - id:200050 tickType:13 impliedVol:6.77138719627202E-02 delta:-0.311637020223229 optPrice:3.43586973099278E-03 pvDividend:0 gamma: 1.79769313486232E+308 theta/vega/undPrice: -3.2856742797134E-04-9.14149282123277E-04-1.5782</t>
  </si>
  <si>
    <t>2014-11-26 15:55:30.829: RTWSControl  - tickOptionComputation - id:200051 tickType:13 impliedVol:7.02052995444316E-02 delta:-0.315974110337975 optPrice:3.56832183737678E-03 pvDividend:0 gamma: 1.79769313486232E+308 theta/vega/undPrice: -3.44493812921667E-04-8.79558432406491E-04-1.5782</t>
  </si>
  <si>
    <t>2014-11-26 15:55:30.868: RTWSControl  - tickOptionComputation - id:200052 tickType:13 impliedVol:0.118788114054088 delta:-0.520744543676058 optPrice:1.26468829479809E-02 pvDividend:0 gamma: 1.79769313486232E+308 theta/vega/undPrice: -6.52837696098736E-04-9.85169969074433E-04-1.5782</t>
  </si>
  <si>
    <t>2014-11-26 15:55:30.909: RTWSControl  - tickOptionComputation - id:200048 tickType:13 impliedVol:8.38064139705246E-02 delta:-3.15414179407017E-02 optPrice:2.63005626574671E-04 pvDividend:0 gamma: 1.79769313486232E+308 theta/vega/undPrice: -8.09944106208634E-05-2.10049947893306E-04-1.5782</t>
  </si>
  <si>
    <t>2014-11-26 15:55:30.953: RTWSControl  - tickOptionComputation - id:200053 tickType:13 impliedVol:6.42374687389626E-02 delta:8.88990031741594E-02 optPrice:6.64612421987335E-04 pvDividend:0 gamma: 1.79769313486232E+308 theta/vega/undPrice: -1.41485288905723E-04-4.47275760670464E-04-1.5782</t>
  </si>
  <si>
    <t>2014-11-26 15:55:30.995: RTWSControl  - tickOptionComputation - id:200054 tickType:13 impliedVol:7.33772042992449E-02 delta:2.45606141630549E-03 optPrice:1.36423611008311E-05 pvDividend:0 gamma: 0.413152592175002 theta/vega/undPrice: -7.58786760068755E-06-3.45971736450811E-05-1.5782</t>
  </si>
  <si>
    <t>2014-11-26 15:55:31.113: RTWSControl  - tickOptionComputation - id:200042 tickType:13 impliedVol:0.078627532038098 delta:-2.68480178039391E-02 optPrice:9.96340356823784E-05 pvDividend:0 gamma: 1.79769313486232E+308 theta/vega/undPrice: -1.36753648838876E-04-8.77921517774673E-05-1.5782</t>
  </si>
  <si>
    <t>2014-11-26 15:55:31.164: RTWSControl  - tickOptionComputation - id:200042 tickType:10 impliedVol:8.94820392899833E-02 delta:-4.42824700855512E-02 optPrice:1.99999994947575E-04 pvDividend:0 gamma: 1.79769313486232E+308 theta/vega/undPrice: -2.36495936588618E-04-1.43239626033858E-04-1.5782</t>
  </si>
  <si>
    <t>2014-11-26 15:55:31.206: RTWSControl  - tickOptionComputation - id:200042 tickType:11 impliedVol:8.94820392899833E-02 delta:-4.42824700855512E-02 optPrice:1.99999994947575E-04 pvDividend:0 gamma: 1.79769313486232E+308 theta/vega/undPrice: -2.36495936588618E-04-1.43239626033858E-04-1.5782</t>
  </si>
  <si>
    <t>2014-11-26 15:55:31.254: RTWSControl  - tickOptionComputation - id:200041 tickType:13 impliedVol:7.01875163688896E-02 delta:0.940532276789612 optPrice:1.34219287337912E-02 pvDividend:0 gamma: 1.79769313486232E+308 theta/vega/undPrice: -2.33275735434977E-04-1.66162492358646E-04-1.5782</t>
  </si>
  <si>
    <t>2014-11-26 15:55:31.297: RTWSControl  - tickOptionComputation - id:200041 tickType:10 impliedVol:1.79769313486232E+308 delta:0.999986003548504 optPrice:1.31999999284744E-02 pvDividend:0 gamma: -1.59619071069763E-10 theta/vega/undPrice: 8.68726929787961E-08-1.93768612266609E-15-1.5782</t>
  </si>
  <si>
    <t>2014-11-26 15:55:31.341: RTWSControl  - tickOptionComputation - id:200041 tickType:11 impliedVol:8.07516642366432E-02 delta:0.91268462694803 optPrice:1.36000001803041E-02 pvDividend:0 gamma: 1.79769313486232E+308 theta/vega/undPrice: -3.60714774711894E-04-2.15203595593173E-04-1.5782</t>
  </si>
  <si>
    <t>2014-11-26 15:55:31.409: RTWSControl  - tickOptionComputation - id:200043 tickType:13 impliedVol:7.01875163688896E-02 delta:-5.95802430664432E-02 optPrice:2.22117482481841E-04 pvDividend:0 gamma: 1.79769313486232E+308 theta/vega/undPrice: -2.33362947626859E-04-1.66162753033434E-04-1.5782</t>
  </si>
  <si>
    <t>2014-11-26 15:55:31.457: RTWSControl  - tickOptionComputation - id:200043 tickType:10 impliedVol:6.86338754814358E-02 delta:-5.54378910626391E-02 optPrice:1.99999994947575E-04 pvDividend:0 gamma: 1.79769313486232E+308 theta/vega/undPrice: -2.15545338080511E-04-1.55017785852291E-04-1.5782</t>
  </si>
  <si>
    <t>2014-11-26 15:55:31.499: RTWSControl  - tickOptionComputation - id:200043 tickType:11 impliedVol:7.56160286076755E-02 delta:-7.26837080747221E-02 optPrice:3.00000014249235E-04 pvDividend:0 gamma: 1.79769313486232E+308 theta/vega/undPrice: -2.95618684201869E-04-2.05103894583708E-04-1.5782</t>
  </si>
  <si>
    <t>2014-11-26 15:55:31.546: RTWSControl  - tickOptionComputation - id:200044 tickType:13 impliedVol:6.46195657710393E-02 delta:0.853176838585877 optPrice:8.80221160904144E-03 pvDividend:0 gamma: 1.79769313486232E+308 theta/vega/undPrice: -4.18248775360249E-04-2.97660841807988E-04-1.5782</t>
  </si>
  <si>
    <t>2014-11-26 15:55:31.588: RTWSControl  - tickOptionComputation - id:200044 tickType:10 impliedVol:6.11857444057961E-02 delta:0.867388819425877 optPrice:8.70000012218952E-03 pvDividend:0 gamma: 1.79769313486232E+308 theta/vega/undPrice: -3.7114962734905E-04-2.97660947542865E-04-1.5782</t>
  </si>
  <si>
    <t>2014-11-26 15:55:31.633: RTWSControl  - tickOptionComputation - id:200044 tickType:11 impliedVol:7.12643084536108E-02 delta:0.829286603745053 optPrice:8.99999961256981E-03 pvDividend:0 gamma: 1.79769313486232E+308 theta/vega/undPrice: -5.09389628375222E-04-3.1100797884953E-04-1.5782</t>
  </si>
  <si>
    <t>2014-11-26 15:55:31.701: RTWSControl  - tickOptionComputation - id:200046 tickType:13 impliedVol:6.46195657710393E-02 delta:-0.146935850005183 optPrice:6.0232954126361E-04 pvDividend:0 gamma: 1.79769313486232E+308 theta/vega/undPrice: -4.18303622378689E-04-2.9766113035857E-04-1.5782</t>
  </si>
  <si>
    <t>2014-11-26 15:55:31.747: RTWSControl  - tickOptionComputation - id:200046 tickType:10 impliedVol:6.45137226929289E-02 delta:-0.146498702481893 optPrice:6.00000028498471E-04 pvDividend:0 gamma: 1.79769313486232E+308 theta/vega/undPrice: -4.16851850099316E-04-2.97661133605138E-04-1.5782</t>
  </si>
  <si>
    <t>2014-11-26 15:55:31.790: RTWSControl  - tickOptionComputation - id:200046 tickType:11 impliedVol:7.12841701601609E-02 delta:-0.170764087804312 optPrice:7.999999797903E-04 pvDividend:0 gamma: 1.79769313486232E+308 theta/vega/undPrice: -5.09717077345707E-04-3.11170003029154E-04-1.5782</t>
  </si>
  <si>
    <t>2014-11-26 15:55:31.838: RTWSControl  - tickOptionComputation - id:200045 tickType:13 impliedVol:6.19236802446039E-02 delta:0.665345111333446 optPrice:4.88337165351434E-03 pvDividend:0 gamma: 1.79769313486232E+308 theta/vega/undPrice: -6.35264352945043E-04-4.45434198257834E-04-1.5782</t>
  </si>
  <si>
    <t>2014-11-26 15:55:31.879: RTWSControl  - tickOptionComputation - id:200045 tickType:10 impliedVol:6.00454463332858E-02 delta:0.670101657506983 optPrice:4.80000022798777E-03 pvDividend:0 gamma: 1.79769313486232E+308 theta/vega/undPrice: -6.12448131842557E-04-4.45434281072085E-04-1.5782</t>
  </si>
  <si>
    <t>2014-11-26 15:55:31.922: RTWSControl  - tickOptionComputation - id:200045 tickType:11 impliedVol:6.45419836585804E-02 delta:0.658985682873181 optPrice:4.99999988824129E-03 pvDividend:0 gamma: 1.79769313486232E+308 theta/vega/undPrice: -0.00066707069832-4.45434079539133E-04-1.5782</t>
  </si>
  <si>
    <t>2014-11-26 15:55:31.994: RTWSControl  - tickOptionComputation - id:200047 tickType:13 impliedVol:6.19236802446039E-02 delta:-0.334768049909159 optPrice:1.6834201585022E-03 pvDividend:0 gamma: 1.79769313486232E+308 theta/vega/undPrice: -6.35287413065176E-04-4.45434837295036E-04-1.5782</t>
  </si>
  <si>
    <t>2014-11-26 15:55:32.39: RTWSControl  - tickOptionComputation - id:200047 tickType:10 impliedVol:6.22776580128392E-02 delta:-0.335605134977411 optPrice:1.70000002253801E-03 pvDividend:0 gamma: 1.79769313486232E+308 theta/vega/undPrice: -6.39587442126049E-04-4.45434821468904E-04-1.5782</t>
  </si>
  <si>
    <t>2014-11-26 15:55:32.82: RTWSControl  - tickOptionComputation - id:200047 tickType:11 impliedVol:6.67927415980985E-02 delta:-0.345999901084785 optPrice:1.9000000320375E-03 pvDividend:0 gamma: 1.79769313486232E+308 theta/vega/undPrice: -6.94435459292088E-04-4.45434615639081E-04-1.5782</t>
  </si>
  <si>
    <t>2014-11-26 15:55:32.129: RTWSControl  - tickOptionComputation - id:200055 tickType:13 impliedVol:6.20998597894982E-02 delta:0.40647753707844 optPrice:2.20247121680599E-03 pvDividend:0 gamma: 1.79769313486232E+308 theta/vega/undPrice: -6.818791999079E-04-4.83319065515434E-04-1.5782</t>
  </si>
  <si>
    <t>2014-11-26 15:55:32.168: RTWSControl  - tickOptionComputation - id:200055 tickType:10 impliedVol:5.99797027902397E-02 delta:0.403051563545509 optPrice:2.09999992512167E-03 pvDividend:0 gamma: 1.79769313486232E+308 theta/vega/undPrice: -6.57788331968042E-04-4.833191692839E-04-1.5782</t>
  </si>
  <si>
    <t>2014-11-26 15:55:32.213: RTWSControl  - tickOptionComputation - id:200055 tickType:11 impliedVol:6.20487294371669E-02 delta:0.406347450685556 optPrice:2.19999998807907E-03 pvDividend:0 gamma: 1.79769313486232E+308 theta/vega/undPrice: -6.81298217357607E-04-4.83319068054132E-04-1.5782</t>
  </si>
  <si>
    <t>2014-11-26 15:55:32.282: RTWSControl  - tickOptionComputation - id:200049 tickType:13 impliedVol:6.75623784604262E-02 delta:0.68882651546328 optPrice:1.16215010527086E-02 pvDividend:0 gamma: 1.79769313486232E+308 theta/vega/undPrice: -3.27615411870817E-04-9.14143782857551E-04-1.5782</t>
  </si>
  <si>
    <t>2014-11-26 15:55:32.331: RTWSControl  - tickOptionComputation - id:200049 tickType:10 impliedVol:6.73271731262814E-02 delta:0.689353636664853 optPrice:1.15999998524785E-02 pvDividend:0 gamma: 1.79769313486232E+308 theta/vega/undPrice: -3.262278986287E-04-9.14143883867707E-04-1.5782</t>
  </si>
  <si>
    <t>2014-11-26 15:55:32.374: RTWSControl  - tickOptionComputation - id:200049 tickType:11 impliedVol:7.06053365987486E-02 delta:0.681166145473002 optPrice:1.19000002741814E-02 pvDividend:0 gamma: 1.79769313486232E+308 theta/vega/undPrice: -3.45566266209329E-04-9.14142451976529E-04-1.5782</t>
  </si>
  <si>
    <t>2014-11-26 15:55:32.420: RTWSControl  - tickOptionComputation - id:200050 tickType:13 impliedVol:6.75623784604262E-02 delta:-0.311243644960697 optPrice:3.42202093099039E-03 pvDividend:0 gamma: 1.79769313486232E+308 theta/vega/undPrice: -3.27673731142076E-04-9.14149346361685E-04-1.5782</t>
  </si>
  <si>
    <t>2014-11-26 15:55:32.461: RTWSControl  - tickOptionComputation - id:200051 tickType:13 impliedVol:7.05662326926131E-02 delta:-0.31682612764004 optPrice:3.60008625064981E-03 pvDividend:0 gamma: 1.79769313486232E+308 theta/vega/undPrice: -3.46661146611623E-04-8.80565123427133E-04-1.5782</t>
  </si>
  <si>
    <t>2014-11-26 15:55:32.504: RTWSControl  - tickOptionComputation - id:200052 tickType:13 impliedVol:0.119327273810022 delta:-0.520617464156737 optPrice:1.27000000050385E-02 pvDividend:0 gamma: 1.79769313486232E+308 theta/vega/undPrice: -6.55811678373211E-04-9.85186237613958E-04-1.5782</t>
  </si>
  <si>
    <t>2014-11-26 15:55:32.569: RTWSControl  - tickOptionComputation - id:200050 tickType:10 impliedVol:6.84046066838493E-02 delta:-0.313368660097333 optPrice:3.50000010803342E-03 pvDividend:0 gamma: 1.79769313486232E+308 theta/vega/undPrice: -3.32642237267377E-04-9.14148987823872E-04-1.5782</t>
  </si>
  <si>
    <t>2014-11-26 15:55:32.617: RTWSControl  - tickOptionComputation - id:200050 tickType:11 impliedVol:7.06032231753039E-02 delta:-0.318772595913532 optPrice:3.70000000111759E-03 pvDividend:0 gamma: 1.79769313486232E+308 theta/vega/undPrice: -3.45612379899798E-04-9.14148035735722E-04-1.5782</t>
  </si>
  <si>
    <t>2014-11-26 15:55:32.666: RTWSControl  - tickOptionComputation - id:200048 tickType:13 impliedVol:8.41164937330205E-02 delta:-3.20270870173865E-02 optPrice:2.68565280116453E-04 pvDividend:0 gamma: 1.79769313486232E+308 theta/vega/undPrice: -8.23430319723459E-05-2.13561262233342E-04-1.5782</t>
  </si>
  <si>
    <t>2014-11-26 15:55:32.714: RTWSControl  - tickOptionComputation - id:200053 tickType:13 impliedVol:6.39900309921622E-02 delta:8.79638181636441E-02 optPrice:6.53545106532467E-04 pvDividend:0 gamma: 1.79769313486232E+308 theta/vega/undPrice: -1.39884393915071E-04-4.47275808420561E-04-1.5782</t>
  </si>
  <si>
    <t>2014-11-26 15:55:32.751: RTWSControl  - tickOptionComputation - id:200054 tickType:13 impliedVol:7.33994513282354E-02 delta:2.46454311713935E-03 optPrice:1.36983213502255E-05 pvDividend:0 gamma: 0.414291446154965 theta/vega/undPrice: -7.61339794881598E-06-3.46601283164426E-05-1.5782</t>
  </si>
  <si>
    <t>2014-11-26 15:55:32.788: RTWSControl  - tickOptionComputation - id:200048 tickType:10 impliedVol:8.02626294999752E-02 delta:-2.57201519402132E-02 optPrice:1.99999994947575E-04 pvDividend:0 gamma: 1.79769313486232E+308 theta/vega/undPrice: -6.55815038057357E-05-1.79297417957683E-04-1.5782</t>
  </si>
  <si>
    <t>2014-11-26 15:55:32.832: RTWSControl  - tickOptionComputation - id:200048 tickType:11 impliedVol:8.58697110290952E-02 delta:-3.47024905245085E-02 optPrice:3.00000014249235E-04 pvDividend:0 gamma: 1.79769313486232E+308 theta/vega/undPrice: -8.99682456915165E-05-2.33414512849356E-04-1.5782</t>
  </si>
  <si>
    <t>2014-11-26 15:55:32.876: RTWSControl  - tickOptionComputation - id:200053 tickType:10 impliedVol:6.27928961343139E-02 delta:8.33250396597641E-02 optPrice:6.00000028498471E-04 pvDividend:0 gamma: 1.79769313486232E+308 theta/vega/undPrice: -1.32139059006656E-04-4.47276040899394E-04-1.5782</t>
  </si>
  <si>
    <t>2014-11-26 15:55:32.918: RTWSControl  - tickOptionComputation - id:200053 tickType:11 impliedVol:6.50502232769987E-02 delta:9.19092905701579E-02 optPrice:6.99999975040555E-04 pvDividend:0 gamma: 1.79769313486232E+308 theta/vega/undPrice: -1.4674371926418E-04-4.47275604552502E-04-1.5782</t>
  </si>
  <si>
    <t>2014-11-26 15:55:32.985: RTWSControl  - tickOptionComputation - id:200054 tickType:10 impliedVol:1.79769313486232E+308 delta:1.79769313486232E+308 optPrice:1.79769313486232E+308 pvDividend:0 gamma: 1.79769313486232E+308 theta/vega/undPrice: 1.79769313486232E+308-1.79769313486232E+308-1.5782</t>
  </si>
  <si>
    <t>2014-11-26 15:55:33.1: RTWSControl  - tickOptionComputation - id:200054 tickType:11 impliedVol:9.15651305014409E-02 delta:1.24090577370368E-02 optPrice:9.99999974737875E-05 pvDividend:0 gamma: 1.79769313486232E+308 theta/vega/undPrice: -4.01560749564493E-05-1.03759071407921E-04-1.5782</t>
  </si>
  <si>
    <t>2014-11-26 15:55:33.73: RTWSControl  - tickOptionComputation - id:200051 tickType:10 impliedVol:6.82866736745179E-02 delta:-0.311270200505248 optPrice:3.40000004507601E-03 pvDividend:0 gamma: 1.79769313486232E+308 theta/vega/undPrice: -3.32945785853819E-04-8.73957500022345E-04-1.5782</t>
  </si>
  <si>
    <t>2014-11-26 15:55:33.120: RTWSControl  - tickOptionComputation - id:200051 tickType:11 impliedVol:7.05662319819086E-02 delta:-0.316786069171658 optPrice:3.59999993816018E-03 pvDividend:0 gamma: 1.79769313486232E+308 theta/vega/undPrice: -3.46661142345529E-04-8.80565121458955E-04-1.5782</t>
  </si>
  <si>
    <t>2014-11-26 15:55:33.168: RTWSControl  - tickOptionComputation - id:200052 tickType:10 impliedVol:1.79769313486232E+308 delta:1.79769313486232E+308 optPrice:1.79769313486232E+308 pvDividend:0 gamma: 1.79769313486232E+308 theta/vega/undPrice: 1.79769313486232E+308-1.79769313486232E+308-1.5782</t>
  </si>
  <si>
    <t>2014-11-26 15:55:33.203: RTWSControl  - tickOptionComputation - id:200052 tickType:11 impliedVol:1.79769313486232E+308 delta:1.79769313486232E+308 optPrice:1.79769313486232E+308 pvDividend:0 gamma: 1.79769313486232E+308 theta/vega/undPrice: 1.79769313486232E+308-1.79769313486232E+308-1.5782</t>
  </si>
  <si>
    <t>2014-11-26 15:55:33.657: DirectionIndicator - notify - price/longMA/ShortMA/prevDirection are 1.5781/1.57813684037324/1.57812979726951/-1</t>
  </si>
  <si>
    <t>2014-11-26 15:55:33.657: Algorithm - handleTransition - currentHedgeShortfall is NOT ZERO and AUTOHEDGE IS NOT ENABLED!</t>
  </si>
  <si>
    <t>2014-11-26 15:55:33.829: RTWSControl  - tickOptionComputation - id:200042 tickType:13 impliedVol:0.078627532038098 delta:-2.76019891574722E-02 optPrice:1.02857487788521E-04 pvDividend:0 gamma: 1.79769313486232E+308 theta/vega/undPrice: -1.39867636477841E-04-9.03980650173556E-05-1.5781</t>
  </si>
  <si>
    <t>2014-11-26 15:55:33.906: RTWSControl  - tickOptionComputation - id:200041 tickType:13 impliedVol:7.01875163688896E-02 delta:0.939151652876475 optPrice:1.33278441300427E-02 pvDividend:0 gamma: 1.79769313486232E+308 theta/vega/undPrice: -2.37580935689427E-04-1.70325522830087E-04-1.5781</t>
  </si>
  <si>
    <t>2014-11-26 15:55:33.953: RTWSControl  - tickOptionComputation - id:200043 tickType:13 impliedVol:7.01875163688896E-02 delta:-6.09608679871715E-02 optPrice:2.28031454035103E-04 pvDividend:0 gamma: 1.79769313486232E+308 theta/vega/undPrice: -2.37667494003017E-04-1.70325786879232E-04-1.5781</t>
  </si>
  <si>
    <t>2014-11-26 15:55:33.995: RTWSControl  - tickOptionComputation - id:200044 tickType:13 impliedVol:6.46195657710393E-02 delta:0.850066055920091 optPrice:8.71826360057281E-03 pvDividend:0 gamma: 1.79769313486232E+308 theta/vega/undPrice: -4.23929115174668E-04-2.97651411911945E-04-1.5781</t>
  </si>
  <si>
    <t>2014-11-26 15:55:34.38: RTWSControl  - tickOptionComputation - id:200046 tickType:13 impliedVol:6.46195657710393E-02 delta:-0.150046635916803 optPrice:6.18380117247717E-04 pvDividend:0 gamma: 1.79769313486232E+308 theta/vega/undPrice: -4.2398331382002E-04-2.9765170058078E-04-1.5781</t>
  </si>
  <si>
    <t>2014-11-26 15:55:34.79: RTWSControl  - tickOptionComputation - id:200045 tickType:13 impliedVol:6.19236802446039E-02 delta:0.660486657938897 optPrice:4.81687572172093E-03 pvDividend:0 gamma: 1.79769313486232E+308 theta/vega/undPrice: -6.3889581123919E-04-4.45420087288282E-04-1.5781</t>
  </si>
  <si>
    <t>2014-11-26 15:55:34.120: RTWSControl  - tickOptionComputation - id:200047 tickType:13 impliedVol:6.19236802446039E-02 delta:-0.339626511177331 optPrice:1.71692283446225E-03 pvDividend:0 gamma: 1.79769313486232E+308 theta/vega/undPrice: -6.38918230908027E-04-4.45420726851923E-04-1.5781</t>
  </si>
  <si>
    <t>2014-11-26 15:55:34.162: RTWSControl  - tickOptionComputation - id:200055 tickType:13 impliedVol:6.20998597894982E-02 delta:0.401219594046965 optPrice:2.15799055773799E-03 pvDividend:0 gamma: 1.79769313486232E+308 theta/vega/undPrice: -6.80537332935455E-04-4.8330375628897E-04-1.5781</t>
  </si>
  <si>
    <t>2014-11-26 15:55:34.201: RTWSControl  - tickOptionComputation - id:200049 tickType:13 impliedVol:6.75623784604262E-02 delta:0.686664574794458 optPrice:1.15548996507635E-02 pvDividend:0 gamma: 1.79769313486232E+308 theta/vega/undPrice: -3.28468086511764E-04-9.14114816488605E-04-1.5781</t>
  </si>
  <si>
    <t>2014-11-26 15:55:34.246: RTWSControl  - tickOptionComputation - id:200050 tickType:13 impliedVol:6.75623784604262E-02 delta:-0.313405600512145 optPrice:3.45541364570259E-03 pvDividend:0 gamma: 1.79769313486232E+308 theta/vega/undPrice: -3.2852576531546E-04-9.14120385727869E-04-1.5781</t>
  </si>
  <si>
    <t>2014-11-26 15:55:34.285: RTWSControl  - tickOptionComputation - id:200051 tickType:13 impliedVol:7.05662326926131E-02 delta:-0.318869746972938 optPrice:3.6318669052146E-03 pvDividend:0 gamma: 1.79769313486232E+308 theta/vega/undPrice: -3.47581478030495E-04-8.8290325833996E-04-1.5781</t>
  </si>
  <si>
    <t>2014-11-26 15:55:34.325: RTWSControl  - tickOptionComputation - id:200052 tickType:13 impliedVol:0.119327273810022 delta:-0.521967620352254 optPrice:1.27521202325633E-02 pvDividend:0 gamma: 1.79769313486232E+308 theta/vega/undPrice: -6.55651298690063E-04-9.84945854849371E-04-1.5781</t>
  </si>
  <si>
    <t>2014-11-26 15:55:34.368: RTWSControl  - tickOptionComputation - id:200048 tickType:13 impliedVol:8.41164937330205E-02 delta:-3.23677877803503E-02 optPrice:2.71762447300444E-04 pvDividend:0 gamma: 1.79769313486232E+308 theta/vega/undPrice: -8.30735671628653E-05-2.1622197964073E-04-1.5781</t>
  </si>
  <si>
    <t>2014-11-26 15:55:34.411: RTWSControl  - tickOptionComputation - id:200053 tickType:13 impliedVol:6.39900309921622E-02 delta:8.68461380668845E-02 optPrice:6.43323431342103E-04 pvDividend:0 gamma: 1.79769313486232E+308 theta/vega/undPrice: -1.38613830867162E-04-4.47261636565335E-04-1.5781</t>
  </si>
  <si>
    <t>2014-11-26 15:55:34.453: RTWSControl  - tickOptionComputation - id:200054 tickType:13 impliedVol:7.33994513282354E-02 delta:2.40973850159054E-03 optPrice:1.33625179193019E-05 pvDividend:0 gamma: 0.406149536972628 theta/vega/undPrice: -7.46282938830098E-06-3.42146359016072E-05-1.5781</t>
  </si>
  <si>
    <t>2014-11-26 15:55:34.571: RTWSControl  - tickOptionComputation - id:200042 tickType:10 impliedVol:8.90531706129059E-02 delta:-4.44172004498647E-02 optPrice:1.99999994947575E-04 pvDividend:0 gamma: 1.79769313486232E+308 theta/vega/undPrice: -2.35883121108143E-04-1.43235096560663E-04-1.5781</t>
  </si>
  <si>
    <t>2014-11-26 15:55:34.621: RTWSControl  - tickOptionComputation - id:200042 tickType:11 impliedVol:8.90531706129059E-02 delta:-4.44172004498647E-02 optPrice:1.99999994947575E-04 pvDividend:0 gamma: 1.79769313486232E+308 theta/vega/undPrice: -2.35883121108143E-04-1.43235096560663E-04-1.5781</t>
  </si>
  <si>
    <t>2014-11-26 15:55:34.669: RTWSControl  - tickOptionComputation - id:200041 tickType:10 impliedVol:5.97440515043823E-02 delta:0.965604651094679 optPrice:1.31999999284744E-02 pvDividend:0 gamma: 1.79769313486232E+308 theta/vega/undPrice: -1.27532304494598E-04-1.21482038368797E-04-1.5781</t>
  </si>
  <si>
    <t>2014-11-26 15:55:34.711: RTWSControl  - tickOptionComputation - id:200041 tickType:11 impliedVol:8.02725871851862E-02 delta:0.912295040911837 optPrice:1.35000003501773E-02 pvDividend:0 gamma: 1.79769313486232E+308 theta/vega/undPrice: -3.59693969006717E-04-2.15196790863608E-04-1.5781</t>
  </si>
  <si>
    <t>2014-11-26 15:55:34.778: RTWSControl  - tickOptionComputation - id:200043 tickType:10 impliedVol:6.82231997649816E-02 delta:-5.57334364699823E-02 optPrice:1.99999994947575E-04 pvDividend:0 gamma: 1.79769313486232E+308 theta/vega/undPrice: -2.15140847827252E-04-1.56235303711511E-04-1.5781</t>
  </si>
  <si>
    <t>2014-11-26 15:55:34.830: RTWSControl  - tickOptionComputation - id:200043 tickType:11 impliedVol:7.51375114345632E-02 delta:-7.28941595824168E-02 optPrice:3.00000014249235E-04 pvDividend:0 gamma: 1.79769313486232E+308 theta/vega/undPrice: -2.94433662246828E-04-2.05833186999211E-04-1.5781</t>
  </si>
  <si>
    <t>2014-11-26 15:55:34.874: RTWSControl  - tickOptionComputation - id:200044 tickType:10 impliedVol:6.06463512625379E-02 delta:0.866472254928239 optPrice:8.60000029206276E-03 pvDividend:0 gamma: 1.79769313486232E+308 theta/vega/undPrice: -3.69433240761837E-04-2.97651532804385E-04-1.5781</t>
  </si>
  <si>
    <t>2014-11-26 15:55:34.915: RTWSControl  - tickOptionComputation - id:200044 tickType:11 impliedVol:7.40848662142516E-02 delta:0.817770685914751 optPrice:8.99999961256981E-03 pvDividend:0 gamma: 1.79769313486232E+308 theta/vega/undPrice: -5.5375325138345E-04-3.41756537471975E-04-1.5781</t>
  </si>
  <si>
    <t>2014-11-26 15:55:34.961: RTWSControl  - tickOptionComputation - id:200046 tickType:10 impliedVol:6.39766206210702E-02 delta:-0.147494839827912 optPrice:6.00000028498471E-04 pvDividend:0 gamma: 1.79769313486232E+308 theta/vega/undPrice: -4.15164783264118E-04-2.97651720068707E-04-1.5781</t>
  </si>
  <si>
    <t>2014-11-26 15:55:35.4: RTWSControl  - tickOptionComputation - id:200046 tickType:11 impliedVol:7.07478543731178E-02 delta:-0.171853375097935 optPrice:7.999999797903E-04 pvDividend:0 gamma: 1.79769313486232E+308 theta/vega/undPrice: -5.08037862835077E-04-3.14668396811366E-04-1.5781</t>
  </si>
  <si>
    <t>2014-11-26 15:55:35.71: RTWSControl  - tickOptionComputation - id:200045 tickType:10 impliedVol:6.15448189183881E-02 delta:0.661325777481197 optPrice:4.80000022798777E-03 pvDividend:0 gamma: 1.79769313486232E+308 theta/vega/undPrice: -6.34293664351749E-04-4.45420104063562E-04-1.5781</t>
  </si>
  <si>
    <t>2014-11-26 15:55:35.120: RTWSControl  - tickOptionComputation - id:200045 tickType:11 impliedVol:6.60245536706911E-02 delta:0.651097979445638 optPrice:4.99999988824129E-03 pvDividend:0 gamma: 1.79769313486232E+308 theta/vega/undPrice: -6.88710373996651E-04-4.45419900613288E-04-1.5781</t>
  </si>
  <si>
    <t>2014-11-26 15:55:35.165: RTWSControl  - tickOptionComputation - id:200047 tickType:10 impliedVol:6.15437546089038E-02 delta:-0.338658336377241 optPrice:1.70000002253801E-03 pvDividend:0 gamma: 1.79769313486232E+308 theta/vega/undPrice: -6.34303139763288E-04-4.45420743460915E-04-1.5781</t>
  </si>
  <si>
    <t>2014-11-26 15:55:35.206: RTWSControl  - tickOptionComputation - id:200047 tickType:11 impliedVol:6.60338872672451E-02 delta:-0.348908611126571 optPrice:1.9000000320375E-03 pvDividend:0 gamma: 1.79769313486232E+308 theta/vega/undPrice: -6.88846342121081E-04-4.45420542335415E-04-1.5781</t>
  </si>
  <si>
    <t>2014-11-26 15:55:35.253: RTWSControl  - tickOptionComputation - id:200055 tickType:10 impliedVol:5.88467499818207E-02 delta:0.395601546264684 optPrice:2.0000000949949E-03 pvDividend:0 gamma: 1.79769313486232E+308 theta/vega/undPrice: -6.43574141882361E-04-4.83303914452102E-04-1.5781</t>
  </si>
  <si>
    <t>2014-11-26 15:55:35.293: RTWSControl  - tickOptionComputation - id:200055 tickType:11 impliedVol:6.29715145280658E-02 delta:0.402563765686833 optPrice:2.19999998807907E-03 pvDividend:0 gamma: 1.79769313486232E+308 theta/vega/undPrice: -6.90441432287574E-04-4.83303712616422E-04-1.5781</t>
  </si>
  <si>
    <t>2014-11-26 15:55:35.359: RTWSControl  - tickOptionComputation - id:200049 tickType:10 impliedVol:6.80557548371603E-02 delta:0.685318947781949 optPrice:1.15999998524785E-02 pvDividend:0 gamma: 1.79769313486232E+308 theta/vega/undPrice: -3.31378497866576E-04-9.14114604222157E-04-1.5781</t>
  </si>
  <si>
    <t>2014-11-26 15:55:35.411: RTWSControl  - tickOptionComputation - id:200049 tickType:11 impliedVol:7.02403621026696E-02 delta:0.679960018475457 optPrice:1.18000004440546E-02 pvDividend:0 gamma: 1.79769313486232E+308 theta/vega/undPrice: -3.44265405749591E-04-9.14113650238005E-04-1.5781</t>
  </si>
  <si>
    <t>2014-11-26 15:55:35.457: RTWSControl  - tickOptionComputation - id:200050 tickType:10 impliedVol:6.80402126633689E-02 delta:-0.314585422563733 optPrice:3.50000010803342E-03 pvDividend:0 gamma: 1.79769313486232E+308 theta/vega/undPrice: -3.31344535048931E-04-9.14120183201811E-04-1.5781</t>
  </si>
  <si>
    <t>2014-11-26 15:55:35.495: RTWSControl  - tickOptionComputation - id:200050 tickType:11 impliedVol:7.02303871240432E-02 delta:-0.319960059384509 optPrice:3.70000000111759E-03 pvDividend:0 gamma: 1.79769313486232E+308 theta/vega/undPrice: -3.44264472336013E-04-9.14119240825249E-04-1.5781</t>
  </si>
  <si>
    <t>2014-11-26 15:55:35.541: RTWSControl  - tickOptionComputation - id:200051 tickType:10 impliedVol:6.79292104061358E-02 delta:-0.312479585790438 optPrice:3.40000004507601E-03 pvDividend:0 gamma: 1.79769313486232E+308 theta/vega/undPrice: -3.31737716635106E-04-8.75368954018482E-04-1.5781</t>
  </si>
  <si>
    <t>2014-11-26 15:55:35.585: RTWSControl  - tickOptionComputation - id:200051 tickType:11 impliedVol:7.02052988440978E-02 delta:-0.317985706120043 optPrice:3.59999993816018E-03 pvDividend:0 gamma: 1.79769313486232E+308 theta/vega/undPrice: -3.4541794095732E-04-8.81918288125858E-04-1.5781</t>
  </si>
  <si>
    <t>2014-11-26 15:55:35.652: RTWSControl  - tickOptionComputation - id:200052 tickType:10 impliedVol:1.79769313486232E+308 delta:1.79769313486232E+308 optPrice:1.79769313486232E+308 pvDividend:0 gamma: 1.79769313486232E+308 theta/vega/undPrice: 1.79769313486232E+308-1.79769313486232E+308-1.5781</t>
  </si>
  <si>
    <t>2014-11-26 15:55:35.670: RTWSControl  - tickOptionComputation - id:200052 tickType:11 impliedVol:1.79769313486232E+308 delta:1.79769313486232E+308 optPrice:1.79769313486232E+308 pvDividend:0 gamma: 1.79769313486232E+308 theta/vega/undPrice: 1.79769313486232E+308-1.79769313486232E+308-1.5781</t>
  </si>
  <si>
    <t>2014-11-26 15:55:35.732: RTWSControl  - tickOptionComputation - id:200048 tickType:10 impliedVol:8.00914627184069E-02 delta:-2.57836644637475E-02 optPrice:1.99999994947575E-04 pvDividend:0 gamma: 1.79769313486232E+308 theta/vega/undPrice: -6.55681406168536E-05-1.79291754614394E-04-1.5781</t>
  </si>
  <si>
    <t>2014-11-26 15:55:35.785: RTWSControl  - tickOptionComputation - id:200048 tickType:11 impliedVol:8.56914444696082E-02 delta:-0.034769543833006 optPrice:3.00000014249235E-04 pvDividend:0 gamma: 1.79769313486232E+308 theta/vega/undPrice: -8.99232351153076E-05-2.34055993758162E-04-1.5781</t>
  </si>
  <si>
    <t>2014-11-26 15:55:35.832: RTWSControl  - tickOptionComputation - id:200053 tickType:10 impliedVol:6.30213966615749E-02 delta:8.30870336998878E-02 optPrice:6.00000028498471E-04 pvDividend:0 gamma: 1.79769313486232E+308 theta/vega/undPrice: -1.32347068996097E-04-4.47261825862411E-04-1.5781</t>
  </si>
  <si>
    <t>2014-11-26 15:55:35.871: RTWSControl  - tickOptionComputation - id:200053 tickType:11 impliedVol:6.52753622018507E-02 delta:9.16376270115208E-02 optPrice:6.99999975040555E-04 pvDividend:0 gamma: 1.79769313486232E+308 theta/vega/undPrice: -1.46929515781552E-04-4.47261387818577E-04-1.5781</t>
  </si>
  <si>
    <t>2014-11-26 15:55:35.916: RTWSControl  - tickOptionComputation - id:200054 tickType:10 impliedVol:1.79769313486232E+308 delta:1.79769313486232E+308 optPrice:1.79769313486232E+308 pvDividend:0 gamma: 1.79769313486232E+308 theta/vega/undPrice: 1.79769313486232E+308-1.79769313486232E+308-1.5781</t>
  </si>
  <si>
    <t>2014-11-26 15:55:35.950: RTWSControl  - tickOptionComputation - id:200054 tickType:11 impliedVol:9.17218596941893E-02 delta:1.23863633055643E-02 optPrice:9.99999974737875E-05 pvDividend:0 gamma: 1.79769313486232E+308 theta/vega/undPrice: -4.01610537368036E-05-1.03755773980942E-04-1.5781</t>
  </si>
  <si>
    <t>2014-11-26 15:55:36.1: DirectionIndicator - notify - price/longMA/ShortMA/prevDirection are 1.57815/1.57813923303265/1.57813653151301/-1</t>
  </si>
  <si>
    <t>2014-11-26 15:55:36.1: Algorithm - handleTransition - currentHedgeShortfall is NOT ZERO and AUTOHEDGE IS NOT ENABLED!</t>
  </si>
  <si>
    <t>2014-11-26 15:55:36.497: DirectionIndicator - notify - price/longMA/ShortMA/prevDirection are 1.5782/1.57815028157217/1.57815768767534/-1</t>
  </si>
  <si>
    <t>2014-11-26 15:55:36.497: Algorithm - handleTransition - currentHedgeShortfall is NOT ZERO and AUTOHEDGE IS NOT ENABLED!</t>
  </si>
  <si>
    <t>2014-11-26 15:55:36.539: DirectionIndicator - notify - price/longMA/ShortMA/prevDirection are 1.57825/1.57816841219541/1.57818845845023/-1</t>
  </si>
  <si>
    <t>2014-11-26 15:55:36.540: Algorithm - handleTransition - currentHedgeShortfall is NOT ZERO and AUTOHEDGE IS NOT ENABLED!</t>
  </si>
  <si>
    <t>2014-11-26 15:55:37.489: RTWSControl  - tickOptionComputation - id:200042 tickType:13 impliedVol:7.92832083017885E-02 delta:-2.87355846077143E-02 optPrice:1.08613631512301E-04 pvDividend:0 gamma: 1.79769313486232E+308 theta/vega/undPrice: -1.45768007779691E-04-9.40335139522058E-05-1.5781</t>
  </si>
  <si>
    <t>2014-11-26 15:55:37.539: RTWSControl  - tickOptionComputation - id:200041 tickType:10 impliedVol:1.79769313486232E+308 delta:1.79769313486232E+308 optPrice:1.32999997586012E-02 pvDividend:0 gamma: 1.79769313486232E+308 theta/vega/undPrice: 1.79769313486232E+308-1.79769313486232E+308-1.5781</t>
  </si>
  <si>
    <t>2014-11-26 15:55:37.576: RTWSControl  - tickOptionComputation - id:200041 tickType:11 impliedVol:8.95663899513102E-02 delta:0.887644491713322 optPrice:1.37000000104308E-02 pvDividend:0 gamma: 1.79769313486232E+308 theta/vega/undPrice: -4.81947376764294E-04-2.48092748314274E-04-1.5781</t>
  </si>
  <si>
    <t>2014-11-26 15:55:37.624: RTWSControl  - tickOptionComputation - id:200041 tickType:13 impliedVol:7.12036952153596E-02 delta:0.936564287051959 optPrice:1.33424227169317E-02 pvDividend:0 gamma: 1.79769313486232E+308 theta/vega/undPrice: -2.49234388145651E-04-1.77614791592364E-04-1.5781</t>
  </si>
  <si>
    <t>2014-11-26 15:55:37.664: RTWSControl  - tickOptionComputation - id:200043 tickType:13 impliedVol:7.12036952153596E-02 delta:-6.35482356981417E-02 optPrice:2.4261005093398E-04 pvDividend:0 gamma: 1.79769313486232E+308 theta/vega/undPrice: -2.49320959547479E-04-1.77615063380328E-04-1.5781</t>
  </si>
  <si>
    <t>2014-11-26 15:55:37.707: RTWSControl  - tickOptionComputation - id:200044 tickType:10 impliedVol:6.73656087386301E-02 delta:0.839686317991127 optPrice:8.79999995231628E-03 pvDividend:0 gamma: 1.79769313486232E+308 theta/vega/undPrice: -4.6159330748342E-04-2.9765132819912E-04-1.5781</t>
  </si>
  <si>
    <t>2014-11-26 15:55:37.753: RTWSControl  - tickOptionComputation - id:200044 tickType:11 impliedVol:7.74445285754485E-02 delta:0.808242993942781 optPrice:9.10000037401915E-03 pvDividend:0 gamma: 1.79769313486232E+308 theta/vega/undPrice: -5.99833636514724E-04-3.69029313606349E-04-1.5781</t>
  </si>
  <si>
    <t>2014-11-26 15:55:37.801: RTWSControl  - tickOptionComputation - id:200044 tickType:13 impliedVol:6.55476323288582E-02 delta:0.846497408480578 optPrice:8.74588764551375E-03 pvDividend:0 gamma: 1.79769313486232E+308 theta/vega/undPrice: -4.36658298203399E-04-2.97651383634977E-04-1.5781</t>
  </si>
  <si>
    <t>2014-11-26 15:55:37.871: RTWSControl  - tickOptionComputation - id:200046 tickType:13 impliedVol:6.55476323288582E-02 delta:-0.153615287076025 optPrice:6.4600418893356E-04 pvDividend:0 gamma: 1.79769313486232E+308 theta/vega/undPrice: -4.3671252104546E-04-2.97651672504909E-04-1.5781</t>
  </si>
  <si>
    <t>2014-11-26 15:55:37.914: RTWSControl  - tickOptionComputation - id:200045 tickType:10 impliedVol:6.37846862916125E-02 delta:0.65603118787318 optPrice:4.90000005811453E-03 pvDividend:0 gamma: 1.79769313486232E+308 theta/vega/undPrice: -6.61502026821035E-04-4.45420003734798E-04-1.5781</t>
  </si>
  <si>
    <t>2014-11-26 15:55:37.954: RTWSControl  - tickOptionComputation - id:200045 tickType:11 impliedVol:6.82800260535384E-02 delta:0.646459547848415 optPrice:5.10000018402934E-03 pvDividend:0 gamma: 1.79769313486232E+308 theta/vega/undPrice: -7.16108263839281E-04-4.45419793953323E-04-1.5781</t>
  </si>
  <si>
    <t>2014-11-26 15:55:38.1: RTWSControl  - tickOptionComputation - id:200045 tickType:13 impliedVol:6.23150196422841E-02 delta:0.659545373068595 optPrice:4.83430677277282E-03 pvDividend:0 gamma: 1.79769313486232E+308 theta/vega/undPrice: -6.43649532709853E-04-4.45420069878284E-04-1.5781</t>
  </si>
  <si>
    <t>2014-11-26 15:55:38.45: RTWSControl  - tickOptionComputation - id:200047 tickType:10 impliedVol:5.92948696796153E-02 delta:-0.332937396843218 optPrice:1.5999999595806E-03 pvDividend:0 gamma: 1.79769313486232E+308 theta/vega/undPrice: -6.06985130022886E-04-4.4542084105174E-04-1.5781</t>
  </si>
  <si>
    <t>2014-11-26 15:55:38.87: RTWSControl  - tickOptionComputation - id:200047 tickType:11 impliedVol:6.37888179034839E-02 delta:-0.343964963213964 optPrice:1.79999996908009E-03 pvDividend:0 gamma: 1.79769313486232E+308 theta/vega/undPrice: -6.61574711798878E-04-4.45420644265507E-04-1.5781</t>
  </si>
  <si>
    <t>2014-11-26 15:55:38.153: RTWSControl  - tickOptionComputation - id:200047 tickType:13 impliedVol:6.23150196422841E-02 delta:-0.340567797571924 optPrice:1.73435391052038E-03 pvDividend:0 gamma: 1.79769313486232E+308 theta/vega/undPrice: -6.43671968608635E-04-4.45420709659534E-04-1.5781</t>
  </si>
  <si>
    <t>2014-11-26 15:55:38.204: RTWSControl  - tickOptionComputation - id:200055 tickType:10 impliedVol:6.08999808448234E-02 delta:0.39918402581631 optPrice:2.09999992512167E-03 pvDividend:0 gamma: 1.79769313486232E+308 theta/vega/undPrice: -6.66903811423686E-04-4.83303815511314E-04-1.5781</t>
  </si>
  <si>
    <t>2014-11-26 15:55:38.242: RTWSControl  - tickOptionComputation - id:200055 tickType:13 impliedVol:6.15058571556517E-02 delta:0.400246460752159 optPrice:2.12928217207647E-03 pvDividend:0 gamma: 1.79769313486232E+308 theta/vega/undPrice: -6.73788029549823E-04-4.83303785736325E-04-1.5781</t>
  </si>
  <si>
    <t>2014-11-26 15:55:38.285: RTWSControl  - tickOptionComputation - id:200049 tickType:10 impliedVol:6.91430972660854E-02 delta:0.68260882416917 optPrice:1.16999996826053E-02 pvDividend:0 gamma: 1.79769313486232E+308 theta/vega/undPrice: -3.37792689981673E-04-9.14114132273214E-04-1.5781</t>
  </si>
  <si>
    <t>2014-11-26 15:55:38.328: RTWSControl  - tickOptionComputation - id:200049 tickType:11 impliedVol:7.24316439869875E-02 delta:0.67491329905402 optPrice:1.20000001043081E-02 pvDividend:0 gamma: 1.79769313486232E+308 theta/vega/undPrice: -3.57191653418794E-04-9.14112670212228E-04-1.5781</t>
  </si>
  <si>
    <t>2014-11-26 15:55:38.369: RTWSControl  - tickOptionComputation - id:200049 tickType:13 impliedVol:6.79024410706646E-02 delta:0.685794840573104 optPrice:1.15859853470586E-02 pvDividend:0 gamma: 1.79769313486232E+308 theta/vega/undPrice: -3.30474105072685E-04-9.14114670308271E-04-1.5781</t>
  </si>
  <si>
    <t>2014-11-26 15:55:38.410: RTWSControl  - tickOptionComputation - id:200050 tickType:13 impliedVol:6.79024410706646E-02 delta:-0.314275340709699 optPrice:3.48649953094947E-03 pvDividend:0 gamma: 1.79769313486232E+308 theta/vega/undPrice: -3.30531813151366E-04-9.14120241709138E-04-1.5781</t>
  </si>
  <si>
    <t>2014-11-26 15:55:38.450: RTWSControl  - tickOptionComputation - id:200051 tickType:10 impliedVol:6.67866169715019E-02 delta:-0.309589100127272 optPrice:3.29999998211861E-03 pvDividend:0 gamma: 1.79769313486232E+308 theta/vega/undPrice: -3.24845387759144E-04-8.71846158367744E-04-1.5781</t>
  </si>
  <si>
    <t>2014-11-26 15:55:38.497: RTWSControl  - tickOptionComputation - id:200051 tickType:13 impliedVol:7.02052995444316E-02 delta:-0.31802591625445 optPrice:3.60001771794841E-03 pvDividend:0 gamma: 1.79769313486232E+308 theta/vega/undPrice: -3.45417945156824E-04-8.81918290050712E-04-1.5781</t>
  </si>
  <si>
    <t>2014-11-26 15:55:38.538: RTWSControl  - tickOptionComputation - id:200052 tickType:10 impliedVol:1.79769313486232E+308 delta:1.79769313486232E+308 optPrice:1.79769313486232E+308 pvDividend:0 gamma: 1.79769313486232E+308 theta/vega/undPrice: 1.79769313486232E+308-1.79769313486232E+308-1.5781</t>
  </si>
  <si>
    <t>2014-11-26 15:55:38.573: RTWSControl  - tickOptionComputation - id:200052 tickType:11 impliedVol:1.79769313486232E+308 delta:1.79769313486232E+308 optPrice:1.79769313486232E+308 pvDividend:0 gamma: 1.79769313486232E+308 theta/vega/undPrice: 1.79769313486232E+308-1.79769313486232E+308-1.5781</t>
  </si>
  <si>
    <t>2014-11-26 15:55:38.614: RTWSControl  - tickOptionComputation - id:200052 tickType:13 impliedVol:0.118788114054088 delta:-0.52210080428272 optPrice:1.26990161988907E-02 pvDividend:0 gamma: 1.79769313486232E+308 theta/vega/undPrice: -6.52676780945964E-04-9.84927687429525E-04-1.5781</t>
  </si>
  <si>
    <t>2014-11-26 15:55:38.660: RTWSControl  - tickOptionComputation - id:200048 tickType:13 impliedVol:8.37139090702088E-02 delta:-3.17381500441469E-02 optPrice:2.64544432255531E-04 pvDividend:0 gamma: 1.79769313486232E+308 theta/vega/undPrice: -8.13226722105854E-05-2.11663292915943E-04-1.5781</t>
  </si>
  <si>
    <t>2014-11-26 15:55:38.703: RTWSControl  - tickOptionComputation - id:200053 tickType:13 impliedVol:6.42953857593476E-02 delta:8.80045258950469E-02 optPrice:6.56980807828175E-04 pvDividend:0 gamma: 1.79769313486232E+308 theta/vega/undPrice: -1.40589379997318E-04-4.47261577218825E-04-1.5781</t>
  </si>
  <si>
    <t>2014-11-26 15:55:38.743: RTWSControl  - tickOptionComputation - id:200054 tickType:10 impliedVol:1.79769313486232E+308 delta:1.79769313486232E+308 optPrice:1.79769313486232E+308 pvDividend:0 gamma: 1.79769313486232E+308 theta/vega/undPrice: 1.79769313486232E+308-1.79769313486232E+308-1.5781</t>
  </si>
  <si>
    <t>2014-11-26 15:55:38.760: RTWSControl  - tickOptionComputation - id:200054 tickType:13 impliedVol:7.28927431362614E-02 delta:2.21488730668375E-03 optPrice:1.20879826542073E-05 pvDividend:0 gamma: 0.379728768989271 theta/vega/undPrice: -6.8813571809326E-06-3.27807976260631E-05-1.5781</t>
  </si>
  <si>
    <t>2014-11-26 15:55:39.330: RTWSControl  - tickOptionComputation - id:200041 tickType:10 impliedVol:1.79769313486232E+308 delta:1.79769313486232E+308 optPrice:1.32999997586012E-02 pvDividend:0 gamma: 1.79769313486232E+308 theta/vega/undPrice: 1.79769313486232E+308-1.79769313486232E+308-1.5781</t>
  </si>
  <si>
    <t>2014-11-26 15:55:39.411: RTWSControl  - tickOptionComputation - id:200052 tickType:10 impliedVol:1.79769313486232E+308 delta:1.79769313486232E+308 optPrice:1.79769313486232E+308 pvDividend:0 gamma: 1.79769313486232E+308 theta/vega/undPrice: 1.79769313486232E+308-1.79769313486232E+308-1.5781</t>
  </si>
  <si>
    <t>2014-11-26 15:55:39.452: RTWSControl  - tickOptionComputation - id:200052 tickType:11 impliedVol:1.79769313486232E+308 delta:1.79769313486232E+308 optPrice:1.79769313486232E+308 pvDividend:0 gamma: 1.79769313486232E+308 theta/vega/undPrice: 1.79769313486232E+308-1.79769313486232E+308-1.5781</t>
  </si>
  <si>
    <t>2014-11-26 15:55:39.494: RTWSControl  - tickOptionComputation - id:200054 tickType:10 impliedVol:1.79769313486232E+308 delta:1.79769313486232E+308 optPrice:1.79769313486232E+308 pvDividend:0 gamma: 1.79769313486232E+308 theta/vega/undPrice: 1.79769313486232E+308-1.79769313486232E+308-1.5781</t>
  </si>
  <si>
    <t>2014-11-26 15:55:39.989: DirectionIndicator - notify - price/longMA/ShortMA/prevDirection are 1.5782/1.57817415543261/1.57819230563348/1</t>
  </si>
  <si>
    <t>2014-11-26 15:55:39.990: Algorithm - handleTransition - currentHedgeShortfall is NOT ZERO and AUTOHEDGE IS NOT ENABLED!</t>
  </si>
  <si>
    <t>2014-11-26 15:55:40.31: DirectionIndicator - notify - price/longMA/ShortMA/prevDirection are 1.57815/1.57816976353577/1.57817820375566/1</t>
  </si>
  <si>
    <t>2014-11-26 15:55:40.31: Algorithm - handleTransition - currentHedgeShortfall is NOT ZERO and AUTOHEDGE IS NOT ENABLED!</t>
  </si>
  <si>
    <t>2014-11-26 15:55:40.321: DirectionIndicator - notify - price/longMA/ShortMA/prevDirection are 1.5782/1.57817526107472/1.57818546917044/1</t>
  </si>
  <si>
    <t>2014-11-26 15:55:40.325: Algorithm - handleTransition - currentHedgeShortfall is NOT ZERO and AUTOHEDGE IS NOT ENABLED!</t>
  </si>
  <si>
    <t>2014-11-26 15:55:40.581: DirectionIndicator - notify - price/longMA/ShortMA/prevDirection are 1.57815/1.57817066815205/1.57817364611362/1</t>
  </si>
  <si>
    <t>2014-11-26 15:55:40.581: Algorithm - handleTransition - currentHedgeShortfall is NOT ZERO and AUTOHEDGE IS NOT ENABLED!</t>
  </si>
  <si>
    <t>2014-11-26 15:55:40.735: RTWSControl  - tickOptionComputation - id:200042 tickType:13 impliedVol:8.07954888838367E-02 delta:-3.05460369642617E-02 optPrice:1.18667003760749E-04 pvDividend:0 gamma: 1.79769313486232E+308 theta/vega/undPrice: -1.56263511676723E-04-9.97367100638606E-05-1.5782</t>
  </si>
  <si>
    <t>2014-11-26 15:55:40.786: RTWSControl  - tickOptionComputation - id:200042 tickType:10 impliedVol:8.94820392899833E-02 delta:-4.42824700855512E-02 optPrice:1.99999994947575E-04 pvDividend:0 gamma: 1.79769313486232E+308 theta/vega/undPrice: -2.36495936588618E-04-1.43239626033858E-04-1.5782</t>
  </si>
  <si>
    <t>2014-11-26 15:55:40.831: RTWSControl  - tickOptionComputation - id:200042 tickType:11 impliedVol:8.94820392899833E-02 delta:-4.42824700855512E-02 optPrice:1.99999994947575E-04 pvDividend:0 gamma: 1.79769313486232E+308 theta/vega/undPrice: -2.36495936588618E-04-1.43239626033858E-04-1.5782</t>
  </si>
  <si>
    <t>2014-11-26 15:55:40.874: RTWSControl  - tickOptionComputation - id:200041 tickType:13 impliedVol:0.072309976463842 delta:0.935170601624447 optPrice:1.34523795225938E-02 pvDividend:0 gamma: 1.79769313486232E+308 theta/vega/undPrice: -2.57616695989964E-04-1.81387834854883E-04-1.5782</t>
  </si>
  <si>
    <t>2014-11-26 15:55:40.913: RTWSControl  - tickOptionComputation - id:200043 tickType:13 impliedVol:0.072309976463842 delta:-6.49419221406247E-02 optPrice:2.52568292191797E-04 pvDividend:0 gamma: 1.79769313486232E+308 theta/vega/undPrice: -2.57703935519419E-04-1.81388111691716E-04-1.5782</t>
  </si>
  <si>
    <t>2014-11-26 15:55:40.958: RTWSControl  - tickOptionComputation - id:200041 tickType:10 impliedVol:1.79769313486232E+308 delta:0.999986003548504 optPrice:1.31999999284744E-02 pvDividend:0 gamma: -1.59619071069763E-10 theta/vega/undPrice: 8.68726929787961E-08-1.93768612266609E-15-1.5782</t>
  </si>
  <si>
    <t>2014-11-26 15:55:40.998: RTWSControl  - tickOptionComputation - id:200041 tickType:11 impliedVol:8.07516642366432E-02 delta:0.91268462694803 optPrice:1.36000001803041E-02 pvDividend:0 gamma: 1.79769313486232E+308 theta/vega/undPrice: -3.60714774711894E-04-2.15203595593173E-04-1.5782</t>
  </si>
  <si>
    <t>2014-11-26 15:55:41.44: RTWSControl  - tickOptionComputation - id:200043 tickType:10 impliedVol:6.86338754814358E-02 delta:-5.54378910626391E-02 optPrice:1.99999994947575E-04 pvDividend:0 gamma: 1.79769313486232E+308 theta/vega/undPrice: -2.15545338080511E-04-1.55017785852291E-04-1.5782</t>
  </si>
  <si>
    <t>2014-11-26 15:55:41.86: RTWSControl  - tickOptionComputation - id:200043 tickType:11 impliedVol:7.56160286076755E-02 delta:-7.26837080747221E-02 optPrice:3.00000014249235E-04 pvDividend:0 gamma: 1.79769313486232E+308 theta/vega/undPrice: -2.95618684201869E-04-2.05103894583708E-04-1.5782</t>
  </si>
  <si>
    <t>2014-11-26 15:55:41.154: RTWSControl  - tickOptionComputation - id:200044 tickType:13 impliedVol:6.62086313772505E-02 delta:0.84705316007057 optPrice:8.84951189022864E-03 pvDividend:0 gamma: 1.79769313486232E+308 theta/vega/undPrice: -4.40044783846327E-04-2.97660792808081E-04-1.5782</t>
  </si>
  <si>
    <t>2014-11-26 15:55:41.202: RTWSControl  - tickOptionComputation - id:200044 tickType:10 impliedVol:6.11857444057961E-02 delta:0.867388819425877 optPrice:8.70000012218952E-03 pvDividend:0 gamma: 1.79769313486232E+308 theta/vega/undPrice: -3.7114962734905E-04-2.97660947542865E-04-1.5782</t>
  </si>
  <si>
    <t>2014-11-26 15:55:41.245: RTWSControl  - tickOptionComputation - id:200044 tickType:11 impliedVol:7.12643084536108E-02 delta:0.829286603745053 optPrice:8.99999961256981E-03 pvDividend:0 gamma: 1.79769313486232E+308 theta/vega/undPrice: -5.09389628375222E-04-3.1100797884953E-04-1.5782</t>
  </si>
  <si>
    <t>2014-11-26 15:55:41.291: RTWSControl  - tickOptionComputation - id:200046 tickType:10 impliedVol:6.45137226929289E-02 delta:-0.146498702481893 optPrice:6.00000028498471E-04 pvDividend:0 gamma: 1.79769313486232E+308 theta/vega/undPrice: -4.16851850099316E-04-2.97661133605138E-04-1.5782</t>
  </si>
  <si>
    <t>2014-11-26 15:55:41.330: RTWSControl  - tickOptionComputation - id:200046 tickType:11 impliedVol:7.12841701601609E-02 delta:-0.170764087804312 optPrice:7.999999797903E-04 pvDividend:0 gamma: 1.79769313486232E+308 theta/vega/undPrice: -5.09717077345707E-04-3.11170003029154E-04-1.5782</t>
  </si>
  <si>
    <t>2014-11-26 15:55:41.377: RTWSControl  - tickOptionComputation - id:200046 tickType:13 impliedVol:6.62086313772505E-02 delta:-0.153059534903222 optPrice:6.49629868245433E-04 pvDividend:0 gamma: 1.79769313486232E+308 theta/vega/undPrice: -4.4009967229639E-04-2.97661081588385E-04-1.5782</t>
  </si>
  <si>
    <t>2014-11-26 15:55:41.419: RTWSControl  - tickOptionComputation - id:200045 tickType:10 impliedVol:6.00454463332858E-02 delta:0.670101657506983 optPrice:4.80000022798777E-03 pvDividend:0 gamma: 1.79769313486232E+308 theta/vega/undPrice: -6.12448131842557E-04-4.45434281072085E-04-1.5782</t>
  </si>
  <si>
    <t>2014-11-26 15:55:41.464: RTWSControl  - tickOptionComputation - id:200045 tickType:11 impliedVol:6.67813588431582E-02 delta:0.654011260174313 optPrice:5.10000018402934E-03 pvDividend:0 gamma: 1.79769313486232E+308 theta/vega/undPrice: -6.9427392314508E-04-4.45433974979971E-04-1.5782</t>
  </si>
  <si>
    <t>2014-11-26 15:55:41.533: RTWSControl  - tickOptionComputation - id:200045 tickType:13 impliedVol:6.24914536240482E-02 delta:0.663939232269069 optPrice:4.90866223324799E-03 pvDividend:0 gamma: 1.79769313486232E+308 theta/vega/undPrice: -6.42161491270748E-04-4.4543417283918E-04-1.5782</t>
  </si>
  <si>
    <t>2014-11-26 15:55:41.579: RTWSControl  - tickOptionComputation - id:200047 tickType:13 impliedVol:6.24914536240482E-02 delta:-0.336173931250121 optPrice:1.70871077451692E-03 pvDividend:0 gamma: 1.79769313486232E+308 theta/vega/undPrice: -6.42184574938615E-04-4.45434811876222E-04-1.5782</t>
  </si>
  <si>
    <t>2014-11-26 15:55:41.622: RTWSControl  - tickOptionComputation - id:200047 tickType:10 impliedVol:6.22776580128392E-02 delta:-0.335605134977411 optPrice:1.70000002253801E-03 pvDividend:0 gamma: 1.79769313486232E+308 theta/vega/undPrice: -6.39587442126049E-04-4.45434821468904E-04-1.5782</t>
  </si>
  <si>
    <t>2014-11-26 15:55:41.664: RTWSControl  - tickOptionComputation - id:200047 tickType:11 impliedVol:6.45408927867273E-02 delta:-0.340998534877689 optPrice:1.79999996908009E-03 pvDividend:0 gamma: 1.79769313486232E+308 theta/vega/undPrice: -6.67080615416245E-04-4.45434719359813E-04-1.5782</t>
  </si>
  <si>
    <t>2014-11-26 15:55:41.709: RTWSControl  - tickOptionComputation - id:200055 tickType:13 impliedVol:6.11584432042349E-02 delta:0.405007532518989 optPrice:2.15697073351569E-03 pvDividend:0 gamma: 1.79769313486232E+308 theta/vega/undPrice: -6.71182096318943E-04-4.83319111989585E-04-1.5782</t>
  </si>
  <si>
    <t>2014-11-26 15:55:41.750: RTWSControl  - tickOptionComputation - id:200055 tickType:10 impliedVol:5.99797027902397E-02 delta:0.403051563545509 optPrice:2.09999992512167E-03 pvDividend:0 gamma: 1.79769313486232E+308 theta/vega/undPrice: -6.57788331968042E-04-4.833191692839E-04-1.5782</t>
  </si>
  <si>
    <t>2014-11-26 15:55:41.795: RTWSControl  - tickOptionComputation - id:200055 tickType:11 impliedVol:6.20487294371669E-02 delta:0.406347450685556 optPrice:2.19999998807907E-03 pvDividend:0 gamma: 1.79769313486232E+308 theta/vega/undPrice: -6.81298217357607E-04-4.83319068054132E-04-1.5782</t>
  </si>
  <si>
    <t>2014-11-26 15:55:41.864: RTWSControl  - tickOptionComputation - id:200049 tickType:13 impliedVol:6.78488991177453E-02 delta:0.688084024514256 optPrice:1.16476932192506E-02 pvDividend:0 gamma: 1.79769313486232E+308 theta/vega/undPrice: -3.29305641767003E-04-9.14143659447123E-04-1.5782</t>
  </si>
  <si>
    <t>2014-11-26 15:55:41.914: RTWSControl  - tickOptionComputation - id:200050 tickType:13 impliedVol:6.78488991177453E-02 delta:-0.311986141011211 optPrice:3.44821325673812E-03 pvDividend:0 gamma: 1.79769313486232E+308 theta/vega/undPrice: -3.29363985702771E-04-9.14149224772724E-04-1.5782</t>
  </si>
  <si>
    <t>2014-11-26 15:55:41.955: RTWSControl  - tickOptionComputation - id:200051 tickType:13 impliedVol:7.05662326926131E-02 delta:-0.31682612764004 optPrice:3.60008625064981E-03 pvDividend:0 gamma: 1.79769313486232E+308 theta/vega/undPrice: -3.46661146611623E-04-8.80565123427133E-04-1.5782</t>
  </si>
  <si>
    <t>2014-11-26 15:55:41.997: RTWSControl  - tickOptionComputation - id:200052 tickType:13 impliedVol:0.119327273810022 delta:-0.520617464156737 optPrice:1.27000000050385E-02 pvDividend:0 gamma: 1.79769313486232E+308 theta/vega/undPrice: -6.55811678373211E-04-9.85186237613958E-04-1.5782</t>
  </si>
  <si>
    <t>2014-11-26 15:55:42.38: RTWSControl  - tickOptionComputation - id:200048 tickType:13 impliedVol:8.39726470542068E-02 delta:-3.18022317118572E-02 optPrice:2.65986144814887E-04 pvDividend:0 gamma: 1.79769313486232E+308 theta/vega/undPrice: -8.17174036207103E-05-2.11932355969263E-04-1.5782</t>
  </si>
  <si>
    <t>2014-11-26 15:55:42.81: RTWSControl  - tickOptionComputation - id:200053 tickType:13 impliedVol:6.40780162024761E-02 delta:8.82971805496137E-02 optPrice:6.57480480684141E-04 pvDividend:0 gamma: 1.79769313486232E+308 theta/vega/undPrice: -1.40453648576333E-04-4.47275791429203E-04-1.5782</t>
  </si>
  <si>
    <t>2014-11-26 15:55:42.121: RTWSControl  - tickOptionComputation - id:200054 tickType:13 impliedVol:7.26599983083958E-02 delta:2.1798489885798E-03 optPrice:1.18382984147551E-05 pvDividend:0 gamma: 0.375645295499033 theta/vega/undPrice: -6.76481283458131E-06-3.25676227631054E-05-1.5782</t>
  </si>
  <si>
    <t>2014-11-26 15:55:42.162: RTWSControl  - tickOptionComputation - id:200049 tickType:10 impliedVol:6.73271731262814E-02 delta:0.689353636664853 optPrice:1.15999998524785E-02 pvDividend:0 gamma: 1.79769313486232E+308 theta/vega/undPrice: -3.262278986287E-04-9.14143883867707E-04-1.5782</t>
  </si>
  <si>
    <t>2014-11-26 15:55:42.207: RTWSControl  - tickOptionComputation - id:200049 tickType:11 impliedVol:7.06053365987486E-02 delta:0.681166145473002 optPrice:1.19000002741814E-02 pvDividend:0 gamma: 1.79769313486232E+308 theta/vega/undPrice: -3.45566266209329E-04-9.14142451976529E-04-1.5782</t>
  </si>
  <si>
    <t>2014-11-26 15:55:42.252: RTWSControl  - tickOptionComputation - id:200050 tickType:10 impliedVol:6.84046066838493E-02 delta:-0.313368660097333 optPrice:3.50000010803342E-03 pvDividend:0 gamma: 1.79769313486232E+308 theta/vega/undPrice: -3.32642237267377E-04-9.14148987823872E-04-1.5782</t>
  </si>
  <si>
    <t>2014-11-26 15:55:42.293: RTWSControl  - tickOptionComputation - id:200050 tickType:11 impliedVol:7.06032231753039E-02 delta:-0.318772595913532 optPrice:3.70000000111759E-03 pvDividend:0 gamma: 1.79769313486232E+308 theta/vega/undPrice: -3.45612379899798E-04-9.14148035735722E-04-1.5782</t>
  </si>
  <si>
    <t>2014-11-26 15:55:42.361: RTWSControl  - tickOptionComputation - id:200051 tickType:10 impliedVol:6.82866736745179E-02 delta:-0.311270200505248 optPrice:3.40000004507601E-03 pvDividend:0 gamma: 1.79769313486232E+308 theta/vega/undPrice: -3.32945785853819E-04-8.73957500022345E-04-1.5782</t>
  </si>
  <si>
    <t>2014-11-26 15:55:42.410: RTWSControl  - tickOptionComputation - id:200051 tickType:11 impliedVol:7.05662319819086E-02 delta:-0.316786069171658 optPrice:3.59999993816018E-03 pvDividend:0 gamma: 1.79769313486232E+308 theta/vega/undPrice: -3.46661142345529E-04-8.80565121458955E-04-1.5782</t>
  </si>
  <si>
    <t>2014-11-26 15:55:42.456: RTWSControl  - tickOptionComputation - id:200052 tickType:10 impliedVol:1.79769313486232E+308 delta:1.79769313486232E+308 optPrice:1.79769313486232E+308 pvDividend:0 gamma: 1.79769313486232E+308 theta/vega/undPrice: 1.79769313486232E+308-1.79769313486232E+308-1.5782</t>
  </si>
  <si>
    <t>2014-11-26 15:55:42.492: RTWSControl  - tickOptionComputation - id:200052 tickType:11 impliedVol:1.79769313486232E+308 delta:1.79769313486232E+308 optPrice:1.79769313486232E+308 pvDividend:0 gamma: 1.79769313486232E+308 theta/vega/undPrice: 1.79769313486232E+308-1.79769313486232E+308-1.5782</t>
  </si>
  <si>
    <t>2014-11-26 15:55:42.533: RTWSControl  - tickOptionComputation - id:200048 tickType:10 impliedVol:8.02626294999752E-02 delta:-2.57201519402132E-02 optPrice:1.99999994947575E-04 pvDividend:0 gamma: 1.79769313486232E+308 theta/vega/undPrice: -6.55815038057357E-05-1.79297417957683E-04-1.5782</t>
  </si>
  <si>
    <t>2014-11-26 15:55:42.579: RTWSControl  - tickOptionComputation - id:200048 tickType:11 impliedVol:8.58697110290952E-02 delta:-3.47024905245085E-02 optPrice:3.00000014249235E-04 pvDividend:0 gamma: 1.79769313486232E+308 theta/vega/undPrice: -8.99682456915165E-05-2.33414512849356E-04-1.5782</t>
  </si>
  <si>
    <t>2014-11-26 15:55:42.625: RTWSControl  - tickOptionComputation - id:200053 tickType:10 impliedVol:6.27928961343139E-02 delta:8.33250396597641E-02 optPrice:6.00000028498471E-04 pvDividend:0 gamma: 1.79769313486232E+308 theta/vega/undPrice: -1.32139059006656E-04-4.47276040899394E-04-1.5782</t>
  </si>
  <si>
    <t>2014-11-26 15:55:42.663: RTWSControl  - tickOptionComputation - id:200053 tickType:11 impliedVol:6.50502232769987E-02 delta:9.19092905701579E-02 optPrice:6.99999975040555E-04 pvDividend:0 gamma: 1.79769313486232E+308 theta/vega/undPrice: -1.4674371926418E-04-4.47275604552502E-04-1.5782</t>
  </si>
  <si>
    <t>2014-11-26 15:55:42.708: RTWSControl  - tickOptionComputation - id:200054 tickType:10 impliedVol:1.79769313486232E+308 delta:1.79769313486232E+308 optPrice:1.79769313486232E+308 pvDividend:0 gamma: 1.79769313486232E+308 theta/vega/undPrice: 1.79769313486232E+308-1.79769313486232E+308-1.5782</t>
  </si>
  <si>
    <t>2014-11-26 15:55:42.744: RTWSControl  - tickOptionComputation - id:200054 tickType:11 impliedVol:9.15651305014409E-02 delta:1.24090577370368E-02 optPrice:9.99999974737875E-05 pvDividend:0 gamma: 1.79769313486232E+308 theta/vega/undPrice: -4.01560749564493E-05-1.03759071407921E-04-1.5782</t>
  </si>
  <si>
    <t>2014-11-26 15:55:42.792: DirectionIndicator - notify - price/longMA/ShortMA/prevDirection are 1.5782/1.57817600121531/1.57818243074242/1</t>
  </si>
  <si>
    <t>2014-11-26 15:55:42.792: Algorithm - handleTransition - currentHedgeShortfall is NOT ZERO and AUTOHEDGE IS NOT ENABLED!</t>
  </si>
  <si>
    <t>2014-11-26 15:55:43.29: DirectionIndicator - notify - price/longMA/ShortMA/prevDirection are 1.57825/1.5781894555398/1.57820495382828/1</t>
  </si>
  <si>
    <t>2014-11-26 15:55:43.32: Algorithm - handleTransition - currentHedgeShortfall is NOT ZERO and AUTOHEDGE IS NOT ENABLED!</t>
  </si>
  <si>
    <t>2014-11-26 15:55:43.661: RTWSControl  - tickOptionComputation - id:200041 tickType:10 impliedVol:6.01113727288632E-02 delta:0.965794613182419 optPrice:1.32999997586012E-02 pvDividend:0 gamma: 1.79769313486232E+308 theta/vega/undPrice: -1.27723167148246E-04-1.2083654705785E-04-1.5782</t>
  </si>
  <si>
    <t>2014-11-26 15:55:43.733: RTWSControl  - tickOptionComputation - id:200043 tickType:10 impliedVol:1.79769313486232E+308 delta:1.79769313486232E+308 optPrice:9.99999974737875E-05 pvDividend:0 gamma: 1.79769313486232E+308 theta/vega/undPrice: 1.79769313486232E+308-1.79769313486232E+308-1.5782</t>
  </si>
  <si>
    <t>2014-11-26 15:55:43.750: RTWSControl  - tickOptionComputation - id:200044 tickType:11 impliedVol:7.46238633705559E-02 delta:0.818878597871737 optPrice:9.10000037401915E-03 pvDividend:0 gamma: 1.79769313486232E+308 theta/vega/undPrice: -5.55470026593911E-04-3.38280768423894E-04-1.5782</t>
  </si>
  <si>
    <t>2014-11-26 15:55:43.822: RTWSControl  - tickOptionComputation - id:200045 tickType:10 impliedVol:6.22969877600507E-02 delta:0.664333849209992 optPrice:4.90000005811453E-03 pvDividend:0 gamma: 1.79769313486232E+308 theta/vega/undPrice: -6.39799179210166E-04-4.45434181565751E-04-1.5782</t>
  </si>
  <si>
    <t>2014-11-26 15:55:43.875: RTWSControl  - tickOptionComputation - id:200049 tickType:10 impliedVol:6.84103018012022E-02 delta:0.686560623019421 optPrice:1.16999996826053E-02 pvDividend:0 gamma: 1.79769313486232E+308 theta/vega/undPrice: -3.32617441849823E-04-9.14143416494291E-04-1.5782</t>
  </si>
  <si>
    <t>2014-11-26 15:55:43.916: RTWSControl  - tickOptionComputation - id:200049 tickType:11 impliedVol:7.17028489091627E-02 delta:0.678594235553228 optPrice:1.20000001043081E-02 pvDividend:0 gamma: 1.79769313486232E+308 theta/vega/undPrice: -3.52040635730608E-04-9.14141961005855E-04-1.5782</t>
  </si>
  <si>
    <t>2014-11-26 15:55:43.958: RTWSControl  - tickOptionComputation - id:200051 tickType:10 impliedVol:6.71413348211248E-02 delta:-0.308372735404762 optPrice:3.29999998211861E-03 pvDividend:0 gamma: 1.79769313486232E+308 theta/vega/undPrice: -3.26029603931962E-04-8.70401354748056E-04-1.5782</t>
  </si>
  <si>
    <t>2014-11-26 15:55:44.2: RTWSControl  - tickOptionComputation - id:200052 tickType:10 impliedVol:1.79769313486232E+308 delta:1.79769313486232E+308 optPrice:1.79769313486232E+308 pvDividend:0 gamma: 1.79769313486232E+308 theta/vega/undPrice: 1.79769313486232E+308-1.79769313486232E+308-1.5782</t>
  </si>
  <si>
    <t>2014-11-26 15:55:44.36: RTWSControl  - tickOptionComputation - id:200052 tickType:11 impliedVol:1.79769313486232E+308 delta:1.79769313486232E+308 optPrice:1.79769313486232E+308 pvDividend:0 gamma: 1.79769313486232E+308 theta/vega/undPrice: 1.79769313486232E+308-1.79769313486232E+308-1.5782</t>
  </si>
  <si>
    <t>2014-11-26 15:55:44.79: RTWSControl  - tickOptionComputation - id:200054 tickType:10 impliedVol:1.79769313486232E+308 delta:1.79769313486232E+308 optPrice:1.79769313486232E+308 pvDividend:0 gamma: 1.79769313486232E+308 theta/vega/undPrice: 1.79769313486232E+308-1.79769313486232E+308-1.5782</t>
  </si>
  <si>
    <t>2014-11-26 15:55:44.372: RTWSControl  - tickOptionComputation - id:200042 tickType:13 impliedVol:7.96862595799723E-02 delta:-2.86791350819551E-02 optPrice:1.08928837383481E-04 pvDividend:0 gamma: 1.79769313486232E+308 theta/vega/undPrice: -1.46281343648541E-04-9.35863070231317E-05-1.5782</t>
  </si>
  <si>
    <t>2014-11-26 15:55:44.447: RTWSControl  - tickOptionComputation - id:200041 tickType:13 impliedVol:7.11765345119204E-02 delta:0.937994000575565 optPrice:1.34361181098091E-02 pvDividend:0 gamma: 1.79769313486232E+308 theta/vega/undPrice: -2.44618070613147E-04-1.73257156535931E-04-1.5782</t>
  </si>
  <si>
    <t>2014-11-26 15:55:44.501: RTWSControl  - tickOptionComputation - id:200043 tickType:13 impliedVol:7.11765345119204E-02 delta:-6.21185211311071E-02 optPrice:2.36306868239317E-04 pvDividend:0 gamma: 1.79769313486232E+308 theta/vega/undPrice: -2.44705295542419E-04-1.73257424747721E-04-1.5782</t>
  </si>
  <si>
    <t>2014-11-26 15:55:44.541: RTWSControl  - tickOptionComputation - id:200043 tickType:10 impliedVol:1.79769313486232E+308 delta:1.79769313486232E+308 optPrice:9.99999974737875E-05 pvDividend:0 gamma: 1.79769313486232E+308 theta/vega/undPrice: 1.79769313486232E+308-1.79769313486232E+308-1.5782</t>
  </si>
  <si>
    <t>2014-11-26 15:55:44.575: RTWSControl  - tickOptionComputation - id:200044 tickType:13 impliedVol:6.52568913776577E-02 delta:0.850684910805339 optPrice:8.8211823058866E-03 pvDividend:0 gamma: 1.79769313486232E+308 theta/vega/undPrice: -4.26990488462058E-04-2.97660822160206E-04-1.5782</t>
  </si>
  <si>
    <t>2014-11-26 15:55:44.621: RTWSControl  - tickOptionComputation - id:200046 tickType:13 impliedVol:6.52568913776577E-02 delta:-0.149427780383146 optPrice:6.21300256475542E-04 pvDividend:0 gamma: 1.79769313486232E+308 theta/vega/undPrice: -4.27045352097491E-04-2.97661110803862E-04-1.5782</t>
  </si>
  <si>
    <t>2014-11-26 15:55:44.663: RTWSControl  - tickOptionComputation - id:200045 tickType:13 impliedVol:6.19273301770704E-02 delta:0.665335990838724 optPrice:4.88353423406894E-03 pvDividend:0 gamma: 1.79769313486232E+308 theta/vega/undPrice: -6.3530869121785E-04-4.45434198096891E-04-1.5782</t>
  </si>
  <si>
    <t>2014-11-26 15:55:44.708: RTWSControl  - tickOptionComputation - id:200047 tickType:13 impliedVol:6.19273301770704E-02 delta:-0.334777170418576 optPrice:1.68358273928967E-03 pvDividend:0 gamma: 1.79769313486232E+308 theta/vega/undPrice: -6.35331751489147E-04-4.45434837131602E-04-1.5782</t>
  </si>
  <si>
    <t>2014-11-26 15:55:44.748: RTWSControl  - tickOptionComputation - id:200055 tickType:13 impliedVol:6.11878509102155E-02 delta:0.405054129830853 optPrice:2.15839206485068E-03 pvDividend:0 gamma: 1.79769313486232E+308 theta/vega/undPrice: -6.71516249467111E-04-4.83319110548633E-04-1.5782</t>
  </si>
  <si>
    <t>2014-11-26 15:55:44.789: RTWSControl  - tickOptionComputation - id:200049 tickType:13 impliedVol:6.78196360146899E-02 delta:0.68815956618196 optPrice:1.16450181450267E-02 pvDividend:0 gamma: 1.79769313486232E+308 theta/vega/undPrice: -3.29133014198665E-04-9.14143672071628E-04-1.5782</t>
  </si>
  <si>
    <t>2014-11-26 15:55:44.834: RTWSControl  - tickOptionComputation - id:200050 tickType:13 impliedVol:6.78196360146899E-02 delta:-0.311910598824427 optPrice:3.44553816625455E-03 pvDividend:0 gamma: 1.79769313486232E+308 theta/vega/undPrice: -3.2919135561542E-04-9.14149237209039E-04-1.5782</t>
  </si>
  <si>
    <t>2014-11-26 15:55:44.875: RTWSControl  - tickOptionComputation - id:200052 tickType:10 impliedVol:1.79769313486232E+308 delta:1.79769313486232E+308 optPrice:1.79769313486232E+308 pvDividend:0 gamma: 1.79769313486232E+308 theta/vega/undPrice: 1.79769313486232E+308-1.79769313486232E+308-1.5782</t>
  </si>
  <si>
    <t>2014-11-26 15:55:44.911: RTWSControl  - tickOptionComputation - id:200052 tickType:11 impliedVol:1.79769313486232E+308 delta:1.79769313486232E+308 optPrice:1.79769313486232E+308 pvDividend:0 gamma: 1.79769313486232E+308 theta/vega/undPrice: 1.79769313486232E+308-1.79769313486232E+308-1.5782</t>
  </si>
  <si>
    <t>2014-11-26 15:55:44.952: RTWSControl  - tickOptionComputation - id:200048 tickType:13 impliedVol:8.40062930320151E-02 delta:-3.18548949883557E-02 optPrice:2.66589408876574E-04 pvDividend:0 gamma: 1.79769313486232E+308 theta/vega/undPrice: -8.18637391405245E-05-2.12313359877215E-04-1.5782</t>
  </si>
  <si>
    <t>2014-11-26 15:55:44.998: RTWSControl  - tickOptionComputation - id:200053 tickType:13 impliedVol:6.40620049713334E-02 delta:0.088236584367739 optPrice:6.56764335505549E-04 pvDividend:0 gamma: 1.79769313486232E+308 theta/vega/undPrice: -1.4035005766957E-04-4.47275794519906E-04-1.5782</t>
  </si>
  <si>
    <t>2014-11-26 15:55:45.39: RTWSControl  - tickOptionComputation - id:200054 tickType:13 impliedVol:7.27333999019422E-02 delta:2.20836732994914E-03 optPrice:1.20229330988556E-05 pvDividend:0 gamma: 0.379555548597097 theta/vega/undPrice: -6.84904741377295E-06-3.27753347725415E-05-1.5782</t>
  </si>
  <si>
    <t>2014-11-26 15:55:45.79: RTWSControl  - tickOptionComputation - id:200054 tickType:10 impliedVol:1.79769313486232E+308 delta:1.79769313486232E+308 optPrice:1.79769313486232E+308 pvDividend:0 gamma: 1.79769313486232E+308 theta/vega/undPrice: 1.79769313486232E+308-1.79769313486232E+308-1.5782</t>
  </si>
  <si>
    <t>2014-11-26 15:55:45.745: DirectionIndicator - notify - price/longMA/ShortMA/prevDirection are 1.5783/1.57820955453256/1.57823663588552/1</t>
  </si>
  <si>
    <t>2014-11-26 15:55:45.746: Algorithm - handleTransition - currentHedgeShortfall is NOT ZERO and AUTOHEDGE IS NOT ENABLED!</t>
  </si>
  <si>
    <t>2014-11-26 15:55:45.828: DirectionIndicator - notify - price/longMA/ShortMA/prevDirection are 1.57835/1.5782350900721/1.57827442392368/1</t>
  </si>
  <si>
    <t>2014-11-26 15:55:45.828: Algorithm - handleTransition - currentHedgeShortfall is NOT ZERO and AUTOHEDGE IS NOT ENABLED!</t>
  </si>
  <si>
    <t>2014-11-26 15:55:46.30: DirectionIndicator - notify - price/longMA/ShortMA/prevDirection are 1.5783/1.57824689187717/1.57828294928245/1</t>
  </si>
  <si>
    <t>2014-11-26 15:55:46.30: Algorithm - handleTransition - currentHedgeShortfall is NOT ZERO and AUTOHEDGE IS NOT ENABLED!</t>
  </si>
  <si>
    <t>2014-11-26 15:55:46.153: DirectionIndicator - notify - price/longMA/ShortMA/prevDirection are 1.57825/1.57824745699041/1.5782719661883/1</t>
  </si>
  <si>
    <t>2014-11-26 15:55:46.154: Algorithm - handleTransition - currentHedgeShortfall is NOT ZERO and AUTOHEDGE IS NOT ENABLED!</t>
  </si>
  <si>
    <t>2014-11-26 15:55:46.328: RTWSControl  - tickOptionComputation - id:200042 tickType:13 impliedVol:7.96862595799723E-02 delta:-2.79352196853339E-02 optPrice:1.05705679807752E-04 pvDividend:0 gamma: 1.79769313486232E+308 theta/vega/undPrice: -1.43167657919827E-04-9.09043506288793E-05-1.5783</t>
  </si>
  <si>
    <t>2014-11-26 15:55:46.380: RTWSControl  - tickOptionComputation - id:200042 tickType:10 impliedVol:8.98941538433329E-02 delta:-4.41122597415013E-02 optPrice:1.99999994947575E-04 pvDividend:0 gamma: 1.79769313486232E+308 theta/vega/undPrice: -2.36917223461884E-04-0.000143244155693-1.5783</t>
  </si>
  <si>
    <t>2014-11-26 15:55:46.423: RTWSControl  - tickOptionComputation - id:200042 tickType:11 impliedVol:8.98941538433329E-02 delta:-4.41122597415013E-02 optPrice:1.99999994947575E-04 pvDividend:0 gamma: 1.79769313486232E+308 theta/vega/undPrice: -2.36917223461884E-04-0.000143244155693-1.5783</t>
  </si>
  <si>
    <t>2014-11-26 15:55:46.494: RTWSControl  - tickOptionComputation - id:200041 tickType:13 impliedVol:7.11765345119204E-02 delta:0.939355348413466 optPrice:1.35302031630827E-02 pvDividend:0 gamma: 1.79769313486232E+308 theta/vega/undPrice: -2.40313229688473E-04-1.69094351015192E-04-1.5783</t>
  </si>
  <si>
    <t>2014-11-26 15:55:46.541: RTWSControl  - tickOptionComputation - id:200041 tickType:10 impliedVol:1.79769313486232E+308 delta:0.999986003548682 optPrice:1.32999997586012E-02 pvDividend:0 gamma: 2.13266538586867E-10 theta/vega/undPrice: 8.75308184105011E-08--4.77048955893622E-16-1.5783</t>
  </si>
  <si>
    <t>2014-11-26 15:55:46.583: RTWSControl  - tickOptionComputation - id:200041 tickType:11 impliedVol:8.11627523023861E-02 delta:0.913269196123516 optPrice:1.37000000104308E-02 pvDividend:0 gamma: 1.79769313486232E+308 theta/vega/undPrice: -3.6084157470028E-04-2.15210401956833E-04-1.5783</t>
  </si>
  <si>
    <t>2014-11-26 15:55:46.630: RTWSControl  - tickOptionComputation - id:200043 tickType:13 impliedVol:7.11765345119204E-02 delta:-6.07571722996594E-02 optPrice:2.30393346211588E-04 pvDividend:0 gamma: 1.79769313486232E+308 theta/vega/undPrice: -2.4040110849647E-04-1.69094615852891E-04-1.5783</t>
  </si>
  <si>
    <t>2014-11-26 15:55:46.672: RTWSControl  - tickOptionComputation - id:200044 tickType:13 impliedVol:6.52568913776577E-02 delta:0.853764996674424 optPrice:8.90513091545447E-03 pvDividend:0 gamma: 1.79769313486232E+308 theta/vega/undPrice: -4.21310425634655E-04-2.97670251826011E-04-1.5783</t>
  </si>
  <si>
    <t>2014-11-26 15:55:46.716: RTWSControl  - tickOptionComputation - id:200043 tickType:10 impliedVol:1.79769313486232E+308 delta:1.79769313486232E+308 optPrice:9.99999974737875E-05 pvDividend:0 gamma: 1.79769313486232E+308 theta/vega/undPrice: 1.79769313486232E+308-1.79769313486232E+308-1.5783</t>
  </si>
  <si>
    <t>2014-11-26 15:55:46.752: RTWSControl  - tickOptionComputation - id:200043 tickType:11 impliedVol:7.60280551218715E-02 delta:-7.23275606457231E-02 optPrice:3.00000014249235E-04 pvDividend:0 gamma: 1.79769313486232E+308 theta/vega/undPrice: -2.96041495607348E-04-2.03897837489384E-04-1.5783</t>
  </si>
  <si>
    <t>2014-11-26 15:55:46.825: RTWSControl  - tickOptionComputation - id:200046 tickType:13 impliedVol:6.52568913776577E-02 delta:-0.146347691300229 optPrice:6.05250281591077E-04 pvDividend:0 gamma: 1.79769313486232E+308 theta/vega/undPrice: -4.21365937643639E-04-2.97670540351669E-04-1.5783</t>
  </si>
  <si>
    <t>2014-11-26 15:55:46.873: RTWSControl  - tickOptionComputation - id:200045 tickType:13 impliedVol:6.19273301770704E-02 delta:0.670193542549218 optPrice:4.95003017101323E-03 pvDividend:0 gamma: 1.79769313486232E+308 theta/vega/undPrice: -6.31677234328425E-04-4.4544830906565E-04-1.5783</t>
  </si>
  <si>
    <t>2014-11-26 15:55:46.916: RTWSControl  - tickOptionComputation - id:200044 tickType:10 impliedVol:6.17251011500089E-02 delta:0.868289334516523 optPrice:8.79999995231628E-03 pvDividend:0 gamma: 1.79769313486232E+308 theta/vega/undPrice: -3.72865982818717E-04-2.97670361890956E-04-1.5783</t>
  </si>
  <si>
    <t>2014-11-26 15:55:46.958: RTWSControl  - tickOptionComputation - id:200044 tickType:11 impliedVol:7.18033776756821E-02 delta:0.830350360377425 optPrice:9.10000037401915E-03 pvDividend:0 gamma: 1.79769313486232E+308 theta/vega/undPrice: -5.11106405139989E-04-3.07532209810122E-04-1.5783</t>
  </si>
  <si>
    <t>2014-11-26 15:55:47.4: RTWSControl  - tickOptionComputation - id:200046 tickType:10 impliedVol:6.50502407186309E-02 delta:-0.145516893044892 optPrice:6.00000028498471E-04 pvDividend:0 gamma: 1.79769313486232E+308 theta/vega/undPrice: -4.18531371840374E-04-2.97670546766871E-04-1.5783</t>
  </si>
  <si>
    <t>2014-11-26 15:55:47.45: RTWSControl  - tickOptionComputation - id:200046 tickType:11 impliedVol:7.18133979388107E-02 delta:-0.169668314573709 optPrice:7.999999797903E-04 pvDividend:0 gamma: 1.79769313486232E+308 theta/vega/undPrice: -5.11299533129145E-04-3.07614342925217E-04-1.5783</t>
  </si>
  <si>
    <t>2014-11-26 15:55:47.113: RTWSControl  - tickOptionComputation - id:200047 tickType:13 impliedVol:6.19273301770704E-02 delta:-0.329919610843374 optPrice:1.65008006849154E-03 pvDividend:0 gamma: 1.79769313486232E+308 theta/vega/undPrice: -6.3170093511409E-04-4.45448948103247E-04-1.5783</t>
  </si>
  <si>
    <t>2014-11-26 15:55:47.163: RTWSControl  - tickOptionComputation - id:200055 tickType:13 impliedVol:6.11878509102155E-02 delta:0.410389793613925 optPrice:2.20287132774449E-03 pvDividend:0 gamma: 1.79769313486232E+308 theta/vega/undPrice: -6.72857788200862E-04-4.83334419700227E-04-1.5783</t>
  </si>
  <si>
    <t>2014-11-26 15:55:47.202: RTWSControl  - tickOptionComputation - id:200045 tickType:10 impliedVol:6.08041900846755E-02 delta:0.67305655148763 optPrice:4.90000005811453E-03 pvDividend:0 gamma: 1.79769313486232E+308 theta/vega/undPrice: -6.1803323501893E-04-4.45448359083616E-04-1.5783</t>
  </si>
  <si>
    <t>2014-11-26 15:55:47.245: RTWSControl  - tickOptionComputation - id:200045 tickType:11 impliedVol:6.75395930028047E-02 delta:0.656855943035715 optPrice:5.2000000141561E-03 pvDividend:0 gamma: 1.79769313486232E+308 theta/vega/undPrice: -6.99855412366708E-04-4.454480486087E-04-1.5783</t>
  </si>
  <si>
    <t>2014-11-26 15:55:47.292: RTWSControl  - tickOptionComputation - id:200049 tickType:13 impliedVol:6.78196360146899E-02 delta:0.690313051517852 optPrice:1.17116202922772E-02 pvDividend:0 gamma: 1.79769313486232E+308 theta/vega/undPrice: -3.28280387653681E-04-9.14172638186789E-04-1.5783</t>
  </si>
  <si>
    <t>2014-11-26 15:55:47.332: RTWSControl  - tickOptionComputation - id:200050 tickType:13 impliedVol:6.78196360146899E-02 delta:-0.309757098663926 optPrice:3.41214619685229E-03 pvDividend:0 gamma: 1.79769313486232E+308 theta/vega/undPrice: -3.28339369538692E-04-9.14178197588861E-04-1.5783</t>
  </si>
  <si>
    <t>2014-11-26 15:55:47.371: RTWSControl  - tickOptionComputation - id:200051 tickType:13 impliedVol:7.05662326926131E-02 delta:-0.314788211829154 optPrice:3.56850962770412E-03 pvDividend:0 gamma: 1.79769313486232E+308 theta/vega/undPrice: -3.45731955886758E-04-8.7820448965498E-04-1.5783</t>
  </si>
  <si>
    <t>2014-11-26 15:55:47.413: RTWSControl  - tickOptionComputation - id:200047 tickType:10 impliedVol:6.07939482021681E-02 delta:-0.326902767178221 optPrice:1.5999999595806E-03 pvDividend:0 gamma: 1.79769313486232E+308 theta/vega/undPrice: -6.17932470141077E-04-4.45448998411168E-04-1.5783</t>
  </si>
  <si>
    <t>2014-11-26 15:55:47.457: RTWSControl  - tickOptionComputation - id:200047 tickType:11 impliedVol:6.52929200918995E-02 delta:-0.338100560275639 optPrice:1.79999996908009E-03 pvDividend:0 gamma: 1.79769313486232E+308 theta/vega/undPrice: -6.72586518158282E-04-4.45448794036337E-04-1.5783</t>
  </si>
  <si>
    <t>2014-11-26 15:55:47.502: RTWSControl  - tickOptionComputation - id:200052 tickType:13 impliedVol:0.119327273810022 delta:-0.519267157007646 optPrice:1.26480149265177E-02 pvDividend:0 gamma: 1.79769313486232E+308 theta/vega/undPrice: -6.55964552178557E-04-9.85415347525001E-04-1.5783</t>
  </si>
  <si>
    <t>2014-11-26 15:55:47.545: RTWSControl  - tickOptionComputation - id:200055 tickType:10 impliedVol:5.90594831096982E-02 delta:0.407039519673852 optPrice:2.09999992512167E-03 pvDividend:0 gamma: 1.79769313486232E+308 theta/vega/undPrice: -6.486728508663E-04-4.83334522295854E-04-1.5783</t>
  </si>
  <si>
    <t>2014-11-26 15:55:47.588: RTWSControl  - tickOptionComputation - id:200055 tickType:11 impliedVol:6.11379056567115E-02 delta:0.410263111266349 optPrice:2.19999998807907E-03 pvDividend:0 gamma: 1.79769313486232E+308 theta/vega/undPrice: -6.72290253542178E-04-4.83334422144681E-04-1.5783</t>
  </si>
  <si>
    <t>2014-11-26 15:55:47.656: RTWSControl  - tickOptionComputation - id:200048 tickType:13 impliedVol:8.40062930320151E-02 delta:-3.15137959764469E-02 optPrice:2.63392179096021E-04 pvDividend:0 gamma: 1.79769313486232E+308 theta/vega/undPrice: -8.11331887690904E-05-2.09652602865034E-04-1.5783</t>
  </si>
  <si>
    <t>2014-11-26 15:55:47.707: RTWSControl  - tickOptionComputation - id:200053 tickType:13 impliedVol:6.40620049713334E-02 delta:8.93528591367836E-02 optPrice:6.66986112645498E-04 pvDividend:0 gamma: 1.79769313486232E+308 theta/vega/undPrice: -1.41620635464558E-04-4.47289966477627E-04-1.5783</t>
  </si>
  <si>
    <t>2014-11-26 15:55:47.745: RTWSControl  - tickOptionComputation - id:200049 tickType:10 impliedVol:6.76925201774869E-02 delta:0.690558678541772 optPrice:1.16999996826053E-02 pvDividend:0 gamma: 1.79769313486232E+308 theta/vega/undPrice: -3.27530487848638E-04-9.1417269309256E-04-1.5783</t>
  </si>
  <si>
    <t>2014-11-26 15:55:47.790: RTWSControl  - tickOptionComputation - id:200049 tickType:11 impliedVol:7.09741752858819E-02 delta:0.682350551420193 optPrice:1.20000001043081E-02 pvDividend:0 gamma: 1.79769313486232E+308 theta/vega/undPrice: -3.46890058285889E-04-9.14171250625952E-04-1.5783</t>
  </si>
  <si>
    <t>2014-11-26 15:55:47.838: RTWSControl  - tickOptionComputation - id:200054 tickType:13 impliedVol:7.27333999019422E-02 delta:2.26367466791382E-03 optPrice:1.23586834819028E-05 pvDividend:0 gamma: 0.387849180518309 theta/vega/undPrice: -6.99959177263043E-06-3.32207674789229E-05-1.5783</t>
  </si>
  <si>
    <t>2014-11-26 15:55:47.877: RTWSControl  - tickOptionComputation - id:200050 tickType:10 impliedVol:6.87806491643448E-02 delta:-0.312194497574014 optPrice:3.50000010803342E-03 pvDividend:0 gamma: 1.79769313486232E+308 theta/vega/undPrice: -3.34008794005603E-04-9.14177786066746E-04-1.5783</t>
  </si>
  <si>
    <t>2014-11-26 15:55:47.930: RTWSControl  - tickOptionComputation - id:200050 tickType:11 impliedVol:6.98645579748718E-02 delta:-0.314905087172025 optPrice:3.59999993816018E-03 pvDividend:0 gamma: 1.79769313486232E+308 theta/vega/undPrice: -3.4040322452812E-04-9.14177316570567E-04-1.5783</t>
  </si>
  <si>
    <t>2014-11-26 15:55:47.993: RTWSControl  - tickOptionComputation - id:200051 tickType:10 impliedVol:6.74931189560125E-02 delta:-0.307163719835161 optPrice:3.29999998211861E-03 pvDividend:0 gamma: 1.79769313486232E+308 theta/vega/undPrice: -3.27193341783723E-04-8.68955122973217E-04-1.5783</t>
  </si>
  <si>
    <t>2014-11-26 15:55:48.38: RTWSControl  - tickOptionComputation - id:200051 tickType:11 impliedVol:7.09248087507386E-02 delta:-0.315595023743295 optPrice:3.59999993816018E-03 pvDividend:0 gamma: 1.79769313486232E+308 theta/vega/undPrice: -3.47887346009838E-04-8.79211980167139E-04-1.5783</t>
  </si>
  <si>
    <t>2014-11-26 15:55:48.84: RTWSControl  - tickOptionComputation - id:200052 tickType:10 impliedVol:1.79769313486232E+308 delta:1.79769313486232E+308 optPrice:1.79769313486232E+308 pvDividend:0 gamma: 1.79769313486232E+308 theta/vega/undPrice: 1.79769313486232E+308-1.79769313486232E+308-1.5783</t>
  </si>
  <si>
    <t>2014-11-26 15:55:48.118: RTWSControl  - tickOptionComputation - id:200052 tickType:11 impliedVol:1.79769313486232E+308 delta:1.79769313486232E+308 optPrice:1.79769313486232E+308 pvDividend:0 gamma: 1.79769313486232E+308 theta/vega/undPrice: 1.79769313486232E+308-1.79769313486232E+308-1.5783</t>
  </si>
  <si>
    <t>2014-11-26 15:55:48.160: RTWSControl  - tickOptionComputation - id:200048 tickType:10 impliedVol:8.04518139129868E-02 delta:-2.56877602870666E-02 optPrice:1.99999994947575E-04 pvDividend:0 gamma: 1.79769313486232E+308 theta/vega/undPrice: -6.56732803749828E-05-1.79303079594822E-04-1.5783</t>
  </si>
  <si>
    <t>2014-11-26 15:55:48.207: RTWSControl  - tickOptionComputation - id:200048 tickType:11 impliedVol:8.60457742230293E-02 delta:-3.46324425888315E-02 optPrice:3.00000014249235E-04 pvDividend:0 gamma: 1.79769313486232E+308 theta/vega/undPrice: -9.00037219553864E-05-2.32748208266454E-04-1.5783</t>
  </si>
  <si>
    <t>2014-11-26 15:55:48.252: RTWSControl  - tickOptionComputation - id:200053 tickType:10 impliedVol:6.25636503083982E-02 delta:8.35617722358744E-02 optPrice:6.00000028498471E-04 pvDividend:0 gamma: 1.79769313486232E+308 theta/vega/undPrice: -1.31926132984304E-04-4.47290255518765E-04-1.5783</t>
  </si>
  <si>
    <t>2014-11-26 15:55:48.293: RTWSControl  - tickOptionComputation - id:200053 tickType:11 impliedVol:6.48128646095985E-02 delta:9.21378004439707E-02 optPrice:6.99999975040555E-04 pvDividend:0 gamma: 1.79769313486232E+308 theta/vega/undPrice: -1.46478767383459E-04-4.4728982305646E-04-1.5783</t>
  </si>
  <si>
    <t>2014-11-26 15:55:48.360: RTWSControl  - tickOptionComputation - id:200054 tickType:10 impliedVol:1.79769313486232E+308 delta:1.79769313486232E+308 optPrice:1.79769313486232E+308 pvDividend:0 gamma: 1.79769313486232E+308 theta/vega/undPrice: 1.79769313486232E+308-1.79769313486232E+308-1.5783</t>
  </si>
  <si>
    <t>2014-11-26 15:55:48.377: RTWSControl  - tickOptionComputation - id:200054 tickType:11 impliedVol:9.14031469229053E-02 delta:1.24264967512287E-02 optPrice:9.99999974737875E-05 pvDividend:0 gamma: 1.79769313486232E+308 theta/vega/undPrice: -4.01344420067459E-05-1.03762369046212E-04-1.5783</t>
  </si>
  <si>
    <t>2014-11-26 15:55:48.821: DirectionIndicator - notify - price/longMA/ShortMA/prevDirection are 1.5783/1.57825701026488/1.5782813107922/1</t>
  </si>
  <si>
    <t>2014-11-26 15:55:48.821: Algorithm - handleTransition - currentHedgeShortfall is NOT ZERO and AUTOHEDGE IS NOT ENABLED!</t>
  </si>
  <si>
    <t>2014-11-26 15:55:48.998: DirectionIndicator - notify - price/longMA/ShortMA/prevDirection are 1.57825/1.57825573567127/1.57827087386147/1</t>
  </si>
  <si>
    <t>2014-11-26 15:55:49.1: Algorithm - handleTransition - currentHedgeShortfall is NOT ZERO and AUTOHEDGE IS NOT ENABLED!</t>
  </si>
  <si>
    <t>2014-11-26 15:55:49.165: RTWSControl  - tickOptionComputation - id:200042 tickType:13 impliedVol:0.080241479641586 delta:-2.88812704996455E-02 optPrice:1.10580232644698E-04 pvDividend:0 gamma: 1.79769313486232E+308 theta/vega/undPrice: -1.48164348698578E-04-9.39830067896136E-05-1.5783</t>
  </si>
  <si>
    <t>2014-11-26 15:55:49.240: RTWSControl  - tickOptionComputation - id:200041 tickType:13 impliedVol:7.15460848888227E-02 delta:0.93841795176777 optPrice:1.35355052447814E-02 pvDividend:0 gamma: 1.79769313486232E+308 theta/vega/undPrice: -2.44551470003055E-04-1.71745382879424E-04-1.5783</t>
  </si>
  <si>
    <t>2014-11-26 15:55:49.292: RTWSControl  - tickOptionComputation - id:200043 tickType:13 impliedVol:7.15460848888227E-02 delta:-6.16945696288752E-02 optPrice:2.35695431553912E-04 pvDividend:0 gamma: 1.79769313486232E+308 theta/vega/undPrice: -2.44639353572609E-04-1.71745650527106E-04-1.5783</t>
  </si>
  <si>
    <t>2014-11-26 15:55:49.331: RTWSControl  - tickOptionComputation - id:200043 tickType:10 impliedVol:1.79769313486232E+308 delta:1.79769313486232E+308 optPrice:9.99999974737875E-05 pvDividend:0 gamma: 1.79769313486232E+308 theta/vega/undPrice: 1.79769313486232E+308-1.79769313486232E+308-1.5783</t>
  </si>
  <si>
    <t>2014-11-26 15:55:49.366: RTWSControl  - tickOptionComputation - id:200044 tickType:13 impliedVol:6.54000661985918E-02 delta:0.853205157399893 optPrice:8.90939280615385E-03 pvDividend:0 gamma: 1.79769313486232E+308 theta/vega/undPrice: -4.23274308391267E-04-2.9767024736272E-04-1.5783</t>
  </si>
  <si>
    <t>2014-11-26 15:55:49.412: RTWSControl  - tickOptionComputation - id:200046 tickType:13 impliedVol:6.54000661985918E-02 delta:-0.146907531158327 optPrice:6.09512176417045E-04 pvDividend:0 gamma: 1.79769313486232E+308 theta/vega/undPrice: -4.23329824133549E-04-2.97670535905082E-04-1.5783</t>
  </si>
  <si>
    <t>2014-11-26 15:55:49.454: RTWSControl  - tickOptionComputation - id:200045 tickType:13 impliedVol:6.18034235708933E-02 delta:0.67051349656506 optPrice:4.94451076943828E-03 pvDividend:0 gamma: 1.79769313486232E+308 theta/vega/undPrice: -6.30172006748734E-04-4.4544831461697E-04-1.5783</t>
  </si>
  <si>
    <t>2014-11-26 15:55:49.497: RTWSControl  - tickOptionComputation - id:200045 tickType:11 impliedVol:6.52944621816692E-02 delta:0.661882588481007 optPrice:5.10000018402934E-03 pvDividend:0 gamma: 1.79769313486232E+308 theta/vega/undPrice: -6.7258141126006E-04-4.4544815490536E-04-1.5783</t>
  </si>
  <si>
    <t>2014-11-26 15:55:49.541: RTWSControl  - tickOptionComputation - id:200047 tickType:13 impliedVol:6.18034235708933E-02 delta:-0.329599656311078 optPrice:1.6445606590019E-03 pvDividend:0 gamma: 1.79769313486232E+308 theta/vega/undPrice: -6.30195702408703E-04-4.45448953653671E-04-1.5783</t>
  </si>
  <si>
    <t>2014-11-26 15:55:49.582: RTWSControl  - tickOptionComputation - id:200055 tickType:13 impliedVol:6.07561570057129E-02 delta:0.409739202055101 optPrice:2.1820060647293E-03 pvDividend:0 gamma: 1.79769313486232E+308 theta/vega/undPrice: -6.67952391830796E-04-4.8333444077183E-04-1.5783</t>
  </si>
  <si>
    <t>2014-11-26 15:55:49.621: RTWSControl  - tickOptionComputation - id:200055 tickType:10 impliedVol:5.90594834171377E-02 delta:0.407039520167235 optPrice:2.09999992512167E-03 pvDividend:0 gamma: 1.79769313486232E+308 theta/vega/undPrice: -6.48672854359615E-04-4.83334522295873E-04-1.5783</t>
  </si>
  <si>
    <t>2014-11-26 15:55:49.663: RTWSControl  - tickOptionComputation - id:200049 tickType:13 impliedVol:0.068018864103351 delta:0.689793757421673 optPrice:1.17298332204666E-02 pvDividend:0 gamma: 1.79769313486232E+308 theta/vega/undPrice: -3.29455702076544E-04-9.14172551972063E-04-1.5783</t>
  </si>
  <si>
    <t>2014-11-26 15:55:49.709: RTWSControl  - tickOptionComputation - id:200050 tickType:13 impliedVol:0.068018864103351 delta:-0.31027639632802 optPrice:3.43035923574607E-03 pvDividend:0 gamma: 1.79769313486232E+308 theta/vega/undPrice: -3.29514701112155E-04-9.14178112643203E-04-1.5783</t>
  </si>
  <si>
    <t>2014-11-26 15:55:49.746: RTWSControl  - tickOptionComputation - id:200051 tickType:13 impliedVol:7.09248094548984E-02 delta:-0.315634931592232 optPrice:3.60001813332185E-03 pvDividend:0 gamma: 1.79769313486232E+308 theta/vega/undPrice: -3.47887350240992E-04-8.79211982131747E-04-1.5783</t>
  </si>
  <si>
    <t>2014-11-26 15:55:49.793: RTWSControl  - tickOptionComputation - id:200052 tickType:13 impliedVol:0.119845527547898 delta:-0.519151757385807 optPrice:1.26990850225676E-02 pvDividend:0 gamma: 1.79769313486232E+308 theta/vega/undPrice: -6.58822690375281E-04-9.854290679368E-04-1.5783</t>
  </si>
  <si>
    <t>2014-11-26 15:55:49.837: RTWSControl  - tickOptionComputation - id:200052 tickType:10 impliedVol:1.79769313486232E+308 delta:1.79769313486232E+308 optPrice:1.79769313486232E+308 pvDividend:0 gamma: 1.79769313486232E+308 theta/vega/undPrice: 1.79769313486232E+308-1.79769313486232E+308-1.5783</t>
  </si>
  <si>
    <t>2014-11-26 15:55:49.873: RTWSControl  - tickOptionComputation - id:200052 tickType:11 impliedVol:1.79769313486232E+308 delta:1.79769313486232E+308 optPrice:1.79769313486232E+308 pvDividend:0 gamma: 1.79769313486232E+308 theta/vega/undPrice: 1.79769313486232E+308-1.79769313486232E+308-1.5783</t>
  </si>
  <si>
    <t>2014-11-26 15:55:49.914: RTWSControl  - tickOptionComputation - id:200048 tickType:13 impliedVol:8.40703531307589E-02 delta:-3.16142037549593E-02 optPrice:2.64540797182174E-04 pvDividend:0 gamma: 1.79769313486232E+308 theta/vega/undPrice: -8.14118123977309E-05-2.10378036425741E-04-1.5783</t>
  </si>
  <si>
    <t>2014-11-26 15:55:49.963: RTWSControl  - tickOptionComputation - id:200053 tickType:13 impliedVol:6.39239569052172E-02 delta:8.88315736307201E-02 optPrice:6.60811347546019E-04 pvDividend:0 gamma: 1.79769313486232E+308 theta/vega/undPrice: -1.40727451304422E-04-4.47289992949935E-04-1.5783</t>
  </si>
  <si>
    <t>2014-11-26 15:55:50.5: RTWSControl  - tickOptionComputation - id:200054 tickType:13 impliedVol:7.17856315363505E-02 delta:1.91648083494161E-03 optPrice:1.01315359903517E-05 pvDividend:0 gamma: 0.339764443540026 theta/vega/undPrice: -5.97303714505065E-06-3.03817353203991E-05-1.5783</t>
  </si>
  <si>
    <t>2014-11-26 15:55:50.71: RTWSControl  - tickOptionComputation - id:200054 tickType:10 impliedVol:1.79769313486232E+308 delta:1.79769313486232E+308 optPrice:1.79769313486232E+308 pvDividend:0 gamma: 1.79769313486232E+308 theta/vega/undPrice: 1.79769313486232E+308-1.79769313486232E+308-1.5783</t>
  </si>
  <si>
    <t>2014-11-26 15:55:50.495: DirectionIndicator - notify - price/longMA/ShortMA/prevDirection are 1.5782/1.57824560191286/1.57824724924098/1</t>
  </si>
  <si>
    <t>2014-11-26 15:55:50.495: Algorithm - handleTransition - currentHedgeShortfall is NOT ZERO and AUTOHEDGE IS NOT ENABLED!</t>
  </si>
  <si>
    <t>2014-11-26 15:55:50.786: RTWSControl  - tickOptionComputation - id:200041 tickType:11 impliedVol:0.076041325705794 delta:0.927628882791361 optPrice:1.36000001803041E-02 pvDividend:0 gamma: 1.79769313486232E+308 theta/vega/undPrice: -2.96105749547746E-04-2.03992734422601E-04-1.5783</t>
  </si>
  <si>
    <t>2014-11-26 15:55:50.858: RTWSControl  - tickOptionComputation - id:200043 tickType:10 impliedVol:1.79769313486232E+308 delta:1.79769313486232E+308 optPrice:9.99999974737875E-05 pvDividend:0 gamma: 1.79769313486232E+308 theta/vega/undPrice: 1.79769313486232E+308-1.79769313486232E+308-1.5783</t>
  </si>
  <si>
    <t>2014-11-26 15:55:50.876: RTWSControl  - tickOptionComputation - id:200044 tickType:10 impliedVol:5.75749315983857E-02 delta:0.883989672112588 optPrice:8.70000012218952E-03 pvDividend:0 gamma: 1.79769313486232E+308 theta/vega/undPrice: -3.17488740092481E-04-2.74131982687468E-04-1.5783</t>
  </si>
  <si>
    <t>2014-11-26 15:55:50.947: RTWSControl  - tickOptionComputation - id:200045 tickType:10 impliedVol:5.85592686942658E-02 delta:0.679289169539239 optPrice:4.80000022798777E-03 pvDividend:0 gamma: 1.79769313486232E+308 theta/vega/undPrice: -5.90761732089544E-04-4.45448456959646E-04-1.5783</t>
  </si>
  <si>
    <t>2014-11-26 15:55:51.0: RTWSControl  - tickOptionComputation - id:200049 tickType:11 impliedVol:6.98802936376915E-02 delta:0.684999933947471 optPrice:1.19000002741814E-02 pvDividend:0 gamma: 1.79769313486232E+308 theta/vega/undPrice: -3.40436896426567E-04-9.14171737216005E-04-1.5783</t>
  </si>
  <si>
    <t>2014-11-26 15:55:51.40: RTWSControl  - tickOptionComputation - id:200050 tickType:11 impliedVol:7.09684022350083E-02 delta:-0.31757944703738 optPrice:3.70000000111759E-03 pvDividend:0 gamma: 1.79769313486232E+308 theta/vega/undPrice: -3.46915254181605E-04-9.14176832613291E-04-1.5783</t>
  </si>
  <si>
    <t>2014-11-26 15:55:51.84: RTWSControl  - tickOptionComputation - id:200052 tickType:10 impliedVol:1.79769313486232E+308 delta:1.79769313486232E+308 optPrice:1.79769313486232E+308 pvDividend:0 gamma: 1.79769313486232E+308 theta/vega/undPrice: 1.79769313486232E+308-1.79769313486232E+308-1.5783</t>
  </si>
  <si>
    <t>2014-11-26 15:55:51.118: RTWSControl  - tickOptionComputation - id:200052 tickType:11 impliedVol:1.79769313486232E+308 delta:1.79769313486232E+308 optPrice:1.79769313486232E+308 pvDividend:0 gamma: 1.79769313486232E+308 theta/vega/undPrice: 1.79769313486232E+308-1.79769313486232E+308-1.5783</t>
  </si>
  <si>
    <t>2014-11-26 15:55:51.161: RTWSControl  - tickOptionComputation - id:200054 tickType:10 impliedVol:1.79769313486232E+308 delta:1.79769313486232E+308 optPrice:1.79769313486232E+308 pvDividend:0 gamma: 1.79769313486232E+308 theta/vega/undPrice: 1.79769313486232E+308-1.79769313486232E+308-1.5783</t>
  </si>
  <si>
    <t>2014-11-26 15:55:51.199: DirectionIndicator - notify - price/longMA/ShortMA/prevDirection are 1.57825/1.57824640156506/1.57824816616065/1</t>
  </si>
  <si>
    <t>2014-11-26 15:55:51.199: Algorithm - handleTransition - currentHedgeShortfall is NOT ZERO and AUTOHEDGE IS NOT ENABLED!</t>
  </si>
  <si>
    <t>2014-11-26 15:55:51.747: DirectionIndicator - notify - price/longMA/ShortMA/prevDirection are 1.5783/1.57825614673505/1.5782654441071/1</t>
  </si>
  <si>
    <t>2014-11-26 15:55:51.748: Algorithm - handleTransition - currentHedgeShortfall is NOT ZERO and AUTOHEDGE IS NOT ENABLED!</t>
  </si>
  <si>
    <t>2014-11-26 15:55:51.915: DirectionIndicator - notify - price/longMA/ShortMA/prevDirection are 1.57835/1.57827321096504/1.57829362940473/1</t>
  </si>
  <si>
    <t>2014-11-26 15:55:51.919: Algorithm - handleTransition - currentHedgeShortfall is NOT ZERO and AUTOHEDGE IS NOT ENABLED!</t>
  </si>
  <si>
    <t>2014-11-26 15:55:52.30: TransitionLogger - flushFile - flushing file</t>
  </si>
  <si>
    <t>2014-11-26 15:55:52.30: TransitionLogger - openTransitionFile - opening file C:\temp\transitionlog_2014-11-26_155023</t>
  </si>
  <si>
    <t>2014-11-26 15:55:52.279: DirectionIndicator - notify - price/longMA/ShortMA/prevDirection are 1.5783/1.57827808169867/1.57829575293649/1</t>
  </si>
  <si>
    <t>2014-11-26 15:55:52.280: Algorithm - handleTransition - currentHedgeShortfall is NOT ZERO and AUTOHEDGE IS NOT ENABLED!</t>
  </si>
  <si>
    <t>2014-11-26 15:55:52.445: DirectionIndicator - notify - price/longMA/ShortMA/prevDirection are 1.57825/1.57827297593528/1.57828050195766/1</t>
  </si>
  <si>
    <t>2014-11-26 15:55:52.445: Algorithm - handleTransition - currentHedgeShortfall is NOT ZERO and AUTOHEDGE IS NOT ENABLED!</t>
  </si>
  <si>
    <t>2014-11-26 15:55:52.620: RTWSControl  - tickOptionComputation - id:200042 tickType:13 impliedVol:8.15246844292972E-02 delta:-3.10183623670603E-02 optPrice:1.21846123806395E-04 pvDividend:0 gamma: 1.79769313486232E+308 theta/vega/undPrice: -1.59712520157439E-04-1.01098285643916E-04-1.5783</t>
  </si>
  <si>
    <t>2014-11-26 15:55:52.671: RTWSControl  - tickOptionComputation - id:200041 tickType:13 impliedVol:7.26926946242656E-02 delta:0.935570247877335 optPrice:1.35519560953195E-02 pvDividend:0 gamma: 1.79769313486232E+308 theta/vega/undPrice: -2.57701522920786E-04-1.79970779687585E-04-1.5783</t>
  </si>
  <si>
    <t>2014-11-26 15:55:52.716: RTWSControl  - tickOptionComputation - id:200041 tickType:11 impliedVol:0.081209176795401 delta:0.913132811783577 optPrice:1.37000000104308E-02 pvDividend:0 gamma: 1.79769313486232E+308 theta/vega/undPrice: -3.61452295302651E-04-2.15210400649516E-04-1.5783</t>
  </si>
  <si>
    <t>2014-11-26 15:55:52.785: RTWSControl  - tickOptionComputation - id:200043 tickType:13 impliedVol:7.26926946242656E-02 delta:-6.45422755954072E-02 optPrice:2.5214629338557E-04 pvDividend:0 gamma: 1.79769313486232E+308 theta/vega/undPrice: -2.57789421258626E-04-1.79971056064593E-04-1.5783</t>
  </si>
  <si>
    <t>2014-11-26 15:55:52.833: RTWSControl  - tickOptionComputation - id:200043 tickType:10 impliedVol:1.79769313486232E+308 delta:1.79769313486232E+308 optPrice:9.99999974737875E-05 pvDividend:0 gamma: 1.79769313486232E+308 theta/vega/undPrice: 1.79769313486232E+308-1.79769313486232E+308-1.5783</t>
  </si>
  <si>
    <t>2014-11-26 15:55:52.866: RTWSControl  - tickOptionComputation - id:200044 tickType:13 impliedVol:6.63815433801318E-02 delta:0.849432582436593 optPrice:8.93860847549211E-03 pvDividend:0 gamma: 1.79769313486232E+308 theta/vega/undPrice: -4.36736912258669E-04-2.97670216734616E-04-1.5783</t>
  </si>
  <si>
    <t>2014-11-26 15:55:52.912: RTWSControl  - tickOptionComputation - id:200044 tickType:10 impliedVol:6.17251011500089E-02 delta:0.868289334516523 optPrice:8.79999995231628E-03 pvDividend:0 gamma: 1.79769313486232E+308 theta/vega/undPrice: -3.72865982818717E-04-2.97670361890956E-04-1.5783</t>
  </si>
  <si>
    <t>2014-11-26 15:55:52.954: RTWSControl  - tickOptionComputation - id:200046 tickType:13 impliedVol:6.63815433801318E-02 delta:-0.150680110053705 optPrice:6.38727874039348E-04 pvDividend:0 gamma: 1.79769313486232E+308 theta/vega/undPrice: -4.3679245359101E-04-2.97670505420046E-04-1.5783</t>
  </si>
  <si>
    <t>2014-11-26 15:55:53.4: RTWSControl  - tickOptionComputation - id:200045 tickType:13 impliedVol:6.25912306968957E-02 delta:0.668500901455935 optPrice:4.97960352105625E-03 pvDividend:0 gamma: 1.79769313486232E+308 theta/vega/undPrice: -6.39742351321888E-04-4.45448279167889E-04-1.5783</t>
  </si>
  <si>
    <t>2014-11-26 15:55:53.47: RTWSControl  - tickOptionComputation - id:200045 tickType:10 impliedVol:6.08041900846755E-02 delta:0.67305655148763 optPrice:4.90000005811453E-03 pvDividend:0 gamma: 1.79769313486232E+308 theta/vega/undPrice: -6.1803323501893E-04-4.45448359083616E-04-1.5783</t>
  </si>
  <si>
    <t>2014-11-26 15:55:53.123: RTWSControl  - tickOptionComputation - id:200047 tickType:13 impliedVol:6.25912306968957E-02 delta:-0.331612254670087 optPrice:1.67965346095055E-03 pvDividend:0 gamma: 1.79769313486232E+308 theta/vega/undPrice: -6.39766079580764E-04-4.45448918220519E-04-1.5783</t>
  </si>
  <si>
    <t>2014-11-26 15:55:53.166: RTWSControl  - tickOptionComputation - id:200055 tickType:13 impliedVol:6.13217565745572E-02 delta:0.410589755964947 optPrice:2.20934345255974E-03 pvDividend:0 gamma: 1.79769313486232E+308 theta/vega/undPrice: -6.74379376305993E-04-4.83334413135027E-04-1.5783</t>
  </si>
  <si>
    <t>2014-11-26 15:55:53.205: RTWSControl  - tickOptionComputation - id:200049 tickType:13 impliedVol:6.82195670294483E-02 delta:0.689273720093025 optPrice:1.17481809729223E-02 pvDividend:0 gamma: 1.79769313486232E+308 theta/vega/undPrice: -3.3063971679528E-04-9.14172464928491E-04-1.5783</t>
  </si>
  <si>
    <t>2014-11-26 15:55:53.249: RTWSControl  - tickOptionComputation - id:200055 tickType:11 impliedVol:6.31974053884866E-02 delta:0.413250271474514 optPrice:2.30000005103648E-03 pvDividend:0 gamma: 1.79769313486232E+308 theta/vega/undPrice: -6.95692620664411E-04-4.83334319844194E-04-1.5783</t>
  </si>
  <si>
    <t>2014-11-26 15:55:53.292: RTWSControl  - tickOptionComputation - id:200050 tickType:13 impliedVol:6.82195670294483E-02 delta:-0.310796437229771 optPrice:3.44870709972879E-03 pvDividend:0 gamma: 1.79769313486232E+308 theta/vega/undPrice: -3.3069873310879E-04-9.14178026872134E-04-1.5783</t>
  </si>
  <si>
    <t>2014-11-26 15:55:53.336: RTWSControl  - tickOptionComputation - id:200049 tickType:11 impliedVol:7.09741752858819E-02 delta:0.682350551420193 optPrice:1.20000001043081E-02 pvDividend:0 gamma: 1.79769313486232E+308 theta/vega/undPrice: -3.46890058285889E-04-9.14171250625952E-04-1.5783</t>
  </si>
  <si>
    <t>2014-11-26 15:55:53.380: RTWSControl  - tickOptionComputation - id:200048 tickType:13 impliedVol:8.39239834499921E-02 delta:-3.13845581363913E-02 optPrice:2.61916341871182E-04 pvDividend:0 gamma: 1.79769313486232E+308 theta/vega/undPrice: -8.07751906369653E-05-2.08720507249705E-04-1.5783</t>
  </si>
  <si>
    <t>2014-11-26 15:55:53.448: RTWSControl  - tickOptionComputation - id:200050 tickType:11 impliedVol:6.98645579748718E-02 delta:-0.314905087172025 optPrice:3.59999993816018E-03 pvDividend:0 gamma: 1.79769313486232E+308 theta/vega/undPrice: -3.4040322452812E-04-9.14177316570567E-04-1.5783</t>
  </si>
  <si>
    <t>2014-11-26 15:55:53.493: RTWSControl  - tickOptionComputation - id:200053 tickType:13 impliedVol:6.39979559859434E-02 delta:8.91112813469946E-02 optPrice:6.64121259524183E-04 pvDividend:0 gamma: 1.79769313486232E+308 theta/vega/undPrice: -1.41206232428872E-04-4.47289978756292E-04-1.5783</t>
  </si>
  <si>
    <t>2014-11-26 15:55:53.541: RTWSControl  - tickOptionComputation - id:200054 tickType:13 impliedVol:7.12591503194737E-02 delta:1.82609867892523E-03 optPrice:9.56395491638688E-06 pvDividend:0 gamma: 0.326938844763614 theta/vega/undPrice: -5.66356711807679E-06-2.81350742805238E-05-1.5783</t>
  </si>
  <si>
    <t>2014-11-26 15:55:53.578: RTWSControl  - tickOptionComputation - id:200052 tickType:10 impliedVol:1.79769313486232E+308 delta:1.79769313486232E+308 optPrice:1.79769313486232E+308 pvDividend:0 gamma: 1.79769313486232E+308 theta/vega/undPrice: 1.79769313486232E+308-1.79769313486232E+308-1.5783</t>
  </si>
  <si>
    <t>2014-11-26 15:55:53.615: RTWSControl  - tickOptionComputation - id:200052 tickType:11 impliedVol:1.79769313486232E+308 delta:1.79769313486232E+308 optPrice:1.79769313486232E+308 pvDividend:0 gamma: 1.79769313486232E+308 theta/vega/undPrice: 1.79769313486232E+308-1.79769313486232E+308-1.5783</t>
  </si>
  <si>
    <t>2014-11-26 15:55:53.657: RTWSControl  - tickOptionComputation - id:200054 tickType:10 impliedVol:1.79769313486232E+308 delta:1.79769313486232E+308 optPrice:1.79769313486232E+308 pvDividend:0 gamma: 1.79769313486232E+308 theta/vega/undPrice: 1.79769313486232E+308-1.79769313486232E+308-1.5783</t>
  </si>
  <si>
    <t>2014-11-26 15:55:53.946: RTWSControl  - tickOptionComputation - id:200043 tickType:10 impliedVol:1.79769313486232E+308 delta:1.79769313486232E+308 optPrice:9.99999974737875E-05 pvDividend:0 gamma: 1.79769313486232E+308 theta/vega/undPrice: 1.79769313486232E+308-1.79769313486232E+308-1.5783</t>
  </si>
  <si>
    <t>2014-11-26 15:55:54.2: RTWSControl  - tickOptionComputation - id:200052 tickType:10 impliedVol:1.79769313486232E+308 delta:1.79769313486232E+308 optPrice:1.79769313486232E+308 pvDividend:0 gamma: 1.79769313486232E+308 theta/vega/undPrice: 1.79769313486232E+308-1.79769313486232E+308-1.5783</t>
  </si>
  <si>
    <t>2014-11-26 15:55:54.35: RTWSControl  - tickOptionComputation - id:200052 tickType:11 impliedVol:1.79769313486232E+308 delta:1.79769313486232E+308 optPrice:1.79769313486232E+308 pvDividend:0 gamma: 1.79769313486232E+308 theta/vega/undPrice: 1.79769313486232E+308-1.79769313486232E+308-1.5783</t>
  </si>
  <si>
    <t>2014-11-26 15:55:54.78: RTWSControl  - tickOptionComputation - id:200054 tickType:10 impliedVol:1.79769313486232E+308 delta:1.79769313486232E+308 optPrice:1.79769313486232E+308 pvDividend:0 gamma: 1.79769313486232E+308 theta/vega/undPrice: 1.79769313486232E+308-1.79769313486232E+308-1.5783</t>
  </si>
  <si>
    <t>2014-11-26 15:55:54.485: RTWSControl  - tickOptionComputation - id:200049 tickType:11 impliedVol:6.98802936376915E-02 delta:0.684999933947471 optPrice:1.19000002741814E-02 pvDividend:0 gamma: 1.79769313486232E+308 theta/vega/undPrice: -3.40436896426567E-04-9.14171737216005E-04-1.5783</t>
  </si>
  <si>
    <t>2014-11-26 15:55:54.536: RTWSControl  - tickOptionComputation - id:200049 tickType:13 impliedVol:6.79396187635568E-02 delta:0.689999943979464 optPrice:1.17225888120409E-02 pvDividend:0 gamma: 1.79769313486232E+308 theta/vega/undPrice: -3.28988206830337E-04-9.14172586285442E-04-1.5783</t>
  </si>
  <si>
    <t>2014-11-26 15:55:54.579: RTWSControl  - tickOptionComputation - id:200050 tickType:13 impliedVol:6.79396187635568E-02 delta:-0.310070208353655 optPrice:3.42311478328587E-03 pvDividend:0 gamma: 1.79769313486232E+308 theta/vega/undPrice: -3.29047199044045E-04-9.14178146454819E-04-1.5783</t>
  </si>
  <si>
    <t>2014-11-26 15:55:54.618: RTWSControl  - tickOptionComputation - id:200048 tickType:13 impliedVol:8.41230494810681E-02 delta:-3.16966849423088E-02 optPrice:2.65485659589559E-04 pvDividend:0 gamma: 1.79769313486232E+308 theta/vega/undPrice: -8.16410104160747E-05-2.10974783851134E-04-1.5783</t>
  </si>
  <si>
    <t>2014-11-26 15:55:54.661: RTWSControl  - tickOptionComputation - id:200053 tickType:13 impliedVol:6.39042420983742E-02 delta:8.87569451348699E-02 optPrice:6.59929522042125E-04 pvDividend:0 gamma: 1.79769313486232E+308 theta/vega/undPrice: -1.4059989461569E-04-4.47289996732936E-04-1.5783</t>
  </si>
  <si>
    <t>2014-11-26 15:55:54.702: RTWSControl  - tickOptionComputation - id:200054 tickType:13 impliedVol:7.20169194855096E-02 delta:1.98338234172727E-03 optPrice:1.05563881478633E-05 pvDividend:0 gamma: 0.349132637420831 theta/vega/undPrice: -6.17734326496893E-06-3.11932048227944E-05-1.5783</t>
  </si>
  <si>
    <t>2014-11-26 15:55:56.594: RTWSControl  - tickOptionComputation - id:200043 tickType:10 impliedVol:1.79769313486232E+308 delta:1.79769313486232E+308 optPrice:9.99999974737875E-05 pvDividend:0 gamma: 1.79769313486232E+308 theta/vega/undPrice: 1.79769313486232E+308-1.79769313486232E+308-1.5783</t>
  </si>
  <si>
    <t>2014-11-26 15:55:56.668: RTWSControl  - tickOptionComputation - id:200050 tickType:11 impliedVol:7.09684022350083E-02 delta:-0.31757944703738 optPrice:3.70000000111759E-03 pvDividend:0 gamma: 1.79769313486232E+308 theta/vega/undPrice: -3.46915254181605E-04-9.14176832613291E-04-1.5783</t>
  </si>
  <si>
    <t>2014-11-26 15:55:56.716: RTWSControl  - tickOptionComputation - id:200052 tickType:10 impliedVol:1.79769313486232E+308 delta:1.79769313486232E+308 optPrice:1.79769313486232E+308 pvDividend:0 gamma: 1.79769313486232E+308 theta/vega/undPrice: 1.79769313486232E+308-1.79769313486232E+308-1.5783</t>
  </si>
  <si>
    <t>2014-11-26 15:55:56.741: RTWSControl  - tickOptionComputation - id:200052 tickType:11 impliedVol:1.79769313486232E+308 delta:1.79769313486232E+308 optPrice:1.79769313486232E+308 pvDividend:0 gamma: 1.79769313486232E+308 theta/vega/undPrice: 1.79769313486232E+308-1.79769313486232E+308-1.5783</t>
  </si>
  <si>
    <t>2014-11-26 15:55:56.782: RTWSControl  - tickOptionComputation - id:200054 tickType:10 impliedVol:1.79769313486232E+308 delta:1.79769313486232E+308 optPrice:1.79769313486232E+308 pvDividend:0 gamma: 1.79769313486232E+308 theta/vega/undPrice: 1.79769313486232E+308-1.79769313486232E+308-1.5783</t>
  </si>
  <si>
    <t>2014-11-26 15:55:58.223: RTWSControl  - tickOptionComputation - id:200042 tickType:13 impliedVol:0.081541366932413 delta:-3.10243198315508E-02 optPrice:1.21878034267273E-04 pvDividend:0 gamma: 1.79769313486232E+308 theta/vega/undPrice: -1.59796366316893E-04-1.01095518310746E-04-1.5783</t>
  </si>
  <si>
    <t>2014-11-26 15:55:58.291: RTWSControl  - tickOptionComputation - id:200041 tickType:13 impliedVol:7.27063692879142E-02 delta:0.935565260262108 optPrice:1.35519854330648E-02 pvDividend:0 gamma: 1.79769313486232E+308 theta/vega/undPrice: -2.57807454240962E-04-1.79950981286106E-04-1.5783</t>
  </si>
  <si>
    <t>2014-11-26 15:55:58.331: RTWSControl  - tickOptionComputation - id:200043 tickType:13 impliedVol:7.27063692879142E-02 delta:-6.45472630990635E-02 optPrice:2.52175570285904E-04 pvDividend:0 gamma: 1.79769313486232E+308 theta/vega/undPrice: -0.000257895352605-1.79951257564425E-04-1.5783</t>
  </si>
  <si>
    <t>2014-11-26 15:55:58.374: RTWSControl  - tickOptionComputation - id:200044 tickType:13 impliedVol:6.63845598596282E-02 delta:0.849461388444635 optPrice:8.93838210536877E-03 pvDividend:0 gamma: 1.79769313486232E+308 theta/vega/undPrice: -4.36772372397004E-04-2.97622586428233E-04-1.5783</t>
  </si>
  <si>
    <t>2014-11-26 15:55:58.415: RTWSControl  - tickOptionComputation - id:200046 tickType:13 impliedVol:6.63845598596282E-02 delta:-0.150651303846466 optPrice:6.38501465491314E-04 pvDividend:0 gamma: 1.79769313486232E+308 theta/vega/undPrice: -4.36827913532335E-04-2.97622874973866E-04-1.5783</t>
  </si>
  <si>
    <t>2014-11-26 15:55:58.457: RTWSControl  - tickOptionComputation - id:200045 tickType:13 impliedVol:6.25759386474982E-02 delta:0.668564755833468 optPrice:4.97847632807279E-03 pvDividend:0 gamma: 1.79769313486232E+308 theta/vega/undPrice: -6.39639643676244E-04-4.45377003634144E-04-1.5783</t>
  </si>
  <si>
    <t>2014-11-26 15:55:58.498: RTWSControl  - tickOptionComputation - id:200047 tickType:13 impliedVol:6.25759386474982E-02 delta:-0.331548399870856 optPrice:1.67852625036959E-03 pvDividend:0 gamma: 1.79769313486232E+308 theta/vega/undPrice: -6.39663370880502E-04-4.4537764237919E-04-1.5783</t>
  </si>
  <si>
    <t>2014-11-26 15:55:58.540: RTWSControl  - tickOptionComputation - id:200055 tickType:13 impliedVol:6.12805056515811E-02 delta:0.410513614500366 optPrice:2.2068757120073E-03 pvDividend:0 gamma: 1.79769313486232E+308 theta/vega/undPrice: -6.74014907728452E-04-4.83257076759366E-04-1.5783</t>
  </si>
  <si>
    <t>2014-11-26 15:55:58.580: RTWSControl  - tickOptionComputation - id:200049 tickType:13 impliedVol:6.76926096037427E-02 delta:0.690652489827178 optPrice:1.16997735900026E-02 pvDividend:0 gamma: 1.79769313486232E+308 theta/vega/undPrice: -3.27540705864197E-04-9.14138082973108E-04-1.5783</t>
  </si>
  <si>
    <t>2014-11-26 15:55:58.622: RTWSControl  - tickOptionComputation - id:200050 tickType:13 impliedVol:6.76926096037427E-02 delta:-0.309417657713995 optPrice:3.4002993827447E-03 pvDividend:0 gamma: 1.79769313486232E+308 theta/vega/undPrice: -3.27599676589772E-04-9.14143641106065E-04-1.5783</t>
  </si>
  <si>
    <t>2014-11-26 15:55:58.663: RTWSControl  - tickOptionComputation - id:200051 tickType:13 impliedVol:7.09248094548984E-02 delta:-0.315628471857213 optPrice:3.59977654105573E-03 pvDividend:0 gamma: 1.79769313486232E+308 theta/vega/undPrice: -3.47897799793359E-04-8.79170253444353E-04-1.5783</t>
  </si>
  <si>
    <t>2014-11-26 15:55:58.704: RTWSControl  - tickOptionComputation - id:200052 tickType:13 impliedVol:0.119845527547898 delta:-0.519152787548629 optPrice:1.26986274959878E-02 pvDividend:0 gamma: 1.79769313486232E+308 theta/vega/undPrice: -6.58848145448532E-04-9.85390769291926E-04-1.5783</t>
  </si>
  <si>
    <t>2014-11-26 15:55:58.745: RTWSControl  - tickOptionComputation - id:200048 tickType:13 impliedVol:8.42512247336664E-02 delta:-3.18918994797207E-02 optPrice:2.67726682574597E-04 pvDividend:0 gamma: 1.79769313486232E+308 theta/vega/undPrice: -8.21908462952004E-05-2.12379071094674E-04-1.5783</t>
  </si>
  <si>
    <t>2014-11-26 15:55:58.790: RTWSControl  - tickOptionComputation - id:200053 tickType:13 impliedVol:6.38277916541874E-02 delta:0.088457941167972 optPrice:6.5640186166498E-04 pvDividend:0 gamma: 1.79769313486232E+308 theta/vega/undPrice: -1.40100226205361E-04-4.47273077170291E-04-1.5783</t>
  </si>
  <si>
    <t>2014-11-26 15:55:58.830: RTWSControl  - tickOptionComputation - id:200054 tickType:13 impliedVol:7.26567708850006E-02 delta:2.23289232624219E-03 optPrice:1.21590039454482E-05 pvDividend:0 gamma: 0.383638317177752 theta/vega/undPrice: -6.90901661205506E-06-3.29941062147136E-05-1.5783</t>
  </si>
  <si>
    <t>2014-11-26 15:55:59.539: Algorithm - FindNextStrikes - price is 1.57825 nextStrikeUp/Down 1.58/1.575</t>
  </si>
  <si>
    <t>2014-11-26 15:55:59.540: Algorithm - getPortfolioForwardDelta - required deltas is 4 currentHedgePosition is 6</t>
  </si>
  <si>
    <t>2014-11-26 15:55:59.540: Algorithm - getHedgeShortfall - required deltas is 4 price is 1.57835 currentHedgePositionDeltas is 6</t>
  </si>
  <si>
    <t>2014-11-26 15:55:59.543: Algorithm - processTransitionPoint - nextUpper/LowerStrikes are 1.58/1.575 requiredDeltas/currentPosition/currentHedgeShortfall/direction/transitionPrice are 4/6/-2/1/1.57835</t>
  </si>
  <si>
    <t>2014-11-26 15:55:59.544: TransitionLogger - processTransitionpoint - checking transition - currentHedgeShortfall is -2</t>
  </si>
  <si>
    <t>2014-11-26 15:55:59.544: Algorithm - handleTransition - currentHedgeShortfall is NOT ZERO and AUTOHEDGE IS NOT ENABLED!</t>
  </si>
  <si>
    <t>2014-11-26 15:55:59.545: Algorithm - updatePortfolio - haveAllDetails is True</t>
  </si>
  <si>
    <t>2014-11-26 15:55:59.587: Algorithm - FindNextStrikes - price is 1.57825 nextStrikeUp/Down 1.58/1.575</t>
  </si>
  <si>
    <t>2014-11-26 15:55:59.588: Algorithm - getPortfolioForwardDelta - required deltas is 4 currentHedgePosition is 6</t>
  </si>
  <si>
    <t>2014-11-26 15:55:59.588: Algorithm - getHedgeShortfall - required deltas is 4 price is 1.57835 currentHedgePositionDeltas is 6</t>
  </si>
  <si>
    <t>2014-11-26 15:55:59.588: Algorithm - processTransitionPoint - nextUpper/LowerStrikes are 1.58/1.575 requiredDeltas/currentPosition/currentHedgeShortfall/direction/transitionPrice are 4/6/-2/1/1.57835</t>
  </si>
  <si>
    <t>2014-11-26 15:55:59.588: TransitionLogger - processTransitionpoint - checking transition - currentHedgeShortfall is -2</t>
  </si>
  <si>
    <t>2014-11-26 15:55:59.589: Algorithm - handleTransition - currentHedgeShortfall is NOT ZERO and AUTOHEDGE IS NOT ENABLED!</t>
  </si>
  <si>
    <t>2014-11-26 15:55:59.589: Algorithm - updatePortfolio - haveAllDetails is True</t>
  </si>
  <si>
    <t>2014-11-26 15:55:59.636: Algorithm - FindNextStrikes - price is 1.57825 nextStrikeUp/Down 1.58/1.575</t>
  </si>
  <si>
    <t>2014-11-26 15:55:59.636: Algorithm - getPortfolioForwardDelta - required deltas is 4 currentHedgePosition is 6</t>
  </si>
  <si>
    <t>2014-11-26 15:55:59.637: Algorithm - getHedgeShortfall - required deltas is 4 price is 1.57835 currentHedgePositionDeltas is 6</t>
  </si>
  <si>
    <t>2014-11-26 15:55:59.637: Algorithm - processTransitionPoint - nextUpper/LowerStrikes are 1.58/1.575 requiredDeltas/currentPosition/currentHedgeShortfall/direction/transitionPrice are 4/6/-2/1/1.57835</t>
  </si>
  <si>
    <t>2014-11-26 15:55:59.640: TransitionLogger - processTransitionpoint - checking transition - currentHedgeShortfall is -2</t>
  </si>
  <si>
    <t>2014-11-26 15:55:59.641: Algorithm - handleTransition - currentHedgeShortfall is NOT ZERO and AUTOHEDGE IS NOT ENABLED!</t>
  </si>
  <si>
    <t>2014-11-26 15:55:59.641: Algorithm - updatePortfolio - haveAllDetails is True</t>
  </si>
  <si>
    <t>2014-11-26 15:55:59.672: Algorithm - FindNextStrikes - price is 1.57825 nextStrikeUp/Down 1.58/1.575</t>
  </si>
  <si>
    <t>2014-11-26 15:55:59.673: Algorithm - getPortfolioForwardDelta - required deltas is 4 currentHedgePosition is 6</t>
  </si>
  <si>
    <t>2014-11-26 15:55:59.673: Algorithm - getHedgeShortfall - required deltas is 4 price is 1.57835 currentHedgePositionDeltas is 6</t>
  </si>
  <si>
    <t>2014-11-26 15:55:59.673: Algorithm - processTransitionPoint - nextUpper/LowerStrikes are 1.58/1.575 requiredDeltas/currentPosition/currentHedgeShortfall/direction/transitionPrice are 4/6/-2/1/1.57835</t>
  </si>
  <si>
    <t>2014-11-26 15:55:59.673: TransitionLogger - processTransitionpoint - checking transition - currentHedgeShortfall is -2</t>
  </si>
  <si>
    <t>2014-11-26 15:55:59.674: Algorithm - handleTransition - currentHedgeShortfall is NOT ZERO and AUTOHEDGE IS NOT ENABLED!</t>
  </si>
  <si>
    <t>2014-11-26 15:55:59.674: Algorithm - updatePortfolio - haveAllDetails is True</t>
  </si>
  <si>
    <t>2014-11-26 15:55:59.717: Algorithm - FindNextStrikes - price is 1.57825 nextStrikeUp/Down 1.58/1.575</t>
  </si>
  <si>
    <t>2014-11-26 15:55:59.717: Algorithm - getPortfolioForwardDelta - required deltas is 4 currentHedgePosition is 6</t>
  </si>
  <si>
    <t>2014-11-26 15:55:59.717: Algorithm - getHedgeShortfall - required deltas is 4 price is 1.57835 currentHedgePositionDeltas is 6</t>
  </si>
  <si>
    <t>2014-11-26 15:55:59.717: Algorithm - processTransitionPoint - nextUpper/LowerStrikes are 1.58/1.575 requiredDeltas/currentPosition/currentHedgeShortfall/direction/transitionPrice are 4/6/-2/1/1.57835</t>
  </si>
  <si>
    <t>2014-11-26 15:55:59.718: TransitionLogger - processTransitionpoint - checking transition - currentHedgeShortfall is -2</t>
  </si>
  <si>
    <t>2014-11-26 15:55:59.721: Algorithm - handleTransition - currentHedgeShortfall is NOT ZERO and AUTOHEDGE IS NOT ENABLED!</t>
  </si>
  <si>
    <t>2014-11-26 15:55:59.722: Algorithm - updatePortfolio - haveAllDetails is True</t>
  </si>
  <si>
    <t>2014-11-26 15:55:59.780: Algorithm - FindNextStrikes - price is 1.57825 nextStrikeUp/Down 1.58/1.575</t>
  </si>
  <si>
    <t>2014-11-26 15:55:59.781: Algorithm - getPortfolioForwardDelta - required deltas is 4 currentHedgePosition is 6</t>
  </si>
  <si>
    <t>2014-11-26 15:55:59.781: Algorithm - getHedgeShortfall - required deltas is 4 price is 1.57835 currentHedgePositionDeltas is 6</t>
  </si>
  <si>
    <t>2014-11-26 15:55:59.781: Algorithm - processTransitionPoint - nextUpper/LowerStrikes are 1.58/1.575 requiredDeltas/currentPosition/currentHedgeShortfall/direction/transitionPrice are 4/6/-2/1/1.57835</t>
  </si>
  <si>
    <t>2014-11-26 15:55:59.781: TransitionLogger - processTransitionpoint - checking transition - currentHedgeShortfall is -2</t>
  </si>
  <si>
    <t>2014-11-26 15:55:59.782: Algorithm - handleTransition - currentHedgeShortfall is NOT ZERO and AUTOHEDGE IS NOT ENABLED!</t>
  </si>
  <si>
    <t>2014-11-26 15:55:59.782: Algorithm - updatePortfolio - haveAllDetails is True</t>
  </si>
  <si>
    <t>2014-11-26 15:55:59.827: Algorithm - FindNextStrikes - price is 1.57825 nextStrikeUp/Down 1.58/1.575</t>
  </si>
  <si>
    <t>2014-11-26 15:55:59.828: Algorithm - getPortfolioForwardDelta - required deltas is 4 currentHedgePosition is 6</t>
  </si>
  <si>
    <t>2014-11-26 15:55:59.828: Algorithm - getHedgeShortfall - required deltas is 4 price is 1.57835 currentHedgePositionDeltas is 6</t>
  </si>
  <si>
    <t>2014-11-26 15:55:59.828: Algorithm - processTransitionPoint - nextUpper/LowerStrikes are 1.58/1.575 requiredDeltas/currentPosition/currentHedgeShortfall/direction/transitionPrice are 4/6/-2/1/1.57835</t>
  </si>
  <si>
    <t>2014-11-26 15:55:59.828: TransitionLogger - processTransitionpoint - checking transition - currentHedgeShortfall is -2</t>
  </si>
  <si>
    <t>2014-11-26 15:55:59.829: Algorithm - handleTransition - currentHedgeShortfall is NOT ZERO and AUTOHEDGE IS NOT ENABLED!</t>
  </si>
  <si>
    <t>2014-11-26 15:55:59.832: Algorithm - updatePortfolio - haveAllDetails is True</t>
  </si>
  <si>
    <t>2014-11-26 15:55:59.877: Algorithm - FindNextStrikes - price is 1.57825 nextStrikeUp/Down 1.58/1.575</t>
  </si>
  <si>
    <t>2014-11-26 15:55:59.877: Algorithm - getPortfolioForwardDelta - required deltas is 4 currentHedgePosition is 6</t>
  </si>
  <si>
    <t>2014-11-26 15:55:59.877: Algorithm - getHedgeShortfall - required deltas is 4 price is 1.57835 currentHedgePositionDeltas is 6</t>
  </si>
  <si>
    <t>2014-11-26 15:55:59.877: Algorithm - processTransitionPoint - nextUpper/LowerStrikes are 1.58/1.575 requiredDeltas/currentPosition/currentHedgeShortfall/direction/transitionPrice are 4/6/-2/1/1.57835</t>
  </si>
  <si>
    <t>2014-11-26 15:55:59.878: TransitionLogger - processTransitionpoint - checking transition - currentHedgeShortfall is -2</t>
  </si>
  <si>
    <t>2014-11-26 15:55:59.878: Algorithm - handleTransition - currentHedgeShortfall is NOT ZERO and AUTOHEDGE IS NOT ENABLED!</t>
  </si>
  <si>
    <t>2014-11-26 15:55:59.879: Algorithm - updatePortfolio - haveAllDetails is True</t>
  </si>
  <si>
    <t>2014-11-26 15:55:59.919: Algorithm - FindNextStrikes - price is 1.57825 nextStrikeUp/Down 1.58/1.575</t>
  </si>
  <si>
    <t>2014-11-26 15:55:59.920: Algorithm - getPortfolioForwardDelta - required deltas is 4 currentHedgePosition is 6</t>
  </si>
  <si>
    <t>2014-11-26 15:55:59.920: Algorithm - getHedgeShortfall - required deltas is 4 price is 1.57835 currentHedgePositionDeltas is 6</t>
  </si>
  <si>
    <t>2014-11-26 15:55:59.920: Algorithm - processTransitionPoint - nextUpper/LowerStrikes are 1.58/1.575 requiredDeltas/currentPosition/currentHedgeShortfall/direction/transitionPrice are 4/6/-2/1/1.57835</t>
  </si>
  <si>
    <t>2014-11-26 15:55:59.920: TransitionLogger - processTransitionpoint - checking transition - currentHedgeShortfall is -2</t>
  </si>
  <si>
    <t>2014-11-26 15:55:59.921: Algorithm - handleTransition - currentHedgeShortfall is NOT ZERO and AUTOHEDGE IS NOT ENABLED!</t>
  </si>
  <si>
    <t>2014-11-26 15:55:59.921: Algorithm - updatePortfolio - haveAllDetails is True</t>
  </si>
  <si>
    <t>2014-11-26 15:55:59.957: Algorithm - FindNextStrikes - price is 1.57825 nextStrikeUp/Down 1.58/1.575</t>
  </si>
  <si>
    <t>2014-11-26 15:55:59.961: Algorithm - getPortfolioForwardDelta - required deltas is 4 currentHedgePosition is 6</t>
  </si>
  <si>
    <t>2014-11-26 15:55:59.961: Algorithm - getHedgeShortfall - required deltas is 4 price is 1.57835 currentHedgePositionDeltas is 6</t>
  </si>
  <si>
    <t>2014-11-26 15:55:59.961: Algorithm - processTransitionPoint - nextUpper/LowerStrikes are 1.58/1.575 requiredDeltas/currentPosition/currentHedgeShortfall/direction/transitionPrice are 4/6/-2/1/1.57835</t>
  </si>
  <si>
    <t>2014-11-26 15:55:59.961: TransitionLogger - processTransitionpoint - checking transition - currentHedgeShortfall is -2</t>
  </si>
  <si>
    <t>2014-11-26 15:55:59.962: Algorithm - handleTransition - currentHedgeShortfall is NOT ZERO and AUTOHEDGE IS NOT ENABLED!</t>
  </si>
  <si>
    <t>2014-11-26 15:55:59.962: Algorithm - updatePortfolio - haveAllDetails is True</t>
  </si>
  <si>
    <t>2014-11-26 15:55:59.998: Algorithm - FindNextStrikes - price is 1.57825 nextStrikeUp/Down 1.58/1.575</t>
  </si>
  <si>
    <t>2014-11-26 15:55:59.999: Algorithm - getPortfolioForwardDelta - required deltas is 4 currentHedgePosition is 6</t>
  </si>
  <si>
    <t>2014-11-26 15:55:59.999: Algorithm - getHedgeShortfall - required deltas is 4 price is 1.57835 currentHedgePositionDeltas is 6</t>
  </si>
  <si>
    <t>2014-11-26 15:55:59.999: Algorithm - processTransitionPoint - nextUpper/LowerStrikes are 1.58/1.575 requiredDeltas/currentPosition/currentHedgeShortfall/direction/transitionPrice are 4/6/-2/1/1.57835</t>
  </si>
  <si>
    <t>2014-11-26 15:55:59.999: TransitionLogger - processTransitionpoint - checking transition - currentHedgeShortfall is -2</t>
  </si>
  <si>
    <t>2014-11-26 15:56:0.0: Algorithm - handleTransition - currentHedgeShortfall is NOT ZERO and AUTOHEDGE IS NOT ENABLED!</t>
  </si>
  <si>
    <t>2014-11-26 15:56:0.0: Algorithm - updatePortfolio - haveAllDetails is True</t>
  </si>
  <si>
    <t>2014-11-26 15:56:0.41: Algorithm - FindNextStrikes - price is 1.57825 nextStrikeUp/Down 1.58/1.575</t>
  </si>
  <si>
    <t>2014-11-26 15:56:0.41: Algorithm - getPortfolioForwardDelta - required deltas is 4 currentHedgePosition is 6</t>
  </si>
  <si>
    <t>2014-11-26 15:56:0.41: Algorithm - getHedgeShortfall - required deltas is 4 price is 1.57835 currentHedgePositionDeltas is 6</t>
  </si>
  <si>
    <t>2014-11-26 15:56:0.45: Algorithm - processTransitionPoint - nextUpper/LowerStrikes are 1.58/1.575 requiredDeltas/currentPosition/currentHedgeShortfall/direction/transitionPrice are 4/6/-2/1/1.57835</t>
  </si>
  <si>
    <t>2014-11-26 15:56:0.45: TransitionLogger - processTransitionpoint - checking transition - currentHedgeShortfall is -2</t>
  </si>
  <si>
    <t>2014-11-26 15:56:0.46: Algorithm - handleTransition - currentHedgeShortfall is NOT ZERO and AUTOHEDGE IS NOT ENABLED!</t>
  </si>
  <si>
    <t>2014-11-26 15:56:0.46: Algorithm - updatePortfolio - haveAllDetails is True</t>
  </si>
  <si>
    <t>2014-11-26 15:56:0.82: Algorithm - FindNextStrikes - price is 1.57825 nextStrikeUp/Down 1.58/1.575</t>
  </si>
  <si>
    <t>2014-11-26 15:56:0.83: Algorithm - getPortfolioForwardDelta - required deltas is 4 currentHedgePosition is 6</t>
  </si>
  <si>
    <t>2014-11-26 15:56:0.83: Algorithm - getHedgeShortfall - required deltas is 4 price is 1.57835 currentHedgePositionDeltas is 6</t>
  </si>
  <si>
    <t>2014-11-26 15:56:0.83: Algorithm - processTransitionPoint - nextUpper/LowerStrikes are 1.58/1.575 requiredDeltas/currentPosition/currentHedgeShortfall/direction/transitionPrice are 4/6/-2/1/1.57835</t>
  </si>
  <si>
    <t>2014-11-26 15:56:0.84: TransitionLogger - processTransitionpoint - checking transition - currentHedgeShortfall is -2</t>
  </si>
  <si>
    <t>2014-11-26 15:56:0.84: Algorithm - handleTransition - currentHedgeShortfall is NOT ZERO and AUTOHEDGE IS NOT ENABLED!</t>
  </si>
  <si>
    <t>2014-11-26 15:56:0.85: Algorithm - updatePortfolio - haveAllDetails is True</t>
  </si>
  <si>
    <t>2014-11-26 15:56:0.131: Algorithm - FindNextStrikes - price is 1.57825 nextStrikeUp/Down 1.58/1.575</t>
  </si>
  <si>
    <t>2014-11-26 15:56:0.132: Algorithm - getPortfolioForwardDelta - required deltas is 4 currentHedgePosition is 6</t>
  </si>
  <si>
    <t>2014-11-26 15:56:0.132: Algorithm - getHedgeShortfall - required deltas is 4 price is 1.57835 currentHedgePositionDeltas is 6</t>
  </si>
  <si>
    <t>2014-11-26 15:56:0.132: Algorithm - processTransitionPoint - nextUpper/LowerStrikes are 1.58/1.575 requiredDeltas/currentPosition/currentHedgeShortfall/direction/transitionPrice are 4/6/-2/1/1.57835</t>
  </si>
  <si>
    <t>2014-11-26 15:56:0.136: TransitionLogger - processTransitionpoint - checking transition - currentHedgeShortfall is -2</t>
  </si>
  <si>
    <t>2014-11-26 15:56:0.136: Algorithm - handleTransition - currentHedgeShortfall is NOT ZERO and AUTOHEDGE IS NOT ENABLED!</t>
  </si>
  <si>
    <t>2014-11-26 15:56:0.137: Algorithm - updatePortfolio - haveAllDetails is True</t>
  </si>
  <si>
    <t>2014-11-26 15:56:0.171: Algorithm - FindNextStrikes - price is 1.57825 nextStrikeUp/Down 1.58/1.575</t>
  </si>
  <si>
    <t>2014-11-26 15:56:0.172: Algorithm - getPortfolioForwardDelta - required deltas is 4 currentHedgePosition is 6</t>
  </si>
  <si>
    <t>2014-11-26 15:56:0.172: Algorithm - getHedgeShortfall - required deltas is 4 price is 1.57835 currentHedgePositionDeltas is 6</t>
  </si>
  <si>
    <t>2014-11-26 15:56:0.172: Algorithm - processTransitionPoint - nextUpper/LowerStrikes are 1.58/1.575 requiredDeltas/currentPosition/currentHedgeShortfall/direction/transitionPrice are 4/6/-2/1/1.57835</t>
  </si>
  <si>
    <t>2014-11-26 15:56:0.172: TransitionLogger - processTransitionpoint - checking transition - currentHedgeShortfall is -2</t>
  </si>
  <si>
    <t>2014-11-26 15:56:0.173: Algorithm - handleTransition - currentHedgeShortfall is NOT ZERO and AUTOHEDGE IS NOT ENABLED!</t>
  </si>
  <si>
    <t>2014-11-26 15:56:0.173: Algorithm - updatePortfolio - haveAllDetails is True</t>
  </si>
  <si>
    <t>2014-11-26 15:56:0.208: Algorithm - FindNextStrikes - price is 1.57825 nextStrikeUp/Down 1.58/1.575</t>
  </si>
  <si>
    <t>2014-11-26 15:56:0.209: Algorithm - getPortfolioForwardDelta - required deltas is 4 currentHedgePosition is 6</t>
  </si>
  <si>
    <t>2014-11-26 15:56:0.209: Algorithm - getHedgeShortfall - required deltas is 4 price is 1.57835 currentHedgePositionDeltas is 6</t>
  </si>
  <si>
    <t>2014-11-26 15:56:0.209: Algorithm - processTransitionPoint - nextUpper/LowerStrikes are 1.58/1.575 requiredDeltas/currentPosition/currentHedgeShortfall/direction/transitionPrice are 4/6/-2/1/1.57835</t>
  </si>
  <si>
    <t>2014-11-26 15:56:0.209: TransitionLogger - processTransitionpoint - checking transition - currentHedgeShortfall is -2</t>
  </si>
  <si>
    <t>2014-11-26 15:56:0.213: Algorithm - handleTransition - currentHedgeShortfall is NOT ZERO and AUTOHEDGE IS NOT ENABLED!</t>
  </si>
  <si>
    <t>2014-11-26 15:56:0.213: Algorithm - updatePortfolio - haveAllDetails is True</t>
  </si>
  <si>
    <t>2014-11-26 15:56:2.491: RTWSControl  - tickOptionComputation - id:200055 tickType:11 impliedVol:6.11379056567115E-02 delta:0.410248448234293 optPrice:2.19999998807907E-03 pvDividend:0 gamma: 1.79769313486232E+308 theta/vega/undPrice: -6.72394265400331E-04-4.83257083740592E-04-1.5783</t>
  </si>
  <si>
    <t>2014-11-26 15:56:7.114: DirectionIndicator - notify - price/longMA/ShortMA/prevDirection are 1.5783/1.57827788940159/1.57828700130511/1</t>
  </si>
  <si>
    <t>2014-11-26 15:56:7.114: Algorithm - handleTransition - currentHedgeShortfall is NOT ZERO and AUTOHEDGE IS NOT ENABLED!</t>
  </si>
  <si>
    <t>2014-11-26 15:56:7.609: RTWSControl  - tickOptionComputation - id:200042 tickType:13 impliedVol:8.18086422242317E-02 delta:-3.14608882238575E-02 optPrice:1.24224200885353E-04 pvDividend:0 gamma: 1.79769313486232E+308 theta/vega/undPrice: -1.6220208868632E-04-1.02577303323682E-04-1.5783</t>
  </si>
  <si>
    <t>2014-11-26 15:56:7.680: RTWSControl  - tickOptionComputation - id:200041 tickType:13 impliedVol:7.29254550984706E-02 delta:0.935031467427158 optPrice:1.35551282382013E-02 pvDividend:0 gamma: 1.79769313486232E+308 theta/vega/undPrice: -2.60320472135208E-04-1.81522378316196E-04-1.5783</t>
  </si>
  <si>
    <t>2014-11-26 15:56:7.758: RTWSControl  - tickOptionComputation - id:200043 tickType:13 impliedVol:7.29254550984706E-02 delta:-6.50810563230833E-02 optPrice:2.55318377579224E-04 pvDividend:0 gamma: 1.79769313486232E+308 theta/vega/undPrice: -2.60408373320613E-04-1.81522656263537E-04-1.5783</t>
  </si>
  <si>
    <t>2014-11-26 15:56:7.799: RTWSControl  - tickOptionComputation - id:200044 tickType:13 impliedVol:6.64328877648757E-02 delta:0.849278500992525 optPrice:8.93982045373479E-03 pvDividend:0 gamma: 1.79769313486232E+308 theta/vega/undPrice: -4.37435376614376E-04-2.97622584920262E-04-1.5783</t>
  </si>
  <si>
    <t>2014-11-26 15:56:7.838: RTWSControl  - tickOptionComputation - id:200046 tickType:13 impliedVol:6.64328877648757E-02 delta:-0.150834191489039 optPrice:6.39939815248359E-04 pvDividend:0 gamma: 1.79769313486232E+308 theta/vega/undPrice: -4.3749091900902E-04-2.97622873472647E-04-1.5783</t>
  </si>
  <si>
    <t>2014-11-26 15:56:7.874: RTWSControl  - tickOptionComputation - id:200045 tickType:13 impliedVol:6.23309402234753E-02 delta:0.66918557504492 optPrice:4.96756465612628E-03 pvDividend:0 gamma: 1.79769313486232E+308 theta/vega/undPrice: -6.36662906861334E-04-4.45377014687568E-04-1.5783</t>
  </si>
  <si>
    <t>2014-11-26 15:56:7.915: RTWSControl  - tickOptionComputation - id:200047 tickType:13 impliedVol:6.23309402234753E-02 delta:-0.330927579657112 optPrice:1.66761456277551E-03 pvDividend:0 gamma: 1.79769313486232E+308 theta/vega/undPrice: -6.3668662392708E-04-4.45377653430156E-04-1.5783</t>
  </si>
  <si>
    <t>2014-11-26 15:56:7.957: RTWSControl  - tickOptionComputation - id:200055 tickType:13 impliedVol:6.06196124742411E-02 delta:0.409516721343018 optPrice:2.17493756472544E-03 pvDividend:0 gamma: 1.79769313486232E+308 theta/vega/undPrice: -6.66503886898834E-04-4.83257108993566E-04-1.5783</t>
  </si>
  <si>
    <t>2014-11-26 15:56:7.997: DirectionIndicator - notify - price/longMA/ShortMA/prevDirection are 1.57825/1.5782728186013/1.57827466753674/1</t>
  </si>
  <si>
    <t>2014-11-26 15:56:7.997: Algorithm - handleTransition - currentHedgeShortfall is NOT ZERO and AUTOHEDGE IS NOT ENABLED!</t>
  </si>
  <si>
    <t>2014-11-26 15:56:8.302: RTWSControl  - tickOptionComputation - id:200041 tickType:10 impliedVol:6.04189704683267E-02 delta:0.966132639530746 optPrice:0.013399999588728 pvDividend:0 gamma: 1.79769313486232E+308 theta/vega/undPrice: -1.27329526131711E-04-1.19782839738887E-04-1.5783</t>
  </si>
  <si>
    <t>2014-11-26 15:56:8.373: RTWSControl  - tickOptionComputation - id:200043 tickType:10 impliedVol:1.79769313486232E+308 delta:1.79769313486232E+308 optPrice:9.99999974737875E-05 pvDividend:0 gamma: 1.79769313486232E+308 theta/vega/undPrice: 1.79769313486232E+308-1.79769313486232E+308-1.5783</t>
  </si>
  <si>
    <t>2014-11-26 15:56:8.407: RTWSControl  - tickOptionComputation - id:200046 tickType:10 impliedVol:6.50937117483799E-02 delta:-0.14564717251098 optPrice:6.00000028498471E-04 pvDividend:0 gamma: 1.79769313486232E+308 theta/vega/undPrice: -4.19118900963363E-04-2.97622915051053E-04-1.5783</t>
  </si>
  <si>
    <t>2014-11-26 15:56:8.454: RTWSControl  - tickOptionComputation - id:200046 tickType:11 impliedVol:6.84491450502601E-02 delta:-0.158213606675792 optPrice:6.99999975040555E-04 pvDividend:0 gamma: 1.79769313486232E+308 theta/vega/undPrice: -4.65151736143752E-04-2.97622811418067E-04-1.5783</t>
  </si>
  <si>
    <t>2014-11-26 15:56:8.504: RTWSControl  - tickOptionComputation - id:200049 tickType:11 impliedVol:7.09741752858819E-02 delta:0.682356962233234 optPrice:1.20000001043081E-02 pvDividend:0 gamma: 1.79769313486232E+308 theta/vega/undPrice: -3.46900482103849E-04-9.14136640698764E-04-1.5783</t>
  </si>
  <si>
    <t>2014-11-26 15:56:8.545: RTWSControl  - tickOptionComputation - id:200050 tickType:11 impliedVol:6.98775322780142E-02 delta:-0.314930507905041 optPrice:3.59999993816018E-03 pvDividend:0 gamma: 1.79769313486232E+308 theta/vega/undPrice: -3.40489943819235E-04-9.14142700275502E-04-1.5783</t>
  </si>
  <si>
    <t>2014-11-26 15:56:8.610: RTWSControl  - tickOptionComputation - id:200052 tickType:10 impliedVol:1.79769313486232E+308 delta:1.79769313486232E+308 optPrice:1.79769313486232E+308 pvDividend:0 gamma: 1.79769313486232E+308 theta/vega/undPrice: 1.79769313486232E+308-1.79769313486232E+308-1.5783</t>
  </si>
  <si>
    <t>2014-11-26 15:56:8.626: RTWSControl  - tickOptionComputation - id:200052 tickType:11 impliedVol:1.79769313486232E+308 delta:1.79769313486232E+308 optPrice:1.79769313486232E+308 pvDividend:0 gamma: 1.79769313486232E+308 theta/vega/undPrice: 1.79769313486232E+308-1.79769313486232E+308-1.5783</t>
  </si>
  <si>
    <t>2014-11-26 15:56:8.691: RTWSControl  - tickOptionComputation - id:200054 tickType:10 impliedVol:1.79769313486232E+308 delta:1.79769313486232E+308 optPrice:1.79769313486232E+308 pvDividend:0 gamma: 1.79769313486232E+308 theta/vega/undPrice: 1.79769313486232E+308-1.79769313486232E+308-1.5783</t>
  </si>
  <si>
    <t>2014-11-26 15:56:8.709: DirectionIndicator - notify - price/longMA/ShortMA/prevDirection are 1.5783/1.57827776067379/1.57828311169116/1</t>
  </si>
  <si>
    <t>2014-11-26 15:56:8.709: Algorithm - handleTransition - currentHedgeShortfall is NOT ZERO and AUTOHEDGE IS NOT ENABLED!</t>
  </si>
  <si>
    <t>2014-11-26 15:56:10.86: DirectionIndicator - notify - price/longMA/ShortMA/prevDirection are 1.57835/1.57829089509674/1.57830540779411/1</t>
  </si>
  <si>
    <t>2014-11-26 15:56:10.87: Algorithm - handleTransition - currentHedgeShortfall is NOT ZERO and AUTOHEDGE IS NOT ENABLED!</t>
  </si>
  <si>
    <t>2014-11-26 15:56:10.354: RTWSControl  - tickOptionComputation - id:200042 tickType:13 impliedVol:0.080034527240656 delta:-2.85083906349968E-02 optPrice:1.0865085803502E-04 pvDividend:0 gamma: 1.79769313486232E+308 theta/vega/undPrice: -1.46233427141241E-04-9.27415366455384E-05-1.5783</t>
  </si>
  <si>
    <t>2014-11-26 15:56:10.457: RTWSControl  - tickOptionComputation - id:200041 tickType:13 impliedVol:7.12693294259168E-02 delta:0.939148057370581 optPrice:1.35313709686477E-02 pvDividend:0 gamma: 1.79769313486232E+308 theta/vega/undPrice: -2.41323924978917E-04-1.69643784605463E-04-1.5783</t>
  </si>
  <si>
    <t>2014-11-26 15:56:10.510: RTWSControl  - tickOptionComputation - id:200043 tickType:13 impliedVol:7.12693294259168E-02 delta:-6.09644633794441E-02 optPrice:2.31561091722418E-04 pvDividend:0 gamma: 1.79769313486232E+308 theta/vega/undPrice: -2.41411804837383E-04-1.69644049943765E-04-1.5783</t>
  </si>
  <si>
    <t>2014-11-26 15:56:10.600: RTWSControl  - tickOptionComputation - id:200043 tickType:10 impliedVol:1.79769313486232E+308 delta:1.79769313486232E+308 optPrice:9.99999974737875E-05 pvDividend:0 gamma: 1.79769313486232E+308 theta/vega/undPrice: 1.79769313486232E+308-1.79769313486232E+308-1.5783</t>
  </si>
  <si>
    <t>2014-11-26 15:56:10.658: RTWSControl  - tickOptionComputation - id:200044 tickType:13 impliedVol:6.51130342364183E-02 delta:0.85437100733814 optPrice:8.90053860856653E-03 pvDividend:0 gamma: 1.79769313486232E+308 theta/vega/undPrice: -4.19328476237061E-04-2.9762262609009E-04-1.5783</t>
  </si>
  <si>
    <t>2014-11-26 15:56:10.704: RTWSControl  - tickOptionComputation - id:200046 tickType:13 impliedVol:6.51130342364183E-02 delta:-0.145741679837263 optPrice:6.00657932061741E-04 pvDividend:0 gamma: 1.79769313486232E+308 theta/vega/undPrice: -4.19383984224084E-04-2.97622914451334E-04-1.5783</t>
  </si>
  <si>
    <t>2014-11-26 15:56:10.745: RTWSControl  - tickOptionComputation - id:200045 tickType:13 impliedVol:6.15656416721606E-02 delta:0.671156820825044 optPrice:4.93347999959362E-03 pvDividend:0 gamma: 1.79769313486232E+308 theta/vega/undPrice: -6.27364509673405E-04-4.45377049005263E-04-1.5783</t>
  </si>
  <si>
    <t>2014-11-26 15:56:10.791: RTWSControl  - tickOptionComputation - id:200047 tickType:13 impliedVol:6.15656416721606E-02 delta:-0.328956330702393 optPrice:1.63352985738865E-03 pvDividend:0 gamma: 1.79769313486232E+308 theta/vega/undPrice: -6.27388195127879E-04-4.45377687716693E-04-1.5783</t>
  </si>
  <si>
    <t>2014-11-26 15:56:10.832: RTWSControl  - tickOptionComputation - id:200055 tickType:13 impliedVol:6.06271517331152E-02 delta:0.409528214892814 optPrice:2.17530190494735E-03 pvDividend:0 gamma: 1.79769313486232E+308 theta/vega/undPrice: -6.66589570239133E-04-4.83257108628777E-04-1.5783</t>
  </si>
  <si>
    <t>2014-11-26 15:56:10.871: RTWSControl  - tickOptionComputation - id:200049 tickType:13 impliedVol:6.81328628524192E-02 delta:0.689504679575808 optPrice:1.17400189053607E-02 pvDividend:0 gamma: 1.79769313486232E+308 theta/vega/undPrice: -3.30138008290681E-04-9.14137892493396E-04-1.5783</t>
  </si>
  <si>
    <t>2014-11-26 15:56:10.915: RTWSControl  - tickOptionComputation - id:200050 tickType:13 impliedVol:6.81328628524192E-02 delta:-0.310565475851086 optPrice:3.44054494271205E-03 pvDividend:0 gamma: 1.79769313486232E+308 theta/vega/undPrice: -3.30197016914464E-04-9.14143453226485E-04-1.5783</t>
  </si>
  <si>
    <t>2014-11-26 15:56:10.955: RTWSControl  - tickOptionComputation - id:200051 tickType:13 impliedVol:7.09248094548967E-02 delta:-0.315628471857209 optPrice:3.59977654105506E-03 pvDividend:0 gamma: 1.79769313486232E+308 theta/vega/undPrice: -3.47897799793348E-04-8.79170253444348E-04-1.5783</t>
  </si>
  <si>
    <t>2014-11-26 15:56:11.1: RTWSControl  - tickOptionComputation - id:200052 tickType:13 impliedVol:0.11985945607354 delta:-0.519149697814239 optPrice:1.27000000062536E-02 pvDividend:0 gamma: 1.79769313486232E+308 theta/vega/undPrice: -6.58924962813347E-04-9.85391135514913E-04-1.5783</t>
  </si>
  <si>
    <t>2014-11-26 15:56:11.43: RTWSControl  - tickOptionComputation - id:200052 tickType:10 impliedVol:1.79769313486232E+308 delta:1.79769313486232E+308 optPrice:1.79769313486232E+308 pvDividend:0 gamma: 1.79769313486232E+308 theta/vega/undPrice: 1.79769313486232E+308-1.79769313486232E+308-1.5783</t>
  </si>
  <si>
    <t>2014-11-26 15:56:11.79: RTWSControl  - tickOptionComputation - id:200052 tickType:11 impliedVol:1.79769313486232E+308 delta:1.79769313486232E+308 optPrice:1.79769313486232E+308 pvDividend:0 gamma: 1.79769313486232E+308 theta/vega/undPrice: 1.79769313486232E+308-1.79769313486232E+308-1.5783</t>
  </si>
  <si>
    <t>2014-11-26 15:56:11.121: RTWSControl  - tickOptionComputation - id:200048 tickType:13 impliedVol:8.40660905958437E-02 delta:-3.16025412028981E-02 optPrice:2.64407294081586E-04 pvDividend:0 gamma: 1.79769313486232E+308 theta/vega/undPrice: -8.13855916122508E-05-2.10282642582236E-04-1.5783</t>
  </si>
  <si>
    <t>2014-11-26 15:56:11.170: RTWSControl  - tickOptionComputation - id:200053 tickType:13 impliedVol:6.39324764507627E-02 delta:8.88546504559094E-02 optPrice:6.61084140863295E-04 pvDividend:0 gamma: 1.79769313486232E+308 theta/vega/undPrice: -1.40777572538662E-04-4.47273057077192E-04-1.5783</t>
  </si>
  <si>
    <t>2014-11-26 15:56:11.214: RTWSControl  - tickOptionComputation - id:200054 tickType:13 impliedVol:7.14649313908673E-02 delta:1.86111846201198E-03 optPrice:9.78288309067303E-06 pvDividend:0 gamma: 0.331935033196911 theta/vega/undPrice: -5.78337431210472E-06-2.89996355232657E-05-1.5783</t>
  </si>
  <si>
    <t>2014-11-26 15:56:11.278: RTWSControl  - tickOptionComputation - id:200054 tickType:10 impliedVol:1.79769313486232E+308 delta:1.79769313486232E+308 optPrice:1.79769313486232E+308 pvDividend:0 gamma: 1.79769313486232E+308 theta/vega/undPrice: 1.79769313486232E+308-1.79769313486232E+308-1.5783</t>
  </si>
  <si>
    <t>2014-11-26 15:56:12.950: Algorithm - FindNextStrikes - price is 1.57835 nextStrikeUp/Down 1.58/1.575</t>
  </si>
  <si>
    <t>2014-11-26 15:56:12.950: Algorithm - getPortfolioForwardDelta - required deltas is 4 currentHedgePosition is 6</t>
  </si>
  <si>
    <t>2014-11-26 15:56:12.950: Algorithm - getHedgeShortfall - required deltas is 4 price is 1.57845 currentHedgePositionDeltas is 6</t>
  </si>
  <si>
    <t>2014-11-26 15:56:12.951: Algorithm - processTransitionPoint - nextUpper/LowerStrikes are 1.58/1.575 requiredDeltas/currentPosition/currentHedgeShortfall/direction/transitionPrice are 4/6/-2/1/1.57845</t>
  </si>
  <si>
    <t>2014-11-26 15:56:12.951: TransitionLogger - processTransitionpoint - checking transition - currentHedgeShortfall is -2</t>
  </si>
  <si>
    <t>2014-11-26 15:56:12.951: Algorithm - handleTransition - currentHedgeShortfall is NOT ZERO and AUTOHEDGE IS NOT ENABLED!</t>
  </si>
  <si>
    <t>2014-11-26 15:56:12.952: Algorithm - updatePortfolio - haveAllDetails is True</t>
  </si>
  <si>
    <t>2014-11-26 15:56:13.3: Algorithm - FindNextStrikes - price is 1.57835 nextStrikeUp/Down 1.58/1.575</t>
  </si>
  <si>
    <t>2014-11-26 15:56:13.3: Algorithm - getPortfolioForwardDelta - required deltas is 4 currentHedgePosition is 6</t>
  </si>
  <si>
    <t>2014-11-26 15:56:13.3: Algorithm - getHedgeShortfall - required deltas is 4 price is 1.57845 currentHedgePositionDeltas is 6</t>
  </si>
  <si>
    <t>2014-11-26 15:56:13.3: Algorithm - processTransitionPoint - nextUpper/LowerStrikes are 1.58/1.575 requiredDeltas/currentPosition/currentHedgeShortfall/direction/transitionPrice are 4/6/-2/1/1.57845</t>
  </si>
  <si>
    <t>2014-11-26 15:56:13.4: TransitionLogger - processTransitionpoint - checking transition - currentHedgeShortfall is -2</t>
  </si>
  <si>
    <t>2014-11-26 15:56:13.4: Algorithm - handleTransition - currentHedgeShortfall is NOT ZERO and AUTOHEDGE IS NOT ENABLED!</t>
  </si>
  <si>
    <t>2014-11-26 15:56:13.5: Algorithm - updatePortfolio - haveAllDetails is True</t>
  </si>
  <si>
    <t>2014-11-26 15:56:13.44: Algorithm - FindNextStrikes - price is 1.57835 nextStrikeUp/Down 1.58/1.575</t>
  </si>
  <si>
    <t>2014-11-26 15:56:13.44: Algorithm - getPortfolioForwardDelta - required deltas is 4 currentHedgePosition is 6</t>
  </si>
  <si>
    <t>2014-11-26 15:56:13.45: Algorithm - getHedgeShortfall - required deltas is 4 price is 1.57845 currentHedgePositionDeltas is 6</t>
  </si>
  <si>
    <t>2014-11-26 15:56:13.45: Algorithm - processTransitionPoint - nextUpper/LowerStrikes are 1.58/1.575 requiredDeltas/currentPosition/currentHedgeShortfall/direction/transitionPrice are 4/6/-2/1/1.57845</t>
  </si>
  <si>
    <t>2014-11-26 15:56:13.45: TransitionLogger - processTransitionpoint - checking transition - currentHedgeShortfall is -2</t>
  </si>
  <si>
    <t>2014-11-26 15:56:13.45: Algorithm - handleTransition - currentHedgeShortfall is NOT ZERO and AUTOHEDGE IS NOT ENABLED!</t>
  </si>
  <si>
    <t>2014-11-26 15:56:13.46: Algorithm - updatePortfolio - haveAllDetails is True</t>
  </si>
  <si>
    <t>2014-11-26 15:56:13.194: RTWSControl  - tickOptionComputation - id:200041 tickType:11 impliedVol:8.58695224908945E-02 delta:0.900230076733889 optPrice:1.37999998405576E-02 pvDividend:0 gamma: 1.79769313486232E+308 theta/vega/undPrice: -4.22714297370009E-04-2.15175835942513E-04-1.5783</t>
  </si>
  <si>
    <t>2014-11-26 15:56:13.250: RTWSControl  - tickOptionComputation - id:200043 tickType:10 impliedVol:1.79769313486232E+308 delta:1.79769313486232E+308 optPrice:9.99999974737875E-05 pvDividend:0 gamma: 1.79769313486232E+308 theta/vega/undPrice: 1.79769313486232E+308-1.79769313486232E+308-1.5783</t>
  </si>
  <si>
    <t>2014-11-26 15:56:13.284: RTWSControl  - tickOptionComputation - id:200044 tickType:11 impliedVol:0.075174823006879 delta:0.819970664214628 optPrice:9.20000020414591E-03 pvDividend:0 gamma: 1.79769313486232E+308 theta/vega/undPrice: -5.57364736554778E-04-3.34744114524166E-04-1.5783</t>
  </si>
  <si>
    <t>2014-11-26 15:56:13.329: RTWSControl  - tickOptionComputation - id:200045 tickType:10 impliedVol:6.08139261020792E-02 delta:0.673056541589632 optPrice:4.90000005811453E-03 pvDividend:0 gamma: 1.79769313486232E+308 theta/vega/undPrice: -6.18231144362604E-04-4.45377082395036E-04-1.5783</t>
  </si>
  <si>
    <t>2014-11-26 15:56:13.371: RTWSControl  - tickOptionComputation - id:200045 tickType:11 impliedVol:6.75395930028047E-02 delta:0.656879337124388 optPrice:5.2000000141561E-03 pvDividend:0 gamma: 1.79769313486232E+308 theta/vega/undPrice: -6.99948124955096E-04-4.45376772489561E-04-1.5783</t>
  </si>
  <si>
    <t>2014-11-26 15:56:13.427: RTWSControl  - tickOptionComputation - id:200055 tickType:11 impliedVol:6.31974053884866E-02 delta:0.413236076434933 optPrice:2.30000005103648E-03 pvDividend:0 gamma: 1.79769313486232E+308 theta/vega/undPrice: -6.95800378245557E-04-4.83256981488875E-04-1.5783</t>
  </si>
  <si>
    <t>2014-11-26 15:56:13.498: RTWSControl  - tickOptionComputation - id:200050 tickType:10 impliedVol:6.76893351006219E-02 delta:-0.309369946309003 optPrice:3.40000004507601E-03 pvDividend:0 gamma: 1.79769313486232E+308 theta/vega/undPrice: -3.27580358160601E-04-9.14143642517256E-04-1.5783</t>
  </si>
  <si>
    <t>2014-11-26 15:56:13.564: RTWSControl  - tickOptionComputation - id:200052 tickType:10 impliedVol:1.79769313486232E+308 delta:1.79769313486232E+308 optPrice:1.79769313486232E+308 pvDividend:0 gamma: 1.79769313486232E+308 theta/vega/undPrice: 1.79769313486232E+308-1.79769313486232E+308-1.5783</t>
  </si>
  <si>
    <t>2014-11-26 15:56:13.585: RTWSControl  - tickOptionComputation - id:200052 tickType:11 impliedVol:1.79769313486232E+308 delta:1.79769313486232E+308 optPrice:1.79769313486232E+308 pvDividend:0 gamma: 1.79769313486232E+308 theta/vega/undPrice: 1.79769313486232E+308-1.79769313486232E+308-1.5783</t>
  </si>
  <si>
    <t>2014-11-26 15:56:13.649: RTWSControl  - tickOptionComputation - id:200054 tickType:10 impliedVol:1.79769313486232E+308 delta:1.79769313486232E+308 optPrice:1.79769313486232E+308 pvDividend:0 gamma: 1.79769313486232E+308 theta/vega/undPrice: 1.79769313486232E+308-1.79769313486232E+308-1.5783</t>
  </si>
  <si>
    <t>2014-11-26 15:56:14.289: RTWSControl  - tickOptionComputation - id:200042 tickType:13 impliedVol:0.080506805025891 delta:-2.93070902672122E-02 optPrice:1.12796555783088E-04 pvDividend:0 gamma: 1.79769313486232E+308 theta/vega/undPrice: -1.50484360737255E-04-9.53598645330158E-05-1.5783</t>
  </si>
  <si>
    <t>2014-11-26 15:56:14.366: RTWSControl  - tickOptionComputation - id:200041 tickType:13 impliedVol:7.18230056979507E-02 delta:0.937750634544915 optPrice:1.35393135042992E-02 pvDividend:0 gamma: 1.79769313486232E+308 theta/vega/undPrice: -2.47674855057721E-04-1.73615038899818E-04-1.5783</t>
  </si>
  <si>
    <t>2014-11-26 15:56:14.413: RTWSControl  - tickOptionComputation - id:200041 tickType:11 impliedVol:0.081209176795401 delta:0.913170975663388 optPrice:1.37000000104308E-02 pvDividend:0 gamma: 1.79769313486232E+308 theta/vega/undPrice: -3.61397027222107E-04-2.15175964961206E-04-1.5783</t>
  </si>
  <si>
    <t>2014-11-26 15:56:14.458: RTWSControl  - tickOptionComputation - id:200043 tickType:13 impliedVol:7.18230056979507E-02 delta:-6.23618872234911E-02 optPrice:2.39503632821915E-04 pvDividend:0 gamma: 1.79769313486232E+308 theta/vega/undPrice: -0.000247762742045-1.73615308455296E-04-1.5783</t>
  </si>
  <si>
    <t>2014-11-26 15:56:14.498: RTWSControl  - tickOptionComputation - id:200044 tickType:13 impliedVol:6.57606966015578E-02 delta:0.851846468925996 optPrice:8.91981451539629E-03 pvDividend:0 gamma: 1.79769313486232E+308 theta/vega/undPrice: -4.28213673308574E-04-2.97622605889558E-04-1.5783</t>
  </si>
  <si>
    <t>2014-11-26 15:56:14.540: RTWSControl  - tickOptionComputation - id:200046 tickType:13 impliedVol:6.57606966015578E-02 delta:-0.148266220879939 optPrice:6.19933857546235E-04 pvDividend:0 gamma: 1.79769313486232E+308 theta/vega/undPrice: -4.28269198179136E-04-2.97622894347616E-04-1.5783</t>
  </si>
  <si>
    <t>2014-11-26 15:56:14.581: RTWSControl  - tickOptionComputation - id:200045 tickType:13 impliedVol:0.062319877736627 delta:0.669213722899937 optPrice:4.96707195814436E-03 pvDividend:0 gamma: 1.79769313486232E+308 theta/vega/undPrice: -6.36528497372233E-04-4.45377015188548E-04-1.5783</t>
  </si>
  <si>
    <t>2014-11-26 15:56:14.623: RTWSControl  - tickOptionComputation - id:200047 tickType:13 impliedVol:0.062319877736627 delta:-0.330899431756679 optPrice:1.66712186408849E-03 pvDividend:0 gamma: 1.79769313486232E+308 theta/vega/undPrice: -6.36552213981002E-04-4.45377653926216E-04-1.5783</t>
  </si>
  <si>
    <t>2014-11-26 15:56:14.665: RTWSControl  - tickOptionComputation - id:200055 tickType:13 impliedVol:0.061500549103215 delta:0.410840822564789 optPrice:2.21750947267665E-03 pvDividend:0 gamma: 1.79769313486232E+308 theta/vega/undPrice: -6.7651569122841E-04-4.83257065957788E-04-1.5783</t>
  </si>
  <si>
    <t>2014-11-26 15:56:14.705: RTWSControl  - tickOptionComputation - id:200049 tickType:13 impliedVol:6.82721703790747E-02 delta:0.689144600160804 optPrice:1.17527535634954E-02 pvDividend:0 gamma: 1.79769313486232E+308 theta/vega/undPrice: -3.30959861751684E-04-9.14137832027404E-04-1.5783</t>
  </si>
  <si>
    <t>2014-11-26 15:56:14.749: RTWSControl  - tickOptionComputation - id:200050 tickType:13 impliedVol:6.82721703790747E-02 delta:-0.310925557739888 optPrice:3.45327967824824E-03 pvDividend:0 gamma: 1.79769313486232E+308 theta/vega/undPrice: -3.31018882367525E-04-9.14143393644033E-04-1.5783</t>
  </si>
  <si>
    <t>2014-11-26 15:56:14.788: RTWSControl  - tickOptionComputation - id:200048 tickType:13 impliedVol:8.34969201020836E-02 delta:-3.07048814247103E-02 optPrice:2.54202269783471E-04 pvDividend:0 gamma: 1.79769313486232E+308 theta/vega/undPrice: -7.8909941576079E-05-2.03837447339296E-04-1.5783</t>
  </si>
  <si>
    <t>2014-11-26 15:56:14.834: RTWSControl  - tickOptionComputation - id:200053 tickType:13 impliedVol:6.40601488680339E-02 delta:8.93367243361826E-02 optPrice:6.66794596364077E-04 pvDividend:0 gamma: 1.79769313486232E+308 theta/vega/undPrice: -1.41603656546487E-04-4.47273032596952E-04-1.5783</t>
  </si>
  <si>
    <t>2014-11-26 15:56:14.872: RTWSControl  - tickOptionComputation - id:200054 tickType:13 impliedVol:7.08608555689629E-02 delta:1.75636272463469E-03 optPrice:9.13167455971229E-06 pvDividend:0 gamma: 0.316889024084005 theta/vega/undPrice: -5.42828003730006E-06-2.64219508032661E-05-1.5783</t>
  </si>
  <si>
    <t>2014-11-26 15:56:18.554: RTWSControl  - tickOptionComputation - id:200041 tickType:11 impliedVol:8.58695224908945E-02 delta:0.900230076733889 optPrice:1.37999998405576E-02 pvDividend:0 gamma: 1.79769313486232E+308 theta/vega/undPrice: -4.22714297370009E-04-2.15175835942513E-04-1.5783</t>
  </si>
  <si>
    <t>2014-11-26 15:56:22.394: RTWSControl  - tickOptionComputation - id:200042 tickType:13 impliedVol:8.07491688374569E-02 delta:-2.97133339923294E-02 optPrice:1.14924047467376E-04 pvDividend:0 gamma: 1.79769313486232E+308 theta/vega/undPrice: -1.52665857379633E-04-9.67035395880155E-05-1.5783</t>
  </si>
  <si>
    <t>2014-11-26 15:56:22.503: RTWSControl  - tickOptionComputation - id:200041 tickType:13 impliedVol:7.20394123324581E-02 delta:0.937210295270977 optPrice:1.35424178767038E-02 pvDividend:0 gamma: 1.79769313486232E+308 theta/vega/undPrice: -2.5015714188835E-04-1.75167219759985E-04-1.5783</t>
  </si>
  <si>
    <t>2014-11-26 15:56:22.545: RTWSControl  - tickOptionComputation - id:200043 tickType:10 impliedVol:1.79769313486232E+308 delta:1.79769313486232E+308 optPrice:9.99999974737875E-05 pvDividend:0 gamma: 1.79769313486232E+308 theta/vega/undPrice: 1.79769313486232E+308-1.79769313486232E+308-1.5783</t>
  </si>
  <si>
    <t>2014-11-26 15:56:22.576: RTWSControl  - tickOptionComputation - id:200043 tickType:13 impliedVol:7.20394123324581E-02 delta:-6.29022268912544E-02 optPrice:2.42608007357136E-04 pvDividend:0 gamma: 1.79769313486232E+308 theta/vega/undPrice: -2.50245031662568E-04-1.75167490963679E-04-1.5783</t>
  </si>
  <si>
    <t>2014-11-26 15:56:22.620: RTWSControl  - tickOptionComputation - id:200044 tickType:13 impliedVol:6.59178408951675E-02 delta:0.851241429197727 optPrice:8.92449148722291E-03 pvDividend:0 gamma: 1.79769313486232E+308 theta/vega/undPrice: -4.30369515582524E-04-2.9762260098931E-04-1.5783</t>
  </si>
  <si>
    <t>2014-11-26 15:56:22.662: RTWSControl  - tickOptionComputation - id:200046 tickType:13 impliedVol:6.59178408951675E-02 delta:-0.148871261238643 optPrice:6.24610833900128E-04 pvDividend:0 gamma: 1.79769313486232E+308 theta/vega/undPrice: -4.30425044550147E-04-2.97622889467634E-04-1.5783</t>
  </si>
  <si>
    <t>2014-11-26 15:56:22.703: RTWSControl  - tickOptionComputation - id:200045 tickType:13 impliedVol:6.23844545255849E-02 delta:0.669049552743437 optPrice:4.96994806131187E-03 pvDividend:0 gamma: 1.79769313486232E+308 theta/vega/undPrice: -6.37313106949712E-04-4.45377012276556E-04-1.5783</t>
  </si>
  <si>
    <t>2014-11-26 15:56:22.750: RTWSControl  - tickOptionComputation - id:200047 tickType:13 impliedVol:6.23844545255849E-02 delta:-0.331063602177983 optPrice:1.66999797137938E-03 pvDividend:0 gamma: 1.79769313486232E+308 theta/vega/undPrice: -6.37336826229589E-04-4.45377651018423E-04-1.5783</t>
  </si>
  <si>
    <t>2014-11-26 15:56:22.790: RTWSControl  - tickOptionComputation - id:200055 tickType:13 impliedVol:6.14392532237389E-02 delta:0.410749907715392 optPrice:2.21454730451057E-03 pvDividend:0 gamma: 1.79769313486232E+308 theta/vega/undPrice: -6.7581906644975E-04-4.83257068970032E-04-1.5783</t>
  </si>
  <si>
    <t>2014-11-26 15:56:22.829: RTWSControl  - tickOptionComputation - id:200049 tickType:13 impliedVol:6.80864531876431E-02 delta:0.68962496926364 optPrice:1.17357764121254E-02 pvDividend:0 gamma: 1.79769313486232E+308 theta/vega/undPrice: -3.29864211543259E-04-9.14137912615577E-04-1.5783</t>
  </si>
  <si>
    <t>2014-11-26 15:56:22.873: RTWSControl  - tickOptionComputation - id:200049 tickType:10 impliedVol:6.87864114605563E-02 delta:0.687741210318086 optPrice:1.18000004440546E-02 pvDividend:0 gamma: 1.79769313486232E+308 theta/vega/undPrice: -3.33993658006869E-04-9.14137608008583E-04-1.5783</t>
  </si>
  <si>
    <t>2014-11-26 15:56:22.916: RTWSControl  - tickOptionComputation - id:200050 tickType:13 impliedVol:6.80864531876431E-02 delta:-0.310445185336738 optPrice:3.4363024236884E-03 pvDividend:0 gamma: 1.79769313486232E+308 theta/vega/undPrice: -3.29923216171675E-04-9.14143473055531E-04-1.5783</t>
  </si>
  <si>
    <t>2014-11-26 15:56:22.959: RTWSControl  - tickOptionComputation - id:200048 tickType:13 impliedVol:8.36178693738567E-02 delta:-0.030896661194748 optPrice:2.56370847428592E-04 pvDividend:0 gamma: 1.79769313486232E+308 theta/vega/undPrice: -7.94360196555997E-05-2.05207057744667E-04-1.5783</t>
  </si>
  <si>
    <t>2014-11-26 15:56:23.5: TransitionLogger - flushFile - flushing file</t>
  </si>
  <si>
    <t>2014-11-26 15:56:23.5: TransitionLogger - openTransitionFile - opening file C:\temp\transitionlog_2014-11-26_155023</t>
  </si>
  <si>
    <t>2014-11-26 15:56:23.7: RTWSControl  - tickOptionComputation - id:200052 tickType:10 impliedVol:1.79769313486232E+308 delta:1.79769313486232E+308 optPrice:1.79769313486232E+308 pvDividend:0 gamma: 1.79769313486232E+308 theta/vega/undPrice: 1.79769313486232E+308-1.79769313486232E+308-1.5783</t>
  </si>
  <si>
    <t>2014-11-26 15:56:23.33: RTWSControl  - tickOptionComputation - id:200052 tickType:11 impliedVol:1.79769313486232E+308 delta:1.79769313486232E+308 optPrice:1.79769313486232E+308 pvDividend:0 gamma: 1.79769313486232E+308 theta/vega/undPrice: 1.79769313486232E+308-1.79769313486232E+308-1.5783</t>
  </si>
  <si>
    <t>2014-11-26 15:56:23.78: RTWSControl  - tickOptionComputation - id:200053 tickType:13 impliedVol:6.39933660995489E-02 delta:8.90848006178623E-02 optPrice:6.6380757668814E-04 pvDividend:0 gamma: 1.79769313486232E+308 theta/vega/undPrice: -1.41171549306801E-04-4.47273045398747E-04-1.5783</t>
  </si>
  <si>
    <t>2014-11-26 15:56:23.120: RTWSControl  - tickOptionComputation - id:200054 tickType:13 impliedVol:7.13386081095706E-02 delta:1.83935854376712E-03 optPrice:9.64670350942979E-06 pvDividend:0 gamma: 0.328834576347391 theta/vega/undPrice: -5.7091176239335E-06-2.84605946884175E-05-1.5783</t>
  </si>
  <si>
    <t>2014-11-26 15:56:23.164: RTWSControl  - tickOptionComputation - id:200054 tickType:10 impliedVol:1.79769313486232E+308 delta:1.79769313486232E+308 optPrice:1.79769313486232E+308 pvDividend:0 gamma: 1.79769313486232E+308 theta/vega/undPrice: 1.79769313486232E+308-1.79769313486232E+308-1.5783</t>
  </si>
  <si>
    <t>2014-11-26 15:56:26.378: RTWSControl  - tickOptionComputation - id:200042 tickType:13 impliedVol:0.080506805025891 delta:-2.93070902672122E-02 optPrice:1.12796555783088E-04 pvDividend:0 gamma: 1.79769313486232E+308 theta/vega/undPrice: -1.50484360737255E-04-9.53598645330158E-05-1.5783</t>
  </si>
  <si>
    <t>2014-11-26 15:56:26.448: RTWSControl  - tickOptionComputation - id:200041 tickType:11 impliedVol:0.081209176795401 delta:0.913170975663388 optPrice:1.37000000104308E-02 pvDividend:0 gamma: 1.79769313486232E+308 theta/vega/undPrice: -3.61397027222107E-04-2.15175964961206E-04-1.5783</t>
  </si>
  <si>
    <t>2014-11-26 15:56:26.504: RTWSControl  - tickOptionComputation - id:200041 tickType:13 impliedVol:7.18230056979507E-02 delta:0.937750634544915 optPrice:1.35393135042992E-02 pvDividend:0 gamma: 1.79769313486232E+308 theta/vega/undPrice: -2.47674855057721E-04-1.73615038899818E-04-1.5783</t>
  </si>
  <si>
    <t>2014-11-26 15:56:26.547: RTWSControl  - tickOptionComputation - id:200043 tickType:10 impliedVol:1.79769313486232E+308 delta:1.79769313486232E+308 optPrice:9.99999974737875E-05 pvDividend:0 gamma: 1.79769313486232E+308 theta/vega/undPrice: 1.79769313486232E+308-1.79769313486232E+308-1.5783</t>
  </si>
  <si>
    <t>2014-11-26 15:56:26.582: RTWSControl  - tickOptionComputation - id:200043 tickType:13 impliedVol:7.18230056979507E-02 delta:-6.23618872234911E-02 optPrice:2.39503632821915E-04 pvDividend:0 gamma: 1.79769313486232E+308 theta/vega/undPrice: -0.000247762742045-1.73615308455296E-04-1.5783</t>
  </si>
  <si>
    <t>2014-11-26 15:56:26.628: RTWSControl  - tickOptionComputation - id:200044 tickType:13 impliedVol:6.57606966015578E-02 delta:0.851846468925996 optPrice:8.91981451539629E-03 pvDividend:0 gamma: 1.79769313486232E+308 theta/vega/undPrice: -4.28213673308574E-04-2.97622605889558E-04-1.5783</t>
  </si>
  <si>
    <t>2014-11-26 15:56:26.694: RTWSControl  - tickOptionComputation - id:200046 tickType:13 impliedVol:6.57606966015578E-02 delta:-0.148266220879939 optPrice:6.19933857546235E-04 pvDividend:0 gamma: 1.79769313486232E+308 theta/vega/undPrice: -4.28269198179136E-04-2.97622894347616E-04-1.5783</t>
  </si>
  <si>
    <t>2014-11-26 15:56:26.752: RTWSControl  - tickOptionComputation - id:200045 tickType:13 impliedVol:0.062319877736627 delta:0.669213722899937 optPrice:4.96707195814436E-03 pvDividend:0 gamma: 1.79769313486232E+308 theta/vega/undPrice: -6.36528497372233E-04-4.45377015188548E-04-1.5783</t>
  </si>
  <si>
    <t>2014-11-26 15:56:26.791: RTWSControl  - tickOptionComputation - id:200047 tickType:13 impliedVol:0.062319877736627 delta:-0.330899431756679 optPrice:1.66712186408849E-03 pvDividend:0 gamma: 1.79769313486232E+308 theta/vega/undPrice: -6.36552213981002E-04-4.45377653926216E-04-1.5783</t>
  </si>
  <si>
    <t>2014-11-26 15:56:26.832: RTWSControl  - tickOptionComputation - id:200055 tickType:13 impliedVol:0.061500549103215 delta:0.410840822564789 optPrice:2.21750947267665E-03 pvDividend:0 gamma: 1.79769313486232E+308 theta/vega/undPrice: -6.7651569122841E-04-4.83257065957788E-04-1.5783</t>
  </si>
  <si>
    <t>2014-11-26 15:56:26.872: RTWSControl  - tickOptionComputation - id:200049 tickType:10 impliedVol:6.76925201774869E-02 delta:0.690565407413985 optPrice:1.16999996826053E-02 pvDividend:0 gamma: 1.79769313486232E+308 theta/vega/undPrice: -3.27540178288317E-04-9.14138083008392E-04-1.5783</t>
  </si>
  <si>
    <t>2014-11-26 15:56:26.916: RTWSControl  - tickOptionComputation - id:200049 tickType:13 impliedVol:6.83660057740898E-02 delta:0.688902892645103 optPrice:1.17613314317744E-02 pvDividend:0 gamma: 1.79769313486232E+308 theta/vega/undPrice: -3.31513449455213E-04-9.14137791243793E-04-1.5783</t>
  </si>
  <si>
    <t>2014-11-26 15:56:26.958: RTWSControl  - tickOptionComputation - id:200050 tickType:13 impliedVol:6.83660057740898E-02 delta:-0.311167266916162 optPrice:3.46185759866308E-03 pvDividend:0 gamma: 1.79769313486232E+308 theta/vega/undPrice: -3.31572478148659E-04-9.14143353459381E-04-1.5783</t>
  </si>
  <si>
    <t>2014-11-26 15:56:27.1: RTWSControl  - tickOptionComputation - id:200052 tickType:10 impliedVol:1.79769313486232E+308 delta:1.79769313486232E+308 optPrice:1.79769313486232E+308 pvDividend:0 gamma: 1.79769313486232E+308 theta/vega/undPrice: 1.79769313486232E+308-1.79769313486232E+308-1.5783</t>
  </si>
  <si>
    <t>2014-11-26 15:56:27.36: RTWSControl  - tickOptionComputation - id:200052 tickType:11 impliedVol:1.79769313486232E+308 delta:1.79769313486232E+308 optPrice:1.79769313486232E+308 pvDividend:0 gamma: 1.79769313486232E+308 theta/vega/undPrice: 1.79769313486232E+308-1.79769313486232E+308-1.5783</t>
  </si>
  <si>
    <t>2014-11-26 15:56:27.79: RTWSControl  - tickOptionComputation - id:200048 tickType:13 impliedVol:8.34931186217407E-02 delta:-3.06988446768774E-02 optPrice:2.54134110583781E-04 pvDividend:0 gamma: 1.79769313486232E+308 theta/vega/undPrice: -7.88934067467002E-05-2.03794399975228E-04-1.5783</t>
  </si>
  <si>
    <t>2014-11-26 15:56:27.124: RTWSControl  - tickOptionComputation - id:200053 tickType:13 impliedVol:6.40666267301047E-02 delta:8.93611328475511E-02 optPrice:6.67084334294762E-04 pvDividend:0 gamma: 1.79769313486232E+308 theta/vega/undPrice: -1.41645570517534E-04-4.47273031355518E-04-1.5783</t>
  </si>
  <si>
    <t>2014-11-26 15:56:27.163: RTWSControl  - tickOptionComputation - id:200054 tickType:10 impliedVol:1.79769313486232E+308 delta:1.79769313486232E+308 optPrice:1.79769313486232E+308 pvDividend:0 gamma: 1.79769313486232E+308 theta/vega/undPrice: 1.79769313486232E+308-1.79769313486232E+308-1.5783</t>
  </si>
  <si>
    <t>2014-11-26 15:56:27.200: RTWSControl  - tickOptionComputation - id:200054 tickType:13 impliedVol:7.05949814897888E-02 delta:1.7096891395334E-03 optPrice:8.84505575119136E-06 pvDividend:0 gamma: 0.310087841282914 theta/vega/undPrice: -5.2719910818034E-06-2.52874247299858E-05-1.5783</t>
  </si>
  <si>
    <t>2014-11-26 15:56:28.393: RTWSControl  - tickOptionComputation - id:200041 tickType:11 impliedVol:8.58695224908945E-02 delta:0.900230076733889 optPrice:1.37999998405576E-02 pvDividend:0 gamma: 1.79769313486232E+308 theta/vega/undPrice: -4.22714297370009E-04-2.15175835942513E-04-1.5783</t>
  </si>
  <si>
    <t>2014-11-26 15:56:28.601: RTWSControl  - tickOptionComputation - id:200043 tickType:10 impliedVol:1.79769313486232E+308 delta:1.79769313486232E+308 optPrice:9.99999974737875E-05 pvDividend:0 gamma: 1.79769313486232E+308 theta/vega/undPrice: 1.79769313486232E+308-1.79769313486232E+308-1.5783</t>
  </si>
  <si>
    <t>2014-11-26 15:56:28.670: RTWSControl  - tickOptionComputation - id:200052 tickType:10 impliedVol:1.79769313486232E+308 delta:1.79769313486232E+308 optPrice:1.79769313486232E+308 pvDividend:0 gamma: 1.79769313486232E+308 theta/vega/undPrice: 1.79769313486232E+308-1.79769313486232E+308-1.5783</t>
  </si>
  <si>
    <t>2014-11-26 15:56:28.711: RTWSControl  - tickOptionComputation - id:200052 tickType:11 impliedVol:1.79769313486232E+308 delta:1.79769313486232E+308 optPrice:1.79769313486232E+308 pvDividend:0 gamma: 1.79769313486232E+308 theta/vega/undPrice: 1.79769313486232E+308-1.79769313486232E+308-1.5783</t>
  </si>
  <si>
    <t>2014-11-26 15:56:28.751: RTWSControl  - tickOptionComputation - id:200054 tickType:10 impliedVol:1.79769313486232E+308 delta:1.79769313486232E+308 optPrice:1.79769313486232E+308 pvDividend:0 gamma: 1.79769313486232E+308 theta/vega/undPrice: 1.79769313486232E+308-1.79769313486232E+308-1.5783</t>
  </si>
  <si>
    <t>2014-11-26 15:56:29.569: RTWSControl  - tickOptionComputation - id:200042 tickType:13 impliedVol:0.080506805025891 delta:-2.85706904303963E-02 optPrice:1.09573622864359E-04 pvDividend:0 gamma: 1.79769313486232E+308 theta/vega/undPrice: -1.47369908646334E-04-9.26780493981387E-05-1.5784</t>
  </si>
  <si>
    <t>2014-11-26 15:56:29.621: RTWSControl  - tickOptionComputation - id:200041 tickType:13 impliedVol:7.18230056979507E-02 delta:0.939099825264033 optPrice:0.013633398846597 pvDividend:0 gamma: 1.79769313486232E+308 theta/vega/undPrice: -2.43368867059479E-04-1.69452376690546E-04-1.5784</t>
  </si>
  <si>
    <t>2014-11-26 15:56:29.662: RTWSControl  - tickOptionComputation - id:200043 tickType:13 impliedVol:7.18230056979507E-02 delta:-6.10126955200284E-02 optPrice:2.33590399362678E-04 pvDividend:0 gamma: 1.79769313486232E+308 theta/vega/undPrice: -2.43457407925785E-04-1.69452642873121E-04-1.5784</t>
  </si>
  <si>
    <t>2014-11-26 15:56:29.704: RTWSControl  - tickOptionComputation - id:200044 tickType:13 impliedVol:6.57606966015578E-02 delta:0.854903116881384 optPrice:9.00376359058142E-03 pvDividend:0 gamma: 1.79769313486232E+308 theta/vega/undPrice: -4.22532006845991E-04-2.97632033868735E-04-1.5784</t>
  </si>
  <si>
    <t>2014-11-26 15:56:29.746: RTWSControl  - tickOptionComputation - id:200046 tickType:13 impliedVol:6.57606966015578E-02 delta:-0.145209569736166 optPrice:6.03884347826461E-04 pvDividend:0 gamma: 1.79769313486232E+308 theta/vega/undPrice: -4.22588180090585E-04-2.97632322208842E-04-1.5784</t>
  </si>
  <si>
    <t>2014-11-26 15:56:29.787: RTWSControl  - tickOptionComputation - id:200045 tickType:13 impliedVol:0.062319877736627 delta:0.674040868132299 optPrice:5.0335684352861E-03 pvDividend:0 gamma: 1.79769313486232E+308 theta/vega/undPrice: -6.32896025431824E-04-4.45391123810752E-04-1.5784</t>
  </si>
  <si>
    <t>2014-11-26 15:56:29.830: RTWSControl  - tickOptionComputation - id:200047 tickType:13 impliedVol:0.062319877736627 delta:-0.326072278834089 optPrice:1.63361973327118E-03 pvDividend:0 gamma: 1.79769313486232E+308 theta/vega/undPrice: -6.32920383382095E-04-4.45391762327855E-04-1.5784</t>
  </si>
  <si>
    <t>2014-11-26 15:56:29.870: RTWSControl  - tickOptionComputation - id:200055 tickType:13 impliedVol:0.061500549103215 delta:0.416149525198251 optPrice:2.26198919941027E-03 pvDividend:0 gamma: 1.79769313486232E+308 theta/vega/undPrice: -6.7785776853477E-04-4.83272372684545E-04-1.5784</t>
  </si>
  <si>
    <t>2014-11-26 15:56:29.910: RTWSControl  - tickOptionComputation - id:200049 tickType:13 impliedVol:6.83660057740898E-02 delta:0.691039016435095 optPrice:1.18279351547056E-02 pvDividend:0 gamma: 1.79769313486232E+308 theta/vega/undPrice: -3.30660860035723E-04-9.14166755725459E-04-1.5784</t>
  </si>
  <si>
    <t>2014-11-26 15:56:29.953: RTWSControl  - tickOptionComputation - id:200050 tickType:13 impliedVol:6.83660057740898E-02 delta:-0.309031128421779 optPrice:3.42846720450542E-03 pvDividend:0 gamma: 1.79769313486232E+308 theta/vega/undPrice: -3.30720529198806E-04-9.14172313783056E-04-1.5784</t>
  </si>
  <si>
    <t>2014-11-26 15:56:29.994: RTWSControl  - tickOptionComputation - id:200051 tickType:13 impliedVol:7.09248094548967E-02 delta:-0.31360417598605 optPrice:3.56831897599372E-03 pvDividend:0 gamma: 1.79769313486232E+308 theta/vega/undPrice: -3.46963505980439E-04-8.76808843279388E-04-1.5784</t>
  </si>
  <si>
    <t>2014-11-26 15:56:30.35: RTWSControl  - tickOptionComputation - id:200052 tickType:13 impliedVol:0.11985945607354 delta:-0.517805181181532 optPrice:1.26481615545842E-02 pvDividend:0 gamma: 1.79769313486232E+308 theta/vega/undPrice: -6.59069885036975E-04-9.85607322227639E-04-1.5784</t>
  </si>
  <si>
    <t>2014-11-26 15:56:30.77: RTWSControl  - tickOptionComputation - id:200048 tickType:13 impliedVol:8.34931186217407E-02 delta:-0.03035570538062 optPrice:2.50936587474987E-04 pvDividend:0 gamma: 1.79769313486232E+308 theta/vega/undPrice: -7.81627298895536E-05-2.0113345704007E-04-1.5784</t>
  </si>
  <si>
    <t>2014-11-26 15:56:30.120: RTWSControl  - tickOptionComputation - id:200053 tickType:13 impliedVol:6.40666267301047E-02 delta:9.04772276680321E-02 optPrice:6.77306114591828E-04 pvDividend:0 gamma: 1.79769313486232E+308 theta/vega/undPrice: -1.42916245000306E-04-4.47287202779528E-04-1.5784</t>
  </si>
  <si>
    <t>2014-11-26 15:56:30.161: RTWSControl  - tickOptionComputation - id:200054 tickType:13 impliedVol:7.05949814897888E-02 delta:1.73408064783816E-03 optPrice:8.97754869430973E-06 pvDividend:0 gamma: 0.314246348459154 theta/vega/undPrice: -5.34336933562181E-06-2.59357524455051E-05-1.5784</t>
  </si>
  <si>
    <t>2014-11-26 15:56:30.245: DirectionIndicator - notify - price/longMA/ShortMA/prevDirection are 1.5783/1.5782925505337/1.57830360519607/1</t>
  </si>
  <si>
    <t>2014-11-26 15:56:30.245: Algorithm - handleTransition - currentHedgeShortfall is NOT ZERO and AUTOHEDGE IS NOT ENABLED!</t>
  </si>
  <si>
    <t>2014-11-26 15:56:30.493: DirectionIndicator - notify - price/longMA/ShortMA/prevDirection are 1.57825/1.57828481407302/1.57828573679738/1</t>
  </si>
  <si>
    <t>2014-11-26 15:56:30.497: Algorithm - handleTransition - currentHedgeShortfall is NOT ZERO and AUTOHEDGE IS NOT ENABLED!</t>
  </si>
  <si>
    <t>2014-11-26 15:56:30.665: DirectionIndicator - notify - price/longMA/ShortMA/prevDirection are 1.5783/1.57828757515066/1.57829049119825/1</t>
  </si>
  <si>
    <t>2014-11-26 15:56:30.665: Algorithm - handleTransition - currentHedgeShortfall is NOT ZERO and AUTOHEDGE IS NOT ENABLED!</t>
  </si>
  <si>
    <t>2014-11-26 15:56:30.707: DirectionIndicator - notify - price/longMA/ShortMA/prevDirection are 1.57835/1.57829892512326/1.5783103274655/1</t>
  </si>
  <si>
    <t>2014-11-26 15:56:30.707: Algorithm - handleTransition - currentHedgeShortfall is NOT ZERO and AUTOHEDGE IS NOT ENABLED!</t>
  </si>
  <si>
    <t>2014-11-26 15:56:30.871: RTWSControl  - tickOptionComputation - id:200042 tickType:13 impliedVol:8.14640809566498E-02 delta:-3.08975457952832E-02 optPrice:1.21199610986577E-04 pvDividend:0 gamma: 1.79769313486232E+308 theta/vega/undPrice: -1.59100721743541E-04-1.00667041724111E-04-1.5783</t>
  </si>
  <si>
    <t>2014-11-26 15:56:30.948: RTWSControl  - tickOptionComputation - id:200041 tickType:10 impliedVol:1.79769313486232E+308 delta:0.99998600802742 optPrice:1.32999997586012E-02 pvDividend:0 gamma: -4.49960594913883E-10 theta/vega/undPrice: 8.75308207168991E-08--7.8236028766554E-16-1.5783</t>
  </si>
  <si>
    <t>2014-11-26 15:56:30.996: RTWSControl  - tickOptionComputation - id:200041 tickType:11 impliedVol:0.081209176795401 delta:0.913170975663388 optPrice:1.37000000104308E-02 pvDividend:0 gamma: 1.79769313486232E+308 theta/vega/undPrice: -3.61397027222107E-04-2.15175964961206E-04-1.5783</t>
  </si>
  <si>
    <t>2014-11-26 15:56:31.43: RTWSControl  - tickOptionComputation - id:200041 tickType:13 impliedVol:7.26380782901401E-02 delta:0.935732307749699 optPrice:1.35510057927069E-02 pvDividend:0 gamma: 1.79769313486232E+308 theta/vega/undPrice: -2.57024124170486E-04-1.79461162828418E-04-1.5783</t>
  </si>
  <si>
    <t>2014-11-26 15:56:31.82: RTWSControl  - tickOptionComputation - id:200043 tickType:10 impliedVol:1.79769313486232E+308 delta:1.79769313486232E+308 optPrice:9.99999974737875E-05 pvDividend:0 gamma: 1.79769313486232E+308 theta/vega/undPrice: 1.79769313486232E+308-1.79769313486232E+308-1.5783</t>
  </si>
  <si>
    <t>2014-11-26 15:56:31.117: RTWSControl  - tickOptionComputation - id:200043 tickType:13 impliedVol:7.26380782901401E-02 delta:-6.43802154897162E-02 optPrice:2.51195929256534E-04 pvDividend:0 gamma: 1.79769313486232E+308 theta/vega/undPrice: -2.5711202165551E-04-1.7946143858488E-04-1.5783</t>
  </si>
  <si>
    <t>2014-11-26 15:56:31.161: RTWSControl  - tickOptionComputation - id:200044 tickType:13 impliedVol:6.63101373744723E-02 delta:0.849743548357285 optPrice:8.93616712294693E-03 pvDividend:0 gamma: 1.79769313486232E+308 theta/vega/undPrice: -4.35751380035069E-04-2.97622588750043E-04-1.5783</t>
  </si>
  <si>
    <t>2014-11-26 15:56:31.204: RTWSControl  - tickOptionComputation - id:200046 tickType:13 impliedVol:6.63101373744723E-02 delta:-0.150369143639817 optPrice:6.36286480927141E-04 pvDividend:0 gamma: 1.79769313486232E+308 theta/vega/undPrice: -4.35806919230882E-04-2.97622877285068E-04-1.5783</t>
  </si>
  <si>
    <t>2014-11-26 15:56:31.246: RTWSControl  - tickOptionComputation - id:200045 tickType:11 impliedVol:6.52977075197591E-02 delta:0.661899278932344 optPrice:5.10000018402934E-03 pvDividend:0 gamma: 1.79769313486232E+308 theta/vega/undPrice: -6.72709189380788E-04-4.45376878583923E-04-1.5783</t>
  </si>
  <si>
    <t>2014-11-26 15:56:31.292: RTWSControl  - tickOptionComputation - id:200045 tickType:13 impliedVol:6.24802582096038E-02 delta:0.668806624759947 optPrice:4.97421493926415E-03 pvDividend:0 gamma: 1.79769313486232E+308 theta/vega/undPrice: -6.38477124049243E-04-4.45377007955357E-04-1.5783</t>
  </si>
  <si>
    <t>2014-11-26 15:56:31.332: RTWSControl  - tickOptionComputation - id:200047 tickType:13 impliedVol:6.24802582096038E-02 delta:-0.331306530553492 optPrice:1.67426485544679E-03 pvDividend:0 gamma: 1.79769313486232E+308 theta/vega/undPrice: -6.38500847290876E-04-4.45377646700929E-04-1.5783</t>
  </si>
  <si>
    <t>2014-11-26 15:56:31.374: RTWSControl  - tickOptionComputation - id:200055 tickType:13 impliedVol:6.11484407955771E-02 delta:0.410316112807492 optPrice:2.20049358118396E-03 pvDividend:0 gamma: 1.79769313486232E+308 theta/vega/undPrice: -6.72513996766612E-04-4.83257083226551E-04-1.5783</t>
  </si>
  <si>
    <t>2014-11-26 15:56:31.412: RTWSControl  - tickOptionComputation - id:200049 tickType:13 impliedVol:6.82059171207587E-02 delta:0.689315664826996 optPrice:1.17466970882914E-02 pvDividend:0 gamma: 1.79769313486232E+308 theta/vega/undPrice: -3.30568996529682E-04-9.14137860795141E-04-1.5783</t>
  </si>
  <si>
    <t>2014-11-26 15:56:31.456: RTWSControl  - tickOptionComputation - id:200050 tickType:13 impliedVol:6.82059171207587E-02 delta:-0.310754491898409 optPrice:3.44722316623054E-03 pvDividend:0 gamma: 1.79769313486232E+308 theta/vega/undPrice: -3.30628011441986E-04-9.14143421993331E-04-1.5783</t>
  </si>
  <si>
    <t>2014-11-26 15:56:31.498: RTWSControl  - tickOptionComputation - id:200051 tickType:13 impliedVol:7.09248094548967E-02 delta:-0.315628471857209 optPrice:3.59977654105506E-03 pvDividend:0 gamma: 1.79769313486232E+308 theta/vega/undPrice: -3.47897799793348E-04-8.79170253444348E-04-1.5783</t>
  </si>
  <si>
    <t>2014-11-26 15:56:31.537: RTWSControl  - tickOptionComputation - id:200052 tickType:13 impliedVol:0.11985945607354 delta:-0.519149697814239 optPrice:1.27000000062536E-02 pvDividend:0 gamma: 1.79769313486232E+308 theta/vega/undPrice: -6.58924962813347E-04-9.85391135514913E-04-1.5783</t>
  </si>
  <si>
    <t>2014-11-26 15:56:31.579: RTWSControl  - tickOptionComputation - id:200048 tickType:13 impliedVol:8.36333713151518E-02 delta:-0.030921201158514 optPrice:2.56648791740258E-04 pvDividend:0 gamma: 1.79769313486232E+308 theta/vega/undPrice: -7.95034465277224E-05-2.05382599263033E-04-1.5783</t>
  </si>
  <si>
    <t>2014-11-26 15:56:31.623: RTWSControl  - tickOptionComputation - id:200050 tickType:10 impliedVol:6.87806491643448E-02 delta:-0.312187881703709 optPrice:3.50000010803342E-03 pvDividend:0 gamma: 1.79769313486232E+308 theta/vega/undPrice: -3.34018727390147E-04-9.1414317537369E-04-1.5783</t>
  </si>
  <si>
    <t>2014-11-26 15:56:31.661: RTWSControl  - tickOptionComputation - id:200053 tickType:13 impliedVol:6.39982873462888E-02 delta:8.91033828465723E-02 optPrice:6.64027691268315E-04 pvDividend:0 gamma: 1.79769313486232E+308 theta/vega/undPrice: -1.4120339144873E-04-4.47273044455379E-04-1.5783</t>
  </si>
  <si>
    <t>2014-11-26 15:56:31.708: RTWSControl  - tickOptionComputation - id:200054 tickType:13 impliedVol:7.10104819917454E-02 delta:1.78247590500891E-03 optPrice:9.29297551944764E-06 pvDividend:0 gamma: 0.320667969700116 theta/vega/undPrice: -5.51623504023623E-06-2.70604299374151E-05-1.5783</t>
  </si>
  <si>
    <t>2014-11-26 15:56:31.753: RTWSControl  - tickOptionComputation - id:200052 tickType:10 impliedVol:1.79769313486232E+308 delta:1.79769313486232E+308 optPrice:1.79769313486232E+308 pvDividend:0 gamma: 1.79769313486232E+308 theta/vega/undPrice: 1.79769313486232E+308-1.79769313486232E+308-1.5783</t>
  </si>
  <si>
    <t>2014-11-26 15:56:31.787: RTWSControl  - tickOptionComputation - id:200052 tickType:11 impliedVol:1.79769313486232E+308 delta:1.79769313486232E+308 optPrice:1.79769313486232E+308 pvDividend:0 gamma: 1.79769313486232E+308 theta/vega/undPrice: 1.79769313486232E+308-1.79769313486232E+308-1.5783</t>
  </si>
  <si>
    <t>2014-11-26 15:56:31.829: RTWSControl  - tickOptionComputation - id:200054 tickType:10 impliedVol:1.79769313486232E+308 delta:1.79769313486232E+308 optPrice:1.79769313486232E+308 pvDividend:0 gamma: 1.79769313486232E+308 theta/vega/undPrice: 1.79769313486232E+308-1.79769313486232E+308-1.5783</t>
  </si>
  <si>
    <t>2014-11-26 15:56:32.336: RTWSControl  - tickOptionComputation - id:200041 tickType:10 impliedVol:6.04189704683267E-02 delta:0.966132639530746 optPrice:0.013399999588728 pvDividend:0 gamma: 1.79769313486232E+308 theta/vega/undPrice: -1.27329526131711E-04-1.19782839738887E-04-1.5783</t>
  </si>
  <si>
    <t>2014-11-26 15:56:32.414: RTWSControl  - tickOptionComputation - id:200043 tickType:10 impliedVol:1.79769313486232E+308 delta:1.79769313486232E+308 optPrice:9.99999974737875E-05 pvDividend:0 gamma: 1.79769313486232E+308 theta/vega/undPrice: 1.79769313486232E+308-1.79769313486232E+308-1.5783</t>
  </si>
  <si>
    <t>2014-11-26 15:56:32.451: RTWSControl  - tickOptionComputation - id:200045 tickType:11 impliedVol:6.75395930028047E-02 delta:0.656879337124388 optPrice:5.2000000141561E-03 pvDividend:0 gamma: 1.79769313486232E+308 theta/vega/undPrice: -6.99948124955096E-04-4.45376772489561E-04-1.5783</t>
  </si>
  <si>
    <t>2014-11-26 15:56:32.506: RTWSControl  - tickOptionComputation - id:200052 tickType:10 impliedVol:1.79769313486232E+308 delta:1.79769313486232E+308 optPrice:1.79769313486232E+308 pvDividend:0 gamma: 1.79769313486232E+308 theta/vega/undPrice: 1.79769313486232E+308-1.79769313486232E+308-1.5783</t>
  </si>
  <si>
    <t>2014-11-26 15:56:32.540: RTWSControl  - tickOptionComputation - id:200052 tickType:11 impliedVol:1.79769313486232E+308 delta:1.79769313486232E+308 optPrice:1.79769313486232E+308 pvDividend:0 gamma: 1.79769313486232E+308 theta/vega/undPrice: 1.79769313486232E+308-1.79769313486232E+308-1.5783</t>
  </si>
  <si>
    <t>2014-11-26 15:56:32.606: RTWSControl  - tickOptionComputation - id:200054 tickType:10 impliedVol:1.79769313486232E+308 delta:1.79769313486232E+308 optPrice:1.79769313486232E+308 pvDividend:0 gamma: 1.79769313486232E+308 theta/vega/undPrice: 1.79769313486232E+308-1.79769313486232E+308-1.5783</t>
  </si>
  <si>
    <t>2014-11-26 15:56:34.220: RTWSControl  - tickOptionComputation - id:200042 tickType:13 impliedVol:7.98694688057253E-02 delta:-2.82270184537917E-02 optPrice:1.07201959881853E-04 pvDividend:0 gamma: 1.79769313486232E+308 theta/vega/undPrice: -1.4474774962529E-04-9.18264456852578E-05-1.5783</t>
  </si>
  <si>
    <t>2014-11-26 15:56:34.333: RTWSControl  - tickOptionComputation - id:200041 tickType:13 impliedVol:7.12539282208127E-02 delta:0.939187239460603 optPrice:1.35311500369783E-02 pvDividend:0 gamma: 1.79769313486232E+308 theta/vega/undPrice: -2.41147265826771E-04-1.69533319138739E-04-1.5783</t>
  </si>
  <si>
    <t>2014-11-26 15:56:34.389: RTWSControl  - tickOptionComputation - id:200043 tickType:10 impliedVol:1.79769313486232E+308 delta:1.79769313486232E+308 optPrice:9.99999974737875E-05 pvDividend:0 gamma: 1.79769313486232E+308 theta/vega/undPrice: 1.79769313486232E+308-1.79769313486232E+308-1.5783</t>
  </si>
  <si>
    <t>2014-11-26 15:56:34.407: RTWSControl  - tickOptionComputation - id:200043 tickType:13 impliedVol:7.12539282208127E-02 delta:-6.09252812607473E-02 optPrice:2.31340159899021E-04 pvDividend:0 gamma: 1.79769313486232E+308 theta/vega/undPrice: -2.4123514548578E-04-1.69533584364963E-04-1.5783</t>
  </si>
  <si>
    <t>2014-11-26 15:56:34.489: RTWSControl  - tickOptionComputation - id:200044 tickType:13 impliedVol:6.53474593717078E-02 delta:0.853451443665999 optPrice:8.90751563457086E-03 pvDividend:0 gamma: 1.79769313486232E+308 theta/vega/undPrice: -4.22544524787426E-04-2.97622618778319E-04-1.5783</t>
  </si>
  <si>
    <t>2014-11-26 15:56:34.538: RTWSControl  - tickOptionComputation - id:200046 tickType:13 impliedVol:6.53474593717078E-02 delta:-0.146661244467539 optPrice:6.07634964818533E-04 pvDividend:0 gamma: 1.79769313486232E+308 theta/vega/undPrice: -4.22600038885674E-04-2.97622907176339E-04-1.5783</t>
  </si>
  <si>
    <t>2014-11-26 15:56:34.584: RTWSControl  - tickOptionComputation - id:200045 tickType:13 impliedVol:0.062150062258354 delta:0.669647073013072 optPrice:4.95950876325194E-03 pvDividend:0 gamma: 1.79769313486232E+308 theta/vega/undPrice: -6.34465235065593E-04-4.45377022829982E-04-1.5783</t>
  </si>
  <si>
    <t>2014-11-26 15:56:34.624: RTWSControl  - tickOptionComputation - id:200047 tickType:13 impliedVol:0.062150062258354 delta:-0.330466080944028 optPrice:1.65955865835352E-03 pvDividend:0 gamma: 1.79769313486232E+308 theta/vega/undPrice: -6.34488944650456E-04-4.45377661564504E-04-1.5783</t>
  </si>
  <si>
    <t>2014-11-26 15:56:34.667: RTWSControl  - tickOptionComputation - id:200055 tickType:13 impliedVol:6.16617368807226E-02 delta:0.411079044668143 optPrice:2.22529898972731E-03 pvDividend:0 gamma: 1.79769313486232E+308 theta/vega/undPrice: -6.78347582660873E-04-4.83257058021756E-04-1.5783</t>
  </si>
  <si>
    <t>2014-11-26 15:56:34.706: RTWSControl  - tickOptionComputation - id:200049 tickType:13 impliedVol:6.81905378158589E-02 delta:0.689355421973492 optPrice:1.17452912045208E-02 pvDividend:0 gamma: 1.79769313486232E+308 theta/vega/undPrice: -3.30478265358552E-04-9.1413786747243E-04-1.5783</t>
  </si>
  <si>
    <t>2014-11-26 15:56:34.750: RTWSControl  - tickOptionComputation - id:200050 tickType:13 impliedVol:6.81905378158589E-02 delta:-0.310714734478773 optPrice:3.44581727391623E-03 pvDividend:0 gamma: 1.79769313486232E+308 theta/vega/undPrice: -3.30537278947091E-04-9.1414342857025E-04-1.5783</t>
  </si>
  <si>
    <t>2014-11-26 15:56:34.789: RTWSControl  - tickOptionComputation - id:200048 tickType:13 impliedVol:8.36099388147211E-02 delta:-3.08841033886035E-02 optPrice:2.5622865531396E-04 pvDividend:0 gamma: 1.79769313486232E+308 theta/vega/undPrice: -7.94015250854616E-05-2.05117253353058E-04-1.5783</t>
  </si>
  <si>
    <t>2014-11-26 15:56:34.838: RTWSControl  - tickOptionComputation - id:200052 tickType:10 impliedVol:1.79769313486232E+308 delta:1.79769313486232E+308 optPrice:1.79769313486232E+308 pvDividend:0 gamma: 1.79769313486232E+308 theta/vega/undPrice: 1.79769313486232E+308-1.79769313486232E+308-1.5783</t>
  </si>
  <si>
    <t>2014-11-26 15:56:34.871: RTWSControl  - tickOptionComputation - id:200052 tickType:11 impliedVol:1.79769313486232E+308 delta:1.79769313486232E+308 optPrice:1.79769313486232E+308 pvDividend:0 gamma: 1.79769313486232E+308 theta/vega/undPrice: 1.79769313486232E+308-1.79769313486232E+308-1.5783</t>
  </si>
  <si>
    <t>2014-11-26 15:56:34.913: RTWSControl  - tickOptionComputation - id:200053 tickType:13 impliedVol:6.40024133716057E-02 delta:8.91189601895732E-02 optPrice:6.64212237659736E-04 pvDividend:0 gamma: 1.79769313486232E+308 theta/vega/undPrice: -1.41230088237177E-04-4.47273043664086E-04-1.5783</t>
  </si>
  <si>
    <t>2014-11-26 15:56:34.953: RTWSControl  - tickOptionComputation - id:200054 tickType:13 impliedVol:7.10455654819597E-02 delta:1.78858287641732E-03 optPrice:9.33079638270762E-06 pvDividend:0 gamma: 0.321549020721921 theta/vega/undPrice: -5.53685819165837E-06-2.72101366170925E-05-1.5783</t>
  </si>
  <si>
    <t>2014-11-26 15:56:34.997: RTWSControl  - tickOptionComputation - id:200054 tickType:10 impliedVol:1.79769313486232E+308 delta:1.79769313486232E+308 optPrice:1.79769313486232E+308 pvDividend:0 gamma: 1.79769313486232E+308 theta/vega/undPrice: 1.79769313486232E+308-1.79769313486232E+308-1.5783</t>
  </si>
  <si>
    <t>2014-11-26 15:56:36.233: RTWSControl  - tickOptionComputation - id:200050 tickType:10 impliedVol:6.76893351006219E-02 delta:-0.309369946309003 optPrice:3.40000004507601E-03 pvDividend:0 gamma: 1.79769313486232E+308 theta/vega/undPrice: -3.27580358160601E-04-9.14143642517256E-04-1.5783</t>
  </si>
  <si>
    <t>2014-11-26 15:56:36.864: DirectionIndicator - notify - price/longMA/ShortMA/prevDirection are 1.5783/1.5782991205554/1.578306884977/1</t>
  </si>
  <si>
    <t>2014-11-26 15:56:36.865: Algorithm - handleTransition - currentHedgeShortfall is NOT ZERO and AUTOHEDGE IS NOT ENABLED!</t>
  </si>
  <si>
    <t>2014-11-26 15:56:38.221: RTWSControl  - tickOptionComputation - id:200042 tickType:13 impliedVol:7.98327959651033E-02 delta:-0.028164344683506 optPrice:1.06880042302805E-04 pvDividend:0 gamma: 1.79769313486232E+308 theta/vega/undPrice: -1.44417660370607E-04-9.16231298979032E-05-1.5783</t>
  </si>
  <si>
    <t>2014-11-26 15:56:38.292: RTWSControl  - tickOptionComputation - id:200041 tickType:13 impliedVol:7.11912436304374E-02 delta:0.939346890088578 optPrice:1.35302508208902E-02 pvDividend:0 gamma: 1.79769313486232E+308 theta/vega/undPrice: -2.40428243734475E-04-1.69083712617861E-04-1.5783</t>
  </si>
  <si>
    <t>2014-11-26 15:56:38.338: RTWSControl  - tickOptionComputation - id:200043 tickType:10 impliedVol:1.79769313486232E+308 delta:1.79769313486232E+308 optPrice:9.99999974737875E-05 pvDividend:0 gamma: 1.79769313486232E+308 theta/vega/undPrice: 1.79769313486232E+308-1.79769313486232E+308-1.5783</t>
  </si>
  <si>
    <t>2014-11-26 15:56:38.374: RTWSControl  - tickOptionComputation - id:200043 tickType:13 impliedVol:7.11912436304374E-02 delta:-6.07656305165204E-02 optPrice:2.30440943195533E-04 pvDividend:0 gamma: 1.79769313486232E+308 theta/vega/undPrice: -2.4051612258702E-04-1.69083977362364E-04-1.5783</t>
  </si>
  <si>
    <t>2014-11-26 15:56:38.420: RTWSControl  - tickOptionComputation - id:200044 tickType:13 impliedVol:6.52699282861704E-02 delta:0.853754836818264 optPrice:8.90520813288076E-03 pvDividend:0 gamma: 1.79769313486232E+308 theta/vega/undPrice: -4.21480885723219E-04-2.97622621201095E-04-1.5783</t>
  </si>
  <si>
    <t>2014-11-26 15:56:38.487: RTWSControl  - tickOptionComputation - id:200046 tickType:13 impliedVol:6.52699282861704E-02 delta:-0.146357850999268 optPrice:6.05327460897449E-04 pvDividend:0 gamma: 1.79769313486232E+308 theta/vega/undPrice: -4.21536397801316E-04-2.9762290958131E-04-1.5783</t>
  </si>
  <si>
    <t>2014-11-26 15:56:38.536: RTWSControl  - tickOptionComputation - id:200045 tickType:11 impliedVol:6.52977075197591E-02 delta:0.661899278932344 optPrice:5.10000018402934E-03 pvDividend:0 gamma: 1.79769313486232E+308 theta/vega/undPrice: -6.72709189380788E-04-4.45376878583923E-04-1.5783</t>
  </si>
  <si>
    <t>2014-11-26 15:56:38.584: RTWSControl  - tickOptionComputation - id:200045 tickType:13 impliedVol:6.20688499322739E-02 delta:0.669855160595429 optPrice:4.95589175105236E-03 pvDividend:0 gamma: 1.79769313486232E+308 theta/vega/undPrice: -6.33478503243934E-04-4.45377026477189E-04-1.5783</t>
  </si>
  <si>
    <t>2014-11-26 15:56:38.625: RTWSControl  - tickOptionComputation - id:200047 tickType:13 impliedVol:6.20688499322739E-02 delta:-0.330257993025835 optPrice:1.65594164096459E-03 pvDividend:0 gamma: 1.79769313486232E+308 theta/vega/undPrice: -6.33502209467836E-04-4.45377665212091E-04-1.5783</t>
  </si>
  <si>
    <t>2014-11-26 15:56:38.665: RTWSControl  - tickOptionComputation - id:200055 tickType:13 impliedVol:6.15880085687195E-02 delta:0.410970233501362 optPrice:2.22173601522561E-03 pvDividend:0 gamma: 1.79769313486232E+308 theta/vega/undPrice: -6.77509663907717E-04-4.83257061656071E-04-1.5783</t>
  </si>
  <si>
    <t>2014-11-26 15:56:38.707: RTWSControl  - tickOptionComputation - id:200049 tickType:11 impliedVol:6.98802936376915E-02 delta:0.685006447498293 optPrice:1.19000002741814E-02 pvDividend:0 gamma: 1.79769313486232E+308 theta/vega/undPrice: -3.40447075785493E-04-9.14137127237846E-04-1.5783</t>
  </si>
  <si>
    <t>2014-11-26 15:56:38.749: RTWSControl  - tickOptionComputation - id:200049 tickType:13 impliedVol:6.81762275737849E-02 delta:0.689392431769096 optPrice:1.17439830480511E-02 pvDividend:0 gamma: 1.79769313486232E+308 theta/vega/undPrice: -3.30393841189072E-04-9.14137873683095E-04-1.5783</t>
  </si>
  <si>
    <t>2014-11-26 15:56:38.790: RTWSControl  - tickOptionComputation - id:200050 tickType:13 impliedVol:6.81762275737849E-02 delta:-0.310677724428881 optPrice:3.44450910949594E-03 pvDividend:0 gamma: 1.79769313486232E+308 theta/vega/undPrice: -3.30452853545767E-04-9.1414343469024E-04-1.5783</t>
  </si>
  <si>
    <t>2014-11-26 15:56:38.833: RTWSControl  - tickOptionComputation - id:200050 tickType:10 impliedVol:6.87806491643448E-02 delta:-0.312187881703709 optPrice:3.50000010803342E-03 pvDividend:0 gamma: 1.79769313486232E+308 theta/vega/undPrice: -3.34018727390147E-04-9.1414317537369E-04-1.5783</t>
  </si>
  <si>
    <t>2014-11-26 15:56:38.878: RTWSControl  - tickOptionComputation - id:200048 tickType:13 impliedVol:8.36593821462941E-02 delta:-3.09623564540439E-02 optPrice:2.57115156715822E-04 pvDividend:0 gamma: 1.79769313486232E+308 theta/vega/undPrice: -7.96165826132861E-05-2.05677141772812E-04-1.5783</t>
  </si>
  <si>
    <t>2014-11-26 15:56:38.926: RTWSControl  - tickOptionComputation - id:200053 tickType:13 impliedVol:6.39856133353369E-02 delta:8.90555210319447E-02 optPrice:6.63460815687017E-04 pvDividend:0 gamma: 1.79769313486232E+308 theta/vega/undPrice: -1.41121386282478E-04-4.47273046885406E-04-1.5783</t>
  </si>
  <si>
    <t>2014-11-26 15:56:38.995: RTWSControl  - tickOptionComputation - id:200054 tickType:13 impliedVol:7.10875394309483E-02 delta:1.79588136315679E-03 optPrice:9.37604532904974E-06 pvDividend:0 gamma: 0.322600621885765 theta/vega/undPrice: -5.56153176568843E-06-2.73892459450204E-05-1.5783</t>
  </si>
  <si>
    <t>2014-11-26 15:56:39.44: RTWSControl  - tickOptionComputation - id:200052 tickType:10 impliedVol:1.79769313486232E+308 delta:1.79769313486232E+308 optPrice:1.79769313486232E+308 pvDividend:0 gamma: 1.79769313486232E+308 theta/vega/undPrice: 1.79769313486232E+308-1.79769313486232E+308-1.5783</t>
  </si>
  <si>
    <t>2014-11-26 15:56:39.77: RTWSControl  - tickOptionComputation - id:200052 tickType:11 impliedVol:1.79769313486232E+308 delta:1.79769313486232E+308 optPrice:1.79769313486232E+308 pvDividend:0 gamma: 1.79769313486232E+308 theta/vega/undPrice: 1.79769313486232E+308-1.79769313486232E+308-1.5783</t>
  </si>
  <si>
    <t>2014-11-26 15:56:39.120: RTWSControl  - tickOptionComputation - id:200054 tickType:10 impliedVol:1.79769313486232E+308 delta:1.79769313486232E+308 optPrice:1.79769313486232E+308 pvDividend:0 gamma: 1.79769313486232E+308 theta/vega/undPrice: 1.79769313486232E+308-1.79769313486232E+308-1.5783</t>
  </si>
  <si>
    <t>2014-11-26 15:56:39.709: DirectionIndicator - notify - price/longMA/ShortMA/prevDirection are 1.57835/1.57830837136351/1.57832125665133/1</t>
  </si>
  <si>
    <t>2014-11-26 15:56:39.711: Algorithm - handleTransition - currentHedgeShortfall is NOT ZERO and AUTOHEDGE IS NOT ENABLED!</t>
  </si>
  <si>
    <t>2014-11-26 15:56:40.481: RTWSControl  - tickOptionComputation - id:200043 tickType:10 impliedVol:1.79769313486232E+308 delta:1.79769313486232E+308 optPrice:9.99999974737875E-05 pvDividend:0 gamma: 1.79769313486232E+308 theta/vega/undPrice: 1.79769313486232E+308-1.79769313486232E+308-1.5783</t>
  </si>
  <si>
    <t>2014-11-26 15:56:40.531: RTWSControl  - tickOptionComputation - id:200045 tickType:11 impliedVol:6.75395930028047E-02 delta:0.656879337124388 optPrice:5.2000000141561E-03 pvDividend:0 gamma: 1.79769313486232E+308 theta/vega/undPrice: -6.99948124955096E-04-4.45376772489561E-04-1.5783</t>
  </si>
  <si>
    <t>2014-11-26 15:56:40.575: RTWSControl  - tickOptionComputation - id:200049 tickType:11 impliedVol:7.09741752858819E-02 delta:0.682356962233234 optPrice:1.20000001043081E-02 pvDividend:0 gamma: 1.79769313486232E+308 theta/vega/undPrice: -3.46900482103849E-04-9.14136640698764E-04-1.5783</t>
  </si>
  <si>
    <t>2014-11-26 15:56:40.622: RTWSControl  - tickOptionComputation - id:200050 tickType:10 impliedVol:6.76893351006219E-02 delta:-0.309369946309003 optPrice:3.40000004507601E-03 pvDividend:0 gamma: 1.79769313486232E+308 theta/vega/undPrice: -3.27580358160601E-04-9.14143642517256E-04-1.5783</t>
  </si>
  <si>
    <t>2014-11-26 15:56:40.667: RTWSControl  - tickOptionComputation - id:200052 tickType:10 impliedVol:1.79769313486232E+308 delta:1.79769313486232E+308 optPrice:1.79769313486232E+308 pvDividend:0 gamma: 1.79769313486232E+308 theta/vega/undPrice: 1.79769313486232E+308-1.79769313486232E+308-1.5783</t>
  </si>
  <si>
    <t>2014-11-26 15:56:40.702: RTWSControl  - tickOptionComputation - id:200052 tickType:11 impliedVol:1.79769313486232E+308 delta:1.79769313486232E+308 optPrice:1.79769313486232E+308 pvDividend:0 gamma: 1.79769313486232E+308 theta/vega/undPrice: 1.79769313486232E+308-1.79769313486232E+308-1.5783</t>
  </si>
  <si>
    <t>2014-11-26 15:56:40.745: RTWSControl  - tickOptionComputation - id:200054 tickType:10 impliedVol:1.79769313486232E+308 delta:1.79769313486232E+308 optPrice:1.79769313486232E+308 pvDividend:0 gamma: 1.79769313486232E+308 theta/vega/undPrice: 1.79769313486232E+308-1.79769313486232E+308-1.5783</t>
  </si>
  <si>
    <t>2014-11-26 15:56:42.397: RTWSControl  - tickOptionComputation - id:200042 tickType:13 impliedVol:7.98694688057253E-02 delta:-2.82270184537917E-02 optPrice:1.07201959881853E-04 pvDividend:0 gamma: 1.79769313486232E+308 theta/vega/undPrice: -1.4474774962529E-04-9.18264456852578E-05-1.5783</t>
  </si>
  <si>
    <t>2014-11-26 15:56:42.460: RTWSControl  - tickOptionComputation - id:200041 tickType:13 impliedVol:7.12539282208127E-02 delta:0.939187239460603 optPrice:1.35311500369783E-02 pvDividend:0 gamma: 1.79769313486232E+308 theta/vega/undPrice: -2.41147265826771E-04-1.69533319138739E-04-1.5783</t>
  </si>
  <si>
    <t>2014-11-26 15:56:42.498: RTWSControl  - tickOptionComputation - id:200043 tickType:10 impliedVol:1.79769313486232E+308 delta:1.79769313486232E+308 optPrice:9.99999974737875E-05 pvDividend:0 gamma: 1.79769313486232E+308 theta/vega/undPrice: 1.79769313486232E+308-1.79769313486232E+308-1.5783</t>
  </si>
  <si>
    <t>2014-11-26 15:56:42.533: RTWSControl  - tickOptionComputation - id:200043 tickType:13 impliedVol:7.12539282208127E-02 delta:-6.09252812607473E-02 optPrice:2.31340159899021E-04 pvDividend:0 gamma: 1.79769313486232E+308 theta/vega/undPrice: -2.4123514548578E-04-1.69533584364963E-04-1.5783</t>
  </si>
  <si>
    <t>2014-11-26 15:56:42.579: RTWSControl  - tickOptionComputation - id:200044 tickType:13 impliedVol:6.52699282861704E-02 delta:0.853754836818264 optPrice:8.90751563457086E-03 pvDividend:0 gamma: 1.79769313486232E+308 theta/vega/undPrice: -4.21480885723219E-04-2.97622621201095E-04-1.5783</t>
  </si>
  <si>
    <t>2014-11-26 15:56:42.621: RTWSControl  - tickOptionComputation - id:200044 tickType:13 impliedVol:6.53474593717078E-02 delta:0.853451443665999 optPrice:8.90751563457086E-03 pvDividend:0 gamma: 1.79769313486232E+308 theta/vega/undPrice: -4.22544524787426E-04-2.97622618778319E-04-1.5783</t>
  </si>
  <si>
    <t>2014-11-26 15:56:42.662: RTWSControl  - tickOptionComputation - id:200046 tickType:13 impliedVol:6.53474593717078E-02 delta:-0.146661244467539 optPrice:6.07634964818533E-04 pvDividend:0 gamma: 1.79769313486232E+308 theta/vega/undPrice: -4.22600038885674E-04-2.97622907176339E-04-1.5783</t>
  </si>
  <si>
    <t>2014-11-26 15:56:42.704: RTWSControl  - tickOptionComputation - id:200045 tickType:13 impliedVol:0.062150062258354 delta:0.669647073013072 optPrice:4.95950876325194E-03 pvDividend:0 gamma: 1.79769313486232E+308 theta/vega/undPrice: -6.34465235065593E-04-4.45377022829982E-04-1.5783</t>
  </si>
  <si>
    <t>2014-11-26 15:56:42.746: RTWSControl  - tickOptionComputation - id:200047 tickType:13 impliedVol:0.062150062258354 delta:-0.330466080944028 optPrice:1.65955865835352E-03 pvDividend:0 gamma: 1.79769313486232E+308 theta/vega/undPrice: -6.34488944650456E-04-4.45377661564504E-04-1.5783</t>
  </si>
  <si>
    <t>2014-11-26 15:56:42.789: RTWSControl  - tickOptionComputation - id:200055 tickType:13 impliedVol:6.16617368807226E-02 delta:0.411079044668143 optPrice:2.22529898972731E-03 pvDividend:0 gamma: 1.79769313486232E+308 theta/vega/undPrice: -6.78347582660873E-04-4.83257058021756E-04-1.5783</t>
  </si>
  <si>
    <t>2014-11-26 15:56:42.827: RTWSControl  - tickOptionComputation - id:200049 tickType:13 impliedVol:6.82059171207587E-02 delta:0.689315664826996 optPrice:1.17466970882914E-02 pvDividend:0 gamma: 1.79769313486232E+308 theta/vega/undPrice: -3.30568996529682E-04-9.14137860795141E-04-1.5783</t>
  </si>
  <si>
    <t>2014-11-26 15:56:42.870: RTWSControl  - tickOptionComputation - id:200050 tickType:13 impliedVol:6.82059171207587E-02 delta:-0.310754491898409 optPrice:3.44722316623054E-03 pvDividend:0 gamma: 1.79769313486232E+308 theta/vega/undPrice: -3.30628011441986E-04-9.14143421993331E-04-1.5783</t>
  </si>
  <si>
    <t>2014-11-26 15:56:42.914: RTWSControl  - tickOptionComputation - id:200049 tickType:10 impliedVol:6.87864114605563E-02 delta:0.687741210318086 optPrice:1.18000004440546E-02 pvDividend:0 gamma: 1.79769313486232E+308 theta/vega/undPrice: -3.33993658006869E-04-9.14137608008583E-04-1.5783</t>
  </si>
  <si>
    <t>2014-11-26 15:56:42.962: RTWSControl  - tickOptionComputation - id:200052 tickType:10 impliedVol:1.79769313486232E+308 delta:1.79769313486232E+308 optPrice:1.79769313486232E+308 pvDividend:0 gamma: 1.79769313486232E+308 theta/vega/undPrice: 1.79769313486232E+308-1.79769313486232E+308-1.5783</t>
  </si>
  <si>
    <t>2014-11-26 15:56:42.994: RTWSControl  - tickOptionComputation - id:200052 tickType:11 impliedVol:1.79769313486232E+308 delta:1.79769313486232E+308 optPrice:1.79769313486232E+308 pvDividend:0 gamma: 1.79769313486232E+308 theta/vega/undPrice: 1.79769313486232E+308-1.79769313486232E+308-1.5783</t>
  </si>
  <si>
    <t>2014-11-26 15:56:43.36: RTWSControl  - tickOptionComputation - id:200048 tickType:13 impliedVol:8.36333713151518E-02 delta:-0.030921201158514 optPrice:2.56648791740258E-04 pvDividend:0 gamma: 1.79769313486232E+308 theta/vega/undPrice: -7.95034465277224E-05-2.05382599263033E-04-1.5783</t>
  </si>
  <si>
    <t>2014-11-26 15:56:43.81: RTWSControl  - tickOptionComputation - id:200053 tickType:13 impliedVol:6.39982873462888E-02 delta:8.91033828465723E-02 optPrice:6.64027691268315E-04 pvDividend:0 gamma: 1.79769313486232E+308 theta/vega/undPrice: -1.4120339144873E-04-4.47273044455379E-04-1.5783</t>
  </si>
  <si>
    <t>2014-11-26 15:56:43.122: RTWSControl  - tickOptionComputation - id:200054 tickType:10 impliedVol:1.79769313486232E+308 delta:1.79769313486232E+308 optPrice:1.79769313486232E+308 pvDividend:0 gamma: 1.79769313486232E+308 theta/vega/undPrice: 1.79769313486232E+308-1.79769313486232E+308-1.5783</t>
  </si>
  <si>
    <t>2014-11-26 15:56:43.158: RTWSControl  - tickOptionComputation - id:200054 tickType:13 impliedVol:7.10104819917454E-02 delta:1.78247590500891E-03 optPrice:9.29297551944764E-06 pvDividend:0 gamma: 0.320667969700116 theta/vega/undPrice: -5.51623504023623E-06-2.70604299374151E-05-1.5783</t>
  </si>
  <si>
    <t>2014-11-26 15:56:44.434: RTWSControl  - tickOptionComputation - id:200043 tickType:10 impliedVol:1.79769313486232E+308 delta:1.79769313486232E+308 optPrice:9.99999974737875E-05 pvDividend:0 gamma: 1.79769313486232E+308 theta/vega/undPrice: 1.79769313486232E+308-1.79769313486232E+308-1.5783</t>
  </si>
  <si>
    <t>2014-11-26 15:56:44.540: RTWSControl  - tickOptionComputation - id:200052 tickType:10 impliedVol:1.79769313486232E+308 delta:1.79769313486232E+308 optPrice:1.79769313486232E+308 pvDividend:0 gamma: 1.79769313486232E+308 theta/vega/undPrice: 1.79769313486232E+308-1.79769313486232E+308-1.5783</t>
  </si>
  <si>
    <t>2014-11-26 15:56:44.581: RTWSControl  - tickOptionComputation - id:200052 tickType:11 impliedVol:1.79769313486232E+308 delta:1.79769313486232E+308 optPrice:1.79769313486232E+308 pvDividend:0 gamma: 1.79769313486232E+308 theta/vega/undPrice: 1.79769313486232E+308-1.79769313486232E+308-1.5783</t>
  </si>
  <si>
    <t>2014-11-26 15:56:44.620: RTWSControl  - tickOptionComputation - id:200054 tickType:10 impliedVol:1.79769313486232E+308 delta:1.79769313486232E+308 optPrice:1.79769313486232E+308 pvDividend:0 gamma: 1.79769313486232E+308 theta/vega/undPrice: 1.79769313486232E+308-1.79769313486232E+308-1.5783</t>
  </si>
  <si>
    <t>2014-11-26 15:56:45.197: DirectionIndicator - notify - price/longMA/ShortMA/prevDirection are 1.5784/1.5783250311156/1.57834750443422/1</t>
  </si>
  <si>
    <t>2014-11-26 15:56:45.198: Algorithm - handleTransition - currentHedgeShortfall is NOT ZERO and AUTOHEDGE IS NOT ENABLED!</t>
  </si>
  <si>
    <t>2014-11-26 15:56:45.237: DirectionIndicator - notify - price/longMA/ShortMA/prevDirection are 1.57845/1.57834775273094/1.57838166962282/1</t>
  </si>
  <si>
    <t>2014-11-26 15:56:45.238: Algorithm - handleTransition - currentHedgeShortfall is NOT ZERO and AUTOHEDGE IS NOT ENABLED!</t>
  </si>
  <si>
    <t>2014-11-26 15:56:46.248: RTWSControl  - tickOptionComputation - id:200042 tickType:13 impliedVol:7.98694688057253E-02 delta:-2.74847758192701E-02 optPrice:1.0397884970194E-04 pvDividend:0 gamma: 1.79769313486232E+308 theta/vega/undPrice: -1.41633115773519E-04-8.91445185168741E-05-1.5784</t>
  </si>
  <si>
    <t>2014-11-26 15:56:46.323: RTWSControl  - tickOptionComputation - id:200041 tickType:13 impliedVol:7.12539282208127E-02 delta:0.940547159317232 optPrice:1.36252351206756E-02 pvDividend:0 gamma: 1.79769313486232E+308 theta/vega/undPrice: -2.36841071048974E-04-1.65370527517097E-04-1.5784</t>
  </si>
  <si>
    <t>2014-11-26 15:56:46.370: RTWSControl  - tickOptionComputation - id:200043 tickType:13 impliedVol:7.12539282208127E-02 delta:-5.95653604119619E-02 optPrice:2.25426667838919E-04 pvDividend:0 gamma: 1.79769313486232E+308 theta/vega/undPrice: -2.36929604586668E-04-1.65370789370494E-04-1.5784</t>
  </si>
  <si>
    <t>2014-11-26 15:56:46.412: RTWSControl  - tickOptionComputation - id:200044 tickType:13 impliedVol:6.53474593717078E-02 delta:0.85652737254243 optPrice:8.99146432007911E-03 pvDividend:0 gamma: 1.79769313486232E+308 theta/vega/undPrice: -4.16862678703946E-04-2.97632046906565E-04-1.5784</t>
  </si>
  <si>
    <t>2014-11-26 15:56:46.454: RTWSControl  - tickOptionComputation - id:200046 tickType:13 impliedVol:6.53474593717078E-02 delta:-0.143585312382647 optPrice:5.91585065421554E-04 pvDividend:0 gamma: 1.79769313486232E+308 theta/vega/undPrice: -4.16918841175886E-04-2.9763233518693E-04-1.5784</t>
  </si>
  <si>
    <t>2014-11-26 15:56:46.496: RTWSControl  - tickOptionComputation - id:200045 tickType:13 impliedVol:0.062150062258354 delta:0.674487394310689 optPrice:5.02600500078744E-03 pvDividend:0 gamma: 1.79769313486232E+308 theta/vega/undPrice: -6.30832697759864E-04-4.45391131491596E-04-1.5784</t>
  </si>
  <si>
    <t>2014-11-26 15:56:46.538: RTWSControl  - tickOptionComputation - id:200047 tickType:13 impliedVol:0.062150062258354 delta:-0.325625751950576 optPrice:1.62605628795882E-03 pvDividend:0 gamma: 1.79769313486232E+308 theta/vega/undPrice: -6.30857048784928E-04-4.45391769976682E-04-1.5784</t>
  </si>
  <si>
    <t>2014-11-26 15:56:46.579: RTWSControl  - tickOptionComputation - id:200055 tickType:13 impliedVol:6.16617368807226E-02 delta:0.41637386527759 optPrice:2.26977896318012E-03 pvDividend:0 gamma: 1.79769313486232E+308 theta/vega/undPrice: -6.79689717989159E-04-4.8327236476183E-04-1.5784</t>
  </si>
  <si>
    <t>2014-11-26 15:56:46.618: RTWSControl  - tickOptionComputation - id:200049 tickType:13 impliedVol:6.82059171207587E-02 delta:0.691456791016006 optPrice:1.18133003474537E-02 pvDividend:0 gamma: 1.79769313486232E+308 theta/vega/undPrice: -3.29716377180068E-04-9.14166825434866E-04-1.5784</t>
  </si>
  <si>
    <t>2014-11-26 15:56:46.662: RTWSControl  - tickOptionComputation - id:200050 tickType:13 impliedVol:6.82059171207587E-02 delta:-0.308613350970677 optPrice:3.41383230830124E-03 pvDividend:0 gamma: 1.79769313486232E+308 theta/vega/undPrice: -3.29776032561558E-04-9.14172383322248E-04-1.5784</t>
  </si>
  <si>
    <t>2014-11-26 15:56:46.703: RTWSControl  - tickOptionComputation - id:200051 tickType:13 impliedVol:7.09248094548967E-02 delta:-0.31360417598605 optPrice:3.56831897599372E-03 pvDividend:0 gamma: 1.79769313486232E+308 theta/vega/undPrice: -3.46963505980439E-04-8.76808843279388E-04-1.5784</t>
  </si>
  <si>
    <t>2014-11-26 15:56:46.744: RTWSControl  - tickOptionComputation - id:200052 tickType:13 impliedVol:0.11985945607354 delta:-0.517805181181532 optPrice:1.26481615545842E-02 pvDividend:0 gamma: 1.79769313486232E+308 theta/vega/undPrice: -6.59069885036975E-04-9.85607322227639E-04-1.5784</t>
  </si>
  <si>
    <t>2014-11-26 15:56:46.785: RTWSControl  - tickOptionComputation - id:200048 tickType:13 impliedVol:8.36333713151518E-02 delta:-3.05786303301189E-02 optPrice:2.53451348304294E-04 pvDividend:0 gamma: 1.79769313486232E+308 theta/vega/undPrice: -7.87727889985114E-05-2.02721706730154E-04-1.5784</t>
  </si>
  <si>
    <t>2014-11-26 15:56:46.831: RTWSControl  - tickOptionComputation - id:200053 tickType:13 impliedVol:6.39982873462888E-02 delta:9.02206772008517E-02 optPrice:6.74249374767709E-04 pvDividend:0 gamma: 1.79769313486232E+308 theta/vega/undPrice: -1.42474051928588E-04-4.47287215782169E-04-1.5784</t>
  </si>
  <si>
    <t>2014-11-26 15:56:46.870: RTWSControl  - tickOptionComputation - id:200054 tickType:13 impliedVol:7.10104819917454E-02 delta:1.80672231664394E-03 optPrice:9.42548266028799E-06 pvDividend:0 gamma: 0.324776605168273 theta/vega/undPrice: -5.58762103586034E-06-2.7708813762639E-05-1.5784</t>
  </si>
  <si>
    <t>2014-11-26 15:56:47.162: RTWSControl  - tickOptionComputation - id:200042 tickType:13 impliedVol:8.03462162427024E-02 delta:-2.82987001371987E-02 optPrice:1.08163915150883E-04 pvDividend:0 gamma: 1.79769313486232E+308 theta/vega/undPrice: -1.4592441642804E-04-9.17877102362133E-05-1.5784</t>
  </si>
  <si>
    <t>2014-11-26 15:56:47.213: RTWSControl  - tickOptionComputation - id:200042 tickType:10 impliedVol:9.03062423028407E-02 delta:-4.39119562673523E-02 optPrice:1.99999994947575E-04 pvDividend:0 gamma: 1.79769313486232E+308 theta/vega/undPrice: -2.37248966010725E-04-1.43225764087294E-04-1.5784</t>
  </si>
  <si>
    <t>2014-11-26 15:56:47.256: RTWSControl  - tickOptionComputation - id:200042 tickType:11 impliedVol:9.03062423028407E-02 delta:-4.39119562673523E-02 optPrice:1.99999994947575E-04 pvDividend:0 gamma: 1.79769313486232E+308 theta/vega/undPrice: -2.37248966010725E-04-1.43225764087294E-04-1.5784</t>
  </si>
  <si>
    <t>2014-11-26 15:56:47.328: RTWSControl  - tickOptionComputation - id:200041 tickType:13 impliedVol:7.15859601776856E-02 delta:0.939699901555571 optPrice:1.36299982997417E-02 pvDividend:0 gamma: 1.79769313486232E+308 theta/vega/undPrice: -2.40649756178961E-04-1.67752109034153E-04-1.5784</t>
  </si>
  <si>
    <t>2014-11-26 15:56:47.372: RTWSControl  - tickOptionComputation - id:200041 tickType:10 impliedVol:6.08432153554033E-02 delta:0.966194501897192 optPrice:1.35000003501773E-02 pvDividend:0 gamma: 1.79769313486232E+308 theta/vega/undPrice: -1.28033522632762E-04-1.19453370489674E-04-1.5784</t>
  </si>
  <si>
    <t>2014-11-26 15:56:47.415: RTWSControl  - tickOptionComputation - id:200041 tickType:11 impliedVol:8.16904959790176E-02 delta:0.913544474153057 optPrice:1.37999998405576E-02 pvDividend:0 gamma: 1.79769313486232E+308 theta/vega/undPrice: -3.62447435682906E-04-2.15182767995177E-04-1.5784</t>
  </si>
  <si>
    <t>2014-11-26 15:56:47.463: RTWSControl  - tickOptionComputation - id:200043 tickType:13 impliedVol:7.15859601776856E-02 delta:-6.04126187911415E-02 optPrice:2.30189850176117E-04 pvDividend:0 gamma: 1.79769313486232E+308 theta/vega/undPrice: -2.40738293993674E-04-1.67752373410916E-04-1.5784</t>
  </si>
  <si>
    <t>2014-11-26 15:56:47.505: RTWSControl  - tickOptionComputation - id:200043 tickType:10 impliedVol:0.060833973332959 delta:-0.033771613948944 optPrice:9.99999974737875E-05 pvDividend:0 gamma: 1.79769313486232E+308 theta/vega/undPrice: -1.28038544897528E-04-1.19402184812555E-04-1.5784</t>
  </si>
  <si>
    <t>2014-11-26 15:56:47.549: RTWSControl  - tickOptionComputation - id:200043 tickType:11 impliedVol:7.64338053362881E-02 delta:-7.19341179901972E-02 optPrice:3.00000014249235E-04 pvDividend:0 gamma: 1.79769313486232E+308 theta/vega/undPrice: -2.96347184732365E-04-2.02524763525152E-04-1.5784</t>
  </si>
  <si>
    <t>2014-11-26 15:56:47.618: RTWSControl  - tickOptionComputation - id:200044 tickType:13 impliedVol:0.065512172731502 delta:0.855877494118612 optPrice:8.99636672007545E-03 pvDividend:0 gamma: 1.79769313486232E+308 theta/vega/undPrice: -4.19122431799123E-04-2.97632041711873E-04-1.5784</t>
  </si>
  <si>
    <t>2014-11-26 15:56:47.665: RTWSControl  - tickOptionComputation - id:200046 tickType:13 impliedVol:0.065512172731502 delta:-0.144235191483538 optPrice:5.96487470162393E-04 pvDividend:0 gamma: 1.79769313486232E+308 theta/vega/undPrice: -4.19178598565025E-04-2.97632330013625E-04-1.5784</t>
  </si>
  <si>
    <t>2014-11-26 15:56:47.707: RTWSControl  - tickOptionComputation - id:200044 tickType:10 impliedVol:6.22743872600338E-02 delta:0.86917421893242 optPrice:8.89999978244305E-03 pvDividend:0 gamma: 1.79769313486232E+308 theta/vega/undPrice: -3.74702246519577E-04-2.97632143771921E-04-1.5784</t>
  </si>
  <si>
    <t>2014-11-26 15:56:47.750: RTWSControl  - tickOptionComputation - id:200044 tickType:11 impliedVol:0.075681054651909 delta:0.82114357461971 optPrice:9.30000003427267E-03 pvDividend:0 gamma: 1.79769313486232E+308 theta/vega/undPrice: -5.58632294183156E-04-3.3100223406724E-04-1.5784</t>
  </si>
  <si>
    <t>2014-11-26 15:56:47.793: RTWSControl  - tickOptionComputation - id:200045 tickType:13 impliedVol:6.21248539041517E-02 delta:0.674553888340706 optPrice:5.02488224248868E-03 pvDividend:0 gamma: 1.79769313486232E+308 theta/vega/undPrice: -6.30526405915829E-04-4.45391132629962E-04-1.5784</t>
  </si>
  <si>
    <t>2014-11-26 15:56:47.839: RTWSControl  - tickOptionComputation - id:200047 tickType:13 impliedVol:6.21248539041517E-02 delta:-0.32555925781554 optPrice:1.62493352805322E-03 pvDividend:0 gamma: 1.79769313486232E+308 theta/vega/undPrice: -6.3055075591209E-04-4.45391771111446E-04-1.5784</t>
  </si>
  <si>
    <t>2014-11-26 15:56:47.882: RTWSControl  - tickOptionComputation - id:200046 tickType:10 impliedVol:6.56213526326397E-02 delta:-0.144645870749266 optPrice:6.00000028498471E-04 pvDividend:0 gamma: 1.79769313486232E+308 theta/vega/undPrice: -4.20676473916062E-04-2.97632326584737E-04-1.5784</t>
  </si>
  <si>
    <t>2014-11-26 15:56:47.948: RTWSControl  - tickOptionComputation - id:200046 tickType:11 impliedVol:6.89850461417129E-02 delta:-0.157193339844876 optPrice:6.99999975040555E-04 pvDividend:0 gamma: 1.79769313486232E+308 theta/vega/undPrice: -4.66824087052185E-04-2.97632221239552E-04-1.5784</t>
  </si>
  <si>
    <t>2014-11-26 15:56:48.0: RTWSControl  - tickOptionComputation - id:200045 tickType:10 impliedVol:6.15819491186352E-02 delta:0.675913767819717 optPrice:4.99999988824129E-03 pvDividend:0 gamma: 1.79769313486232E+308 theta/vega/undPrice: -6.23929889603372E-04-4.45391157070853E-04-1.5784</t>
  </si>
  <si>
    <t>2014-11-26 15:56:48.41: RTWSControl  - tickOptionComputation - id:200045 tickType:11 impliedVol:6.60555687165827E-02 delta:0.664717793691829 optPrice:5.2000000141561E-03 pvDividend:0 gamma: 1.79769313486232E+308 theta/vega/undPrice: -6.78286179781044E-04-4.45390950785101E-04-1.5784</t>
  </si>
  <si>
    <t>2014-11-26 15:56:48.86: RTWSControl  - tickOptionComputation - id:200055 tickType:13 impliedVol:6.14240036956062E-02 delta:0.416042582011966 optPrice:2.2582899694887E-03 pvDividend:0 gamma: 1.79769313486232E+308 theta/vega/undPrice: -6.76987806032993E-04-4.83272376439134E-04-1.5784</t>
  </si>
  <si>
    <t>2014-11-26 15:56:48.127: RTWSControl  - tickOptionComputation - id:200049 tickType:13 impliedVol:6.83054626660571E-02 delta:0.691196779648808 optPrice:1.18224004920173E-02 pvDividend:0 gamma: 1.79769313486232E+308 theta/vega/undPrice: -3.303036709217E-04-9.14166782101796E-04-1.5784</t>
  </si>
  <si>
    <t>2014-11-26 15:56:48.172: RTWSControl  - tickOptionComputation - id:200047 tickType:10 impliedVol:5.93198304403843E-02 delta:-0.317765131165977 optPrice:1.50000001303852E-03 pvDividend:0 gamma: 1.79769313486232E+308 theta/vega/undPrice: -5.96468444002369E-04-4.45391895091825E-04-1.5784</t>
  </si>
  <si>
    <t>2014-11-26 15:56:48.238: RTWSControl  - tickOptionComputation - id:200047 tickType:11 impliedVol:6.60554695626107E-02 delta:-0.335268695624298 optPrice:1.79999996908009E-03 pvDividend:0 gamma: 1.79769313486232E+308 theta/vega/undPrice: -6.78309486975748E-04-4.45391589560985E-04-1.5784</t>
  </si>
  <si>
    <t>2014-11-26 15:56:48.292: RTWSControl  - tickOptionComputation - id:200050 tickType:13 impliedVol:6.83054626660571E-02 delta:-0.308873364124246 optPrice:3.42293250817503E-03 pvDividend:0 gamma: 1.79769313486232E+308 theta/vega/undPrice: -3.30363334872609E-04-9.1417234009695E-04-1.5784</t>
  </si>
  <si>
    <t>2014-11-26 15:56:48.330: RTWSControl  - tickOptionComputation - id:200051 tickType:13 impliedVol:7.12859082031825E-02 delta:-0.314457066263307 optPrice:3.5999989594396E-03 pvDividend:0 gamma: 1.79769313486232E+308 theta/vega/undPrice: -3.49136362615845E-04-8.77830717568928E-04-1.5784</t>
  </si>
  <si>
    <t>2014-11-26 15:56:48.372: RTWSControl  - tickOptionComputation - id:200055 tickType:10 impliedVol:6.02178526292906E-02 delta:0.414269559979233 optPrice:2.19999998807907E-03 pvDividend:0 gamma: 1.79769313486232E+308 theta/vega/undPrice: -6.63279519513889E-04-4.83272435057593E-04-1.5784</t>
  </si>
  <si>
    <t>2014-11-26 15:56:48.413: RTWSControl  - tickOptionComputation - id:200055 tickType:11 impliedVol:6.22870931556516E-02 delta:0.417180612591603 optPrice:2.30000005103648E-03 pvDividend:0 gamma: 1.79769313486232E+308 theta/vega/undPrice: -6.86797086686478E-04-4.83272333852427E-04-1.5784</t>
  </si>
  <si>
    <t>2014-11-26 15:56:48.459: RTWSControl  - tickOptionComputation - id:200052 tickType:13 impliedVol:0.120385404849536 delta:-0.517694816302832 optPrice:0.012700000006559 pvDividend:0 gamma: 1.79769313486232E+308 theta/vega/undPrice: -6.61970080934336E-04-9.85619444946642E-04-1.5784</t>
  </si>
  <si>
    <t>2014-11-26 15:56:48.501: RTWSControl  - tickOptionComputation - id:200048 tickType:13 impliedVol:8.36577648036521E-02 delta:-3.06173260317326E-02 optPrice:2.53888728757219E-04 pvDividend:0 gamma: 1.79769313486232E+308 theta/vega/undPrice: -7.88788936910748E-05-2.02997943475882E-04-1.5784</t>
  </si>
  <si>
    <t>2014-11-26 15:56:48.548: RTWSControl  - tickOptionComputation - id:200049 tickType:10 impliedVol:6.80604308577847E-02 delta:0.691750715130063 optPrice:1.18000004440546E-02 pvDividend:0 gamma: 1.79769313486232E+308 theta/vega/undPrice: -3.28858044608804E-04-9.14166888680911E-04-1.5784</t>
  </si>
  <si>
    <t>2014-11-26 15:56:48.613: RTWSControl  - tickOptionComputation - id:200049 tickType:11 impliedVol:7.13523395719181E-02 delta:0.683506799202849 optPrice:1.20999999344349E-02 pvDividend:0 gamma: 1.79769313486232E+308 theta/vega/undPrice: -3.48279447037442E-04-9.14165432689068E-04-1.5784</t>
  </si>
  <si>
    <t>2014-11-26 15:56:48.667: RTWSControl  - tickOptionComputation - id:200053 tickType:13 impliedVol:6.38571199137505E-02 delta:8.96889933650534E-02 optPrice:6.67935122151961E-04 pvDividend:0 gamma: 1.79769313486232E+308 theta/vega/undPrice: -1.41560621606045E-04-4.47287242664998E-04-1.5784</t>
  </si>
  <si>
    <t>2014-11-26 15:56:48.705: RTWSControl  - tickOptionComputation - id:200054 tickType:13 impliedVol:7.03127365467342E-02 delta:1.68424723848885E-03 optPrice:8.67327201964287E-06 pvDividend:0 gamma: 0.306938069819453 theta/vega/undPrice: -5.17745180621912E-06-2.47313309904816E-05-1.5784</t>
  </si>
  <si>
    <t>2014-11-26 15:56:48.746: RTWSControl  - tickOptionComputation - id:200050 tickType:10 impliedVol:6.80494551195454E-02 delta:-0.308164152201039 optPrice:3.40000004507601E-03 pvDividend:0 gamma: 1.79769313486232E+308 theta/vega/undPrice: -3.28852932404577E-04-9.1417245116739E-04-1.5784</t>
  </si>
  <si>
    <t>2014-11-26 15:56:48.788: RTWSControl  - tickOptionComputation - id:200050 tickType:11 impliedVol:0.070237055311018 delta:-0.313731496328384 optPrice:3.59999993816018E-03 pvDividend:0 gamma: 1.79769313486232E+308 theta/vega/undPrice: -3.41759399620057E-04-9.14171500193648E-04-1.5784</t>
  </si>
  <si>
    <t>2014-11-26 15:56:48.838: RTWSControl  - tickOptionComputation - id:200051 tickType:10 impliedVol:6.78400918752704E-02 delta:-0.305950231759206 optPrice:3.29999998211861E-03 pvDividend:0 gamma: 1.79769313486232E+308 theta/vega/undPrice: -3.28334752708883E-04-8.67459191025633E-04-1.5784</t>
  </si>
  <si>
    <t>2014-11-26 15:56:48.878: RTWSControl  - tickOptionComputation - id:200051 tickType:11 impliedVol:7.01446350401817E-02 delta:-0.311695210252442 optPrice:3.50000010803342E-03 pvDividend:0 gamma: 1.79769313486232E+308 theta/vega/undPrice: -3.42263450032628E-04-8.74551116158995E-04-1.5784</t>
  </si>
  <si>
    <t>2014-11-26 15:56:48.944: RTWSControl  - tickOptionComputation - id:200052 tickType:10 impliedVol:1.79769313486232E+308 delta:1.79769313486232E+308 optPrice:1.79769313486232E+308 pvDividend:0 gamma: 1.79769313486232E+308 theta/vega/undPrice: 1.79769313486232E+308-1.79769313486232E+308-1.5784</t>
  </si>
  <si>
    <t>2014-11-26 15:56:48.964: RTWSControl  - tickOptionComputation - id:200052 tickType:11 impliedVol:1.79769313486232E+308 delta:1.79769313486232E+308 optPrice:1.79769313486232E+308 pvDividend:0 gamma: 1.79769313486232E+308 theta/vega/undPrice: 1.79769313486232E+308-1.79769313486232E+308-1.5784</t>
  </si>
  <si>
    <t>2014-11-26 15:56:49.24: RTWSControl  - tickOptionComputation - id:200048 tickType:10 impliedVol:8.06479060925653E-02 delta:-2.56621191271557E-02 optPrice:1.99999994947575E-04 pvDividend:0 gamma: 1.79769313486232E+308 theta/vega/undPrice: -6.57868545633797E-05-1.79301951871826E-04-1.5784</t>
  </si>
  <si>
    <t>2014-11-26 15:56:49.87: RTWSControl  - tickOptionComputation - id:200048 tickType:11 impliedVol:8.62225523410172E-02 delta:-3.45588964018238E-02 optPrice:3.00000014249235E-04 pvDividend:0 gamma: 1.79769313486232E+308 theta/vega/undPrice: -9.00349744289141E-05-2.32042076318818E-04-1.5784</t>
  </si>
  <si>
    <t>2014-11-26 15:56:49.134: RTWSControl  - tickOptionComputation - id:200053 tickType:10 impliedVol:6.23338800796347E-02 delta:8.37887543601393E-02 optPrice:6.00000028498471E-04 pvDividend:0 gamma: 1.79769313486232E+308 theta/vega/undPrice: -1.31704422664211E-04-4.47287534880908E-04-1.5784</t>
  </si>
  <si>
    <t>2014-11-26 15:56:49.163: RTWSControl  - tickOptionComputation - id:200053 tickType:11 impliedVol:6.45735660954967E-02 delta:9.23517430175902E-02 optPrice:6.99999975040555E-04 pvDividend:0 gamma: 1.79769313486232E+308 theta/vega/undPrice: -1.46196418385953E-04-4.47287106576159E-04-1.5784</t>
  </si>
  <si>
    <t>2014-11-26 15:56:49.208: RTWSControl  - tickOptionComputation - id:200054 tickType:10 impliedVol:1.79769313486232E+308 delta:1.79769313486232E+308 optPrice:1.79769313486232E+308 pvDividend:0 gamma: 1.79769313486232E+308 theta/vega/undPrice: 1.79769313486232E+308-1.79769313486232E+308-1.5784</t>
  </si>
  <si>
    <t>2014-11-26 15:56:49.243: RTWSControl  - tickOptionComputation - id:200054 tickType:11 impliedVol:9.12423991575868E-02 delta:1.24417353627743E-02 optPrice:9.99999974737875E-05 pvDividend:0 gamma: 1.79769313486232E+308 theta/vega/undPrice: -4.01087936004241E-05-1.03761738068115E-04-1.5784</t>
  </si>
  <si>
    <t>2014-11-26 15:56:49.780: DirectionIndicator - notify - price/longMA/ShortMA/prevDirection are 1.5784/1.57835725223441/1.57838777974854/1</t>
  </si>
  <si>
    <t>2014-11-26 15:56:49.780: Algorithm - handleTransition - currentHedgeShortfall is NOT ZERO and AUTOHEDGE IS NOT ENABLED!</t>
  </si>
  <si>
    <t>2014-11-26 15:56:49.953: DirectionIndicator - notify - price/longMA/ShortMA/prevDirection are 1.57845/1.57837411546452/1.57840851983236/1</t>
  </si>
  <si>
    <t>2014-11-26 15:56:49.953: Algorithm - handleTransition - currentHedgeShortfall is NOT ZERO and AUTOHEDGE IS NOT ENABLED!</t>
  </si>
  <si>
    <t>2014-11-26 15:56:50.239: RTWSControl  - tickOptionComputation - id:200047 tickType:10 impliedVol:6.15650426089589E-02 delta:-0.324027519841418 optPrice:1.5999999595806E-03 pvDividend:0 gamma: 1.79769313486232E+308 theta/vega/undPrice: -6.23748795711724E-04-4.45391796205324E-04-1.5784</t>
  </si>
  <si>
    <t>2014-11-26 15:56:50.295: RTWSControl  - tickOptionComputation - id:200052 tickType:10 impliedVol:1.79769313486232E+308 delta:1.79769313486232E+308 optPrice:1.79769313486232E+308 pvDividend:0 gamma: 1.79769313486232E+308 theta/vega/undPrice: 1.79769313486232E+308-1.79769313486232E+308-1.5784</t>
  </si>
  <si>
    <t>2014-11-26 15:56:50.327: RTWSControl  - tickOptionComputation - id:200052 tickType:11 impliedVol:1.79769313486232E+308 delta:1.79769313486232E+308 optPrice:1.79769313486232E+308 pvDividend:0 gamma: 1.79769313486232E+308 theta/vega/undPrice: 1.79769313486232E+308-1.79769313486232E+308-1.5784</t>
  </si>
  <si>
    <t>2014-11-26 15:56:50.368: RTWSControl  - tickOptionComputation - id:200054 tickType:10 impliedVol:1.79769313486232E+308 delta:1.79769313486232E+308 optPrice:1.79769313486232E+308 pvDividend:0 gamma: 1.79769313486232E+308 theta/vega/undPrice: 1.79769313486232E+308-1.79769313486232E+308-1.5784</t>
  </si>
  <si>
    <t>2014-11-26 15:56:50.781: RTWSControl  - tickOptionComputation - id:200042 tickType:13 impliedVol:8.02981601885051E-02 delta:-2.82170954400245E-02 optPrice:1.07742061333563E-04 pvDividend:0 gamma: 1.79769313486232E+308 theta/vega/undPrice: -1.45491854126333E-04-9.15212770077564E-05-1.5784</t>
  </si>
  <si>
    <t>2014-11-26 15:56:50.835: RTWSControl  - tickOptionComputation - id:200041 tickType:13 impliedVol:7.15503696453936E-02 delta:0.939790342244004 optPrice:1.36294877342036E-02 pvDividend:0 gamma: 1.79769313486232E+308 theta/vega/undPrice: -2.40241502923212E-04-1.67496827121878E-04-1.5784</t>
  </si>
  <si>
    <t>2014-11-26 15:56:50.874: RTWSControl  - tickOptionComputation - id:200043 tickType:13 impliedVol:7.15503696453936E-02 delta:-6.03221780367301E-02 optPrice:2.2967928428436E-04 pvDividend:0 gamma: 1.79769313486232E+308 theta/vega/undPrice: -2.4033004027804E-04-1.67497091232911E-04-1.5784</t>
  </si>
  <si>
    <t>2014-11-26 15:56:50.915: RTWSControl  - tickOptionComputation - id:200044 tickType:13 impliedVol:6.55160953441793E-02 delta:0.855862057337819 optPrice:8.9964834696576E-03 pvDividend:0 gamma: 1.79769313486232E+308 theta/vega/undPrice: -4.19176247323803E-04-2.97632041590582E-04-1.5784</t>
  </si>
  <si>
    <t>2014-11-26 15:56:50.958: RTWSControl  - tickOptionComputation - id:200046 tickType:13 impliedVol:6.55160953441793E-02 delta:-0.14425062828057 optPrice:5.96604219859525E-04 pvDividend:0 gamma: 1.79769313486232E+308 theta/vega/undPrice: -4.19232414192926E-04-2.97632329889583E-04-1.5784</t>
  </si>
  <si>
    <t>2014-11-26 15:56:50.999: RTWSControl  - tickOptionComputation - id:200045 tickType:13 impliedVol:6.21953372848907E-02 delta:0.674368104927944 optPrice:5.02802151131631E-03 pvDividend:0 gamma: 1.79769313486232E+308 theta/vega/undPrice: -6.31382807900511E-04-4.45391129444282E-04-1.5784</t>
  </si>
  <si>
    <t>2014-11-26 15:56:51.41: RTWSControl  - tickOptionComputation - id:200047 tickType:13 impliedVol:6.21953372848907E-02 delta:-0.325745041521625 optPrice:1.62807280136895E-03 pvDividend:0 gamma: 1.79769313486232E+308 theta/vega/undPrice: -6.31407160771072E-04-4.45391767939072E-04-1.5784</t>
  </si>
  <si>
    <t>2014-11-26 15:56:51.82: RTWSControl  - tickOptionComputation - id:200055 tickType:13 impliedVol:6.15880954675561E-02 delta:0.416271515737929 optPrice:2.26622007541155E-03 pvDividend:0 gamma: 1.79769313486232E+308 theta/vega/undPrice: -6.78852760329435E-04-4.83272368383217E-04-1.5784</t>
  </si>
  <si>
    <t>2014-11-26 15:56:51.121: RTWSControl  - tickOptionComputation - id:200049 tickType:13 impliedVol:6.83297658563529E-02 delta:0.691133416440818 optPrice:1.18246222141261E-02 pvDividend:0 gamma: 1.79769313486232E+308 theta/vega/undPrice: -3.30447053636529E-04-9.14166771516144E-04-1.5784</t>
  </si>
  <si>
    <t>2014-11-26 15:56:51.165: RTWSControl  - tickOptionComputation - id:200050 tickType:13 impliedVol:6.83297658563529E-02 delta:-0.308936727767499 optPrice:3.42515424378746E-03 pvDividend:0 gamma: 1.79769313486232E+308 theta/vega/undPrice: -3.30506719679602E-04-9.14172329536697E-04-1.5784</t>
  </si>
  <si>
    <t>2014-11-26 15:56:51.205: RTWSControl  - tickOptionComputation - id:200048 tickType:13 impliedVol:8.35435060637888E-02 delta:-3.04358802688995E-02 optPrice:2.51840045124351E-04 pvDividend:0 gamma: 1.79769313486232E+308 theta/vega/undPrice: -7.83819008609796E-05-2.01704054584895E-04-1.5784</t>
  </si>
  <si>
    <t>2014-11-26 15:56:51.249: RTWSControl  - tickOptionComputation - id:200047 tickType:10 impliedVol:5.93198304403843E-02 delta:-0.317765131165977 optPrice:1.50000001303852E-03 pvDividend:0 gamma: 1.79769313486232E+308 theta/vega/undPrice: -5.96468444002369E-04-4.45391895091825E-04-1.5784</t>
  </si>
  <si>
    <t>2014-11-26 15:56:51.290: RTWSControl  - tickOptionComputation - id:200053 tickType:13 impliedVol:6.38779921696244E-02 delta:8.97677527591324E-02 optPrice:6.68868713543235E-04 pvDividend:0 gamma: 1.79769313486232E+308 theta/vega/undPrice: -1.41695676497306E-04-4.47287238688656E-04-1.5784</t>
  </si>
  <si>
    <t>2014-11-26 15:56:51.329: RTWSControl  - tickOptionComputation - id:200054 tickType:13 impliedVol:7.01881850036106E-02 delta:1.66212910125821E-03 optPrice:8.53899811002046E-06 pvDividend:0 gamma: 0.303672358829612 theta/vega/undPrice: -5.10423424627077E-06-2.41998331649839E-05-1.5784</t>
  </si>
  <si>
    <t>2014-11-26 15:56:52.100: TransitionLogger - flushFile - flushing file</t>
  </si>
  <si>
    <t>2014-11-26 15:56:52.101: TransitionLogger - openTransitionFile - opening file C:\temp\transitionlog_2014-11-26_155023</t>
  </si>
  <si>
    <t>2014-11-26 15:56:52.917: Algorithm - FindNextStrikes - price is 1.57845 nextStrikeUp/Down 1.58/1.575</t>
  </si>
  <si>
    <t>2014-11-26 15:56:52.917: Algorithm - getPortfolioForwardDelta - required deltas is 4 currentHedgePosition is 6</t>
  </si>
  <si>
    <t>2014-11-26 15:56:52.917: Algorithm - getHedgeShortfall - required deltas is 4 price is 1.57855 currentHedgePositionDeltas is 6</t>
  </si>
  <si>
    <t>2014-11-26 15:56:52.918: Algorithm - processTransitionPoint - nextUpper/LowerStrikes are 1.58/1.575 requiredDeltas/currentPosition/currentHedgeShortfall/direction/transitionPrice are 4/6/-2/1/1.57855</t>
  </si>
  <si>
    <t>2014-11-26 15:56:52.918: TransitionLogger - processTransitionpoint - checking transition - currentHedgeShortfall is -2</t>
  </si>
  <si>
    <t>2014-11-26 15:56:52.919: Algorithm - handleTransition - currentHedgeShortfall is NOT ZERO and AUTOHEDGE IS NOT ENABLED!</t>
  </si>
  <si>
    <t>2014-11-26 15:56:52.919: Algorithm - updatePortfolio - haveAllDetails is True</t>
  </si>
  <si>
    <t>2014-11-26 15:56:52.966: Algorithm - FindNextStrikes - price is 1.57845 nextStrikeUp/Down 1.58/1.575</t>
  </si>
  <si>
    <t>2014-11-26 15:56:52.970: Algorithm - getPortfolioForwardDelta - required deltas is 4 currentHedgePosition is 6</t>
  </si>
  <si>
    <t>2014-11-26 15:56:52.970: Algorithm - getHedgeShortfall - required deltas is 4 price is 1.57855 currentHedgePositionDeltas is 6</t>
  </si>
  <si>
    <t>2014-11-26 15:56:52.971: Algorithm - processTransitionPoint - nextUpper/LowerStrikes are 1.58/1.575 requiredDeltas/currentPosition/currentHedgeShortfall/direction/transitionPrice are 4/6/-2/1/1.57855</t>
  </si>
  <si>
    <t>2014-11-26 15:56:52.971: TransitionLogger - processTransitionpoint - checking transition - currentHedgeShortfall is -2</t>
  </si>
  <si>
    <t>2014-11-26 15:56:52.971: Algorithm - handleTransition - currentHedgeShortfall is NOT ZERO and AUTOHEDGE IS NOT ENABLED!</t>
  </si>
  <si>
    <t>2014-11-26 15:56:52.972: Algorithm - updatePortfolio - haveAllDetails is True</t>
  </si>
  <si>
    <t>2014-11-26 15:56:53.13: Algorithm - FindNextStrikes - price is 1.57845 nextStrikeUp/Down 1.58/1.575</t>
  </si>
  <si>
    <t>2014-11-26 15:56:53.14: Algorithm - getPortfolioForwardDelta - required deltas is 4 currentHedgePosition is 6</t>
  </si>
  <si>
    <t>2014-11-26 15:56:53.14: Algorithm - getHedgeShortfall - required deltas is 4 price is 1.57855 currentHedgePositionDeltas is 6</t>
  </si>
  <si>
    <t>2014-11-26 15:56:53.14: Algorithm - processTransitionPoint - nextUpper/LowerStrikes are 1.58/1.575 requiredDeltas/currentPosition/currentHedgeShortfall/direction/transitionPrice are 4/6/-2/1/1.57855</t>
  </si>
  <si>
    <t>2014-11-26 15:56:53.15: TransitionLogger - processTransitionpoint - checking transition - currentHedgeShortfall is -2</t>
  </si>
  <si>
    <t>2014-11-26 15:56:53.15: Algorithm - handleTransition - currentHedgeShortfall is NOT ZERO and AUTOHEDGE IS NOT ENABLED!</t>
  </si>
  <si>
    <t>2014-11-26 15:56:53.15: Algorithm - updatePortfolio - haveAllDetails is True</t>
  </si>
  <si>
    <t>2014-11-26 15:56:53.69: Algorithm - FindNextStrikes - price is 1.57845 nextStrikeUp/Down 1.58/1.575</t>
  </si>
  <si>
    <t>2014-11-26 15:56:53.69: Algorithm - getPortfolioForwardDelta - required deltas is 4 currentHedgePosition is 6</t>
  </si>
  <si>
    <t>2014-11-26 15:56:53.69: Algorithm - getHedgeShortfall - required deltas is 4 price is 1.57855 currentHedgePositionDeltas is 6</t>
  </si>
  <si>
    <t>2014-11-26 15:56:53.73: Algorithm - processTransitionPoint - nextUpper/LowerStrikes are 1.58/1.575 requiredDeltas/currentPosition/currentHedgeShortfall/direction/transitionPrice are 4/6/-2/1/1.57855</t>
  </si>
  <si>
    <t>2014-11-26 15:56:53.73: TransitionLogger - processTransitionpoint - checking transition - currentHedgeShortfall is -2</t>
  </si>
  <si>
    <t>2014-11-26 15:56:53.73: Algorithm - handleTransition - currentHedgeShortfall is NOT ZERO and AUTOHEDGE IS NOT ENABLED!</t>
  </si>
  <si>
    <t>2014-11-26 15:56:53.74: Algorithm - updatePortfolio - haveAllDetails is True</t>
  </si>
  <si>
    <t>2014-11-26 15:56:53.124: Algorithm - FindNextStrikes - price is 1.57845 nextStrikeUp/Down 1.58/1.575</t>
  </si>
  <si>
    <t>2014-11-26 15:56:53.124: Algorithm - getPortfolioForwardDelta - required deltas is 4 currentHedgePosition is 6</t>
  </si>
  <si>
    <t>2014-11-26 15:56:53.125: Algorithm - getHedgeShortfall - required deltas is 4 price is 1.57855 currentHedgePositionDeltas is 6</t>
  </si>
  <si>
    <t>2014-11-26 15:56:53.125: Algorithm - processTransitionPoint - nextUpper/LowerStrikes are 1.58/1.575 requiredDeltas/currentPosition/currentHedgeShortfall/direction/transitionPrice are 4/6/-2/1/1.57855</t>
  </si>
  <si>
    <t>2014-11-26 15:56:53.125: TransitionLogger - processTransitionpoint - checking transition - currentHedgeShortfall is -2</t>
  </si>
  <si>
    <t>2014-11-26 15:56:53.125: Algorithm - handleTransition - currentHedgeShortfall is NOT ZERO and AUTOHEDGE IS NOT ENABLED!</t>
  </si>
  <si>
    <t>2014-11-26 15:56:53.126: Algorithm - updatePortfolio - haveAllDetails is True</t>
  </si>
  <si>
    <t>2014-11-26 15:56:53.169: Algorithm - FindNextStrikes - price is 1.57845 nextStrikeUp/Down 1.58/1.575</t>
  </si>
  <si>
    <t>2014-11-26 15:56:53.169: Algorithm - getPortfolioForwardDelta - required deltas is 4 currentHedgePosition is 6</t>
  </si>
  <si>
    <t>2014-11-26 15:56:53.169: Algorithm - getHedgeShortfall - required deltas is 4 price is 1.57855 currentHedgePositionDeltas is 6</t>
  </si>
  <si>
    <t>2014-11-26 15:56:53.170: Algorithm - processTransitionPoint - nextUpper/LowerStrikes are 1.58/1.575 requiredDeltas/currentPosition/currentHedgeShortfall/direction/transitionPrice are 4/6/-2/1/1.57855</t>
  </si>
  <si>
    <t>2014-11-26 15:56:53.173: TransitionLogger - processTransitionpoint - checking transition - currentHedgeShortfall is -2</t>
  </si>
  <si>
    <t>2014-11-26 15:56:53.173: Algorithm - handleTransition - currentHedgeShortfall is NOT ZERO and AUTOHEDGE IS NOT ENABLED!</t>
  </si>
  <si>
    <t>2014-11-26 15:56:53.174: Algorithm - updatePortfolio - haveAllDetails is True</t>
  </si>
  <si>
    <t>2014-11-26 15:56:53.207: Algorithm - FindNextStrikes - price is 1.57845 nextStrikeUp/Down 1.58/1.575</t>
  </si>
  <si>
    <t>2014-11-26 15:56:53.207: Algorithm - getPortfolioForwardDelta - required deltas is 4 currentHedgePosition is 6</t>
  </si>
  <si>
    <t>2014-11-26 15:56:53.207: Algorithm - getHedgeShortfall - required deltas is 4 price is 1.57855 currentHedgePositionDeltas is 6</t>
  </si>
  <si>
    <t>2014-11-26 15:56:53.208: Algorithm - processTransitionPoint - nextUpper/LowerStrikes are 1.58/1.575 requiredDeltas/currentPosition/currentHedgeShortfall/direction/transitionPrice are 4/6/-2/1/1.57855</t>
  </si>
  <si>
    <t>2014-11-26 15:56:53.208: TransitionLogger - processTransitionpoint - checking transition - currentHedgeShortfall is -2</t>
  </si>
  <si>
    <t>2014-11-26 15:56:53.208: Algorithm - handleTransition - currentHedgeShortfall is NOT ZERO and AUTOHEDGE IS NOT ENABLED!</t>
  </si>
  <si>
    <t>2014-11-26 15:56:53.209: Algorithm - updatePortfolio - haveAllDetails is True</t>
  </si>
  <si>
    <t>2014-11-26 15:56:53.257: Algorithm - FindNextStrikes - price is 1.57845 nextStrikeUp/Down 1.58/1.575</t>
  </si>
  <si>
    <t>2014-11-26 15:56:53.258: Algorithm - getPortfolioForwardDelta - required deltas is 4 currentHedgePosition is 6</t>
  </si>
  <si>
    <t>2014-11-26 15:56:53.258: Algorithm - getHedgeShortfall - required deltas is 4 price is 1.57855 currentHedgePositionDeltas is 6</t>
  </si>
  <si>
    <t>2014-11-26 15:56:53.258: Algorithm - processTransitionPoint - nextUpper/LowerStrikes are 1.58/1.575 requiredDeltas/currentPosition/currentHedgeShortfall/direction/transitionPrice are 4/6/-2/1/1.57855</t>
  </si>
  <si>
    <t>2014-11-26 15:56:53.258: TransitionLogger - processTransitionpoint - checking transition - currentHedgeShortfall is -2</t>
  </si>
  <si>
    <t>2014-11-26 15:56:53.262: Algorithm - handleTransition - currentHedgeShortfall is NOT ZERO and AUTOHEDGE IS NOT ENABLED!</t>
  </si>
  <si>
    <t>2014-11-26 15:56:53.263: Algorithm - updatePortfolio - haveAllDetails is True</t>
  </si>
  <si>
    <t>2014-11-26 15:56:53.297: Algorithm - FindNextStrikes - price is 1.57845 nextStrikeUp/Down 1.58/1.575</t>
  </si>
  <si>
    <t>2014-11-26 15:56:53.297: Algorithm - getPortfolioForwardDelta - required deltas is 4 currentHedgePosition is 6</t>
  </si>
  <si>
    <t>2014-11-26 15:56:53.298: Algorithm - getHedgeShortfall - required deltas is 4 price is 1.57855 currentHedgePositionDeltas is 6</t>
  </si>
  <si>
    <t>2014-11-26 15:56:53.298: Algorithm - processTransitionPoint - nextUpper/LowerStrikes are 1.58/1.575 requiredDeltas/currentPosition/currentHedgeShortfall/direction/transitionPrice are 4/6/-2/1/1.57855</t>
  </si>
  <si>
    <t>2014-11-26 15:56:53.298: TransitionLogger - processTransitionpoint - checking transition - currentHedgeShortfall is -2</t>
  </si>
  <si>
    <t>2014-11-26 15:56:53.298: Algorithm - handleTransition - currentHedgeShortfall is NOT ZERO and AUTOHEDGE IS NOT ENABLED!</t>
  </si>
  <si>
    <t>2014-11-26 15:56:53.299: Algorithm - updatePortfolio - haveAllDetails is True</t>
  </si>
  <si>
    <t>2014-11-26 15:56:53.334: Algorithm - FindNextStrikes - price is 1.57845 nextStrikeUp/Down 1.58/1.575</t>
  </si>
  <si>
    <t>2014-11-26 15:56:53.334: Algorithm - getPortfolioForwardDelta - required deltas is 4 currentHedgePosition is 6</t>
  </si>
  <si>
    <t>2014-11-26 15:56:53.335: Algorithm - getHedgeShortfall - required deltas is 4 price is 1.57855 currentHedgePositionDeltas is 6</t>
  </si>
  <si>
    <t>2014-11-26 15:56:53.335: Algorithm - processTransitionPoint - nextUpper/LowerStrikes are 1.58/1.575 requiredDeltas/currentPosition/currentHedgeShortfall/direction/transitionPrice are 4/6/-2/1/1.57855</t>
  </si>
  <si>
    <t>2014-11-26 15:56:53.335: TransitionLogger - processTransitionpoint - checking transition - currentHedgeShortfall is -2</t>
  </si>
  <si>
    <t>2014-11-26 15:56:53.335: Algorithm - handleTransition - currentHedgeShortfall is NOT ZERO and AUTOHEDGE IS NOT ENABLED!</t>
  </si>
  <si>
    <t>2014-11-26 15:56:53.339: Algorithm - updatePortfolio - haveAllDetails is True</t>
  </si>
  <si>
    <t>2014-11-26 15:56:53.378: Algorithm - FindNextStrikes - price is 1.57845 nextStrikeUp/Down 1.58/1.575</t>
  </si>
  <si>
    <t>2014-11-26 15:56:53.378: Algorithm - getPortfolioForwardDelta - required deltas is 4 currentHedgePosition is 6</t>
  </si>
  <si>
    <t>2014-11-26 15:56:53.378: Algorithm - getHedgeShortfall - required deltas is 4 price is 1.57855 currentHedgePositionDeltas is 6</t>
  </si>
  <si>
    <t>2014-11-26 15:56:53.378: Algorithm - processTransitionPoint - nextUpper/LowerStrikes are 1.58/1.575 requiredDeltas/currentPosition/currentHedgeShortfall/direction/transitionPrice are 4/6/-2/1/1.57855</t>
  </si>
  <si>
    <t>2014-11-26 15:56:53.379: TransitionLogger - processTransitionpoint - checking transition - currentHedgeShortfall is -2</t>
  </si>
  <si>
    <t>2014-11-26 15:56:53.379: Algorithm - handleTransition - currentHedgeShortfall is NOT ZERO and AUTOHEDGE IS NOT ENABLED!</t>
  </si>
  <si>
    <t>2014-11-26 15:56:53.380: Algorithm - updatePortfolio - haveAllDetails is True</t>
  </si>
  <si>
    <t>2014-11-26 15:56:53.418: Algorithm - FindNextStrikes - price is 1.57845 nextStrikeUp/Down 1.58/1.575</t>
  </si>
  <si>
    <t>2014-11-26 15:56:53.418: Algorithm - getPortfolioForwardDelta - required deltas is 4 currentHedgePosition is 6</t>
  </si>
  <si>
    <t>2014-11-26 15:56:53.418: Algorithm - getHedgeShortfall - required deltas is 4 price is 1.57855 currentHedgePositionDeltas is 6</t>
  </si>
  <si>
    <t>2014-11-26 15:56:53.419: Algorithm - processTransitionPoint - nextUpper/LowerStrikes are 1.58/1.575 requiredDeltas/currentPosition/currentHedgeShortfall/direction/transitionPrice are 4/6/-2/1/1.57855</t>
  </si>
  <si>
    <t>2014-11-26 15:56:53.419: TransitionLogger - processTransitionpoint - checking transition - currentHedgeShortfall is -2</t>
  </si>
  <si>
    <t>2014-11-26 15:56:53.419: Algorithm - handleTransition - currentHedgeShortfall is NOT ZERO and AUTOHEDGE IS NOT ENABLED!</t>
  </si>
  <si>
    <t>2014-11-26 15:56:53.420: Algorithm - updatePortfolio - haveAllDetails is True</t>
  </si>
  <si>
    <t>2014-11-26 15:56:53.459: Algorithm - FindNextStrikes - price is 1.57845 nextStrikeUp/Down 1.58/1.575</t>
  </si>
  <si>
    <t>2014-11-26 15:56:53.462: Algorithm - getPortfolioForwardDelta - required deltas is 4 currentHedgePosition is 6</t>
  </si>
  <si>
    <t>2014-11-26 15:56:53.462: Algorithm - getHedgeShortfall - required deltas is 4 price is 1.57855 currentHedgePositionDeltas is 6</t>
  </si>
  <si>
    <t>2014-11-26 15:56:53.463: Algorithm - processTransitionPoint - nextUpper/LowerStrikes are 1.58/1.575 requiredDeltas/currentPosition/currentHedgeShortfall/direction/transitionPrice are 4/6/-2/1/1.57855</t>
  </si>
  <si>
    <t>2014-11-26 15:56:53.463: TransitionLogger - processTransitionpoint - checking transition - currentHedgeShortfall is -2</t>
  </si>
  <si>
    <t>2014-11-26 15:56:53.463: Algorithm - handleTransition - currentHedgeShortfall is NOT ZERO and AUTOHEDGE IS NOT ENABLED!</t>
  </si>
  <si>
    <t>2014-11-26 15:56:53.464: Algorithm - updatePortfolio - haveAllDetails is True</t>
  </si>
  <si>
    <t>2014-11-26 15:56:53.511: Algorithm - FindNextStrikes - price is 1.57845 nextStrikeUp/Down 1.58/1.575</t>
  </si>
  <si>
    <t>2014-11-26 15:56:53.511: Algorithm - getPortfolioForwardDelta - required deltas is 4 currentHedgePosition is 6</t>
  </si>
  <si>
    <t>2014-11-26 15:56:53.512: Algorithm - getHedgeShortfall - required deltas is 4 price is 1.57855 currentHedgePositionDeltas is 6</t>
  </si>
  <si>
    <t>2014-11-26 15:56:53.512: Algorithm - processTransitionPoint - nextUpper/LowerStrikes are 1.58/1.575 requiredDeltas/currentPosition/currentHedgeShortfall/direction/transitionPrice are 4/6/-2/1/1.57855</t>
  </si>
  <si>
    <t>2014-11-26 15:56:53.512: TransitionLogger - processTransitionpoint - checking transition - currentHedgeShortfall is -2</t>
  </si>
  <si>
    <t>2014-11-26 15:56:53.512: Algorithm - handleTransition - currentHedgeShortfall is NOT ZERO and AUTOHEDGE IS NOT ENABLED!</t>
  </si>
  <si>
    <t>2014-11-26 15:56:53.513: Algorithm - updatePortfolio - haveAllDetails is True</t>
  </si>
  <si>
    <t>2014-11-26 15:56:53.570: Algorithm - FindNextStrikes - price is 1.57845 nextStrikeUp/Down 1.58/1.575</t>
  </si>
  <si>
    <t>2014-11-26 15:56:53.570: Algorithm - getPortfolioForwardDelta - required deltas is 4 currentHedgePosition is 6</t>
  </si>
  <si>
    <t>2014-11-26 15:56:53.570: Algorithm - getHedgeShortfall - required deltas is 4 price is 1.57855 currentHedgePositionDeltas is 6</t>
  </si>
  <si>
    <t>2014-11-26 15:56:53.573: Algorithm - processTransitionPoint - nextUpper/LowerStrikes are 1.58/1.575 requiredDeltas/currentPosition/currentHedgeShortfall/direction/transitionPrice are 4/6/-2/1/1.57855</t>
  </si>
  <si>
    <t>2014-11-26 15:56:53.574: TransitionLogger - processTransitionpoint - checking transition - currentHedgeShortfall is -2</t>
  </si>
  <si>
    <t>2014-11-26 15:56:53.574: Algorithm - handleTransition - currentHedgeShortfall is NOT ZERO and AUTOHEDGE IS NOT ENABLED!</t>
  </si>
  <si>
    <t>2014-11-26 15:56:53.575: Algorithm - updatePortfolio - haveAllDetails is True</t>
  </si>
  <si>
    <t>2014-11-26 15:56:53.619: Algorithm - FindNextStrikes - price is 1.57845 nextStrikeUp/Down 1.58/1.575</t>
  </si>
  <si>
    <t>2014-11-26 15:56:53.619: Algorithm - getPortfolioForwardDelta - required deltas is 4 currentHedgePosition is 6</t>
  </si>
  <si>
    <t>2014-11-26 15:56:53.619: Algorithm - getHedgeShortfall - required deltas is 4 price is 1.57855 currentHedgePositionDeltas is 6</t>
  </si>
  <si>
    <t>2014-11-26 15:56:53.619: Algorithm - processTransitionPoint - nextUpper/LowerStrikes are 1.58/1.575 requiredDeltas/currentPosition/currentHedgeShortfall/direction/transitionPrice are 4/6/-2/1/1.57855</t>
  </si>
  <si>
    <t>2014-11-26 15:56:53.620: TransitionLogger - processTransitionpoint - checking transition - currentHedgeShortfall is -2</t>
  </si>
  <si>
    <t>2014-11-26 15:56:53.620: Algorithm - handleTransition - currentHedgeShortfall is NOT ZERO and AUTOHEDGE IS NOT ENABLED!</t>
  </si>
  <si>
    <t>2014-11-26 15:56:53.620: Algorithm - updatePortfolio - haveAllDetails is True</t>
  </si>
  <si>
    <t>2014-11-26 15:56:54.218: RTWSControl  - tickOptionComputation - id:200042 tickType:13 impliedVol:0.080386164891479 delta:-2.83664631405461E-02 optPrice:1.08514599162885E-04 pvDividend:0 gamma: 1.79769313486232E+308 theta/vega/undPrice: -1.46284002324508E-04-9.20091942418265E-05-1.5784</t>
  </si>
  <si>
    <t>2014-11-26 15:56:54.279: RTWSControl  - tickOptionComputation - id:200041 tickType:13 impliedVol:0.071718002343232 delta:0.939365149009716 optPrice:0.013631892516402 pvDividend:0 gamma: 1.79769313486232E+308 theta/vega/undPrice: -2.42164390549043E-04-1.68699214150815E-04-1.5784</t>
  </si>
  <si>
    <t>2014-11-26 15:56:54.336: RTWSControl  - tickOptionComputation - id:200043 tickType:13 impliedVol:0.071718002343232 delta:-6.07473715809261E-02 optPrice:2.32084068133097E-04 pvDividend:0 gamma: 1.79769313486232E+308 theta/vega/undPrice: -2.42252930062747E-04-1.68699479536197E-04-1.5784</t>
  </si>
  <si>
    <t>2014-11-26 15:56:54.379: RTWSControl  - tickOptionComputation - id:200044 tickType:13 impliedVol:6.57222624492704E-02 delta:0.855053321218026 optPrice:9.0026196664814E-03 pvDividend:0 gamma: 1.79769313486232E+308 theta/vega/undPrice: -4.22004716956983E-04-2.97632035083865E-04-1.5784</t>
  </si>
  <si>
    <t>2014-11-26 15:56:54.423: RTWSControl  - tickOptionComputation - id:200046 tickType:13 impliedVol:6.57222624492704E-02 delta:-0.145059365242978 optPrice:6.02740422620087E-04 pvDividend:0 gamma: 1.79769313486232E+308 theta/vega/undPrice: -4.22060889199899E-04-2.97632323415334E-04-1.5784</t>
  </si>
  <si>
    <t>2014-11-26 15:56:54.489: RTWSControl  - tickOptionComputation - id:200045 tickType:13 impliedVol:6.23989452095088E-02 delta:0.673833795601012 optPrice:5.03709003208877E-03 pvDividend:0 gamma: 1.79769313486232E+308 theta/vega/undPrice: -6.33856727609745E-04-4.45391120225206E-04-1.5784</t>
  </si>
  <si>
    <t>2014-11-26 15:56:54.541: RTWSControl  - tickOptionComputation - id:200047 tickType:13 impliedVol:6.23989452095088E-02 delta:-0.326279351692269 optPrice:1.63714133510688E-03 pvDividend:0 gamma: 1.79769313486232E+308 theta/vega/undPrice: -6.33881088783564E-04-4.4539175876309E-04-1.5784</t>
  </si>
  <si>
    <t>2014-11-26 15:56:54.583: RTWSControl  - tickOptionComputation - id:200047 tickType:10 impliedVol:6.15650426089589E-02 delta:-0.324027519841418 optPrice:1.5999999595806E-03 pvDividend:0 gamma: 1.79769313486232E+308 theta/vega/undPrice: -6.23748795711724E-04-4.45391796205324E-04-1.5784</t>
  </si>
  <si>
    <t>2014-11-26 15:56:54.625: RTWSControl  - tickOptionComputation - id:200055 tickType:13 impliedVol:6.17480506240042E-02 delta:0.416493519954128 optPrice:2.27395026991806E-03 pvDividend:0 gamma: 1.79769313486232E+308 theta/vega/undPrice: -6.80670700617299E-04-4.8327236051192E-04-1.5784</t>
  </si>
  <si>
    <t>2014-11-26 15:56:54.668: RTWSControl  - tickOptionComputation - id:200052 tickType:10 impliedVol:1.79769313486232E+308 delta:1.79769313486232E+308 optPrice:1.79769313486232E+308 pvDividend:0 gamma: 1.79769313486232E+308 theta/vega/undPrice: 1.79769313486232E+308-1.79769313486232E+308-1.5784</t>
  </si>
  <si>
    <t>2014-11-26 15:56:54.703: RTWSControl  - tickOptionComputation - id:200052 tickType:11 impliedVol:1.79769313486232E+308 delta:1.79769313486232E+308 optPrice:1.79769313486232E+308 pvDividend:0 gamma: 1.79769313486232E+308 theta/vega/undPrice: 1.79769313486232E+308-1.79769313486232E+308-1.5784</t>
  </si>
  <si>
    <t>2014-11-26 15:56:54.745: RTWSControl  - tickOptionComputation - id:200054 tickType:10 impliedVol:1.79769313486232E+308 delta:1.79769313486232E+308 optPrice:1.79769313486232E+308 pvDividend:0 gamma: 1.79769313486232E+308 theta/vega/undPrice: 1.79769313486232E+308-1.79769313486232E+308-1.5784</t>
  </si>
  <si>
    <t>2014-11-26 15:56:56.268: RTWSControl  - tickOptionComputation - id:200052 tickType:10 impliedVol:1.79769313486232E+308 delta:1.79769313486232E+308 optPrice:1.79769313486232E+308 pvDividend:0 gamma: 1.79769313486232E+308 theta/vega/undPrice: 1.79769313486232E+308-1.79769313486232E+308-1.5784</t>
  </si>
  <si>
    <t>2014-11-26 15:56:56.324: RTWSControl  - tickOptionComputation - id:200052 tickType:11 impliedVol:1.79769313486232E+308 delta:1.79769313486232E+308 optPrice:1.79769313486232E+308 pvDividend:0 gamma: 1.79769313486232E+308 theta/vega/undPrice: 1.79769313486232E+308-1.79769313486232E+308-1.5784</t>
  </si>
  <si>
    <t>2014-11-26 15:56:56.369: RTWSControl  - tickOptionComputation - id:200054 tickType:10 impliedVol:1.79769313486232E+308 delta:1.79769313486232E+308 optPrice:1.79769313486232E+308 pvDividend:0 gamma: 1.79769313486232E+308 theta/vega/undPrice: 1.79769313486232E+308-1.79769313486232E+308-1.5784</t>
  </si>
  <si>
    <t>2014-11-26 15:56:58.218: RTWSControl  - tickOptionComputation - id:200042 tickType:13 impliedVol:0.080386164891479 delta:-2.83446445190854E-02 optPrice:1.08401646831153E-04 pvDividend:0 gamma: 1.79769313486232E+308 theta/vega/undPrice: -1.46214987749162E-04-9.19149304803578E-05-1.5784</t>
  </si>
  <si>
    <t>2014-11-26 15:56:58.297: RTWSControl  - tickOptionComputation - id:200041 tickType:13 impliedVol:0.071718002343232 delta:0.93939420313642 optPrice:0.013631727896378 pvDividend:0 gamma: 1.79769313486232E+308 theta/vega/undPrice: -2.42110240228895E-04-1.68582430354274E-04-1.5784</t>
  </si>
  <si>
    <t>2014-11-26 15:56:58.347: RTWSControl  - tickOptionComputation - id:200043 tickType:13 impliedVol:0.071718002343232 delta:-6.07183173188218E-02 optPrice:2.31919386680118E-04 pvDividend:0 gamma: 1.79769313486232E+308 theta/vega/undPrice: -2.42198779595531E-04-1.68582695540253E-04-1.5784</t>
  </si>
  <si>
    <t>2014-11-26 15:56:58.406: RTWSControl  - tickOptionComputation - id:200044 tickType:13 impliedVol:6.57222624492704E-02 delta:0.855094464870686 optPrice:9.00230659959315E-03 pvDividend:0 gamma: 1.79769313486232E+308 theta/vega/undPrice: -4.21995495443882E-04-2.97584395736468E-04-1.5784</t>
  </si>
  <si>
    <t>2014-11-26 15:56:58.455: RTWSControl  - tickOptionComputation - id:200046 tickType:13 impliedVol:6.57222624492704E-02 delta:-0.145018221380026 optPrice:6.02427316775675E-04 pvDividend:0 gamma: 1.79769313486232E+308 theta/vega/undPrice: -4.22051667413402E-04-2.97584683926074E-04-1.5784</t>
  </si>
  <si>
    <t>2014-11-26 15:56:58.496: RTWSControl  - tickOptionComputation - id:200045 tickType:13 impliedVol:6.23989452095088E-02 delta:0.673859924368663 optPrice:5.03664519770983E-03 pvDividend:0 gamma: 1.79769313486232E+308 theta/vega/undPrice: -6.33938311529479E-04-4.45319830331524E-04-1.5784</t>
  </si>
  <si>
    <t>2014-11-26 15:56:58.538: RTWSControl  - tickOptionComputation - id:200047 tickType:13 impliedVol:6.23989452095088E-02 delta:-0.326253222568228 optPrice:1.63669648366969E-03 pvDividend:0 gamma: 1.79769313486232E+308 theta/vega/undPrice: -6.33962672294685E-04-4.45320468560005E-04-1.5784</t>
  </si>
  <si>
    <t>2014-11-26 15:56:58.580: RTWSControl  - tickOptionComputation - id:200055 tickType:13 impliedVol:6.17480506240042E-02 delta:0.416479834980842 optPrice:2.27347262212398E-03 pvDividend:0 gamma: 1.79769313486232E+308 theta/vega/undPrice: -6.80776297830319E-04-4.8319500729437E-04-1.5784</t>
  </si>
  <si>
    <t>2014-11-26 15:56:58.618: RTWSControl  - tickOptionComputation - id:200049 tickType:13 impliedVol:6.83297658563529E-02 delta:0.691140160397364 optPrice:1.18243857246782E-02 pvDividend:0 gamma: 1.79769313486232E+308 theta/vega/undPrice: -3.30456822366748E-04-9.14132159061264E-04-1.5784</t>
  </si>
  <si>
    <t>2014-11-26 15:56:58.663: RTWSControl  - tickOptionComputation - id:200050 tickType:13 impliedVol:6.83297658563529E-02 delta:-0.308929983456388 optPrice:3.42491771260694E-03 pvDividend:0 gamma: 1.79769313486232E+308 theta/vega/undPrice: -3.30516488183495E-04-9.14137716441576E-04-1.5784</t>
  </si>
  <si>
    <t>2014-11-26 15:56:58.703: RTWSControl  - tickOptionComputation - id:200051 tickType:13 impliedVol:7.12859082031825E-02 delta:-0.314450571502636 optPrice:3.59975649976789E-03 pvDividend:0 gamma: 1.79769313486232E+308 theta/vega/undPrice: -3.49146808147102E-04-8.77788944749919E-04-1.5784</t>
  </si>
  <si>
    <t>2014-11-26 15:56:58.744: RTWSControl  - tickOptionComputation - id:200052 tickType:13 impliedVol:0.120385404849536 delta:-0.517695791553408 optPrice:1.26995402941338E-02 pvDividend:0 gamma: 1.79769313486232E+308 theta/vega/undPrice: -6.61995669895608E-04-9.85581151289001E-04-1.5784</t>
  </si>
  <si>
    <t>2014-11-26 15:56:58.786: RTWSControl  - tickOptionComputation - id:200048 tickType:13 impliedVol:8.35435060637888E-02 delta:-3.04308492257184E-02 optPrice:2.51783321423768E-04 pvDividend:0 gamma: 1.79769313486232E+308 theta/vega/undPrice: -7.83740760185345E-05-2.01657151576937E-04-1.5784</t>
  </si>
  <si>
    <t>2014-11-26 15:56:58.874: RTWSControl  - tickOptionComputation - id:200053 tickType:13 impliedVol:6.38779921696244E-02 delta:8.97586277306635E-02 optPrice:6.68760520072441E-04 pvDividend:0 gamma: 1.79769313486232E+308 theta/vega/undPrice: -1.41690756505327E-04-4.47270303268125E-04-1.5784</t>
  </si>
  <si>
    <t>2014-11-26 15:56:58.945: RTWSControl  - tickOptionComputation - id:200054 tickType:13 impliedVol:7.01881850036106E-02 delta:1.66165625153569E-03 optPrice:8.53613277605229E-06 pvDividend:0 gamma: 0.303602394203872 theta/vega/undPrice: -5.10305830767166E-06-2.41864670510928E-05-1.5784</t>
  </si>
  <si>
    <t>2014-11-26 15:57:0.455: RTWSControl  - tickOptionComputation - id:200044 tickType:11 impliedVol:7.57229679834817E-02 delta:0.821055835777512 optPrice:9.30000003427267E-03 pvDividend:0 gamma: 1.79769313486232E+308 theta/vega/undPrice: -5.59220059973693E-04-3.31183433599714E-04-1.5784</t>
  </si>
  <si>
    <t>2014-11-26 15:57:0.567: RTWSControl  - tickOptionComputation - id:200052 tickType:10 impliedVol:1.79769313486232E+308 delta:1.79769313486232E+308 optPrice:1.79769313486232E+308 pvDividend:0 gamma: 1.79769313486232E+308 theta/vega/undPrice: 1.79769313486232E+308-1.79769313486232E+308-1.5784</t>
  </si>
  <si>
    <t>2014-11-26 15:57:0.612: RTWSControl  - tickOptionComputation - id:200052 tickType:11 impliedVol:1.79769313486232E+308 delta:1.79769313486232E+308 optPrice:1.79769313486232E+308 pvDividend:0 gamma: 1.79769313486232E+308 theta/vega/undPrice: 1.79769313486232E+308-1.79769313486232E+308-1.5784</t>
  </si>
  <si>
    <t>2014-11-26 15:57:0.667: RTWSControl  - tickOptionComputation - id:200054 tickType:10 impliedVol:1.79769313486232E+308 delta:1.79769313486232E+308 optPrice:1.79769313486232E+308 pvDividend:0 gamma: 1.79769313486232E+308 theta/vega/undPrice: 1.79769313486232E+308-1.79769313486232E+308-1.5784</t>
  </si>
  <si>
    <t>2014-11-26 15:57:2.613: RTWSControl  - tickOptionComputation - id:200047 tickType:11 impliedVol:0.063810285423546 delta:-0.32982152078592 optPrice:1.70000002253801E-03 pvDividend:0 gamma: 1.79769313486232E+308 theta/vega/undPrice: -6.51113833999085E-04-4.45320404287804E-04-1.5784</t>
  </si>
  <si>
    <t>2014-11-26 15:57:2.744: RTWSControl  - tickOptionComputation - id:200052 tickType:10 impliedVol:1.79769313486232E+308 delta:1.79769313486232E+308 optPrice:1.79769313486232E+308 pvDividend:0 gamma: 1.79769313486232E+308 theta/vega/undPrice: 1.79769313486232E+308-1.79769313486232E+308-1.5784</t>
  </si>
  <si>
    <t>2014-11-26 15:57:2.783: RTWSControl  - tickOptionComputation - id:200052 tickType:11 impliedVol:1.79769313486232E+308 delta:1.79769313486232E+308 optPrice:1.79769313486232E+308 pvDividend:0 gamma: 1.79769313486232E+308 theta/vega/undPrice: 1.79769313486232E+308-1.79769313486232E+308-1.5784</t>
  </si>
  <si>
    <t>2014-11-26 15:57:2.864: RTWSControl  - tickOptionComputation - id:200054 tickType:10 impliedVol:1.79769313486232E+308 delta:1.79769313486232E+308 optPrice:1.79769313486232E+308 pvDividend:0 gamma: 1.79769313486232E+308 theta/vega/undPrice: 1.79769313486232E+308-1.79769313486232E+308-1.5784</t>
  </si>
  <si>
    <t>2014-11-26 15:57:4.443: RTWSControl  - tickOptionComputation - id:200052 tickType:10 impliedVol:1.79769313486232E+308 delta:1.79769313486232E+308 optPrice:1.79769313486232E+308 pvDividend:0 gamma: 1.79769313486232E+308 theta/vega/undPrice: 1.79769313486232E+308-1.79769313486232E+308-1.5784</t>
  </si>
  <si>
    <t>2014-11-26 15:57:4.462: RTWSControl  - tickOptionComputation - id:200052 tickType:11 impliedVol:1.79769313486232E+308 delta:1.79769313486232E+308 optPrice:1.79769313486232E+308 pvDividend:0 gamma: 1.79769313486232E+308 theta/vega/undPrice: 1.79769313486232E+308-1.79769313486232E+308-1.5784</t>
  </si>
  <si>
    <t>2014-11-26 15:57:4.495: RTWSControl  - tickOptionComputation - id:200054 tickType:10 impliedVol:1.79769313486232E+308 delta:1.79769313486232E+308 optPrice:1.79769313486232E+308 pvDividend:0 gamma: 1.79769313486232E+308 theta/vega/undPrice: 1.79769313486232E+308-1.79769313486232E+308-1.5784</t>
  </si>
  <si>
    <t>2014-11-26 15:57:6.217: RTWSControl  - tickOptionComputation - id:200042 tickType:13 impliedVol:8.02746609803933E-02 delta:-2.81553064305312E-02 optPrice:1.07422980931691E-04 pvDividend:0 gamma: 1.79769313486232E+308 theta/vega/undPrice: -1.45211157716828E-04-9.1296827467882E-05-1.5784</t>
  </si>
  <si>
    <t>2014-11-26 15:57:6.441: RTWSControl  - tickOptionComputation - id:200041 tickType:13 impliedVol:7.16181567530896E-02 delta:0.939647257758608 optPrice:1.36302957863623E-02 pvDividend:0 gamma: 1.79769313486232E+308 theta/vega/undPrice: -2.40964744215525E-04-1.67866377779154E-04-1.5784</t>
  </si>
  <si>
    <t>2014-11-26 15:57:6.513: RTWSControl  - tickOptionComputation - id:200043 tickType:10 impliedVol:6.94481560895465E-02 delta:-5.47784751030328E-02 optPrice:1.99999994947575E-04 pvDividend:0 gamma: 1.79769313486232E+308 theta/vega/undPrice: -2.16157537208672E-04-1.52304246657417E-04-1.5784</t>
  </si>
  <si>
    <t>2014-11-26 15:57:6.586: RTWSControl  - tickOptionComputation - id:200043 tickType:13 impliedVol:7.16181567530896E-02 delta:-6.04652625122707E-02 optPrice:2.30487275684608E-04 pvDividend:0 gamma: 1.79769313486232E+308 theta/vega/undPrice: -2.41053282297715E-04-1.67866642200005E-04-1.5784</t>
  </si>
  <si>
    <t>2014-11-26 15:57:6.621: RTWSControl  - tickOptionComputation - id:200044 tickType:13 impliedVol:6.56481328583141E-02 delta:0.855384715018001 optPrice:9.00010061746416E-03 pvDividend:0 gamma: 1.79769313486232E+308 theta/vega/undPrice: -4.20978326078069E-04-2.97584398071921E-04-1.5784</t>
  </si>
  <si>
    <t>2014-11-26 15:57:6.662: RTWSControl  - tickOptionComputation - id:200046 tickType:13 impliedVol:6.56481328583141E-02 delta:-0.144727970930422 optPrice:6.00221332511536E-04 pvDividend:0 gamma: 1.79769313486232E+308 theta/vega/undPrice: -4.21034496115026E-04-2.97584686254418E-04-1.5784</t>
  </si>
  <si>
    <t>2014-11-26 15:57:6.704: RTWSControl  - tickOptionComputation - id:200045 tickType:13 impliedVol:6.23645892960383E-02 delta:0.673949849949638 optPrice:5.03511525999017E-03 pvDividend:0 gamma: 1.79769313486232E+308 theta/vega/undPrice: -6.33520806278228E-04-4.45319831888271E-04-1.5784</t>
  </si>
  <si>
    <t>2014-11-26 15:57:6.745: RTWSControl  - tickOptionComputation - id:200047 tickType:13 impliedVol:6.23645892960383E-02 delta:-0.326163296845309 optPrice:1.63516654376279E-03 pvDividend:0 gamma: 1.79769313486232E+308 theta/vega/undPrice: -6.33545165642376E-04-4.45320470108042E-04-1.5784</t>
  </si>
  <si>
    <t>2014-11-26 15:57:6.786: RTWSControl  - tickOptionComputation - id:200055 tickType:13 impliedVol:6.17675260663475E-02 delta:0.416506791810392 optPrice:2.27441366624176E-03 pvDividend:0 gamma: 1.79769313486232E+308 theta/vega/undPrice: -6.80997677746249E-04-4.83195006335128E-04-1.5784</t>
  </si>
  <si>
    <t>2014-11-26 15:57:8.464: RTWSControl  - tickOptionComputation - id:200052 tickType:10 impliedVol:1.79769313486232E+308 delta:1.79769313486232E+308 optPrice:1.79769313486232E+308 pvDividend:0 gamma: 1.79769313486232E+308 theta/vega/undPrice: 1.79769313486232E+308-1.79769313486232E+308-1.5784</t>
  </si>
  <si>
    <t>2014-11-26 15:57:8.546: RTWSControl  - tickOptionComputation - id:200052 tickType:11 impliedVol:1.79769313486232E+308 delta:1.79769313486232E+308 optPrice:1.79769313486232E+308 pvDividend:0 gamma: 1.79769313486232E+308 theta/vega/undPrice: 1.79769313486232E+308-1.79769313486232E+308-1.5784</t>
  </si>
  <si>
    <t>2014-11-26 15:57:8.605: RTWSControl  - tickOptionComputation - id:200054 tickType:10 impliedVol:1.79769313486232E+308 delta:1.79769313486232E+308 optPrice:1.79769313486232E+308 pvDividend:0 gamma: 1.79769313486232E+308 theta/vega/undPrice: 1.79769313486232E+308-1.79769313486232E+308-1.5784</t>
  </si>
  <si>
    <t>2014-11-26 15:57:12.447: RTWSControl  - tickOptionComputation - id:200052 tickType:10 impliedVol:1.79769313486232E+308 delta:1.79769313486232E+308 optPrice:1.79769313486232E+308 pvDividend:0 gamma: 1.79769313486232E+308 theta/vega/undPrice: 1.79769313486232E+308-1.79769313486232E+308-1.5784</t>
  </si>
  <si>
    <t>2014-11-26 15:57:12.519: RTWSControl  - tickOptionComputation - id:200052 tickType:11 impliedVol:1.79769313486232E+308 delta:1.79769313486232E+308 optPrice:1.79769313486232E+308 pvDividend:0 gamma: 1.79769313486232E+308 theta/vega/undPrice: 1.79769313486232E+308-1.79769313486232E+308-1.5784</t>
  </si>
  <si>
    <t>2014-11-26 15:57:12.579: RTWSControl  - tickOptionComputation - id:200054 tickType:10 impliedVol:1.79769313486232E+308 delta:1.79769313486232E+308 optPrice:1.79769313486232E+308 pvDividend:0 gamma: 1.79769313486232E+308 theta/vega/undPrice: 1.79769313486232E+308-1.79769313486232E+308-1.5784</t>
  </si>
  <si>
    <t>2014-11-26 15:57:14.489: RTWSControl  - tickOptionComputation - id:200049 tickType:13 impliedVol:0.068340140580764 delta:0.69111312427731 optPrice:0.011825334113818 pvDividend:0 gamma: 1.79769313486232E+308 theta/vega/undPrice: -3.30518032951175E-04-9.14132154540405E-04-1.5784</t>
  </si>
  <si>
    <t>2014-11-26 15:57:14.582: RTWSControl  - tickOptionComputation - id:200050 tickType:13 impliedVol:0.068340140580764 delta:-0.308957019762251 optPrice:3.4258661075087E-03 pvDividend:0 gamma: 1.79769313486232E+308 theta/vega/undPrice: -3.30577699660803E-04-9.14137711932984E-04-1.5784</t>
  </si>
  <si>
    <t>2014-11-26 15:57:14.628: RTWSControl  - tickOptionComputation - id:200051 tickType:13 impliedVol:7.01473518639339E-02 delta:-0.311734618782888 optPrice:3.50000003604672E-03 pvDividend:0 gamma: 1.79769313486232E+308 theta/vega/undPrice: -3.42289971617246E-04-8.74517228740201E-04-1.5784</t>
  </si>
  <si>
    <t>2014-11-26 15:57:14.663: RTWSControl  - tickOptionComputation - id:200052 tickType:13 impliedVol:0.120385404849552 delta:-0.517695791553405 optPrice:1.26995402941342E-02 pvDividend:0 gamma: 1.79769313486232E+308 theta/vega/undPrice: -6.61995669895696E-04-9.85581151289001E-04-1.5784</t>
  </si>
  <si>
    <t>2014-11-26 15:57:14.701: RTWSControl  - tickOptionComputation - id:200048 tickType:13 impliedVol:8.35412720993336E-02 delta:-3.04272965335945E-02 optPrice:2.51743267478841E-04 pvDividend:0 gamma: 1.79769313486232E+308 theta/vega/undPrice: -7.83643585437869E-05-2.0163185467165E-04-1.5784</t>
  </si>
  <si>
    <t>2014-11-26 15:57:14.747: RTWSControl  - tickOptionComputation - id:200051 tickType:11 impliedVol:7.12886695074647E-02 delta:-0.314417309436866 optPrice:3.59999993816018E-03 pvDividend:0 gamma: 1.79769313486232E+308 theta/vega/undPrice: -3.49163418503856E-04-8.77796703970076E-04-1.5784</t>
  </si>
  <si>
    <t>2014-11-26 15:57:14.790: RTWSControl  - tickOptionComputation - id:200053 tickType:13 impliedVol:6.38791187604149E-02 delta:8.97628775108512E-02 optPrice:6.68810909241858E-04 pvDividend:0 gamma: 1.79769313486232E+308 theta/vega/undPrice: -1.41698046438924E-04-4.47270303053616E-04-1.5784</t>
  </si>
  <si>
    <t>2014-11-26 15:57:14.833: RTWSControl  - tickOptionComputation - id:200054 tickType:13 impliedVol:7.01582066382844E-02 delta:1.65632072278666E-03 optPrice:8.50381555288184E-06 pvDividend:0 gamma: 0.302812517014858 theta/vega/undPrice: -5.08543487313162E-06-2.40585454433561E-05-1.5784</t>
  </si>
  <si>
    <t>2014-11-26 15:57:14.873: RTWSControl  - tickOptionComputation - id:200052 tickType:10 impliedVol:1.79769313486232E+308 delta:1.79769313486232E+308 optPrice:1.79769313486232E+308 pvDividend:0 gamma: 1.79769313486232E+308 theta/vega/undPrice: 1.79769313486232E+308-1.79769313486232E+308-1.5784</t>
  </si>
  <si>
    <t>2014-11-26 15:57:14.908: RTWSControl  - tickOptionComputation - id:200052 tickType:11 impliedVol:1.79769313486232E+308 delta:1.79769313486232E+308 optPrice:1.79769313486232E+308 pvDividend:0 gamma: 1.79769313486232E+308 theta/vega/undPrice: 1.79769313486232E+308-1.79769313486232E+308-1.5784</t>
  </si>
  <si>
    <t>2014-11-26 15:57:14.950: RTWSControl  - tickOptionComputation - id:200054 tickType:10 impliedVol:1.79769313486232E+308 delta:1.79769313486232E+308 optPrice:1.79769313486232E+308 pvDividend:0 gamma: 1.79769313486232E+308 theta/vega/undPrice: 1.79769313486232E+308-1.79769313486232E+308-1.5784</t>
  </si>
  <si>
    <t>2014-11-26 15:57:16.326: RTWSControl  - tickOptionComputation - id:200051 tickType:11 impliedVol:7.01446350401817E-02 delta:-0.311688634266215 optPrice:3.50000010803342E-03 pvDividend:0 gamma: 1.79769313486232E+308 theta/vega/undPrice: -3.42273590609558E-04-8.74509245650129E-04-1.5784</t>
  </si>
  <si>
    <t>2014-11-26 15:57:18.530: RTWSControl  - tickOptionComputation - id:200051 tickType:13 impliedVol:7.12859082031825E-02 delta:-0.314450571502636 optPrice:3.59975649976789E-03 pvDividend:0 gamma: 1.79769313486232E+308 theta/vega/undPrice: -3.49146808147102E-04-8.77788944749919E-04-1.5784</t>
  </si>
  <si>
    <t>2014-11-26 15:57:18.616: RTWSControl  - tickOptionComputation - id:200052 tickType:10 impliedVol:1.79769313486232E+308 delta:1.79769313486232E+308 optPrice:1.79769313486232E+308 pvDividend:0 gamma: 1.79769313486232E+308 theta/vega/undPrice: 1.79769313486232E+308-1.79769313486232E+308-1.5784</t>
  </si>
  <si>
    <t>2014-11-26 15:57:18.633: RTWSControl  - tickOptionComputation - id:200052 tickType:11 impliedVol:1.79769313486232E+308 delta:1.79769313486232E+308 optPrice:1.79769313486232E+308 pvDividend:0 gamma: 1.79769313486232E+308 theta/vega/undPrice: 1.79769313486232E+308-1.79769313486232E+308-1.5784</t>
  </si>
  <si>
    <t>2014-11-26 15:57:18.692: RTWSControl  - tickOptionComputation - id:200052 tickType:13 impliedVol:0.120385404849536 delta:-0.517695791553408 optPrice:1.26995402941338E-02 pvDividend:0 gamma: 1.79769313486232E+308 theta/vega/undPrice: -6.61995669895608E-04-9.85581151289001E-04-1.5784</t>
  </si>
  <si>
    <t>2014-11-26 15:57:18.744: RTWSControl  - tickOptionComputation - id:200054 tickType:10 impliedVol:1.79769313486232E+308 delta:1.79769313486232E+308 optPrice:1.79769313486232E+308 pvDividend:0 gamma: 1.79769313486232E+308 theta/vega/undPrice: 1.79769313486232E+308-1.79769313486232E+308-1.5784</t>
  </si>
  <si>
    <t>2014-11-26 15:57:20.353: RTWSControl  - tickOptionComputation - id:200052 tickType:10 impliedVol:1.79769313486232E+308 delta:1.79769313486232E+308 optPrice:1.79769313486232E+308 pvDividend:0 gamma: 1.79769313486232E+308 theta/vega/undPrice: 1.79769313486232E+308-1.79769313486232E+308-1.5784</t>
  </si>
  <si>
    <t>2014-11-26 15:57:20.376: RTWSControl  - tickOptionComputation - id:200052 tickType:11 impliedVol:1.79769313486232E+308 delta:1.79769313486232E+308 optPrice:1.79769313486232E+308 pvDividend:0 gamma: 1.79769313486232E+308 theta/vega/undPrice: 1.79769313486232E+308-1.79769313486232E+308-1.5784</t>
  </si>
  <si>
    <t>2014-11-26 15:57:20.444: RTWSControl  - tickOptionComputation - id:200054 tickType:10 impliedVol:1.79769313486232E+308 delta:1.79769313486232E+308 optPrice:1.79769313486232E+308 pvDividend:0 gamma: 1.79769313486232E+308 theta/vega/undPrice: 1.79769313486232E+308-1.79769313486232E+308-1.5784</t>
  </si>
  <si>
    <t>2014-11-26 15:57:22.507: RTWSControl  - tickOptionComputation - id:200052 tickType:10 impliedVol:1.79769313486232E+308 delta:1.79769313486232E+308 optPrice:1.79769313486232E+308 pvDividend:0 gamma: 1.79769313486232E+308 theta/vega/undPrice: 1.79769313486232E+308-1.79769313486232E+308-1.5784</t>
  </si>
  <si>
    <t>2014-11-26 15:57:22.541: RTWSControl  - tickOptionComputation - id:200052 tickType:11 impliedVol:1.79769313486232E+308 delta:1.79769313486232E+308 optPrice:1.79769313486232E+308 pvDividend:0 gamma: 1.79769313486232E+308 theta/vega/undPrice: 1.79769313486232E+308-1.79769313486232E+308-1.5784</t>
  </si>
  <si>
    <t>2014-11-26 15:57:22.614: RTWSControl  - tickOptionComputation - id:200054 tickType:10 impliedVol:1.79769313486232E+308 delta:1.79769313486232E+308 optPrice:1.79769313486232E+308 pvDividend:0 gamma: 1.79769313486232E+308 theta/vega/undPrice: 1.79769313486232E+308-1.79769313486232E+308-1.5784</t>
  </si>
  <si>
    <t>2014-11-26 15:57:23.140: TransitionLogger - flushFile - flushing file</t>
  </si>
  <si>
    <t>2014-11-26 15:57:23.141: TransitionLogger - openTransitionFile - opening file C:\temp\transitionlog_2014-11-26_155023</t>
  </si>
  <si>
    <t>2014-11-26 15:57:26.308: RTWSControl  - tickOptionComputation - id:200042 tickType:13 impliedVol:0.080386164891479 delta:-2.83446445190854E-02 optPrice:1.08401646831153E-04 pvDividend:0 gamma: 1.79769313486232E+308 theta/vega/undPrice: -1.46214987749162E-04-9.19149304803578E-05-1.5784</t>
  </si>
  <si>
    <t>2014-11-26 15:57:26.378: RTWSControl  - tickOptionComputation - id:200041 tickType:13 impliedVol:0.071718002343232 delta:0.93939420313642 optPrice:0.013631727896378 pvDividend:0 gamma: 1.79769313486232E+308 theta/vega/undPrice: -2.42110240228895E-04-1.68582430354274E-04-1.5784</t>
  </si>
  <si>
    <t>2014-11-26 15:57:26.417: RTWSControl  - tickOptionComputation - id:200043 tickType:13 impliedVol:0.071718002343232 delta:-6.07183173188218E-02 optPrice:2.31919386680118E-04 pvDividend:0 gamma: 1.79769313486232E+308 theta/vega/undPrice: -2.42198779595531E-04-1.68582695540253E-04-1.5784</t>
  </si>
  <si>
    <t>2014-11-26 15:57:26.458: RTWSControl  - tickOptionComputation - id:200044 tickType:13 impliedVol:6.57222624492704E-02 delta:0.855094464870686 optPrice:9.00230659959315E-03 pvDividend:0 gamma: 1.79769313486232E+308 theta/vega/undPrice: -4.21995495443882E-04-2.97584395736468E-04-1.5784</t>
  </si>
  <si>
    <t>2014-11-26 15:57:26.498: RTWSControl  - tickOptionComputation - id:200046 tickType:13 impliedVol:6.57222624492704E-02 delta:-0.145018221380026 optPrice:6.02427316775675E-04 pvDividend:0 gamma: 1.79769313486232E+308 theta/vega/undPrice: -4.22051667413402E-04-2.97584683926074E-04-1.5784</t>
  </si>
  <si>
    <t>2014-11-26 15:57:26.538: RTWSControl  - tickOptionComputation - id:200045 tickType:13 impliedVol:6.23989452095088E-02 delta:0.673859924368663 optPrice:5.03664519770983E-03 pvDividend:0 gamma: 1.79769313486232E+308 theta/vega/undPrice: -6.33938311529479E-04-4.45319830331524E-04-1.5784</t>
  </si>
  <si>
    <t>2014-11-26 15:57:26.580: RTWSControl  - tickOptionComputation - id:200047 tickType:13 impliedVol:6.23989452095088E-02 delta:-0.326253222568228 optPrice:1.63669648366969E-03 pvDividend:0 gamma: 1.79769313486232E+308 theta/vega/undPrice: -6.33962672294685E-04-4.45320468560005E-04-1.5784</t>
  </si>
  <si>
    <t>2014-11-26 15:57:26.622: RTWSControl  - tickOptionComputation - id:200055 tickType:13 impliedVol:6.17480506240042E-02 delta:0.416479834980842 optPrice:2.27347262212398E-03 pvDividend:0 gamma: 1.79769313486232E+308 theta/vega/undPrice: -6.80776297830319E-04-4.8319500729437E-04-1.5784</t>
  </si>
  <si>
    <t>2014-11-26 15:57:26.665: RTWSControl  - tickOptionComputation - id:200043 tickType:10 impliedVol:0.060833973332959 delta:-0.033750612723271 optPrice:9.99999974737875E-05 pvDividend:0 gamma: 1.79769313486232E+308 theta/vega/undPrice: -1.27991726918584E-04-1.1932514934233E-04-1.5784</t>
  </si>
  <si>
    <t>2014-11-26 15:57:26.717: RTWSControl  - tickOptionComputation - id:200052 tickType:10 impliedVol:1.79769313486232E+308 delta:1.79769313486232E+308 optPrice:1.79769313486232E+308 pvDividend:0 gamma: 1.79769313486232E+308 theta/vega/undPrice: 1.79769313486232E+308-1.79769313486232E+308-1.5784</t>
  </si>
  <si>
    <t>2014-11-26 15:57:26.750: RTWSControl  - tickOptionComputation - id:200052 tickType:11 impliedVol:1.79769313486232E+308 delta:1.79769313486232E+308 optPrice:1.79769313486232E+308 pvDividend:0 gamma: 1.79769313486232E+308 theta/vega/undPrice: 1.79769313486232E+308-1.79769313486232E+308-1.5784</t>
  </si>
  <si>
    <t>2014-11-26 15:57:26.815: RTWSControl  - tickOptionComputation - id:200054 tickType:10 impliedVol:1.79769313486232E+308 delta:1.79769313486232E+308 optPrice:1.79769313486232E+308 pvDividend:0 gamma: 1.79769313486232E+308 theta/vega/undPrice: 1.79769313486232E+308-1.79769313486232E+308-1.5784</t>
  </si>
  <si>
    <t>2014-11-26 15:57:28.46: DirectionIndicator - notify - price/longMA/ShortMA/prevDirection are 1.5785/1.57839700356188/1.57843901322158/1</t>
  </si>
  <si>
    <t>2014-11-26 15:57:28.46: Algorithm - handleTransition - currentHedgeShortfall is NOT ZERO and AUTOHEDGE IS NOT ENABLED!</t>
  </si>
  <si>
    <t>2014-11-26 15:57:28.81: DirectionIndicator - notify - price/longMA/ShortMA/prevDirection are 1.57855/1.57842482109608/1.57847600881438/1</t>
  </si>
  <si>
    <t>2014-11-26 15:57:28.81: Algorithm - handleTransition - currentHedgeShortfall is NOT ZERO and AUTOHEDGE IS NOT ENABLED!</t>
  </si>
  <si>
    <t>2014-11-26 15:57:28.824: RTWSControl  - tickOptionComputation - id:200041 tickType:10 impliedVol:6.95059710634514E-02 delta:0.945051690037366 optPrice:1.36000001803041E-02 pvDividend:0 gamma: 1.79769313486232E+308 theta/vega/undPrice: -2.16732319713006E-04-1.52718624754264E-04-1.5784</t>
  </si>
  <si>
    <t>2014-11-26 15:57:28.874: RTWSControl  - tickOptionComputation - id:200041 tickType:11 impliedVol:8.63515203215105E-02 delta:0.900690679538631 optPrice:1.38999996706843E-02 pvDividend:0 gamma: 1.79769313486232E+308 theta/vega/undPrice: -4.23729376523167E-04-2.15148195567548E-04-1.5784</t>
  </si>
  <si>
    <t>2014-11-26 15:57:28.922: RTWSControl  - tickOptionComputation - id:200044 tickType:10 impliedVol:6.56301809891497E-02 delta:0.855346954742286 optPrice:8.99999961256981E-03 pvDividend:0 gamma: 1.79769313486232E+308 theta/vega/undPrice: -4.20731999458175E-04-2.97584398641203E-04-1.5784</t>
  </si>
  <si>
    <t>2014-11-26 15:57:28.964: RTWSControl  - tickOptionComputation - id:200046 tickType:10 impliedVol:6.22803104348933E-02 delta:-0.130794387576422 optPrice:5.00000023748726E-04 pvDividend:0 gamma: 1.79769313486232E+308 theta/vega/undPrice: -3.74822808876177E-04-2.97584792204997E-04-1.5784</t>
  </si>
  <si>
    <t>2014-11-26 15:57:29.7: RTWSControl  - tickOptionComputation - id:200045 tickType:10 impliedVol:6.38187641390715E-02 delta:0.670143995785199 optPrice:5.10000018402934E-03 pvDividend:0 gamma: 1.79769313486232E+308 theta/vega/undPrice: -6.51192451838227E-04-4.45319765452735E-04-1.5784</t>
  </si>
  <si>
    <t>2014-11-26 15:57:29.74: RTWSControl  - tickOptionComputation - id:200045 tickType:11 impliedVol:6.83127754971741E-02 delta:0.659652337301766 optPrice:5.29999984428287E-03 pvDividend:0 gamma: 1.79769313486232E+308 theta/vega/undPrice: -7.05805221033705E-04-4.45319552713281E-04-1.5784</t>
  </si>
  <si>
    <t>2014-11-26 15:57:29.127: RTWSControl  - tickOptionComputation - id:200055 tickType:11 impliedVol:6.43666217549622E-02 delta:0.419906487257525 optPrice:2.40000011399388E-03 pvDividend:0 gamma: 1.79769313486232E+308 theta/vega/undPrice: -7.10541929837064E-04-4.83194875887487E-04-1.5784</t>
  </si>
  <si>
    <t>2014-11-26 15:57:29.165: RTWSControl  - tickOptionComputation - id:200049 tickType:10 impliedVol:6.91569371381512E-02 delta:0.688923220884468 optPrice:1.19000002741814E-02 pvDividend:0 gamma: 1.79769313486232E+308 theta/vega/undPrice: -3.35337107511643E-04-9.14131797087653E-04-1.5784</t>
  </si>
  <si>
    <t>2014-11-26 15:57:29.208: RTWSControl  - tickOptionComputation - id:200049 tickType:11 impliedVol:7.24388129691351E-02 delta:0.680958661798404 optPrice:1.21999997645617E-02 pvDividend:0 gamma: 1.79769313486232E+308 theta/vega/undPrice: -3.54700026971547E-04-9.14130328412598E-04-1.5784</t>
  </si>
  <si>
    <t>2014-11-26 15:57:29.255: RTWSControl  - tickOptionComputation - id:200052 tickType:10 impliedVol:1.79769313486232E+308 delta:1.79769313486232E+308 optPrice:1.79769313486232E+308 pvDividend:0 gamma: 1.79769313486232E+308 theta/vega/undPrice: 1.79769313486232E+308-1.79769313486232E+308-1.5784</t>
  </si>
  <si>
    <t>2014-11-26 15:57:29.288: RTWSControl  - tickOptionComputation - id:200052 tickType:11 impliedVol:1.79769313486232E+308 delta:1.79769313486232E+308 optPrice:1.79769313486232E+308 pvDividend:0 gamma: 1.79769313486232E+308 theta/vega/undPrice: 1.79769313486232E+308-1.79769313486232E+308-1.5784</t>
  </si>
  <si>
    <t>2014-11-26 15:57:29.329: RTWSControl  - tickOptionComputation - id:200054 tickType:10 impliedVol:1.79769313486232E+308 delta:1.79769313486232E+308 optPrice:1.79769313486232E+308 pvDividend:0 gamma: 1.79769313486232E+308 theta/vega/undPrice: 1.79769313486232E+308-1.79769313486232E+308-1.5784</t>
  </si>
  <si>
    <t>2014-11-26 15:57:29.488: DirectionIndicator - notify - price/longMA/ShortMA/prevDirection are 1.5786/1.57845667180588/1.57851733920959/1</t>
  </si>
  <si>
    <t>2014-11-26 15:57:29.488: Algorithm - handleTransition - currentHedgeShortfall is NOT ZERO and AUTOHEDGE IS NOT ENABLED!</t>
  </si>
  <si>
    <t>2014-11-26 15:57:29.530: DirectionIndicator - notify - price/longMA/ShortMA/prevDirection are 1.57865/1.57849182238663/1.57856155947306/1</t>
  </si>
  <si>
    <t>2014-11-26 15:57:29.530: Algorithm - handleTransition - currentHedgeShortfall is NOT ZERO and AUTOHEDGE IS NOT ENABLED!</t>
  </si>
  <si>
    <t>2014-11-26 15:57:30.450: DirectionIndicator - notify - price/longMA/ShortMA/prevDirection are 1.5786/1.57851149104361/1.57857437298204/1</t>
  </si>
  <si>
    <t>2014-11-26 15:57:30.450: Algorithm - handleTransition - currentHedgeShortfall is NOT ZERO and AUTOHEDGE IS NOT ENABLED!</t>
  </si>
  <si>
    <t>2014-11-26 15:57:30.491: DirectionIndicator - notify - price/longMA/ShortMA/prevDirection are 1.57855/1.57851849267204/1.57856624865469/1</t>
  </si>
  <si>
    <t>2014-11-26 15:57:30.491: Algorithm - handleTransition - currentHedgeShortfall is NOT ZERO and AUTOHEDGE IS NOT ENABLED!</t>
  </si>
  <si>
    <t>2014-11-26 15:57:30.791: DirectionIndicator - notify - price/longMA/ShortMA/prevDirection are 1.5786/1.57853331218622/1.57857749910313/1</t>
  </si>
  <si>
    <t>2014-11-26 15:57:30.794: Algorithm - handleTransition - currentHedgeShortfall is NOT ZERO and AUTOHEDGE IS NOT ENABLED!</t>
  </si>
  <si>
    <t>2014-11-26 15:57:30.873: RTWSControl  - tickOptionComputation - id:200042 tickType:13 impliedVol:0.080386164891479 delta:-0.026869692682592 optPrice:1.0195570670234E-04 pvDividend:0 gamma: 1.79769313486232E+308 theta/vega/undPrice: -1.39984012792652E-04-8.77751532912344E-05-1.5786</t>
  </si>
  <si>
    <t>2014-11-26 15:57:30.948: RTWSControl  - tickOptionComputation - id:200041 tickType:13 impliedVol:0.071718002343232 delta:0.942096435457184 optPrice:1.38198984759706E-02 pvDividend:0 gamma: 1.79769313486232E+308 theta/vega/undPrice: -2.33495422266559E-04-1.60257050736832E-04-1.5786</t>
  </si>
  <si>
    <t>2014-11-26 15:57:30.995: RTWSControl  - tickOptionComputation - id:200043 tickType:13 impliedVol:0.071718002343232 delta:-0.058016083027182 optPrice:2.20092813846535E-04 pvDividend:0 gamma: 1.79769313486232E+308 theta/vega/undPrice: -2.33585269391012E-04-1.60257309179446E-04-1.5786</t>
  </si>
  <si>
    <t>2014-11-26 15:57:31.39: RTWSControl  - tickOptionComputation - id:200044 tickType:13 impliedVol:6.57222624492704E-02 delta:0.861211141036821 optPrice:9.17020465840518E-03 pvDividend:0 gamma: 1.79769313486232E+308 theta/vega/undPrice: -4.10628481589015E-04-2.97603248712953E-04-1.5786</t>
  </si>
  <si>
    <t>2014-11-26 15:57:31.79: RTWSControl  - tickOptionComputation - id:200046 tickType:13 impliedVol:6.57222624492704E-02 delta:-0.138901538835632 optPrice:5.70328204871962E-04 pvDividend:0 gamma: 1.79769313486232E+308 theta/vega/undPrice: -4.10685950306468E-04-2.97603536777673E-04-1.5786</t>
  </si>
  <si>
    <t>2014-11-26 15:57:31.121: RTWSControl  - tickOptionComputation - id:200045 tickType:13 impliedVol:6.23989452095088E-02 delta:0.683501703372762 optPrice:5.16963834754034E-03 pvDividend:0 gamma: 1.79769313486232E+308 theta/vega/undPrice: -0.00062667109478-4.45348043027805E-04-1.5786</t>
  </si>
  <si>
    <t>2014-11-26 15:57:31.163: RTWSControl  - tickOptionComputation - id:200047 tickType:13 impliedVol:6.23989452095088E-02 delta:-0.316611428330312 optPrice:1.56969241692401E-03 pvDividend:0 gamma: 1.79769313486232E+308 theta/vega/undPrice: -6.26696739017078E-04-4.45348680585255E-04-1.5786</t>
  </si>
  <si>
    <t>2014-11-26 15:57:31.205: RTWSControl  - tickOptionComputation - id:200055 tickType:13 impliedVol:6.17480506240042E-02 delta:0.427054352090722 optPrice:2.36243280340863E-03 pvDividend:0 gamma: 1.79769313486232E+308 theta/vega/undPrice: -6.83461483260636E-04-4.83225615886519E-04-1.5786</t>
  </si>
  <si>
    <t>2014-11-26 15:57:31.245: RTWSControl  - tickOptionComputation - id:200049 tickType:13 impliedVol:0.068340140580764 delta:0.695386334376206 optPrice:1.19585413954352E-02 pvDividend:0 gamma: 1.79769313486232E+308 theta/vega/undPrice: -3.28812714379738E-04-9.14190081366787E-04-1.5786</t>
  </si>
  <si>
    <t>2014-11-26 15:57:31.289: RTWSControl  - tickOptionComputation - id:200050 tickType:13 impliedVol:0.068340140580764 delta:-0.304683780250149 optPrice:3.35908515405561E-03 pvDividend:0 gamma: 1.79769313486232E+308 theta/vega/undPrice: -3.28873662028244E-04-9.14195637411598E-04-1.5786</t>
  </si>
  <si>
    <t>2014-11-26 15:57:31.328: RTWSControl  - tickOptionComputation - id:200051 tickType:13 impliedVol:7.12859082031825E-02 delta:-0.31043472057332 optPrice:3.5372762941563E-03 pvDividend:0 gamma: 1.79769313486232E+308 theta/vega/undPrice: -3.4725963869281E-04-8.73043705855623E-04-1.5786</t>
  </si>
  <si>
    <t>2014-11-26 15:57:31.370: RTWSControl  - tickOptionComputation - id:200052 tickType:13 impliedVol:0.120385404849536 delta:-0.515018038780315 optPrice:0.0125962879177 pvDividend:0 gamma: 1.79769313486232E+308 theta/vega/undPrice: -6.6226229876758E-04-9.85977047472182E-04-1.5786</t>
  </si>
  <si>
    <t>2014-11-26 15:57:31.412: RTWSControl  - tickOptionComputation - id:200048 tickType:13 impliedVol:8.35412720993336E-02 delta:-2.97415134129216E-02 optPrice:2.45348272347935E-04 pvDividend:0 gamma: 1.79769313486232E+308 theta/vega/undPrice: -7.69029065372759E-05-1.96310000411823E-04-1.5786</t>
  </si>
  <si>
    <t>2014-11-26 15:57:31.454: RTWSControl  - tickOptionComputation - id:200053 tickType:13 impliedVol:6.38791187604149E-02 delta:9.20013217875181E-02 optPrice:6.89253931897751E-04 pvDividend:0 gamma: 1.79769313486232E+308 theta/vega/undPrice: -1.44239510070886E-04-4.47298644287391E-04-1.5786</t>
  </si>
  <si>
    <t>2014-11-26 15:57:31.495: RTWSControl  - tickOptionComputation - id:200054 tickType:13 impliedVol:7.01582066382844E-02 delta:1.70540505732039E-03 optPrice:8.76877141244143E-06 pvDividend:0 gamma: 0.311233762498008 theta/vega/undPrice: -5.2281858190044E-06-2.5355082078443E-05-1.5786</t>
  </si>
  <si>
    <t>2014-11-26 15:57:31.571: DirectionIndicator - notify - price/longMA/ShortMA/prevDirection are 1.57865/1.57855452815236/1.57860166606875/1</t>
  </si>
  <si>
    <t>2014-11-26 15:57:31.571: Algorithm - handleTransition - currentHedgeShortfall is NOT ZERO and AUTOHEDGE IS NOT ENABLED!</t>
  </si>
  <si>
    <t>2014-11-26 15:57:31.663: DirectionIndicator - notify - price/longMA/ShortMA/prevDirection are 1.5786/1.57856279576102/1.5786011107125/1</t>
  </si>
  <si>
    <t>2014-11-26 15:57:31.663: Algorithm - handleTransition - currentHedgeShortfall is NOT ZERO and AUTOHEDGE IS NOT ENABLED!</t>
  </si>
  <si>
    <t>2014-11-26 15:57:31.820: RTWSControl  - tickOptionComputation - id:200042 tickType:10 impliedVol:9.11303409524406E-02 delta:-4.35474898324601E-02 optPrice:1.99999994947575E-04 pvDividend:0 gamma: 1.79769313486232E+308 theta/vega/undPrice: -2.37999407382602E-04-1.43211894892588E-04-1.5786</t>
  </si>
  <si>
    <t>2014-11-26 15:57:31.872: RTWSControl  - tickOptionComputation - id:200042 tickType:11 impliedVol:9.11303409524406E-02 delta:-4.35474898324601E-02 optPrice:1.99999994947575E-04 pvDividend:0 gamma: 1.79769313486232E+308 theta/vega/undPrice: -2.37999407382602E-04-1.43211894892588E-04-1.5786</t>
  </si>
  <si>
    <t>2014-11-26 15:57:31.918: RTWSControl  - tickOptionComputation - id:200042 tickType:13 impliedVol:8.18855634105802E-02 delta:-2.93924157976062E-02 optPrice:1.15116707142757E-04 pvDividend:0 gamma: 1.79769313486232E+308 theta/vega/undPrice: -1.53483417422414E-04-9.48634387107437E-05-1.5786</t>
  </si>
  <si>
    <t>2014-11-26 15:57:31.957: RTWSControl  - tickOptionComputation - id:200041 tickType:10 impliedVol:1.79769313486232E+308 delta:1.79769313486232E+308 optPrice:1.36000001803041E-02 pvDividend:0 gamma: 1.79769313486232E+308 theta/vega/undPrice: 1.79769313486232E+308-1.79769313486232E+308-1.5786</t>
  </si>
  <si>
    <t>2014-11-26 15:57:31.993: RTWSControl  - tickOptionComputation - id:200041 tickType:11 impliedVol:8.26403258935019E-02 delta:0.914353601714586 optPrice:1.40000004321337E-02 pvDividend:0 gamma: 1.79769313486232E+308 theta/vega/undPrice: -3.64323508403385E-04-2.1516192914189E-04-1.5786</t>
  </si>
  <si>
    <t>2014-11-26 15:57:32.43: RTWSControl  - tickOptionComputation - id:200041 tickType:13 impliedVol:7.29926622425552E-02 delta:0.938879818597143 optPrice:0.0138381823953 pvDividend:0 gamma: 1.79769313486232E+308 theta/vega/undPrice: -2.48120105890934E-04-1.69398979385489E-04-1.5786</t>
  </si>
  <si>
    <t>2014-11-26 15:57:32.83: RTWSControl  - tickOptionComputation - id:200043 tickType:10 impliedVol:6.15766944632719E-02 delta:-3.34042743711098E-02 optPrice:9.99999974737875E-05 pvDividend:0 gamma: 1.79769313486232E+308 theta/vega/undPrice: -1.28447194835671E-04-1.180786081368E-04-1.5786</t>
  </si>
  <si>
    <t>2014-11-26 15:57:32.125: RTWSControl  - tickOptionComputation - id:200043 tickType:11 impliedVol:0.077288714796038 delta:-7.12820254748041E-02 optPrice:3.00000014249235E-04 pvDividend:0 gamma: 1.79769313486232E+308 theta/vega/undPrice: -2.97500334113664E-04-2.0021078050485E-04-1.5786</t>
  </si>
  <si>
    <t>2014-11-26 15:57:32.171: RTWSControl  - tickOptionComputation - id:200043 tickType:13 impliedVol:7.29926622425552E-02 delta:-6.12327022308063E-02 optPrice:2.38376745724711E-04 pvDividend:0 gamma: 1.79769313486232E+308 theta/vega/undPrice: -2.48209969431409E-04-1.69399247518933E-04-1.5786</t>
  </si>
  <si>
    <t>2014-11-26 15:57:32.213: RTWSControl  - tickOptionComputation - id:200044 tickType:10 impliedVol:5.89984750369694E-02 delta:0.886392684867674 optPrice:8.99999961256981E-03 pvDividend:0 gamma: 1.79769313486232E+308 theta/vega/undPrice: -3.20331266918295E-04-2.67706232343212E-04-1.5786</t>
  </si>
  <si>
    <t>2014-11-26 15:57:32.258: RTWSControl  - tickOptionComputation - id:200044 tickType:11 impliedVol:7.34437899548687E-02 delta:0.83344792157128 optPrice:9.39999986439943E-03 pvDividend:0 gamma: 1.79769313486232E+308 theta/vega/undPrice: -5.16586069116685E-04-2.97602999049813E-04-1.5786</t>
  </si>
  <si>
    <t>2014-11-26 15:57:32.328: RTWSControl  - tickOptionComputation - id:200044 tickType:13 impliedVol:6.66621944167645E-02 delta:0.857500981282488 optPrice:9.19817735284299E-03 pvDividend:0 gamma: 1.79769313486232E+308 theta/vega/undPrice: -4.23526576331784E-04-2.97603218376382E-04-1.5786</t>
  </si>
  <si>
    <t>2014-11-26 15:57:32.373: RTWSControl  - tickOptionComputation - id:200046 tickType:13 impliedVol:6.66621944167645E-02 delta:-0.142611702454559 optPrice:5.98300926373102E-04 pvDividend:0 gamma: 1.79769313486232E+308 theta/vega/undPrice: -4.23584069550565E-04-2.97603506472146E-04-1.5786</t>
  </si>
  <si>
    <t>2014-11-26 15:57:32.416: RTWSControl  - tickOptionComputation - id:200046 tickType:10 impliedVol:6.33523436793811E-02 delta:-0.129040611326172 optPrice:5.00000023748726E-04 pvDividend:0 gamma: 1.79769313486232E+308 theta/vega/undPrice: -0.000378164974188-2.97603613134271E-04-1.5786</t>
  </si>
  <si>
    <t>2014-11-26 15:57:32.458: RTWSControl  - tickOptionComputation - id:200046 tickType:11 impliedVol:7.00794596805146E-02 delta:-0.155240259543967 optPrice:6.99999975040555E-04 pvDividend:0 gamma: 1.79769313486232E+308 theta/vega/undPrice: -4.70477117933025E-04-2.97603396547958E-04-1.5786</t>
  </si>
  <si>
    <t>2014-11-26 15:57:32.505: RTWSControl  - tickOptionComputation - id:200045 tickType:10 impliedVol:6.08352665566478E-02 delta:0.687858634793024 optPrice:5.10000018402934E-03 pvDividend:0 gamma: 1.79769313486232E+308 theta/vega/undPrice: -6.07667509360372E-04-4.45348113911401E-04-1.5786</t>
  </si>
  <si>
    <t>2014-11-26 15:57:32.546: RTWSControl  - tickOptionComputation - id:200045 tickType:11 impliedVol:0.067564901481792 delta:0.670205121448912 optPrice:5.40000014007092E-03 pvDividend:0 gamma: 1.79769313486232E+308 theta/vega/undPrice: -6.89453564344204E-04-4.45347799192049E-04-1.5786</t>
  </si>
  <si>
    <t>2014-11-26 15:57:32.613: RTWSControl  - tickOptionComputation - id:200045 tickType:13 impliedVol:6.28941599331938E-02 delta:0.682140626334978 optPrice:5.19169264892148E-03 pvDividend:0 gamma: 1.79769313486232E+308 theta/vega/undPrice: -6.32689500723696E-04-4.45348020297942E-04-1.5786</t>
  </si>
  <si>
    <t>2014-11-26 15:57:32.662: RTWSControl  - tickOptionComputation - id:200047 tickType:10 impliedVol:0.060834050853084 delta:-0.312124509398048 optPrice:1.50000001303852E-03 pvDividend:0 gamma: 1.79769313486232E+308 theta/vega/undPrice: -6.07678315179284E-04-4.45348751222258E-04-1.5786</t>
  </si>
  <si>
    <t>2014-11-26 15:57:32.704: RTWSControl  - tickOptionComputation - id:200047 tickType:11 impliedVol:6.53249123162902E-02 delta:-0.324311556388401 optPrice:1.70000002253801E-03 pvDividend:0 gamma: 1.79769313486232E+308 theta/vega/undPrice: -6.62256488447917E-04-4.45348544853886E-04-1.5786</t>
  </si>
  <si>
    <t>2014-11-26 15:57:32.750: RTWSControl  - tickOptionComputation - id:200047 tickType:13 impliedVol:6.28941599331938E-02 delta:-0.31797250751638 optPrice:1.59174674983172E-03 pvDividend:0 gamma: 1.79769313486232E+308 theta/vega/undPrice: -6.32715165156449E-04-4.45348657945651E-04-1.5786</t>
  </si>
  <si>
    <t>2014-11-26 15:57:32.790: RTWSControl  - tickOptionComputation - id:200055 tickType:10 impliedVol:5.83866247357291E-02 delta:0.42269077329126 optPrice:2.19999998807907E-03 pvDividend:0 gamma: 1.79769313486232E+308 theta/vega/undPrice: -6.4524927533727E-04-4.83225776803872E-04-1.5786</t>
  </si>
  <si>
    <t>2014-11-26 15:57:32.832: RTWSControl  - tickOptionComputation - id:200055 tickType:11 impliedVol:6.25051853066499E-02 delta:0.42790786640489 optPrice:2.40000011399388E-03 pvDividend:0 gamma: 1.79769313486232E+308 theta/vega/undPrice: -6.92068477139349E-04-4.83225578519763E-04-1.5786</t>
  </si>
  <si>
    <t>2014-11-26 15:57:32.876: RTWSControl  - tickOptionComputation - id:200055 tickType:13 impliedVol:6.16885587918432E-02 delta:0.4269821039938 optPrice:2.3595580042536E-03 pvDividend:0 gamma: 1.79769313486232E+308 theta/vega/undPrice: -6.82785188932467E-04-4.832256188049E-04-1.5786</t>
  </si>
  <si>
    <t>2014-11-26 15:57:32.919: RTWSControl  - tickOptionComputation - id:200049 tickType:10 impliedVol:6.76997817025657E-02 delta:0.69702298300729 optPrice:1.19000002741814E-02 pvDividend:0 gamma: 1.79769313486232E+308 theta/vega/undPrice: -3.25034374053602E-04-9.14190360620005E-04-1.5786</t>
  </si>
  <si>
    <t>2014-11-26 15:57:32.965: RTWSControl  - tickOptionComputation - id:200049 tickType:11 impliedVol:7.09813631638431E-02 delta:0.688517693666372 optPrice:1.21999997645617E-02 pvDividend:0 gamma: 1.79769313486232E+308 theta/vega/undPrice: -3.4439681723812E-04-9.14188908657063E-04-1.5786</t>
  </si>
  <si>
    <t>2014-11-26 15:57:33.36: RTWSControl  - tickOptionComputation - id:200049 tickType:13 impliedVol:6.91482793047697E-02 delta:0.693255735055495 optPrice:0.012032420796061 pvDividend:0 gamma: 1.79769313486232E+308 theta/vega/undPrice: -3.33581010199075E-04-9.14189726121731E-04-1.5786</t>
  </si>
  <si>
    <t>2014-11-26 15:57:33.82: RTWSControl  - tickOptionComputation - id:200050 tickType:10 impliedVol:6.87876902939974E-02 delta:-0.305831305371339 optPrice:3.40000004507601E-03 pvDividend:0 gamma: 1.79769313486232E+308 theta/vega/undPrice: -3.31514398016628E-04-9.1419544130445E-04-1.5786</t>
  </si>
  <si>
    <t>2014-11-26 15:57:33.122: RTWSControl  - tickOptionComputation - id:200050 tickType:11 impliedVol:6.98815466719769E-02 delta:-0.308665475867978 optPrice:3.50000010803342E-03 pvDividend:0 gamma: 1.79769313486232E+308 theta/vega/undPrice: -3.37968615752795E-04-9.14194958512625E-04-1.5786</t>
  </si>
  <si>
    <t>2014-11-26 15:57:33.169: RTWSControl  - tickOptionComputation - id:200050 tickType:13 impliedVol:6.91482793047697E-02 delta:-0.306814394207098 optPrice:3.43296500368542E-03 pvDividend:0 gamma: 1.79769313486232E+308 theta/vega/undPrice: -3.33642027418636E-04-9.14195282790312E-04-1.5786</t>
  </si>
  <si>
    <t>2014-11-26 15:57:33.212: RTWSControl  - tickOptionComputation - id:200051 tickType:10 impliedVol:6.73963513063841E-02 delta:-0.30060874966926 optPrice:3.1999999191612E-03 pvDividend:0 gamma: 1.79769313486232E+308 theta/vega/undPrice: -3.236830768731E-04-8.6073232787953E-04-1.5786</t>
  </si>
  <si>
    <t>2014-11-26 15:57:33.256: RTWSControl  - tickOptionComputation - id:200051 tickType:11 impliedVol:7.08595233332212E-02 delta:-0.309369178889398 optPrice:3.50000010803342E-03 pvDividend:0 gamma: 1.79769313486232E+308 theta/vega/undPrice: -3.44684701658282E-04-8.71784321891763E-04-1.5786</t>
  </si>
  <si>
    <t>2014-11-26 15:57:33.324: RTWSControl  - tickOptionComputation - id:200051 tickType:13 impliedVol:7.08589388092085E-02 delta:-0.309406880350536 optPrice:3.50002679086229E-03 pvDividend:0 gamma: 1.79769313486232E+308 theta/vega/undPrice: -3.44681170152975E-04-8.71782581058917E-04-1.5786</t>
  </si>
  <si>
    <t>2014-11-26 15:57:33.371: RTWSControl  - tickOptionComputation - id:200052 tickType:10 impliedVol:1.79769313486232E+308 delta:1.79769313486232E+308 optPrice:1.79769313486232E+308 pvDividend:0 gamma: 1.79769313486232E+308 theta/vega/undPrice: 1.79769313486232E+308-1.79769313486232E+308-1.5786</t>
  </si>
  <si>
    <t>2014-11-26 15:57:33.410: RTWSControl  - tickOptionComputation - id:200052 tickType:11 impliedVol:1.79769313486232E+308 delta:1.79769313486232E+308 optPrice:1.79769313486232E+308 pvDividend:0 gamma: 1.79769313486232E+308 theta/vega/undPrice: 1.79769313486232E+308-1.79769313486232E+308-1.5786</t>
  </si>
  <si>
    <t>2014-11-26 15:57:33.450: RTWSControl  - tickOptionComputation - id:200052 tickType:13 impliedVol:0.121437261232282 delta:-0.514822886593601 optPrice:1.27000000095866E-02 pvDividend:0 gamma: 1.79769313486232E+308 theta/vega/undPrice: -6.68061002011906E-04-9.85995059619233E-04-1.5786</t>
  </si>
  <si>
    <t>2014-11-26 15:57:33.495: RTWSControl  - tickOptionComputation - id:200048 tickType:10 impliedVol:8.10187640055346E-02 delta:-2.55801611299867E-02 optPrice:1.99999994947575E-04 pvDividend:0 gamma: 1.79769313486232E+308 theta/vega/undPrice: -6.59295956743011E-05-1.79306485145829E-04-1.5786</t>
  </si>
  <si>
    <t>2014-11-26 15:57:33.538: RTWSControl  - tickOptionComputation - id:200048 tickType:11 impliedVol:8.65770543047029E-02 delta:-0.0344189771659 optPrice:3.00000014249235E-04 pvDividend:0 gamma: 1.79769313486232E+308 theta/vega/undPrice: -9.01090128133613E-05-2.30688641046149E-04-1.5786</t>
  </si>
  <si>
    <t>2014-11-26 15:57:33.584: RTWSControl  - tickOptionComputation - id:200048 tickType:13 impliedVol:8.34507642550051E-02 delta:-2.95966827477283E-02 optPrice:2.43725405872823E-04 pvDividend:0 gamma: 1.79769313486232E+308 theta/vega/undPrice: -7.65091834175192E-05-1.95285045082871E-04-1.5786</t>
  </si>
  <si>
    <t>2014-11-26 15:57:33.626: RTWSControl  - tickOptionComputation - id:200053 tickType:10 impliedVol:6.18744681069856E-02 delta:8.42576741315787E-02 optPrice:6.00000028498471E-04 pvDividend:0 gamma: 1.79769313486232E+308 theta/vega/undPrice: -1.31267003669086E-04-4.47299023869464E-04-1.5786</t>
  </si>
  <si>
    <t>2014-11-26 15:57:33.663: RTWSControl  - tickOptionComputation - id:200053 tickType:11 impliedVol:6.41030548907667E-02 delta:9.28235029573283E-02 optPrice:6.99999975040555E-04 pvDividend:0 gamma: 1.79769313486232E+308 theta/vega/undPrice: -1.45688645627269E-04-4.47298602304799E-04-1.5786</t>
  </si>
  <si>
    <t>2014-11-26 15:57:33.710: RTWSControl  - tickOptionComputation - id:200053 tickType:13 impliedVol:6.35550713099864E-02 delta:9.07842336466826E-02 optPrice:6.74759301480297E-04 pvDividend:0 gamma: 1.79769313486232E+308 theta/vega/undPrice: -1.42142533692574E-04-4.47298705187065E-04-1.5786</t>
  </si>
  <si>
    <t>2014-11-26 15:57:33.753: RTWSControl  - tickOptionComputation - id:200054 tickType:10 impliedVol:1.79769313486232E+308 delta:1.79769313486232E+308 optPrice:1.79769313486232E+308 pvDividend:0 gamma: 1.79769313486232E+308 theta/vega/undPrice: 1.79769313486232E+308-1.79769313486232E+308-1.5786</t>
  </si>
  <si>
    <t>2014-11-26 15:57:33.790: RTWSControl  - tickOptionComputation - id:200054 tickType:11 impliedVol:9.09262055091595E-02 delta:1.24812796345581E-02 optPrice:9.99999974737875E-05 pvDividend:0 gamma: 1.79769313486232E+308 theta/vega/undPrice: -4.0082137135599E-05-1.03764403196452E-04-1.5786</t>
  </si>
  <si>
    <t>2014-11-26 15:57:33.858: RTWSControl  - tickOptionComputation - id:200054 tickType:13 impliedVol:0.066671140270655 delta:1.05471214113101E-03 optPrice:5.00940959067736E-06 pvDividend:0 gamma: 0.209500508643255 theta/vega/undPrice: -3.1781063704492E-06-1.82481707609412E-05-1.5786</t>
  </si>
  <si>
    <t>2014-11-26 15:57:33.912: DirectionIndicator - notify - price/longMA/ShortMA/prevDirection are 1.57855/1.57856046925902/1.57858407380833/1</t>
  </si>
  <si>
    <t>2014-11-26 15:57:33.912: Algorithm - handleTransition - currentHedgeShortfall is NOT ZERO and AUTOHEDGE IS NOT ENABLED!</t>
  </si>
  <si>
    <t>2014-11-26 15:57:34.530: RTWSControl  - tickOptionComputation - id:200041 tickType:10 impliedVol:3.48165586037164E-02 delta:0.999473114920963 optPrice:1.36000001803041E-02 pvDividend:0 gamma: 0.42441633301851 theta/vega/undPrice: -1.66673609487636E-06-9.22723931424257E-06-1.5786</t>
  </si>
  <si>
    <t>2014-11-26 15:57:34.583: RTWSControl  - tickOptionComputation - id:200041 tickType:11 impliedVol:7.73022428918766E-02 delta:0.928674165836005 optPrice:1.38999996706843E-02 pvDividend:0 gamma: 1.79769313486232E+308 theta/vega/undPrice: -2.97565628298735E-04-2.00307503825062E-04-1.5786</t>
  </si>
  <si>
    <t>2014-11-26 15:57:34.629: RTWSControl  - tickOptionComputation - id:200045 tickType:11 impliedVol:6.53216828762308E-02 delta:0.675683309527627 optPrice:5.29999984428287E-03 pvDividend:0 gamma: 1.79769313486232E+308 theta/vega/undPrice: -6.62191477129579E-04-4.45347906896092E-04-1.5786</t>
  </si>
  <si>
    <t>2014-11-26 15:57:34.692: RTWSControl  - tickOptionComputation - id:200050 tickType:11 impliedVol:7.09754010586199E-02 delta:-0.311411304632872 optPrice:3.59999993816018E-03 pvDividend:0 gamma: 1.79769313486232E+308 theta/vega/undPrice: -3.4442281337682E-04-9.1419447227141E-04-1.5786</t>
  </si>
  <si>
    <t>2014-11-26 15:57:34.749: RTWSControl  - tickOptionComputation - id:200052 tickType:10 impliedVol:1.79769313486232E+308 delta:1.79769313486232E+308 optPrice:1.79769313486232E+308 pvDividend:0 gamma: 1.79769313486232E+308 theta/vega/undPrice: 1.79769313486232E+308-1.79769313486232E+308-1.5786</t>
  </si>
  <si>
    <t>2014-11-26 15:57:34.784: RTWSControl  - tickOptionComputation - id:200052 tickType:11 impliedVol:1.79769313486232E+308 delta:1.79769313486232E+308 optPrice:1.79769313486232E+308 pvDividend:0 gamma: 1.79769313486232E+308 theta/vega/undPrice: 1.79769313486232E+308-1.79769313486232E+308-1.5786</t>
  </si>
  <si>
    <t>2014-11-26 15:57:34.826: RTWSControl  - tickOptionComputation - id:200054 tickType:10 impliedVol:1.79769313486232E+308 delta:1.79769313486232E+308 optPrice:1.79769313486232E+308 pvDividend:0 gamma: 1.79769313486232E+308 theta/vega/undPrice: 1.79769313486232E+308-1.79769313486232E+308-1.5786</t>
  </si>
  <si>
    <t>2014-11-26 15:57:35.328: RTWSControl  - tickOptionComputation - id:200042 tickType:13 impliedVol:8.04685323824685E-02 delta:-2.70107196178953E-02 optPrice:1.02678689068922E-04 pvDividend:0 gamma: 1.79769313486232E+308 theta/vega/undPrice: -1.40725584977166E-04-8.77751525594758E-05-1.5786</t>
  </si>
  <si>
    <t>2014-11-26 15:57:35.401: RTWSControl  - tickOptionComputation - id:200041 tickType:13 impliedVol:7.17235587472658E-02 delta:0.94208216526481 optPrice:1.38199781778958E-02 pvDividend:0 gamma: 1.79769313486232E+308 theta/vega/undPrice: -2.335591731219E-04-1.6029690157052E-04-1.5786</t>
  </si>
  <si>
    <t>2014-11-26 15:57:35.455: RTWSControl  - tickOptionComputation - id:200043 tickType:13 impliedVol:7.17235587472658E-02 delta:-5.80303532300131E-02 optPrice:2.20172515828324E-04 pvDividend:0 gamma: 1.79769313486232E+308 theta/vega/undPrice: -2.33649020318726E-04-1.60297160052287E-04-1.5786</t>
  </si>
  <si>
    <t>2014-11-26 15:57:35.497: RTWSControl  - tickOptionComputation - id:200044 tickType:11 impliedVol:7.00908515568869E-02 delta:0.844705909418489 optPrice:9.30000003427267E-03 pvDividend:0 gamma: 1.79769313486232E+308 theta/vega/undPrice: -4.70575859058578E-04-2.97603107590085E-04-1.5786</t>
  </si>
  <si>
    <t>2014-11-26 15:57:35.539: RTWSControl  - tickOptionComputation - id:200044 tickType:13 impliedVol:6.56694154541242E-02 delta:0.861422903223872 optPrice:9.16863191380406E-03 pvDividend:0 gamma: 1.79769313486232E+308 theta/vega/undPrice: -4.09903295466448E-04-2.9760325041958E-04-1.5786</t>
  </si>
  <si>
    <t>2014-11-26 15:57:35.580: RTWSControl  - tickOptionComputation - id:200046 tickType:13 impliedVol:6.56694154541242E-02 delta:-0.138689776428112 optPrice:5.68755458750382E-04 pvDividend:0 gamma: 1.79769313486232E+308 theta/vega/undPrice: -4.09960762806859E-04-2.97603538480859E-04-1.5786</t>
  </si>
  <si>
    <t>2014-11-26 15:57:35.623: RTWSControl  - tickOptionComputation - id:200045 tickType:10 impliedVol:5.85898268063864E-02 delta:0.694656151265431 optPrice:4.99999988824129E-03 pvDividend:0 gamma: 1.79769313486232E+308 theta/vega/undPrice: -5.80378382048843E-04-4.4534821332432E-04-1.5786</t>
  </si>
  <si>
    <t>2014-11-26 15:57:35.667: RTWSControl  - tickOptionComputation - id:200045 tickType:13 impliedVol:6.23061025030722E-02 delta:0.683759298438987 optPrice:5.16550361367847E-03 pvDividend:0 gamma: 1.79769313486232E+308 theta/vega/undPrice: -6.2554276577324E-04-4.45348047274241E-04-1.5786</t>
  </si>
  <si>
    <t>2014-11-26 15:57:35.708: RTWSControl  - tickOptionComputation - id:200047 tickType:13 impliedVol:6.23061025030722E-02 delta:-0.316353832857589 optPrice:1.56555767715191E-03 pvDividend:0 gamma: 1.79769313486232E+308 theta/vega/undPrice: -6.25568406224261E-04-4.45348684813497E-04-1.5786</t>
  </si>
  <si>
    <t>2014-11-26 15:57:35.749: RTWSControl  - tickOptionComputation - id:200055 tickType:13 impliedVol:0.061633619894053 delta:0.42691526276208 optPrice:2.35690321464405E-03 pvDividend:0 gamma: 1.79769313486232E+308 theta/vega/undPrice: -6.82160651676785E-04-4.83225621496632E-04-1.5786</t>
  </si>
  <si>
    <t>2014-11-26 15:57:35.788: RTWSControl  - tickOptionComputation - id:200049 tickType:13 impliedVol:6.85893640868436E-02 delta:0.694723861532323 optPrice:0.011981325213411 pvDividend:0 gamma: 1.79769313486232E+308 theta/vega/undPrice: -3.30283219076404E-04-9.14189972148411E-04-1.5786</t>
  </si>
  <si>
    <t>2014-11-26 15:57:35.834: RTWSControl  - tickOptionComputation - id:200050 tickType:13 impliedVol:6.85893640868436E-02 delta:-0.305346257644896 optPrice:3.38186911050283E-03 pvDividend:0 gamma: 1.79769313486232E+308 theta/vega/undPrice: -3.3034418818031E-04-9.14195528219977E-04-1.5786</t>
  </si>
  <si>
    <t>2014-11-26 15:57:35.877: RTWSControl  - tickOptionComputation - id:200048 tickType:13 impliedVol:8.34143706279598E-02 delta:-2.95383567457472E-02 optPrice:2.43072843657871E-04 pvDividend:0 gamma: 1.79769313486232E+308 theta/vega/undPrice: -7.6350865503788E-05-1.94872905732454E-04-1.5786</t>
  </si>
  <si>
    <t>2014-11-26 15:57:35.922: RTWSControl  - tickOptionComputation - id:200052 tickType:10 impliedVol:1.79769313486232E+308 delta:1.79769313486232E+308 optPrice:1.79769313486232E+308 pvDividend:0 gamma: 1.79769313486232E+308 theta/vega/undPrice: 1.79769313486232E+308-1.79769313486232E+308-1.5786</t>
  </si>
  <si>
    <t>2014-11-26 15:57:35.956: RTWSControl  - tickOptionComputation - id:200052 tickType:11 impliedVol:1.79769313486232E+308 delta:1.79769313486232E+308 optPrice:1.79769313486232E+308 pvDividend:0 gamma: 1.79769313486232E+308 theta/vega/undPrice: 1.79769313486232E+308-1.79769313486232E+308-1.5786</t>
  </si>
  <si>
    <t>2014-11-26 15:57:35.996: RTWSControl  - tickOptionComputation - id:200053 tickType:13 impliedVol:0.063522166308573 delta:9.06599540515966E-02 optPrice:6.73287461874446E-04 pvDividend:0 gamma: 1.79769313486232E+308 theta/vega/undPrice: -1.41929598767398E-04-4.47298711380905E-04-1.5786</t>
  </si>
  <si>
    <t>2014-11-26 15:57:36.46: RTWSControl  - tickOptionComputation - id:200054 tickType:13 impliedVol:6.82127772931462E-02 delta:1.35057392828857E-03 optPrice:6.67142950559862E-06 pvDividend:0 gamma: 0.257214033439244 theta/vega/undPrice: -4.08444985634486E-06-2.04641796993402E-05-1.5786</t>
  </si>
  <si>
    <t>2014-11-26 15:57:36.88: RTWSControl  - tickOptionComputation - id:200054 tickType:10 impliedVol:1.79769313486232E+308 delta:1.79769313486232E+308 optPrice:1.79769313486232E+308 pvDividend:0 gamma: 1.79769313486232E+308 theta/vega/undPrice: 1.79769313486232E+308-1.79769313486232E+308-1.5786</t>
  </si>
  <si>
    <t>2014-11-26 15:57:36.496: DirectionIndicator - notify - price/longMA/ShortMA/prevDirection are 1.5786/1.57856765666647/1.57858938253889/1</t>
  </si>
  <si>
    <t>2014-11-26 15:57:36.496: Algorithm - handleTransition - currentHedgeShortfall is NOT ZERO and AUTOHEDGE IS NOT ENABLED!</t>
  </si>
  <si>
    <t>2014-11-26 15:57:36.537: DirectionIndicator - notify - price/longMA/ShortMA/prevDirection are 1.57865/1.57858262818166/1.57860958835926/1</t>
  </si>
  <si>
    <t>2014-11-26 15:57:36.538: Algorithm - handleTransition - currentHedgeShortfall is NOT ZERO and AUTOHEDGE IS NOT ENABLED!</t>
  </si>
  <si>
    <t>2014-11-26 15:57:37.74: DirectionIndicator - notify - price/longMA/ShortMA/prevDirection are 1.5786/1.57858578669408/1.57860639223951/1</t>
  </si>
  <si>
    <t>2014-11-26 15:57:37.75: Algorithm - handleTransition - currentHedgeShortfall is NOT ZERO and AUTOHEDGE IS NOT ENABLED!</t>
  </si>
  <si>
    <t>2014-11-26 15:57:37.165: DirectionIndicator - notify - price/longMA/ShortMA/prevDirection are 1.57865/1.57859746184061/1.57862092815967/1</t>
  </si>
  <si>
    <t>2014-11-26 15:57:37.165: Algorithm - handleTransition - currentHedgeShortfall is NOT ZERO and AUTOHEDGE IS NOT ENABLED!</t>
  </si>
  <si>
    <t>2014-11-26 15:57:37.364: RTWSControl  - tickOptionComputation - id:200041 tickType:10 impliedVol:6.16002344782396E-02 delta:0.966531506329891 optPrice:1.37000000104308E-02 pvDividend:0 gamma: 1.79769313486232E+308 theta/vega/undPrice: -1.28569808246151E-04-1.18209179712102E-04-1.5786</t>
  </si>
  <si>
    <t>2014-11-26 15:57:37.416: RTWSControl  - tickOptionComputation - id:200041 tickType:11 impliedVol:8.26403258935019E-02 delta:0.914353601714586 optPrice:1.40000004321337E-02 pvDividend:0 gamma: 1.79769313486232E+308 theta/vega/undPrice: -3.64323508403385E-04-2.1516192914189E-04-1.5786</t>
  </si>
  <si>
    <t>2014-11-26 15:57:37.462: RTWSControl  - tickOptionComputation - id:200044 tickType:10 impliedVol:6.33632748507604E-02 delta:0.87089852539901 optPrice:9.10000037401915E-03 pvDividend:0 gamma: 1.79769313486232E+308 theta/vega/undPrice: -3.7825756891836E-04-2.97603324771552E-04-1.5786</t>
  </si>
  <si>
    <t>2014-11-26 15:57:37.504: RTWSControl  - tickOptionComputation - id:200044 tickType:11 impliedVol:7.34437899548687E-02 delta:0.83344792157128 optPrice:9.39999986439943E-03 pvDividend:0 gamma: 1.79769313486232E+308 theta/vega/undPrice: -5.16586069116685E-04-2.97602999049813E-04-1.5786</t>
  </si>
  <si>
    <t>2014-11-26 15:57:37.549: RTWSControl  - tickOptionComputation - id:200045 tickType:10 impliedVol:6.08352665566478E-02 delta:0.687858634793024 optPrice:5.10000018402934E-03 pvDividend:0 gamma: 1.79769313486232E+308 theta/vega/undPrice: -6.07667509360372E-04-4.45348113911401E-04-1.5786</t>
  </si>
  <si>
    <t>2014-11-26 15:57:37.620: RTWSControl  - tickOptionComputation - id:200049 tickType:10 impliedVol:6.87936426639611E-02 delta:0.694096717147794 optPrice:1.20000001043081E-02 pvDividend:0 gamma: 1.79769313486232E+308 theta/vega/undPrice: -3.31488532863149E-04-9.14189882402541E-04-1.5786</t>
  </si>
  <si>
    <t>2014-11-26 15:57:37.666: RTWSControl  - tickOptionComputation - id:200050 tickType:11 impliedVol:6.98815466719769E-02 delta:-0.308665475867978 optPrice:3.50000010803342E-03 pvDividend:0 gamma: 1.79769313486232E+308 theta/vega/undPrice: -3.37968615752795E-04-9.14194958512625E-04-1.5786</t>
  </si>
  <si>
    <t>2014-11-26 15:57:37.710: RTWSControl  - tickOptionComputation - id:200052 tickType:10 impliedVol:1.79769313486232E+308 delta:1.79769313486232E+308 optPrice:1.79769313486232E+308 pvDividend:0 gamma: 1.79769313486232E+308 theta/vega/undPrice: 1.79769313486232E+308-1.79769313486232E+308-1.5786</t>
  </si>
  <si>
    <t>2014-11-26 15:57:37.745: RTWSControl  - tickOptionComputation - id:200052 tickType:11 impliedVol:1.79769313486232E+308 delta:1.79769313486232E+308 optPrice:1.79769313486232E+308 pvDividend:0 gamma: 1.79769313486232E+308 theta/vega/undPrice: 1.79769313486232E+308-1.79769313486232E+308-1.5786</t>
  </si>
  <si>
    <t>2014-11-26 15:57:37.787: RTWSControl  - tickOptionComputation - id:200054 tickType:10 impliedVol:1.79769313486232E+308 delta:1.79769313486232E+308 optPrice:1.79769313486232E+308 pvDividend:0 gamma: 1.79769313486232E+308 theta/vega/undPrice: 1.79769313486232E+308-1.79769313486232E+308-1.5786</t>
  </si>
  <si>
    <t>2014-11-26 15:57:38.31: DirectionIndicator - notify - price/longMA/ShortMA/prevDirection are 1.5786/1.57859792332414/1.57861395210645/1</t>
  </si>
  <si>
    <t>2014-11-26 15:57:38.32: Algorithm - handleTransition - currentHedgeShortfall is NOT ZERO and AUTOHEDGE IS NOT ENABLED!</t>
  </si>
  <si>
    <t>2014-11-26 15:57:38.292: DirectionIndicator - notify - price/longMA/ShortMA/prevDirection are 1.57865/1.57860739181066/1.57862596807096/1</t>
  </si>
  <si>
    <t>2014-11-26 15:57:38.293: Algorithm - handleTransition - currentHedgeShortfall is NOT ZERO and AUTOHEDGE IS NOT ENABLED!</t>
  </si>
  <si>
    <t>2014-11-26 15:57:38.415: RTWSControl  - tickOptionComputation - id:200042 tickType:13 impliedVol:8.10942469039588E-02 delta:-2.80726779984884E-02 optPrice:1.08170911038694E-04 pvDividend:0 gamma: 1.79769313486232E+308 theta/vega/undPrice: -1.46359026623201E-04-9.04766328490517E-05-1.5786</t>
  </si>
  <si>
    <t>2014-11-26 15:57:38.489: RTWSControl  - tickOptionComputation - id:200041 tickType:13 impliedVol:7.23736221390823E-02 delta:0.940427795608745 optPrice:1.38293027883447E-02 pvDividend:0 gamma: 1.79769313486232E+308 theta/vega/undPrice: -2.41017611199022E-04-1.64959191099233E-04-1.5786</t>
  </si>
  <si>
    <t>2014-11-26 15:57:38.542: RTWSControl  - tickOptionComputation - id:200043 tickType:13 impliedVol:7.23736221390823E-02 delta:-5.96847240913074E-02 optPrice:2.29497132673545E-04 pvDividend:0 gamma: 1.79769313486232E+308 theta/vega/undPrice: -2.41107466766267E-04-1.6495945452794E-04-1.5786</t>
  </si>
  <si>
    <t>2014-11-26 15:57:38.583: RTWSControl  - tickOptionComputation - id:200044 tickType:13 impliedVol:6.61637874800221E-02 delta:0.859455165208178 optPrice:9.18334459356373E-03 pvDividend:0 gamma: 1.79769313486232E+308 theta/vega/undPrice: -4.1668725197132E-04-2.97603234461742E-04-1.5786</t>
  </si>
  <si>
    <t>2014-11-26 15:57:38.624: RTWSControl  - tickOptionComputation - id:200046 tickType:13 impliedVol:6.61637874800221E-02 delta:-0.140657516493442 optPrice:5.83468152741806E-04 pvDividend:0 gamma: 1.79769313486232E+308 theta/vega/undPrice: -4.16744732197388E-04-2.97603522541573E-04-1.5786</t>
  </si>
  <si>
    <t>2014-11-26 15:57:38.666: RTWSControl  - tickOptionComputation - id:200045 tickType:13 impliedVol:6.24647429267355E-02 delta:0.68331961149366 optPrice:5.17256863746738E-03 pvDividend:0 gamma: 1.79769313486232E+308 theta/vega/undPrice: -6.27470742639625E-04-4.45348040015588E-04-1.5786</t>
  </si>
  <si>
    <t>2014-11-26 15:57:38.707: RTWSControl  - tickOptionComputation - id:200045 tickType:11 impliedVol:0.067564901481792 delta:0.670205121448912 optPrice:5.40000014007092E-03 pvDividend:0 gamma: 1.79769313486232E+308 theta/vega/undPrice: -6.89453564344204E-04-4.45347799192049E-04-1.5786</t>
  </si>
  <si>
    <t>2014-11-26 15:57:38.756: RTWSControl  - tickOptionComputation - id:200047 tickType:13 impliedVol:6.24647429267355E-02 delta:-0.316793520496806 optPrice:1.57262271103938E-03 pvDividend:0 gamma: 1.79769313486232E+308 theta/vega/undPrice: -6.27496389559838E-04-4.45348677584457E-04-1.5786</t>
  </si>
  <si>
    <t>2014-11-26 15:57:38.799: RTWSControl  - tickOptionComputation - id:200055 tickType:13 impliedVol:6.12764884792512E-02 delta:0.426477874808479 optPrice:2.3396457008314E-03 pvDividend:0 gamma: 1.79769313486232E+308 theta/vega/undPrice: -6.78100834407514E-04-4.8322563895003E-04-1.5786</t>
  </si>
  <si>
    <t>2014-11-26 15:57:38.842: RTWSControl  - tickOptionComputation - id:200055 tickType:10 impliedVol:6.04592251727092E-02 delta:0.425403964665013 optPrice:2.30000005103648E-03 pvDividend:0 gamma: 1.79769313486232E+308 theta/vega/undPrice: -6.68810304175436E-04-4.83225678542877E-04-1.5786</t>
  </si>
  <si>
    <t>2014-11-26 15:57:38.904: RTWSControl  - tickOptionComputation - id:200049 tickType:13 impliedVol:0.068921623838607 delta:0.693848198803437 optPrice:1.20117001360088E-02 pvDividend:0 gamma: 1.79769313486232E+308 theta/vega/undPrice: -3.32243665616051E-04-9.14189826075504E-04-1.5786</t>
  </si>
  <si>
    <t>2014-11-26 15:57:38.954: RTWSControl  - tickOptionComputation - id:200050 tickType:13 impliedVol:0.068921623838607 delta:-0.306221926389114 optPrice:3.4122442177032E-03 pvDividend:0 gamma: 1.79769313486232E+308 theta/vega/undPrice: -3.3230466332334E-04-9.14195382500225E-04-1.5786</t>
  </si>
  <si>
    <t>2014-11-26 15:57:38.998: RTWSControl  - tickOptionComputation - id:200052 tickType:10 impliedVol:1.79769313486232E+308 delta:1.79769313486232E+308 optPrice:1.79769313486232E+308 pvDividend:0 gamma: 1.79769313486232E+308 theta/vega/undPrice: 1.79769313486232E+308-1.79769313486232E+308-1.5786</t>
  </si>
  <si>
    <t>2014-11-26 15:57:39.34: RTWSControl  - tickOptionComputation - id:200052 tickType:11 impliedVol:1.79769313486232E+308 delta:1.79769313486232E+308 optPrice:1.79769313486232E+308 pvDividend:0 gamma: 1.79769313486232E+308 theta/vega/undPrice: 1.79769313486232E+308-1.79769313486232E+308-1.5786</t>
  </si>
  <si>
    <t>2014-11-26 15:57:39.75: RTWSControl  - tickOptionComputation - id:200048 tickType:13 impliedVol:0.083302300836527 delta:-2.93584276034769E-02 optPrice:2.41063356823438E-04 pvDividend:0 gamma: 1.79769313486232E+308 theta/vega/undPrice: -7.58633445271293E-05-1.93603772152295E-04-1.5786</t>
  </si>
  <si>
    <t>2014-11-26 15:57:39.122: RTWSControl  - tickOptionComputation - id:200053 tickType:13 impliedVol:0.063568653966021 delta:9.08354968914371E-02 optPrice:6.75366853221758E-04 pvDividend:0 gamma: 1.79769313486232E+308 theta/vega/undPrice: -1.42230429807924E-04-4.47298702630898E-04-1.5786</t>
  </si>
  <si>
    <t>2014-11-26 15:57:39.161: RTWSControl  - tickOptionComputation - id:200054 tickType:13 impliedVol:6.72433912187689E-02 delta:1.16611555627794E-03 optPrice:5.62634644089888E-06 pvDividend:0 gamma: 0.227751662271507 theta/vega/undPrice: -3.51453838834215E-06-1.90707466394838E-05-1.5786</t>
  </si>
  <si>
    <t>2014-11-26 15:57:39.202: RTWSControl  - tickOptionComputation - id:200054 tickType:10 impliedVol:1.79769313486232E+308 delta:1.79769313486232E+308 optPrice:1.79769313486232E+308 pvDividend:0 gamma: 1.79769313486232E+308 theta/vega/undPrice: 1.79769313486232E+308-1.79769313486232E+308-1.5786</t>
  </si>
  <si>
    <t>2014-11-26 15:57:39.872: DirectionIndicator - notify - price/longMA/ShortMA/prevDirection are 1.5786/1.57860604784508/1.57861731204731/1</t>
  </si>
  <si>
    <t>2014-11-26 15:57:39.873: Algorithm - handleTransition - currentHedgeShortfall is NOT ZERO and AUTOHEDGE IS NOT ENABLED!</t>
  </si>
  <si>
    <t>2014-11-26 15:57:39.989: DirectionIndicator - notify - price/longMA/ShortMA/prevDirection are 1.57865/1.57861403914598/1.57862820803154/1</t>
  </si>
  <si>
    <t>2014-11-26 15:57:39.989: Algorithm - handleTransition - currentHedgeShortfall is NOT ZERO and AUTOHEDGE IS NOT ENABLED!</t>
  </si>
  <si>
    <t>2014-11-26 15:57:40.591: RTWSControl  - tickOptionComputation - id:200052 tickType:10 impliedVol:1.79769313486232E+308 delta:1.79769313486232E+308 optPrice:1.79769313486232E+308 pvDividend:0 gamma: 1.79769313486232E+308 theta/vega/undPrice: 1.79769313486232E+308-1.79769313486232E+308-1.5786</t>
  </si>
  <si>
    <t>2014-11-26 15:57:40.619: RTWSControl  - tickOptionComputation - id:200052 tickType:11 impliedVol:1.79769313486232E+308 delta:1.79769313486232E+308 optPrice:1.79769313486232E+308 pvDividend:0 gamma: 1.79769313486232E+308 theta/vega/undPrice: 1.79769313486232E+308-1.79769313486232E+308-1.5786</t>
  </si>
  <si>
    <t>2014-11-26 15:57:40.695: RTWSControl  - tickOptionComputation - id:200054 tickType:10 impliedVol:1.79769313486232E+308 delta:1.79769313486232E+308 optPrice:1.79769313486232E+308 pvDividend:0 gamma: 1.79769313486232E+308 theta/vega/undPrice: 1.79769313486232E+308-1.79769313486232E+308-1.5786</t>
  </si>
  <si>
    <t>2014-11-26 15:57:40.877: DirectionIndicator - notify - price/longMA/ShortMA/prevDirection are 1.5786/1.57861148657398/1.57861880535436/1</t>
  </si>
  <si>
    <t>2014-11-26 15:57:40.877: Algorithm - handleTransition - currentHedgeShortfall is NOT ZERO and AUTOHEDGE IS NOT ENABLED!</t>
  </si>
  <si>
    <t>2014-11-26 15:57:40.925: DirectionIndicator - notify - price/longMA/ShortMA/prevDirection are 1.57855/1.57860030719689/1.57859587023624/1</t>
  </si>
  <si>
    <t>2014-11-26 15:57:40.926: Algorithm - handleTransition - currentHedgeShortfall is NOT ZERO and AUTOHEDGE IS NOT ENABLED!</t>
  </si>
  <si>
    <t>2014-11-26 15:57:41.946: DirectionIndicator - notify - price/longMA/ShortMA/prevDirection are 1.5786/1.57860025134291/1.57859724682416/1</t>
  </si>
  <si>
    <t>2014-11-26 15:57:41.947: Algorithm - handleTransition - currentHedgeShortfall is NOT ZERO and AUTOHEDGE IS NOT ENABLED!</t>
  </si>
  <si>
    <t>2014-11-26 15:57:41.979: DirectionIndicator - notify - price/longMA/ShortMA/prevDirection are 1.57865/1.57860929655329/1.57861483121611/1</t>
  </si>
  <si>
    <t>2014-11-26 15:57:41.980: Algorithm - handleTransition - currentHedgeShortfall is NOT ZERO and AUTOHEDGE IS NOT ENABLED!</t>
  </si>
  <si>
    <t>2014-11-26 15:57:42.414: DirectionIndicator - notify - price/longMA/ShortMA/prevDirection are 1.5786/1.57860760627088/1.5786098874774/1</t>
  </si>
  <si>
    <t>2014-11-26 15:57:42.415: Algorithm - handleTransition - currentHedgeShortfall is NOT ZERO and AUTOHEDGE IS NOT ENABLED!</t>
  </si>
  <si>
    <t>2014-11-26 15:57:42.456: DirectionIndicator - notify - price/longMA/ShortMA/prevDirection are 1.57855/1.57859713240344/1.57858992498494/1</t>
  </si>
  <si>
    <t>2014-11-26 15:57:42.456: Algorithm - handleTransition - currentHedgeShortfall is NOT ZERO and AUTOHEDGE IS NOT ENABLED!</t>
  </si>
  <si>
    <t>2014-11-26 15:57:42.948: RTWSControl  - tickOptionComputation - id:200042 tickType:13 impliedVol:8.05969396698174E-02 delta:-2.72299984982743E-02 optPrice:1.0380578668993E-04 pvDividend:0 gamma: 1.79769313486232E+308 theta/vega/undPrice: -1.41881663298437E-04-8.77751545303055E-05-1.5786</t>
  </si>
  <si>
    <t>2014-11-26 15:57:42.999: RTWSControl  - tickOptionComputation - id:200041 tickType:10 impliedVol:3.48165586037164E-02 delta:0.999473114920963 optPrice:1.36000001803041E-02 pvDividend:0 gamma: 0.42441633301851 theta/vega/undPrice: -1.66673609487636E-06-9.22723931424257E-06-1.5786</t>
  </si>
  <si>
    <t>2014-11-26 15:57:43.42: RTWSControl  - tickOptionComputation - id:200041 tickType:11 impliedVol:7.73022428918766E-02 delta:0.928674165836005 optPrice:1.38999996706843E-02 pvDividend:0 gamma: 1.79769313486232E+308 theta/vega/undPrice: -2.97565628298735E-04-2.00307503825062E-04-1.5786</t>
  </si>
  <si>
    <t>2014-11-26 15:57:43.87: RTWSControl  - tickOptionComputation - id:200041 tickType:13 impliedVol:7.18290272119191E-02 delta:0.941811716101904 optPrice:1.38214910340118E-02 pvDividend:0 gamma: 1.79769313486232E+308 theta/vega/undPrice: -2.34769255182842E-04-1.61053327096922E-04-1.5786</t>
  </si>
  <si>
    <t>2014-11-26 15:57:43.130: RTWSControl  - tickOptionComputation - id:200043 tickType:13 impliedVol:7.18290272119191E-02 delta:-5.83008025899184E-02 optPrice:2.21685372979879E-04 pvDividend:0 gamma: 1.79769313486232E+308 theta/vega/undPrice: -2.34859103736719E-04-1.61053586384152E-04-1.5786</t>
  </si>
  <si>
    <t>2014-11-26 15:57:43.174: RTWSControl  - tickOptionComputation - id:200044 tickType:13 impliedVol:6.56829392437146E-02 delta:0.861368679784782 optPrice:9.1690343863966E-03 pvDividend:0 gamma: 1.79769313486232E+308 theta/vega/undPrice: -4.10088873938037E-04-2.97603249981454E-04-1.5786</t>
  </si>
  <si>
    <t>2014-11-26 15:57:43.239: RTWSControl  - tickOptionComputation - id:200046 tickType:13 impliedVol:6.56829392437146E-02 delta:-0.138743999923649 optPrice:5.6915793173128E-04 pvDividend:0 gamma: 1.79769313486232E+308 theta/vega/undPrice: -4.10146341630519E-04-2.97603538045268E-04-1.5786</t>
  </si>
  <si>
    <t>2014-11-26 15:57:43.289: RTWSControl  - tickOptionComputation - id:200044 tickType:10 impliedVol:5.89984750369694E-02 delta:0.886392684867674 optPrice:8.99999961256981E-03 pvDividend:0 gamma: 1.79769313486232E+308 theta/vega/undPrice: -3.20331266918295E-04-2.67706232343212E-04-1.5786</t>
  </si>
  <si>
    <t>2014-11-26 15:57:43.330: RTWSControl  - tickOptionComputation - id:200045 tickType:13 impliedVol:0.062158675765204 delta:0.684169927807359 optPrice:5.15893798934646E-03 pvDividend:0 gamma: 1.79769313486232E+308 theta/vega/undPrice: -6.23751070161066E-04-4.45348054009947E-04-1.5786</t>
  </si>
  <si>
    <t>2014-11-26 15:57:43.371: RTWSControl  - tickOptionComputation - id:200047 tickType:13 impliedVol:0.062158675765204 delta:-0.315943202841092 optPrice:1.55899204343694E-03 pvDividend:0 gamma: 1.79769313486232E+308 theta/vega/undPrice: -6.23776704600967E-04-4.45348691518499E-04-1.5786</t>
  </si>
  <si>
    <t>2014-11-26 15:57:43.413: RTWSControl  - tickOptionComputation - id:200055 tickType:13 impliedVol:6.12562367763587E-02 delta:0.426452921137679 optPrice:2.3386670861433E-03 pvDividend:0 gamma: 1.79769313486232E+308 theta/vega/undPrice: -6.77870616023929E-04-4.832256399358E-04-1.5786</t>
  </si>
  <si>
    <t>2014-11-26 15:57:43.452: RTWSControl  - tickOptionComputation - id:200045 tickType:11 impliedVol:6.53216828762308E-02 delta:0.675683309527627 optPrice:5.29999984428287E-03 pvDividend:0 gamma: 1.79769313486232E+308 theta/vega/undPrice: -6.62191477129579E-04-4.45347906896092E-04-1.5786</t>
  </si>
  <si>
    <t>2014-11-26 15:57:43.500: RTWSControl  - tickOptionComputation - id:200049 tickType:13 impliedVol:6.90201609741781E-02 delta:0.693590145243537 optPrice:1.20207083217923E-02 pvDividend:0 gamma: 1.79769313486232E+308 theta/vega/undPrice: -3.32825068379336E-04-9.14189782651707E-04-1.5786</t>
  </si>
  <si>
    <t>2014-11-26 15:57:43.542: RTWSControl  - tickOptionComputation - id:200050 tickType:13 impliedVol:6.90201609741781E-02 delta:-0.306479981721773 optPrice:3.42125245823579E-03 pvDividend:0 gamma: 1.79769313486232E+308 theta/vega/undPrice: -3.32886074569677E-04-9.14195339182185E-04-1.5786</t>
  </si>
  <si>
    <t>2014-11-26 15:57:43.581: RTWSControl  - tickOptionComputation - id:200048 tickType:13 impliedVol:8.32205736681626E-02 delta:-2.92269071906054E-02 optPrice:2.39597933574119E-04 pvDividend:0 gamma: 1.79769313486232E+308 theta/vega/undPrice: -7.55078186404606E-05-1.92678253315195E-04-1.5786</t>
  </si>
  <si>
    <t>2014-11-26 15:57:43.625: RTWSControl  - tickOptionComputation - id:200055 tickType:10 impliedVol:5.83866247357291E-02 delta:0.42269077329126 optPrice:2.19999998807907E-03 pvDividend:0 gamma: 1.79769313486232E+308 theta/vega/undPrice: -6.4524927533727E-04-4.83225776803872E-04-1.5786</t>
  </si>
  <si>
    <t>2014-11-26 15:57:43.664: RTWSControl  - tickOptionComputation - id:200053 tickType:13 impliedVol:0.063612530924166 delta:9.10009469420454E-02 optPrice:6.77329468038022E-04 pvDividend:0 gamma: 1.79769313486232E+308 theta/vega/undPrice: -1.42514366475448E-04-4.47298694375627E-04-1.5786</t>
  </si>
  <si>
    <t>2014-11-26 15:57:43.704: RTWSControl  - tickOptionComputation - id:200054 tickType:13 impliedVol:6.69976835181298E-02 delta:1.11851494342314E-03 optPrice:5.36145195137865E-06 pvDividend:0 gamma: 0.219995429813722 theta/vega/undPrice: -3.37008440309721E-06-1.87175568080349E-05-1.5786</t>
  </si>
  <si>
    <t>2014-11-26 15:57:43.745: RTWSControl  - tickOptionComputation - id:200049 tickType:10 impliedVol:6.76997817025657E-02 delta:0.69702298300729 optPrice:1.19000002741814E-02 pvDividend:0 gamma: 1.79769313486232E+308 theta/vega/undPrice: -3.25034374053602E-04-9.14190360620005E-04-1.5786</t>
  </si>
  <si>
    <t>2014-11-26 15:57:43.790: RTWSControl  - tickOptionComputation - id:200050 tickType:11 impliedVol:7.09754010586199E-02 delta:-0.311411304632872 optPrice:3.59999993816018E-03 pvDividend:0 gamma: 1.79769313486232E+308 theta/vega/undPrice: -3.4442281337682E-04-9.1419447227141E-04-1.5786</t>
  </si>
  <si>
    <t>2014-11-26 15:57:43.838: RTWSControl  - tickOptionComputation - id:200052 tickType:10 impliedVol:1.79769313486232E+308 delta:1.79769313486232E+308 optPrice:1.79769313486232E+308 pvDividend:0 gamma: 1.79769313486232E+308 theta/vega/undPrice: 1.79769313486232E+308-1.79769313486232E+308-1.5786</t>
  </si>
  <si>
    <t>2014-11-26 15:57:43.869: RTWSControl  - tickOptionComputation - id:200052 tickType:11 impliedVol:1.79769313486232E+308 delta:1.79769313486232E+308 optPrice:1.79769313486232E+308 pvDividend:0 gamma: 1.79769313486232E+308 theta/vega/undPrice: 1.79769313486232E+308-1.79769313486232E+308-1.5786</t>
  </si>
  <si>
    <t>2014-11-26 15:57:43.911: RTWSControl  - tickOptionComputation - id:200054 tickType:10 impliedVol:1.79769313486232E+308 delta:1.79769313486232E+308 optPrice:1.79769313486232E+308 pvDividend:0 gamma: 1.79769313486232E+308 theta/vega/undPrice: 1.79769313486232E+308-1.79769313486232E+308-1.5786</t>
  </si>
  <si>
    <t>2014-11-26 15:57:44.74: DirectionIndicator - notify - price/longMA/ShortMA/prevDirection are 1.5786/1.57859765378464/1.57859328332329/1</t>
  </si>
  <si>
    <t>2014-11-26 15:57:44.74: Algorithm - handleTransition - currentHedgeShortfall is NOT ZERO and AUTOHEDGE IS NOT ENABLED!</t>
  </si>
  <si>
    <t>2014-11-26 15:57:44.115: DirectionIndicator - notify - price/longMA/ShortMA/prevDirection are 1.57865/1.57860717127834/1.57861218888219/1</t>
  </si>
  <si>
    <t>2014-11-26 15:57:44.116: Algorithm - handleTransition - currentHedgeShortfall is NOT ZERO and AUTOHEDGE IS NOT ENABLED!</t>
  </si>
  <si>
    <t>2014-11-26 15:57:44.745: RTWSControl  - tickOptionComputation - id:200041 tickType:10 impliedVol:6.16002344782396E-02 delta:0.966531506329891 optPrice:1.37000000104308E-02 pvDividend:0 gamma: 1.79769313486232E+308 theta/vega/undPrice: -1.28569808246151E-04-1.18209179712102E-04-1.5786</t>
  </si>
  <si>
    <t>2014-11-26 15:57:44.798: RTWSControl  - tickOptionComputation - id:200041 tickType:11 impliedVol:8.26403258935019E-02 delta:0.914353601714586 optPrice:1.40000004321337E-02 pvDividend:0 gamma: 1.79769313486232E+308 theta/vega/undPrice: -3.64323508403385E-04-2.1516192914189E-04-1.5786</t>
  </si>
  <si>
    <t>2014-11-26 15:57:44.863: RTWSControl  - tickOptionComputation - id:200044 tickType:10 impliedVol:6.33632748507604E-02 delta:0.87089852539901 optPrice:9.10000037401915E-03 pvDividend:0 gamma: 1.79769313486232E+308 theta/vega/undPrice: -3.7825756891836E-04-2.97603324771552E-04-1.5786</t>
  </si>
  <si>
    <t>2014-11-26 15:57:44.914: RTWSControl  - tickOptionComputation - id:200045 tickType:11 impliedVol:0.067564901481792 delta:0.670205121448912 optPrice:5.40000014007092E-03 pvDividend:0 gamma: 1.79769313486232E+308 theta/vega/undPrice: -6.89453564344204E-04-4.45347799192049E-04-1.5786</t>
  </si>
  <si>
    <t>2014-11-26 15:57:44.959: RTWSControl  - tickOptionComputation - id:200055 tickType:10 impliedVol:6.04592251727092E-02 delta:0.425403964665013 optPrice:2.30000005103648E-03 pvDividend:0 gamma: 1.79769313486232E+308 theta/vega/undPrice: -6.68810304175436E-04-4.83225678542877E-04-1.5786</t>
  </si>
  <si>
    <t>2014-11-26 15:57:44.999: RTWSControl  - tickOptionComputation - id:200050 tickType:11 impliedVol:6.98815466719769E-02 delta:-0.308665475867978 optPrice:3.50000010803342E-03 pvDividend:0 gamma: 1.79769313486232E+308 theta/vega/undPrice: -3.37968615752795E-04-9.14194958512625E-04-1.5786</t>
  </si>
  <si>
    <t>2014-11-26 15:57:45.43: RTWSControl  - tickOptionComputation - id:200052 tickType:10 impliedVol:1.79769313486232E+308 delta:1.79769313486232E+308 optPrice:1.79769313486232E+308 pvDividend:0 gamma: 1.79769313486232E+308 theta/vega/undPrice: 1.79769313486232E+308-1.79769313486232E+308-1.5786</t>
  </si>
  <si>
    <t>2014-11-26 15:57:45.78: RTWSControl  - tickOptionComputation - id:200052 tickType:11 impliedVol:1.79769313486232E+308 delta:1.79769313486232E+308 optPrice:1.79769313486232E+308 pvDividend:0 gamma: 1.79769313486232E+308 theta/vega/undPrice: 1.79769313486232E+308-1.79769313486232E+308-1.5786</t>
  </si>
  <si>
    <t>2014-11-26 15:57:45.128: RTWSControl  - tickOptionComputation - id:200054 tickType:10 impliedVol:1.79769313486232E+308 delta:1.79769313486232E+308 optPrice:1.79769313486232E+308 pvDividend:0 gamma: 1.79769313486232E+308 theta/vega/undPrice: 1.79769313486232E+308-1.79769313486232E+308-1.5786</t>
  </si>
  <si>
    <t>2014-11-26 15:57:45.282: DirectionIndicator - notify - price/longMA/ShortMA/prevDirection are 1.5786/1.57860586740955/1.57860812592146/1</t>
  </si>
  <si>
    <t>2014-11-26 15:57:45.283: Algorithm - handleTransition - currentHedgeShortfall is NOT ZERO and AUTOHEDGE IS NOT ENABLED!</t>
  </si>
  <si>
    <t>2014-11-26 15:57:45.324: DirectionIndicator - notify - price/longMA/ShortMA/prevDirection are 1.57855/1.57859570969872/1.57858875061431/1</t>
  </si>
  <si>
    <t>2014-11-26 15:57:45.325: Algorithm - handleTransition - currentHedgeShortfall is NOT ZERO and AUTOHEDGE IS NOT ENABLED!</t>
  </si>
  <si>
    <t>2014-11-26 15:57:46.324: RTWSControl  - tickOptionComputation - id:200042 tickType:13 impliedVol:8.04685323824685E-02 delta:-2.70107196178953E-02 optPrice:1.02678689068922E-04 pvDividend:0 gamma: 1.79769313486232E+308 theta/vega/undPrice: -1.40725584977166E-04-8.77751525594758E-05-1.5786</t>
  </si>
  <si>
    <t>2014-11-26 15:57:46.405: RTWSControl  - tickOptionComputation - id:200041 tickType:13 impliedVol:7.17235587472658E-02 delta:0.94208216526481 optPrice:1.38199781778958E-02 pvDividend:0 gamma: 1.79769313486232E+308 theta/vega/undPrice: -2.335591731219E-04-1.6029690157052E-04-1.5786</t>
  </si>
  <si>
    <t>2014-11-26 15:57:46.497: RTWSControl  - tickOptionComputation - id:200041 tickType:10 impliedVol:3.48165586037164E-02 delta:0.999473114920963 optPrice:1.36000001803041E-02 pvDividend:0 gamma: 0.42441633301851 theta/vega/undPrice: -1.66673609487636E-06-9.22723931424257E-06-1.5786</t>
  </si>
  <si>
    <t>2014-11-26 15:57:46.574: RTWSControl  - tickOptionComputation - id:200041 tickType:11 impliedVol:7.73022428918766E-02 delta:0.928674165836005 optPrice:1.38999996706843E-02 pvDividend:0 gamma: 1.79769313486232E+308 theta/vega/undPrice: -2.97565628298735E-04-2.00307503825062E-04-1.5786</t>
  </si>
  <si>
    <t>2014-11-26 15:57:46.625: RTWSControl  - tickOptionComputation - id:200043 tickType:13 impliedVol:7.17235587472658E-02 delta:-5.80303532300131E-02 optPrice:2.20172515828324E-04 pvDividend:0 gamma: 1.79769313486232E+308 theta/vega/undPrice: -2.33649020318726E-04-1.60297160052287E-04-1.5786</t>
  </si>
  <si>
    <t>2014-11-26 15:57:46.667: RTWSControl  - tickOptionComputation - id:200044 tickType:13 impliedVol:6.56694154541242E-02 delta:0.861422903223872 optPrice:9.16863191380406E-03 pvDividend:0 gamma: 1.79769313486232E+308 theta/vega/undPrice: -4.09903295466448E-04-2.9760325041958E-04-1.5786</t>
  </si>
  <si>
    <t>2014-11-26 15:57:46.709: RTWSControl  - tickOptionComputation - id:200044 tickType:10 impliedVol:5.89984750369694E-02 delta:0.886392684867674 optPrice:8.99999961256981E-03 pvDividend:0 gamma: 1.79769313486232E+308 theta/vega/undPrice: -3.20331266918295E-04-2.67706232343212E-04-1.5786</t>
  </si>
  <si>
    <t>2014-11-26 15:57:46.750: RTWSControl  - tickOptionComputation - id:200046 tickType:13 impliedVol:6.56694154541242E-02 delta:-0.138689776428112 optPrice:5.68755458750382E-04 pvDividend:0 gamma: 1.79769313486232E+308 theta/vega/undPrice: -4.09960762806859E-04-2.97603538480859E-04-1.5786</t>
  </si>
  <si>
    <t>2014-11-26 15:57:46.792: RTWSControl  - tickOptionComputation - id:200045 tickType:13 impliedVol:6.23061025030722E-02 delta:0.683759298438987 optPrice:5.16550361367847E-03 pvDividend:0 gamma: 1.79769313486232E+308 theta/vega/undPrice: -6.2554276577324E-04-4.45348047274241E-04-1.5786</t>
  </si>
  <si>
    <t>2014-11-26 15:57:46.835: RTWSControl  - tickOptionComputation - id:200045 tickType:11 impliedVol:6.53216828762308E-02 delta:0.675683309527627 optPrice:5.29999984428287E-03 pvDividend:0 gamma: 1.79769313486232E+308 theta/vega/undPrice: -6.62191477129579E-04-4.45347906896092E-04-1.5786</t>
  </si>
  <si>
    <t>2014-11-26 15:57:46.880: RTWSControl  - tickOptionComputation - id:200047 tickType:13 impliedVol:6.23061025030722E-02 delta:-0.316353832857589 optPrice:1.56555767715191E-03 pvDividend:0 gamma: 1.79769313486232E+308 theta/vega/undPrice: -6.25568406224261E-04-4.45348684813497E-04-1.5786</t>
  </si>
  <si>
    <t>2014-11-26 15:57:46.923: RTWSControl  - tickOptionComputation - id:200055 tickType:13 impliedVol:0.061633619894053 delta:0.42691526276208 optPrice:2.35690321464405E-03 pvDividend:0 gamma: 1.79769313486232E+308 theta/vega/undPrice: -6.82160651676785E-04-4.83225621496632E-04-1.5786</t>
  </si>
  <si>
    <t>2014-11-26 15:57:46.964: RTWSControl  - tickOptionComputation - id:200055 tickType:10 impliedVol:5.83866247357291E-02 delta:0.42269077329126 optPrice:2.19999998807907E-03 pvDividend:0 gamma: 1.79769313486232E+308 theta/vega/undPrice: -6.4524927533727E-04-4.83225776803872E-04-1.5786</t>
  </si>
  <si>
    <t>2014-11-26 15:57:47.29: RTWSControl  - tickOptionComputation - id:200049 tickType:13 impliedVol:6.90261970105617E-02 delta:0.693574362008396 optPrice:1.20212601313773E-02 pvDividend:0 gamma: 1.79769313486232E+308 theta/vega/undPrice: -3.32860683053983E-04-9.14189779990297E-04-1.5786</t>
  </si>
  <si>
    <t>2014-11-26 15:57:47.80: RTWSControl  - tickOptionComputation - id:200050 tickType:13 impliedVol:6.90261970105617E-02 delta:-0.306495765065356 optPrice:3.42180427117357E-03 pvDividend:0 gamma: 1.79769313486232E+308 theta/vega/undPrice: -3.32921689763847E-04-9.14195336527724E-04-1.5786</t>
  </si>
  <si>
    <t>2014-11-26 15:57:47.120: RTWSControl  - tickOptionComputation - id:200050 tickType:11 impliedVol:7.09754010586199E-02 delta:-0.311411304632872 optPrice:3.59999993816018E-03 pvDividend:0 gamma: 1.79769313486232E+308 theta/vega/undPrice: -3.4442281337682E-04-9.1419447227141E-04-1.5786</t>
  </si>
  <si>
    <t>2014-11-26 15:57:47.166: RTWSControl  - tickOptionComputation - id:200052 tickType:10 impliedVol:1.79769313486232E+308 delta:1.79769313486232E+308 optPrice:1.79769313486232E+308 pvDividend:0 gamma: 1.79769313486232E+308 theta/vega/undPrice: 1.79769313486232E+308-1.79769313486232E+308-1.5786</t>
  </si>
  <si>
    <t>2014-11-26 15:57:47.201: RTWSControl  - tickOptionComputation - id:200052 tickType:11 impliedVol:1.79769313486232E+308 delta:1.79769313486232E+308 optPrice:1.79769313486232E+308 pvDividend:0 gamma: 1.79769313486232E+308 theta/vega/undPrice: 1.79769313486232E+308-1.79769313486232E+308-1.5786</t>
  </si>
  <si>
    <t>2014-11-26 15:57:47.243: RTWSControl  - tickOptionComputation - id:200048 tickType:13 impliedVol:8.32316802950075E-02 delta:-2.92447958804829E-02 optPrice:2.39797082888228E-04 pvDividend:0 gamma: 1.79769313486232E+308 theta/vega/undPrice: -7.5556134195056E-05-1.92804030249643E-04-1.5786</t>
  </si>
  <si>
    <t>2014-11-26 15:57:47.289: RTWSControl  - tickOptionComputation - id:200053 tickType:13 impliedVol:6.36106206992313E-02 delta:0.090993748651759 optPrice:6.77244023743907E-04 pvDividend:0 gamma: 1.79769313486232E+308 theta/vega/undPrice: -1.42502005023899E-04-4.47298694734577E-04-1.5786</t>
  </si>
  <si>
    <t>2014-11-26 15:57:47.329: RTWSControl  - tickOptionComputation - id:200054 tickType:13 impliedVol:6.69849513610234E-02 delta:0.00111603886035 optPrice:5.34772556649046E-06 pvDividend:0 gamma: 0.219590246304976 theta/vega/undPrice: -3.36259904158232E-06-1.86992551080244E-05-1.5786</t>
  </si>
  <si>
    <t>2014-11-26 15:57:47.370: RTWSControl  - tickOptionComputation - id:200054 tickType:10 impliedVol:1.79769313486232E+308 delta:1.79769313486232E+308 optPrice:1.79769313486232E+308 pvDividend:0 gamma: 1.79769313486232E+308 theta/vega/undPrice: 1.79769313486232E+308-1.79769313486232E+308-1.5786</t>
  </si>
  <si>
    <t>2014-11-26 15:57:48.741: RTWSControl  - tickOptionComputation - id:200041 tickType:10 impliedVol:1.79769313486232E+308 delta:1.79769313486232E+308 optPrice:1.35000003501773E-02 pvDividend:0 gamma: 1.79769313486232E+308 theta/vega/undPrice: 1.79769313486232E+308-1.79769313486232E+308-1.5786</t>
  </si>
  <si>
    <t>2014-11-26 15:57:48.790: RTWSControl  - tickOptionComputation - id:200044 tickType:11 impliedVol:7.00908515568869E-02 delta:0.844705909418489 optPrice:9.30000003427267E-03 pvDividend:0 gamma: 1.79769313486232E+308 theta/vega/undPrice: -4.70575859058578E-04-2.97603107590085E-04-1.5786</t>
  </si>
  <si>
    <t>2014-11-26 15:57:48.837: RTWSControl  - tickOptionComputation - id:200045 tickType:10 impliedVol:5.85898268063864E-02 delta:0.694656151265431 optPrice:4.99999988824129E-03 pvDividend:0 gamma: 1.79769313486232E+308 theta/vega/undPrice: -5.80378382048843E-04-4.4534821332432E-04-1.5786</t>
  </si>
  <si>
    <t>2014-11-26 15:57:48.880: RTWSControl  - tickOptionComputation - id:200047 tickType:10 impliedVol:6.30737783857496E-02 delta:-0.318420612552952 optPrice:1.5999999595806E-03 pvDividend:0 gamma: 1.79769313486232E+308 theta/vega/undPrice: -6.34898097623004E-04-4.45348649702131E-04-1.5786</t>
  </si>
  <si>
    <t>2014-11-26 15:57:48.923: RTWSControl  - tickOptionComputation - id:200049 tickType:11 impliedVol:6.98875021151366E-02 delta:0.691263050322065 optPrice:1.20999999344349E-02 pvDividend:0 gamma: 1.79769313486232E+308 theta/vega/undPrice: -3.37942674519121E-04-9.14189398417477E-04-1.5786</t>
  </si>
  <si>
    <t>2014-11-26 15:57:48.989: RTWSControl  - tickOptionComputation - id:200052 tickType:10 impliedVol:1.79769313486232E+308 delta:1.79769313486232E+308 optPrice:1.79769313486232E+308 pvDividend:0 gamma: 1.79769313486232E+308 theta/vega/undPrice: 1.79769313486232E+308-1.79769313486232E+308-1.5786</t>
  </si>
  <si>
    <t>2014-11-26 15:57:49.8: RTWSControl  - tickOptionComputation - id:200052 tickType:11 impliedVol:1.79769313486232E+308 delta:1.79769313486232E+308 optPrice:1.79769313486232E+308 pvDividend:0 gamma: 1.79769313486232E+308 theta/vega/undPrice: 1.79769313486232E+308-1.79769313486232E+308-1.5786</t>
  </si>
  <si>
    <t>2014-11-26 15:57:49.67: RTWSControl  - tickOptionComputation - id:200054 tickType:10 impliedVol:1.79769313486232E+308 delta:1.79769313486232E+308 optPrice:1.79769313486232E+308 pvDividend:0 gamma: 1.79769313486232E+308 theta/vega/undPrice: 1.79769313486232E+308-1.79769313486232E+308-1.5786</t>
  </si>
  <si>
    <t>2014-11-26 15:57:50.408: RTWSControl  - tickOptionComputation - id:200042 tickType:13 impliedVol:8.04167995668763E-02 delta:-2.69221781736406E-02 optPrice:1.0222460320433E-04 pvDividend:0 gamma: 1.79769313486232E+308 theta/vega/undPrice: -1.40259823346108E-04-8.77751529863086E-05-1.5786</t>
  </si>
  <si>
    <t>2014-11-26 15:57:50.490: RTWSControl  - tickOptionComputation - id:200041 tickType:13 impliedVol:7.15661160333809E-02 delta:0.942487376001846 optPrice:0.013817719795009 pvDividend:0 gamma: 1.79769313486232E+308 theta/vega/undPrice: -2.31752769583417E-04-1.59167713887701E-04-1.5786</t>
  </si>
  <si>
    <t>2014-11-26 15:57:50.538: RTWSControl  - tickOptionComputation - id:200041 tickType:10 impliedVol:3.48165586037164E-02 delta:0.999473114920963 optPrice:1.36000001803041E-02 pvDividend:0 gamma: 0.42441633301851 theta/vega/undPrice: -1.66673609487636E-06-9.22723931424257E-06-1.5786</t>
  </si>
  <si>
    <t>2014-11-26 15:57:50.580: RTWSControl  - tickOptionComputation - id:200041 tickType:11 impliedVol:8.26403258935019E-02 delta:0.914353601714586 optPrice:1.40000004321337E-02 pvDividend:0 gamma: 1.79769313486232E+308 theta/vega/undPrice: -3.64323508403385E-04-2.1516192914189E-04-1.5786</t>
  </si>
  <si>
    <t>2014-11-26 15:57:50.625: RTWSControl  - tickOptionComputation - id:200043 tickType:13 impliedVol:7.15661160333809E-02 delta:-5.76251421976655E-02 optPrice:2.17914131390983E-04 pvDividend:0 gamma: 1.79769313486232E+308 theta/vega/undPrice: -2.31842614752335E-04-1.59167971171484E-04-1.5786</t>
  </si>
  <si>
    <t>2014-11-26 15:57:50.667: RTWSControl  - tickOptionComputation - id:200044 tickType:13 impliedVol:0.065462077784133 delta:0.862257031991047 optPrice:9.16246147394259E-03 pvDividend:0 gamma: 1.79769313486232E+308 theta/vega/undPrice: -4.07058130771783E-04-2.9760325710731E-04-1.5786</t>
  </si>
  <si>
    <t>2014-11-26 15:57:50.709: RTWSControl  - tickOptionComputation - id:200044 tickType:11 impliedVol:7.34437899548687E-02 delta:0.83344792157128 optPrice:9.39999986439943E-03 pvDividend:0 gamma: 1.79769313486232E+308 theta/vega/undPrice: -5.16586069116685E-04-2.97602999049813E-04-1.5786</t>
  </si>
  <si>
    <t>2014-11-26 15:57:50.749: RTWSControl  - tickOptionComputation - id:200046 tickType:13 impliedVol:0.065462077784133 delta:-0.137855646791956 optPrice:5.62585012916358E-04 pvDividend:0 gamma: 1.79769313486232E+308 theta/vega/undPrice: -4.07115592706196E-04-2.97603545165892E-04-1.5786</t>
  </si>
  <si>
    <t>2014-11-26 15:57:50.792: RTWSControl  - tickOptionComputation - id:200045 tickType:13 impliedVol:6.21046848191327E-02 delta:0.684320799591887 optPrice:5.15653351185855E-03 pvDividend:0 gamma: 1.79769313486232E+308 theta/vega/undPrice: -6.2309491141493E-04-4.45348056471154E-04-1.5786</t>
  </si>
  <si>
    <t>2014-11-26 15:57:50.834: RTWSControl  - tickOptionComputation - id:200045 tickType:10 impliedVol:6.08352665566478E-02 delta:0.687858634793024 optPrice:5.10000018402934E-03 pvDividend:0 gamma: 1.79769313486232E+308 theta/vega/undPrice: -6.07667509360372E-04-4.45348113911401E-04-1.5786</t>
  </si>
  <si>
    <t>2014-11-26 15:57:50.880: RTWSControl  - tickOptionComputation - id:200047 tickType:13 impliedVol:6.21046848191327E-02 delta:-0.315792330818447 optPrice:1.55658756250995E-03 pvDividend:0 gamma: 1.79769313486232E+308 theta/vega/undPrice: -6.2312054365218E-04-4.45348693970291E-04-1.5786</t>
  </si>
  <si>
    <t>2014-11-26 15:57:50.921: RTWSControl  - tickOptionComputation - id:200047 tickType:10 impliedVol:0.060834050853084 delta:-0.312124509398048 optPrice:1.50000001303852E-03 pvDividend:0 gamma: 1.79769313486232E+308 theta/vega/undPrice: -6.07678315179284E-04-4.45348751222258E-04-1.5786</t>
  </si>
  <si>
    <t>2014-11-26 15:57:50.965: RTWSControl  - tickOptionComputation - id:200055 tickType:13 impliedVol:6.14939371384082E-02 delta:0.426744787100256 optPrice:2.35015338262064E-03 pvDividend:0 gamma: 1.79769313486232E+308 theta/vega/undPrice: -6.80572758751637E-04-4.83225628334157E-04-1.5786</t>
  </si>
  <si>
    <t>2014-11-26 15:57:51.29: RTWSControl  - tickOptionComputation - id:200049 tickType:13 impliedVol:6.88586932915314E-02 delta:0.694013394933764 optPrice:1.20059470757322E-02 pvDividend:0 gamma: 1.79769313486232E+308 theta/vega/undPrice: -3.31872353854092E-04-9.14189853781515E-04-1.5786</t>
  </si>
  <si>
    <t>2014-11-26 15:57:51.79: RTWSControl  - tickOptionComputation - id:200049 tickType:11 impliedVol:7.09813631638431E-02 delta:0.688517693666372 optPrice:1.21999997645617E-02 pvDividend:0 gamma: 1.79769313486232E+308 theta/vega/undPrice: -3.4439681723812E-04-9.14188908657063E-04-1.5786</t>
  </si>
  <si>
    <t>2014-11-26 15:57:51.120: RTWSControl  - tickOptionComputation - id:200050 tickType:13 impliedVol:6.88586932915314E-02 delta:-0.306056729123959 optPrice:3.40649112246295E-03 pvDividend:0 gamma: 1.79769313486232E+308 theta/vega/undPrice: -3.3193334614389E-04-9.14195410140301E-04-1.5786</t>
  </si>
  <si>
    <t>2014-11-26 15:57:51.166: RTWSControl  - tickOptionComputation - id:200052 tickType:10 impliedVol:1.79769313486232E+308 delta:1.79769313486232E+308 optPrice:1.79769313486232E+308 pvDividend:0 gamma: 1.79769313486232E+308 theta/vega/undPrice: 1.79769313486232E+308-1.79769313486232E+308-1.5786</t>
  </si>
  <si>
    <t>2014-11-26 15:57:51.200: RTWSControl  - tickOptionComputation - id:200052 tickType:11 impliedVol:1.79769313486232E+308 delta:1.79769313486232E+308 optPrice:1.79769313486232E+308 pvDividend:0 gamma: 1.79769313486232E+308 theta/vega/undPrice: 1.79769313486232E+308-1.79769313486232E+308-1.5786</t>
  </si>
  <si>
    <t>2014-11-26 15:57:51.242: RTWSControl  - tickOptionComputation - id:200048 tickType:13 impliedVol:8.33686553833353E-02 delta:-2.94650191003931E-02 optPrice:2.42253138549899E-04 pvDividend:0 gamma: 1.79769313486232E+308 theta/vega/undPrice: -7.61519971035996E-05-1.94355203776057E-04-1.5786</t>
  </si>
  <si>
    <t>2014-11-26 15:57:51.289: RTWSControl  - tickOptionComputation - id:200053 tickType:13 impliedVol:6.35395690696132E-02 delta:9.07256988839374E-02 optPrice:6.74065886793014E-04 pvDividend:0 gamma: 1.79769313486232E+308 theta/vega/undPrice: -1.4204221555766E-04-4.47298708104283E-04-1.5786</t>
  </si>
  <si>
    <t>2014-11-26 15:57:51.327: RTWSControl  - tickOptionComputation - id:200054 tickType:13 impliedVol:6.74112827175861E-02 delta:1.19844173444497E-03 optPrice:5.80734820992169E-06 pvDividend:0 gamma: 0.232983162687831 theta/vega/undPrice: -3.61324344843532E-06-1.93120804101539E-05-1.5786</t>
  </si>
  <si>
    <t>2014-11-26 15:57:51.370: RTWSControl  - tickOptionComputation - id:200054 tickType:10 impliedVol:1.79769313486232E+308 delta:1.79769313486232E+308 optPrice:1.79769313486232E+308 pvDividend:0 gamma: 1.79769313486232E+308 theta/vega/undPrice: 1.79769313486232E+308-1.79769313486232E+308-1.5786</t>
  </si>
  <si>
    <t>2014-11-26 15:57:52.30: TransitionLogger - flushFile - flushing file</t>
  </si>
  <si>
    <t>2014-11-26 15:57:52.30: TransitionLogger - openTransitionFile - opening file C:\temp\transitionlog_2014-11-26_155023</t>
  </si>
  <si>
    <t>2014-11-26 15:57:52.643: RTWSControl  - tickOptionComputation - id:200052 tickType:10 impliedVol:1.79769313486232E+308 delta:1.79769313486232E+308 optPrice:1.79769313486232E+308 pvDividend:0 gamma: 1.79769313486232E+308 theta/vega/undPrice: 1.79769313486232E+308-1.79769313486232E+308-1.5786</t>
  </si>
  <si>
    <t>2014-11-26 15:57:52.677: RTWSControl  - tickOptionComputation - id:200052 tickType:11 impliedVol:1.79769313486232E+308 delta:1.79769313486232E+308 optPrice:1.79769313486232E+308 pvDividend:0 gamma: 1.79769313486232E+308 theta/vega/undPrice: 1.79769313486232E+308-1.79769313486232E+308-1.5786</t>
  </si>
  <si>
    <t>2014-11-26 15:57:52.733: RTWSControl  - tickOptionComputation - id:200054 tickType:10 impliedVol:1.79769313486232E+308 delta:1.79769313486232E+308 optPrice:1.79769313486232E+308 pvDividend:0 gamma: 1.79769313486232E+308 theta/vega/undPrice: 1.79769313486232E+308-1.79769313486232E+308-1.5786</t>
  </si>
  <si>
    <t>2014-11-26 15:57:53.488: DirectionIndicator - notify - price/longMA/ShortMA/prevDirection are 1.5786/1.5785964897535/1.57859250040954/1</t>
  </si>
  <si>
    <t>2014-11-26 15:57:53.495: Algorithm - handleTransition - currentHedgeShortfall is NOT ZERO and AUTOHEDGE IS NOT ENABLED!</t>
  </si>
  <si>
    <t>2014-11-26 15:57:53.571: DirectionIndicator - notify - price/longMA/ShortMA/prevDirection are 1.57865/1.57860621888923/1.57861166693969/1</t>
  </si>
  <si>
    <t>2014-11-26 15:57:53.572: Algorithm - handleTransition - currentHedgeShortfall is NOT ZERO and AUTOHEDGE IS NOT ENABLED!</t>
  </si>
  <si>
    <t>2014-11-26 15:57:54.244: DirectionIndicator - notify - price/longMA/ShortMA/prevDirection are 1.5786/1.5786050881821/1.5786077779598/1</t>
  </si>
  <si>
    <t>2014-11-26 15:57:54.245: Algorithm - handleTransition - currentHedgeShortfall is NOT ZERO and AUTOHEDGE IS NOT ENABLED!</t>
  </si>
  <si>
    <t>2014-11-26 15:57:54.541: RTWSControl  - tickOptionComputation - id:200042 tickType:13 impliedVol:8.10606806299603E-02 delta:-2.80161263877777E-02 optPrice:1.07876282396236E-04 pvDividend:0 gamma: 1.79769313486232E+308 theta/vega/undPrice: -1.4605682229688E-04-9.02905521351132E-05-1.5786</t>
  </si>
  <si>
    <t>2014-11-26 15:57:54.615: RTWSControl  - tickOptionComputation - id:200041 tickType:10 impliedVol:6.16002344782396E-02 delta:0.966531506329891 optPrice:1.37000000104308E-02 pvDividend:0 gamma: 1.79769313486232E+308 theta/vega/undPrice: -1.28569808246151E-04-1.18209179712102E-04-1.5786</t>
  </si>
  <si>
    <t>2014-11-26 15:57:54.667: RTWSControl  - tickOptionComputation - id:200041 tickType:13 impliedVol:7.23074118697582E-02 delta:0.940594933488272 optPrice:1.38283530579671E-02 pvDividend:0 gamma: 1.79769313486232E+308 theta/vega/undPrice: -2.40257954253963E-04-1.64484327522457E-04-1.5786</t>
  </si>
  <si>
    <t>2014-11-26 15:57:54.708: RTWSControl  - tickOptionComputation - id:200043 tickType:13 impliedVol:7.23074118697582E-02 delta:-5.95175860900534E-02 optPrice:2.28547401646067E-04 pvDividend:0 gamma: 1.79769313486232E+308 theta/vega/undPrice: -2.4034780896945E-04-1.64484590447458E-04-1.5786</t>
  </si>
  <si>
    <t>2014-11-26 15:57:54.750: RTWSControl  - tickOptionComputation - id:200044 tickType:10 impliedVol:6.33632748507604E-02 delta:0.87089852539901 optPrice:9.10000037401915E-03 pvDividend:0 gamma: 1.79769313486232E+308 theta/vega/undPrice: -3.7825756891836E-04-2.97603324771552E-04-1.5786</t>
  </si>
  <si>
    <t>2014-11-26 15:57:54.791: RTWSControl  - tickOptionComputation - id:200044 tickType:13 impliedVol:6.60788632798841E-02 delta:0.859791087648837 optPrice:9.18081722051853E-03 pvDividend:0 gamma: 1.79769313486232E+308 theta/vega/undPrice: -4.15521890612247E-04-2.97603237204401E-04-1.5786</t>
  </si>
  <si>
    <t>2014-11-26 15:57:54.834: RTWSControl  - tickOptionComputation - id:200046 tickType:13 impliedVol:6.60788632798841E-02 delta:-0.140321593702862 optPrice:5.80940777251071E-04 pvDividend:0 gamma: 1.79769313486232E+308 theta/vega/undPrice: -4.15579368624405E-04-2.97603525279708E-04-1.5786</t>
  </si>
  <si>
    <t>2014-11-26 15:57:54.879: RTWSControl  - tickOptionComputation - id:200045 tickType:13 impliedVol:6.23750348603664E-02 delta:0.683567969715943 optPrice:5.16857350428197E-03 pvDividend:0 gamma: 1.79769313486232E+308 theta/vega/undPrice: -6.26380509322518E-04-4.45348044124616E-04-1.5786</t>
  </si>
  <si>
    <t>2014-11-26 15:57:54.923: RTWSControl  - tickOptionComputation - id:200047 tickType:13 impliedVol:6.23750348603664E-02 delta:-0.316545161882656 optPrice:1.56862757214609E-03 pvDividend:0 gamma: 1.79769313486232E+308 theta/vega/undPrice: -6.26406152585778E-04-4.45348681673089E-04-1.5786</t>
  </si>
  <si>
    <t>2014-11-26 15:57:54.965: RTWSControl  - tickOptionComputation - id:200055 tickType:10 impliedVol:6.04592251727092E-02 delta:0.425403964665013 optPrice:2.30000005103648E-03 pvDividend:0 gamma: 1.79769313486232E+308 theta/vega/undPrice: -6.68810304175436E-04-4.83225678542877E-04-1.5786</t>
  </si>
  <si>
    <t>2014-11-26 15:57:55.30: RTWSControl  - tickOptionComputation - id:200055 tickType:13 impliedVol:6.11959266111768E-02 delta:0.426378511759236 optPrice:2.33575274288532E-03 pvDividend:0 gamma: 1.79769313486232E+308 theta/vega/undPrice: -6.77185018915883E-04-4.83225642873851E-04-1.5786</t>
  </si>
  <si>
    <t>2014-11-26 15:57:55.77: RTWSControl  - tickOptionComputation - id:200049 tickType:10 impliedVol:6.87936426639611E-02 delta:0.694096717147794 optPrice:1.20000001043081E-02 pvDividend:0 gamma: 1.79769313486232E+308 theta/vega/undPrice: -3.31488532863149E-04-9.14189882402541E-04-1.5786</t>
  </si>
  <si>
    <t>2014-11-26 15:57:55.121: RTWSControl  - tickOptionComputation - id:200049 tickType:13 impliedVol:0.068921623838607 delta:0.693848198803437 optPrice:1.20117001360088E-02 pvDividend:0 gamma: 1.79769313486232E+308 theta/vega/undPrice: -3.32243665616051E-04-9.14189826075504E-04-1.5786</t>
  </si>
  <si>
    <t>2014-11-26 15:57:55.163: RTWSControl  - tickOptionComputation - id:200050 tickType:11 impliedVol:6.98815466719769E-02 delta:-0.308665475867978 optPrice:3.50000010803342E-03 pvDividend:0 gamma: 1.79769313486232E+308 theta/vega/undPrice: -3.37968615752795E-04-9.14194958512625E-04-1.5786</t>
  </si>
  <si>
    <t>2014-11-26 15:57:55.203: RTWSControl  - tickOptionComputation - id:200050 tickType:13 impliedVol:0.068921623838607 delta:-0.306221926389114 optPrice:3.4122442177032E-03 pvDividend:0 gamma: 1.79769313486232E+308 theta/vega/undPrice: -3.3230466332334E-04-9.14195382500225E-04-1.5786</t>
  </si>
  <si>
    <t>2014-11-26 15:57:55.248: RTWSControl  - tickOptionComputation - id:200052 tickType:10 impliedVol:1.79769313486232E+308 delta:1.79769313486232E+308 optPrice:1.79769313486232E+308 pvDividend:0 gamma: 1.79769313486232E+308 theta/vega/undPrice: 1.79769313486232E+308-1.79769313486232E+308-1.5786</t>
  </si>
  <si>
    <t>2014-11-26 15:57:55.292: RTWSControl  - tickOptionComputation - id:200052 tickType:11 impliedVol:1.79769313486232E+308 delta:1.79769313486232E+308 optPrice:1.79769313486232E+308 pvDividend:0 gamma: 1.79769313486232E+308 theta/vega/undPrice: 1.79769313486232E+308-1.79769313486232E+308-1.5786</t>
  </si>
  <si>
    <t>2014-11-26 15:57:55.333: RTWSControl  - tickOptionComputation - id:200048 tickType:13 impliedVol:0.083302300836527 delta:-2.93584276034769E-02 optPrice:2.41063356823438E-04 pvDividend:0 gamma: 1.79769313486232E+308 theta/vega/undPrice: -7.58633445271293E-05-1.93603772152295E-04-1.5786</t>
  </si>
  <si>
    <t>2014-11-26 15:57:55.376: RTWSControl  - tickOptionComputation - id:200053 tickType:13 impliedVol:0.063568653966021 delta:9.08354968914371E-02 optPrice:6.75366853221758E-04 pvDividend:0 gamma: 1.79769313486232E+308 theta/vega/undPrice: -1.42230429807924E-04-4.47298702630898E-04-1.5786</t>
  </si>
  <si>
    <t>2014-11-26 15:57:55.409: RTWSControl  - tickOptionComputation - id:200054 tickType:10 impliedVol:1.79769313486232E+308 delta:1.79769313486232E+308 optPrice:1.79769313486232E+308 pvDividend:0 gamma: 1.79769313486232E+308 theta/vega/undPrice: 1.79769313486232E+308-1.79769313486232E+308-1.5786</t>
  </si>
  <si>
    <t>2014-11-26 15:57:55.425: RTWSControl  - tickOptionComputation - id:200054 tickType:13 impliedVol:6.72433912187689E-02 delta:1.16611555627794E-03 optPrice:5.62634644089888E-06 pvDividend:0 gamma: 0.227751662271507 theta/vega/undPrice: -3.51453838834215E-06-1.90707466394838E-05-1.5786</t>
  </si>
  <si>
    <t>2014-11-26 15:57:55.488: DirectionIndicator - notify - price/longMA/ShortMA/prevDirection are 1.57855/1.57859507214899/1.57858851863986/1</t>
  </si>
  <si>
    <t>2014-11-26 15:57:55.488: Algorithm - handleTransition - currentHedgeShortfall is NOT ZERO and AUTOHEDGE IS NOT ENABLED!</t>
  </si>
  <si>
    <t>2014-11-26 15:57:55.824: RTWSControl  - tickOptionComputation - id:200042 tickType:13 impliedVol:8.10606806299603E-02 delta:-0.028747454241151 optPrice:1.11099064895773E-04 pvDividend:0 gamma: 1.79769313486232E+308 theta/vega/undPrice: -1.49172117387472E-04-9.29722729289086E-05-1.5785</t>
  </si>
  <si>
    <t>2014-11-26 15:57:55.874: RTWSControl  - tickOptionComputation - id:200041 tickType:13 impliedVol:7.23074118697582E-02 delta:0.93925486849726 optPrice:1.37342675003812E-02 pvDividend:0 gamma: 1.79769313486232E+308 theta/vega/undPrice: -2.44565149039299E-04-1.68646883318458E-04-1.5785</t>
  </si>
  <si>
    <t>2014-11-26 15:57:55.916: RTWSControl  - tickOptionComputation - id:200043 tickType:13 impliedVol:7.23074118697582E-02 delta:-6.08576520584521E-02 optPrice:2.34460420273002E-04 pvDividend:0 gamma: 1.79769313486232E+308 theta/vega/undPrice: -2.44654349875638E-04-1.68647149615053E-04-1.5785</t>
  </si>
  <si>
    <t>2014-11-26 15:57:55.958: RTWSControl  - tickOptionComputation - id:200044 tickType:13 impliedVol:6.60788632798841E-02 delta:0.856749405603396 optPrice:9.09686785490121E-03 pvDividend:0 gamma: 1.79769313486232E+308 theta/vega/undPrice: -4.21205242513975E-04-2.97593810844715E-04-1.5785</t>
  </si>
  <si>
    <t>2014-11-26 15:57:56.1: RTWSControl  - tickOptionComputation - id:200046 tickType:13 impliedVol:6.60788632798841E-02 delta:-0.143363278920096 optPrice:5.96989996991252E-04 pvDividend:0 gamma: 1.79769313486232E+308 theta/vega/undPrice: -4.21262072151896E-04-2.9759409897135E-04-1.5785</t>
  </si>
  <si>
    <t>2014-11-26 15:57:56.40: RTWSControl  - tickOptionComputation - id:200045 tickType:13 impliedVol:6.23750348603664E-02 delta:0.67874553961378 optPrice:5.10207696309819E-03 pvDividend:0 gamma: 1.79769313486232E+308 theta/vega/undPrice: -6.30014126902261E-04-4.45333937770993E-04-1.5785</t>
  </si>
  <si>
    <t>2014-11-26 15:57:56.84: RTWSControl  - tickOptionComputation - id:200047 tickType:13 impliedVol:6.23750348603664E-02 delta:-0.321367599604147 optPrice:1.60212963925058E-03 pvDividend:0 gamma: 1.79769313486232E+308 theta/vega/undPrice: -6.30039128429622E-04-4.45334575654883E-04-1.5785</t>
  </si>
  <si>
    <t>2014-11-26 15:57:56.124: RTWSControl  - tickOptionComputation - id:200055 tickType:13 impliedVol:6.11959266111768E-02 delta:0.421043871968707 optPrice:2.29127349720617E-03 pvDividend:0 gamma: 1.79769313486232E+308 theta/vega/undPrice: -6.75842624977674E-04-4.83210338622746E-04-1.5785</t>
  </si>
  <si>
    <t>2014-11-26 15:57:56.165: RTWSControl  - tickOptionComputation - id:200049 tickType:13 impliedVol:0.068921623838607 delta:0.691729713360574 optPrice:1.19450948107559E-02 pvDividend:0 gamma: 1.79769313486232E+308 theta/vega/undPrice: -3.33096216185008E-04-9.14160863236556E-04-1.5785</t>
  </si>
  <si>
    <t>2014-11-26 15:57:56.208: RTWSControl  - tickOptionComputation - id:200050 tickType:13 impliedVol:0.068921623838607 delta:-0.308340426414274 optPrice:3.4456330099753E-03 pvDividend:0 gamma: 1.79769313486232E+308 theta/vega/undPrice: -3.33156573421278E-04-9.14166420454069E-04-1.5785</t>
  </si>
  <si>
    <t>2014-11-26 15:57:56.248: RTWSControl  - tickOptionComputation - id:200051 tickType:13 impliedVol:7.08589388092085E-02 delta:-0.31142115927876 optPrice:3.53106421686452E-03 pvDividend:0 gamma: 1.79769313486232E+308 theta/vega/undPrice: -3.45633531907975E-04-8.74191691404109E-04-1.5785</t>
  </si>
  <si>
    <t>2014-11-26 15:57:56.288: RTWSControl  - tickOptionComputation - id:200052 tickType:13 impliedVol:0.121437261232282 delta:-0.516150241523798 optPrice:0.012751539072906 pvDividend:0 gamma: 1.79769313486232E+308 theta/vega/undPrice: -6.67932166074046E-04-9.85805434267922E-04-1.5785</t>
  </si>
  <si>
    <t>2014-11-26 15:57:56.331: RTWSControl  - tickOptionComputation - id:200048 tickType:13 impliedVol:0.083302300836527 delta:-0.02970226911179 optPrice:2.44260990138165E-04 pvDividend:0 gamma: 1.79769313486232E+308 theta/vega/undPrice: -7.65941034644731E-05-1.96264785158557E-04-1.5785</t>
  </si>
  <si>
    <t>2014-11-26 15:57:56.374: RTWSControl  - tickOptionComputation - id:200053 tickType:13 impliedVol:0.063568653966021 delta:8.97108444438617E-02 optPrice:6.65145781613844E-04 pvDividend:0 gamma: 1.79769313486232E+308 theta/vega/undPrice: -1.40959761607398E-04-4.47284532455796E-04-1.5785</t>
  </si>
  <si>
    <t>2014-11-26 15:57:56.414: RTWSControl  - tickOptionComputation - id:200054 tickType:13 impliedVol:6.72433912187689E-02 delta:1.14049357294566E-03 optPrice:5.49396805785394E-06 pvDividend:0 gamma: 0.223158119278951 theta/vega/undPrice: -3.44321720087255E-06-1.88670157563211E-05-1.5785</t>
  </si>
  <si>
    <t>2014-11-26 15:57:56.490: RTWSControl  - tickOptionComputation - id:200042 tickType:10 impliedVol:9.07085879154556E-02 delta:-0.043691916158296 optPrice:1.99999994947575E-04 pvDividend:0 gamma: 1.79769313486232E+308 theta/vega/undPrice: -2.37468070517954E-04-1.43207367411426E-04-1.5785</t>
  </si>
  <si>
    <t>2014-11-26 15:57:56.539: RTWSControl  - tickOptionComputation - id:200042 tickType:11 impliedVol:9.07085879154556E-02 delta:-0.043691916158296 optPrice:1.99999994947575E-04 pvDividend:0 gamma: 1.79769313486232E+308 theta/vega/undPrice: -2.37468070517954E-04-1.43207367411426E-04-1.5785</t>
  </si>
  <si>
    <t>2014-11-26 15:57:56.588: RTWSControl  - tickOptionComputation - id:200041 tickType:10 impliedVol:6.12328879216279E-02 delta:0.966350568021703 optPrice:1.36000001803041E-02 pvDividend:0 gamma: 1.79769313486232E+308 theta/vega/undPrice: -1.28378816002004E-04-1.18854668169913E-04-1.5785</t>
  </si>
  <si>
    <t>2014-11-26 15:57:56.630: RTWSControl  - tickOptionComputation - id:200041 tickType:11 impliedVol:8.22151132060278E-02 delta:0.913825803500135 optPrice:1.38999996706843E-02 pvDividend:0 gamma: 1.79769313486232E+308 theta/vega/undPrice: -3.64011358345694E-04-2.15155126141736E-04-1.5785</t>
  </si>
  <si>
    <t>2014-11-26 15:57:56.697: RTWSControl  - tickOptionComputation - id:200043 tickType:10 impliedVol:6.12053338982767E-02 delta:-0.033576363170202 optPrice:9.99999974737875E-05 pvDividend:0 gamma: 1.79769313486232E+308 theta/vega/undPrice: -1.28219354890056E-04-1.18701813472235E-04-1.5785</t>
  </si>
  <si>
    <t>2014-11-26 15:57:56.747: RTWSControl  - tickOptionComputation - id:200043 tickType:11 impliedVol:7.68612600659078E-02 delta:-7.15926718106577E-02 optPrice:3.00000014249235E-04 pvDividend:0 gamma: 1.79769313486232E+308 theta/vega/undPrice: -2.96900859321515E-04-2.01306575942059E-04-1.5785</t>
  </si>
  <si>
    <t>2014-11-26 15:57:56.791: RTWSControl  - tickOptionComputation - id:200044 tickType:10 impliedVol:6.28238166356979E-02 delta:0.870043867285915 optPrice:8.99999961256981E-03 pvDividend:0 gamma: 1.79769313486232E+308 theta/vega/undPrice: -3.76539685857577E-04-2.97593914621917E-04-1.5785</t>
  </si>
  <si>
    <t>2014-11-26 15:57:56.835: RTWSControl  - tickOptionComputation - id:200044 tickType:11 impliedVol:7.62512621056441E-02 delta:0.822148544987352 optPrice:9.39999986439943E-03 pvDividend:0 gamma: 1.79769313486232E+308 theta/vega/undPrice: -5.60790103091433E-04-3.27620223770366E-04-1.5785</t>
  </si>
  <si>
    <t>2014-11-26 15:57:56.879: RTWSControl  - tickOptionComputation - id:200046 tickType:10 impliedVol:6.28163270584579E-02 delta:-0.129909922681299 optPrice:5.00000023748726E-04 pvDividend:0 gamma: 1.79769313486232E+308 theta/vega/undPrice: -3.76493658886044E-04-2.97594202864587E-04-1.5785</t>
  </si>
  <si>
    <t>2014-11-26 15:57:56.921: RTWSControl  - tickOptionComputation - id:200046 tickType:11 impliedVol:6.95322529121958E-02 delta:-0.156189595084463 optPrice:6.99999975040555E-04 pvDividend:0 gamma: 1.79769313486232E+308 theta/vega/undPrice: -4.68649337535129E-04-2.97593989362652E-04-1.5785</t>
  </si>
  <si>
    <t>2014-11-26 15:57:56.989: RTWSControl  - tickOptionComputation - id:200045 tickType:10 impliedVol:6.23240327290309E-02 delta:0.678797291875384 optPrice:5.10000018402934E-03 pvDividend:0 gamma: 1.79769313486232E+308 theta/vega/undPrice: -6.29394311265132E-04-4.45333940092225E-04-1.5785</t>
  </si>
  <si>
    <t>2014-11-26 15:57:57.39: RTWSControl  - tickOptionComputation - id:200045 tickType:11 impliedVol:6.68172291866219E-02 delta:0.66748833779226 optPrice:5.29999984428287E-03 pvDividend:0 gamma: 1.79769313486232E+308 theta/vega/undPrice: -6.83998928399145E-04-4.45333730079274E-04-1.5785</t>
  </si>
  <si>
    <t>2014-11-26 15:57:57.83: RTWSControl  - tickOptionComputation - id:200047 tickType:10 impliedVol:6.00769406480354E-02 delta:-0.314895582786475 optPrice:1.50000001303852E-03 pvDividend:0 gamma: 1.79769313486232E+308 theta/vega/undPrice: -6.02110885719393E-04-4.45334678359744E-04-1.5785</t>
  </si>
  <si>
    <t>2014-11-26 15:57:57.124: RTWSControl  - tickOptionComputation - id:200047 tickType:11 impliedVol:0.064555169592893 delta:-0.327002858684652 optPrice:1.70000002253801E-03 pvDividend:0 gamma: 1.79769313486232E+308 theta/vega/undPrice: -6.56533820301259E-04-4.45334475508934E-04-1.5785</t>
  </si>
  <si>
    <t>2014-11-26 15:57:57.171: RTWSControl  - tickOptionComputation - id:200055 tickType:10 impliedVol:5.93074714867354E-02 delta:0.418415502147191 optPrice:2.19999998807907E-03 pvDividend:0 gamma: 1.79769313486232E+308 theta/vega/undPrice: -6.54375618566057E-04-4.83210429430832E-04-1.5785</t>
  </si>
  <si>
    <t>2014-11-26 15:57:57.212: RTWSControl  - tickOptionComputation - id:200055 tickType:11 impliedVol:0.063435903525367 delta:0.423848570031106 optPrice:2.40000011399388E-03 pvDividend:0 gamma: 1.79769313486232E+308 theta/vega/undPrice: -7.01305539875962E-04-4.83210227593272E-04-1.5785</t>
  </si>
  <si>
    <t>2014-11-26 15:57:57.278: RTWSControl  - tickOptionComputation - id:200049 tickType:10 impliedVol:6.84283594203784E-02 delta:0.692929943437789 optPrice:1.19000002741814E-02 pvDividend:0 gamma: 1.79769313486232E+308 theta/vega/undPrice: -3.30185878819544E-04-9.14161079414361E-04-1.5785</t>
  </si>
  <si>
    <t>2014-11-26 15:57:57.328: RTWSControl  - tickOptionComputation - id:200049 tickType:11 impliedVol:7.17100881038045E-02 delta:0.684699733312684 optPrice:1.21999997645617E-02 pvDividend:0 gamma: 1.79769313486232E+308 theta/vega/undPrice: -3.49548560454948E-04-9.14159619095226E-04-1.5785</t>
  </si>
  <si>
    <t>2014-11-26 15:57:57.376: RTWSControl  - tickOptionComputation - id:200050 tickType:10 impliedVol:6.84215718962478E-02 delta:-0.306995906201052 optPrice:3.40000004507601E-03 pvDividend:0 gamma: 1.79769313486232E+308 theta/vega/undPrice: -3.30206145541066E-04-9.14166639067256E-04-1.5785</t>
  </si>
  <si>
    <t>2014-11-26 15:57:57.414: RTWSControl  - tickOptionComputation - id:200050 tickType:11 impliedVol:7.06094447984582E-02 delta:-0.312569963356562 optPrice:3.59999993816018E-03 pvDividend:0 gamma: 1.79769313486232E+308 theta/vega/undPrice: -3.43115114116881E-04-9.14165678991994E-04-1.5785</t>
  </si>
  <si>
    <t>2014-11-26 15:57:57.460: RTWSControl  - tickOptionComputation - id:200051 tickType:10 impliedVol:6.70465735100392E-02 delta:-0.301778711087755 optPrice:3.1999999191612E-03 pvDividend:0 gamma: 1.79769313486232E+308 theta/vega/undPrice: -3.2254662494905E-04-8.62185113556865E-04-1.5785</t>
  </si>
  <si>
    <t>2014-11-26 15:57:57.502: RTWSControl  - tickOptionComputation - id:200051 tickType:11 impliedVol:7.04964277769804E-02 delta:-0.310508393839265 optPrice:3.50000010803342E-03 pvDividend:0 gamma: 1.79769313486232E+308 theta/vega/undPrice: -3.43446355198794E-04-8.73126506177747E-04-1.5785</t>
  </si>
  <si>
    <t>2014-11-26 15:57:57.570: RTWSControl  - tickOptionComputation - id:200052 tickType:10 impliedVol:1.79769313486232E+308 delta:1.79769313486232E+308 optPrice:1.79769313486232E+308 pvDividend:0 gamma: 1.79769313486232E+308 theta/vega/undPrice: 1.79769313486232E+308-1.79769313486232E+308-1.5785</t>
  </si>
  <si>
    <t>2014-11-26 15:57:57.586: RTWSControl  - tickOptionComputation - id:200052 tickType:11 impliedVol:1.79769313486232E+308 delta:1.79769313486232E+308 optPrice:1.79769313486232E+308 pvDividend:0 gamma: 1.79769313486232E+308 theta/vega/undPrice: 1.79769313486232E+308-1.79769313486232E+308-1.5785</t>
  </si>
  <si>
    <t>2014-11-26 15:57:57.649: RTWSControl  - tickOptionComputation - id:200048 tickType:10 impliedVol:8.08333309608997E-02 delta:-2.56184285805199E-02 optPrice:1.99999994947575E-04 pvDividend:0 gamma: 1.79769313486232E+308 theta/vega/undPrice: -6.5854030870662E-05-1.79300824240257E-04-1.5785</t>
  </si>
  <si>
    <t>2014-11-26 15:57:57.704: RTWSControl  - tickOptionComputation - id:200048 tickType:11 impliedVol:0.086399803322635 delta:-0.034486351453773 optPrice:3.00000014249235E-04 pvDividend:0 gamma: 1.79769313486232E+308 theta/vega/undPrice: -9.00682775308529E-05-2.31341269357254E-04-1.5785</t>
  </si>
  <si>
    <t>2014-11-26 15:57:57.752: RTWSControl  - tickOptionComputation - id:200053 tickType:10 impliedVol:6.21006307803249E-02 delta:8.40036190511824E-02 optPrice:6.00000028498471E-04 pvDividend:0 gamma: 1.79769313486232E+308 theta/vega/undPrice: -1.31460182330788E-04-4.47284812620224E-04-1.5785</t>
  </si>
  <si>
    <t>2014-11-26 15:57:57.789: RTWSControl  - tickOptionComputation - id:200053 tickType:11 impliedVol:6.43383104935057E-02 delta:9.25822627993337E-02 optPrice:6.99999975040555E-04 pvDividend:0 gamma: 1.79769313486232E+308 theta/vega/undPrice: -1.4594020559356E-04-4.47284387022042E-04-1.5785</t>
  </si>
  <si>
    <t>2014-11-26 15:57:57.837: RTWSControl  - tickOptionComputation - id:200054 tickType:10 impliedVol:1.79769313486232E+308 delta:1.79769313486232E+308 optPrice:1.79769313486232E+308 pvDividend:0 gamma: 1.79769313486232E+308 theta/vega/undPrice: 1.79769313486232E+308-1.79769313486232E+308-1.5785</t>
  </si>
  <si>
    <t>2014-11-26 15:57:57.869: RTWSControl  - tickOptionComputation - id:200054 tickType:11 impliedVol:9.10520166204874E-02 delta:1.24269113387328E-02 optPrice:9.99999974737875E-05 pvDividend:0 gamma: 1.79769313486232E+308 theta/vega/undPrice: -3.99893811980289E-05-1.03761108413066E-04-1.5785</t>
  </si>
  <si>
    <t>2014-11-26 15:57:58.300: DirectionIndicator - notify - price/longMA/ShortMA/prevDirection are 1.5786/1.5785959681219/1.57859234575991/1</t>
  </si>
  <si>
    <t>2014-11-26 15:57:58.302: Algorithm - handleTransition - currentHedgeShortfall is NOT ZERO and AUTOHEDGE IS NOT ENABLED!</t>
  </si>
  <si>
    <t>2014-11-26 15:57:58.540: RTWSControl  - tickOptionComputation - id:200042 tickType:10 impliedVol:9.08098691759157E-02 delta:-4.38811103067583E-02 optPrice:1.99999994947575E-04 pvDividend:0 gamma: 1.79769313486232E+308 theta/vega/undPrice: -2.38538043149685E-04-1.4318443602147E-04-1.5785</t>
  </si>
  <si>
    <t>2014-11-26 15:57:58.615: RTWSControl  - tickOptionComputation - id:200042 tickType:11 impliedVol:9.08098691759157E-02 delta:-4.38811103067583E-02 optPrice:1.99999994947575E-04 pvDividend:0 gamma: 1.79769313486232E+308 theta/vega/undPrice: -2.38538043149685E-04-1.4318443602147E-04-1.5785</t>
  </si>
  <si>
    <t>2014-11-26 15:57:58.667: RTWSControl  - tickOptionComputation - id:200042 tickType:13 impliedVol:8.12023939401598E-02 delta:-2.89628965304038E-02 optPrice:1.12228795806334E-04 pvDividend:0 gamma: 1.79769313486232E+308 theta/vega/undPrice: -1.50379050024106E-04-9.3662855073358E-05-1.5785</t>
  </si>
  <si>
    <t>2014-11-26 15:57:58.708: RTWSControl  - tickOptionComputation - id:200041 tickType:11 impliedVol:8.68336855337177E-02 delta:0.90114618491664 optPrice:1.40000004321337E-02 pvDividend:0 gamma: 1.79769313486232E+308 theta/vega/undPrice: -4.24745638460999E-04-2.15120547231653E-04-1.5785</t>
  </si>
  <si>
    <t>2014-11-26 15:57:58.755: RTWSControl  - tickOptionComputation - id:200041 tickType:13 impliedVol:7.25119766526632E-02 delta:0.938772188383656 optPrice:0.013737035241778 pvDividend:0 gamma: 1.79769313486232E+308 theta/vega/undPrice: -2.4685799743083E-04-1.69996268377529E-04-1.5785</t>
  </si>
  <si>
    <t>2014-11-26 15:57:58.797: RTWSControl  - tickOptionComputation - id:200043 tickType:13 impliedVol:7.25119766526632E-02 delta:-6.13403324093071E-02 optPrice:2.37228101793547E-04 pvDividend:0 gamma: 1.79769313486232E+308 theta/vega/undPrice: -2.46947200752266E-04-1.69996536026226E-04-1.5785</t>
  </si>
  <si>
    <t>2014-11-26 15:57:58.864: RTWSControl  - tickOptionComputation - id:200044 tickType:13 impliedVol:6.63781258659952E-02 delta:0.85562440445754 optPrice:9.10545747721763E-03 pvDividend:0 gamma: 1.79769313486232E+308 theta/vega/undPrice: -4.25302070356811E-04-2.97546152818308E-04-1.5785</t>
  </si>
  <si>
    <t>2014-11-26 15:57:58.913: RTWSControl  - tickOptionComputation - id:200046 tickType:13 impliedVol:6.63781258659952E-02 delta:-0.144488281070438 optPrice:6.0557958850504E-04 pvDividend:0 gamma: 1.79769313486232E+308 theta/vega/undPrice: -4.25358907518813E-04-2.97546440847364E-04-1.5785</t>
  </si>
  <si>
    <t>2014-11-26 15:57:58.958: RTWSControl  - tickOptionComputation - id:200045 tickType:13 impliedVol:6.28008415801844E-02 delta:0.677632430896329 optPrice:5.12059180545929E-03 pvDividend:0 gamma: 1.79769313486232E+308 theta/vega/undPrice: -6.35270076275385E-04-4.45262614779779E-04-1.5785</t>
  </si>
  <si>
    <t>2014-11-26 15:57:59.0: RTWSControl  - tickOptionComputation - id:200047 tickType:11 impliedVol:6.45834638591277E-02 delta:-0.327048000816026 optPrice:1.70000002253801E-03 pvDividend:0 gamma: 1.79769313486232E+308 theta/vega/undPrice: -6.56962374689027E-04-4.452631703626E-04-1.5785</t>
  </si>
  <si>
    <t>2014-11-26 15:57:59.41: RTWSControl  - tickOptionComputation - id:200047 tickType:13 impliedVol:6.28008415801844E-02 delta:-0.32248070976528 optPrice:1.62064449120056E-03 pvDividend:0 gamma: 1.79769313486232E+308 theta/vega/undPrice: -6.35295094754795E-04-4.45263252435606E-04-1.5785</t>
  </si>
  <si>
    <t>2014-11-26 15:57:59.82: RTWSControl  - tickOptionComputation - id:200055 tickType:13 impliedVol:6.17801237952307E-02 delta:0.421796229528279 optPrice:2.3190245348892E-03 pvDividend:0 gamma: 1.79769313486232E+308 theta/vega/undPrice: -6.8258961389321E-04-4.83132941954352E-04-1.5785</t>
  </si>
  <si>
    <t>2014-11-26 15:57:59.122: RTWSControl  - tickOptionComputation - id:200049 tickType:13 impliedVol:6.88967978794359E-02 delta:0.691800852866537 optPrice:1.19425868449774E-02 pvDividend:0 gamma: 1.79769313486232E+308 theta/vega/undPrice: -3.32959570522763E-04-9.14126259305781E-04-1.5785</t>
  </si>
  <si>
    <t>2014-11-26 15:57:59.165: RTWSControl  - tickOptionComputation - id:200049 tickType:10 impliedVol:6.95248635518736E-02 delta:0.690099309706278 optPrice:1.20000001043081E-02 pvDividend:0 gamma: 1.79769313486232E+308 theta/vega/undPrice: -3.36665394491001E-04-9.14125982455093E-04-1.5785</t>
  </si>
  <si>
    <t>2014-11-26 15:57:59.207: RTWSControl  - tickOptionComputation - id:200050 tickType:13 impliedVol:6.88967978794359E-02 delta:-0.308269286111735 optPrice:3.4431249881868E-03 pvDividend:0 gamma: 1.79769313486232E+308 theta/vega/undPrice: -3.33019925393306E-04-9.1413181586473E-04-1.5785</t>
  </si>
  <si>
    <t>2014-11-26 15:57:59.247: RTWSControl  - tickOptionComputation - id:200051 tickType:13 impliedVol:7.05017863005875E-02 delta:-0.310554011552645 optPrice:3.49962236124798E-03 pvDividend:0 gamma: 1.79769313486232E+308 theta/vega/undPrice: -3.43488831987535E-04-8.73100446748662E-04-1.5785</t>
  </si>
  <si>
    <t>2014-11-26 15:57:59.293: RTWSControl  - tickOptionComputation - id:200052 tickType:13 impliedVol:0.120914449294649 delta:-0.516253534071345 optPrice:1.26995381580528E-02 pvDividend:0 gamma: 1.79769313486232E+308 theta/vega/undPrice: -6.6507535703563E-04-9.85756883518292E-04-1.5785</t>
  </si>
  <si>
    <t>2014-11-26 15:57:59.336: RTWSControl  - tickOptionComputation - id:200052 tickType:10 impliedVol:1.79769313486232E+308 delta:1.79769313486232E+308 optPrice:1.79769313486232E+308 pvDividend:0 gamma: 1.79769313486232E+308 theta/vega/undPrice: 1.79769313486232E+308-1.79769313486232E+308-1.5785</t>
  </si>
  <si>
    <t>2014-11-26 15:57:59.372: RTWSControl  - tickOptionComputation - id:200052 tickType:11 impliedVol:1.79769313486232E+308 delta:1.79769313486232E+308 optPrice:1.79769313486232E+308 pvDividend:0 gamma: 1.79769313486232E+308 theta/vega/undPrice: 1.79769313486232E+308-1.79769313486232E+308-1.5785</t>
  </si>
  <si>
    <t>2014-11-26 15:57:59.413: RTWSControl  - tickOptionComputation - id:200048 tickType:13 impliedVol:8.21241077674202E-02 delta:-2.77805846409114E-02 optPrice:2.23080092473612E-04 pvDividend:0 gamma: 1.79769313486232E+308 theta/vega/undPrice: -7.14608244099901E-05-1.82876463664203E-04-1.5785</t>
  </si>
  <si>
    <t>2014-11-26 15:57:59.463: RTWSControl  - tickOptionComputation - id:200053 tickType:13 impliedVol:6.38518865228033E-02 delta:0.090770795322329 optPrice:6.77706205508052E-04 pvDividend:0 gamma: 1.79769313486232E+308 theta/vega/undPrice: -1.42787726592946E-04-4.47267542217895E-04-1.5785</t>
  </si>
  <si>
    <t>2014-11-26 15:57:59.504: RTWSControl  - tickOptionComputation - id:200054 tickType:13 impliedVol:6.69893736975258E-02 delta:1.09068390846111E-03 optPrice:5.21738856872794E-06 pvDividend:0 gamma: 0.215020532988517 theta/vega/undPrice: -3.29264046653578E-06-1.84972934889683E-05-1.5785</t>
  </si>
  <si>
    <t>2014-11-26 15:57:59.571: RTWSControl  - tickOptionComputation - id:200054 tickType:10 impliedVol:1.79769313486232E+308 delta:1.79769313486232E+308 optPrice:1.79769313486232E+308 pvDividend:0 gamma: 1.79769313486232E+308 theta/vega/undPrice: 1.79769313486232E+308-1.79769313486232E+308-1.5785</t>
  </si>
  <si>
    <t>2014-11-26 15:57:59.589: DirectionIndicator - notify - price/longMA/ShortMA/prevDirection are 1.57865/1.57860579209974/1.57861156383994/1</t>
  </si>
  <si>
    <t>2014-11-26 15:57:59.589: Algorithm - handleTransition - currentHedgeShortfall is NOT ZERO and AUTOHEDGE IS NOT ENABLED!</t>
  </si>
  <si>
    <t>2014-11-26 15:58:0.396: RTWSControl  - tickOptionComputation - id:200041 tickType:10 impliedVol:6.99295777498857E-02 delta:0.945332663107328 optPrice:1.37000000104308E-02 pvDividend:0 gamma: 1.79769313486232E+308 theta/vega/undPrice: -2.17225288242024E-04-1.51478714346958E-04-1.5785</t>
  </si>
  <si>
    <t>2014-11-26 15:58:0.457: RTWSControl  - tickOptionComputation - id:200044 tickType:10 impliedVol:6.61834846759966E-02 delta:0.856273587873236 optPrice:9.10000037401915E-03 pvDividend:0 gamma: 1.79769313486232E+308 theta/vega/undPrice: -4.22630788737711E-04-2.97546159027244E-04-1.5785</t>
  </si>
  <si>
    <t>2014-11-26 15:58:0.499: RTWSControl  - tickOptionComputation - id:200045 tickType:11 impliedVol:6.90938030807565E-02 delta:0.662347253692606 optPrice:5.40000014007092E-03 pvDividend:0 gamma: 1.79769313486232E+308 theta/vega/undPrice: -7.11758978406004E-04-4.45262315966174E-04-1.5785</t>
  </si>
  <si>
    <t>2014-11-26 15:58:0.543: RTWSControl  - tickOptionComputation - id:200055 tickType:10 impliedVol:6.13731850177264E-02 delta:0.421211394374228 optPrice:2.30000005103648E-03 pvDividend:0 gamma: 1.79769313486232E+308 theta/vega/undPrice: -6.77962999647816E-04-4.83132961900679E-04-1.5785</t>
  </si>
  <si>
    <t>2014-11-26 15:58:0.585: RTWSControl  - tickOptionComputation - id:200050 tickType:11 impliedVol:6.95127095866099E-02 delta:-0.309813458491878 optPrice:3.50000010803342E-03 pvDividend:0 gamma: 1.79769313486232E+308 theta/vega/undPrice: -3.36654089434617E-04-9.14131545045156E-04-1.5785</t>
  </si>
  <si>
    <t>2014-11-26 15:58:0.653: RTWSControl  - tickOptionComputation - id:200052 tickType:10 impliedVol:1.79769313486232E+308 delta:1.79769313486232E+308 optPrice:1.79769313486232E+308 pvDividend:0 gamma: 1.79769313486232E+308 theta/vega/undPrice: 1.79769313486232E+308-1.79769313486232E+308-1.5785</t>
  </si>
  <si>
    <t>2014-11-26 15:58:0.669: RTWSControl  - tickOptionComputation - id:200052 tickType:11 impliedVol:1.79769313486232E+308 delta:1.79769313486232E+308 optPrice:1.79769313486232E+308 pvDividend:0 gamma: 1.79769313486232E+308 theta/vega/undPrice: 1.79769313486232E+308-1.79769313486232E+308-1.5785</t>
  </si>
  <si>
    <t>2014-11-26 15:58:0.733: RTWSControl  - tickOptionComputation - id:200054 tickType:10 impliedVol:1.79769313486232E+308 delta:1.79769313486232E+308 optPrice:1.79769313486232E+308 pvDividend:0 gamma: 1.79769313486232E+308 theta/vega/undPrice: 1.79769313486232E+308-1.79769313486232E+308-1.5785</t>
  </si>
  <si>
    <t>2014-11-26 15:58:2.219: RTWSControl  - tickOptionComputation - id:200042 tickType:13 impliedVol:8.17047423278154E-02 delta:-2.97971088157672E-02 optPrice:1.16637322964937E-04 pvDividend:0 gamma: 1.79769313486232E+308 theta/vega/undPrice: -1.54902380455345E-04-9.64471798825798E-05-1.5785</t>
  </si>
  <si>
    <t>2014-11-26 15:58:2.286: RTWSControl  - tickOptionComputation - id:200041 tickType:13 impliedVol:7.30213157224284E-02 delta:0.937510542826309 optPrice:1.37443398789294E-02 pvDividend:0 gamma: 1.79769313486232E+308 theta/vega/undPrice: -2.52702598998306E-04-1.73648574326194E-04-1.5785</t>
  </si>
  <si>
    <t>2014-11-26 15:58:2.339: RTWSControl  - tickOptionComputation - id:200043 tickType:13 impliedVol:7.30213157224284E-02 delta:-6.26019788856989E-02 optPrice:2.44532743956321E-04 pvDividend:0 gamma: 1.79769313486232E+308 theta/vega/undPrice: -2.5279180887792E-04-1.73648845846703E-04-1.5785</t>
  </si>
  <si>
    <t>2014-11-26 15:58:2.384: RTWSControl  - tickOptionComputation - id:200044 tickType:13 impliedVol:6.66937874027553E-02 delta:0.854405430800664 optPrice:9.11484986967332E-03 pvDividend:0 gamma: 1.79769313486232E+308 theta/vega/undPrice: -4.29634251112221E-04-2.9754614274918E-04-1.5785</t>
  </si>
  <si>
    <t>2014-11-26 15:58:2.449: RTWSControl  - tickOptionComputation - id:200046 tickType:13 impliedVol:6.66937874027553E-02 delta:-0.145707255996778 optPrice:6.14971990048464E-04 pvDividend:0 gamma: 1.79769313486232E+308 theta/vega/undPrice: -4.29691096502659E-04-2.9754643081979E-04-1.5785</t>
  </si>
  <si>
    <t>2014-11-26 15:58:2.501: RTWSControl  - tickOptionComputation - id:200045 tickType:13 impliedVol:6.27221573688104E-02 delta:0.677841923708935 optPrice:5.11708828991449E-03 pvDividend:0 gamma: 1.79769313486232E+308 theta/vega/undPrice: -6.343136944692E-04-4.45262618374087E-04-1.5785</t>
  </si>
  <si>
    <t>2014-11-26 15:58:2.542: RTWSControl  - tickOptionComputation - id:200047 tickType:13 impliedVol:6.27221573688104E-02 delta:-0.322271216622109 optPrice:1.61714097064716E-03 pvDividend:0 gamma: 1.79769313486232E+308 theta/vega/undPrice: -6.34338709739505E-04-4.45263256018347E-04-1.5785</t>
  </si>
  <si>
    <t>2014-11-26 15:58:2.583: RTWSControl  - tickOptionComputation - id:200055 tickType:13 impliedVol:6.11064256205651E-02 delta:0.420912387918837 optPrice:2.28647593959081E-03 pvDividend:0 gamma: 1.79769313486232E+308 theta/vega/undPrice: -6.7493012834885E-04-4.831329749104E-04-1.5785</t>
  </si>
  <si>
    <t>2014-11-26 15:58:2.623: RTWSControl  - tickOptionComputation - id:200049 tickType:13 impliedVol:6.88979206071636E-02 delta:0.691797940610738 optPrice:0.011942689476707 pvDividend:0 gamma: 1.79769313486232E+308 theta/vega/undPrice: -3.32966195041356E-04-9.14126258816246E-04-1.5785</t>
  </si>
  <si>
    <t>2014-11-26 15:58:2.667: RTWSControl  - tickOptionComputation - id:200050 tickType:13 impliedVol:6.88979206071636E-02 delta:-0.308272198387573 optPrice:3.44322762054314E-03 pvDividend:0 gamma: 1.79769313486232E+308 theta/vega/undPrice: -3.33026550008863E-04-9.14131815371034E-04-1.5785</t>
  </si>
  <si>
    <t>2014-11-26 15:58:2.711: RTWSControl  - tickOptionComputation - id:200052 tickType:10 impliedVol:1.79769313486232E+308 delta:1.79769313486232E+308 optPrice:1.79769313486232E+308 pvDividend:0 gamma: 1.79769313486232E+308 theta/vega/undPrice: 1.79769313486232E+308-1.79769313486232E+308-1.5785</t>
  </si>
  <si>
    <t>2014-11-26 15:58:2.745: RTWSControl  - tickOptionComputation - id:200052 tickType:11 impliedVol:1.79769313486232E+308 delta:1.79769313486232E+308 optPrice:1.79769313486232E+308 pvDividend:0 gamma: 1.79769313486232E+308 theta/vega/undPrice: 1.79769313486232E+308-1.79769313486232E+308-1.5785</t>
  </si>
  <si>
    <t>2014-11-26 15:58:2.789: RTWSControl  - tickOptionComputation - id:200048 tickType:13 impliedVol:8.21229275072497E-02 delta:-2.77786369829239E-02 optPrice:2.23058931070682E-04 pvDividend:0 gamma: 1.79769313486232E+308 theta/vega/undPrice: -7.14556900583572E-05-1.82863098731246E-04-1.5785</t>
  </si>
  <si>
    <t>2014-11-26 15:58:2.834: RTWSControl  - tickOptionComputation - id:200053 tickType:13 impliedVol:6.38524053157798E-02 delta:9.07727448678485E-02 optPrice:6.77729409484206E-04 pvDividend:0 gamma: 1.79769313486232E+308 theta/vega/undPrice: -1.42791083827505E-04-4.47267542119091E-04-1.5785</t>
  </si>
  <si>
    <t>2014-11-26 15:58:2.873: RTWSControl  - tickOptionComputation - id:200054 tickType:13 impliedVol:6.69863816331056E-02 delta:1.09010077881785E-03 optPrice:5.21416308447093E-06 pvDividend:0 gamma: 0.214924857979271 theta/vega/undPrice: -3.2908813912391E-06-1.84929928778829E-05-1.5785</t>
  </si>
  <si>
    <t>2014-11-26 15:58:2.914: RTWSControl  - tickOptionComputation - id:200054 tickType:10 impliedVol:1.79769313486232E+308 delta:1.79769313486232E+308 optPrice:1.79769313486232E+308 pvDividend:0 gamma: 1.79769313486232E+308 theta/vega/undPrice: 1.79769313486232E+308-1.79769313486232E+308-1.5785</t>
  </si>
  <si>
    <t>2014-11-26 15:58:4.686: RTWSControl  - tickOptionComputation - id:200052 tickType:10 impliedVol:1.79769313486232E+308 delta:1.79769313486232E+308 optPrice:1.79769313486232E+308 pvDividend:0 gamma: 1.79769313486232E+308 theta/vega/undPrice: 1.79769313486232E+308-1.79769313486232E+308-1.5785</t>
  </si>
  <si>
    <t>2014-11-26 15:58:4.749: RTWSControl  - tickOptionComputation - id:200052 tickType:11 impliedVol:1.79769313486232E+308 delta:1.79769313486232E+308 optPrice:1.79769313486232E+308 pvDividend:0 gamma: 1.79769313486232E+308 theta/vega/undPrice: 1.79769313486232E+308-1.79769313486232E+308-1.5785</t>
  </si>
  <si>
    <t>2014-11-26 15:58:4.823: RTWSControl  - tickOptionComputation - id:200054 tickType:10 impliedVol:1.79769313486232E+308 delta:1.79769313486232E+308 optPrice:1.79769313486232E+308 pvDividend:0 gamma: 1.79769313486232E+308 theta/vega/undPrice: 1.79769313486232E+308-1.79769313486232E+308-1.5785</t>
  </si>
  <si>
    <t>2014-11-26 15:58:5.423: RTWSControl  - tickOptionComputation - id:200042 tickType:13 impliedVol:8.17047423278154E-02 delta:-2.90713972857361E-02 optPrice:1.13414715901601E-04 pvDividend:0 gamma: 1.79769313486232E+308 theta/vega/undPrice: -1.51786267493512E-04-9.37655692432422E-05-1.5786</t>
  </si>
  <si>
    <t>2014-11-26 15:58:5.504: RTWSControl  - tickOptionComputation - id:200041 tickType:13 impliedVol:7.30213157224284E-02 delta:0.938837774752159 optPrice:1.38384257559727E-02 pvDividend:0 gamma: 1.79769313486232E+308 theta/vega/undPrice: -2.48394280000851E-04-1.69486177077125E-04-1.5786</t>
  </si>
  <si>
    <t>2014-11-26 15:58:5.558: RTWSControl  - tickOptionComputation - id:200043 tickType:13 impliedVol:7.30213157224284E-02 delta:-6.12747459921089E-02 optPrice:2.38620044331067E-04 pvDividend:0 gamma: 1.79769313486232E+308 theta/vega/undPrice: -2.48484143759916E-04-1.69486445227298E-04-1.5786</t>
  </si>
  <si>
    <t>2014-11-26 15:58:5.614: RTWSControl  - tickOptionComputation - id:200044 tickType:13 impliedVol:6.66937874027553E-02 delta:0.857419620123619 optPrice:9.19879980536003E-03 pvDividend:0 gamma: 1.79769313486232E+308 theta/vega/undPrice: -4.23949341672352E-04-2.97555567381882E-04-1.5786</t>
  </si>
  <si>
    <t>2014-11-26 15:58:5.664: RTWSControl  - tickOptionComputation - id:200046 tickType:13 impliedVol:6.66937874027553E-02 delta:-0.14269306353168 optPrice:5.98923339925197E-04 pvDividend:0 gamma: 1.79769313486232E+308 theta/vega/undPrice: -4.24006835437536E-04-2.97555855337686E-04-1.5786</t>
  </si>
  <si>
    <t>2014-11-26 15:58:5.705: RTWSControl  - tickOptionComputation - id:200045 tickType:13 impliedVol:6.27221573688104E-02 delta:0.682638459386599 optPrice:5.18358530693629E-03 pvDividend:0 gamma: 1.79769313486232E+308 theta/vega/undPrice: -6.30679042927383E-04-4.45276722391052E-04-1.5786</t>
  </si>
  <si>
    <t>2014-11-26 15:58:5.746: RTWSControl  - tickOptionComputation - id:200047 tickType:13 impliedVol:6.27221573688104E-02 delta:-0.317474673368391 optPrice:1.58363937893585E-03 pvDividend:0 gamma: 1.79769313486232E+308 theta/vega/undPrice: -6.30704699933895E-04-4.45277359699885E-04-1.5786</t>
  </si>
  <si>
    <t>2014-11-26 15:58:5.789: RTWSControl  - tickOptionComputation - id:200055 tickType:13 impliedVol:6.11064256205651E-02 delta:0.426255699718279 optPrice:2.33095503352885E-03 pvDividend:0 gamma: 1.79769313486232E+308 theta/vega/undPrice: -6.76272916617276E-04-4.83148276702623E-04-1.5786</t>
  </si>
  <si>
    <t>2014-11-26 15:58:5.831: RTWSControl  - tickOptionComputation - id:200049 tickType:13 impliedVol:6.88979206071636E-02 delta:0.693917233293947 optPrice:1.20092947260429E-02 pvDividend:0 gamma: 1.79769313486232E+308 theta/vega/undPrice: -3.32113575004377E-04-9.14155220584665E-04-1.5786</t>
  </si>
  <si>
    <t>2014-11-26 15:58:5.873: RTWSControl  - tickOptionComputation - id:200050 tickType:13 impliedVol:6.88979206071636E-02 delta:-0.306152891117621 optPrice:3.40983875190806E-03 pvDividend:0 gamma: 1.79769313486232E+308 theta/vega/undPrice: -3.3217457044273E-04-9.14160776346418E-04-1.5786</t>
  </si>
  <si>
    <t>2014-11-26 15:58:5.911: RTWSControl  - tickOptionComputation - id:200051 tickType:13 impliedVol:7.05017863005875E-02 delta:-0.308531927812956 optPrice:3.46867202182347E-03 pvDividend:0 gamma: 1.79769313486232E+308 theta/vega/undPrice: -3.42532593400038E-04-8.7066946758538E-04-1.5786</t>
  </si>
  <si>
    <t>2014-11-26 15:58:5.953: RTWSControl  - tickOptionComputation - id:200052 tickType:13 impliedVol:0.120914449294649 delta:-0.514920401324748 optPrice:1.26479890453506E-02 pvDividend:0 gamma: 1.79769313486232E+308 theta/vega/undPrice: -6.65204578122757E-04-9.85947884703251E-04-1.5786</t>
  </si>
  <si>
    <t>2014-11-26 15:58:5.996: RTWSControl  - tickOptionComputation - id:200048 tickType:13 impliedVol:8.21229275072497E-02 delta:-2.74299042013906E-02 optPrice:2.19860625954282E-04 pvDividend:0 gamma: 1.79769313486232E+308 theta/vega/undPrice: -7.07247127694703E-05-1.80201660399869E-04-1.5786</t>
  </si>
  <si>
    <t>2014-11-26 15:58:6.38: RTWSControl  - tickOptionComputation - id:200053 tickType:13 impliedVol:6.38524053157798E-02 delta:9.18924100185931E-02 optPrice:6.87950879598404E-04 pvDividend:0 gamma: 1.79769313486232E+308 theta/vega/undPrice: -1.44061905937847E-04-4.47281712157604E-04-1.5786</t>
  </si>
  <si>
    <t>2014-11-26 15:58:6.77: RTWSControl  - tickOptionComputation - id:200054 tickType:13 impliedVol:6.69863816331056E-02 delta:1.11582361526212E-03 optPrice:5.34653260739905E-06 pvDividend:0 gamma: 0.219555014769595 theta/vega/undPrice: -3.36220314906063E-06-1.86967119046636E-05-1.5786</t>
  </si>
  <si>
    <t>2014-11-26 15:58:6.271: RTWSControl  - tickOptionComputation - id:200042 tickType:10 impliedVol:9.12202591144932E-02 delta:-0.043711128508972 optPrice:1.99999994947575E-04 pvDividend:0 gamma: 1.79769313486232E+308 theta/vega/undPrice: -2.38938622307202E-04-1.43188963019347E-04-1.5786</t>
  </si>
  <si>
    <t>2014-11-26 15:58:6.342: RTWSControl  - tickOptionComputation - id:200042 tickType:11 impliedVol:9.12202591144932E-02 delta:-0.043711128508972 optPrice:1.99999994947575E-04 pvDividend:0 gamma: 1.79769313486232E+308 theta/vega/undPrice: -2.38938622307202E-04-1.43188963019347E-04-1.5786</t>
  </si>
  <si>
    <t>2014-11-26 15:58:6.405: RTWSControl  - tickOptionComputation - id:200042 tickType:13 impliedVol:8.11061492034497E-02 delta:-2.80708519586771E-02 optPrice:1.08161394247988E-04 pvDividend:0 gamma: 1.79769313486232E+308 theta/vega/undPrice: -1.46396143104424E-04-9.04476914836734E-05-1.5786</t>
  </si>
  <si>
    <t>2014-11-26 15:58:6.454: RTWSControl  - tickOptionComputation - id:200041 tickType:13 impliedVol:7.23873888977806E-02 delta:0.940422307192007 optPrice:1.38293340675316E-02 pvDividend:0 gamma: 1.79769313486232E+308 theta/vega/undPrice: -2.41119819188604E-04-1.64940348414621E-04-1.5786</t>
  </si>
  <si>
    <t>2014-11-26 15:58:6.497: RTWSControl  - tickOptionComputation - id:200043 tickType:13 impliedVol:7.23873888977806E-02 delta:-5.96902123980427E-02 optPrice:2.29528349652299E-04 pvDividend:0 gamma: 1.79769313486232E+308 theta/vega/undPrice: -2.4120967478484E-04-1.64940611747333E-04-1.5786</t>
  </si>
  <si>
    <t>2014-11-26 15:58:6.538: RTWSControl  - tickOptionComputation - id:200044 tickType:13 impliedVol:6.61775857837341E-02 delta:0.859442516095139 optPrice:9.18343993004882E-03 pvDividend:0 gamma: 1.79769313486232E+308 theta/vega/undPrice: -4.16864697672149E-04-2.97555584034543E-04-1.5786</t>
  </si>
  <si>
    <t>2014-11-26 15:58:6.580: RTWSControl  - tickOptionComputation - id:200046 tickType:13 impliedVol:6.61775857837341E-02 delta:-0.140670165453674 optPrice:5.83563449755106E-04 pvDividend:0 gamma: 1.79769313486232E+308 theta/vega/undPrice: -4.16922177982205E-04-2.97555871974574E-04-1.5786</t>
  </si>
  <si>
    <t>2014-11-26 15:58:6.621: RTWSControl  - tickOptionComputation - id:200041 tickType:10 impliedVol:6.16002344782396E-02 delta:0.966552567493834 optPrice:1.37000000104308E-02 pvDividend:0 gamma: 1.79769313486232E+308 theta/vega/undPrice: -1.28522047868251E-04-1.18131445874669E-04-1.5786</t>
  </si>
  <si>
    <t>2014-11-26 15:58:6.664: RTWSControl  - tickOptionComputation - id:200041 tickType:11 impliedVol:8.26403258935019E-02 delta:0.914391979055142 optPrice:1.40000004321337E-02 pvDividend:0 gamma: 1.79769313486232E+308 theta/vega/undPrice: -3.64266037479198E-04-2.15127479174491E-04-1.5786</t>
  </si>
  <si>
    <t>2014-11-26 15:58:6.709: RTWSControl  - tickOptionComputation - id:200043 tickType:10 impliedVol:6.15766944632719E-02 delta:-3.33832095911268E-02 optPrice:9.99999974737875E-05 pvDividend:0 gamma: 1.79769313486232E+308 theta/vega/undPrice: -1.28399400381327E-04-1.18000895121448E-04-1.5786</t>
  </si>
  <si>
    <t>2014-11-26 15:58:6.750: RTWSControl  - tickOptionComputation - id:200043 tickType:11 impliedVol:0.077288714796038 delta:-7.12546641563431E-02 optPrice:3.00000014249235E-04 pvDividend:0 gamma: 1.79769313486232E+308 theta/vega/undPrice: -2.97453596581406E-04-2.00087573379854E-04-1.5786</t>
  </si>
  <si>
    <t>2014-11-26 15:58:6.796: RTWSControl  - tickOptionComputation - id:200044 tickType:10 impliedVol:6.33632748507604E-02 delta:0.870942240543845 optPrice:9.10000037401915E-03 pvDividend:0 gamma: 1.79769313486232E+308 theta/vega/undPrice: -3.78239484154132E-04-2.97555674761101E-04-1.5786</t>
  </si>
  <si>
    <t>2014-11-26 15:58:6.839: RTWSControl  - tickOptionComputation - id:200044 tickType:11 impliedVol:7.34437899548687E-02 delta:0.833485608587299 optPrice:9.39999986439943E-03 pvDividend:0 gamma: 1.79769313486232E+308 theta/vega/undPrice: -5.16590138368132E-04-2.97555349147645E-04-1.5786</t>
  </si>
  <si>
    <t>2014-11-26 15:58:6.906: RTWSControl  - tickOptionComputation - id:200046 tickType:10 impliedVol:6.33523436793811E-02 delta:-0.128996892968565 optPrice:5.00000023748726E-04 pvDividend:0 gamma: 1.79769313486232E+308 theta/vega/undPrice: -3.78146865135774E-04-2.97555962983549E-04-1.5786</t>
  </si>
  <si>
    <t>2014-11-26 15:58:6.956: RTWSControl  - tickOptionComputation - id:200046 tickType:11 impliedVol:7.00794596805146E-02 delta:-0.155200757346992 optPrice:6.99999975040555E-04 pvDividend:0 gamma: 1.79769313486232E+308 theta/vega/undPrice: -4.70473793079646E-04-2.97555746465295E-04-1.5786</t>
  </si>
  <si>
    <t>2014-11-26 15:58:7.2: RTWSControl  - tickOptionComputation - id:200045 tickType:10 impliedVol:6.08352665566478E-02 delta:0.687887036949399 optPrice:5.10000018402934E-03 pvDividend:0 gamma: 1.79769313486232E+308 theta/vega/undPrice: -6.07743747278476E-04-4.45276808058972E-04-1.5786</t>
  </si>
  <si>
    <t>2014-11-26 15:58:7.40: RTWSControl  - tickOptionComputation - id:200045 tickType:11 impliedVol:0.067564901481792 delta:0.670230666004715 optPrice:5.40000014007092E-03 pvDividend:0 gamma: 1.79769313486232E+308 theta/vega/undPrice: -6.89542901007686E-04-4.4527649347779E-04-1.5786</t>
  </si>
  <si>
    <t>2014-11-26 15:58:7.88: RTWSControl  - tickOptionComputation - id:200045 tickType:13 impliedVol:0.062476739861296 delta:0.683314101179288 optPrice:5.17265743094959E-03 pvDividend:0 gamma: 1.79769313486232E+308 theta/vega/undPrice: -6.27695975804669E-04-4.45276733644699E-04-1.5786</t>
  </si>
  <si>
    <t>2014-11-26 15:58:7.131: RTWSControl  - tickOptionComputation - id:200047 tickType:13 impliedVol:0.062476739861296 delta:-0.316799030509476 optPrice:1.57271148733241E-03 pvDividend:0 gamma: 1.79769313486232E+308 theta/vega/undPrice: -6.27721622804108E-04-4.45277370907792E-04-1.5786</t>
  </si>
  <si>
    <t>2014-11-26 15:58:7.173: RTWSControl  - tickOptionComputation - id:200047 tickType:10 impliedVol:0.060834050853084 delta:-0.312096110886136 optPrice:1.50000001303852E-03 pvDividend:0 gamma: 1.79769313486232E+308 theta/vega/undPrice: -6.07754550332903E-04-4.45277445060383E-04-1.5786</t>
  </si>
  <si>
    <t>2014-11-26 15:58:7.241: RTWSControl  - tickOptionComputation - id:200047 tickType:11 impliedVol:6.53249123162902E-02 delta:-0.324285129905583 optPrice:1.70000002253801E-03 pvDividend:0 gamma: 1.79769313486232E+308 theta/vega/undPrice: -0.000662341464704-4.45277238785051E-04-1.5786</t>
  </si>
  <si>
    <t>2014-11-26 15:58:7.293: RTWSControl  - tickOptionComputation - id:200055 tickType:10 impliedVol:6.04592251727092E-02 delta:0.425391721312294 optPrice:2.30000005103648E-03 pvDividend:0 gamma: 1.79769313486232E+308 theta/vega/undPrice: -6.68914457683589E-04-4.83148308004039E-04-1.5786</t>
  </si>
  <si>
    <t>2014-11-26 15:58:7.331: RTWSControl  - tickOptionComputation - id:200055 tickType:11 impliedVol:6.25358548438513E-02 delta:0.427932323084901 optPrice:2.40000011399388E-03 pvDividend:0 gamma: 1.79769313486232E+308 theta/vega/undPrice: -6.92525058190349E-04-4.83148206507784E-04-1.5786</t>
  </si>
  <si>
    <t>2014-11-26 15:58:7.377: RTWSControl  - tickOptionComputation - id:200055 tickType:13 impliedVol:6.12848511304804E-02 delta:0.426476088442928 optPrice:2.33957563544803E-03 pvDividend:0 gamma: 1.79769313486232E+308 theta/vega/undPrice: -6.78301556502799E-04-4.83148268020656E-04-1.5786</t>
  </si>
  <si>
    <t>2014-11-26 15:58:7.419: RTWSControl  - tickOptionComputation - id:200049 tickType:13 impliedVol:6.89418107518964E-02 delta:0.693802115217278 optPrice:1.20133069759824E-02 pvDividend:0 gamma: 1.79769313486232E+308 theta/vega/undPrice: -3.32372551679736E-04-9.14155201256765E-04-1.5786</t>
  </si>
  <si>
    <t>2014-11-26 15:58:7.464: RTWSControl  - tickOptionComputation - id:200050 tickType:13 impliedVol:6.89418107518964E-02 delta:-0.306268009984976 optPrice:3.41385102622912E-03 pvDividend:0 gamma: 1.79769313486232E+308 theta/vega/undPrice: -3.3243355089626E-04-9.14160757065525E-04-1.5786</t>
  </si>
  <si>
    <t>2014-11-26 15:58:7.530: RTWSControl  - tickOptionComputation - id:200049 tickType:10 impliedVol:6.87936426639611E-02 delta:0.694103578091132 optPrice:1.20000001043081E-02 pvDividend:0 gamma: 1.79769313486232E+308 theta/vega/undPrice: -3.31498276113367E-04-9.14155266468866E-04-1.5786</t>
  </si>
  <si>
    <t>2014-11-26 15:58:7.580: RTWSControl  - tickOptionComputation - id:200049 tickType:11 impliedVol:7.09813631638431E-02 delta:0.688524338488368 optPrice:1.21999997645617E-02 pvDividend:0 gamma: 1.79769313486232E+308 theta/vega/undPrice: -3.44407049554395E-04-9.14154292824886E-04-1.5786</t>
  </si>
  <si>
    <t>2014-11-26 15:58:7.626: RTWSControl  - tickOptionComputation - id:200050 tickType:10 impliedVol:6.87876902939974E-02 delta:-0.305824448037739 optPrice:3.40000004507601E-03 pvDividend:0 gamma: 1.79769313486232E+308 theta/vega/undPrice: -3.31524139708103E-04-9.14160824732871E-04-1.5786</t>
  </si>
  <si>
    <t>2014-11-26 15:58:7.665: RTWSControl  - tickOptionComputation - id:200050 tickType:11 impliedVol:6.98815466719769E-02 delta:-0.308658728285273 optPrice:3.50000010803342E-03 pvDividend:0 gamma: 1.79769313486232E+308 theta/vega/undPrice: -3.37978601972744E-04-9.14160341992804E-04-1.5786</t>
  </si>
  <si>
    <t>2014-11-26 15:58:7.710: RTWSControl  - tickOptionComputation - id:200051 tickType:10 impliedVol:6.73963513063841E-02 delta:-0.300601845655259 optPrice:3.1999999191612E-03 pvDividend:0 gamma: 1.79769313486232E+308 theta/vega/undPrice: -3.23692267379466E-04-8.60690051472053E-04-1.5786</t>
  </si>
  <si>
    <t>2014-11-26 15:58:7.754: RTWSControl  - tickOptionComputation - id:200051 tickType:11 impliedVol:7.08595233332212E-02 delta:-0.309362535301234 optPrice:3.50000010803342E-03 pvDividend:0 gamma: 1.79769313486232E+308 theta/vega/undPrice: -3.44694829455534E-04-8.71742364893395E-04-1.5786</t>
  </si>
  <si>
    <t>2014-11-26 15:58:7.820: RTWSControl  - tickOptionComputation - id:200051 tickType:13 impliedVol:7.08589388092085E-02 delta:-0.30940023446548 optPrice:3.49978742503503E-03 pvDividend:0 gamma: 1.79769313486232E+308 theta/vega/undPrice: -3.44691297793093E-04-8.71740624009376E-04-1.5786</t>
  </si>
  <si>
    <t>2014-11-26 15:58:7.870: RTWSControl  - tickOptionComputation - id:200052 tickType:13 impliedVol:0.121437261232282 delta:-0.514823753429237 optPrice:1.26995360670513E-02 pvDividend:0 gamma: 1.79769313486232E+308 theta/vega/undPrice: -6.68086846932443E-04-9.85956775754512E-04-1.5786</t>
  </si>
  <si>
    <t>2014-11-26 15:58:7.910: RTWSControl  - tickOptionComputation - id:200048 tickType:13 impliedVol:8.33353021807195E-02 delta:-2.94063920355398E-02 optPrice:2.41598505049466E-04 pvDividend:0 gamma: 1.79769313486232E+308 theta/vega/undPrice: -7.59989330578336E-05-1.93930677150353E-04-1.5786</t>
  </si>
  <si>
    <t>2014-11-26 15:58:7.955: RTWSControl  - tickOptionComputation - id:200052 tickType:10 impliedVol:1.79769313486232E+308 delta:1.79769313486232E+308 optPrice:1.79769313486232E+308 pvDividend:0 gamma: 1.79769313486232E+308 theta/vega/undPrice: 1.79769313486232E+308-1.79769313486232E+308-1.5786</t>
  </si>
  <si>
    <t>2014-11-26 15:58:7.972: RTWSControl  - tickOptionComputation - id:200052 tickType:11 impliedVol:1.79769313486232E+308 delta:1.79769313486232E+308 optPrice:1.79769313486232E+308 pvDividend:0 gamma: 1.79769313486232E+308 theta/vega/undPrice: 1.79769313486232E+308-1.79769313486232E+308-1.5786</t>
  </si>
  <si>
    <t>2014-11-26 15:58:8.26: RTWSControl  - tickOptionComputation - id:200048 tickType:10 impliedVol:8.10187640055346E-02 delta:-2.55749459276084E-02 optPrice:1.99999994947575E-04 pvDividend:0 gamma: 1.79769313486232E+308 theta/vega/undPrice: -6.59212414943456E-05-1.7929969570883E-04-1.5786</t>
  </si>
  <si>
    <t>2014-11-26 15:58:8.79: RTWSControl  - tickOptionComputation - id:200048 tickType:11 impliedVol:8.65770543047029E-02 delta:-3.44140991560366E-02 optPrice:3.00000014249235E-04 pvDividend:0 gamma: 1.79769313486232E+308 theta/vega/undPrice: -9.01015745767364E-05-2.3064043253748E-04-1.5786</t>
  </si>
  <si>
    <t>2014-11-26 15:58:8.126: RTWSControl  - tickOptionComputation - id:200053 tickType:13 impliedVol:6.35633269827114E-02 delta:9.08063094000936E-02 optPrice:6.75020906066481E-04 pvDividend:0 gamma: 1.79769313486232E+308 theta/vega/undPrice: -1.42191150889683E-04-4.47281766486985E-04-1.5786</t>
  </si>
  <si>
    <t>2014-11-26 15:58:8.163: RTWSControl  - tickOptionComputation - id:200053 tickType:10 impliedVol:6.18744681069856E-02 delta:8.42483443934284E-02 optPrice:6.00000028498471E-04 pvDividend:0 gamma: 1.79769313486232E+308 theta/vega/undPrice: -1.31261782726316E-04-4.47282086706716E-04-1.5786</t>
  </si>
  <si>
    <t>2014-11-26 15:58:8.206: RTWSControl  - tickOptionComputation - id:200053 tickType:11 impliedVol:6.41030548907667E-02 delta:9.28144952842762E-02 optPrice:6.99999975040555E-04 pvDividend:0 gamma: 1.79769313486232E+308 theta/vega/undPrice: -1.45683971005955E-04-4.47281665164614E-04-1.5786</t>
  </si>
  <si>
    <t>2014-11-26 15:58:8.252: RTWSControl  - tickOptionComputation - id:200054 tickType:13 impliedVol:6.71998508731679E-02 delta:1.15721399562991E-03 optPrice:5.57666249268817E-06 pvDividend:0 gamma: 0.226305986156729 theta/vega/undPrice: -3.48770858051699E-06-1.90035492995903E-05-1.5786</t>
  </si>
  <si>
    <t>2014-11-26 15:58:8.295: RTWSControl  - tickOptionComputation - id:200054 tickType:10 impliedVol:1.79769313486232E+308 delta:1.79769313486232E+308 optPrice:1.79769313486232E+308 pvDividend:0 gamma: 1.79769313486232E+308 theta/vega/undPrice: 1.79769313486232E+308-1.79769313486232E+308-1.5786</t>
  </si>
  <si>
    <t>2014-11-26 15:58:8.332: RTWSControl  - tickOptionComputation - id:200054 tickType:11 impliedVol:9.09262055091595E-02 delta:1.24777760648639E-02 optPrice:9.99999974737875E-05 pvDividend:0 gamma: 1.79769313486232E+308 theta/vega/undPrice: -4.00742770258812E-05-1.03760474226534E-04-1.5786</t>
  </si>
  <si>
    <t>2014-11-26 15:58:10.447: RTWSControl  - tickOptionComputation - id:200049 tickType:13 impliedVol:6.89698334528419E-02 delta:0.69372869284207 optPrice:1.20158686918093E-02 pvDividend:0 gamma: 1.79769313486232E+308 theta/vega/undPrice: -3.32537901456337E-04-9.1415518890902E-04-1.5786</t>
  </si>
  <si>
    <t>2014-11-26 15:58:10.522: RTWSControl  - tickOptionComputation - id:200050 tickType:13 impliedVol:6.89698334528419E-02 delta:-0.306341432864535 optPrice:3.41641275762228E-03 pvDividend:0 gamma: 1.79769313486232E+308 theta/vega/undPrice: -3.32598903085025E-04-9.1416074474984E-04-1.5786</t>
  </si>
  <si>
    <t>2014-11-26 15:58:10.589: RTWSControl  - tickOptionComputation - id:200052 tickType:10 impliedVol:1.79769313486232E+308 delta:1.79769313486232E+308 optPrice:1.79769313486232E+308 pvDividend:0 gamma: 1.79769313486232E+308 theta/vega/undPrice: 1.79769313486232E+308-1.79769313486232E+308-1.5786</t>
  </si>
  <si>
    <t>2014-11-26 15:58:10.628: RTWSControl  - tickOptionComputation - id:200052 tickType:11 impliedVol:1.79769313486232E+308 delta:1.79769313486232E+308 optPrice:1.79769313486232E+308 pvDividend:0 gamma: 1.79769313486232E+308 theta/vega/undPrice: 1.79769313486232E+308-1.79769313486232E+308-1.5786</t>
  </si>
  <si>
    <t>2014-11-26 15:58:10.668: RTWSControl  - tickOptionComputation - id:200048 tickType:13 impliedVol:8.33811133845312E-02 delta:-2.94799453738805E-02 optPrice:2.42419899682613E-04 pvDividend:0 gamma: 1.79769313486232E+308 theta/vega/undPrice: -7.6198226449738E-05-1.94449446168815E-04-1.5786</t>
  </si>
  <si>
    <t>2014-11-26 15:58:10.707: RTWSControl  - tickOptionComputation - id:200053 tickType:13 impliedVol:6.35559322682191E-02 delta:9.07783974922791E-02 optPrice:6.74690153263319E-04 pvDividend:0 gamma: 1.79769313486232E+308 theta/vega/undPrice: -1.42143296383173E-04-4.47281767879203E-04-1.5786</t>
  </si>
  <si>
    <t>2014-11-26 15:58:10.746: RTWSControl  - tickOptionComputation - id:200054 tickType:13 impliedVol:6.71394098306575E-02 delta:1.14552151143496E-03 optPrice:5.51150420729692E-06 pvDividend:0 gamma: 0.22440370421325 theta/vega/undPrice: -3.4521733493213E-06-1.89166722791771E-05-1.5786</t>
  </si>
  <si>
    <t>2014-11-26 15:58:10.788: RTWSControl  - tickOptionComputation - id:200054 tickType:10 impliedVol:1.79769313486232E+308 delta:1.79769313486232E+308 optPrice:1.79769313486232E+308 pvDividend:0 gamma: 1.79769313486232E+308 theta/vega/undPrice: 1.79769313486232E+308-1.79769313486232E+308-1.5786</t>
  </si>
  <si>
    <t>2014-11-26 15:58:12.381: DirectionIndicator - notify - price/longMA/ShortMA/prevDirection are 1.5787/1.57862292080887/1.57864104255996/1</t>
  </si>
  <si>
    <t>2014-11-26 15:58:12.382: Algorithm - handleTransition - currentHedgeShortfall is NOT ZERO and AUTOHEDGE IS NOT ENABLED!</t>
  </si>
  <si>
    <t>2014-11-26 15:58:12.416: DirectionIndicator - notify - price/longMA/ShortMA/prevDirection are 1.57875/1.57864602611635/1.57867736170664/1</t>
  </si>
  <si>
    <t>2014-11-26 15:58:12.417: Algorithm - handleTransition - currentHedgeShortfall is NOT ZERO and AUTOHEDGE IS NOT ENABLED!</t>
  </si>
  <si>
    <t>2014-11-26 15:58:13.904: DirectionIndicator - notify - price/longMA/ShortMA/prevDirection are 1.5787/1.57865583954974/1.57868490780443/1</t>
  </si>
  <si>
    <t>2014-11-26 15:58:13.905: Algorithm - handleTransition - currentHedgeShortfall is NOT ZERO and AUTOHEDGE IS NOT ENABLED!</t>
  </si>
  <si>
    <t>2014-11-26 15:58:14.238: DirectionIndicator - notify - price/longMA/ShortMA/prevDirection are 1.57865/1.57865477781343/1.57867327186962/1</t>
  </si>
  <si>
    <t>2014-11-26 15:58:14.241: Algorithm - handleTransition - currentHedgeShortfall is NOT ZERO and AUTOHEDGE IS NOT ENABLED!</t>
  </si>
  <si>
    <t>2014-11-26 15:58:14.363: DirectionIndicator - notify - price/longMA/ShortMA/prevDirection are 1.5787/1.57866300002917/1.57868218124641/1</t>
  </si>
  <si>
    <t>2014-11-26 15:58:14.363: Algorithm - handleTransition - currentHedgeShortfall is NOT ZERO and AUTOHEDGE IS NOT ENABLED!</t>
  </si>
  <si>
    <t>2014-11-26 15:58:14.528: DirectionIndicator - notify - price/longMA/ShortMA/prevDirection are 1.57875/1.57867881820568/1.57870478749761/1</t>
  </si>
  <si>
    <t>2014-11-26 15:58:14.529: Algorithm - handleTransition - currentHedgeShortfall is NOT ZERO and AUTOHEDGE IS NOT ENABLED!</t>
  </si>
  <si>
    <t>2014-11-26 15:58:14.778: RTWSControl  - tickOptionComputation - id:200042 tickType:10 impliedVol:0.091632887013995 delta:-4.35475743339683E-02 optPrice:1.99999994947575E-04 pvDividend:0 gamma: 1.79769313486232E+308 theta/vega/undPrice: -2.39365139813893E-04-1.43193489793032E-04-1.5787</t>
  </si>
  <si>
    <t>2014-11-26 15:58:14.830: RTWSControl  - tickOptionComputation - id:200042 tickType:11 impliedVol:0.091632887013995 delta:-4.35475743339683E-02 optPrice:1.99999994947575E-04 pvDividend:0 gamma: 1.79769313486232E+308 theta/vega/undPrice: -2.39365139813893E-04-1.43193489793032E-04-1.5787</t>
  </si>
  <si>
    <t>2014-11-26 15:58:14.875: RTWSControl  - tickOptionComputation - id:200042 tickType:13 impliedVol:8.18972557472648E-02 delta:-2.86661451701408E-02 optPrice:1.11881682034483E-04 pvDividend:0 gamma: 1.79769313486232E+308 theta/vega/undPrice: -1.50403726186728E-04-9.21510543682881E-05-1.5787</t>
  </si>
  <si>
    <t>2014-11-26 15:58:14.916: RTWSControl  - tickOptionComputation - id:200041 tickType:10 impliedVol:0.061977473277794 delta:0.966710311206061 optPrice:1.37999998405576E-02 pvDividend:0 gamma: 1.79769313486232E+308 theta/vega/undPrice: -1.28801999716763E-04-1.17540677766204E-04-1.5787</t>
  </si>
  <si>
    <t>2014-11-26 15:58:14.958: RTWSControl  - tickOptionComputation - id:200041 tickType:11 impliedVol:8.31219434780971E-02 delta:0.91475136512385 optPrice:1.41000002622604E-02 pvDividend:0 gamma: 1.79769313486232E+308 theta/vega/undPrice: -3.65320204471082E-04-2.15134279202377E-04-1.5787</t>
  </si>
  <si>
    <t>2014-11-26 15:58:15.3: RTWSControl  - tickOptionComputation - id:200041 tickType:13 impliedVol:7.31155407772377E-02 delta:0.939929965270907 optPrice:1.39338630381109E-02 pvDividend:0 gamma: 1.79769313486232E+308 theta/vega/undPrice: -2.45167250057522E-04-1.65999480056462E-04-1.5787</t>
  </si>
  <si>
    <t>2014-11-26 15:58:15.45: RTWSControl  - tickOptionComputation - id:200043 tickType:10 impliedVol:6.19480550282671E-02 delta:-3.32132164580211E-02 optPrice:9.99999974737875E-05 pvDividend:0 gamma: 1.79769313486232E+308 theta/vega/undPrice: -1.28626986140668E-04-1.17377487682892E-04-1.5787</t>
  </si>
  <si>
    <t>2014-11-26 15:58:15.89: RTWSControl  - tickOptionComputation - id:200043 tickType:11 impliedVol:7.77132123626467E-02 delta:-7.09409463676305E-02 optPrice:3.00000014249235E-04 pvDividend:0 gamma: 1.79769313486232E+308 theta/vega/undPrice: -2.98018848472858E-04-1.98970271017452E-04-1.5787</t>
  </si>
  <si>
    <t>2014-11-26 15:58:15.161: RTWSControl  - tickOptionComputation - id:200043 tickType:13 impliedVol:7.31155407772377E-02 delta:-6.01825546768624E-02 optPrice:2.34058750727411E-04 pvDividend:0 gamma: 1.79769313486232E+308 theta/vega/undPrice: -2.45257768909173E-04-1.6599974555578E-04-1.5787</t>
  </si>
  <si>
    <t>2014-11-26 15:58:15.207: RTWSControl  - tickOptionComputation - id:200044 tickType:10 impliedVol:6.39123921714063E-02 delta:0.87174103534592 optPrice:9.20000020414591E-03 pvDividend:0 gamma: 1.79769313486232E+308 theta/vega/undPrice: -3.80089767336702E-04-2.97565082705903E-04-1.5787</t>
  </si>
  <si>
    <t>2014-11-26 15:58:15.249: RTWSControl  - tickOptionComputation - id:200044 tickType:11 impliedVol:7.39892424826546E-02 delta:0.834467710465493 optPrice:9.4999996945262E-03 pvDividend:0 gamma: 1.79769313486232E+308 theta/vega/undPrice: -5.1839448918707E-04-2.97564753480063E-04-1.5787</t>
  </si>
  <si>
    <t>2014-11-26 15:58:15.297: RTWSControl  - tickOptionComputation - id:200044 tickType:13 impliedVol:0.066839848691771 delta:0.859860156970859 optPrice:9.28709601602397E-03 pvDividend:0 gamma: 1.79769313486232E+308 theta/vega/undPrice: -4.20269123634367E-04-2.97564987247803E-04-1.5787</t>
  </si>
  <si>
    <t>2014-11-26 15:58:15.339: RTWSControl  - tickOptionComputation - id:200046 tickType:10 impliedVol:6.39078019804809E-02 delta:-0.128225537332216 optPrice:5.00000023748726E-04 pvDividend:0 gamma: 1.79769313486232E+308 theta/vega/undPrice: -3.80084836448139E-04-2.97565370728042E-04-1.5787</t>
  </si>
  <si>
    <t>2014-11-26 15:58:15.383: RTWSControl  - tickOptionComputation - id:200046 tickType:11 impliedVol:7.06505874264553E-02 delta:-0.154349989522801 optPrice:6.99999975040555E-04 pvDividend:0 gamma: 1.79769313486232E+308 theta/vega/undPrice: -4.72629742146727E-04-2.97565151168489E-04-1.5787</t>
  </si>
  <si>
    <t>2014-11-26 15:58:15.452: RTWSControl  - tickOptionComputation - id:200046 tickType:13 impliedVol:0.066839848691771 delta:-0.140252524139641 optPrice:5.87220968981971E-04 pvDividend:0 gamma: 1.79769313486232E+308 theta/vega/undPrice: -4.20327269580904E-04-2.97565275189286E-04-1.5787</t>
  </si>
  <si>
    <t>2014-11-26 15:58:15.498: RTWSControl  - tickOptionComputation - id:200045 tickType:10 impliedVol:0.061597447884284 delta:0.690575340700914 optPrice:5.2000000141561E-03 pvDividend:0 gamma: 1.79769313486232E+308 theta/vega/undPrice: -6.13373033670962E-04-4.45290877971808E-04-1.5787</t>
  </si>
  <si>
    <t>2014-11-26 15:58:15.542: RTWSControl  - tickOptionComputation - id:200045 tickType:11 impliedVol:0.066088895601475 delta:0.678345011086707 optPrice:5.40000014007092E-03 pvDividend:0 gamma: 1.79769313486232E+308 theta/vega/undPrice: -6.67968609686782E-04-4.45290667866426E-04-1.5787</t>
  </si>
  <si>
    <t>2014-11-26 15:58:15.589: RTWSControl  - tickOptionComputation - id:200045 tickType:13 impliedVol:6.30701794908504E-02 delta:0.686458896315078 optPrice:5.26557943739712E-03 pvDividend:0 gamma: 1.79769313486232E+308 theta/vega/undPrice: -6.31274758525847E-04-4.4529081031567E-04-1.5787</t>
  </si>
  <si>
    <t>2014-11-26 15:58:15.630: RTWSControl  - tickOptionComputation - id:200047 tickType:10 impliedVol:6.15962039183296E-02 delta:-0.309407711602971 optPrice:1.50000001303852E-03 pvDividend:0 gamma: 1.79769313486232E+308 theta/vega/undPrice: -6.13384165531094E-04-4.45291514784274E-04-1.5787</t>
  </si>
  <si>
    <t>2014-11-26 15:58:15.682: RTWSControl  - tickOptionComputation - id:200047 tickType:11 impliedVol:6.61058321215637E-02 delta:-0.321684653310026 optPrice:1.70000002253801E-03 pvDividend:0 gamma: 1.79769313486232E+308 theta/vega/undPrice: -6.68200917332157E-04-4.45291304667817E-04-1.5787</t>
  </si>
  <si>
    <t>2014-11-26 15:58:15.751: RTWSControl  - tickOptionComputation - id:200047 tickType:13 impliedVol:6.30701794908504E-02 delta:-0.313654230404002 optPrice:1.56563492281082E-03 pvDividend:0 gamma: 1.79769313486232E+308 theta/vega/undPrice: -6.31301071460259E-04-4.45291447350329E-04-1.5787</t>
  </si>
  <si>
    <t>2014-11-26 15:58:15.789: RTWSControl  - tickOptionComputation - id:200055 tickType:10 impliedVol:5.95354296648273E-02 delta:0.429688248388935 optPrice:2.30000005103648E-03 pvDividend:0 gamma: 1.79769313486232E+308 theta/vega/undPrice: -6.59753423142253E-04-4.83163653824678E-04-1.5787</t>
  </si>
  <si>
    <t>2014-11-26 15:58:15.831: RTWSControl  - tickOptionComputation - id:200055 tickType:11 impliedVol:6.36956160934368E-02 delta:0.434404750758461 optPrice:2.49999994412065E-03 pvDividend:0 gamma: 1.79769313486232E+308 theta/vega/undPrice: -7.07054879248081E-04-4.83163450481697E-04-1.5787</t>
  </si>
  <si>
    <t>2014-11-26 15:58:15.877: RTWSControl  - tickOptionComputation - id:200055 tickType:13 impliedVol:6.18065331744617E-02 delta:0.432395350426814 optPrice:2.40926079003226E-03 pvDividend:0 gamma: 1.79769313486232E+308 theta/vega/undPrice: -6.85575951094901E-04-4.83163544355293E-04-1.5787</t>
  </si>
  <si>
    <t>2014-11-26 15:58:15.918: RTWSControl  - tickOptionComputation - id:200049 tickType:10 impliedVol:6.80676756972377E-02 delta:0.698179669122047 optPrice:1.20000001043081E-02 pvDividend:0 gamma: 1.79769313486232E+308 theta/vega/undPrice: -3.26361882738813E-04-9.14184547044753E-04-1.5787</t>
  </si>
  <si>
    <t>2014-11-26 15:58:15.965: RTWSControl  - tickOptionComputation - id:200049 tickType:11 impliedVol:7.13492779951239E-02 delta:0.689666180963118 optPrice:1.22999995946884E-02 pvDividend:0 gamma: 1.79769313486232E+308 theta/vega/undPrice: -3.45725787615092E-04-9.14183086166892E-04-1.5787</t>
  </si>
  <si>
    <t>2014-11-26 15:58:16.36: RTWSControl  - tickOptionComputation - id:200049 tickType:13 impliedVol:6.89405837652668E-02 delta:0.695923047287913 optPrice:1.20798001830153E-02 pvDividend:0 gamma: 1.79769313486232E+308 theta/vega/undPrice: -3.31512699704859E-04-9.14184163519143E-04-1.5787</t>
  </si>
  <si>
    <t>2014-11-26 15:58:16.82: RTWSControl  - tickOptionComputation - id:200050 tickType:10 impliedVol:6.80616641733998E-02 delta:-0.301747641133682 optPrice:3.29999998211861E-03 pvDividend:0 gamma: 1.79769313486232E+308 theta/vega/undPrice: -3.26387974128413E-04-9.141901052466E-04-1.5787</t>
  </si>
  <si>
    <t>2014-11-26 15:58:16.122: RTWSControl  - tickOptionComputation - id:200050 tickType:11 impliedVol:7.02493902780636E-02 delta:-0.30751368764803 optPrice:3.50000010803342E-03 pvDividend:0 gamma: 1.79769313486232E+308 theta/vega/undPrice: -3.39297389128477E-04-9.14189137999807E-04-1.5787</t>
  </si>
  <si>
    <t>2014-11-26 15:58:16.167: RTWSControl  - tickOptionComputation - id:200050 tickType:13 impliedVol:6.89405837652668E-02 delta:-0.304147063316331 optPrice:3.38035011460729E-03 pvDividend:0 gamma: 1.79769313486232E+308 theta/vega/undPrice: -3.31574339286398E-04-9.14189719111076E-04-1.5787</t>
  </si>
  <si>
    <t>2014-11-26 15:58:16.211: RTWSControl  - tickOptionComputation - id:200051 tickType:13 impliedVol:7.12160984331769E-02 delta:-0.308259922855604 optPrice:3.5000193522153E-03 pvDividend:0 gamma: 1.79769313486232E+308 theta/vega/undPrice: -3.45891223143983E-04-8.70387962300973E-04-1.5787</t>
  </si>
  <si>
    <t>2014-11-26 15:58:16.252: RTWSControl  - tickOptionComputation - id:200051 tickType:10 impliedVol:6.77477081534664E-02 delta:-0.299450159322714 optPrice:3.1999999191612E-03 pvDividend:0 gamma: 1.79769313486232E+308 theta/vega/undPrice: -3.24835860905131E-04-8.5925111857994E-04-1.5787</t>
  </si>
  <si>
    <t>2014-11-26 15:58:16.319: RTWSControl  - tickOptionComputation - id:200051 tickType:11 impliedVol:7.12160989460383E-02 delta:-0.308220954562007 optPrice:3.50000010803342E-03 pvDividend:0 gamma: 1.79769313486232E+308 theta/vega/undPrice: -3.4589122624575E-04-8.70387963838284E-04-1.5787</t>
  </si>
  <si>
    <t>2014-11-26 15:58:16.373: RTWSControl  - tickOptionComputation - id:200052 tickType:13 impliedVol:0.121963251249186 delta:-0.513405439648735 optPrice:1.27000000124998E-02 pvDividend:0 gamma: 1.79769313486232E+308 theta/vega/undPrice: -6.71107724436725E-04-9.86143054488463E-04-1.5787</t>
  </si>
  <si>
    <t>2014-11-26 15:58:16.414: RTWSControl  - tickOptionComputation - id:200048 tickType:13 impliedVol:8.33146256580743E-02 delta:-2.90294071679826E-02 optPrice:2.38030146985089E-04 pvDividend:0 gamma: 1.79769313486232E+308 theta/vega/undPrice: -7.51781705369574E-05-1.91035524796668E-04-1.5787</t>
  </si>
  <si>
    <t>2014-11-26 15:58:16.457: RTWSControl  - tickOptionComputation - id:200053 tickType:13 impliedVol:0.064606739866317 delta:9.57872996477607E-02 optPrice:7.31913489326116E-04 pvDividend:0 gamma: 1.79769313486232E+308 theta/vega/undPrice: -1.50214516681235E-04-4.47295742163633E-04-1.5787</t>
  </si>
  <si>
    <t>2014-11-26 15:58:16.497: RTWSControl  - tickOptionComputation - id:200052 tickType:10 impliedVol:1.79769313486232E+308 delta:1.79769313486232E+308 optPrice:1.79769313486232E+308 pvDividend:0 gamma: 1.79769313486232E+308 theta/vega/undPrice: 1.79769313486232E+308-1.79769313486232E+308-1.5787</t>
  </si>
  <si>
    <t>2014-11-26 15:58:16.533: RTWSControl  - tickOptionComputation - id:200052 tickType:11 impliedVol:1.79769313486232E+308 delta:1.79769313486232E+308 optPrice:1.79769313486232E+308 pvDividend:0 gamma: 1.79769313486232E+308 theta/vega/undPrice: 1.79769313486232E+308-1.79769313486232E+308-1.5787</t>
  </si>
  <si>
    <t>2014-11-26 15:58:16.575: RTWSControl  - tickOptionComputation - id:200054 tickType:13 impliedVol:7.03130939612233E-02 delta:1.75682632445902E-03 optPrice:9.06536575281287E-06 pvDividend:0 gamma: 0.31938240968025 theta/vega/undPrice: -5.38946650824834E-06-2.66509495161219E-05-1.5787</t>
  </si>
  <si>
    <t>2014-11-26 15:58:16.620: RTWSControl  - tickOptionComputation - id:200048 tickType:10 impliedVol:8.12247759354732E-02 delta:-2.55717712961381E-02 optPrice:1.99999994947575E-04 pvDividend:0 gamma: 1.79769313486232E+308 theta/vega/undPrice: -6.60863597845899E-05-1.79305354247875E-04-1.5787</t>
  </si>
  <si>
    <t>2014-11-26 15:58:16.662: RTWSControl  - tickOptionComputation - id:200048 tickType:11 impliedVol:8.67707316943628E-02 delta:-3.43714147864349E-02 optPrice:3.00000014249235E-04 pvDividend:0 gamma: 1.79769313486232E+308 theta/vega/undPrice: -9.02137942324507E-05-2.30173872722796E-04-1.5787</t>
  </si>
  <si>
    <t>2014-11-26 15:58:16.710: RTWSControl  - tickOptionComputation - id:200053 tickType:10 impliedVol:6.16576150132169E-02 delta:8.45413609468588E-02 optPrice:6.00000028498471E-04 pvDividend:0 gamma: 1.79769313486232E+308 theta/vega/undPrice: -1.31128799913768E-04-4.47296295087128E-04-1.5787</t>
  </si>
  <si>
    <t>2014-11-26 15:58:16.748: RTWSControl  - tickOptionComputation - id:200053 tickType:11 impliedVol:6.61289178323111E-02 delta:0.101182884291679 optPrice:7.999999797903E-04 pvDividend:0 gamma: 1.79769313486232E+308 theta/vega/undPrice: -1.60065510484515E-04-4.70911755960389E-04-1.5787</t>
  </si>
  <si>
    <t>2014-11-26 15:58:16.793: RTWSControl  - tickOptionComputation - id:200054 tickType:10 impliedVol:1.79769313486232E+308 delta:1.79769313486232E+308 optPrice:1.79769313486232E+308 pvDividend:0 gamma: 1.79769313486232E+308 theta/vega/undPrice: 1.79769313486232E+308-1.79769313486232E+308-1.5787</t>
  </si>
  <si>
    <t>2014-11-26 15:58:16.829: RTWSControl  - tickOptionComputation - id:200054 tickType:11 impliedVol:9.07585014474785E-02 delta:1.24896063318293E-02 optPrice:9.99999974737875E-05 pvDividend:0 gamma: 1.79769313486232E+308 theta/vega/undPrice: -4.00344655603176E-05-1.03763771366619E-04-1.5787</t>
  </si>
  <si>
    <t>2014-11-26 15:58:17.31: DirectionIndicator - notify - price/longMA/ShortMA/prevDirection are 1.5787/1.57868266944101/1.57870319166507/1</t>
  </si>
  <si>
    <t>2014-11-26 15:58:17.31: Algorithm - handleTransition - currentHedgeShortfall is NOT ZERO and AUTOHEDGE IS NOT ENABLED!</t>
  </si>
  <si>
    <t>2014-11-26 15:58:17.292: DirectionIndicator - notify - price/longMA/ShortMA/prevDirection are 1.57875/1.57869491136083/1.57871879444338/1</t>
  </si>
  <si>
    <t>2014-11-26 15:58:17.293: Algorithm - handleTransition - currentHedgeShortfall is NOT ZERO and AUTOHEDGE IS NOT ENABLED!</t>
  </si>
  <si>
    <t>2014-11-26 15:58:17.737: RTWSControl  - tickOptionComputation - id:200052 tickType:10 impliedVol:1.79769313486232E+308 delta:1.79769313486232E+308 optPrice:1.79769313486232E+308 pvDividend:0 gamma: 1.79769313486232E+308 theta/vega/undPrice: 1.79769313486232E+308-1.79769313486232E+308-1.5787</t>
  </si>
  <si>
    <t>2014-11-26 15:58:17.755: RTWSControl  - tickOptionComputation - id:200052 tickType:11 impliedVol:1.79769313486232E+308 delta:1.79769313486232E+308 optPrice:1.79769313486232E+308 pvDividend:0 gamma: 1.79769313486232E+308 theta/vega/undPrice: 1.79769313486232E+308-1.79769313486232E+308-1.5787</t>
  </si>
  <si>
    <t>2014-11-26 15:58:17.817: RTWSControl  - tickOptionComputation - id:200054 tickType:10 impliedVol:1.79769313486232E+308 delta:1.79769313486232E+308 optPrice:1.79769313486232E+308 pvDividend:0 gamma: 1.79769313486232E+308 theta/vega/undPrice: 1.79769313486232E+308-1.79769313486232E+308-1.5787</t>
  </si>
  <si>
    <t>2014-11-26 15:58:18.491: RTWSControl  - tickOptionComputation - id:200042 tickType:13 impliedVol:8.17775989385154E-02 delta:-2.84671983101916E-02 optPrice:1.1083152700424E-04 pvDividend:0 gamma: 1.79769313486232E+308 theta/vega/undPrice: -1.49326223895278E-04-9.14878004863279E-05-1.5787</t>
  </si>
  <si>
    <t>2014-11-26 15:58:18.540: RTWSControl  - tickOptionComputation - id:200041 tickType:13 impliedVol:7.30215065424034E-02 delta:0.940164362268063 optPrice:1.39325143698158E-02 pvDividend:0 gamma: 1.79769313486232E+308 theta/vega/undPrice: -2.44088150777334E-04-1.65325148221346E-04-1.5787</t>
  </si>
  <si>
    <t>2014-11-26 15:58:18.587: RTWSControl  - tickOptionComputation - id:200043 tickType:13 impliedVol:7.30215065424034E-02 delta:-5.99481575089017E-02 optPrice:2.32710081507405E-04 pvDividend:0 gamma: 1.79769313486232E+308 theta/vega/undPrice: -2.44178668418244E-04-1.65325413004282E-04-1.5787</t>
  </si>
  <si>
    <t>2014-11-26 15:58:18.631: RTWSControl  - tickOptionComputation - id:200044 tickType:13 impliedVol:6.68379495262172E-02 delta:0.859867594820313 optPrice:9.28703950347525E-03 pvDividend:0 gamma: 1.79769313486232E+308 theta/vega/undPrice: -4.20243057584709E-04-2.97564987307906E-04-1.5787</t>
  </si>
  <si>
    <t>2014-11-26 15:58:18.673: RTWSControl  - tickOptionComputation - id:200046 tickType:13 impliedVol:6.68379495262172E-02 delta:-0.140245086282449 optPrice:5.87164456379044E-04 pvDividend:0 gamma: 1.79769313486232E+308 theta/vega/undPrice: -4.20301203481884E-04-2.97565275252075E-04-1.5787</t>
  </si>
  <si>
    <t>2014-11-26 15:58:18.740: RTWSControl  - tickOptionComputation - id:200045 tickType:13 impliedVol:6.32269278899855E-02 delta:0.686023062543054 optPrice:5.27255930307254E-03 pvDividend:0 gamma: 1.79769313486232E+308 theta/vega/undPrice: -6.33180106471325E-04-4.45290803038602E-04-1.5787</t>
  </si>
  <si>
    <t>2014-11-26 15:58:18.793: RTWSControl  - tickOptionComputation - id:200047 tickType:13 impliedVol:6.32269278899855E-02 delta:-0.314090064863673 optPrice:1.5726147984578E-03 pvDividend:0 gamma: 1.79769313486232E+308 theta/vega/undPrice: -6.33206425796004E-04-4.45291440107701E-04-1.5787</t>
  </si>
  <si>
    <t>2014-11-26 15:58:18.834: RTWSControl  - tickOptionComputation - id:200055 tickType:13 impliedVol:6.21884416336798E-02 delta:0.432822659406726 optPrice:2.42771322330917E-03 pvDividend:0 gamma: 1.79769313486232E+308 theta/vega/undPrice: -0.000689918262364-4.83163525582852E-04-1.5787</t>
  </si>
  <si>
    <t>2014-11-26 15:58:18.871: RTWSControl  - tickOptionComputation - id:200049 tickType:13 impliedVol:6.90664556745073E-02 delta:0.695589859768157 optPrice:1.20913072205691E-02 pvDividend:0 gamma: 1.79769313486232E+308 theta/vega/undPrice: -3.32255438615851E-04-9.14184107913897E-04-1.5787</t>
  </si>
  <si>
    <t>2014-11-26 15:58:18.917: RTWSControl  - tickOptionComputation - id:200050 tickType:13 impliedVol:6.90664556745073E-02 delta:-0.304480253124806 optPrice:3.39185722209091E-03 pvDividend:0 gamma: 1.79769313486232E+308 theta/vega/undPrice: -3.32317089033462E-04-9.14189663503973E-04-1.5787</t>
  </si>
  <si>
    <t>2014-11-26 15:58:18.959: RTWSControl  - tickOptionComputation - id:200052 tickType:10 impliedVol:1.79769313486232E+308 delta:1.79769313486232E+308 optPrice:1.79769313486232E+308 pvDividend:0 gamma: 1.79769313486232E+308 theta/vega/undPrice: 1.79769313486232E+308-1.79769313486232E+308-1.5787</t>
  </si>
  <si>
    <t>2014-11-26 15:58:18.993: RTWSControl  - tickOptionComputation - id:200052 tickType:11 impliedVol:1.79769313486232E+308 delta:1.79769313486232E+308 optPrice:1.79769313486232E+308 pvDividend:0 gamma: 1.79769313486232E+308 theta/vega/undPrice: 1.79769313486232E+308-1.79769313486232E+308-1.5787</t>
  </si>
  <si>
    <t>2014-11-26 15:58:19.38: RTWSControl  - tickOptionComputation - id:200048 tickType:13 impliedVol:8.30820230305225E-02 delta:-2.86535527773328E-02 optPrice:2.33859450638437E-04 pvDividend:0 gamma: 1.79769313486232E+308 theta/vega/undPrice: -7.41662425106356E-05-1.88401433705874E-04-1.5787</t>
  </si>
  <si>
    <t>2014-11-26 15:58:19.82: RTWSControl  - tickOptionComputation - id:200053 tickType:13 impliedVol:6.47490996543585E-02 delta:9.63038475199305E-02 optPrice:7.38281195203196E-04 pvDividend:0 gamma: 1.79769313486232E+308 theta/vega/undPrice: -1.51135818999459E-04-4.47400195945386E-04-1.5787</t>
  </si>
  <si>
    <t>2014-11-26 15:58:19.122: RTWSControl  - tickOptionComputation - id:200054 tickType:13 impliedVol:0.070129954970076 delta:1.72446987137461E-03 optPrice:8.8679272981597E-06 pvDividend:0 gamma: 0.314638333601021 theta/vega/undPrice: -5.28178995394652E-06-2.58694269135866E-05-1.5787</t>
  </si>
  <si>
    <t>2014-11-26 15:58:19.166: RTWSControl  - tickOptionComputation - id:200054 tickType:10 impliedVol:1.79769313486232E+308 delta:1.79769313486232E+308 optPrice:1.79769313486232E+308 pvDividend:0 gamma: 1.79769313486232E+308 theta/vega/undPrice: 1.79769313486232E+308-1.79769313486232E+308-1.5787</t>
  </si>
  <si>
    <t>2014-11-26 15:58:19.625: DirectionIndicator - notify - price/longMA/ShortMA/prevDirection are 1.5788/1.57871401838613/1.57874586296225/1</t>
  </si>
  <si>
    <t>2014-11-26 15:58:19.625: Algorithm - handleTransition - currentHedgeShortfall is NOT ZERO and AUTOHEDGE IS NOT ENABLED!</t>
  </si>
  <si>
    <t>2014-11-26 15:58:19.666: DirectionIndicator - notify - price/longMA/ShortMA/prevDirection are 1.57885/1.57873874231593/1.57878057530817/1</t>
  </si>
  <si>
    <t>2014-11-26 15:58:19.666: Algorithm - handleTransition - currentHedgeShortfall is NOT ZERO and AUTOHEDGE IS NOT ENABLED!</t>
  </si>
  <si>
    <t>2014-11-26 15:58:20.618: RTWSControl  - tickOptionComputation - id:200049 tickType:10 impliedVol:6.91615425855297E-02 delta:0.695251070990881 optPrice:1.20999999344349E-02 pvDividend:0 gamma: 1.79769313486232E+308 theta/vega/undPrice: -3.32816522816418E-04-9.14184065857635E-04-1.5787</t>
  </si>
  <si>
    <t>2014-11-26 15:58:20.671: RTWSControl  - tickOptionComputation - id:200049 tickType:11 impliedVol:7.24413318525947E-02 delta:0.68700601856439 optPrice:1.24000003561378E-02 pvDividend:0 gamma: 1.79769313486232E+308 theta/vega/undPrice: -3.52169704257545E-04-9.14182588498682E-04-1.5787</t>
  </si>
  <si>
    <t>2014-11-26 15:58:20.716: RTWSControl  - tickOptionComputation - id:200051 tickType:10 impliedVol:6.65808091008111E-02 delta:-0.296319612978368 optPrice:3.10000008903444E-03 pvDividend:0 gamma: 1.79769313486232E+308 theta/vega/undPrice: -3.17715014735835E-04-8.55143794035706E-04-1.5787</t>
  </si>
  <si>
    <t>2014-11-26 15:58:20.788: RTWSControl  - tickOptionComputation - id:200051 tickType:11 impliedVol:7.00646213313663E-02 delta:-0.305394173508647 optPrice:3.40000004507601E-03 pvDividend:0 gamma: 1.79769313486232E+308 theta/vega/undPrice: -3.38918657971459E-04-8.66857999886671E-04-1.5787</t>
  </si>
  <si>
    <t>2014-11-26 15:58:20.844: RTWSControl  - tickOptionComputation - id:200052 tickType:10 impliedVol:1.79769313486232E+308 delta:1.79769313486232E+308 optPrice:1.79769313486232E+308 pvDividend:0 gamma: 1.79769313486232E+308 theta/vega/undPrice: 1.79769313486232E+308-1.79769313486232E+308-1.5787</t>
  </si>
  <si>
    <t>2014-11-26 15:58:20.867: RTWSControl  - tickOptionComputation - id:200052 tickType:11 impliedVol:1.79769313486232E+308 delta:1.79769313486232E+308 optPrice:1.79769313486232E+308 pvDividend:0 gamma: 1.79769313486232E+308 theta/vega/undPrice: 1.79769313486232E+308-1.79769313486232E+308-1.5787</t>
  </si>
  <si>
    <t>2014-11-26 15:58:20.909: RTWSControl  - tickOptionComputation - id:200041 tickType:10 impliedVol:7.07544599524869E-02 delta:0.945884705148172 optPrice:1.38999996706843E-02 pvDividend:0 gamma: 1.79769313486232E+308 theta/vega/undPrice: -2.1807242539461E-04-1.49067855840219E-04-1.5787</t>
  </si>
  <si>
    <t>2014-11-26 15:58:20.955: RTWSControl  - tickOptionComputation - id:200041 tickType:11 impliedVol:8.77701934464663E-02 delta:0.902042732675649 optPrice:1.42000000923872E-02 pvDividend:0 gamma: 1.79769313486232E+308 theta/vega/undPrice: -4.26505643024559E-04-2.15134146041676E-04-1.5787</t>
  </si>
  <si>
    <t>2014-11-26 15:58:21.0: RTWSControl  - tickOptionComputation - id:200044 tickType:10 impliedVol:6.72713422791251E-02 delta:0.858072689083181 optPrice:9.30000003427267E-03 pvDividend:0 gamma: 1.79769313486232E+308 theta/vega/undPrice: -4.26191373390424E-04-2.97564973164303E-04-1.5787</t>
  </si>
  <si>
    <t>2014-11-26 15:58:21.41: RTWSControl  - tickOptionComputation - id:200044 tickType:11 impliedVol:7.73553483098091E-02 delta:0.824186063476321 optPrice:9.60000045597553E-03 pvDividend:0 gamma: 1.79769313486232E+308 theta/vega/undPrice: -5.64594209587909E-04-3.20718962982601E-04-1.5787</t>
  </si>
  <si>
    <t>2014-11-26 15:58:21.83: RTWSControl  - tickOptionComputation - id:200045 tickType:10 impliedVol:6.38431662878312E-02 delta:0.684243971207276 optPrice:5.29999984428287E-03 pvDividend:0 gamma: 1.79769313486232E+308 theta/vega/undPrice: -6.40670763193129E-04-4.45290774318608E-04-1.5787</t>
  </si>
  <si>
    <t>2014-11-26 15:58:21.124: RTWSControl  - tickOptionComputation - id:200045 tickType:11 impliedVol:6.83346370760065E-02 delta:0.672835828498836 optPrice:5.49999997019768E-03 pvDividend:0 gamma: 1.79769313486232E+308 theta/vega/undPrice: -6.95266587847198E-04-4.45290558609596E-04-1.5787</t>
  </si>
  <si>
    <t>2014-11-26 15:58:21.171: RTWSControl  - tickOptionComputation - id:200047 tickType:10 impliedVol:5.93412374926408E-02 delta:-0.302565397356818 optPrice:1.39999995008111E-03 pvDividend:0 gamma: 1.79769313486232E+308 theta/vega/undPrice: -5.85973914913033E-04-4.45291615629237E-04-1.5787</t>
  </si>
  <si>
    <t>2014-11-26 15:58:21.214: RTWSControl  - tickOptionComputation - id:200047 tickType:11 impliedVol:6.38511677203593E-02 delta:-0.315764485098749 optPrice:1.5999999595806E-03 pvDividend:0 gamma: 1.79769313486232E+308 theta/vega/undPrice: -6.40794368999242E-04-4.45291411130835E-04-1.5787</t>
  </si>
  <si>
    <t>2014-11-26 15:58:21.258: RTWSControl  - tickOptionComputation - id:200054 tickType:10 impliedVol:1.79769313486232E+308 delta:1.79769313486232E+308 optPrice:1.79769313486232E+308 pvDividend:0 gamma: 1.79769313486232E+308 theta/vega/undPrice: 1.79769313486232E+308-1.79769313486232E+308-1.5787</t>
  </si>
  <si>
    <t>2014-11-26 15:58:22.360: RTWSControl  - tickOptionComputation - id:200042 tickType:13 impliedVol:8.22031735887379E-02 delta:-2.84509865184576E-02 optPrice:1.11344068282815E-04 pvDividend:0 gamma: 1.79769313486232E+308 theta/vega/undPrice: -1.50042526863236E-04-9.11652240910667E-05-1.5788</t>
  </si>
  <si>
    <t>2014-11-26 15:58:22.419: RTWSControl  - tickOptionComputation - id:200042 tickType:10 impliedVol:9.20279410363027E-02 delta:-4.33476802958731E-02 optPrice:1.99999994947575E-04 pvDividend:0 gamma: 1.79769313486232E+308 theta/vega/undPrice: -2.39590602182974E-04-1.43198016788885E-04-1.5788</t>
  </si>
  <si>
    <t>2014-11-26 15:58:22.475: RTWSControl  - tickOptionComputation - id:200042 tickType:11 impliedVol:9.20279410363027E-02 delta:-4.33476802958731E-02 optPrice:1.99999994947575E-04 pvDividend:0 gamma: 1.79769313486232E+308 theta/vega/undPrice: -2.39590602182974E-04-1.43198016788885E-04-1.5788</t>
  </si>
  <si>
    <t>2014-11-26 15:58:22.542: RTWSControl  - tickOptionComputation - id:200041 tickType:13 impliedVol:7.33710194080999E-02 delta:0.94061677765598 optPrice:1.40316132280562E-02 pvDividend:0 gamma: 1.79769313486232E+308 theta/vega/undPrice: -2.43790828687662E-04-1.63669233024577E-04-1.5788</t>
  </si>
  <si>
    <t>2014-11-26 15:58:22.590: RTWSControl  - tickOptionComputation - id:200043 tickType:13 impliedVol:7.33710194080999E-02 delta:-5.94957417905204E-02 optPrice:2.31810366517172E-04 pvDividend:0 gamma: 1.79769313486232E+308 theta/vega/undPrice: -2.43882004708232E-04-1.63669497093954E-04-1.5788</t>
  </si>
  <si>
    <t>2014-11-26 15:58:22.631: RTWSControl  - tickOptionComputation - id:200041 tickType:10 impliedVol:6.23448315712066E-02 delta:0.966886978473838 optPrice:1.38999996706843E-02 pvDividend:0 gamma: 1.79769313486232E+308 theta/vega/undPrice: -1.28993048081486E-04-1.16895185362873E-04-1.5788</t>
  </si>
  <si>
    <t>2014-11-26 15:58:22.673: RTWSControl  - tickOptionComputation - id:200041 tickType:11 impliedVol:8.35903001179433E-02 delta:0.915144638706875 optPrice:1.42000000923872E-02 pvDividend:0 gamma: 1.79769313486232E+308 theta/vega/undPrice: -3.6620021153748E-04-2.1514107933771E-04-1.5788</t>
  </si>
  <si>
    <t>2014-11-26 15:58:22.722: RTWSControl  - tickOptionComputation - id:200043 tickType:10 impliedVol:6.23194155932623E-02 delta:-3.30453075926405E-02 optPrice:9.99999974737875E-05 pvDividend:0 gamma: 1.79769313486232E+308 theta/vega/undPrice: -1.28854783897361E-04-1.1675421075363E-04-1.5788</t>
  </si>
  <si>
    <t>2014-11-26 15:58:22.759: RTWSControl  - tickOptionComputation - id:200043 tickType:11 impliedVol:7.81253063337912E-02 delta:-7.06034839318528E-02 optPrice:3.00000014249235E-04 pvDividend:0 gamma: 1.79769313486232E+308 theta/vega/undPrice: -2.98442065254833E-04-1.97764210730072E-04-1.5788</t>
  </si>
  <si>
    <t>2014-11-26 15:58:22.824: RTWSControl  - tickOptionComputation - id:200044 tickType:10 impliedVol:6.44523448515651E-02 delta:0.872565082433823 optPrice:9.30000003427267E-03 pvDividend:0 gamma: 1.79769313486232E+308 theta/vega/undPrice: -3.81814738493866E-04-2.97574490551428E-04-1.5788</t>
  </si>
  <si>
    <t>2014-11-26 15:58:22.874: RTWSControl  - tickOptionComputation - id:200044 tickType:11 impliedVol:7.45338683249734E-02 delta:0.835437915231344 optPrice:9.60000045597553E-03 pvDividend:0 gamma: 1.79769313486232E+308 theta/vega/undPrice: -5.20187966706697E-04-2.97574157441777E-04-1.5788</t>
  </si>
  <si>
    <t>2014-11-26 15:58:22.918: RTWSControl  - tickOptionComputation - id:200044 tickType:13 impliedVol:6.70527459557917E-02 delta:0.862026382892274 optPrice:9.37738137064153E-03 pvDividend:0 gamma: 1.79769313486232E+308 theta/vega/undPrice: -4.17506385411889E-04-2.97574404800705E-04-1.5788</t>
  </si>
  <si>
    <t>2014-11-26 15:58:22.959: RTWSControl  - tickOptionComputation - id:200046 tickType:13 impliedVol:6.70527459557917E-02 delta:-0.138086295958922 optPrice:5.77507743915552E-04 pvDividend:0 gamma: 1.79769313486232E+308 theta/vega/undPrice: -4.17565185281629E-04-2.97574692740151E-04-1.5788</t>
  </si>
  <si>
    <t>2014-11-26 15:58:23.0: RTWSControl  - tickOptionComputation - id:200045 tickType:13 impliedVol:6.32483532318986E-02 delta:0.690719125150399 optPrice:5.34001111355726E-03 pvDividend:0 gamma: 1.79769313486232E+308 theta/vega/undPrice: -6.29806092285983E-04-4.45304905939663E-04-1.5788</t>
  </si>
  <si>
    <t>2014-11-26 15:58:23.42: TransitionLogger - flushFile - flushing file</t>
  </si>
  <si>
    <t>2014-11-26 15:58:23.43: TransitionLogger - openTransitionFile - opening file C:\temp\transitionlog_2014-11-26_155023</t>
  </si>
  <si>
    <t>2014-11-26 15:58:23.45: RTWSControl  - tickOptionComputation - id:200047 tickType:13 impliedVol:6.32483532318986E-02 delta:-0.309393994839083 optPrice:1.54006800157327E-03 pvDividend:0 gamma: 1.79769313486232E+308 theta/vega/undPrice: -6.29833054224696E-04-4.45305542675979E-04-1.5788</t>
  </si>
  <si>
    <t>2014-11-26 15:58:23.77: RTWSControl  - tickOptionComputation - id:200055 tickType:13 impliedVol:6.19578412363353E-02 delta:0.437833791983059 optPrice:2.46105184426886E-03 pvDividend:0 gamma: 1.79769313486232E+308 theta/vega/undPrice: -6.88639423447291E-04-4.83178838793146E-04-1.5788</t>
  </si>
  <si>
    <t>2014-11-26 15:58:23.119: RTWSControl  - tickOptionComputation - id:200049 tickType:13 impliedVol:6.88566572056164E-02 delta:0.698265910800342 optPrice:1.21387328613153E-02 pvDividend:0 gamma: 1.79769313486232E+308 theta/vega/undPrice: -3.30164842083363E-04-9.14213162362896E-04-1.5788</t>
  </si>
  <si>
    <t>2014-11-26 15:58:23.164: RTWSControl  - tickOptionComputation - id:200050 tickType:13 impliedVol:6.88566572056164E-02 delta:-0.301804183685497 optPrice:3.33928862832364E-03 pvDividend:0 gamma: 1.79769313486232E+308 theta/vega/undPrice: -3.30227114930931E-04-9.14218718112833E-04-1.5788</t>
  </si>
  <si>
    <t>2014-11-26 15:58:23.205: RTWSControl  - tickOptionComputation - id:200051 tickType:13 impliedVol:7.15695980005018E-02 delta:-0.307123983467641 optPrice:3.49999837071089E-03 pvDividend:0 gamma: 1.79769313486232E+308 theta/vega/undPrice: -3.47066464064351E-04-8.69031435257384E-04-1.5788</t>
  </si>
  <si>
    <t>2014-11-26 15:58:23.246: RTWSControl  - tickOptionComputation - id:200046 tickType:10 impliedVol:0.064477136038907 delta:-0.127526728408597 optPrice:5.00000023748726E-04 pvDividend:0 gamma: 1.79769313486232E+308 theta/vega/undPrice: -3.82213741251254E-04-2.97574777609767E-04-1.5788</t>
  </si>
  <si>
    <t>2014-11-26 15:58:23.288: RTWSControl  - tickOptionComputation - id:200046 tickType:11 impliedVol:7.11904345251082E-02 delta:-0.153403886218512 optPrice:6.99999975040555E-04 pvDividend:0 gamma: 1.79769313486232E+308 theta/vega/undPrice: -4.74356845891051E-04-2.97574556484009E-04-1.5788</t>
  </si>
  <si>
    <t>2014-11-26 15:58:23.334: RTWSControl  - tickOptionComputation - id:200045 tickType:10 impliedVol:6.23498397359846E-02 delta:0.693226374267139 optPrice:5.29999984428287E-03 pvDividend:0 gamma: 1.79769313486232E+308 theta/vega/undPrice: -6.18883905954323E-04-4.45304947661943E-04-1.5788</t>
  </si>
  <si>
    <t>2014-11-26 15:58:23.374: RTWSControl  - tickOptionComputation - id:200045 tickType:11 impliedVol:6.68411455227976E-02 delta:0.680957692828432 optPrice:5.49999997019768E-03 pvDividend:0 gamma: 1.79769313486232E+308 theta/vega/undPrice: -6.73479475481508E-04-4.45304734641951E-04-1.5788</t>
  </si>
  <si>
    <t>2014-11-26 15:58:23.422: RTWSControl  - tickOptionComputation - id:200047 tickType:10 impliedVol:0.060102918362113 delta:-0.299930819773186 optPrice:1.39999995008111E-03 pvDividend:0 gamma: 1.79769313486232E+308 theta/vega/undPrice: -5.9159751216428E-04-4.45305686352742E-04-1.5788</t>
  </si>
  <si>
    <t>2014-11-26 15:58:23.465: RTWSControl  - tickOptionComputation - id:200047 tickType:11 impliedVol:6.45967382185434E-02 delta:-0.313112419741803 optPrice:1.5999999595806E-03 pvDividend:0 gamma: 1.79769313486232E+308 theta/vega/undPrice: -6.46223856734977E-04-4.45305479483981E-04-1.5788</t>
  </si>
  <si>
    <t>2014-11-26 15:58:23.531: RTWSControl  - tickOptionComputation - id:200055 tickType:10 impliedVol:6.07044365541283E-02 delta:0.436454668124114 optPrice:2.40000011399388E-03 pvDividend:0 gamma: 1.79769313486232E+308 theta/vega/undPrice: -6.7438771865568E-04-4.83178899698669E-04-1.5788</t>
  </si>
  <si>
    <t>2014-11-26 15:58:23.579: RTWSControl  - tickOptionComputation - id:200055 tickType:11 impliedVol:6.27573975176323E-02 delta:0.43859566344319 optPrice:2.49999994412065E-03 pvDividend:0 gamma: 1.79769313486232E+308 theta/vega/undPrice: -6.97730690687139E-04-4.83178799352122E-04-1.5788</t>
  </si>
  <si>
    <t>2014-11-26 15:58:23.624: RTWSControl  - tickOptionComputation - id:200052 tickType:13 impliedVol:0.122483008479263 delta:-0.512000079738349 optPrice:1.27000000491126E-02 pvDividend:0 gamma: 1.79769313486232E+308 theta/vega/undPrice: -6.74086217284077E-04-9.86315911041763E-04-1.5788</t>
  </si>
  <si>
    <t>2014-11-26 15:58:23.665: RTWSControl  - tickOptionComputation - id:200049 tickType:10 impliedVol:6.84329832498952E-02 delta:0.699323958012691 optPrice:1.20999999344349E-02 pvDividend:0 gamma: 1.79769313486232E+308 theta/vega/undPrice: -3.27664766909631E-04-9.14213349217662E-04-1.5788</t>
  </si>
  <si>
    <t>2014-11-26 15:58:23.709: RTWSControl  - tickOptionComputation - id:200049 tickType:11 impliedVol:0.071714492318264 delta:0.690802896886867 optPrice:1.24000003561378E-02 pvDividend:0 gamma: 1.79769313486232E+308 theta/vega/undPrice: -3.47028726794996E-04-9.14211879359835E-04-1.5788</t>
  </si>
  <si>
    <t>2014-11-26 15:58:23.755: RTWSControl  - tickOptionComputation - id:200050 tickType:10 impliedVol:6.84269072103003E-02 delta:-0.3006031577636 optPrice:3.29999998211861E-03 pvDividend:0 gamma: 1.79769313486232E+308 theta/vega/undPrice: -3.27691148443066E-04-9.1421890760717E-04-1.5788</t>
  </si>
  <si>
    <t>2014-11-26 15:58:23.796: RTWSControl  - tickOptionComputation - id:200050 tickType:11 impliedVol:7.06145643693248E-02 delta:-0.306373855357176 optPrice:3.50000010803342E-03 pvDividend:0 gamma: 1.79769313486232E+308 theta/vega/undPrice: -3.40600560036483E-04-9.14217933829461E-04-1.5788</t>
  </si>
  <si>
    <t>2014-11-26 15:58:23.862: RTWSControl  - tickOptionComputation - id:200051 tickType:10 impliedVol:6.69272904781541E-02 delta:-0.2951709761529 optPrice:3.10000008903444E-03 pvDividend:0 gamma: 1.79769313486232E+308 theta/vega/undPrice: -3.18819257541993E-04-8.53673271663222E-04-1.5788</t>
  </si>
  <si>
    <t>2014-11-26 15:58:23.912: RTWSControl  - tickOptionComputation - id:200051 tickType:11 impliedVol:7.04090213866726E-02 delta:-0.304236313080857 optPrice:3.40000004507601E-03 pvDividend:0 gamma: 1.79769313486232E+308 theta/vega/undPrice: -3.40031741418724E-04-8.6545066265705E-04-1.5788</t>
  </si>
  <si>
    <t>2014-11-26 15:58:23.957: RTWSControl  - tickOptionComputation - id:200052 tickType:10 impliedVol:1.79769313486232E+308 delta:1.79769313486232E+308 optPrice:1.79769313486232E+308 pvDividend:0 gamma: 1.79769313486232E+308 theta/vega/undPrice: 1.79769313486232E+308-1.79769313486232E+308-1.5788</t>
  </si>
  <si>
    <t>2014-11-26 15:58:23.992: RTWSControl  - tickOptionComputation - id:200052 tickType:11 impliedVol:1.79769313486232E+308 delta:1.79769313486232E+308 optPrice:1.79769313486232E+308 pvDividend:0 gamma: 1.79769313486232E+308 theta/vega/undPrice: 1.79769313486232E+308-1.79769313486232E+308-1.5788</t>
  </si>
  <si>
    <t>2014-11-26 15:58:24.35: RTWSControl  - tickOptionComputation - id:200048 tickType:13 impliedVol:8.37079661121702E-02 delta:-2.93181011783917E-02 optPrice:2.41885557294918E-04 pvDividend:0 gamma: 1.79769313486232E+308 theta/vega/undPrice: -7.61586225292699E-05-1.92829009385188E-04-1.5788</t>
  </si>
  <si>
    <t>2014-11-26 15:58:24.79: RTWSControl  - tickOptionComputation - id:200048 tickType:10 impliedVol:8.13982637378178E-02 delta:-2.55136075076372E-02 optPrice:1.99999994947575E-04 pvDividend:0 gamma: 1.79769313486232E+308 theta/vega/undPrice: -6.61100351828705E-05-1.79311015629219E-04-1.5788</t>
  </si>
  <si>
    <t>2014-11-26 15:58:24.122: RTWSControl  - tickOptionComputation - id:200048 tickType:11 impliedVol:8.69489508875592E-02 delta:-3.43060255693253E-02 optPrice:3.00000014249235E-04 pvDividend:0 gamma: 1.79769313486232E+308 theta/vega/undPrice: -9.02588149511786E-05-2.29532391531808E-04-1.5788</t>
  </si>
  <si>
    <t>2014-11-26 15:58:24.167: RTWSControl  - tickOptionComputation - id:200053 tickType:13 impliedVol:6.43800991537429E-02 delta:9.60703931999429E-02 optPrice:7.31998142475541E-04 pvDividend:0 gamma: 1.79769313486232E+308 theta/vega/undPrice: -1.50018708006782E-04-4.47309954925207E-04-1.5788</t>
  </si>
  <si>
    <t>2014-11-26 15:58:24.205: RTWSControl  - tickOptionComputation - id:200053 tickType:10 impliedVol:6.14291754732661E-02 delta:8.47900190499161E-02 optPrice:6.00000028498471E-04 pvDividend:0 gamma: 1.79769313486232E+308 theta/vega/undPrice: -1.30920742088552E-04-4.47310505119244E-04-1.5788</t>
  </si>
  <si>
    <t>2014-11-26 15:58:24.248: RTWSControl  - tickOptionComputation - id:200053 tickType:11 impliedVol:6.59002073960491E-02 delta:0.101470486896683 optPrice:7.999999797903E-04 pvDividend:0 gamma: 1.79769313486232E+308 theta/vega/undPrice: -1.59856620445674E-04-4.73049031143386E-04-1.5788</t>
  </si>
  <si>
    <t>2014-11-26 15:58:24.294: RTWSControl  - tickOptionComputation - id:200054 tickType:13 impliedVol:7.02782919565497E-02 delta:1.7751832852113E-03 optPrice:9.16032835607357E-06 pvDividend:0 gamma: 0.322678536329633 theta/vega/undPrice: -5.44038774074437E-06-2.71507204591651E-05-1.5788</t>
  </si>
  <si>
    <t>2014-11-26 15:58:24.338: RTWSControl  - tickOptionComputation - id:200054 tickType:10 impliedVol:1.79769313486232E+308 delta:1.79769313486232E+308 optPrice:1.79769313486232E+308 pvDividend:0 gamma: 1.79769313486232E+308 theta/vega/undPrice: 1.79769313486232E+308-1.79769313486232E+308-1.5788</t>
  </si>
  <si>
    <t>2014-11-26 15:58:24.372: RTWSControl  - tickOptionComputation - id:200054 tickType:11 impliedVol:9.06193199778127E-02 delta:1.25305788306452E-02 optPrice:9.99999974737875E-05 pvDividend:0 gamma: 1.79769313486232E+308 theta/vega/undPrice: -4.00848787319015E-05-1.03767066630078E-04-1.5788</t>
  </si>
  <si>
    <t>2014-11-26 15:58:24.658: DirectionIndicator - notify - price/longMA/ShortMA/prevDirection are 1.5789/1.57876806189485/1.57882038353878/1</t>
  </si>
  <si>
    <t>2014-11-26 15:58:24.658: Algorithm - handleTransition - currentHedgeShortfall is NOT ZERO and AUTOHEDGE IS NOT ENABLED!</t>
  </si>
  <si>
    <t>2014-11-26 15:58:24.702: DirectionIndicator - notify - price/longMA/ShortMA/prevDirection are 1.57895/1.57880114155033/1.57886358902585/1</t>
  </si>
  <si>
    <t>2014-11-26 15:58:24.702: Algorithm - handleTransition - currentHedgeShortfall is NOT ZERO and AUTOHEDGE IS NOT ENABLED!</t>
  </si>
  <si>
    <t>2014-11-26 15:58:25.779: RTWSControl  - tickOptionComputation - id:200042 tickType:13 impliedVol:8.22031735887379E-02 delta:-2.77299239441492E-02 optPrice:1.08121599785782E-04 pvDividend:0 gamma: 1.79769313486232E+308 theta/vega/undPrice: -1.46926556076132E-04-8.8483701033463E-05-1.5789</t>
  </si>
  <si>
    <t>2014-11-26 15:58:25.831: RTWSControl  - tickOptionComputation - id:200041 tickType:13 impliedVol:7.33710194080999E-02 delta:0.941937209382015 optPrice:1.41256992639457E-02 pvDividend:0 gamma: 1.79769313486232E+308 theta/vega/undPrice: -2.3948263678659E-04-1.59506915271633E-04-1.5789</t>
  </si>
  <si>
    <t>2014-11-26 15:58:25.886: RTWSControl  - tickOptionComputation - id:200043 tickType:13 impliedVol:7.33710194080999E-02 delta:-5.81753091016989E-02 optPrice:2.25897825738216E-04 pvDividend:0 gamma: 1.79769313486232E+308 theta/vega/undPrice: -2.39574466686711E-04-1.59507175970627E-04-1.5789</t>
  </si>
  <si>
    <t>2014-11-26 15:58:25.954: RTWSControl  - tickOptionComputation - id:200044 tickType:13 impliedVol:6.70527459557917E-02 delta:0.865023337835316 optPrice:9.46133164469586E-03 pvDividend:0 gamma: 1.79769313486232E+308 theta/vega/undPrice: -4.11821632041961E-04-2.97583829304143E-04-1.5789</t>
  </si>
  <si>
    <t>2014-11-26 15:58:25.996: RTWSControl  - tickOptionComputation - id:200046 tickType:13 impliedVol:6.70527459557917E-02 delta:-0.135089337891705 optPrice:5.61459432160356E-04 pvDividend:0 gamma: 1.79769313486232E+308 theta/vega/undPrice: -4.11881080286757E-04-2.975841172327E-04-1.5789</t>
  </si>
  <si>
    <t>2014-11-26 15:58:26.38: RTWSControl  - tickOptionComputation - id:200045 tickType:13 impliedVol:6.32483532318986E-02 delta:0.695473989169185 optPrice:5.4065088727844E-03 pvDividend:0 gamma: 1.79769313486232E+308 theta/vega/undPrice: -6.26171643349696E-04-4.45319009834543E-04-1.5789</t>
  </si>
  <si>
    <t>2014-11-26 15:58:26.79: RTWSControl  - tickOptionComputation - id:200047 tickType:13 impliedVol:6.32483532318986E-02 delta:-0.304639123310438 optPrice:1.50656715206892E-03 pvDividend:0 gamma: 1.79769313486232E+308 theta/vega/undPrice: -6.26199247030833E-04-4.45319646247699E-04-1.5789</t>
  </si>
  <si>
    <t>2014-11-26 15:58:26.121: RTWSControl  - tickOptionComputation - id:200055 tickType:13 impliedVol:6.19578412363353E-02 delta:0.443101649426684 optPrice:2.50553224099341E-03 pvDividend:0 gamma: 1.79769313486232E+308 theta/vega/undPrice: -6.89982518293441E-04-4.83194140655232E-04-1.5789</t>
  </si>
  <si>
    <t>2014-11-26 15:58:26.161: RTWSControl  - tickOptionComputation - id:200049 tickType:13 impliedVol:6.88566572056164E-02 delta:0.700385664812435 optPrice:1.22053379911246E-02 pvDividend:0 gamma: 1.79769313486232E+308 theta/vega/undPrice: -3.29312214331361E-04-9.14242124172193E-04-1.5789</t>
  </si>
  <si>
    <t>2014-11-26 15:58:26.206: RTWSControl  - tickOptionComputation - id:200050 tickType:13 impliedVol:6.88566572056164E-02 delta:-0.299684415100094 optPrice:3.30589964021378E-03 pvDividend:0 gamma: 1.79769313486232E+308 theta/vega/undPrice: -3.29375127732189E-04-9.14247680040569E-04-1.5789</t>
  </si>
  <si>
    <t>2014-11-26 15:58:26.244: RTWSControl  - tickOptionComputation - id:200051 tickType:13 impliedVol:7.15695980005018E-02 delta:-0.3051421173189 optPrice:3.46938894959562E-03 pvDividend:0 gamma: 1.79769313486232E+308 theta/vega/undPrice: -3.46096214379921E-04-8.6660165116299E-04-1.5789</t>
  </si>
  <si>
    <t>2014-11-26 15:58:26.286: RTWSControl  - tickOptionComputation - id:200052 tickType:13 impliedVol:0.122483008479263 delta:-0.510683796511792 optPrice:0.012648875908938 pvDividend:0 gamma: 1.79769313486232E+308 theta/vega/undPrice: -6.74192338064069E-04-9.86470674354726E-04-1.5789</t>
  </si>
  <si>
    <t>2014-11-26 15:58:26.329: RTWSControl  - tickOptionComputation - id:200048 tickType:13 impliedVol:8.37079661121702E-02 delta:-2.89760230755893E-02 optPrice:2.3868815260353E-04 pvDividend:0 gamma: 1.79769313486232E+308 theta/vega/undPrice: -7.54278637087819E-05-1.90168140655114E-04-1.5789</t>
  </si>
  <si>
    <t>2014-11-26 15:58:26.371: RTWSControl  - tickOptionComputation - id:200053 tickType:13 impliedVol:6.43800991537429E-02 delta:9.71803996859759E-02 optPrice:7.42220359978308E-04 pvDividend:0 gamma: 1.79769313486232E+308 theta/vega/undPrice: -1.51289638251976E-04-4.53179749799141E-04-1.5789</t>
  </si>
  <si>
    <t>2014-11-26 15:58:26.411: RTWSControl  - tickOptionComputation - id:200054 tickType:13 impliedVol:7.02782919565497E-02 delta:1.79967290508983E-03 optPrice:9.29281029814412E-06 pvDividend:0 gamma: 0.326870981950238 theta/vega/undPrice: -5.5117708083409E-06-2.77990045703881E-05-1.5789</t>
  </si>
  <si>
    <t>2014-11-26 15:58:26.495: DirectionIndicator - notify - price/longMA/ShortMA/prevDirection are 1.5789/1.57881911581391/1.57887572601724/1</t>
  </si>
  <si>
    <t>2014-11-26 15:58:26.496: Algorithm - handleTransition - currentHedgeShortfall is NOT ZERO and AUTOHEDGE IS NOT ENABLED!</t>
  </si>
  <si>
    <t>2014-11-26 15:58:26.537: DirectionIndicator - notify - price/longMA/ShortMA/prevDirection are 1.57885/1.57882473112047/1.57886715067816/1</t>
  </si>
  <si>
    <t>2014-11-26 15:58:26.537: Algorithm - handleTransition - currentHedgeShortfall is NOT ZERO and AUTOHEDGE IS NOT ENABLED!</t>
  </si>
  <si>
    <t>2014-11-26 15:58:27.205: DirectionIndicator - notify - price/longMA/ShortMA/prevDirection are 1.5789/1.57883841637129/1.5788781004521/1</t>
  </si>
  <si>
    <t>2014-11-26 15:58:27.205: Algorithm - handleTransition - currentHedgeShortfall is NOT ZERO and AUTOHEDGE IS NOT ENABLED!</t>
  </si>
  <si>
    <t>2014-11-26 15:58:27.411: DirectionIndicator - notify - price/longMA/ShortMA/prevDirection are 1.57885/1.5788405224856/1.57886873363474/1</t>
  </si>
  <si>
    <t>2014-11-26 15:58:27.415: Algorithm - handleTransition - currentHedgeShortfall is NOT ZERO and AUTOHEDGE IS NOT ENABLED!</t>
  </si>
  <si>
    <t>2014-11-26 15:58:27.621: DirectionIndicator - notify - price/longMA/ShortMA/prevDirection are 1.5789/1.57885133657913/1.57887915575649/1</t>
  </si>
  <si>
    <t>2014-11-26 15:58:27.621: Algorithm - handleTransition - currentHedgeShortfall is NOT ZERO and AUTOHEDGE IS NOT ENABLED!</t>
  </si>
  <si>
    <t>2014-11-26 15:58:27.663: DirectionIndicator - notify - price/longMA/ShortMA/prevDirection are 1.57895/1.57886927538292/1.57890277050433/1</t>
  </si>
  <si>
    <t>2014-11-26 15:58:27.663: Algorithm - handleTransition - currentHedgeShortfall is NOT ZERO and AUTOHEDGE IS NOT ENABLED!</t>
  </si>
  <si>
    <t>2014-11-26 15:58:28.204: DirectionIndicator - notify - price/longMA/ShortMA/prevDirection are 1.5789/1.57887486167694/1.57890184700288/1</t>
  </si>
  <si>
    <t>2014-11-26 15:58:28.205: Algorithm - handleTransition - currentHedgeShortfall is NOT ZERO and AUTOHEDGE IS NOT ENABLED!</t>
  </si>
  <si>
    <t>2014-11-26 15:58:28.248: DirectionIndicator - notify - price/longMA/ShortMA/prevDirection are 1.57885/1.57887034137204/1.57888456466859/1</t>
  </si>
  <si>
    <t>2014-11-26 15:58:28.248: Algorithm - handleTransition - currentHedgeShortfall is NOT ZERO and AUTOHEDGE IS NOT ENABLED!</t>
  </si>
  <si>
    <t>2014-11-26 15:58:28.569: RTWSControl  - tickOptionComputation - id:200042 tickType:10 impliedVol:9.24371267281265E-02 delta:-4.31799155505825E-02 optPrice:1.99999994947575E-04 pvDividend:0 gamma: 1.79769313486232E+308 theta/vega/undPrice: -2.39978270934684E-04-1.43202543295286E-04-1.5789</t>
  </si>
  <si>
    <t>2014-11-26 15:58:28.622: RTWSControl  - tickOptionComputation - id:200042 tickType:11 impliedVol:9.24371267281265E-02 delta:-4.31799155505825E-02 optPrice:1.99999994947575E-04 pvDividend:0 gamma: 1.79769313486232E+308 theta/vega/undPrice: -2.39978270934684E-04-1.43202543295286E-04-1.5789</t>
  </si>
  <si>
    <t>2014-11-26 15:58:28.667: RTWSControl  - tickOptionComputation - id:200041 tickType:10 impliedVol:0.062708273905332 delta:0.967069760173005 optPrice:1.40000004321337E-02 pvDividend:0 gamma: 1.79769313486232E+308 theta/vega/undPrice: -1.29148984401105E-04-1.16228079851862E-04-1.5789</t>
  </si>
  <si>
    <t>2014-11-26 15:58:28.709: RTWSControl  - tickOptionComputation - id:200041 tickType:11 impliedVol:8.40586270385464E-02 delta:0.915533510858496 optPrice:0.014299999922514 pvDividend:0 gamma: 1.79769313486232E+308 theta/vega/undPrice: -3.6708021733319E-04-2.15147879201807E-04-1.5789</t>
  </si>
  <si>
    <t>2014-11-26 15:58:28.755: RTWSControl  - tickOptionComputation - id:200043 tickType:10 impliedVol:6.26907761582574E-02 delta:-3.28794459411306E-02 optPrice:9.99999974737875E-05 pvDividend:0 gamma: 1.79769313486232E+308 theta/vega/undPrice: -1.29082793644299E-04-1.16131064330738E-04-1.5789</t>
  </si>
  <si>
    <t>2014-11-26 15:58:28.798: RTWSControl  - tickOptionComputation - id:200043 tickType:11 impliedVol:0.078537374479434 delta:-7.02695821707888E-02 optPrice:3.00000014249235E-04 pvDividend:0 gamma: 1.79769313486232E+308 theta/vega/undPrice: -2.98865284792116E-04-1.96558152310292E-04-1.5789</t>
  </si>
  <si>
    <t>2014-11-26 15:58:28.864: RTWSControl  - tickOptionComputation - id:200044 tickType:10 impliedVol:6.49637521544081E-02 delta:0.873496257609528 optPrice:9.39999986439943E-03 pvDividend:0 gamma: 1.79769313486232E+308 theta/vega/undPrice: -3.83148368100467E-04-2.97583898954155E-04-1.5789</t>
  </si>
  <si>
    <t>2014-11-26 15:58:28.914: RTWSControl  - tickOptionComputation - id:200044 tickType:11 impliedVol:7.50716924078169E-02 delta:0.836415472315412 optPrice:9.70000028610229E-03 pvDividend:0 gamma: 1.79769313486232E+308 theta/vega/undPrice: -5.21888556885031E-04-2.9758356123177E-04-1.5789</t>
  </si>
  <si>
    <t>2014-11-26 15:58:28.958: RTWSControl  - tickOptionComputation - id:200046 tickType:10 impliedVol:6.49621878409404E-02 delta:-0.126483343142766 optPrice:5.00000023748726E-04 pvDividend:0 gamma: 1.79769313486232E+308 theta/vega/undPrice: -3.83186290280797E-04-2.97584186882712E-04-1.5789</t>
  </si>
  <si>
    <t>2014-11-26 15:58:29.1: RTWSControl  - tickOptionComputation - id:200046 tickType:11 impliedVol:7.17316507755137E-02 delta:-0.152476946993658 optPrice:6.99999975040555E-04 pvDividend:0 gamma: 1.79769313486232E+308 theta/vega/undPrice: -4.76103210960457E-04-2.97583961358778E-04-1.5789</t>
  </si>
  <si>
    <t>2014-11-26 15:58:29.46: RTWSControl  - tickOptionComputation - id:200045 tickType:10 impliedVol:6.08566080240429E-02 delta:0.702649475367591 optPrice:5.29999984428287E-03 pvDividend:0 gamma: 1.79769313486232E+308 theta/vega/undPrice: -5.97097044841411E-04-4.45319120451281E-04-1.5789</t>
  </si>
  <si>
    <t>2014-11-26 15:58:29.89: RTWSControl  - tickOptionComputation - id:200045 tickType:11 impliedVol:6.75933478497415E-02 delta:0.683512124353988 optPrice:5.59999980032444E-03 pvDividend:0 gamma: 1.79769313486232E+308 theta/vega/undPrice: -6.78990340126618E-04-4.45318800755031E-04-1.5789</t>
  </si>
  <si>
    <t>2014-11-26 15:58:29.155: RTWSControl  - tickOptionComputation - id:200047 tickType:10 impliedVol:6.08553051080229E-02 delta:-0.297333080471012 optPrice:1.39999995008111E-03 pvDividend:0 gamma: 1.79769313486232E+308 theta/vega/undPrice: -5.97108712400993E-04-4.45319756856596E-04-1.5789</t>
  </si>
  <si>
    <t>2014-11-26 15:58:29.205: RTWSControl  - tickOptionComputation - id:200047 tickType:11 impliedVol:6.53507857644428E-02 delta:-0.31054430034673 optPrice:1.5999999595806E-03 pvDividend:0 gamma: 1.79769313486232E+308 theta/vega/undPrice: -6.51756966038183E-04-4.45319546776854E-04-1.5789</t>
  </si>
  <si>
    <t>2014-11-26 15:58:29.251: RTWSControl  - tickOptionComputation - id:200055 tickType:10 impliedVol:5.97681145337179E-02 delta:0.440890305574949 optPrice:2.40000011399388E-03 pvDividend:0 gamma: 1.79769313486232E+308 theta/vega/undPrice: -6.65083671861606E-04-4.83194246144083E-04-1.5789</t>
  </si>
  <si>
    <t>2014-11-26 15:58:29.290: RTWSControl  - tickOptionComputation - id:200055 tickType:11 impliedVol:0.063919127299985 delta:0.44485268973815 optPrice:2.60000000707805E-03 pvDividend:0 gamma: 1.79769313486232E+308 theta/vega/undPrice: -7.12283809619277E-04-4.83194043249216E-04-1.5789</t>
  </si>
  <si>
    <t>2014-11-26 15:58:29.337: RTWSControl  - tickOptionComputation - id:200049 tickType:10 impliedVol:6.77044703281514E-02 delta:0.703484447458179 optPrice:1.20999999344349E-02 pvDividend:0 gamma: 1.79769313486232E+308 theta/vega/undPrice: -3.22513008810181E-04-9.14242631438186E-04-1.5789</t>
  </si>
  <si>
    <t>2014-11-26 15:58:29.381: RTWSControl  - tickOptionComputation - id:200049 tickType:11 impliedVol:0.070985874323791 delta:0.694682146956928 optPrice:1.24000003561378E-02 pvDividend:0 gamma: 1.79769313486232E+308 theta/vega/undPrice: -3.41876978884385E-04-9.14241169911779E-04-1.5789</t>
  </si>
  <si>
    <t>2014-11-26 15:58:29.447: RTWSControl  - tickOptionComputation - id:200050 tickType:10 impliedVol:6.87921271667604E-02 delta:-0.299470869350845 optPrice:3.29999998211861E-03 pvDividend:0 gamma: 1.79769313486232E+308 theta/vega/undPrice: -3.28994322222061E-04-9.14247708614066E-04-1.5789</t>
  </si>
  <si>
    <t>2014-11-26 15:58:29.494: RTWSControl  - tickOptionComputation - id:200050 tickType:11 impliedVol:7.09797153839653E-02 delta:-0.305245794111915 optPrice:3.50000010803342E-03 pvDividend:0 gamma: 1.79769313486232E+308 theta/vega/undPrice: -3.41903730369089E-04-9.14246728645571E-04-1.5789</t>
  </si>
  <si>
    <t>2014-11-26 15:58:29.542: RTWSControl  - tickOptionComputation - id:200051 tickType:10 impliedVol:6.72726853836761E-02 delta:-0.294033273756666 optPrice:3.10000008903444E-03 pvDividend:0 gamma: 1.79769313486232E+308 theta/vega/undPrice: -3.19914523818212E-04-8.52207748942116E-04-1.5789</t>
  </si>
  <si>
    <t>2014-11-26 15:58:29.582: RTWSControl  - tickOptionComputation - id:200051 tickType:11 impliedVol:7.07601133201603E-02 delta:-0.303108351784017 optPrice:3.40000004507601E-03 pvDividend:0 gamma: 1.79769313486232E+308 theta/vega/undPrice: -3.41182917147275E-04-8.64071787175818E-04-1.5789</t>
  </si>
  <si>
    <t>2014-11-26 15:58:29.628: RTWSControl  - tickOptionComputation - id:200052 tickType:10 impliedVol:1.79769313486232E+308 delta:1.79769313486232E+308 optPrice:1.79769313486232E+308 pvDividend:0 gamma: 1.79769313486232E+308 theta/vega/undPrice: 1.79769313486232E+308-1.79769313486232E+308-1.5789</t>
  </si>
  <si>
    <t>2014-11-26 15:58:29.661: RTWSControl  - tickOptionComputation - id:200052 tickType:11 impliedVol:1.79769313486232E+308 delta:1.79769313486232E+308 optPrice:1.79769313486232E+308 pvDividend:0 gamma: 1.79769313486232E+308 theta/vega/undPrice: 1.79769313486232E+308-1.79769313486232E+308-1.5789</t>
  </si>
  <si>
    <t>2014-11-26 15:58:29.703: RTWSControl  - tickOptionComputation - id:200048 tickType:10 impliedVol:8.15777930289563E-02 delta:-2.54659198092378E-02 optPrice:1.99999994947575E-04 pvDividend:0 gamma: 1.79769313486232E+308 theta/vega/undPrice: -6.6160043253895E-05-1.79316676229778E-04-1.5789</t>
  </si>
  <si>
    <t>2014-11-26 15:58:29.750: RTWSControl  - tickOptionComputation - id:200048 tickType:11 impliedVol:8.70891449138685E-02 delta:-3.41846155568436E-02 optPrice:3.00000014249235E-04 pvDividend:0 gamma: 1.79769313486232E+308 theta/vega/undPrice: -9.0138447781829E-05-2.2846039912818E-04-1.5789</t>
  </si>
  <si>
    <t>2014-11-26 15:58:29.797: RTWSControl  - tickOptionComputation - id:200053 tickType:10 impliedVol:6.12007504180703E-02 delta:8.50405217014579E-02 optPrice:6.00000028498471E-04 pvDividend:0 gamma: 1.79769313486232E+308 theta/vega/undPrice: -1.30712684169345E-04-4.47324714586239E-04-1.5789</t>
  </si>
  <si>
    <t>2014-11-26 15:58:29.840: RTWSControl  - tickOptionComputation - id:200053 tickType:11 impliedVol:6.56721188125077E-02 delta:0.101762195643741 optPrice:7.999999797903E-04 pvDividend:0 gamma: 1.79769313486232E+308 theta/vega/undPrice: -1.59651661075166E-04-4.75196656136663E-04-1.5789</t>
  </si>
  <si>
    <t>2014-11-26 15:58:29.904: RTWSControl  - tickOptionComputation - id:200054 tickType:10 impliedVol:1.79769313486232E+308 delta:1.79769313486232E+308 optPrice:1.79769313486232E+308 pvDividend:0 gamma: 1.79769313486232E+308 theta/vega/undPrice: 1.79769313486232E+308-1.79769313486232E+308-1.5789</t>
  </si>
  <si>
    <t>2014-11-26 15:58:29.925: RTWSControl  - tickOptionComputation - id:200054 tickType:11 impliedVol:9.04542572123987E-02 delta:1.25452234767635E-02 optPrice:9.99999974737875E-05 pvDividend:0 gamma: 1.79769313486232E+308 theta/vega/undPrice: -4.00533613142173E-05-1.03770363371187E-04-1.5789</t>
  </si>
  <si>
    <t>2014-11-26 15:58:30.35: DirectionIndicator - notify - price/longMA/ShortMA/prevDirection are 1.5789/1.57887573384985/1.57888970977906/1</t>
  </si>
  <si>
    <t>2014-11-26 15:58:30.36: Algorithm - handleTransition - currentHedgeShortfall is NOT ZERO and AUTOHEDGE IS NOT ENABLED!</t>
  </si>
  <si>
    <t>2014-11-26 15:58:30.120: DirectionIndicator - notify - price/longMA/ShortMA/prevDirection are 1.57895/1.57888923678624/1.57890980651937/1</t>
  </si>
  <si>
    <t>2014-11-26 15:58:30.120: Algorithm - handleTransition - currentHedgeShortfall is NOT ZERO and AUTOHEDGE IS NOT ENABLED!</t>
  </si>
  <si>
    <t>2014-11-26 15:58:30.205: DirectionIndicator - notify - price/longMA/ShortMA/prevDirection are 1.5789/1.5788911937342/1.57890653767958/1</t>
  </si>
  <si>
    <t>2014-11-26 15:58:30.206: Algorithm - handleTransition - currentHedgeShortfall is NOT ZERO and AUTOHEDGE IS NOT ENABLED!</t>
  </si>
  <si>
    <t>2014-11-26 15:58:30.246: DirectionIndicator - notify - price/longMA/ShortMA/prevDirection are 1.57885/1.57888370396434/1.57888769178639/1</t>
  </si>
  <si>
    <t>2014-11-26 15:58:30.247: Algorithm - handleTransition - currentHedgeShortfall is NOT ZERO and AUTOHEDGE IS NOT ENABLED!</t>
  </si>
  <si>
    <t>2014-11-26 15:58:31.697: RTWSControl  - tickOptionComputation - id:200042 tickType:13 impliedVol:8.29238750850152E-02 delta:-2.89196598334814E-02 optPrice:1.14447158541799E-04 pvDividend:0 gamma: 1.79769313486232E+308 theta/vega/undPrice: -1.53416839520504E-04-9.24787791322377E-05-1.5789</t>
  </si>
  <si>
    <t>2014-11-26 15:58:31.747: RTWSControl  - tickOptionComputation - id:200041 tickType:10 impliedVol:3.55866210133311E-02 delta:0.999473211252689 optPrice:1.38999996706843E-02 pvDividend:0 gamma: 0.415150562975694 theta/vega/undPrice: -1.70393440905876E-06-8.86654541972301E-06-1.5789</t>
  </si>
  <si>
    <t>2014-11-26 15:58:31.788: RTWSControl  - tickOptionComputation - id:200041 tickType:11 impliedVol:7.85512266080563E-02 delta:0.929686209984333 optPrice:1.42000000923872E-02 pvDividend:0 gamma: 1.79769313486232E+308 theta/vega/undPrice: -2.98932359705863E-04-1.96657193954055E-04-1.5789</t>
  </si>
  <si>
    <t>2014-11-26 15:58:31.835: RTWSControl  - tickOptionComputation - id:200041 tickType:13 impliedVol:7.40005616041515E-02 delta:0.94037179588543 optPrice:1.41347289255645E-02 pvDividend:0 gamma: 1.79769313486232E+308 theta/vega/undPrice: -2.46707468153915E-04-1.64021730615898E-04-1.5789</t>
  </si>
  <si>
    <t>2014-11-26 15:58:31.875: RTWSControl  - tickOptionComputation - id:200043 tickType:13 impliedVol:7.40005616041515E-02 delta:-5.97407237384866E-02 optPrice:2.34927493551011E-04 pvDividend:0 gamma: 1.79769313486232E+308 theta/vega/undPrice: -2.46799306160649E-04-1.6402199610446E-04-1.5789</t>
  </si>
  <si>
    <t>2014-11-26 15:58:31.916: RTWSControl  - tickOptionComputation - id:200044 tickType:13 impliedVol:6.77845706482856E-02 delta:0.862141801370317 optPrice:9.48310957543678E-03 pvDividend:0 gamma: 1.79769313486232E+308 theta/vega/undPrice: -4.21866562014251E-04-2.97583804887789E-04-1.5789</t>
  </si>
  <si>
    <t>2014-11-26 15:58:31.959: RTWSControl  - tickOptionComputation - id:200046 tickType:13 impliedVol:6.77845706482856E-02 delta:-0.137970877357277 optPrice:5.83237383966205E-04 pvDividend:0 gamma: 1.79769313486232E+308 theta/vega/undPrice: -4.21926029335228E-04-2.97584092832239E-04-1.5789</t>
  </si>
  <si>
    <t>2014-11-26 15:58:32.0: RTWSControl  - tickOptionComputation - id:200045 tickType:13 impliedVol:6.42759022174459E-02 delta:0.692519863004832 optPrice:5.45226760375063E-03 pvDividend:0 gamma: 1.79769313486232E+308 theta/vega/undPrice: -6.38662757040469E-04-4.45318961337158E-04-1.5789</t>
  </si>
  <si>
    <t>2014-11-26 15:58:32.41: RTWSControl  - tickOptionComputation - id:200047 tickType:13 impliedVol:6.42759022174459E-02 delta:-0.307593254135792 optPrice:1.55232594842345E-03 pvDividend:0 gamma: 1.79769313486232E+308 theta/vega/undPrice: -6.3869040261954E-04-4.45319597932222E-04-1.5789</t>
  </si>
  <si>
    <t>2014-11-26 15:58:32.83: RTWSControl  - tickOptionComputation - id:200055 tickType:13 impliedVol:6.34745563116041E-02 delta:0.444508897425142 optPrice:2.57881905569676E-03 pvDividend:0 gamma: 1.79769313486232E+308 theta/vega/undPrice: -7.07228705604359E-04-4.8319406557082E-04-1.5789</t>
  </si>
  <si>
    <t>2014-11-26 15:58:32.122: RTWSControl  - tickOptionComputation - id:200049 tickType:13 impliedVol:6.87466872437597E-02 delta:0.700685255107983 optPrice:1.21952840498007E-02 pvDividend:0 gamma: 1.79769313486232E+308 theta/vega/undPrice: -3.28663267591465E-04-9.14242172864715E-04-1.5789</t>
  </si>
  <si>
    <t>2014-11-26 15:58:32.168: RTWSControl  - tickOptionComputation - id:200050 tickType:13 impliedVol:6.87466872437597E-02 delta:-0.299384822749195 optPrice:3.29584563780008E-03 pvDividend:0 gamma: 1.79769313486232E+308 theta/vega/undPrice: -3.28726171536383E-04-9.14247728722723E-04-1.5789</t>
  </si>
  <si>
    <t>2014-11-26 15:58:32.206: RTWSControl  - tickOptionComputation - id:200051 tickType:13 impliedVol:7.07601127956607E-02 delta:-0.303146673607155 optPrice:3.39934053113595E-03 pvDividend:0 gamma: 1.79769313486232E+308 theta/vega/undPrice: -3.41182913960977E-04-8.64071785510861E-04-1.5789</t>
  </si>
  <si>
    <t>2014-11-26 15:58:32.247: RTWSControl  - tickOptionComputation - id:200052 tickType:13 impliedVol:0.123001667137105 delta:-0.510606558330186 optPrice:1.27000404793499E-02 pvDividend:0 gamma: 1.79769313486232E+308 theta/vega/undPrice: -6.7705073350308E-04-9.8647575612118E-04-1.5789</t>
  </si>
  <si>
    <t>2014-11-26 15:58:32.288: RTWSControl  - tickOptionComputation - id:200048 tickType:13 impliedVol:0.084264059941324 delta:-2.98622285297279E-02 optPrice:2.48659855950531E-04 pvDividend:0 gamma: 1.79769313486232E+308 theta/vega/undPrice: -7.7847278487361E-05-1.96465978758071E-04-1.5789</t>
  </si>
  <si>
    <t>2014-11-26 15:58:32.332: RTWSControl  - tickOptionComputation - id:200053 tickType:13 impliedVol:6.40959325592672E-02 delta:9.61450986325973E-02 optPrice:7.29508875528565E-04 pvDividend:0 gamma: 1.79769313486232E+308 theta/vega/undPrice: -1.49450495269188E-04-4.48337351786604E-04-1.5789</t>
  </si>
  <si>
    <t>2014-11-26 15:58:32.373: RTWSControl  - tickOptionComputation - id:200054 tickType:13 impliedVol:7.03117958878448E-02 delta:1.80555619185523E-03 optPrice:9.32893249947832E-06 pvDividend:0 gamma: 0.32772671740949 theta/vega/undPrice: -5.5314706898059E-06-2.7941987421425E-05-1.5789</t>
  </si>
  <si>
    <t>2014-11-26 15:58:32.413: RTWSControl  - tickOptionComputation - id:200044 tickType:10 impliedVol:0.060413036677291 delta:0.888683377972952 optPrice:9.30000003427267E-03 pvDividend:0 gamma: 1.79769313486232E+308 theta/vega/undPrice: -3.23074491388604E-04-2.61328465452886E-04-1.5789</t>
  </si>
  <si>
    <t>2014-11-26 15:58:32.459: RTWSControl  - tickOptionComputation - id:200044 tickType:11 impliedVol:7.17361497452556E-02 delta:0.847493674855963 optPrice:9.60000045597553E-03 pvDividend:0 gamma: 1.79769313486232E+308 theta/vega/undPrice: -4.76105392969372E-04-2.97583672874406E-04-1.5789</t>
  </si>
  <si>
    <t>2014-11-26 15:58:32.501: RTWSControl  - tickOptionComputation - id:200045 tickType:11 impliedVol:6.53477713921487E-02 delta:0.689450636066472 optPrice:5.49999997019768E-03 pvDividend:0 gamma: 1.79769313486232E+308 theta/vega/undPrice: -6.51692633267468E-04-4.45318910121045E-04-1.5789</t>
  </si>
  <si>
    <t>2014-11-26 15:58:32.547: RTWSControl  - tickOptionComputation - id:200055 tickType:11 impliedVol:1.79769313486232E+308 delta:1.79769313486232E+308 optPrice:2.49999994412065E-03 pvDividend:0 gamma: 1.79769313486232E+308 theta/vega/undPrice: 1.79769313486232E+308-1.79769313486232E+308-1.5789</t>
  </si>
  <si>
    <t>2014-11-26 15:58:32.579: RTWSControl  - tickOptionComputation - id:200051 tickType:10 impliedVol:6.84351595581821E-02 delta:-0.297147939821488 optPrice:3.1999999191612E-03 pvDividend:0 gamma: 1.79769313486232E+308 theta/vega/undPrice: -3.27022723560636E-04-8.5634585285015E-04-1.5789</t>
  </si>
  <si>
    <t>2014-11-26 15:58:32.628: RTWSControl  - tickOptionComputation - id:200052 tickType:10 impliedVol:1.79769313486232E+308 delta:1.79769313486232E+308 optPrice:1.79769313486232E+308 pvDividend:0 gamma: 1.79769313486232E+308 theta/vega/undPrice: 1.79769313486232E+308-1.79769313486232E+308-1.5789</t>
  </si>
  <si>
    <t>2014-11-26 15:58:32.662: RTWSControl  - tickOptionComputation - id:200052 tickType:11 impliedVol:1.79769313486232E+308 delta:1.79769313486232E+308 optPrice:1.79769313486232E+308 pvDividend:0 gamma: 1.79769313486232E+308 theta/vega/undPrice: 1.79769313486232E+308-1.79769313486232E+308-1.5789</t>
  </si>
  <si>
    <t>2014-11-26 15:58:32.704: RTWSControl  - tickOptionComputation - id:200054 tickType:10 impliedVol:1.79769313486232E+308 delta:1.79769313486232E+308 optPrice:1.79769313486232E+308 pvDividend:0 gamma: 1.79769313486232E+308 theta/vega/undPrice: 1.79769313486232E+308-1.79769313486232E+308-1.5789</t>
  </si>
  <si>
    <t>2014-11-26 15:58:33.39: DirectionIndicator - notify - price/longMA/ShortMA/prevDirection are 1.5789/1.57888666687992/1.57889179452426/1</t>
  </si>
  <si>
    <t>2014-11-26 15:58:33.39: Algorithm - handleTransition - currentHedgeShortfall is NOT ZERO and AUTOHEDGE IS NOT ENABLED!</t>
  </si>
  <si>
    <t>2014-11-26 15:58:33.81: DirectionIndicator - notify - price/longMA/ShortMA/prevDirection are 1.57895/1.57889818199266/1.57891119634951/1</t>
  </si>
  <si>
    <t>2014-11-26 15:58:33.81: Algorithm - handleTransition - currentHedgeShortfall is NOT ZERO and AUTOHEDGE IS NOT ENABLED!</t>
  </si>
  <si>
    <t>2014-11-26 15:58:33.868: DirectionIndicator - notify - price/longMA/ShortMA/prevDirection are 1.5789/1.57889851253945/1.578907464233/1</t>
  </si>
  <si>
    <t>2014-11-26 15:58:33.869: Algorithm - handleTransition - currentHedgeShortfall is NOT ZERO and AUTOHEDGE IS NOT ENABLED!</t>
  </si>
  <si>
    <t>2014-11-26 15:58:33.907: DirectionIndicator - notify - price/longMA/ShortMA/prevDirection are 1.57885/1.57888969207773/1.57888830948867/1</t>
  </si>
  <si>
    <t>2014-11-26 15:58:33.907: Algorithm - handleTransition - currentHedgeShortfall is NOT ZERO and AUTOHEDGE IS NOT ENABLED!</t>
  </si>
  <si>
    <t>2014-11-26 15:58:34.333: RTWSControl  - tickOptionComputation - id:200055 tickType:11 impliedVol:1.79769313486232E+308 delta:1.79769313486232E+308 optPrice:2.49999994412065E-03 pvDividend:0 gamma: 1.79769313486232E+308 theta/vega/undPrice: 1.79769313486232E+308-1.79769313486232E+308-1.5789</t>
  </si>
  <si>
    <t>2014-11-26 15:58:34.376: RTWSControl  - tickOptionComputation - id:200051 tickType:10 impliedVol:6.72726853836761E-02 delta:-0.294033273756666 optPrice:3.10000008903444E-03 pvDividend:0 gamma: 1.79769313486232E+308 theta/vega/undPrice: -3.19914523818212E-04-8.52207748942116E-04-1.5789</t>
  </si>
  <si>
    <t>2014-11-26 15:58:34.448: RTWSControl  - tickOptionComputation - id:200052 tickType:10 impliedVol:1.79769313486232E+308 delta:1.79769313486232E+308 optPrice:1.79769313486232E+308 pvDividend:0 gamma: 1.79769313486232E+308 theta/vega/undPrice: 1.79769313486232E+308-1.79769313486232E+308-1.5789</t>
  </si>
  <si>
    <t>2014-11-26 15:58:34.492: RTWSControl  - tickOptionComputation - id:200052 tickType:11 impliedVol:1.79769313486232E+308 delta:1.79769313486232E+308 optPrice:1.79769313486232E+308 pvDividend:0 gamma: 1.79769313486232E+308 theta/vega/undPrice: 1.79769313486232E+308-1.79769313486232E+308-1.5789</t>
  </si>
  <si>
    <t>2014-11-26 15:58:34.533: RTWSControl  - tickOptionComputation - id:200054 tickType:10 impliedVol:1.79769313486232E+308 delta:1.79769313486232E+308 optPrice:1.79769313486232E+308 pvDividend:0 gamma: 1.79769313486232E+308 theta/vega/undPrice: 1.79769313486232E+308-1.79769313486232E+308-1.5789</t>
  </si>
  <si>
    <t>2014-11-26 15:58:35.286: RTWSControl  - tickOptionComputation - id:200042 tickType:13 impliedVol:8.06751797725553E-02 delta:-2.51370805824072E-02 optPrice:9.47104771105786E-05 pvDividend:0 gamma: 1.79769313486232E+308 theta/vega/undPrice: -1.33166191861104E-04-8.77694341878346E-05-1.5789</t>
  </si>
  <si>
    <t>2014-11-26 15:58:35.359: RTWSControl  - tickOptionComputation - id:200041 tickType:13 impliedVol:7.21129593862031E-02 delta:0.945147523819564 optPrice:1.41076546315517E-02 pvDividend:0 gamma: 1.79769313486232E+308 theta/vega/undPrice: -2.25044727725044E-04-1.50484629209151E-04-1.5789</t>
  </si>
  <si>
    <t>2014-11-26 15:58:35.412: RTWSControl  - tickOptionComputation - id:200043 tickType:13 impliedVol:7.21129593862031E-02 delta:-5.49649923262971E-02 optPrice:2.07853180965477E-04 pvDividend:0 gamma: 1.79769313486232E+308 theta/vega/undPrice: -2.25136541430425E-04-1.50484880344875E-04-1.5789</t>
  </si>
  <si>
    <t>2014-11-26 15:58:35.455: RTWSControl  - tickOptionComputation - id:200044 tickType:13 impliedVol:6.67635746608823E-02 delta:0.866179394683629 optPrice:9.45272636961067E-03 pvDividend:0 gamma: 1.79769313486232E+308 theta/vega/undPrice: -4.07852504264045E-04-2.97583838951536E-04-1.5789</t>
  </si>
  <si>
    <t>2014-11-26 15:58:35.496: RTWSControl  - tickOptionComputation - id:200046 tickType:13 impliedVol:6.67635746608823E-02 delta:-0.133933279839655 optPrice:5.52854148753211E-04 pvDividend:0 gamma: 1.79769313486232E+308 theta/vega/undPrice: -4.07911944971892E-04-2.97584126871012E-04-1.5789</t>
  </si>
  <si>
    <t>2014-11-26 15:58:35.542: RTWSControl  - tickOptionComputation - id:200045 tickType:13 impliedVol:6.46270255966215E-02 delta:0.69153204979006 optPrice:5.46790380149828E-03 pvDividend:0 gamma: 1.79769313486232E+308 theta/vega/undPrice: -6.42931090066745E-04-4.45318944630248E-04-1.5789</t>
  </si>
  <si>
    <t>2014-11-26 15:58:35.583: RTWSControl  - tickOptionComputation - id:200047 tickType:13 impliedVol:6.46270255966215E-02 delta:-0.308581068909077 optPrice:1.56796216851715E-03 pvDividend:0 gamma: 1.79769313486232E+308 theta/vega/undPrice: -6.42958749963753E-04-4.45319581292054E-04-1.5789</t>
  </si>
  <si>
    <t>2014-11-26 15:58:35.624: RTWSControl  - tickOptionComputation - id:200055 tickType:11 impliedVol:1.79769313486232E+308 delta:1.79769313486232E+308 optPrice:2.49999994412065E-03 pvDividend:0 gamma: 1.79769313486232E+308 theta/vega/undPrice: 1.79769313486232E+308-1.79769313486232E+308-1.5789</t>
  </si>
  <si>
    <t>2014-11-26 15:58:35.658: RTWSControl  - tickOptionComputation - id:200055 tickType:13 impliedVol:6.57033121934205E-02 delta:0.446460857323292 optPrice:2.6865112600342E-03 pvDividend:0 gamma: 1.79769313486232E+308 theta/vega/undPrice: -7.32571317418041E-04-4.83193952243714E-04-1.5789</t>
  </si>
  <si>
    <t>2014-11-26 15:58:35.707: RTWSControl  - tickOptionComputation - id:200052 tickType:10 impliedVol:1.79769313486232E+308 delta:1.79769313486232E+308 optPrice:1.79769313486232E+308 pvDividend:0 gamma: 1.79769313486232E+308 theta/vega/undPrice: 1.79769313486232E+308-1.79769313486232E+308-1.5789</t>
  </si>
  <si>
    <t>2014-11-26 15:58:35.743: RTWSControl  - tickOptionComputation - id:200052 tickType:11 impliedVol:1.79769313486232E+308 delta:1.79769313486232E+308 optPrice:1.79769313486232E+308 pvDividend:0 gamma: 1.79769313486232E+308 theta/vega/undPrice: 1.79769313486232E+308-1.79769313486232E+308-1.5789</t>
  </si>
  <si>
    <t>2014-11-26 15:58:35.783: RTWSControl  - tickOptionComputation - id:200054 tickType:10 impliedVol:1.79769313486232E+308 delta:1.79769313486232E+308 optPrice:1.79769313486232E+308 pvDividend:0 gamma: 1.79769313486232E+308 theta/vega/undPrice: 1.79769313486232E+308-1.79769313486232E+308-1.5789</t>
  </si>
  <si>
    <t>2014-11-26 15:58:36.663: DirectionIndicator - notify - price/longMA/ShortMA/prevDirection are 1.5788/1.57887338442723/1.57885887299245/1</t>
  </si>
  <si>
    <t>2014-11-26 15:58:36.663: Algorithm - handleTransition - currentHedgeShortfall is NOT ZERO and AUTOHEDGE IS NOT ENABLED!</t>
  </si>
  <si>
    <t>2014-11-26 15:58:36.706: DirectionIndicator - notify - price/longMA/ShortMA/prevDirection are 1.57875/1.57885095089501/1.57882258199496/1</t>
  </si>
  <si>
    <t>2014-11-26 15:58:36.706: Algorithm - handleTransition - currentHedgeShortfall is NOT ZERO and AUTOHEDGE IS NOT ENABLED!</t>
  </si>
  <si>
    <t>2014-11-26 15:58:37.447: DirectionIndicator - notify - price/longMA/ShortMA/prevDirection are 1.5788/1.57884168709592/1.57881505466331/-1</t>
  </si>
  <si>
    <t>2014-11-26 15:58:37.450: Algorithm - handleTransition - currentHedgeShortfall is NOT ZERO and AUTOHEDGE IS NOT ENABLED!</t>
  </si>
  <si>
    <t>2014-11-26 15:58:37.488: DirectionIndicator - notify - price/longMA/ShortMA/prevDirection are 1.57885/1.57884319853302/1.57882670310887/-1</t>
  </si>
  <si>
    <t>2014-11-26 15:58:37.488: Algorithm - handleTransition - currentHedgeShortfall is NOT ZERO and AUTOHEDGE IS NOT ENABLED!</t>
  </si>
  <si>
    <t>2014-11-26 15:58:38.666: RTWSControl  - tickOptionComputation - id:200042 tickType:13 impliedVol:8.06751797725553E-02 delta:-0.025871720741023 optPrice:9.79333704127951E-05 pvDividend:0 gamma: 1.79769313486232E+308 theta/vega/undPrice: -1.36282598515819E-04-8.77666548783799E-05-1.5788</t>
  </si>
  <si>
    <t>2014-11-26 15:58:38.741: RTWSControl  - tickOptionComputation - id:200042 tickType:10 impliedVol:9.20279410363027E-02 delta:-4.33476802958731E-02 optPrice:1.99999994947575E-04 pvDividend:0 gamma: 1.79769313486232E+308 theta/vega/undPrice: -2.39590602182974E-04-1.43198016788885E-04-1.5788</t>
  </si>
  <si>
    <t>2014-11-26 15:58:38.789: RTWSControl  - tickOptionComputation - id:200042 tickType:11 impliedVol:9.20279410363027E-02 delta:-4.33476802958731E-02 optPrice:1.99999994947575E-04 pvDividend:0 gamma: 1.79769313486232E+308 theta/vega/undPrice: -2.39590602182974E-04-1.43198016788885E-04-1.5788</t>
  </si>
  <si>
    <t>2014-11-26 15:58:38.835: RTWSControl  - tickOptionComputation - id:200041 tickType:13 impliedVol:7.21129593862031E-02 delta:0.943804157388122 optPrice:1.40135691671274E-02 pvDividend:0 gamma: 1.79769313486232E+308 theta/vega/undPrice: -2.29353376868072E-04-1.54647232952916E-04-1.5788</t>
  </si>
  <si>
    <t>2014-11-26 15:58:38.875: RTWSControl  - tickOptionComputation - id:200041 tickType:10 impliedVol:6.23448315712066E-02 delta:0.966886978473838 optPrice:1.38999996706843E-02 pvDividend:0 gamma: 1.79769313486232E+308 theta/vega/undPrice: -1.28993048081486E-04-1.16895185362873E-04-1.5788</t>
  </si>
  <si>
    <t>2014-11-26 15:58:38.917: RTWSControl  - tickOptionComputation - id:200041 tickType:11 impliedVol:8.35903001179433E-02 delta:0.915144638706875 optPrice:1.42000000923872E-02 pvDividend:0 gamma: 1.79769313486232E+308 theta/vega/undPrice: -3.6620021153748E-04-2.1514107933771E-04-1.5788</t>
  </si>
  <si>
    <t>2014-11-26 15:58:38.963: RTWSControl  - tickOptionComputation - id:200043 tickType:13 impliedVol:7.21129593862031E-02 delta:-5.63083597369168E-02 optPrice:2.13766293209508E-04 pvDividend:0 gamma: 1.79769313486232E+308 theta/vega/undPrice: -2.29444536690808E-04-1.54647487459821E-04-1.5788</t>
  </si>
  <si>
    <t>2014-11-26 15:58:39.7: RTWSControl  - tickOptionComputation - id:200043 tickType:10 impliedVol:6.23194155932623E-02 delta:-3.30453075926405E-02 optPrice:9.99999974737875E-05 pvDividend:0 gamma: 1.79769313486232E+308 theta/vega/undPrice: -1.28854783897361E-04-1.1675421075363E-04-1.5788</t>
  </si>
  <si>
    <t>2014-11-26 15:58:39.51: RTWSControl  - tickOptionComputation - id:200043 tickType:11 impliedVol:7.81253063337912E-02 delta:-7.06034839318528E-02 optPrice:3.00000014249235E-04 pvDividend:0 gamma: 1.79769313486232E+308 theta/vega/undPrice: -2.98442065254833E-04-1.97764210730072E-04-1.5788</t>
  </si>
  <si>
    <t>2014-11-26 15:58:39.120: RTWSControl  - tickOptionComputation - id:200044 tickType:13 impliedVol:6.67635746608823E-02 delta:0.863169492225343 optPrice:9.36877636813953E-03 pvDividend:0 gamma: 1.79769313486232E+308 theta/vega/undPrice: -4.1353738336125E-04-2.97574414343998E-04-1.5788</t>
  </si>
  <si>
    <t>2014-11-26 15:58:39.166: RTWSControl  - tickOptionComputation - id:200044 tickType:10 impliedVol:6.44523448515651E-02 delta:0.872565082433823 optPrice:9.30000003427267E-03 pvDividend:0 gamma: 1.79769313486232E+308 theta/vega/undPrice: -3.81814738493866E-04-2.97574490551428E-04-1.5788</t>
  </si>
  <si>
    <t>2014-11-26 15:58:39.209: RTWSControl  - tickOptionComputation - id:200044 tickType:11 impliedVol:7.45338683249734E-02 delta:0.835437915231344 optPrice:9.60000045597553E-03 pvDividend:0 gamma: 1.79769313486232E+308 theta/vega/undPrice: -5.20187966706697E-04-2.97574157441777E-04-1.5788</t>
  </si>
  <si>
    <t>2014-11-26 15:58:39.256: RTWSControl  - tickOptionComputation - id:200046 tickType:13 impliedVol:6.67635746608823E-02 delta:-0.136943185435597 optPrice:5.68902733091907E-04 pvDividend:0 gamma: 1.79769313486232E+308 theta/vega/undPrice: -4.13596175694283E-04-2.97574702274153E-04-1.5788</t>
  </si>
  <si>
    <t>2014-11-26 15:58:39.298: RTWSControl  - tickOptionComputation - id:200046 tickType:10 impliedVol:0.064477136038907 delta:-0.127526728408597 optPrice:5.00000023748726E-04 pvDividend:0 gamma: 1.79769313486232E+308 theta/vega/undPrice: -3.82213741251254E-04-2.97574777609767E-04-1.5788</t>
  </si>
  <si>
    <t>2014-11-26 15:58:39.340: RTWSControl  - tickOptionComputation - id:200046 tickType:11 impliedVol:7.11904345251082E-02 delta:-0.153403886218512 optPrice:6.99999975040555E-04 pvDividend:0 gamma: 1.79769313486232E+308 theta/vega/undPrice: -4.74356845891051E-04-2.97574556484009E-04-1.5788</t>
  </si>
  <si>
    <t>2014-11-26 15:58:39.411: RTWSControl  - tickOptionComputation - id:200045 tickType:13 impliedVol:6.46270255966215E-02 delta:0.686878515834376 optPrice:5.40140409766818E-03 pvDividend:0 gamma: 1.79769313486232E+308 theta/vega/undPrice: -6.46565008169772E-04-4.45304841055423E-04-1.5788</t>
  </si>
  <si>
    <t>2014-11-26 15:58:39.457: RTWSControl  - tickOptionComputation - id:200047 tickType:13 impliedVol:6.46270255966215E-02 delta:-0.313234610214863 optPrice:1.60146107341593E-03 pvDividend:0 gamma: 1.79769313486232E+308 theta/vega/undPrice: -6.46592026323194E-04-4.45305478053096E-04-1.5788</t>
  </si>
  <si>
    <t>2014-11-26 15:58:39.500: RTWSControl  - tickOptionComputation - id:200055 tickType:13 impliedVol:6.57033121934205E-02 delta:0.441493401564196 optPrice:2.64202513213753E-03 pvDividend:0 gamma: 1.79769313486232E+308 theta/vega/undPrice: -7.31226873886617E-04-4.83178650075375E-04-1.5788</t>
  </si>
  <si>
    <t>2014-11-26 15:58:39.540: RTWSControl  - tickOptionComputation - id:200045 tickType:10 impliedVol:6.23498397359846E-02 delta:0.693226374267139 optPrice:5.29999984428287E-03 pvDividend:0 gamma: 1.79769313486232E+308 theta/vega/undPrice: -6.18883905954323E-04-4.45304947661943E-04-1.5788</t>
  </si>
  <si>
    <t>2014-11-26 15:58:39.583: RTWSControl  - tickOptionComputation - id:200045 tickType:11 impliedVol:6.68411455227976E-02 delta:0.680957692828432 optPrice:5.49999997019768E-03 pvDividend:0 gamma: 1.79769313486232E+308 theta/vega/undPrice: -6.73479475481508E-04-4.45304734641951E-04-1.5788</t>
  </si>
  <si>
    <t>2014-11-26 15:58:39.630: RTWSControl  - tickOptionComputation - id:200047 tickType:10 impliedVol:0.060102918362113 delta:-0.299930819773186 optPrice:1.39999995008111E-03 pvDividend:0 gamma: 1.79769313486232E+308 theta/vega/undPrice: -5.9159751216428E-04-4.45305686352742E-04-1.5788</t>
  </si>
  <si>
    <t>2014-11-26 15:58:39.672: RTWSControl  - tickOptionComputation - id:200047 tickType:11 impliedVol:6.45967382185434E-02 delta:-0.313112419741803 optPrice:1.5999999595806E-03 pvDividend:0 gamma: 1.79769313486232E+308 theta/vega/undPrice: -6.46223856734977E-04-4.45305479483981E-04-1.5788</t>
  </si>
  <si>
    <t>2014-11-26 15:58:39.738: RTWSControl  - tickOptionComputation - id:200055 tickType:10 impliedVol:6.07044365541283E-02 delta:0.436454668124114 optPrice:2.40000011399388E-03 pvDividend:0 gamma: 1.79769313486232E+308 theta/vega/undPrice: -6.7438771865568E-04-4.83178899698669E-04-1.5788</t>
  </si>
  <si>
    <t>2014-11-26 15:58:39.788: RTWSControl  - tickOptionComputation - id:200055 tickType:11 impliedVol:6.27573975176323E-02 delta:0.43859566344319 optPrice:2.49999994412065E-03 pvDividend:0 gamma: 1.79769313486232E+308 theta/vega/undPrice: -6.97730690687139E-04-4.83178799352122E-04-1.5788</t>
  </si>
  <si>
    <t>2014-11-26 15:58:39.833: RTWSControl  - tickOptionComputation - id:200049 tickType:10 impliedVol:6.84329832498952E-02 delta:0.699323958012691 optPrice:1.20999999344349E-02 pvDividend:0 gamma: 1.79769313486232E+308 theta/vega/undPrice: -3.27664766909631E-04-9.14213349217662E-04-1.5788</t>
  </si>
  <si>
    <t>2014-11-26 15:58:39.875: RTWSControl  - tickOptionComputation - id:200049 tickType:11 impliedVol:0.071714492318264 delta:0.690802896886867 optPrice:1.24000003561378E-02 pvDividend:0 gamma: 1.79769313486232E+308 theta/vega/undPrice: -3.47028726794996E-04-9.14211879359835E-04-1.5788</t>
  </si>
  <si>
    <t>2014-11-26 15:58:39.920: RTWSControl  - tickOptionComputation - id:200049 tickType:13 impliedVol:6.87466872437597E-02 delta:0.698562118000341 optPrice:1.21286792385391E-02 pvDividend:0 gamma: 1.79769313486232E+308 theta/vega/undPrice: -3.29515915904603E-04-9.14213210947038E-04-1.5788</t>
  </si>
  <si>
    <t>2014-11-26 15:58:39.964: RTWSControl  - tickOptionComputation - id:200050 tickType:13 impliedVol:6.87466872437597E-02 delta:-0.301507974453318 optPrice:3.32923494445956E-03 pvDividend:0 gamma: 1.79769313486232E+308 theta/vega/undPrice: -3.29578179296571E-04-9.14218766686467E-04-1.5788</t>
  </si>
  <si>
    <t>2014-11-26 15:58:40.7: RTWSControl  - tickOptionComputation - id:200051 tickType:13 impliedVol:7.07601127956607E-02 delta:-0.305145425420847 optPrice:3.42975129285061E-03 pvDividend:0 gamma: 1.79769313486232E+308 theta/vega/undPrice: -3.4216168222403E-04-8.66550935200598E-04-1.5788</t>
  </si>
  <si>
    <t>2014-11-26 15:58:40.72: RTWSControl  - tickOptionComputation - id:200052 tickType:13 impliedVol:0.123001667137105 delta:-0.511917298671646 optPrice:1.27511566111643E-02 pvDividend:0 gamma: 1.79769313486232E+308 theta/vega/undPrice: -6.76944877787374E-04-9.86322031474802E-04-1.5788</t>
  </si>
  <si>
    <t>2014-11-26 15:58:40.121: RTWSControl  - tickOptionComputation - id:200050 tickType:10 impliedVol:6.84269072103003E-02 delta:-0.3006031577636 optPrice:3.29999998211861E-03 pvDividend:0 gamma: 1.79769313486232E+308 theta/vega/undPrice: -3.27691148443066E-04-9.1421890760717E-04-1.5788</t>
  </si>
  <si>
    <t>2014-11-26 15:58:40.162: RTWSControl  - tickOptionComputation - id:200050 tickType:11 impliedVol:7.06145643693248E-02 delta:-0.306373855357176 optPrice:3.50000010803342E-03 pvDividend:0 gamma: 1.79769313486232E+308 theta/vega/undPrice: -3.40600560036483E-04-9.14217933829461E-04-1.5788</t>
  </si>
  <si>
    <t>2014-11-26 15:58:40.208: RTWSControl  - tickOptionComputation - id:200051 tickType:10 impliedVol:6.69272904781541E-02 delta:-0.2951709761529 optPrice:3.10000008903444E-03 pvDividend:0 gamma: 1.79769313486232E+308 theta/vega/undPrice: -3.18819257541993E-04-8.53673271663222E-04-1.5788</t>
  </si>
  <si>
    <t>2014-11-26 15:58:40.248: RTWSControl  - tickOptionComputation - id:200051 tickType:11 impliedVol:7.04090213866726E-02 delta:-0.304236313080857 optPrice:3.40000004507601E-03 pvDividend:0 gamma: 1.79769313486232E+308 theta/vega/undPrice: -3.40031741418724E-04-8.6545066265705E-04-1.5788</t>
  </si>
  <si>
    <t>2014-11-26 15:58:40.294: RTWSControl  - tickOptionComputation - id:200052 tickType:10 impliedVol:1.79769313486232E+308 delta:1.79769313486232E+308 optPrice:1.79769313486232E+308 pvDividend:0 gamma: 1.79769313486232E+308 theta/vega/undPrice: 1.79769313486232E+308-1.79769313486232E+308-1.5788</t>
  </si>
  <si>
    <t>2014-11-26 15:58:40.328: RTWSControl  - tickOptionComputation - id:200052 tickType:11 impliedVol:1.79769313486232E+308 delta:1.79769313486232E+308 optPrice:1.79769313486232E+308 pvDividend:0 gamma: 1.79769313486232E+308 theta/vega/undPrice: 1.79769313486232E+308-1.79769313486232E+308-1.5788</t>
  </si>
  <si>
    <t>2014-11-26 15:58:40.372: RTWSControl  - tickOptionComputation - id:200048 tickType:10 impliedVol:8.13982637378178E-02 delta:-2.55136075076372E-02 optPrice:1.99999994947575E-04 pvDividend:0 gamma: 1.79769313486232E+308 theta/vega/undPrice: -6.61100351828705E-05-1.79311015629219E-04-1.5788</t>
  </si>
  <si>
    <t>2014-11-26 15:58:40.417: RTWSControl  - tickOptionComputation - id:200048 tickType:11 impliedVol:8.69489508875592E-02 delta:-3.43060255693253E-02 optPrice:3.00000014249235E-04 pvDividend:0 gamma: 1.79769313486232E+308 theta/vega/undPrice: -9.02588149511786E-05-2.29532391531808E-04-1.5788</t>
  </si>
  <si>
    <t>2014-11-26 15:58:40.465: RTWSControl  - tickOptionComputation - id:200048 tickType:13 impliedVol:0.084264059941324 delta:-3.02020765473396E-02 optPrice:2.51856944786907E-04 pvDividend:0 gamma: 1.79769313486232E+308 theta/vega/undPrice: -7.85779606725679E-05-1.99126647668554E-04-1.5788</t>
  </si>
  <si>
    <t>2014-11-26 15:58:40.507: RTWSControl  - tickOptionComputation - id:200053 tickType:13 impliedVol:6.40959325592672E-02 delta:9.50301388958647E-02 optPrice:7.19287060504341E-04 pvDividend:0 gamma: 1.79769313486232E+308 theta/vega/undPrice: -1.48179623256028E-04-4.47310007269172E-04-1.5788</t>
  </si>
  <si>
    <t>2014-11-26 15:58:40.548: RTWSControl  - tickOptionComputation - id:200053 tickType:10 impliedVol:6.14291754732661E-02 delta:8.47900190499161E-02 optPrice:6.00000028498471E-04 pvDividend:0 gamma: 1.79769313486232E+308 theta/vega/undPrice: -1.30920742088552E-04-4.47310505119244E-04-1.5788</t>
  </si>
  <si>
    <t>2014-11-26 15:58:40.613: RTWSControl  - tickOptionComputation - id:200053 tickType:11 impliedVol:6.59002073960491E-02 delta:0.101470486896683 optPrice:7.999999797903E-04 pvDividend:0 gamma: 1.79769313486232E+308 theta/vega/undPrice: -1.59856620445674E-04-4.73049031143386E-04-1.5788</t>
  </si>
  <si>
    <t>2014-11-26 15:58:40.666: RTWSControl  - tickOptionComputation - id:200054 tickType:13 impliedVol:7.03117958878448E-02 delta:1.78107843477387E-03 optPrice:9.19644941279766E-06 pvDividend:0 gamma: 0.323538377157733 theta/vega/undPrice: -5.46008699797598E-06-2.72936987865528E-05-1.5788</t>
  </si>
  <si>
    <t>2014-11-26 15:58:40.706: RTWSControl  - tickOptionComputation - id:200054 tickType:10 impliedVol:1.79769313486232E+308 delta:1.79769313486232E+308 optPrice:1.79769313486232E+308 pvDividend:0 gamma: 1.79769313486232E+308 theta/vega/undPrice: 1.79769313486232E+308-1.79769313486232E+308-1.5788</t>
  </si>
  <si>
    <t>2014-11-26 15:58:40.743: RTWSControl  - tickOptionComputation - id:200054 tickType:11 impliedVol:9.06193199778127E-02 delta:1.25305788306452E-02 optPrice:9.99999974737875E-05 pvDividend:0 gamma: 1.79769313486232E+308 theta/vega/undPrice: -4.00848787319015E-05-1.03767066630078E-04-1.5788</t>
  </si>
  <si>
    <t>2014-11-26 15:58:40.950: DirectionIndicator - notify - price/longMA/ShortMA/prevDirection are 1.5789/1.57885352607247/1.57885113540592/-1</t>
  </si>
  <si>
    <t>2014-11-26 15:58:40.950: Algorithm - handleTransition - currentHedgeShortfall is NOT ZERO and AUTOHEDGE IS NOT ENABLED!</t>
  </si>
  <si>
    <t>2014-11-26 15:58:40.991: DirectionIndicator - notify - price/longMA/ShortMA/prevDirection are 1.57895/1.57887106678657/1.57888409027061/-1</t>
  </si>
  <si>
    <t>2014-11-26 15:58:40.991: Algorithm - handleTransition - currentHedgeShortfall is NOT ZERO and AUTOHEDGE IS NOT ENABLED!</t>
  </si>
  <si>
    <t>2014-11-26 15:58:41.699: RTWSControl  - tickOptionComputation - id:200042 tickType:13 impliedVol:8.06751797725553E-02 delta:-2.51370805824072E-02 optPrice:9.47104771105786E-05 pvDividend:0 gamma: 1.79769313486232E+308 theta/vega/undPrice: -1.33166191861104E-04-8.77694341878346E-05-1.5789</t>
  </si>
  <si>
    <t>2014-11-26 15:58:41.749: RTWSControl  - tickOptionComputation - id:200041 tickType:13 impliedVol:7.21129593862031E-02 delta:0.945147523819564 optPrice:1.41076546315517E-02 pvDividend:0 gamma: 1.79769313486232E+308 theta/vega/undPrice: -2.25044727725044E-04-1.50484629209151E-04-1.5789</t>
  </si>
  <si>
    <t>2014-11-26 15:58:41.792: RTWSControl  - tickOptionComputation - id:200043 tickType:13 impliedVol:7.21129593862031E-02 delta:-5.49649923262971E-02 optPrice:2.07853180965477E-04 pvDividend:0 gamma: 1.79769313486232E+308 theta/vega/undPrice: -2.25136541430425E-04-1.50484880344875E-04-1.5789</t>
  </si>
  <si>
    <t>2014-11-26 15:58:41.837: RTWSControl  - tickOptionComputation - id:200044 tickType:13 impliedVol:6.67635746608823E-02 delta:0.866179394683629 optPrice:9.45272636961067E-03 pvDividend:0 gamma: 1.79769313486232E+308 theta/vega/undPrice: -4.07852504264045E-04-2.97583838951536E-04-1.5789</t>
  </si>
  <si>
    <t>2014-11-26 15:58:41.875: RTWSControl  - tickOptionComputation - id:200046 tickType:13 impliedVol:6.67635746608823E-02 delta:-0.133933279839655 optPrice:5.52854148753211E-04 pvDividend:0 gamma: 1.79769313486232E+308 theta/vega/undPrice: -4.07911944971892E-04-2.97584126871012E-04-1.5789</t>
  </si>
  <si>
    <t>2014-11-26 15:58:41.917: RTWSControl  - tickOptionComputation - id:200045 tickType:13 impliedVol:6.46270255966215E-02 delta:0.69153204979006 optPrice:5.46790380149828E-03 pvDividend:0 gamma: 1.79769313486232E+308 theta/vega/undPrice: -6.42931090066745E-04-4.45318944630248E-04-1.5789</t>
  </si>
  <si>
    <t>2014-11-26 15:58:41.959: RTWSControl  - tickOptionComputation - id:200047 tickType:13 impliedVol:6.46270255966215E-02 delta:-0.308581068909077 optPrice:1.56796216851715E-03 pvDividend:0 gamma: 1.79769313486232E+308 theta/vega/undPrice: -6.42958749963753E-04-4.45319581292054E-04-1.5789</t>
  </si>
  <si>
    <t>2014-11-26 15:58:42.0: RTWSControl  - tickOptionComputation - id:200055 tickType:13 impliedVol:6.57033121934205E-02 delta:0.446460857323292 optPrice:2.6865112600342E-03 pvDividend:0 gamma: 1.79769313486232E+308 theta/vega/undPrice: -7.32571317418041E-04-4.83193952243714E-04-1.5789</t>
  </si>
  <si>
    <t>2014-11-26 15:58:42.40: RTWSControl  - tickOptionComputation - id:200049 tickType:13 impliedVol:6.87466872437597E-02 delta:0.700685255107983 optPrice:1.21952840498007E-02 pvDividend:0 gamma: 1.79769313486232E+308 theta/vega/undPrice: -3.28663267591465E-04-9.14242172864715E-04-1.5789</t>
  </si>
  <si>
    <t>2014-11-26 15:58:42.84: RTWSControl  - tickOptionComputation - id:200050 tickType:13 impliedVol:6.87466872437597E-02 delta:-0.299384822749195 optPrice:3.29584563780008E-03 pvDividend:0 gamma: 1.79769313486232E+308 theta/vega/undPrice: -3.28726171536383E-04-9.14247728722723E-04-1.5789</t>
  </si>
  <si>
    <t>2014-11-26 15:58:42.123: RTWSControl  - tickOptionComputation - id:200051 tickType:13 impliedVol:7.07601127956607E-02 delta:-0.303146673607155 optPrice:3.39934053113595E-03 pvDividend:0 gamma: 1.79769313486232E+308 theta/vega/undPrice: -3.41182913960977E-04-8.64071785510861E-04-1.5789</t>
  </si>
  <si>
    <t>2014-11-26 15:58:42.165: RTWSControl  - tickOptionComputation - id:200052 tickType:13 impliedVol:0.123001667137105 delta:-0.510606558330186 optPrice:1.27000404793499E-02 pvDividend:0 gamma: 1.79769313486232E+308 theta/vega/undPrice: -6.7705073350308E-04-9.8647575612118E-04-1.5789</t>
  </si>
  <si>
    <t>2014-11-26 15:58:42.207: RTWSControl  - tickOptionComputation - id:200048 tickType:13 impliedVol:0.084264059941324 delta:-2.98622285297279E-02 optPrice:2.48659855950531E-04 pvDividend:0 gamma: 1.79769313486232E+308 theta/vega/undPrice: -7.7847278487361E-05-1.96465978758071E-04-1.5789</t>
  </si>
  <si>
    <t>2014-11-26 15:58:42.251: RTWSControl  - tickOptionComputation - id:200053 tickType:13 impliedVol:6.40959325592672E-02 delta:9.61450986325973E-02 optPrice:7.29508875528565E-04 pvDividend:0 gamma: 1.79769313486232E+308 theta/vega/undPrice: -1.49450495269188E-04-4.48337351786604E-04-1.5789</t>
  </si>
  <si>
    <t>2014-11-26 15:58:42.289: RTWSControl  - tickOptionComputation - id:200054 tickType:13 impliedVol:7.03117958878448E-02 delta:1.80555619185523E-03 optPrice:9.32893249947832E-06 pvDividend:0 gamma: 0.32772671740949 theta/vega/undPrice: -5.5314706898059E-06-2.7941987421425E-05-1.5789</t>
  </si>
  <si>
    <t>2014-11-26 15:58:42.456: RTWSControl  - tickOptionComputation - id:200042 tickType:10 impliedVol:9.24371267281265E-02 delta:-4.31799155505825E-02 optPrice:1.99999994947575E-04 pvDividend:0 gamma: 1.79769313486232E+308 theta/vega/undPrice: -2.39978270934684E-04-1.43202543295286E-04-1.5789</t>
  </si>
  <si>
    <t>2014-11-26 15:58:42.532: RTWSControl  - tickOptionComputation - id:200042 tickType:11 impliedVol:9.24371267281265E-02 delta:-4.31799155505825E-02 optPrice:1.99999994947575E-04 pvDividend:0 gamma: 1.79769313486232E+308 theta/vega/undPrice: -2.39978270934684E-04-1.43202543295286E-04-1.5789</t>
  </si>
  <si>
    <t>2014-11-26 15:58:42.584: RTWSControl  - tickOptionComputation - id:200042 tickType:13 impliedVol:8.22636638853993E-02 delta:-2.78305842476635E-02 optPrice:1.08652519930971E-04 pvDividend:0 gamma: 1.79769313486232E+308 theta/vega/undPrice: -1.47471301990037E-04-8.88190180518325E-05-1.5789</t>
  </si>
  <si>
    <t>2014-11-26 15:58:42.625: RTWSControl  - tickOptionComputation - id:200041 tickType:10 impliedVol:0.062708273905332 delta:0.967069760173005 optPrice:1.40000004321337E-02 pvDividend:0 gamma: 1.79769313486232E+308 theta/vega/undPrice: -1.29148984401105E-04-1.16228079851862E-04-1.5789</t>
  </si>
  <si>
    <t>2014-11-26 15:58:42.667: RTWSControl  - tickOptionComputation - id:200041 tickType:11 impliedVol:8.40586270385464E-02 delta:0.915533510858496 optPrice:0.014299999922514 pvDividend:0 gamma: 1.79769313486232E+308 theta/vega/undPrice: -3.6708021733319E-04-2.15147879201807E-04-1.5789</t>
  </si>
  <si>
    <t>2014-11-26 15:58:42.714: RTWSControl  - tickOptionComputation - id:200041 tickType:13 impliedVol:7.35181471495281E-02 delta:0.941568957950463 optPrice:1.41278095494255E-02 pvDividend:0 gamma: 1.79769313486232E+308 theta/vega/undPrice: -2.41171122755428E-04-1.60562054422884E-04-1.5789</t>
  </si>
  <si>
    <t>2014-11-26 15:58:42.756: RTWSControl  - tickOptionComputation - id:200043 tickType:10 impliedVol:6.26907761582574E-02 delta:-3.28794459411306E-02 optPrice:9.99999974737875E-05 pvDividend:0 gamma: 1.79769313486232E+308 theta/vega/undPrice: -1.29082793644299E-04-1.16131064330738E-04-1.5789</t>
  </si>
  <si>
    <t>2014-11-26 15:58:42.801: RTWSControl  - tickOptionComputation - id:200043 tickType:11 impliedVol:0.078537374479434 delta:-7.02695821707888E-02 optPrice:3.00000014249235E-04 pvDividend:0 gamma: 1.79769313486232E+308 theta/vega/undPrice: -2.98865284792116E-04-1.96558152310292E-04-1.5789</t>
  </si>
  <si>
    <t>2014-11-26 15:58:42.870: RTWSControl  - tickOptionComputation - id:200043 tickType:13 impliedVol:7.35181471495281E-02 delta:-5.85435608013828E-02 optPrice:2.28008112666308E-04 pvDividend:0 gamma: 1.79769313486232E+308 theta/vega/undPrice: -2.41262954550413E-04-1.60562316238737E-04-1.5789</t>
  </si>
  <si>
    <t>2014-11-26 15:58:42.917: RTWSControl  - tickOptionComputation - id:200044 tickType:13 impliedVol:6.72641109732552E-02 delta:0.864184639834257 optPrice:9.46762152927106E-03 pvDividend:0 gamma: 1.79769313486232E+308 theta/vega/undPrice: -4.14722800771974E-04-2.97583822255401E-04-1.5789</t>
  </si>
  <si>
    <t>2014-11-26 15:58:42.959: RTWSControl  - tickOptionComputation - id:200044 tickType:10 impliedVol:6.49637521544081E-02 delta:0.873496257609528 optPrice:9.39999986439943E-03 pvDividend:0 gamma: 1.79769313486232E+308 theta/vega/undPrice: -3.83148368100467E-04-2.97583898954155E-04-1.5789</t>
  </si>
  <si>
    <t>2014-11-26 15:58:42.999: RTWSControl  - tickOptionComputation - id:200044 tickType:11 impliedVol:7.50716924078169E-02 delta:0.836415472315412 optPrice:9.70000028610229E-03 pvDividend:0 gamma: 1.79769313486232E+308 theta/vega/undPrice: -5.21888556885031E-04-2.9758356123177E-04-1.5789</t>
  </si>
  <si>
    <t>2014-11-26 15:58:43.46: RTWSControl  - tickOptionComputation - id:200046 tickType:13 impliedVol:6.72641109732552E-02 delta:-0.135928036766105 optPrice:5.67749322819883E-04 pvDividend:0 gamma: 1.79769313486232E+308 theta/vega/undPrice: -4.14782254526561E-04-2.97584110186047E-04-1.5789</t>
  </si>
  <si>
    <t>2014-11-26 15:58:43.90: RTWSControl  - tickOptionComputation - id:200045 tickType:13 impliedVol:6.35015553565808E-02 delta:0.694737131934334 optPrice:5.41778445040772E-03 pvDividend:0 gamma: 1.79769313486232E+308 theta/vega/undPrice: -6.29249624918347E-04-4.45318997939417E-04-1.5789</t>
  </si>
  <si>
    <t>2014-11-26 15:58:43.133: RTWSControl  - tickOptionComputation - id:200046 tickType:10 impliedVol:6.49621878409404E-02 delta:-0.126483343142766 optPrice:5.00000023748726E-04 pvDividend:0 gamma: 1.79769313486232E+308 theta/vega/undPrice: -3.83186290280797E-04-2.97584186882712E-04-1.5789</t>
  </si>
  <si>
    <t>2014-11-26 15:58:43.199: RTWSControl  - tickOptionComputation - id:200046 tickType:11 impliedVol:7.17316507755137E-02 delta:-0.152476946993658 optPrice:6.99999975040555E-04 pvDividend:0 gamma: 1.79769313486232E+308 theta/vega/undPrice: -4.76103210960457E-04-2.97583961358778E-04-1.5789</t>
  </si>
  <si>
    <t>2014-11-26 15:58:43.250: RTWSControl  - tickOptionComputation - id:200047 tickType:13 impliedVol:6.35015553565808E-02 delta:-0.305375981708065 optPrice:1.51784274580751E-03 pvDividend:0 gamma: 1.79769313486232E+308 theta/vega/undPrice: -6.29277238924918E-04-4.45319634395438E-04-1.5789</t>
  </si>
  <si>
    <t>2014-11-26 15:58:43.293: RTWSControl  - tickOptionComputation - id:200045 tickType:10 impliedVol:6.08566080240429E-02 delta:0.702649475367591 optPrice:5.29999984428287E-03 pvDividend:0 gamma: 1.79769313486232E+308 theta/vega/undPrice: -5.97097044841411E-04-4.45319120451281E-04-1.5789</t>
  </si>
  <si>
    <t>2014-11-26 15:58:43.334: RTWSControl  - tickOptionComputation - id:200045 tickType:11 impliedVol:6.75933478497415E-02 delta:0.683512124353988 optPrice:5.59999980032444E-03 pvDividend:0 gamma: 1.79769313486232E+308 theta/vega/undPrice: -6.78990340126618E-04-4.45318800755031E-04-1.5789</t>
  </si>
  <si>
    <t>2014-11-26 15:58:43.380: RTWSControl  - tickOptionComputation - id:200047 tickType:10 impliedVol:6.08553051080229E-02 delta:-0.297333080471012 optPrice:1.39999995008111E-03 pvDividend:0 gamma: 1.79769313486232E+308 theta/vega/undPrice: -5.97108712400993E-04-4.45319756856596E-04-1.5789</t>
  </si>
  <si>
    <t>2014-11-26 15:58:43.422: RTWSControl  - tickOptionComputation - id:200047 tickType:11 impliedVol:6.53507857644428E-02 delta:-0.31054430034673 optPrice:1.5999999595806E-03 pvDividend:0 gamma: 1.79769313486232E+308 theta/vega/undPrice: -6.51756966038183E-04-4.45319546776854E-04-1.5789</t>
  </si>
  <si>
    <t>2014-11-26 15:58:43.489: RTWSControl  - tickOptionComputation - id:200055 tickType:10 impliedVol:5.97681145337179E-02 delta:0.440890305574949 optPrice:2.40000011399388E-03 pvDividend:0 gamma: 1.79769313486232E+308 theta/vega/undPrice: -6.65083671861606E-04-4.83194246144083E-04-1.5789</t>
  </si>
  <si>
    <t>2014-11-26 15:58:43.536: RTWSControl  - tickOptionComputation - id:200055 tickType:11 impliedVol:0.063919127299985 delta:0.44485268973815 optPrice:2.60000000707805E-03 pvDividend:0 gamma: 1.79769313486232E+308 theta/vega/undPrice: -7.12283809619277E-04-4.83194043249216E-04-1.5789</t>
  </si>
  <si>
    <t>2014-11-26 15:58:43.584: RTWSControl  - tickOptionComputation - id:200055 tickType:13 impliedVol:0.062230480299462 delta:0.44335958476318 optPrice:2.51870600711681E-03 pvDividend:0 gamma: 1.79769313486232E+308 theta/vega/undPrice: -6.93082629333374E-04-4.83194127279331E-04-1.5789</t>
  </si>
  <si>
    <t>2014-11-26 15:58:43.623: RTWSControl  - tickOptionComputation - id:200049 tickType:13 impliedVol:6.90956789551063E-02 delta:0.699737823697759 optPrice:1.22271904171127E-02 pvDividend:0 gamma: 1.79769313486232E+308 theta/vega/undPrice: -3.30722711804952E-04-9.14242018138804E-04-1.5789</t>
  </si>
  <si>
    <t>2014-11-26 15:58:43.667: RTWSControl  - tickOptionComputation - id:200050 tickType:13 impliedVol:6.90956789551063E-02 delta:-0.300332260659577 optPrice:3.32775219898437E-03 pvDividend:0 gamma: 1.79769313486232E+308 theta/vega/undPrice: -3.30785645758649E-04-9.1424757402164E-04-1.5789</t>
  </si>
  <si>
    <t>2014-11-26 15:58:43.707: RTWSControl  - tickOptionComputation - id:200048 tickType:13 impliedVol:8.41630824451531E-02 delta:-2.97021814972129E-02 optPrice:2.46849158811484E-04 pvDividend:0 gamma: 1.79769313486232E+308 theta/vega/undPrice: -7.74079526219779E-05-1.95322395148798E-04-1.5789</t>
  </si>
  <si>
    <t>2014-11-26 15:58:43.749: RTWSControl  - tickOptionComputation - id:200053 tickType:13 impliedVol:6.42316274946051E-02 delta:9.66406128336614E-02 optPrice:7.35578850496622E-04 pvDividend:0 gamma: 1.79769313486232E+308 theta/vega/undPrice: -1.50328720951713E-04-4.50649688769881E-04-1.5789</t>
  </si>
  <si>
    <t>2014-11-26 15:58:43.790: RTWSControl  - tickOptionComputation - id:200049 tickType:10 impliedVol:0.068798267731982 delta:0.700456052969267 optPrice:1.21999997645617E-02 pvDividend:0 gamma: 1.79769313486232E+308 theta/vega/undPrice: -3.28967650627251E-04-9.14242150032347E-04-1.5789</t>
  </si>
  <si>
    <t>2014-11-26 15:58:43.835: RTWSControl  - tickOptionComputation - id:200049 tickType:11 impliedVol:7.20796733723099E-02 delta:0.691928076077243 optPrice:1.25000001862645E-02 pvDividend:0 gamma: 1.79769313486232E+308 theta/vega/undPrice: -3.48331605248937E-04-9.14240671204249E-04-1.5789</t>
  </si>
  <si>
    <t>2014-11-26 15:58:43.882: RTWSControl  - tickOptionComputation - id:200054 tickType:13 impliedVol:6.95709280636567E-02 delta:0.001674139681655 optPrice:8.53016714078275E-06 pvDividend:0 gamma: 0.308381716543097 theta/vega/undPrice: -5.09584986119938E-06-2.47802264950959E-05-1.5789</t>
  </si>
  <si>
    <t>2014-11-26 15:58:43.920: RTWSControl  - tickOptionComputation - id:200050 tickType:10 impliedVol:6.87921271667604E-02 delta:-0.299470869350845 optPrice:3.29999998211861E-03 pvDividend:0 gamma: 1.79769313486232E+308 theta/vega/undPrice: -3.28994322222061E-04-9.14247708614066E-04-1.5789</t>
  </si>
  <si>
    <t>2014-11-26 15:58:43.964: RTWSControl  - tickOptionComputation - id:200050 tickType:11 impliedVol:7.09797153839653E-02 delta:-0.305245794111915 optPrice:3.50000010803342E-03 pvDividend:0 gamma: 1.79769313486232E+308 theta/vega/undPrice: -3.41903730369089E-04-9.14246728645571E-04-1.5789</t>
  </si>
  <si>
    <t>2014-11-26 15:58:44.33: RTWSControl  - tickOptionComputation - id:200051 tickType:10 impliedVol:6.72726853836761E-02 delta:-0.294033273756666 optPrice:3.10000008903444E-03 pvDividend:0 gamma: 1.79769313486232E+308 theta/vega/undPrice: -3.19914523818212E-04-8.52207748942116E-04-1.5789</t>
  </si>
  <si>
    <t>2014-11-26 15:58:44.81: RTWSControl  - tickOptionComputation - id:200051 tickType:11 impliedVol:7.07601133201603E-02 delta:-0.303108351784017 optPrice:3.40000004507601E-03 pvDividend:0 gamma: 1.79769313486232E+308 theta/vega/undPrice: -3.41182917147275E-04-8.64071787175818E-04-1.5789</t>
  </si>
  <si>
    <t>2014-11-26 15:58:44.126: RTWSControl  - tickOptionComputation - id:200052 tickType:10 impliedVol:1.79769313486232E+308 delta:1.79769313486232E+308 optPrice:1.79769313486232E+308 pvDividend:0 gamma: 1.79769313486232E+308 theta/vega/undPrice: 1.79769313486232E+308-1.79769313486232E+308-1.5789</t>
  </si>
  <si>
    <t>2014-11-26 15:58:44.163: RTWSControl  - tickOptionComputation - id:200052 tickType:11 impliedVol:1.79769313486232E+308 delta:1.79769313486232E+308 optPrice:1.79769313486232E+308 pvDividend:0 gamma: 1.79769313486232E+308 theta/vega/undPrice: 1.79769313486232E+308-1.79769313486232E+308-1.5789</t>
  </si>
  <si>
    <t>2014-11-26 15:58:44.204: RTWSControl  - tickOptionComputation - id:200048 tickType:10 impliedVol:8.15777930289563E-02 delta:-2.54659198092378E-02 optPrice:1.99999994947575E-04 pvDividend:0 gamma: 1.79769313486232E+308 theta/vega/undPrice: -6.6160043253895E-05-1.79316676229778E-04-1.5789</t>
  </si>
  <si>
    <t>2014-11-26 15:58:44.250: RTWSControl  - tickOptionComputation - id:200048 tickType:11 impliedVol:8.70891449138685E-02 delta:-3.41846155568436E-02 optPrice:3.00000014249235E-04 pvDividend:0 gamma: 1.79769313486232E+308 theta/vega/undPrice: -9.0138447781829E-05-2.2846039912818E-04-1.5789</t>
  </si>
  <si>
    <t>2014-11-26 15:58:44.296: RTWSControl  - tickOptionComputation - id:200053 tickType:10 impliedVol:6.12007504180703E-02 delta:8.50405217014579E-02 optPrice:6.00000028498471E-04 pvDividend:0 gamma: 1.79769313486232E+308 theta/vega/undPrice: -1.30712684169345E-04-4.47324714586239E-04-1.5789</t>
  </si>
  <si>
    <t>2014-11-26 15:58:44.338: RTWSControl  - tickOptionComputation - id:200053 tickType:11 impliedVol:6.56721188125077E-02 delta:0.101762195643741 optPrice:7.999999797903E-04 pvDividend:0 gamma: 1.79769313486232E+308 theta/vega/undPrice: -1.59651661075166E-04-4.75196656136663E-04-1.5789</t>
  </si>
  <si>
    <t>2014-11-26 15:58:44.404: RTWSControl  - tickOptionComputation - id:200054 tickType:10 impliedVol:1.79769313486232E+308 delta:1.79769313486232E+308 optPrice:1.79769313486232E+308 pvDividend:0 gamma: 1.79769313486232E+308 theta/vega/undPrice: 1.79769313486232E+308-1.79769313486232E+308-1.5789</t>
  </si>
  <si>
    <t>2014-11-26 15:58:44.424: RTWSControl  - tickOptionComputation - id:200054 tickType:11 impliedVol:9.04542572123987E-02 delta:1.25452234767635E-02 optPrice:9.99999974737875E-05 pvDividend:0 gamma: 1.79769313486232E+308 theta/vega/undPrice: -4.00533613142173E-05-1.03770363371187E-04-1.5789</t>
  </si>
  <si>
    <t>2014-11-26 15:58:45.239: DirectionIndicator - notify - price/longMA/ShortMA/prevDirection are 1.5789/1.57887632737083/1.57888939351374/-1</t>
  </si>
  <si>
    <t>2014-11-26 15:58:45.240: Algorithm - handleTransition - currentHedgeShortfall is NOT ZERO and AUTOHEDGE IS NOT ENABLED!</t>
  </si>
  <si>
    <t>2014-11-26 15:58:45.575: DirectionIndicator - notify - price/longMA/ShortMA/prevDirection are 1.57885/1.57887154057613/1.57887626234249/-1</t>
  </si>
  <si>
    <t>2014-11-26 15:58:45.575: Algorithm - handleTransition - currentHedgeShortfall is NOT ZERO and AUTOHEDGE IS NOT ENABLED!</t>
  </si>
  <si>
    <t>2014-11-26 15:58:46.1: RTWSControl  - tickOptionComputation - id:200041 tickType:10 impliedVol:3.55866210133311E-02 delta:0.999473211252689 optPrice:1.38999996706843E-02 pvDividend:0 gamma: 0.415150562975694 theta/vega/undPrice: -1.70393440905876E-06-8.86654541972301E-06-1.5789</t>
  </si>
  <si>
    <t>2014-11-26 15:58:46.73: RTWSControl  - tickOptionComputation - id:200041 tickType:11 impliedVol:7.85512266080563E-02 delta:0.929686209984333 optPrice:1.42000000923872E-02 pvDividend:0 gamma: 1.79769313486232E+308 theta/vega/undPrice: -2.98932359705863E-04-1.96657193954055E-04-1.5789</t>
  </si>
  <si>
    <t>2014-11-26 15:58:46.126: RTWSControl  - tickOptionComputation - id:200044 tickType:10 impliedVol:0.060413036677291 delta:0.888683377972952 optPrice:9.30000003427267E-03 pvDividend:0 gamma: 1.79769313486232E+308 theta/vega/undPrice: -3.23074491388604E-04-2.61328465452886E-04-1.5789</t>
  </si>
  <si>
    <t>2014-11-26 15:58:46.167: RTWSControl  - tickOptionComputation - id:200044 tickType:11 impliedVol:7.17361497452556E-02 delta:0.847493674855963 optPrice:9.60000045597553E-03 pvDividend:0 gamma: 1.79769313486232E+308 theta/vega/undPrice: -4.76105392969372E-04-2.97583672874406E-04-1.5789</t>
  </si>
  <si>
    <t>2014-11-26 15:58:46.218: RTWSControl  - tickOptionComputation - id:200045 tickType:11 impliedVol:6.53477713921487E-02 delta:0.689450636066472 optPrice:5.49999997019768E-03 pvDividend:0 gamma: 1.79769313486232E+308 theta/vega/undPrice: -6.51692633267468E-04-4.45318910121045E-04-1.5789</t>
  </si>
  <si>
    <t>2014-11-26 15:58:46.298: RTWSControl  - tickOptionComputation - id:200055 tickType:11 impliedVol:1.79769313486232E+308 delta:1.79769313486232E+308 optPrice:2.49999994412065E-03 pvDividend:0 gamma: 1.79769313486232E+308 theta/vega/undPrice: 1.79769313486232E+308-1.79769313486232E+308-1.5789</t>
  </si>
  <si>
    <t>2014-11-26 15:58:46.328: RTWSControl  - tickOptionComputation - id:200049 tickType:10 impliedVol:6.77044703281514E-02 delta:0.703484447458179 optPrice:1.20999999344349E-02 pvDividend:0 gamma: 1.79769313486232E+308 theta/vega/undPrice: -3.22513008810181E-04-9.14242631438186E-04-1.5789</t>
  </si>
  <si>
    <t>2014-11-26 15:58:46.374: RTWSControl  - tickOptionComputation - id:200049 tickType:11 impliedVol:0.070985874323791 delta:0.694682146956928 optPrice:1.24000003561378E-02 pvDividend:0 gamma: 1.79769313486232E+308 theta/vega/undPrice: -3.41876978884385E-04-9.14241169911779E-04-1.5789</t>
  </si>
  <si>
    <t>2014-11-26 15:58:46.421: RTWSControl  - tickOptionComputation - id:200052 tickType:10 impliedVol:1.79769313486232E+308 delta:1.79769313486232E+308 optPrice:1.79769313486232E+308 pvDividend:0 gamma: 1.79769313486232E+308 theta/vega/undPrice: 1.79769313486232E+308-1.79769313486232E+308-1.5789</t>
  </si>
  <si>
    <t>2014-11-26 15:58:46.453: RTWSControl  - tickOptionComputation - id:200052 tickType:11 impliedVol:1.79769313486232E+308 delta:1.79769313486232E+308 optPrice:1.79769313486232E+308 pvDividend:0 gamma: 1.79769313486232E+308 theta/vega/undPrice: 1.79769313486232E+308-1.79769313486232E+308-1.5789</t>
  </si>
  <si>
    <t>2014-11-26 15:58:46.496: RTWSControl  - tickOptionComputation - id:200054 tickType:10 impliedVol:1.79769313486232E+308 delta:1.79769313486232E+308 optPrice:1.79769313486232E+308 pvDividend:0 gamma: 1.79769313486232E+308 theta/vega/undPrice: 1.79769313486232E+308-1.79769313486232E+308-1.5789</t>
  </si>
  <si>
    <t>2014-11-26 15:58:46.790: RTWSControl  - tickOptionComputation - id:200042 tickType:13 impliedVol:0.081146143143485 delta:-2.59466828157667E-02 optPrice:9.88440985613412E-05 pvDividend:0 gamma: 1.79769313486232E+308 theta/vega/undPrice: -1.37407457827738E-04-8.77694290046556E-05-1.5789</t>
  </si>
  <si>
    <t>2014-11-26 15:58:46.866: RTWSControl  - tickOptionComputation - id:200041 tickType:13 impliedVol:7.24857847217493E-02 delta:0.944184509632093 optPrice:1.41130021478449E-02 pvDividend:0 gamma: 1.79769313486232E+308 theta/vega/undPrice: -2.29323393770797E-04-1.53158378530475E-04-1.5789</t>
  </si>
  <si>
    <t>2014-11-26 15:58:46.914: RTWSControl  - tickOptionComputation - id:200043 tickType:13 impliedVol:7.24857847217493E-02 delta:-5.59280072149413E-02 optPrice:2.13200700928202E-04 pvDividend:0 gamma: 1.79769313486232E+308 theta/vega/undPrice: -2.2941521227527E-04-1.53158632499816E-04-1.5789</t>
  </si>
  <si>
    <t>2014-11-26 15:58:46.956: RTWSControl  - tickOptionComputation - id:200044 tickType:13 impliedVol:6.67843400747472E-02 delta:0.866096043717946 optPrice:9.45334431511292E-03 pvDividend:0 gamma: 1.79769313486232E+308 theta/vega/undPrice: -4.08137527655587E-04-2.97583838260685E-04-1.5789</t>
  </si>
  <si>
    <t>2014-11-26 15:58:46.997: RTWSControl  - tickOptionComputation - id:200046 tickType:13 impliedVol:6.67843400747472E-02 delta:-0.134016630892244 optPrice:5.53472094854103E-04 pvDividend:0 gamma: 1.79769313486232E+308 theta/vega/undPrice: -4.08196968905191E-04-2.975841261781E-04-1.5789</t>
  </si>
  <si>
    <t>2014-11-26 15:58:47.39: RTWSControl  - tickOptionComputation - id:200045 tickType:13 impliedVol:6.40418092025072E-02 delta:0.693184483673582 optPrice:5.44184299235026E-03 pvDividend:0 gamma: 1.79769313486232E+308 theta/vega/undPrice: -6.35817070646504E-04-4.45318972437388E-04-1.5789</t>
  </si>
  <si>
    <t>2014-11-26 15:58:47.80: RTWSControl  - tickOptionComputation - id:200047 tickType:13 impliedVol:6.40418092025072E-02 delta:-0.306928632418536 optPrice:1.54190132212993E-03 pvDividend:0 gamma: 1.79769313486232E+308 theta/vega/undPrice: -6.35844706682046E-04-4.4531960898781E-04-1.5789</t>
  </si>
  <si>
    <t>2014-11-26 15:58:47.121: RTWSControl  - tickOptionComputation - id:200055 tickType:13 impliedVol:6.42581921050009E-02 delta:0.445210376145919 optPrice:2.61668388989982E-03 pvDividend:0 gamma: 1.79769313486232E+308 theta/vega/undPrice: -7.16139229146755E-04-4.83194026130427E-04-1.5789</t>
  </si>
  <si>
    <t>2014-11-26 15:58:47.162: RTWSControl  - tickOptionComputation - id:200049 tickType:13 impliedVol:6.88664274453217E-02 delta:0.700359094598239 optPrice:1.22062312297174E-02 pvDividend:0 gamma: 1.79769313486232E+308 theta/vega/undPrice: -3.29369869755157E-04-9.14242119845182E-04-1.5789</t>
  </si>
  <si>
    <t>2014-11-26 15:58:47.205: RTWSControl  - tickOptionComputation - id:200050 tickType:13 impliedVol:6.88664274453217E-02 delta:-0.299710985496628 optPrice:3.30679288423505E-03 pvDividend:0 gamma: 1.79769313486232E+308 theta/vega/undPrice: -3.29432783996186E-04-9.1424767571159E-04-1.5789</t>
  </si>
  <si>
    <t>2014-11-26 15:58:47.244: RTWSControl  - tickOptionComputation - id:200048 tickType:13 impliedVol:8.42840391642561E-02 delta:-2.98938495342838E-02 optPrice:2.49018117166495E-04 pvDividend:0 gamma: 1.79769313486232E+308 theta/vega/undPrice: -7.7934202696429E-05-1.96692246109088E-04-1.5789</t>
  </si>
  <si>
    <t>2014-11-26 15:58:47.288: RTWSControl  - tickOptionComputation - id:200053 tickType:13 impliedVol:6.41108777573898E-02 delta:9.61997760748671E-02 optPrice:7.30177411761072E-04 pvDividend:0 gamma: 1.79769313486232E+308 theta/vega/undPrice: -1.49547221483451E-04-4.48592028469306E-04-1.5789</t>
  </si>
  <si>
    <t>2014-11-26 15:58:47.329: RTWSControl  - tickOptionComputation - id:200054 tickType:13 impliedVol:7.00173901004604E-02 delta:1.7536663015824E-03 optPrice:9.01151943357404E-06 pvDividend:0 gamma: 0.320145918739568 theta/vega/undPrice: -5.35836385798802E-06-2.66855682142087E-05-1.5789</t>
  </si>
  <si>
    <t>2014-11-26 15:58:47.407: DirectionIndicator - notify - price/longMA/ShortMA/prevDirection are 1.5789/1.57887671501684/1.578884174895/-1</t>
  </si>
  <si>
    <t>2014-11-26 15:58:47.408: Algorithm - handleTransition - currentHedgeShortfall is NOT ZERO and AUTOHEDGE IS NOT ENABLED!</t>
  </si>
  <si>
    <t>2014-11-26 15:58:47.449: DirectionIndicator - notify - price/longMA/ShortMA/prevDirection are 1.57895/1.57889003955923/1.57890611659666/-1</t>
  </si>
  <si>
    <t>2014-11-26 15:58:47.449: Algorithm - handleTransition - currentHedgeShortfall is NOT ZERO and AUTOHEDGE IS NOT ENABLED!</t>
  </si>
  <si>
    <t>2014-11-26 15:58:48.83: DirectionIndicator - notify - price/longMA/ShortMA/prevDirection are 1.5789/1.57889185054846/1.57890407773111/-1</t>
  </si>
  <si>
    <t>2014-11-26 15:58:48.84: Algorithm - handleTransition - currentHedgeShortfall is NOT ZERO and AUTOHEDGE IS NOT ENABLED!</t>
  </si>
  <si>
    <t>2014-11-26 15:58:48.126: DirectionIndicator - notify - price/longMA/ShortMA/prevDirection are 1.57885/1.57888424135783/1.57888605182074/-1</t>
  </si>
  <si>
    <t>2014-11-26 15:58:48.126: Algorithm - handleTransition - currentHedgeShortfall is NOT ZERO and AUTOHEDGE IS NOT ENABLED!</t>
  </si>
  <si>
    <t>2014-11-26 15:58:48.666: DirectionIndicator - notify - price/longMA/ShortMA/prevDirection are 1.5789/1.5788871065655/1.57889070121383/-1</t>
  </si>
  <si>
    <t>2014-11-26 15:58:48.667: Algorithm - handleTransition - currentHedgeShortfall is NOT ZERO and AUTOHEDGE IS NOT ENABLED!</t>
  </si>
  <si>
    <t>2014-11-26 15:58:48.916: DirectionIndicator - notify - price/longMA/ShortMA/prevDirection are 1.57895/1.57889854173541/1.57891046747588/-1</t>
  </si>
  <si>
    <t>2014-11-26 15:58:48.921: Algorithm - handleTransition - currentHedgeShortfall is NOT ZERO and AUTOHEDGE IS NOT ENABLED!</t>
  </si>
  <si>
    <t>2014-11-26 15:58:49.197: DirectionIndicator - notify - price/longMA/ShortMA/prevDirection are 1.5789/1.57889880687442/1.57890697831726/-1</t>
  </si>
  <si>
    <t>2014-11-26 15:58:49.197: Algorithm - handleTransition - currentHedgeShortfall is NOT ZERO and AUTOHEDGE IS NOT ENABLED!</t>
  </si>
  <si>
    <t>2014-11-26 15:58:49.364: DirectionIndicator - notify - price/longMA/ShortMA/prevDirection are 1.57895/1.57890811471544/1.57892131887817/-1</t>
  </si>
  <si>
    <t>2014-11-26 15:58:49.364: Algorithm - handleTransition - currentHedgeShortfall is NOT ZERO and AUTOHEDGE IS NOT ENABLED!</t>
  </si>
  <si>
    <t>2014-11-26 15:58:49.487: RTWSControl  - tickOptionComputation - id:200042 tickType:13 impliedVol:0.081146143143485 delta:-2.66770835312886E-02 optPrice:1.0206686092376E-04 pvDividend:0 gamma: 1.79769313486232E+308 theta/vega/undPrice: -1.40523730132825E-04-8.77666498162398E-05-1.5788</t>
  </si>
  <si>
    <t>2014-11-26 15:58:49.538: RTWSControl  - tickOptionComputation - id:200041 tickType:13 impliedVol:7.24857847217493E-02 delta:0.942848022892058 optPrice:1.40189165140628E-02 pvDividend:0 gamma: 1.79769313486232E+308 theta/vega/undPrice: -2.33631907406853E-04-1.57320897519912E-04-1.5788</t>
  </si>
  <si>
    <t>2014-11-26 15:58:49.580: RTWSControl  - tickOptionComputation - id:200043 tickType:13 impliedVol:7.24857847217493E-02 delta:-5.72644949291342E-02 optPrice:2.19113643814257E-04 pvDividend:0 gamma: 1.79769313486232E+308 theta/vega/undPrice: -2.33723072028583E-04-1.57321154860362E-04-1.5788</t>
  </si>
  <si>
    <t>2014-11-26 15:58:49.622: RTWSControl  - tickOptionComputation - id:200044 tickType:13 impliedVol:6.67843400747472E-02 delta:0.863087074758487 optPrice:9.36939429406747E-03 pvDividend:0 gamma: 1.79769313486232E+308 theta/vega/undPrice: -4.13822397724253E-04-2.97574413660573E-04-1.5788</t>
  </si>
  <si>
    <t>2014-11-26 15:58:49.664: RTWSControl  - tickOptionComputation - id:200046 tickType:13 impliedVol:6.67843400747472E-02 delta:-0.137025602988417 optPrice:5.69520659618564E-04 pvDividend:0 gamma: 1.79769313486232E+308 theta/vega/undPrice: -4.13881190599055E-04-2.97574701588683E-04-1.5788</t>
  </si>
  <si>
    <t>2014-11-26 15:58:49.706: RTWSControl  - tickOptionComputation - id:200045 tickType:13 impliedVol:6.40418092025072E-02 delta:0.688488470220434 optPrice:5.37534411395646E-03 pvDividend:0 gamma: 1.79769313486232E+308 theta/vega/undPrice: -6.39451214075228E-04-4.4530486872657E-04-1.5788</t>
  </si>
  <si>
    <t>2014-11-26 15:58:49.746: RTWSControl  - tickOptionComputation - id:200047 tickType:13 impliedVol:6.40418092025072E-02 delta:-0.31162465328873 optPrice:1.57540105246596E-03 pvDividend:0 gamma: 1.79769313486232E+308 theta/vega/undPrice: -6.39478208367306E-04-4.45305505613035E-04-1.5788</t>
  </si>
  <si>
    <t>2014-11-26 15:58:49.788: RTWSControl  - tickOptionComputation - id:200055 tickType:13 impliedVol:6.42581921050009E-02 delta:0.440131165199495 optPrice:2.57219997328269E-03 pvDividend:0 gamma: 1.79769313486232E+308 theta/vega/undPrice: -7.14795305983472E-04-4.83178724080034E-04-1.5788</t>
  </si>
  <si>
    <t>2014-11-26 15:58:49.830: RTWSControl  - tickOptionComputation - id:200049 tickType:13 impliedVol:6.88664274453217E-02 delta:0.698239640633382 optPrice:1.21396260716068E-02 pvDividend:0 gamma: 1.79769313486232E+308 theta/vega/undPrice: -3.30222495680414E-04-9.14213158045671E-04-1.5788</t>
  </si>
  <si>
    <t>2014-11-26 15:58:49.873: RTWSControl  - tickOptionComputation - id:200050 tickType:13 impliedVol:6.88664274453217E-02 delta:-0.301830454032737 optPrice:3.34018184404353E-03 pvDividend:0 gamma: 1.79769313486232E+308 theta/vega/undPrice: -3.30284769368169E-04-9.14218713793638E-04-1.5788</t>
  </si>
  <si>
    <t>2014-11-26 15:58:49.912: RTWSControl  - tickOptionComputation - id:200051 tickType:13 impliedVol:7.07601127956607E-02 delta:-0.305145425420847 optPrice:3.42975129285061E-03 pvDividend:0 gamma: 1.79769313486232E+308 theta/vega/undPrice: -3.4216168222403E-04-8.66550935200598E-04-1.5788</t>
  </si>
  <si>
    <t>2014-11-26 15:58:49.954: RTWSControl  - tickOptionComputation - id:200052 tickType:13 impliedVol:0.123001667137105 delta:-0.511917298671646 optPrice:1.27511566111643E-02 pvDividend:0 gamma: 1.79769313486232E+308 theta/vega/undPrice: -6.76944877787374E-04-9.86322031474802E-04-1.5788</t>
  </si>
  <si>
    <t>2014-11-26 15:58:50.70: RTWSControl  - tickOptionComputation - id:200048 tickType:13 impliedVol:8.42840391642561E-02 delta:-3.02336179775164E-02 optPrice:2.52215194655383E-04 pvDividend:0 gamma: 1.79769313486232E+308 theta/vega/undPrice: -7.86648821284177E-05-1.99352907840649E-04-1.5788</t>
  </si>
  <si>
    <t>2014-11-26 15:58:50.121: RTWSControl  - tickOptionComputation - id:200053 tickType:13 impliedVol:6.41108777573898E-02 delta:9.50850779388315E-02 optPrice:7.19955575569546E-04 pvDividend:0 gamma: 1.79769313486232E+308 theta/vega/undPrice: -1.4827634640773E-04-4.47310004512276E-04-1.5788</t>
  </si>
  <si>
    <t>2014-11-26 15:58:50.162: RTWSControl  - tickOptionComputation - id:200054 tickType:13 impliedVol:7.00173901004604E-02 delta:1.72908391524214E-03 optPrice:8.87904640450674E-06 pvDividend:0 gamma: 0.315921300051017 theta/vega/undPrice: -5.28698565125551E-06-2.60373193286705E-05-1.5788</t>
  </si>
  <si>
    <t>2014-11-26 15:58:50.706: RTWSControl  - tickOptionComputation - id:200042 tickType:10 impliedVol:9.20279410363027E-02 delta:-4.33476802958731E-02 optPrice:1.99999994947575E-04 pvDividend:0 gamma: 1.79769313486232E+308 theta/vega/undPrice: -2.39590602182974E-04-1.43198016788885E-04-1.5788</t>
  </si>
  <si>
    <t>2014-11-26 15:58:50.756: RTWSControl  - tickOptionComputation - id:200042 tickType:11 impliedVol:9.20279410363027E-02 delta:-4.33476802958731E-02 optPrice:1.99999994947575E-04 pvDividend:0 gamma: 1.79769313486232E+308 theta/vega/undPrice: -2.39590602182974E-04-1.43198016788885E-04-1.5788</t>
  </si>
  <si>
    <t>2014-11-26 15:58:50.823: RTWSControl  - tickOptionComputation - id:200041 tickType:10 impliedVol:7.11669262004892E-02 delta:0.94615573540923 optPrice:1.40000004321337E-02 pvDividend:0 gamma: 1.79769313486232E+308 theta/vega/undPrice: -2.18496731819264E-04-1.47862887855213E-04-1.5788</t>
  </si>
  <si>
    <t>2014-11-26 15:58:50.872: RTWSControl  - tickOptionComputation - id:200041 tickType:11 impliedVol:8.82384057478462E-02 delta:0.902483828580733 optPrice:0.014299999922514 pvDividend:0 gamma: 1.79769313486232E+308 theta/vega/undPrice: -4.27385681667682E-04-2.15140945043719E-04-1.5788</t>
  </si>
  <si>
    <t>2014-11-26 15:58:50.918: RTWSControl  - tickOptionComputation - id:200043 tickType:10 impliedVol:6.23194155932623E-02 delta:-3.30453075926405E-02 optPrice:9.99999974737875E-05 pvDividend:0 gamma: 1.79769313486232E+308 theta/vega/undPrice: -1.28854783897361E-04-1.1675421075363E-04-1.5788</t>
  </si>
  <si>
    <t>2014-11-26 15:58:50.959: RTWSControl  - tickOptionComputation - id:200043 tickType:11 impliedVol:7.81253063337912E-02 delta:-7.06034839318528E-02 optPrice:3.00000014249235E-04 pvDividend:0 gamma: 1.79769313486232E+308 theta/vega/undPrice: -2.98442065254833E-04-1.97764210730072E-04-1.5788</t>
  </si>
  <si>
    <t>2014-11-26 15:58:51.4: RTWSControl  - tickOptionComputation - id:200044 tickType:10 impliedVol:6.78214733326174E-02 delta:0.85892647941231 optPrice:9.39999986439943E-03 pvDividend:0 gamma: 1.79769313486232E+308 theta/vega/undPrice: -4.28057502536155E-04-2.97574379428255E-04-1.5788</t>
  </si>
  <si>
    <t>2014-11-26 15:58:51.48: RTWSControl  - tickOptionComputation - id:200044 tickType:11 impliedVol:7.78943683607226E-02 delta:0.825203334940258 optPrice:9.70000028610229E-03 pvDividend:0 gamma: 1.79769313486232E+308 theta/vega/undPrice: -5.6631220287854E-04-3.17242936212908E-04-1.5788</t>
  </si>
  <si>
    <t>2014-11-26 15:58:51.113: RTWSControl  - tickOptionComputation - id:200046 tickType:10 impliedVol:0.064477136038907 delta:-0.127526728408597 optPrice:5.00000023748726E-04 pvDividend:0 gamma: 1.79769313486232E+308 theta/vega/undPrice: -3.82213741251254E-04-2.97574777609767E-04-1.5788</t>
  </si>
  <si>
    <t>2014-11-26 15:58:51.163: RTWSControl  - tickOptionComputation - id:200046 tickType:11 impliedVol:7.11904345251082E-02 delta:-0.153403886218512 optPrice:6.99999975040555E-04 pvDividend:0 gamma: 1.79769313486232E+308 theta/vega/undPrice: -4.74356845891051E-04-2.97574556484009E-04-1.5788</t>
  </si>
  <si>
    <t>2014-11-26 15:58:51.209: RTWSControl  - tickOptionComputation - id:200045 tickType:10 impliedVol:6.23498397359846E-02 delta:0.693226374267139 optPrice:5.29999984428287E-03 pvDividend:0 gamma: 1.79769313486232E+308 theta/vega/undPrice: -6.18883905954323E-04-4.45304947661943E-04-1.5788</t>
  </si>
  <si>
    <t>2014-11-26 15:58:51.249: RTWSControl  - tickOptionComputation - id:200045 tickType:11 impliedVol:6.90867931821085E-02 delta:0.675424641378433 optPrice:5.59999980032444E-03 pvDividend:0 gamma: 1.79769313486232E+308 theta/vega/undPrice: -7.00777172339795E-04-4.45304623931908E-04-1.5788</t>
  </si>
  <si>
    <t>2014-11-26 15:58:51.305: RTWSControl  - tickOptionComputation - id:200047 tickType:10 impliedVol:0.060102918362113 delta:-0.299930819773186 optPrice:1.39999995008111E-03 pvDividend:0 gamma: 1.79769313486232E+308 theta/vega/undPrice: -5.9159751216428E-04-4.45305686352742E-04-1.5788</t>
  </si>
  <si>
    <t>2014-11-26 15:58:51.349: RTWSControl  - tickOptionComputation - id:200047 tickType:11 impliedVol:6.45967382185434E-02 delta:-0.313112419741803 optPrice:1.5999999595806E-03 pvDividend:0 gamma: 1.79769313486232E+308 theta/vega/undPrice: -6.46223856734977E-04-4.45305479483981E-04-1.5788</t>
  </si>
  <si>
    <t>2014-11-26 15:58:51.405: RTWSControl  - tickOptionComputation - id:200055 tickType:10 impliedVol:6.07044365541283E-02 delta:0.436454668124114 optPrice:2.40000011399388E-03 pvDividend:0 gamma: 1.79769313486232E+308 theta/vega/undPrice: -6.7438771865568E-04-4.83178899698669E-04-1.5788</t>
  </si>
  <si>
    <t>2014-11-26 15:58:51.452: RTWSControl  - tickOptionComputation - id:200055 tickType:11 impliedVol:6.48335489922321E-02 delta:0.440624970876779 optPrice:2.60000000707805E-03 pvDividend:0 gamma: 1.79769313486232E+308 theta/vega/undPrice: -7.21337334568391E-04-4.83178694795916E-04-1.5788</t>
  </si>
  <si>
    <t>2014-11-26 15:58:51.498: RTWSControl  - tickOptionComputation - id:200049 tickType:10 impliedVol:6.95268156630132E-02 delta:0.696393244585293 optPrice:1.21999997645617E-02 pvDividend:0 gamma: 1.79769313486232E+308 theta/vega/undPrice: -3.34119405316105E-04-9.14212865036231E-04-1.5788</t>
  </si>
  <si>
    <t>2014-11-26 15:58:51.543: RTWSControl  - tickOptionComputation - id:200049 tickType:11 impliedVol:0.071714492318264 delta:0.690802896886867 optPrice:1.24000003561378E-02 pvDividend:0 gamma: 1.79769313486232E+308 theta/vega/undPrice: -3.47028726794996E-04-9.14211879359835E-04-1.5788</t>
  </si>
  <si>
    <t>2014-11-26 15:58:51.587: RTWSControl  - tickOptionComputation - id:200050 tickType:10 impliedVol:6.84269072103003E-02 delta:-0.3006031577636 optPrice:3.29999998211861E-03 pvDividend:0 gamma: 1.79769313486232E+308 theta/vega/undPrice: -3.27691148443066E-04-9.1421890760717E-04-1.5788</t>
  </si>
  <si>
    <t>2014-11-26 15:58:51.629: RTWSControl  - tickOptionComputation - id:200050 tickType:11 impliedVol:7.06145643693248E-02 delta:-0.306373855357176 optPrice:3.50000010803342E-03 pvDividend:0 gamma: 1.79769313486232E+308 theta/vega/undPrice: -3.40600560036483E-04-9.14217933829461E-04-1.5788</t>
  </si>
  <si>
    <t>2014-11-26 15:58:51.695: RTWSControl  - tickOptionComputation - id:200051 tickType:10 impliedVol:6.69272904781541E-02 delta:-0.2951709761529 optPrice:3.10000008903444E-03 pvDividend:0 gamma: 1.79769313486232E+308 theta/vega/undPrice: -3.18819257541993E-04-8.53673271663222E-04-1.5788</t>
  </si>
  <si>
    <t>2014-11-26 15:58:51.745: RTWSControl  - tickOptionComputation - id:200051 tickType:11 impliedVol:7.04090213866726E-02 delta:-0.304236313080857 optPrice:3.40000004507601E-03 pvDividend:0 gamma: 1.79769313486232E+308 theta/vega/undPrice: -3.40031741418724E-04-8.6545066265705E-04-1.5788</t>
  </si>
  <si>
    <t>2014-11-26 15:58:51.791: RTWSControl  - tickOptionComputation - id:200052 tickType:10 impliedVol:1.79769313486232E+308 delta:1.79769313486232E+308 optPrice:1.79769313486232E+308 pvDividend:0 gamma: 1.79769313486232E+308 theta/vega/undPrice: 1.79769313486232E+308-1.79769313486232E+308-1.5788</t>
  </si>
  <si>
    <t>2014-11-26 15:58:51.826: RTWSControl  - tickOptionComputation - id:200052 tickType:11 impliedVol:1.79769313486232E+308 delta:1.79769313486232E+308 optPrice:1.79769313486232E+308 pvDividend:0 gamma: 1.79769313486232E+308 theta/vega/undPrice: 1.79769313486232E+308-1.79769313486232E+308-1.5788</t>
  </si>
  <si>
    <t>2014-11-26 15:58:51.867: RTWSControl  - tickOptionComputation - id:200048 tickType:10 impliedVol:8.13982637378178E-02 delta:-2.55136075076372E-02 optPrice:1.99999994947575E-04 pvDividend:0 gamma: 1.79769313486232E+308 theta/vega/undPrice: -6.61100351828705E-05-1.79311015629219E-04-1.5788</t>
  </si>
  <si>
    <t>2014-11-26 15:58:51.914: RTWSControl  - tickOptionComputation - id:200048 tickType:11 impliedVol:8.69489508875592E-02 delta:-3.43060255693253E-02 optPrice:3.00000014249235E-04 pvDividend:0 gamma: 1.79769313486232E+308 theta/vega/undPrice: -9.02588149511786E-05-2.29532391531808E-04-1.5788</t>
  </si>
  <si>
    <t>2014-11-26 15:58:51.959: RTWSControl  - tickOptionComputation - id:200053 tickType:10 impliedVol:6.14291754732661E-02 delta:8.47900190499161E-02 optPrice:6.00000028498471E-04 pvDividend:0 gamma: 1.79769313486232E+308 theta/vega/undPrice: -1.30920742088552E-04-4.47310505119244E-04-1.5788</t>
  </si>
  <si>
    <t>2014-11-26 15:58:51.997: RTWSControl  - tickOptionComputation - id:200053 tickType:11 impliedVol:6.59002073960491E-02 delta:0.101470486896683 optPrice:7.999999797903E-04 pvDividend:0 gamma: 1.79769313486232E+308 theta/vega/undPrice: -1.59856620445674E-04-4.73049031143386E-04-1.5788</t>
  </si>
  <si>
    <t>2014-11-26 15:58:52.40: TransitionLogger - flushFile - flushing file</t>
  </si>
  <si>
    <t>2014-11-26 15:58:52.40: TransitionLogger - openTransitionFile - opening file C:\temp\transitionlog_2014-11-26_155023</t>
  </si>
  <si>
    <t>2014-11-26 15:58:52.66: RTWSControl  - tickOptionComputation - id:200054 tickType:10 impliedVol:1.79769313486232E+308 delta:1.79769313486232E+308 optPrice:1.79769313486232E+308 pvDividend:0 gamma: 1.79769313486232E+308 theta/vega/undPrice: 1.79769313486232E+308-1.79769313486232E+308-1.5788</t>
  </si>
  <si>
    <t>2014-11-26 15:58:52.84: RTWSControl  - tickOptionComputation - id:200054 tickType:11 impliedVol:9.06193199778127E-02 delta:1.25305788306452E-02 optPrice:9.99999974737875E-05 pvDividend:0 gamma: 1.79769313486232E+308 theta/vega/undPrice: -4.00848787319015E-05-1.03767066630078E-04-1.5788</t>
  </si>
  <si>
    <t>2014-11-26 15:58:52.821: RTWSControl  - tickOptionComputation - id:200042 tickType:13 impliedVol:8.23967763115405E-02 delta:-2.80515717786668E-02 optPrice:1.09820840663095E-04 pvDividend:0 gamma: 1.79769313486232E+308 theta/vega/undPrice: -1.48670047126536E-04-8.95569026933775E-05-1.5789</t>
  </si>
  <si>
    <t>2014-11-26 15:58:52.872: RTWSControl  - tickOptionComputation - id:200042 tickType:10 impliedVol:9.24371267281265E-02 delta:-4.31799155505825E-02 optPrice:1.99999994947575E-04 pvDividend:0 gamma: 1.79769313486232E+308 theta/vega/undPrice: -2.39978270934684E-04-1.43202543295286E-04-1.5789</t>
  </si>
  <si>
    <t>2014-11-26 15:58:52.913: RTWSControl  - tickOptionComputation - id:200042 tickType:11 impliedVol:9.24371267281265E-02 delta:-4.31799155505825E-02 optPrice:1.99999994947575E-04 pvDividend:0 gamma: 1.79769313486232E+308 theta/vega/undPrice: -2.39978270934684E-04-1.43202543295286E-04-1.5789</t>
  </si>
  <si>
    <t>2014-11-26 15:58:52.959: RTWSControl  - tickOptionComputation - id:200041 tickType:13 impliedVol:7.36725365050006E-02 delta:0.941184115551087 optPrice:1.41300239897912E-02 pvDividend:0 gamma: 1.79769313486232E+308 theta/vega/undPrice: -2.42942945330736E-04-1.61669270823516E-04-1.5789</t>
  </si>
  <si>
    <t>2014-11-26 15:58:53.1: RTWSControl  - tickOptionComputation - id:200041 tickType:10 impliedVol:0.062708273905332 delta:0.967069760173005 optPrice:1.40000004321337E-02 pvDividend:0 gamma: 1.79769313486232E+308 theta/vega/undPrice: -1.29148984401105E-04-1.16228079851862E-04-1.5789</t>
  </si>
  <si>
    <t>2014-11-26 15:58:53.40: RTWSControl  - tickOptionComputation - id:200041 tickType:11 impliedVol:8.40586270385464E-02 delta:0.915533510858496 optPrice:0.014299999922514 pvDividend:0 gamma: 1.79769313486232E+308 theta/vega/undPrice: -3.6708021733319E-04-2.15147879201807E-04-1.5789</t>
  </si>
  <si>
    <t>2014-11-26 15:58:53.87: RTWSControl  - tickOptionComputation - id:200043 tickType:13 impliedVol:7.36725365050006E-02 delta:-5.89284034811487E-02 optPrice:2.30222554552169E-04 pvDividend:0 gamma: 1.79769313486232E+308 theta/vega/undPrice: -2.4303477911437E-04-1.61669533813636E-04-1.5789</t>
  </si>
  <si>
    <t>2014-11-26 15:58:53.130: RTWSControl  - tickOptionComputation - id:200043 tickType:10 impliedVol:6.26907761582574E-02 delta:-3.28794459411306E-02 optPrice:9.99999974737875E-05 pvDividend:0 gamma: 1.79769313486232E+308 theta/vega/undPrice: -1.29082793644299E-04-1.16131064330738E-04-1.5789</t>
  </si>
  <si>
    <t>2014-11-26 15:58:53.175: RTWSControl  - tickOptionComputation - id:200043 tickType:11 impliedVol:0.078537374479434 delta:-7.02695821707888E-02 optPrice:3.00000014249235E-04 pvDividend:0 gamma: 1.79769313486232E+308 theta/vega/undPrice: -2.98865284792116E-04-1.96558152310292E-04-1.5789</t>
  </si>
  <si>
    <t>2014-11-26 15:58:53.245: RTWSControl  - tickOptionComputation - id:200044 tickType:13 impliedVol:6.74037501578084E-02 delta:0.863633442762884 optPrice:9.47177696779411E-03 pvDividend:0 gamma: 1.79769313486232E+308 theta/vega/undPrice: -4.16639469981966E-04-2.97583817592921E-04-1.5789</t>
  </si>
  <si>
    <t>2014-11-26 15:58:53.289: RTWSControl  - tickOptionComputation - id:200044 tickType:10 impliedVol:6.49637521544081E-02 delta:0.873496257609528 optPrice:9.39999986439943E-03 pvDividend:0 gamma: 1.79769313486232E+308 theta/vega/undPrice: -3.83148368100467E-04-2.97583898954155E-04-1.5789</t>
  </si>
  <si>
    <t>2014-11-26 15:58:53.333: RTWSControl  - tickOptionComputation - id:200044 tickType:11 impliedVol:7.50716924078169E-02 delta:0.836415472315412 optPrice:9.70000028610229E-03 pvDividend:0 gamma: 1.79769313486232E+308 theta/vega/undPrice: -5.21888556885031E-04-2.9758356123177E-04-1.5789</t>
  </si>
  <si>
    <t>2014-11-26 15:58:53.379: RTWSControl  - tickOptionComputation - id:200046 tickType:13 impliedVol:6.74037501578084E-02 delta:-0.136479234411548 optPrice:5.7190476536174E-04 pvDividend:0 gamma: 1.79769313486232E+308 theta/vega/undPrice: -4.16698927376215E-04-2.97584105530864E-04-1.5789</t>
  </si>
  <si>
    <t>2014-11-26 15:58:53.422: RTWSControl  - tickOptionComputation - id:200046 tickType:10 impliedVol:6.49621878409404E-02 delta:-0.126483343142766 optPrice:5.00000023748726E-04 pvDividend:0 gamma: 1.79769313486232E+308 theta/vega/undPrice: -3.83186290280797E-04-2.97584186882712E-04-1.5789</t>
  </si>
  <si>
    <t>2014-11-26 15:58:53.466: RTWSControl  - tickOptionComputation - id:200046 tickType:11 impliedVol:7.17316507755137E-02 delta:-0.152476946993658 optPrice:6.99999975040555E-04 pvDividend:0 gamma: 1.79769313486232E+308 theta/vega/undPrice: -4.76103210960457E-04-2.97583961358778E-04-1.5789</t>
  </si>
  <si>
    <t>2014-11-26 15:58:53.536: RTWSControl  - tickOptionComputation - id:200045 tickType:13 impliedVol:6.35904172699497E-02 delta:0.694479927872019 optPrice:5.42174164226252E-03 pvDividend:0 gamma: 1.79769313486232E+308 theta/vega/undPrice: -6.30329850134164E-04-4.4531899375399E-04-1.5789</t>
  </si>
  <si>
    <t>2014-11-26 15:58:53.582: RTWSControl  - tickOptionComputation - id:200045 tickType:10 impliedVol:6.08566080240429E-02 delta:0.702649475367591 optPrice:5.29999984428287E-03 pvDividend:0 gamma: 1.79769313486232E+308 theta/vega/undPrice: -5.97097044841411E-04-4.45319120451281E-04-1.5789</t>
  </si>
  <si>
    <t>2014-11-26 15:58:53.624: RTWSControl  - tickOptionComputation - id:200045 tickType:11 impliedVol:6.75933478497415E-02 delta:0.683512124353988 optPrice:5.59999980032444E-03 pvDividend:0 gamma: 1.79769313486232E+308 theta/vega/undPrice: -6.78990340126618E-04-4.45318800755031E-04-1.5789</t>
  </si>
  <si>
    <t>2014-11-26 15:58:53.669: RTWSControl  - tickOptionComputation - id:200047 tickType:13 impliedVol:6.35904172699497E-02 delta:-0.305633186175968 optPrice:1.52179994331488E-03 pvDividend:0 gamma: 1.79769313486232E+308 theta/vega/undPrice: -6.30357467763055E-04-4.45319630227812E-04-1.5789</t>
  </si>
  <si>
    <t>2014-11-26 15:58:53.712: RTWSControl  - tickOptionComputation - id:200047 tickType:10 impliedVol:6.08553051080229E-02 delta:-0.297333080471012 optPrice:1.39999995008111E-03 pvDividend:0 gamma: 1.79769313486232E+308 theta/vega/undPrice: -5.97108712400993E-04-4.45319756856596E-04-1.5789</t>
  </si>
  <si>
    <t>2014-11-26 15:58:53.757: RTWSControl  - tickOptionComputation - id:200047 tickType:11 impliedVol:6.53507857644428E-02 delta:-0.31054430034673 optPrice:1.5999999595806E-03 pvDividend:0 gamma: 1.79769313486232E+308 theta/vega/undPrice: -6.51756966038183E-04-4.45319546776854E-04-1.5789</t>
  </si>
  <si>
    <t>2014-11-26 15:58:53.829: RTWSControl  - tickOptionComputation - id:200055 tickType:13 impliedVol:6.22325378414672E-02 delta:0.443361522886454 optPrice:2.51880542638838E-03 pvDividend:0 gamma: 1.79769313486232E+308 theta/vega/undPrice: -6.93106025131838E-04-4.83194127177919E-04-1.5789</t>
  </si>
  <si>
    <t>2014-11-26 15:58:53.872: RTWSControl  - tickOptionComputation - id:200055 tickType:10 impliedVol:5.97681145337179E-02 delta:0.440890305574949 optPrice:2.40000011399388E-03 pvDividend:0 gamma: 1.79769313486232E+308 theta/vega/undPrice: -6.65083671861606E-04-4.83194246144083E-04-1.5789</t>
  </si>
  <si>
    <t>2014-11-26 15:58:53.914: RTWSControl  - tickOptionComputation - id:200055 tickType:11 impliedVol:0.063919127299985 delta:0.44485268973815 optPrice:2.60000000707805E-03 pvDividend:0 gamma: 1.79769313486232E+308 theta/vega/undPrice: -7.12283809619277E-04-4.83194043249216E-04-1.5789</t>
  </si>
  <si>
    <t>2014-11-26 15:58:53.960: RTWSControl  - tickOptionComputation - id:200049 tickType:13 impliedVol:6.91058615057489E-02 delta:0.699710325647736 optPrice:1.22281213508956E-02 pvDividend:0 gamma: 1.79769313486232E+308 theta/vega/undPrice: -3.30782800311004E-04-9.14242013617084E-04-1.5789</t>
  </si>
  <si>
    <t>2014-11-26 15:58:54.5: RTWSControl  - tickOptionComputation - id:200050 tickType:13 impliedVol:6.91058615057489E-02 delta:-0.300359758898321 optPrice:3.32868313842524E-03 pvDividend:0 gamma: 1.79769313486232E+308 theta/vega/undPrice: -3.30845735140415E-04-9.1424756949886E-04-1.5789</t>
  </si>
  <si>
    <t>2014-11-26 15:58:54.47: RTWSControl  - tickOptionComputation - id:200051 tickType:13 impliedVol:7.07601127956607E-02 delta:-0.303146673607155 optPrice:3.39934053113595E-03 pvDividend:0 gamma: 1.79769313486232E+308 theta/vega/undPrice: -3.41182913960977E-04-8.64071785510861E-04-1.5789</t>
  </si>
  <si>
    <t>2014-11-26 15:58:54.114: RTWSControl  - tickOptionComputation - id:200052 tickType:13 impliedVol:0.123001667137105 delta:-0.510606558330186 optPrice:1.27000404793499E-02 pvDividend:0 gamma: 1.79769313486232E+308 theta/vega/undPrice: -6.7705073350308E-04-9.8647575612118E-04-1.5789</t>
  </si>
  <si>
    <t>2014-11-26 15:58:54.161: RTWSControl  - tickOptionComputation - id:200048 tickType:13 impliedVol:8.41753825118801E-02 delta:-2.97216974350133E-02 optPrice:2.47069719797959E-04 pvDividend:0 gamma: 1.79769313486232E+308 theta/vega/undPrice: -7.74614668983736E-05-1.95461695050791E-04-1.5789</t>
  </si>
  <si>
    <t>2014-11-26 15:58:54.205: RTWSControl  - tickOptionComputation - id:200053 tickType:13 impliedVol:6.42291821746976E-02 delta:9.66317017664377E-02 optPrice:7.35469465203988E-04 pvDividend:0 gamma: 1.79769313486232E+308 theta/vega/undPrice: -1.50312894696748E-04-4.50608018803863E-04-1.5789</t>
  </si>
  <si>
    <t>2014-11-26 15:58:54.245: RTWSControl  - tickOptionComputation - id:200054 tickType:13 impliedVol:6.95453445187262E-02 delta:1.66955170726062E-03 optPrice:8.50258428275731E-06 pvDividend:0 gamma: 0.307697641776018 theta/vega/undPrice: -5.0808070608821E-06-2.46710449748547E-05-1.5789</t>
  </si>
  <si>
    <t>2014-11-26 15:58:54.288: RTWSControl  - tickOptionComputation - id:200049 tickType:10 impliedVol:0.068798267731982 delta:0.700456052969267 optPrice:1.21999997645617E-02 pvDividend:0 gamma: 1.79769313486232E+308 theta/vega/undPrice: -3.28967650627251E-04-9.14242150032347E-04-1.5789</t>
  </si>
  <si>
    <t>2014-11-26 15:58:54.330: RTWSControl  - tickOptionComputation - id:200049 tickType:11 impliedVol:7.20796733723099E-02 delta:0.691928076077243 optPrice:1.25000001862645E-02 pvDividend:0 gamma: 1.79769313486232E+308 theta/vega/undPrice: -3.48331605248937E-04-9.14240671204249E-04-1.5789</t>
  </si>
  <si>
    <t>2014-11-26 15:58:54.377: RTWSControl  - tickOptionComputation - id:200050 tickType:10 impliedVol:6.87921271667604E-02 delta:-0.299470869350845 optPrice:3.29999998211861E-03 pvDividend:0 gamma: 1.79769313486232E+308 theta/vega/undPrice: -3.28994322222061E-04-9.14247708614066E-04-1.5789</t>
  </si>
  <si>
    <t>2014-11-26 15:58:54.414: RTWSControl  - tickOptionComputation - id:200050 tickType:11 impliedVol:7.09797153839653E-02 delta:-0.305245794111915 optPrice:3.50000010803342E-03 pvDividend:0 gamma: 1.79769313486232E+308 theta/vega/undPrice: -3.41903730369089E-04-9.14246728645571E-04-1.5789</t>
  </si>
  <si>
    <t>2014-11-26 15:58:54.460: RTWSControl  - tickOptionComputation - id:200051 tickType:10 impliedVol:6.72726853836761E-02 delta:-0.294033273756666 optPrice:3.10000008903444E-03 pvDividend:0 gamma: 1.79769313486232E+308 theta/vega/undPrice: -3.19914523818212E-04-8.52207748942116E-04-1.5789</t>
  </si>
  <si>
    <t>2014-11-26 15:58:54.502: RTWSControl  - tickOptionComputation - id:200051 tickType:11 impliedVol:7.07601133201603E-02 delta:-0.303108351784017 optPrice:3.40000004507601E-03 pvDividend:0 gamma: 1.79769313486232E+308 theta/vega/undPrice: -3.41182917147275E-04-8.64071787175818E-04-1.5789</t>
  </si>
  <si>
    <t>2014-11-26 15:58:54.571: RTWSControl  - tickOptionComputation - id:200052 tickType:10 impliedVol:1.79769313486232E+308 delta:1.79769313486232E+308 optPrice:1.79769313486232E+308 pvDividend:0 gamma: 1.79769313486232E+308 theta/vega/undPrice: 1.79769313486232E+308-1.79769313486232E+308-1.5789</t>
  </si>
  <si>
    <t>2014-11-26 15:58:54.586: RTWSControl  - tickOptionComputation - id:200052 tickType:11 impliedVol:1.79769313486232E+308 delta:1.79769313486232E+308 optPrice:1.79769313486232E+308 pvDividend:0 gamma: 1.79769313486232E+308 theta/vega/undPrice: 1.79769313486232E+308-1.79769313486232E+308-1.5789</t>
  </si>
  <si>
    <t>2014-11-26 15:58:54.651: RTWSControl  - tickOptionComputation - id:200048 tickType:10 impliedVol:8.15777930289563E-02 delta:-2.54659198092378E-02 optPrice:1.99999994947575E-04 pvDividend:0 gamma: 1.79769313486232E+308 theta/vega/undPrice: -6.6160043253895E-05-1.79316676229778E-04-1.5789</t>
  </si>
  <si>
    <t>2014-11-26 15:58:54.705: RTWSControl  - tickOptionComputation - id:200048 tickType:11 impliedVol:8.70891449138685E-02 delta:-3.41846155568436E-02 optPrice:3.00000014249235E-04 pvDividend:0 gamma: 1.79769313486232E+308 theta/vega/undPrice: -9.0138447781829E-05-2.2846039912818E-04-1.5789</t>
  </si>
  <si>
    <t>2014-11-26 15:58:54.752: RTWSControl  - tickOptionComputation - id:200053 tickType:10 impliedVol:6.12007504180703E-02 delta:8.50405217014579E-02 optPrice:6.00000028498471E-04 pvDividend:0 gamma: 1.79769313486232E+308 theta/vega/undPrice: -1.30712684169345E-04-4.47324714586239E-04-1.5789</t>
  </si>
  <si>
    <t>2014-11-26 15:58:54.789: RTWSControl  - tickOptionComputation - id:200053 tickType:11 impliedVol:6.56721188125077E-02 delta:0.101762195643741 optPrice:7.999999797903E-04 pvDividend:0 gamma: 1.79769313486232E+308 theta/vega/undPrice: -1.59651661075166E-04-4.75196656136663E-04-1.5789</t>
  </si>
  <si>
    <t>2014-11-26 15:58:54.838: RTWSControl  - tickOptionComputation - id:200054 tickType:10 impliedVol:1.79769313486232E+308 delta:1.79769313486232E+308 optPrice:1.79769313486232E+308 pvDividend:0 gamma: 1.79769313486232E+308 theta/vega/undPrice: 1.79769313486232E+308-1.79769313486232E+308-1.5789</t>
  </si>
  <si>
    <t>2014-11-26 15:58:54.869: RTWSControl  - tickOptionComputation - id:200054 tickType:11 impliedVol:9.04542572123987E-02 delta:1.25452234767635E-02 optPrice:9.99999974737875E-05 pvDividend:0 gamma: 1.79769313486232E+308 theta/vega/undPrice: -4.00533613142173E-05-1.03770363371187E-04-1.5789</t>
  </si>
  <si>
    <t>2014-11-26 15:58:55.38: DirectionIndicator - notify - price/longMA/ShortMA/prevDirection are 1.579/1.57892482113081/1.57894754591878/-1</t>
  </si>
  <si>
    <t>2014-11-26 15:58:55.38: Algorithm - handleTransition - currentHedgeShortfall is NOT ZERO and AUTOHEDGE IS NOT ENABLED!</t>
  </si>
  <si>
    <t>2014-11-26 15:58:55.79: DirectionIndicator - notify - price/longMA/ShortMA/prevDirection are 1.57905/1.57894758092521/1.57898169727919/1</t>
  </si>
  <si>
    <t>2014-11-26 15:58:55.83: Algorithm - handleTransition - currentHedgeShortfall is NOT ZERO and AUTOHEDGE IS NOT ENABLED!</t>
  </si>
  <si>
    <t>2014-11-26 15:58:55.500: RTWSControl  - tickOptionComputation - id:200042 tickType:13 impliedVol:8.23967763115405E-02 delta:-2.73322847099639E-02 optPrice:1.06598425987239E-04 pvDividend:0 gamma: 1.79769313486232E+308 theta/vega/undPrice: -1.45554131562176E-04-8.77721947496331E-05-1.579</t>
  </si>
  <si>
    <t>2014-11-26 15:58:55.574: RTWSControl  - tickOptionComputation - id:200041 tickType:13 impliedVol:7.36725365050006E-02 delta:0.942499000348824 optPrice:1.42241101626362E-02 pvDividend:0 gamma: 1.79769313486232E+308 theta/vega/undPrice: -2.38634863010844E-04-1.57507021612205E-04-1.579</t>
  </si>
  <si>
    <t>2014-11-26 15:58:55.622: RTWSControl  - tickOptionComputation - id:200043 tickType:13 impliedVol:7.36725365050006E-02 delta:-5.76135177246846E-02 optPrice:2.24310150728994E-04 pvDividend:0 gamma: 1.79769313486232E+308 theta/vega/undPrice: -2.38727350674242E-04-1.57507281231856E-04-1.579</t>
  </si>
  <si>
    <t>2014-11-26 15:58:55.664: RTWSControl  - tickOptionComputation - id:200044 tickType:13 impliedVol:6.74037501578084E-02 delta:0.86661445328523 optPrice:9.55572757271362E-03 pvDividend:0 gamma: 1.79769313486232E+308 theta/vega/undPrice: -4.10954869221438E-04-2.97593241969657E-04-1.579</t>
  </si>
  <si>
    <t>2014-11-26 15:58:55.706: RTWSControl  - tickOptionComputation - id:200046 tickType:13 impliedVol:6.74037501578084E-02 delta:-0.133498220781612 optPrice:5.55856784471861E-04 pvDividend:0 gamma: 1.79769313486232E+308 theta/vega/undPrice: -4.11014974990979E-04-2.97593529896966E-04-1.579</t>
  </si>
  <si>
    <t>2014-11-26 15:58:55.747: RTWSControl  - tickOptionComputation - id:200045 tickType:13 impliedVol:6.35904172699497E-02 delta:0.699208641909467 optPrice:5.48823988397165E-03 pvDividend:0 gamma: 1.79769313486232E+308 theta/vega/undPrice: -6.26695532904698E-04-4.45333097569323E-04-1.579</t>
  </si>
  <si>
    <t>2014-11-26 15:58:55.790: RTWSControl  - tickOptionComputation - id:200047 tickType:13 impliedVol:6.35904172699497E-02 delta:-0.300904464669913 optPrice:0.001488299576293 pvDividend:0 gamma: 1.79769313486232E+308 theta/vega/undPrice: -6.26723792276437E-04-4.4533373394012E-04-1.579</t>
  </si>
  <si>
    <t>2014-11-26 15:58:55.834: RTWSControl  - tickOptionComputation - id:200055 tickType:13 impliedVol:6.22325378414672E-02 delta:0.44860545554414 optPrice:2.56328624343892E-03 pvDividend:0 gamma: 1.79769313486232E+308 theta/vega/undPrice: -6.9444921889103E-04-4.83209429062459E-04-1.579</t>
  </si>
  <si>
    <t>2014-11-26 15:58:55.871: RTWSControl  - tickOptionComputation - id:200049 tickType:13 impliedVol:6.91058615057489E-02 delta:0.701822185503293 optPrice:1.22947272025655E-02 pvDividend:0 gamma: 1.79769313486232E+308 theta/vega/undPrice: -3.2993021915257E-04-9.14270975180223E-04-1.579</t>
  </si>
  <si>
    <t>2014-11-26 15:58:55.915: RTWSControl  - tickOptionComputation - id:200050 tickType:13 impliedVol:6.91058615057489E-02 delta:-0.298247884523558 optPrice:3.29529487218053E-03 pvDividend:0 gamma: 1.79769313486232E+308 theta/vega/undPrice: -3.29993794535921E-04-9.14276531180416E-04-1.579</t>
  </si>
  <si>
    <t>2014-11-26 15:58:55.953: RTWSControl  - tickOptionComputation - id:200051 tickType:13 impliedVol:7.07601127956607E-02 delta:-0.301153924890648 optPrice:3.36912930312978E-03 pvDividend:0 gamma: 1.79769313486232E+308 theta/vega/undPrice: -3.4019590326632E-04-8.615717659279E-04-1.579</t>
  </si>
  <si>
    <t>2014-11-26 15:58:55.996: RTWSControl  - tickOptionComputation - id:200052 tickType:13 impliedVol:0.123001667137105 delta:-0.509295786379713 optPrice:1.26490555805269E-02 pvDividend:0 gamma: 1.79769313486232E+308 theta/vega/undPrice: -6.7714928343486E-04-9.8661883867406E-04-1.579</t>
  </si>
  <si>
    <t>2014-11-26 15:58:56.37: RTWSControl  - tickOptionComputation - id:200048 tickType:13 impliedVol:8.41753825118801E-02 delta:-2.93815388627591E-02 optPrice:2.43872580595548E-04 pvDividend:0 gamma: 1.79769313486232E+308 theta/vega/undPrice: -7.67307724929548E-05-1.92800994276765E-04-1.579</t>
  </si>
  <si>
    <t>2014-11-26 15:58:56.81: RTWSControl  - tickOptionComputation - id:200053 tickType:13 impliedVol:6.42291821746976E-02 delta:9.77441924698181E-02 optPrice:7.45691468954447E-04 pvDividend:0 gamma: 1.79769313486232E+308 theta/vega/undPrice: -1.51583794015496E-04-4.5664152864303E-04-1.579</t>
  </si>
  <si>
    <t>2014-11-26 15:58:56.120: RTWSControl  - tickOptionComputation - id:200054 tickType:13 impliedVol:6.95453445187262E-02 delta:1.69430056844562E-03 optPrice:8.63504118705933E-06 pvDividend:0 gamma: 0.311980314374546 theta/vega/undPrice: -5.15217647368831E-06-2.53192301312933E-05-1.579</t>
  </si>
  <si>
    <t>2014-11-26 15:58:56.247: RTWSControl  - tickOptionComputation - id:200042 tickType:10 impliedVol:9.29002843429091E-02 delta:-4.31291130038796E-02 optPrice:1.99999994947575E-04 pvDividend:0 gamma: 1.79769313486232E+308 theta/vega/undPrice: -2.40984663498938E-04-1.43207068396381E-04-1.579</t>
  </si>
  <si>
    <t>2014-11-26 15:58:56.326: RTWSControl  - tickOptionComputation - id:200042 tickType:11 impliedVol:9.29002843429091E-02 delta:-4.31291130038796E-02 optPrice:1.99999994947575E-04 pvDividend:0 gamma: 1.79769313486232E+308 theta/vega/undPrice: -2.40984663498938E-04-1.43207068396381E-04-1.579</t>
  </si>
  <si>
    <t>2014-11-26 15:58:56.381: RTWSControl  - tickOptionComputation - id:200041 tickType:10 impliedVol:3.58424342725904E-02 delta:0.999473091416014 optPrice:1.40000004321337E-02 pvDividend:0 gamma: 0.412253040659567 theta/vega/undPrice: -1.71669890898021E-06-8.75006050133319E-06-1.579</t>
  </si>
  <si>
    <t>2014-11-26 15:58:56.430: RTWSControl  - tickOptionComputation - id:200041 tickType:11 impliedVol:0.084526924384457 delta:0.915918054748496 optPrice:1.43999997526407E-02 pvDividend:0 gamma: 1.79769313486232E+308 theta/vega/undPrice: -3.67960223707725E-04-2.15154678795546E-04-1.579</t>
  </si>
  <si>
    <t>2014-11-26 15:58:56.503: RTWSControl  - tickOptionComputation - id:200043 tickType:10 impliedVol:6.30621367232526E-02 delta:-0.03271559532249 optPrice:9.99999974737875E-05 pvDividend:0 gamma: 1.79769313486232E+308 theta/vega/undPrice: -1.29311015374412E-04-1.15508048410371E-04-1.579</t>
  </si>
  <si>
    <t>2014-11-26 15:58:56.548: RTWSControl  - tickOptionComputation - id:200043 tickType:11 impliedVol:0.078943184925776 delta:-6.99255943859746E-02 optPrice:3.00000014249235E-04 pvDividend:0 gamma: 1.79769313486232E+308 theta/vega/undPrice: -2.99216985749793E-04-1.95307401910452E-04-1.579</t>
  </si>
  <si>
    <t>2014-11-26 15:58:56.615: RTWSControl  - tickOptionComputation - id:200044 tickType:10 impliedVol:6.08813346394514E-02 delta:0.88942341494983 optPrice:9.39999986439943E-03 pvDividend:0 gamma: 1.79769313486232E+308 theta/vega/undPrice: -3.23954507147242E-04-2.59218312782309E-04-1.579</t>
  </si>
  <si>
    <t>2014-11-26 15:58:56.664: RTWSControl  - tickOptionComputation - id:200044 tickType:11 impliedVol:7.56128225101217E-02 delta:0.837368509407725 optPrice:9.80000011622906E-03 pvDividend:0 gamma: 1.79769313486232E+308 theta/vega/undPrice: -5.23634993071062E-04-2.97592964515593E-04-1.579</t>
  </si>
  <si>
    <t>2014-11-26 15:58:56.711: RTWSControl  - tickOptionComputation - id:200046 tickType:10 impliedVol:6.55157565898096E-02 delta:-0.125791332705176 optPrice:5.00000023748726E-04 pvDividend:0 gamma: 1.79769313486232E+308 theta/vega/undPrice: -3.85121261816883E-04-2.97264844530055E-04-1.579</t>
  </si>
  <si>
    <t>2014-11-26 15:58:56.751: RTWSControl  - tickOptionComputation - id:200046 tickType:11 impliedVol:7.22727308650784E-02 delta:-0.151563580259267 optPrice:6.99999975040555E-04 pvDividend:0 gamma: 1.79769313486232E+308 theta/vega/undPrice: -4.77848176720585E-04-2.97593365843048E-04-1.579</t>
  </si>
  <si>
    <t>2014-11-26 15:58:56.799: RTWSControl  - tickOptionComputation - id:200045 tickType:10 impliedVol:6.16089860749027E-02 delta:0.70518354582574 optPrice:5.40000014007092E-03 pvDividend:0 gamma: 1.79769313486232E+308 theta/vega/undPrice: -6.02608045186298E-04-4.45333190272618E-04-1.579</t>
  </si>
  <si>
    <t>2014-11-26 15:58:56.842: RTWSControl  - tickOptionComputation - id:200045 tickType:11 impliedVol:6.60999965732027E-02 delta:0.691964957953809 optPrice:5.59999980032444E-03 pvDividend:0 gamma: 1.79769313486232E+308 theta/vega/undPrice: -6.57203494008727E-04-4.45332977031597E-04-1.579</t>
  </si>
  <si>
    <t>2014-11-26 15:58:56.907: RTWSControl  - tickOptionComputation - id:200047 tickType:10 impliedVol:6.16076442470344E-02 delta:-0.294798880272818 optPrice:1.39999995008111E-03 pvDividend:0 gamma: 1.79769313486232E+308 theta/vega/undPrice: -6.02619911627104E-04-4.45333826700948E-04-1.579</t>
  </si>
  <si>
    <t>2014-11-26 15:58:56.957: RTWSControl  - tickOptionComputation - id:200047 tickType:11 impliedVol:6.61093193582508E-02 delta:-0.308047291120029 optPrice:1.5999999595806E-03 pvDividend:0 gamma: 1.79769313486232E+308 theta/vega/undPrice: -6.57345189457244E-04-4.45333613186642E-04-1.579</t>
  </si>
  <si>
    <t>2014-11-26 15:58:57.4: RTWSControl  - tickOptionComputation - id:200055 tickType:10 impliedVol:5.88492641382598E-02 delta:0.445483670270626 optPrice:2.40000011399388E-03 pvDividend:0 gamma: 1.79769313486232E+308 theta/vega/undPrice: -6.55977620137056E-04-4.83209590991475E-04-1.579</t>
  </si>
  <si>
    <t>2014-11-26 15:58:57.40: RTWSControl  - tickOptionComputation - id:200055 tickType:11 impliedVol:0.062989302205982 delta:0.449190033610798 optPrice:2.60000000707805E-03 pvDividend:0 gamma: 1.79769313486232E+308 theta/vega/undPrice: -7.03054469720828E-04-4.83209391720887E-04-1.579</t>
  </si>
  <si>
    <t>2014-11-26 15:58:57.85: RTWSControl  - tickOptionComputation - id:200049 tickType:10 impliedVol:0.068069766179742 delta:0.704605775951743 optPrice:1.21999997645617E-02 pvDividend:0 gamma: 1.79769313486232E+308 theta/vega/undPrice: -3.23815893533369E-04-9.1427143389144E-04-1.579</t>
  </si>
  <si>
    <t>2014-11-26 15:58:57.131: RTWSControl  - tickOptionComputation - id:200049 tickType:11 impliedVol:7.13510667676534E-02 delta:0.695798432682538 optPrice:1.25000001862645E-02 pvDividend:0 gamma: 1.79769313486232E+308 theta/vega/undPrice: -3.4317985851274E-04-9.14269963393178E-04-1.579</t>
  </si>
  <si>
    <t>2014-11-26 15:58:57.198: RTWSControl  - tickOptionComputation - id:200050 tickType:10 impliedVol:6.91573471232205E-02 delta:-0.298350644467611 optPrice:3.29999998211861E-03 pvDividend:0 gamma: 1.79769313486232E+308 theta/vega/undPrice: -3.30297631652511E-04-9.14276508255911E-04-1.579</t>
  </si>
  <si>
    <t>2014-11-26 15:58:57.246: RTWSControl  - tickOptionComputation - id:200050 tickType:11 impliedVol:7.13448433247952E-02 delta:-0.304129322077906 optPrice:3.50000010803342E-03 pvDividend:0 gamma: 1.79769313486232E+308 theta/vega/undPrice: -3.43206900122832E-04-9.14275522346261E-04-1.579</t>
  </si>
  <si>
    <t>2014-11-26 15:58:57.292: RTWSControl  - tickOptionComputation - id:200051 tickType:10 impliedVol:6.76169935280602E-02 delta:-0.292906276618464 optPrice:3.10000008903444E-03 pvDividend:0 gamma: 1.79769313486232E+308 theta/vega/undPrice: -3.21000846364804E-04-8.50747169166319E-04-1.579</t>
  </si>
  <si>
    <t>2014-11-26 15:58:57.332: RTWSControl  - tickOptionComputation - id:200051 tickType:11 impliedVol:7.11184200557852E-02 delta:-0.302011359402696 optPrice:3.40000004507601E-03 pvDividend:0 gamma: 1.79769313486232E+308 theta/vega/undPrice: -3.42375540375657E-04-8.62723452349972E-04-1.579</t>
  </si>
  <si>
    <t>2014-11-26 15:58:57.378: RTWSControl  - tickOptionComputation - id:200052 tickType:10 impliedVol:1.79769313486232E+308 delta:1.79769313486232E+308 optPrice:1.79769313486232E+308 pvDividend:0 gamma: 1.79769313486232E+308 theta/vega/undPrice: 1.79769313486232E+308-1.79769313486232E+308-1.579</t>
  </si>
  <si>
    <t>2014-11-26 15:58:57.412: RTWSControl  - tickOptionComputation - id:200052 tickType:11 impliedVol:1.79769313486232E+308 delta:1.79769313486232E+308 optPrice:1.79769313486232E+308 pvDividend:0 gamma: 1.79769313486232E+308 theta/vega/undPrice: 1.79769313486232E+308-1.79769313486232E+308-1.579</t>
  </si>
  <si>
    <t>2014-11-26 15:58:57.455: RTWSControl  - tickOptionComputation - id:200048 tickType:10 impliedVol:8.17561795369205E-02 delta:-2.54165363593225E-02 optPrice:1.99999994947575E-04 pvDividend:0 gamma: 1.79769313486232E+308 theta/vega/undPrice: -6.6205128600753E-05-1.793223367261E-04-1.579</t>
  </si>
  <si>
    <t>2014-11-26 15:58:57.501: RTWSControl  - tickOptionComputation - id:200048 tickType:11 impliedVol:8.73283237218857E-02 delta:-0.034209993609746 optPrice:3.00000014249235E-04 pvDividend:0 gamma: 1.79769313486232E+308 theta/vega/undPrice: -9.04487878983015E-05-2.28509555443239E-04-1.579</t>
  </si>
  <si>
    <t>2014-11-26 15:58:57.548: RTWSControl  - tickOptionComputation - id:200053 tickType:10 impliedVol:0.060972339845945 delta:0.085292889455762 optPrice:6.00000028498471E-04 pvDividend:0 gamma: 1.79769313486232E+308 theta/vega/undPrice: -1.30504626157573E-04-4.47338923488727E-04-1.579</t>
  </si>
  <si>
    <t>2014-11-26 15:58:57.588: RTWSControl  - tickOptionComputation - id:200053 tickType:11 impliedVol:6.54440302289662E-02 delta:0.102055872347209 optPrice:7.999999797903E-04 pvDividend:0 gamma: 1.79769313486232E+308 theta/vega/undPrice: -1.59446607969275E-04-4.77344034823812E-04-1.579</t>
  </si>
  <si>
    <t>2014-11-26 15:58:57.654: RTWSControl  - tickOptionComputation - id:200054 tickType:10 impliedVol:1.79769313486232E+308 delta:1.79769313486232E+308 optPrice:1.79769313486232E+308 pvDividend:0 gamma: 1.79769313486232E+308 theta/vega/undPrice: 1.79769313486232E+308-1.79769313486232E+308-1.579</t>
  </si>
  <si>
    <t>2014-11-26 15:58:57.671: RTWSControl  - tickOptionComputation - id:200054 tickType:11 impliedVol:9.02941207272519E-02 delta:1.25649527001336E-02 optPrice:9.99999974737875E-05 pvDividend:0 gamma: 1.79769313486232E+308 theta/vega/undPrice: -4.00374007179834E-05-1.03773659691136E-04-1.579</t>
  </si>
  <si>
    <t>2014-11-26 15:58:57.742: DirectionIndicator - notify - price/longMA/ShortMA/prevDirection are 1.579/1.57895711166608/1.57898779818612/1</t>
  </si>
  <si>
    <t>2014-11-26 15:58:57.743: Algorithm - handleTransition - currentHedgeShortfall is NOT ZERO and AUTOHEDGE IS NOT ENABLED!</t>
  </si>
  <si>
    <t>2014-11-26 15:58:57.784: DirectionIndicator - notify - price/longMA/ShortMA/prevDirection are 1.57895/1.57895581863588/1.57897519879075/1</t>
  </si>
  <si>
    <t>2014-11-26 15:58:57.784: Algorithm - handleTransition - currentHedgeShortfall is NOT ZERO and AUTOHEDGE IS NOT ENABLED!</t>
  </si>
  <si>
    <t>2014-11-26 15:58:58.30: DirectionIndicator - notify - price/longMA/ShortMA/prevDirection are 1.579/1.57896385161118/1.5789834658605/1</t>
  </si>
  <si>
    <t>2014-11-26 15:58:58.33: Algorithm - handleTransition - currentHedgeShortfall is NOT ZERO and AUTOHEDGE IS NOT ENABLED!</t>
  </si>
  <si>
    <t>2014-11-26 15:58:58.72: DirectionIndicator - notify - price/longMA/ShortMA/prevDirection are 1.57905/1.5789795149546/1.579005643907/1</t>
  </si>
  <si>
    <t>2014-11-26 15:58:58.72: Algorithm - handleTransition - currentHedgeShortfall is NOT ZERO and AUTOHEDGE IS NOT ENABLED!</t>
  </si>
  <si>
    <t>2014-11-26 15:58:58.821: RTWSControl  - tickOptionComputation - id:200042 tickType:13 impliedVol:8.24498497104145E-02 delta:-2.74206558952316E-02 optPrice:1.07064263153431E-04 pvDividend:0 gamma: 1.79769313486232E+308 theta/vega/undPrice: -1.46032099657249E-04-8.77721943021148E-05-1.579</t>
  </si>
  <si>
    <t>2014-11-26 15:58:58.872: RTWSControl  - tickOptionComputation - id:200041 tickType:10 impliedVol:6.30795846841485E-02 delta:0.967233888201555 optPrice:1.41000002622604E-02 pvDividend:0 gamma: 1.79769313486232E+308 theta/vega/undPrice: -1.29376103395397E-04-1.15604790665269E-04-1.579</t>
  </si>
  <si>
    <t>2014-11-26 15:58:58.918: RTWSControl  - tickOptionComputation - id:200041 tickType:13 impliedVol:7.35719003901636E-02 delta:0.942751460456659 optPrice:1.42226666710761E-02 pvDividend:0 gamma: 1.79769313486232E+308 theta/vega/undPrice: -2.37479893579841E-04-1.56785278275069E-04-1.579</t>
  </si>
  <si>
    <t>2014-11-26 15:58:58.960: RTWSControl  - tickOptionComputation - id:200043 tickType:13 impliedVol:7.35719003901636E-02 delta:-5.73610574329202E-02 optPrice:2.22866658178307E-04 pvDividend:0 gamma: 1.79769313486232E+308 theta/vega/undPrice: -2.37572379947099E-04-1.56785537132689E-04-1.579</t>
  </si>
  <si>
    <t>2014-11-26 15:58:59.0: RTWSControl  - tickOptionComputation - id:200044 tickType:13 impliedVol:6.72065382941582E-02 delta:0.867402300259399 optPrice:9.54985867753921E-03 pvDividend:0 gamma: 1.79769313486232E+308 theta/vega/undPrice: -4.08247879177895E-04-2.9759324862246E-04-1.579</t>
  </si>
  <si>
    <t>2014-11-26 15:58:59.41: RTWSControl  - tickOptionComputation - id:200046 tickType:11 impliedVol:6.88870901431101E-02 delta:-0.13926154747234 optPrice:6.00000028498471E-04 pvDividend:0 gamma: 1.79769313486232E+308 theta/vega/undPrice: -4.31375786022041E-04-2.97593479886165E-04-1.579</t>
  </si>
  <si>
    <t>2014-11-26 15:58:59.84: RTWSControl  - tickOptionComputation - id:200046 tickType:13 impliedVol:6.72065382941582E-02 delta:-0.132710372987063 optPrice:5.4998788362165E-04 pvDividend:0 gamma: 1.79769313486232E+308 theta/vega/undPrice: -4.08307979807057E-04-2.9759353654193E-04-1.579</t>
  </si>
  <si>
    <t>2014-11-26 15:58:59.130: RTWSControl  - tickOptionComputation - id:200045 tickType:13 impliedVol:0.063353763422441 delta:0.699912869758412 optPrice:5.47770089925974E-03 pvDividend:0 gamma: 1.79769313486232E+308 theta/vega/undPrice: -6.2381862483914E-04-4.45333108757744E-04-1.579</t>
  </si>
  <si>
    <t>2014-11-26 15:58:59.174: RTWSControl  - tickOptionComputation - id:200047 tickType:13 impliedVol:0.063353763422441 delta:-0.30020023570993 optPrice:1.47776057652123E-03 pvDividend:0 gamma: 1.79769313486232E+308 theta/vega/undPrice: -6.23846874561161E-04-4.45333745126276E-04-1.579</t>
  </si>
  <si>
    <t>2014-11-26 15:58:59.216: RTWSControl  - tickOptionComputation - id:200055 tickType:13 impliedVol:6.20135757749978E-02 delta:0.448417014291049 optPrice:2.55270578457508E-03 pvDividend:0 gamma: 1.79769313486232E+308 theta/vega/undPrice: -6.91959376816883E-04-4.83209439792191E-04-1.579</t>
  </si>
  <si>
    <t>2014-11-26 15:58:59.280: RTWSControl  - tickOptionComputation - id:200049 tickType:10 impliedVol:6.91635352259586E-02 delta:0.701576131761645 optPrice:1.22999995946884E-02 pvDividend:0 gamma: 1.79769313486232E+308 theta/vega/undPrice: -3.30270569765252E-04-9.1427094949598E-04-1.579</t>
  </si>
  <si>
    <t>2014-11-26 15:58:59.331: RTWSControl  - tickOptionComputation - id:200049 tickType:13 impliedVol:6.88361031839726E-02 delta:0.702561703398186 optPrice:1.22700639216751E-02 pvDividend:0 gamma: 1.79769313486232E+308 theta/vega/undPrice: -3.28338290845205E-04-9.14271095107643E-04-1.579</t>
  </si>
  <si>
    <t>2014-11-26 15:58:59.372: RTWSControl  - tickOptionComputation - id:200050 tickType:10 impliedVol:6.80635652704903E-02 delta:-0.295320391153763 optPrice:3.1999999191612E-03 pvDividend:0 gamma: 1.79769313486232E+308 theta/vega/undPrice: -3.23842785744011E-04-9.14276992547625E-04-1.579</t>
  </si>
  <si>
    <t>2014-11-26 15:58:59.413: RTWSControl  - tickOptionComputation - id:200050 tickType:11 impliedVol:7.02573025338756E-02 delta:-0.301301853749343 optPrice:3.40000004507601E-03 pvDividend:0 gamma: 1.79769313486232E+308 theta/vega/undPrice: -3.36788901822225E-04-9.14276015411608E-04-1.579</t>
  </si>
  <si>
    <t>2014-11-26 15:58:59.454: RTWSControl  - tickOptionComputation - id:200050 tickType:13 impliedVol:6.88361031839726E-02 delta:-0.297508361554971 optPrice:3.27063144142793E-03 pvDividend:0 gamma: 1.79769313486232E+308 theta/vega/undPrice: -3.28401843031998E-04-9.14276651090616E-04-1.579</t>
  </si>
  <si>
    <t>2014-11-26 15:58:59.499: RTWSControl  - tickOptionComputation - id:200051 tickType:13 impliedVol:7.11184195327892E-02 delta:-0.302049542533451 optPrice:3.40002075993291E-03 pvDividend:0 gamma: 1.79769313486232E+308 theta/vega/undPrice: -3.42375537195428E-04-8.62723450680516E-04-1.579</t>
  </si>
  <si>
    <t>2014-11-26 15:58:59.540: RTWSControl  - tickOptionComputation - id:200052 tickType:10 impliedVol:1.79769313486232E+308 delta:1.79769313486232E+308 optPrice:1.79769313486232E+308 pvDividend:0 gamma: 1.79769313486232E+308 theta/vega/undPrice: 1.79769313486232E+308-1.79769313486232E+308-1.579</t>
  </si>
  <si>
    <t>2014-11-26 15:58:59.576: RTWSControl  - tickOptionComputation - id:200052 tickType:11 impliedVol:1.79769313486232E+308 delta:1.79769313486232E+308 optPrice:1.79769313486232E+308 pvDividend:0 gamma: 1.79769313486232E+308 theta/vega/undPrice: 1.79769313486232E+308-1.79769313486232E+308-1.579</t>
  </si>
  <si>
    <t>2014-11-26 15:58:59.618: RTWSControl  - tickOptionComputation - id:200052 tickType:13 impliedVol:0.123518304906121 delta:-0.509224834866653 optPrice:1.27000284310588E-02 pvDividend:0 gamma: 1.79769313486232E+308 theta/vega/undPrice: -6.79996291907209E-04-9.8662289773176E-04-1.579</t>
  </si>
  <si>
    <t>2014-11-26 15:58:59.663: RTWSControl  - tickOptionComputation - id:200048 tickType:13 impliedVol:8.40519222158722E-02 delta:-2.91848966736723E-02 optPrice:2.41658658614922E-04 pvDividend:0 gamma: 1.79769313486232E+308 theta/vega/undPrice: -7.61936129702084E-05-1.91402745468985E-04-1.579</t>
  </si>
  <si>
    <t>2014-11-26 15:58:59.705: RTWSControl  - tickOptionComputation - id:200053 tickType:13 impliedVol:6.39896053274196E-02 delta:9.68720459300747E-02 optPrice:7.34974255817263E-04 pvDividend:0 gamma: 1.79769313486232E+308 theta/vega/undPrice: -1.5003318927353E-04-4.52558841792495E-04-1.579</t>
  </si>
  <si>
    <t>2014-11-26 15:58:59.744: RTWSControl  - tickOptionComputation - id:200054 tickType:10 impliedVol:1.79769313486232E+308 delta:1.79769313486232E+308 optPrice:1.79769313486232E+308 pvDividend:0 gamma: 1.79769313486232E+308 theta/vega/undPrice: 1.79769313486232E+308-1.79769313486232E+308-1.579</t>
  </si>
  <si>
    <t>2014-11-26 15:58:59.760: RTWSControl  - tickOptionComputation - id:200054 tickType:13 impliedVol:6.95124286462132E-02 delta:1.68840461867102E-03 optPrice:8.59955186709446E-06 pvDividend:0 gamma: 0.311102745205375 theta/vega/undPrice: -5.13282174423143E-06-2.51787523839188E-05-1.579</t>
  </si>
  <si>
    <t>2014-11-26 15:59:0.82: DirectionIndicator - notify - price/longMA/ShortMA/prevDirection are 1.5791/1.57900142132649/1.579037095938/1</t>
  </si>
  <si>
    <t>2014-11-26 15:59:0.83: Algorithm - handleTransition - currentHedgeShortfall is NOT ZERO and AUTOHEDGE IS NOT ENABLED!</t>
  </si>
  <si>
    <t>2014-11-26 15:59:0.126: DirectionIndicator - notify - price/longMA/ShortMA/prevDirection are 1.57915/1.57902843563077/1.57907473062533/1</t>
  </si>
  <si>
    <t>2014-11-26 15:59:0.127: Algorithm - handleTransition - currentHedgeShortfall is NOT ZERO and AUTOHEDGE IS NOT ENABLED!</t>
  </si>
  <si>
    <t>2014-11-26 15:59:1.34: RTWSControl  - tickOptionComputation - id:200041 tickType:10 impliedVol:7.19916513478046E-02 delta:0.946688775447009 optPrice:1.42000000923872E-02 pvDividend:0 gamma: 1.79769313486232E+308 theta/vega/undPrice: -2.19343863525153E-04-1.45452026699059E-04-1.579</t>
  </si>
  <si>
    <t>2014-11-26 15:59:1.84: RTWSControl  - tickOptionComputation - id:200041 tickType:11 impliedVol:8.91747375473483E-02 delta:0.903352067771351 optPrice:1.44999995827675E-02 pvDividend:0 gamma: 1.79769313486232E+308 theta/vega/undPrice: -4.29145706469173E-04-2.15154542226512E-04-1.579</t>
  </si>
  <si>
    <t>2014-11-26 15:59:1.129: RTWSControl  - tickOptionComputation - id:200044 tickType:10 impliedVol:6.55217247059762E-02 delta:0.87417662875491 optPrice:9.4999996945262E-03 pvDividend:0 gamma: 1.79769313486232E+308 theta/vega/undPrice: -3.85140056227489E-04-2.97313340458133E-04-1.579</t>
  </si>
  <si>
    <t>2014-11-26 15:59:1.173: RTWSControl  - tickOptionComputation - id:200044 tickType:11 impliedVol:7.89896557784011E-02 delta:0.827145787231317 optPrice:9.89999994635582E-03 pvDividend:0 gamma: 1.79769313486232E+308 theta/vega/undPrice: -5.69986333636677E-04-3.10431695556229E-04-1.579</t>
  </si>
  <si>
    <t>2014-11-26 15:59:1.215: RTWSControl  - tickOptionComputation - id:200045 tickType:10 impliedVol:6.38544910710934E-02 delta:0.698340716106042 optPrice:5.49999997019768E-03 pvDividend:0 gamma: 1.79769313486232E+308 theta/vega/undPrice: -6.29905774393568E-04-4.45333085050034E-04-1.579</t>
  </si>
  <si>
    <t>2014-11-26 15:59:1.283: RTWSControl  - tickOptionComputation - id:200045 tickType:11 impliedVol:6.83455125317796E-02 delta:0.686010208792906 optPrice:5.70000009611249E-03 pvDividend:0 gamma: 1.79769313486232E+308 theta/vega/undPrice: -6.84501324488587E-04-4.45332866210707E-04-1.579</t>
  </si>
  <si>
    <t>2014-11-26 15:59:1.335: RTWSControl  - tickOptionComputation - id:200047 tickType:10 impliedVol:5.93621403387272E-02 delta:-0.287435638445324 optPrice:1.30000000353903E-03 pvDividend:0 gamma: 1.79769313486232E+308 theta/vega/undPrice: -5.75322088841207E-04-4.45333929118336E-04-1.579</t>
  </si>
  <si>
    <t>2014-11-26 15:59:1.376: RTWSControl  - tickOptionComputation - id:200047 tickType:11 impliedVol:6.38531512656183E-02 delta:-0.301642020929099 optPrice:1.50000001303852E-03 pvDividend:0 gamma: 1.79769313486232E+308 theta/vega/undPrice: -6.29917756990364E-04-4.45333721482765E-04-1.579</t>
  </si>
  <si>
    <t>2014-11-26 15:59:1.418: RTWSControl  - tickOptionComputation - id:200055 tickType:10 impliedVol:6.09228397775148E-02 delta:0.447401926664788 optPrice:2.49999994412065E-03 pvDividend:0 gamma: 1.79769313486232E+308 theta/vega/undPrice: -6.79556493976384E-04-4.83209492721955E-04-1.579</t>
  </si>
  <si>
    <t>2014-11-26 15:59:1.465: RTWSControl  - tickOptionComputation - id:200055 tickType:11 impliedVol:6.50557736204527E-02 delta:0.450866559458848 optPrice:2.70000007003546E-03 pvDividend:0 gamma: 1.79769313486232E+308 theta/vega/undPrice: -7.26552534300645E-04-4.83209287651063E-04-1.579</t>
  </si>
  <si>
    <t>2014-11-26 15:59:1.510: RTWSControl  - tickOptionComputation - id:200049 tickType:11 impliedVol:7.24448274452551E-02 delta:0.693041878941723 optPrice:1.26000000163913E-02 pvDividend:0 gamma: 1.79769313486232E+308 theta/vega/undPrice: -3.49634460058644E-04-9.14269461691292E-04-1.579</t>
  </si>
  <si>
    <t>2014-11-26 15:59:1.549: RTWSControl  - tickOptionComputation - id:200051 tickType:11 impliedVol:6.99593304446965E-02 delta:-0.299085425667429 optPrice:3.29999998211861E-03 pvDividend:0 gamma: 1.79769313486232E+308 theta/vega/undPrice: -3.35318438522194E-04-8.58939373141242E-04-1.579</t>
  </si>
  <si>
    <t>2014-11-26 15:59:1.586: RTWSControl  - tickOptionComputation - id:200052 tickType:10 impliedVol:1.79769313486232E+308 delta:1.79769313486232E+308 optPrice:1.79769313486232E+308 pvDividend:0 gamma: 1.79769313486232E+308 theta/vega/undPrice: 1.79769313486232E+308-1.79769313486232E+308-1.579</t>
  </si>
  <si>
    <t>2014-11-26 15:59:1.620: RTWSControl  - tickOptionComputation - id:200052 tickType:11 impliedVol:1.79769313486232E+308 delta:1.79769313486232E+308 optPrice:1.79769313486232E+308 pvDividend:0 gamma: 1.79769313486232E+308 theta/vega/undPrice: 1.79769313486232E+308-1.79769313486232E+308-1.579</t>
  </si>
  <si>
    <t>2014-11-26 15:59:1.663: RTWSControl  - tickOptionComputation - id:200053 tickType:10 impliedVol:6.32077767613732E-02 delta:9.39682120852307E-02 optPrice:6.99999975040555E-04 pvDividend:0 gamma: 1.79769313486232E+308 theta/vega/undPrice: -1.44972986100834E-04-4.47338509987696E-04-1.579</t>
  </si>
  <si>
    <t>2014-11-26 15:59:1.706: RTWSControl  - tickOptionComputation - id:200054 tickType:10 impliedVol:1.79769313486232E+308 delta:1.79769313486232E+308 optPrice:1.79769313486232E+308 pvDividend:0 gamma: 1.79769313486232E+308 theta/vega/undPrice: 1.79769313486232E+308-1.79769313486232E+308-1.579</t>
  </si>
  <si>
    <t>2014-11-26 15:59:2.34: DirectionIndicator - notify - price/longMA/ShortMA/prevDirection are 1.5791/1.57904144733426/1.57908315375022/1</t>
  </si>
  <si>
    <t>2014-11-26 15:59:2.34: Algorithm - handleTransition - currentHedgeShortfall is NOT ZERO and AUTOHEDGE IS NOT ENABLED!</t>
  </si>
  <si>
    <t>2014-11-26 15:59:2.75: DirectionIndicator - notify - price/longMA/ShortMA/prevDirection are 1.57905/1.5790430023644/1.57907210250015/1</t>
  </si>
  <si>
    <t>2014-11-26 15:59:2.76: Algorithm - handleTransition - currentHedgeShortfall is NOT ZERO and AUTOHEDGE IS NOT ENABLED!</t>
  </si>
  <si>
    <t>2014-11-26 15:59:2.873: RTWSControl  - tickOptionComputation - id:200042 tickType:13 impliedVol:8.24498497104145E-02 delta:-2.59832754897879E-02 optPrice:1.00619463310057E-04 pvDividend:0 gamma: 1.79769313486232E+308 theta/vega/undPrice: -1.39800298805299E-04-8.777775188984E-05-1.5792</t>
  </si>
  <si>
    <t>2014-11-26 15:59:2.950: RTWSControl  - tickOptionComputation - id:200041 tickType:13 impliedVol:7.35719003901636E-02 delta:0.945384311096834 optPrice:1.44108389253447E-02 pvDividend:0 gamma: 1.79769313486232E+308 theta/vega/undPrice: -2.28863655791574E-04-1.48460734098544E-04-1.5792</t>
  </si>
  <si>
    <t>2014-11-26 15:59:2.996: RTWSControl  - tickOptionComputation - id:200043 tickType:13 impliedVol:7.35719003901636E-02 delta:-5.47282048736014E-02 optPrice:2.11041759111052E-04 pvDividend:0 gamma: 1.79769313486232E+308 theta/vega/undPrice: -2.28957449924962E-04-1.48460986214745E-04-1.5792</t>
  </si>
  <si>
    <t>2014-11-26 15:59:3.38: RTWSControl  - tickOptionComputation - id:200044 tickType:13 impliedVol:6.72065382941582E-02 delta:0.873380635563256 optPrice:9.71775951558583E-03 pvDividend:0 gamma: 1.79769313486232E+308 theta/vega/undPrice: -3.96878506169932E-04-2.9761209751821E-04-1.5792</t>
  </si>
  <si>
    <t>2014-11-26 15:59:3.81: RTWSControl  - tickOptionComputation - id:200046 tickType:13 impliedVol:6.72065382941582E-02 delta:-0.126732031451033 optPrice:5.17891550049252E-04 pvDividend:0 gamma: 1.79769313486232E+308 theta/vega/undPrice: -3.9693990354946E-04-2.97612385416263E-04-1.5792</t>
  </si>
  <si>
    <t>2014-11-26 15:59:3.122: RTWSControl  - tickOptionComputation - id:200045 tickType:13 impliedVol:0.063353763422441 delta:0.709403785595612 optPrice:5.61069671507706E-03 pvDividend:0 gamma: 1.79769313486232E+308 theta/vega/undPrice: -6.1654980814011E-04-4.4536131649859E-04-1.5792</t>
  </si>
  <si>
    <t>2014-11-26 15:59:3.164: RTWSControl  - tickOptionComputation - id:200047 tickType:13 impliedVol:0.063353763422441 delta:-0.290709304882701 optPrice:1.41075917487602E-03 pvDividend:0 gamma: 1.79769313486232E+308 theta/vega/undPrice: -6.16579341347223E-04-4.45361952906138E-04-1.5792</t>
  </si>
  <si>
    <t>2014-11-26 15:59:3.205: RTWSControl  - tickOptionComputation - id:200055 tickType:13 impliedVol:6.20135757749978E-02 delta:0.458939924288125 optPrice:2.64166674858814E-03 pvDividend:0 gamma: 1.79769313486232E+308 theta/vega/undPrice: -6.94645606647089E-04-4.83240043525356E-04-1.5792</t>
  </si>
  <si>
    <t>2014-11-26 15:59:3.245: RTWSControl  - tickOptionComputation - id:200049 tickType:13 impliedVol:6.88361031839726E-02 delta:0.706801131757911 optPrice:1.24032740622169E-02 pvDividend:0 gamma: 1.79769313486232E+308 theta/vega/undPrice: -3.26633027655219E-04-9.14329018766794E-04-1.5792</t>
  </si>
  <si>
    <t>2014-11-26 15:59:3.288: RTWSControl  - tickOptionComputation - id:200050 tickType:13 impliedVol:6.88361031839726E-02 delta:-0.293268904049199 optPrice:3.20385334613091E-03 pvDividend:0 gamma: 1.79769313486232E+308 theta/vega/undPrice: -3.26697860948408E-04-9.14334574986481E-04-1.5792</t>
  </si>
  <si>
    <t>2014-11-26 15:59:3.329: RTWSControl  - tickOptionComputation - id:200051 tickType:13 impliedVol:7.11184195327892E-02 delta:-0.298096833265486 optPrice:3.34001394109879E-03 pvDividend:0 gamma: 1.79769313486232E+308 theta/vega/undPrice: -3.40384719529617E-04-8.57706288692888E-04-1.5792</t>
  </si>
  <si>
    <t>2014-11-26 15:59:3.371: RTWSControl  - tickOptionComputation - id:200052 tickType:13 impliedVol:0.123518304906121 delta:-0.506614209335354 optPrice:1.25984654683454E-02 pvDividend:0 gamma: 1.79769313486232E+308 theta/vega/undPrice: -6.80171097634345E-04-9.86875526663659E-04-1.5792</t>
  </si>
  <si>
    <t>2014-11-26 15:59:3.412: RTWSControl  - tickOptionComputation - id:200048 tickType:13 impliedVol:8.40519222158722E-02 delta:-2.85037218769939E-02 optPrice:2.35264239964567E-04 pvDividend:0 gamma: 1.79769313486232E+308 theta/vega/undPrice: -7.47321901318749E-05-1.86081255196695E-04-1.5792</t>
  </si>
  <si>
    <t>2014-11-26 15:59:3.455: RTWSControl  - tickOptionComputation - id:200053 tickType:13 impliedVol:6.39896053274196E-02 delta:9.91049875699957E-02 optPrice:7.55417584678938E-04 pvDividend:0 gamma: 1.79769313486232E+308 theta/vega/undPrice: -1.52574889723072E-04-4.6462560355691E-04-1.5792</t>
  </si>
  <si>
    <t>2014-11-26 15:59:3.495: RTWSControl  - tickOptionComputation - id:200054 tickType:13 impliedVol:6.95124286462132E-02 delta:1.73791675619081E-03 optPrice:8.864463427062E-06 pvDividend:0 gamma: 0.319673162356948 theta/vega/undPrice: -5.27555934351011E-06-2.64751138094989E-05-1.5792</t>
  </si>
  <si>
    <t>2014-11-26 15:59:3.538: DirectionIndicator - notify - price/longMA/ShortMA/prevDirection are 1.5791/1.57905336557087/1.57908140166677/1</t>
  </si>
  <si>
    <t>2014-11-26 15:59:3.538: Algorithm - handleTransition - currentHedgeShortfall is NOT ZERO and AUTOHEDGE IS NOT ENABLED!</t>
  </si>
  <si>
    <t>2014-11-26 15:59:3.789: DirectionIndicator - notify - price/longMA/ShortMA/prevDirection are 1.57915/1.57907093546708/1.57910426777784/1</t>
  </si>
  <si>
    <t>2014-11-26 15:59:3.789: Algorithm - handleTransition - currentHedgeShortfall is NOT ZERO and AUTOHEDGE IS NOT ENABLED!</t>
  </si>
  <si>
    <t>2014-11-26 15:59:4.366: RTWSControl  - tickOptionComputation - id:200042 tickType:13 impliedVol:8.31152819774701E-02 delta:-2.78060411876927E-02 optPrice:1.09682696688335E-04 pvDividend:0 gamma: 1.79769313486232E+308 theta/vega/undPrice: -1.4890913451644E-04-8.81770828544394E-05-1.5791</t>
  </si>
  <si>
    <t>2014-11-26 15:59:4.417: RTWSControl  - tickOptionComputation - id:200042 tickType:10 impliedVol:9.32894215910207E-02 delta:-4.29212946417853E-02 optPrice:1.99999994947575E-04 pvDividend:0 gamma: 1.79769313486232E+308 theta/vega/undPrice: -2.41143216412467E-04-1.43211595008575E-04-1.5791</t>
  </si>
  <si>
    <t>2014-11-26 15:59:4.459: RTWSControl  - tickOptionComputation - id:200042 tickType:11 impliedVol:9.32894215910207E-02 delta:-4.29212946417853E-02 optPrice:1.99999994947575E-04 pvDividend:0 gamma: 1.79769313486232E+308 theta/vega/undPrice: -2.41143216412467E-04-1.43211595008575E-04-1.5791</t>
  </si>
  <si>
    <t>2014-11-26 15:59:4.506: RTWSControl  - tickOptionComputation - id:200041 tickType:13 impliedVol:7.41188078822432E-02 delta:0.942694577700872 optPrice:1.43245977088543E-02 pvDividend:0 gamma: 1.79769313486232E+308 theta/vega/undPrice: -2.39448660615179E-04-1.56545448255415E-04-1.5791</t>
  </si>
  <si>
    <t>2014-11-26 15:59:4.548: RTWSControl  - tickOptionComputation - id:200041 tickType:10 impliedVol:6.34468730390569E-02 delta:0.967404426948795 optPrice:1.42000000923872E-02 pvDividend:0 gamma: 1.79769313486232E+308 theta/vega/undPrice: -1.29567149987161E-04-1.14959297228693E-04-1.5791</t>
  </si>
  <si>
    <t>2014-11-26 15:59:4.590: RTWSControl  - tickOptionComputation - id:200041 tickType:11 impliedVol:8.49951920970908E-02 delta:0.916298342499209 optPrice:1.44999995827675E-02 pvDividend:0 gamma: 1.79769313486232E+308 theta/vega/undPrice: -3.68840229843576E-04-2.15161478117693E-04-1.5791</t>
  </si>
  <si>
    <t>2014-11-26 15:59:4.663: RTWSControl  - tickOptionComputation - id:200043 tickType:13 impliedVol:7.41188078822432E-02 delta:-5.74179402291371E-02 optPrice:2.24799124669577E-04 pvDividend:0 gamma: 1.79769313486232E+308 theta/vega/undPrice: -2.39541807905177E-04-1.56545707898098E-04-1.5791</t>
  </si>
  <si>
    <t>2014-11-26 15:59:4.707: RTWSControl  - tickOptionComputation - id:200043 tickType:10 impliedVol:6.34334972882478E-02 delta:-3.25537204029445E-02 optPrice:9.99999974737875E-05 pvDividend:0 gamma: 1.79769313486232E+308 theta/vega/undPrice: -1.29539449080606E-04-1.14885162989644E-04-1.5791</t>
  </si>
  <si>
    <t>2014-11-26 15:59:4.750: RTWSControl  - tickOptionComputation - id:200043 tickType:11 impliedVol:7.93614321404194E-02 delta:-6.96122349735194E-02 optPrice:3.00000014249235E-04 pvDividend:0 gamma: 1.79769313486232E+308 theta/vega/undPrice: -2.99711718735755E-04-1.9414603271615E-04-1.5791</t>
  </si>
  <si>
    <t>2014-11-26 15:59:4.795: RTWSControl  - tickOptionComputation - id:200044 tickType:13 impliedVol:6.75114637108578E-02 delta:0.869161983261187 optPrice:9.64288376350637E-03 pvDividend:0 gamma: 1.79769313486232E+308 theta/vega/undPrice: -4.06748824246627E-04-2.97602662677789E-04-1.5791</t>
  </si>
  <si>
    <t>2014-11-26 15:59:4.840: RTWSControl  - tickOptionComputation - id:200044 tickType:10 impliedVol:6.13496030765751E-02 delta:0.890152115248402 optPrice:9.4999996945262E-03 pvDividend:0 gamma: 1.79769313486232E+308 theta/vega/undPrice: -3.24834524162025E-04-2.5710816107267E-04-1.5791</t>
  </si>
  <si>
    <t>2014-11-26 15:59:4.884: RTWSControl  - tickOptionComputation - id:200044 tickType:11 impliedVol:0.076151042403028 delta:0.838317024338977 optPrice:9.89999994635582E-03 pvDividend:0 gamma: 1.79769313486232E+308 theta/vega/undPrice: -5.25341951150352E-04-2.9760236751001E-04-1.5791</t>
  </si>
  <si>
    <t>2014-11-26 15:59:4.954: RTWSControl  - tickOptionComputation - id:200046 tickType:13 impliedVol:6.75114637108578E-02 delta:-0.130950688149319 optPrice:5.43014392555995E-04 pvDividend:0 gamma: 1.79769313486232E+308 theta/vega/undPrice: -4.06809581199359E-04-2.97602950593452E-04-1.5791</t>
  </si>
  <si>
    <t>2014-11-26 15:59:4.999: RTWSControl  - tickOptionComputation - id:200046 tickType:10 impliedVol:6.59838202525817E-02 delta:-0.125004163530537 optPrice:5.00000023748726E-04 pvDividend:0 gamma: 1.79769313486232E+308 theta/vega/undPrice: -3.86001148981337E-04-2.95154221221774E-04-1.5791</t>
  </si>
  <si>
    <t>2014-11-26 15:59:5.43: RTWSControl  - tickOptionComputation - id:200046 tickType:11 impliedVol:6.94262837596818E-02 delta:-0.138407631050823 optPrice:6.00000028498471E-04 pvDividend:0 gamma: 1.79769313486232E+308 theta/vega/undPrice: -4.33093859760626E-04-2.97602885333753E-04-1.5791</t>
  </si>
  <si>
    <t>2014-11-26 15:59:5.89: RTWSControl  - tickOptionComputation - id:200045 tickType:13 impliedVol:6.32932494633138E-02 delta:0.70484408610334 optPrice:5.5415038334509E-03 pvDividend:0 gamma: 1.79769313486232E+308 theta/vega/undPrice: -6.194485486796E-04-4.45347215496474E-04-1.5791</t>
  </si>
  <si>
    <t>2014-11-26 15:59:5.132: RTWSControl  - tickOptionComputation - id:200045 tickType:10 impliedVol:6.23613060729587E-02 delta:0.707656417065235 optPrice:5.49999997019768E-03 pvDividend:0 gamma: 1.79769313486232E+308 theta/vega/undPrice: -6.08118917474869E-04-4.45347259432747E-04-1.5791</t>
  </si>
  <si>
    <t>2014-11-26 15:59:5.175: RTWSControl  - tickOptionComputation - id:200045 tickType:11 impliedVol:0.066852185127851 delta:0.694422577068014 optPrice:5.70000009611249E-03 pvDividend:0 gamma: 1.79769313486232E+308 theta/vega/undPrice: -6.62714486901957E-04-4.45347043279013E-04-1.5791</t>
  </si>
  <si>
    <t>2014-11-26 15:59:5.247: RTWSControl  - tickOptionComputation - id:200047 tickType:13 impliedVol:6.32932494633138E-02 delta:-0.295269011576868 optPrice:1.44156489812951E-03 pvDividend:0 gamma: 1.79769313486232E+308 theta/vega/undPrice: -6.19477437676339E-04-4.45347851886288E-04-1.5791</t>
  </si>
  <si>
    <t>2014-11-26 15:59:5.291: RTWSControl  - tickOptionComputation - id:200047 tickType:10 impliedVol:6.23599357918341E-02 delta:-0.292325913695856 optPrice:1.39999995008111E-03 pvDividend:0 gamma: 1.79769313486232E+308 theta/vega/undPrice: -6.08131109912286E-04-4.45347895884271E-04-1.5791</t>
  </si>
  <si>
    <t>2014-11-26 15:59:5.334: RTWSControl  - tickOptionComputation - id:200047 tickType:11 impliedVol:6.68508058302139E-02 delta:-0.305560314552301 optPrice:1.5999999595806E-03 pvDividend:0 gamma: 1.79769313486232E+308 theta/vega/undPrice: -6.62726752868496E-04-4.4534767977902E-04-1.5791</t>
  </si>
  <si>
    <t>2014-11-26 15:59:5.379: RTWSControl  - tickOptionComputation - id:200055 tickType:13 impliedVol:6.14641651395829E-02 delta:0.453247217389919 optPrice:2.57063737157605E-03 pvDividend:0 gamma: 1.79769313486232E+308 theta/vega/undPrice: -6.8705488365235E-04-4.83224768383535E-04-1.5791</t>
  </si>
  <si>
    <t>2014-11-26 15:59:5.419: RTWSControl  - tickOptionComputation - id:200055 tickType:10 impliedVol:6.00001956043011E-02 delta:0.45200222124471 optPrice:2.49999994412065E-03 pvDividend:0 gamma: 1.79769313486232E+308 theta/vega/undPrice: -6.70407389478576E-04-4.83224838529473E-04-1.5791</t>
  </si>
  <si>
    <t>2014-11-26 15:59:5.463: RTWSControl  - tickOptionComputation - id:200055 tickType:11 impliedVol:6.20718113304194E-02 delta:0.453666751051577 optPrice:2.60000000707805E-03 pvDividend:0 gamma: 1.79769313486232E+308 theta/vega/undPrice: -6.93964715710366E-04-4.83224738813766E-04-1.5791</t>
  </si>
  <si>
    <t>2014-11-26 15:59:5.532: RTWSControl  - tickOptionComputation - id:200049 tickType:13 impliedVol:6.91805869935642E-02 delta:0.703727680001243 optPrice:1.23681652213689E-02 pvDividend:0 gamma: 1.79769313486232E+308 theta/vega/undPrice: -3.29518630373471E-04-9.14299903384267E-04-1.5791</t>
  </si>
  <si>
    <t>2014-11-26 15:59:5.583: RTWSControl  - tickOptionComputation - id:200049 tickType:10 impliedVol:0.068435038945008 delta:0.705715093204669 optPrice:1.22999995946884E-02 pvDividend:0 gamma: 1.79769313486232E+308 theta/vega/undPrice: -3.2511877770131E-04-9.14300234987805E-04-1.5791</t>
  </si>
  <si>
    <t>2014-11-26 15:59:5.626: RTWSControl  - tickOptionComputation - id:200049 tickType:11 impliedVol:7.17162361365686E-02 delta:0.696903308246057 optPrice:1.26000000163913E-02 pvDividend:0 gamma: 1.79769313486232E+308 theta/vega/undPrice: -3.444827375595E-04-9.142987555175E-04-1.5791</t>
  </si>
  <si>
    <t>2014-11-26 15:59:5.671: RTWSControl  - tickOptionComputation - id:200050 tickType:13 impliedVol:6.91805869935642E-02 delta:-0.29634237692217 optPrice:3.26873881458084E-03 pvDividend:0 gamma: 1.79769313486232E+308 theta/vega/undPrice: -3.29582852736309E-04-9.14305459510959E-04-1.5791</t>
  </si>
  <si>
    <t>2014-11-26 15:59:5.714: RTWSControl  - tickOptionComputation - id:200050 tickType:10 impliedVol:0.068428773495982 delta:-0.294210879517326 optPrice:3.1999999191612E-03 pvDividend:0 gamma: 1.79769313486232E+308 theta/vega/undPrice: -3.25145959842792E-04-9.14305793836052E-04-1.5791</t>
  </si>
  <si>
    <t>2014-11-26 15:59:5.755: RTWSControl  - tickOptionComputation - id:200050 tickType:11 impliedVol:7.06162233026069E-02 delta:-0.300178452416196 optPrice:3.40000004507601E-03 pvDividend:0 gamma: 1.79769313486232E+308 theta/vega/undPrice: -3.38055374606295E-04-9.14304813522396E-04-1.5791</t>
  </si>
  <si>
    <t>2014-11-26 15:59:5.825: RTWSControl  - tickOptionComputation - id:200051 tickType:13 impliedVol:7.14767262699212E-02 delta:-0.300965197825877 optPrice:3.40076186981486E-03 pvDividend:0 gamma: 1.79769313486232E+308 theta/vega/undPrice: -3.43565873740458E-04-8.61382902251889E-04-1.5791</t>
  </si>
  <si>
    <t>2014-11-26 15:59:5.874: RTWSControl  - tickOptionComputation - id:200051 tickType:10 impliedVol:6.79609228012375E-02 delta:-0.291791684067082 optPrice:3.10000008903444E-03 pvDividend:0 gamma: 1.79769313486232E+308 theta/vega/undPrice: -3.22082601752403E-04-8.49294081614488E-04-1.5791</t>
  </si>
  <si>
    <t>2014-11-26 15:59:5.914: RTWSControl  - tickOptionComputation - id:200051 tickType:11 impliedVol:0.07030479122513 delta:-0.297970506398306 optPrice:3.29999998211861E-03 pvDividend:0 gamma: 1.79769313486232E+308 theta/vega/undPrice: -3.36423651970405E-04-8.5753572930722E-04-1.5791</t>
  </si>
  <si>
    <t>2014-11-26 15:59:5.960: RTWSControl  - tickOptionComputation - id:200052 tickType:13 impliedVol:0.124034942675131 delta:-0.507854460238498 optPrice:1.27001614438681E-02 pvDividend:0 gamma: 1.79769313486232E+308 theta/vega/undPrice: -6.82934128742518E-04-9.86757659582805E-04-1.5791</t>
  </si>
  <si>
    <t>2014-11-26 15:59:6.3: RTWSControl  - tickOptionComputation - id:200052 tickType:10 impliedVol:1.79769313486232E+308 delta:1.79769313486232E+308 optPrice:1.79769313486232E+308 pvDividend:0 gamma: 1.79769313486232E+308 theta/vega/undPrice: 1.79769313486232E+308-1.79769313486232E+308-1.5791</t>
  </si>
  <si>
    <t>2014-11-26 15:59:6.39: RTWSControl  - tickOptionComputation - id:200052 tickType:11 impliedVol:1.79769313486232E+308 delta:1.79769313486232E+308 optPrice:1.79769313486232E+308 pvDividend:0 gamma: 1.79769313486232E+308 theta/vega/undPrice: 1.79769313486232E+308-1.79769313486232E+308-1.5791</t>
  </si>
  <si>
    <t>2014-11-26 15:59:6.81: RTWSControl  - tickOptionComputation - id:200048 tickType:13 impliedVol:8.42030979907644E-02 delta:-2.90855984242183E-02 optPrice:2.41172458253703E-04 pvDividend:0 gamma: 1.79769313486232E+308 theta/vega/undPrice: -7.6120668305981E-05-1.90454194921223E-04-1.5791</t>
  </si>
  <si>
    <t>2014-11-26 15:59:6.130: RTWSControl  - tickOptionComputation - id:200048 tickType:10 impliedVol:8.19347666994068E-02 delta:-2.53677273326551E-02 optPrice:1.99999994947575E-04 pvDividend:0 gamma: 1.79769313486232E+308 theta/vega/undPrice: -6.62511360675346E-05-1.79327996991848E-04-1.5791</t>
  </si>
  <si>
    <t>2014-11-26 15:59:6.173: RTWSControl  - tickOptionComputation - id:200048 tickType:11 impliedVol:8.74397352742054E-02 delta:-3.40468118488423E-02 optPrice:3.00000014249235E-04 pvDividend:0 gamma: 1.79769313486232E+308 theta/vega/undPrice: -9.0203279029243E-05-2.27111814430034E-04-1.5791</t>
  </si>
  <si>
    <t>2014-11-26 15:59:6.245: RTWSControl  - tickOptionComputation - id:200053 tickType:13 impliedVol:6.44482002766829E-02 delta:9.96443913842575E-02 optPrice:7.65711321692116E-04 pvDividend:0 gamma: 1.79769313486232E+308 theta/vega/undPrice: -1.54272281088049E-04-4.66407495972909E-04-1.5791</t>
  </si>
  <si>
    <t>2014-11-26 15:59:6.288: RTWSControl  - tickOptionComputation - id:200053 tickType:10 impliedVol:6.07439438236229E-02 delta:8.55471434494373E-02 optPrice:6.00000028498471E-04 pvDividend:0 gamma: 1.79769313486232E+308 theta/vega/undPrice: -1.30296568497235E-04-4.47353131826382E-04-1.5791</t>
  </si>
  <si>
    <t>2014-11-26 15:59:6.331: RTWSControl  - tickOptionComputation - id:200053 tickType:11 impliedVol:6.52160019440212E-02 delta:0.102351748776909 optPrice:7.999999797903E-04 pvDividend:0 gamma: 1.79769313486232E+308 theta/vega/undPrice: -1.59241851411738E-04-4.79492194803705E-04-1.5791</t>
  </si>
  <si>
    <t>2014-11-26 15:59:6.377: RTWSControl  - tickOptionComputation - id:200054 tickType:13 impliedVol:7.00059378401185E-02 delta:1.80080261132892E-03 optPrice:9.26411747493463E-06 pvDividend:0 gamma: 0.328297077260031 theta/vega/undPrice: -5.4943860619459E-06-2.79331887129409E-05-1.5791</t>
  </si>
  <si>
    <t>2014-11-26 15:59:6.420: RTWSControl  - tickOptionComputation - id:200054 tickType:10 impliedVol:1.79769313486232E+308 delta:1.79769313486232E+308 optPrice:1.79769313486232E+308 pvDividend:0 gamma: 1.79769313486232E+308 theta/vega/undPrice: 1.79769313486232E+308-1.79769313486232E+308-1.5791</t>
  </si>
  <si>
    <t>2014-11-26 15:59:6.456: RTWSControl  - tickOptionComputation - id:200054 tickType:11 impliedVol:9.01330725866379E-02 delta:1.25838060469183E-02 optPrice:9.99999974737875E-05 pvDividend:0 gamma: 1.79769313486232E+308 theta/vega/undPrice: -4.00185228157953E-05-1.03776955948523E-04-1.5791</t>
  </si>
  <si>
    <t>2014-11-26 15:59:7.239: RTWSControl  - tickOptionComputation - id:200052 tickType:10 impliedVol:1.79769313486232E+308 delta:1.79769313486232E+308 optPrice:1.79769313486232E+308 pvDividend:0 gamma: 1.79769313486232E+308 theta/vega/undPrice: 1.79769313486232E+308-1.79769313486232E+308-1.5791</t>
  </si>
  <si>
    <t>2014-11-26 15:59:7.256: RTWSControl  - tickOptionComputation - id:200052 tickType:11 impliedVol:1.79769313486232E+308 delta:1.79769313486232E+308 optPrice:1.79769313486232E+308 pvDividend:0 gamma: 1.79769313486232E+308 theta/vega/undPrice: 1.79769313486232E+308-1.79769313486232E+308-1.5791</t>
  </si>
  <si>
    <t>2014-11-26 15:59:7.316: RTWSControl  - tickOptionComputation - id:200053 tickType:10 impliedVol:6.29793094519016E-02 delta:9.42441494612653E-02 optPrice:6.99999975040555E-04 pvDividend:0 gamma: 1.79769313486232E+308 theta/vega/undPrice: -1.44764927365985E-04-4.4735272065882E-04-1.5791</t>
  </si>
  <si>
    <t>2014-11-26 15:59:7.370: RTWSControl  - tickOptionComputation - id:200054 tickType:10 impliedVol:1.79769313486232E+308 delta:1.79769313486232E+308 optPrice:1.79769313486232E+308 pvDividend:0 gamma: 1.79769313486232E+308 theta/vega/undPrice: 1.79769313486232E+308-1.79769313486232E+308-1.5791</t>
  </si>
  <si>
    <t>2014-11-26 15:59:8.165: RTWSControl  - tickOptionComputation - id:200042 tickType:13 impliedVol:8.39372542345416E-02 delta:-2.91456929409831E-02 optPrice:1.16897559565538E-04 pvDividend:0 gamma: 1.79769313486232E+308 theta/vega/undPrice: -1.56311880204947E-04-9.27338249462698E-05-1.5791</t>
  </si>
  <si>
    <t>2014-11-26 15:59:8.246: RTWSControl  - tickOptionComputation - id:200041 tickType:13 impliedVol:7.50597287659787E-02 delta:0.940378662616614 optPrice:1.43380943965682E-02 pvDividend:0 gamma: 1.79769313486232E+308 theta/vega/undPrice: -2.50247657482584E-04-1.63293768839893E-04-1.5791</t>
  </si>
  <si>
    <t>2014-11-26 15:59:8.291: RTWSControl  - tickOptionComputation - id:200043 tickType:13 impliedVol:7.50597287659787E-02 delta:-0.059733857000264 optPrice:2.38295821638692E-04 pvDividend:0 gamma: 1.79769313486232E+308 theta/vega/undPrice: -2.50340816888287E-04-1.63294035643094E-04-1.5791</t>
  </si>
  <si>
    <t>2014-11-26 15:59:8.333: RTWSControl  - tickOptionComputation - id:200044 tickType:13 impliedVol:6.84782950507667E-02 delta:0.865335618087195 optPrice:9.67165693649169E-03 pvDividend:0 gamma: 1.79769313486232E+308 theta/vega/undPrice: -4.20020263809746E-04-2.97602629710698E-04-1.5791</t>
  </si>
  <si>
    <t>2014-11-26 15:59:8.374: RTWSControl  - tickOptionComputation - id:200046 tickType:13 impliedVol:6.84782950507667E-02 delta:-0.134777057307764 optPrice:5.71787593372585E-04 pvDividend:0 gamma: 1.79769313486232E+308 theta/vega/undPrice: -4.20081045966095E-04-2.97602917651284E-04-1.5791</t>
  </si>
  <si>
    <t>2014-11-26 15:59:8.417: RTWSControl  - tickOptionComputation - id:200045 tickType:13 impliedVol:6.41929530888774E-02 delta:0.702122965218552 optPrice:5.58157190298574E-03 pvDividend:0 gamma: 1.79769313486232E+308 theta/vega/undPrice: -6.30386238664676E-04-4.45347172624123E-04-1.5791</t>
  </si>
  <si>
    <t>2014-11-26 15:59:8.459: RTWSControl  - tickOptionComputation - id:200047 tickType:13 impliedVol:6.41929530888774E-02 delta:-0.297990136755044 optPrice:1.48163302492346E-03 pvDividend:0 gamma: 1.79769313486232E+308 theta/vega/undPrice: -6.3041516435003E-04-4.45347809012463E-04-1.5791</t>
  </si>
  <si>
    <t>2014-11-26 15:59:8.501: RTWSControl  - tickOptionComputation - id:200044 tickType:10 impliedVol:6.59898896475701E-02 delta:0.874963544985601 optPrice:9.60000045597553E-03 pvDividend:0 gamma: 1.79769313486232E+308 theta/vega/undPrice: -3.86020641204354E-04-2.95203543025426E-04-1.5791</t>
  </si>
  <si>
    <t>2014-11-26 15:59:8.542: RTWSControl  - tickOptionComputation - id:200055 tickType:13 impliedVol:6.22037028803391E-02 delta:0.453826414231407 optPrice:2.60637368316551E-03 pvDividend:0 gamma: 1.79769313486232E+308 theta/vega/undPrice: -6.95464516717631E-04-4.83224732359614E-04-1.5791</t>
  </si>
  <si>
    <t>2014-11-26 15:59:8.582: RTWSControl  - tickOptionComputation - id:200049 tickType:13 impliedVol:6.91430444760481E-02 delta:0.703831168500888 optPrice:1.23647327010923E-02 pvDividend:0 gamma: 1.79769313486232E+308 theta/vega/undPrice: -3.29297073254914E-04-9.14299920148407E-04-1.5791</t>
  </si>
  <si>
    <t>2014-11-26 15:59:8.626: RTWSControl  - tickOptionComputation - id:200050 tickType:13 impliedVol:6.91430444760481E-02 delta:-0.296238887712493 optPrice:3.26530627344802E-03 pvDividend:0 gamma: 1.79769313486232E+308 theta/vega/undPrice: -3.29361292389443E-04-9.14305476270816E-04-1.5791</t>
  </si>
  <si>
    <t>2014-11-26 15:59:8.664: RTWSControl  - tickOptionComputation - id:200048 tickType:13 impliedVol:8.42770371446573E-02 delta:-2.92033056457478E-02 optPrice:2.42498396196244E-04 pvDividend:0 gamma: 1.79769313486232E+308 theta/vega/undPrice: -7.64423780044979E-05-1.91291618813556E-04-1.5791</t>
  </si>
  <si>
    <t>2014-11-26 15:59:8.712: RTWSControl  - tickOptionComputation - id:200053 tickType:13 impliedVol:6.38914876121621E-02 delta:9.76312486373408E-02 optPrice:7.40806590280975E-04 pvDividend:0 gamma: 1.79769313486232E+308 theta/vega/undPrice: -1.50668975503193E-04-4.56920121970667E-04-1.5791</t>
  </si>
  <si>
    <t>2014-11-26 15:59:8.755: RTWSControl  - tickOptionComputation - id:200054 tickType:13 impliedVol:6.85223665530046E-02 delta:1.53354160924824E-03 optPrice:7.66450595108804E-06 pvDividend:0 gamma: 0.288259533208632 theta/vega/undPrice: -4.62200955884258E-06-2.1923457582089E-05-1.5791</t>
  </si>
  <si>
    <t>2014-11-26 15:59:8.797: RTWSControl  - tickOptionComputation - id:200047 tickType:11 impliedVol:6.46053718446321E-02 delta:-0.299174206934301 optPrice:1.50000001303852E-03 pvDividend:0 gamma: 1.79769313486232E+308 theta/vega/undPrice: -6.35428951927844E-04-4.45347789210106E-04-1.5791</t>
  </si>
  <si>
    <t>2014-11-26 15:59:8.864: RTWSControl  - tickOptionComputation - id:200055 tickType:11 impliedVol:0.064145571319787 delta:0.455227373231319 optPrice:2.70000007003546E-03 pvDividend:0 gamma: 1.79769313486232E+308 theta/vega/undPrice: -7.17546412147255E-04-4.83224635908167E-04-1.5791</t>
  </si>
  <si>
    <t>2014-11-26 15:59:8.916: RTWSControl  - tickOptionComputation - id:200052 tickType:10 impliedVol:1.79769313486232E+308 delta:1.79769313486232E+308 optPrice:1.79769313486232E+308 pvDividend:0 gamma: 1.79769313486232E+308 theta/vega/undPrice: 1.79769313486232E+308-1.79769313486232E+308-1.5791</t>
  </si>
  <si>
    <t>2014-11-26 15:59:8.950: RTWSControl  - tickOptionComputation - id:200052 tickType:11 impliedVol:1.79769313486232E+308 delta:1.79769313486232E+308 optPrice:1.79769313486232E+308 pvDividend:0 gamma: 1.79769313486232E+308 theta/vega/undPrice: 1.79769313486232E+308-1.79769313486232E+308-1.5791</t>
  </si>
  <si>
    <t>2014-11-26 15:59:8.991: RTWSControl  - tickOptionComputation - id:200054 tickType:10 impliedVol:1.79769313486232E+308 delta:1.79769313486232E+308 optPrice:1.79769313486232E+308 pvDividend:0 gamma: 1.79769313486232E+308 theta/vega/undPrice: 1.79769313486232E+308-1.79769313486232E+308-1.5791</t>
  </si>
  <si>
    <t>2014-11-26 15:59:9.158: RTWSControl  - tickOptionComputation - id:200052 tickType:10 impliedVol:1.79769313486232E+308 delta:1.79769313486232E+308 optPrice:1.79769313486232E+308 pvDividend:0 gamma: 1.79769313486232E+308 theta/vega/undPrice: 1.79769313486232E+308-1.79769313486232E+308-1.5791</t>
  </si>
  <si>
    <t>2014-11-26 15:59:9.199: RTWSControl  - tickOptionComputation - id:200052 tickType:11 impliedVol:1.79769313486232E+308 delta:1.79769313486232E+308 optPrice:1.79769313486232E+308 pvDividend:0 gamma: 1.79769313486232E+308 theta/vega/undPrice: 1.79769313486232E+308-1.79769313486232E+308-1.5791</t>
  </si>
  <si>
    <t>2014-11-26 15:59:9.242: RTWSControl  - tickOptionComputation - id:200054 tickType:10 impliedVol:1.79769313486232E+308 delta:1.79769313486232E+308 optPrice:1.79769313486232E+308 pvDividend:0 gamma: 1.79769313486232E+308 theta/vega/undPrice: 1.79769313486232E+308-1.79769313486232E+308-1.5791</t>
  </si>
  <si>
    <t>2014-11-26 15:59:9.416: RTWSControl  - tickOptionComputation - id:200042 tickType:13 impliedVol:8.41649677176832E-02 delta:-2.94905432065237E-02 optPrice:1.18777988863482E-04 pvDividend:0 gamma: 1.79769313486232E+308 theta/vega/undPrice: -1.5829198126864E-04-9.38985228693253E-05-1.5791</t>
  </si>
  <si>
    <t>2014-11-26 15:59:9.494: RTWSControl  - tickOptionComputation - id:200041 tickType:13 impliedVol:7.52392065851524E-02 delta:0.939972652984468 optPrice:0.014340496052922 pvDividend:0 gamma: 1.79769313486232E+308 theta/vega/undPrice: -2.52250053501672E-04-1.64460098454959E-04-1.5791</t>
  </si>
  <si>
    <t>2014-11-26 15:59:9.540: RTWSControl  - tickOptionComputation - id:200043 tickType:13 impliedVol:7.52392065851524E-02 delta:-6.01398668139545E-02 optPrice:2.40697415120805E-04 pvDividend:0 gamma: 1.79769313486232E+308 theta/vega/undPrice: -2.52343215063909E-04-1.64460366418625E-04-1.5791</t>
  </si>
  <si>
    <t>2014-11-26 15:59:9.585: RTWSControl  - tickOptionComputation - id:200044 tickType:13 impliedVol:6.84832645387559E-02 delta:0.865359027646481 optPrice:9.67147843551522E-03 pvDividend:0 gamma: 1.79769313486232E+308 theta/vega/undPrice: -4.20072488102621E-04-2.97554964422167E-04-1.5791</t>
  </si>
  <si>
    <t>2014-11-26 15:59:9.625: RTWSControl  - tickOptionComputation - id:200046 tickType:13 impliedVol:6.84832645387559E-02 delta:-0.134753647560088 optPrice:5.71609050371409E-04 pvDividend:0 gamma: 1.79769313486232E+308 theta/vega/undPrice: -4.20133270102133E-04-2.9755525222558E-04-1.5791</t>
  </si>
  <si>
    <t>2014-11-26 15:59:9.671: RTWSControl  - tickOptionComputation - id:200045 tickType:13 impliedVol:6.38971415784795E-02 delta:0.703039948467652 optPrice:5.56794225400004E-03 pvDividend:0 gamma: 1.79769313486232E+308 theta/vega/undPrice: -6.26866449719591E-04-4.45275858276624E-04-1.5791</t>
  </si>
  <si>
    <t>2014-11-26 15:59:9.714: RTWSControl  - tickOptionComputation - id:200047 tickType:13 impliedVol:6.38971415784795E-02 delta:-0.297073151758746 optPrice:1.46800333688823E-03 pvDividend:0 gamma: 1.79769313486232E+308 theta/vega/undPrice: -6.26895362922701E-04-4.45276494357494E-04-1.5791</t>
  </si>
  <si>
    <t>2014-11-26 15:59:9.758: RTWSControl  - tickOptionComputation - id:200055 tickType:11 impliedVol:6.20718113304194E-02 delta:0.453659025057048 optPrice:2.60000000707805E-03 pvDividend:0 gamma: 1.79769313486232E+308 theta/vega/undPrice: -6.94073990132153E-04-4.83147343661196E-04-1.5791</t>
  </si>
  <si>
    <t>2014-11-26 15:59:9.822: RTWSControl  - tickOptionComputation - id:200055 tickType:13 impliedVol:0.061480837704309 delta:0.453252625237082 optPrice:2.57096719438233E-03 pvDividend:0 gamma: 1.79769313486232E+308 theta/vega/undPrice: -6.87352673046369E-04-4.83147372404495E-04-1.5791</t>
  </si>
  <si>
    <t>2014-11-26 15:59:9.870: RTWSControl  - tickOptionComputation - id:200049 tickType:13 impliedVol:6.91107035900433E-02 delta:0.703927635745635 optPrice:1.23615365054812E-02 pvDividend:0 gamma: 1.79769313486232E+308 theta/vega/undPrice: -3.29115703357219E-04-9.14265311879924E-04-1.5791</t>
  </si>
  <si>
    <t>2014-11-26 15:59:9.913: RTWSControl  - tickOptionComputation - id:200050 tickType:13 impliedVol:6.91107035900433E-02 delta:-0.296142419504231 optPrice:3.26211001496762E-03 pvDividend:0 gamma: 1.79769313486232E+308 theta/vega/undPrice: -3.291799194815E-04-9.14270867369726E-04-1.5791</t>
  </si>
  <si>
    <t>2014-11-26 15:59:9.957: RTWSControl  - tickOptionComputation - id:200051 tickType:13 impliedVol:7.14767262699212E-02 delta:-0.300958308695907 optPrice:3.40052327837597E-03 pvDividend:0 gamma: 1.79769313486232E+308 theta/vega/undPrice: -3.43575646576707E-04-8.61340633302854E-04-1.5791</t>
  </si>
  <si>
    <t>2014-11-26 15:59:9.998: RTWSControl  - tickOptionComputation - id:200052 tickType:10 impliedVol:1.79769313486232E+308 delta:1.79769313486232E+308 optPrice:1.79769313486232E+308 pvDividend:0 gamma: 1.79769313486232E+308 theta/vega/undPrice: 1.79769313486232E+308-1.79769313486232E+308-1.5791</t>
  </si>
  <si>
    <t>2014-11-26 15:59:10.34: RTWSControl  - tickOptionComputation - id:200052 tickType:11 impliedVol:1.79769313486232E+308 delta:1.79769313486232E+308 optPrice:1.79769313486232E+308 pvDividend:0 gamma: 1.79769313486232E+308 theta/vega/undPrice: 1.79769313486232E+308-1.79769313486232E+308-1.5791</t>
  </si>
  <si>
    <t>2014-11-26 15:59:10.76: RTWSControl  - tickOptionComputation - id:200052 tickType:13 impliedVol:0.124034942675131 delta:-0.507855063723364 optPrice:1.26996871721014E-02 pvDividend:0 gamma: 1.79769313486232E+308 theta/vega/undPrice: -6.82960585835817E-04-9.86719393422231E-04-1.5791</t>
  </si>
  <si>
    <t>2014-11-26 15:59:10.120: RTWSControl  - tickOptionComputation - id:200048 tickType:13 impliedVol:8.42441674211614E-02 delta:-2.91459253187093E-02 optPrice:2.41851732708682E-04 pvDividend:0 gamma: 1.79769313486232E+308 theta/vega/undPrice: -7.62912582874317E-05-1.90872123657608E-04-1.5791</t>
  </si>
  <si>
    <t>2014-11-26 15:59:10.164: RTWSControl  - tickOptionComputation - id:200053 tickType:13 impliedVol:6.38966389737998E-02 delta:9.76412108138981E-02 optPrice:7.40928781317235E-04 pvDividend:0 gamma: 1.79769313486232E+308 theta/vega/undPrice: -1.50698069922241E-04-4.56943273610994E-04-1.5791</t>
  </si>
  <si>
    <t>2014-11-26 15:59:10.204: RTWSControl  - tickOptionComputation - id:200054 tickType:13 impliedVol:0.068601973572429 delta:1.54769843111205E-03 optPrice:7.74753818321876E-06 pvDividend:0 gamma: 0.290430524174758 theta/vega/undPrice: -4.66764622344908E-06-2.20332135875372E-05-1.5791</t>
  </si>
  <si>
    <t>2014-11-26 15:59:10.244: RTWSControl  - tickOptionComputation - id:200054 tickType:10 impliedVol:1.79769313486232E+308 delta:1.79769313486232E+308 optPrice:1.79769313486232E+308 pvDividend:0 gamma: 1.79769313486232E+308 theta/vega/undPrice: 1.79769313486232E+308-1.79769313486232E+308-1.5791</t>
  </si>
  <si>
    <t>2014-11-26 15:59:10.747: DirectionIndicator - notify - price/longMA/ShortMA/prevDirection are 1.5792/1.57909440174579/1.57913617851856/1</t>
  </si>
  <si>
    <t>2014-11-26 15:59:10.748: Algorithm - handleTransition - currentHedgeShortfall is NOT ZERO and AUTOHEDGE IS NOT ENABLED!</t>
  </si>
  <si>
    <t>2014-11-26 15:59:11.333: DirectionIndicator - notify - price/longMA/ShortMA/prevDirection are 1.57925/1.57912269233746/1.57917411901237/1</t>
  </si>
  <si>
    <t>2014-11-26 15:59:11.337: Algorithm - handleTransition - currentHedgeShortfall is NOT ZERO and AUTOHEDGE IS NOT ENABLED!</t>
  </si>
  <si>
    <t>2014-11-26 15:59:11.586: DirectionIndicator - notify - price/longMA/ShortMA/prevDirection are 1.5792/1.57913674827611/1.57918274600825/1</t>
  </si>
  <si>
    <t>2014-11-26 15:59:11.586: Algorithm - handleTransition - currentHedgeShortfall is NOT ZERO and AUTOHEDGE IS NOT ENABLED!</t>
  </si>
  <si>
    <t>2014-11-26 15:59:11.909: RTWSControl  - tickOptionComputation - id:200041 tickType:11 impliedVol:8.96463156032374E-02 delta:0.903807199523276 optPrice:1.46000003442168E-02 pvDividend:0 gamma: 1.79769313486232E+308 theta/vega/undPrice: -4.30019969706807E-04-2.15126879444741E-04-1.5791</t>
  </si>
  <si>
    <t>2014-11-26 15:59:11.964: RTWSControl  - tickOptionComputation - id:200045 tickType:11 impliedVol:6.91086887209965E-02 delta:0.688453844760432 optPrice:5.79999992623925E-03 pvDividend:0 gamma: 1.79769313486232E+308 theta/vega/undPrice: -6.90233292154896E-04-4.45275602061974E-04-1.5791</t>
  </si>
  <si>
    <t>2014-11-26 15:59:12.27: RTWSControl  - tickOptionComputation - id:200047 tickType:10 impliedVol:6.01145023502697E-02 delta:-0.284930900313434 optPrice:1.30000000353903E-03 pvDividend:0 gamma: 1.79769313486232E+308 theta/vega/undPrice: -5.80902305488065E-04-4.45276670876124E-04-1.5791</t>
  </si>
  <si>
    <t>2014-11-26 15:59:12.80: RTWSControl  - tickOptionComputation - id:200055 tickType:11 impliedVol:0.064145571319787 delta:0.455219887084263 optPrice:2.70000007003546E-03 pvDividend:0 gamma: 1.79769313486232E+308 theta/vega/undPrice: -7.17659464624124E-04-4.83147240803552E-04-1.5791</t>
  </si>
  <si>
    <t>2014-11-26 15:59:12.121: RTWSControl  - tickOptionComputation - id:200049 tickType:10 impliedVol:6.95314104068962E-02 delta:0.702684411623644 optPrice:1.24000003561378E-02 pvDividend:0 gamma: 1.79769313486232E+308 theta/vega/undPrice: -3.31598597699881E-04-9.14265123734862E-04-1.5791</t>
  </si>
  <si>
    <t>2014-11-26 15:59:12.165: RTWSControl  - tickOptionComputation - id:200049 tickType:11 impliedVol:0.072812723335231 delta:0.694144453437471 optPrice:0.012699999846518 pvDividend:0 gamma: 1.79769313486232E+308 theta/vega/undPrice: -3.50963948810237E-04-9.14263627022511E-04-1.5791</t>
  </si>
  <si>
    <t>2014-11-26 15:59:12.212: RTWSControl  - tickOptionComputation - id:200052 tickType:10 impliedVol:1.79769313486232E+308 delta:1.79769313486232E+308 optPrice:1.79769313486232E+308 pvDividend:0 gamma: 1.79769313486232E+308 theta/vega/undPrice: 1.79769313486232E+308-1.79769313486232E+308-1.5791</t>
  </si>
  <si>
    <t>2014-11-26 15:59:12.244: RTWSControl  - tickOptionComputation - id:200052 tickType:11 impliedVol:1.79769313486232E+308 delta:1.79769313486232E+308 optPrice:1.79769313486232E+308 pvDividend:0 gamma: 1.79769313486232E+308 theta/vega/undPrice: 1.79769313486232E+308-1.79769313486232E+308-1.5791</t>
  </si>
  <si>
    <t>2014-11-26 15:59:12.284: RTWSControl  - tickOptionComputation - id:200054 tickType:10 impliedVol:1.79769313486232E+308 delta:1.79769313486232E+308 optPrice:1.79769313486232E+308 pvDividend:0 gamma: 1.79769313486232E+308 theta/vega/undPrice: 1.79769313486232E+308-1.79769313486232E+308-1.5791</t>
  </si>
  <si>
    <t>2014-11-26 15:59:12.302: DirectionIndicator - notify - price/longMA/ShortMA/prevDirection are 1.57925/1.57915733949863/1.5792051640055/1</t>
  </si>
  <si>
    <t>2014-11-26 15:59:12.302: Algorithm - handleTransition - currentHedgeShortfall is NOT ZERO and AUTOHEDGE IS NOT ENABLED!</t>
  </si>
  <si>
    <t>2014-11-26 15:59:12.487: DirectionIndicator - notify - price/longMA/ShortMA/prevDirection are 1.5792/1.57916509595343/1.57920344267033/1</t>
  </si>
  <si>
    <t>2014-11-26 15:59:12.488: Algorithm - handleTransition - currentHedgeShortfall is NOT ZERO and AUTOHEDGE IS NOT ENABLED!</t>
  </si>
  <si>
    <t>2014-11-26 15:59:12.653: RTWSControl  - tickOptionComputation - id:200042 tickType:13 impliedVol:8.41649677176832E-02 delta:-2.87863455781344E-02 optPrice:1.15556061945789E-04 pvDividend:0 gamma: 1.79769313486232E+308 theta/vega/undPrice: -1.55175567930004E-04-9.12173414028035E-05-1.5792</t>
  </si>
  <si>
    <t>2014-11-26 15:59:12.705: RTWSControl  - tickOptionComputation - id:200041 tickType:13 impliedVol:7.52392065851524E-02 delta:0.941260158417082 optPrice:1.44345829322998E-02 pvDividend:0 gamma: 1.79769313486232E+308 theta/vega/undPrice: -2.47941156131786E-04-1.60298201523065E-04-1.5792</t>
  </si>
  <si>
    <t>2014-11-26 15:59:12.748: RTWSControl  - tickOptionComputation - id:200043 tickType:13 impliedVol:7.52392065851524E-02 delta:-0.058852360442839 optPrice:2.34785717374863E-04 pvDividend:0 gamma: 1.79769313486232E+308 theta/vega/undPrice: -2.48034971574375E-04-1.6029846611779E-04-1.5792</t>
  </si>
  <si>
    <t>2014-11-26 15:59:12.790: RTWSControl  - tickOptionComputation - id:200044 tickType:13 impliedVol:6.84832645387559E-02 delta:0.868292893972809 optPrice:0.009755430048028 pvDividend:0 gamma: 1.79769313486232E+308 theta/vega/undPrice: -4.14386530774406E-04-2.97564386904451E-04-1.5792</t>
  </si>
  <si>
    <t>2014-11-26 15:59:12.833: RTWSControl  - tickOptionComputation - id:200046 tickType:13 impliedVol:6.84832645387559E-02 delta:-0.131819778176227 optPrice:5.55562076622732E-04 pvDividend:0 gamma: 1.79769313486232E+308 theta/vega/undPrice: -4.14447961150114E-04-2.97564674697314E-04-1.5792</t>
  </si>
  <si>
    <t>2014-11-26 15:59:12.873: RTWSControl  - tickOptionComputation - id:200045 tickType:13 impliedVol:6.38971415784795E-02 delta:0.707745547747662 optPrice:5.63444091421019E-03 pvDividend:0 gamma: 1.79769313486232E+308 theta/vega/undPrice: -6.23231082315851E-04-4.4528995976473E-04-1.5792</t>
  </si>
  <si>
    <t>2014-11-26 15:59:12.914: RTWSControl  - tickOptionComputation - id:200047 tickType:13 impliedVol:6.38971415784795E-02 delta:-0.292367545048928 optPrice:1.43450338792253E-03 pvDividend:0 gamma: 1.79769313486232E+308 theta/vega/undPrice: -6.23260637262077E-04-4.45290595864992E-04-1.5792</t>
  </si>
  <si>
    <t>2014-11-26 15:59:12.955: RTWSControl  - tickOptionComputation - id:200055 tickType:13 impliedVol:0.061480837704309 delta:0.458560201297391 optPrice:2.61544684635852E-03 pvDividend:0 gamma: 1.79769313486232E+308 theta/vega/undPrice: -6.88696022979782E-04-4.83162671775853E-04-1.5792</t>
  </si>
  <si>
    <t>2014-11-26 15:59:12.996: RTWSControl  - tickOptionComputation - id:200049 tickType:13 impliedVol:6.91107035900433E-02 delta:0.706038892891315 optPrice:1.24281423638997E-02 pvDividend:0 gamma: 1.79769313486232E+308 theta/vega/undPrice: -3.28263058059358E-04-9.14294272344244E-04-1.5792</t>
  </si>
  <si>
    <t>2014-11-26 15:59:13.39: RTWSControl  - tickOptionComputation - id:200050 tickType:13 impliedVol:6.91107035900433E-02 delta:-0.294031147844564 optPrice:3.22872175502549E-03 pvDividend:0 gamma: 1.79769313486232E+308 theta/vega/undPrice: -3.28327914737455E-04-9.14299827952459E-04-1.5792</t>
  </si>
  <si>
    <t>2014-11-26 15:59:13.78: RTWSControl  - tickOptionComputation - id:200051 tickType:13 impliedVol:7.14767262699212E-02 delta:-0.298992125593331 optPrice:3.37052951311317E-03 pvDividend:0 gamma: 1.79769313486232E+308 theta/vega/undPrice: -3.42579867016076E-04-8.58843891880486E-04-1.5792</t>
  </si>
  <si>
    <t>2014-11-26 15:59:13.122: RTWSControl  - tickOptionComputation - id:200052 tickType:13 impliedVol:0.124034942675131 delta:-0.506555132756996 optPrice:0.012648977222372 pvDividend:0 gamma: 1.79769313486232E+308 theta/vega/undPrice: -6.83044189861323E-04-9.86839684919193E-04-1.5792</t>
  </si>
  <si>
    <t>2014-11-26 15:59:13.161: RTWSControl  - tickOptionComputation - id:200048 tickType:13 impliedVol:8.42441674211614E-02 delta:-2.88061144655672E-02 optPrice:2.38654630747768E-04 pvDividend:0 gamma: 1.79769313486232E+308 theta/vega/undPrice: -7.55605175656439E-05-1.8821144609013E-04-1.5792</t>
  </si>
  <si>
    <t>2014-11-26 15:59:13.207: RTWSControl  - tickOptionComputation - id:200053 tickType:13 impliedVol:6.38966389737998E-02 delta:9.87592883813432E-02 optPrice:7.51150310698587E-04 pvDividend:0 gamma: 1.79769313486232E+308 theta/vega/undPrice: -1.51968996879661E-04-4.62976602437064E-04-1.5792</t>
  </si>
  <si>
    <t>2014-11-26 15:59:13.246: RTWSControl  - tickOptionComputation - id:200054 tickType:13 impliedVol:0.068601973572429 delta:1.57278781353421E-03 optPrice:7.87996277982361E-06 pvDividend:0 gamma: 0.294833178069166 theta/vega/undPrice: -4.73900342178179E-06-2.25761293293789E-05-1.5792</t>
  </si>
  <si>
    <t>2014-11-26 15:59:13.289: DirectionIndicator - notify - price/longMA/ShortMA/prevDirection are 1.57915/1.57916235123462/1.57918562844689/1</t>
  </si>
  <si>
    <t>2014-11-26 15:59:13.292: Algorithm - handleTransition - currentHedgeShortfall is NOT ZERO and AUTOHEDGE IS NOT ENABLED!</t>
  </si>
  <si>
    <t>2014-11-26 15:59:13.867: RTWSControl  - tickOptionComputation - id:200042 tickType:10 impliedVol:9.36741889329913E-02 delta:-4.26741182111712E-02 optPrice:1.99999994947575E-04 pvDividend:0 gamma: 1.79769313486232E+308 theta/vega/undPrice: -2.41157295226043E-04-1.43193183681488E-04-1.5792</t>
  </si>
  <si>
    <t>2014-11-26 15:59:13.915: RTWSControl  - tickOptionComputation - id:200042 tickType:11 impliedVol:9.36741889329913E-02 delta:-4.26741182111712E-02 optPrice:1.99999994947575E-04 pvDividend:0 gamma: 1.79769313486232E+308 theta/vega/undPrice: -2.41157295226043E-04-1.43193183681488E-04-1.5792</t>
  </si>
  <si>
    <t>2014-11-26 15:59:13.963: RTWSControl  - tickOptionComputation - id:200042 tickType:13 impliedVol:8.37396734036844E-02 delta:-2.80965764552423E-02 optPrice:1.11823520299105E-04 pvDividend:0 gamma: 1.79769313486232E+308 theta/vega/undPrice: -1.51344599835947E-04-8.88599536341049E-05-1.5792</t>
  </si>
  <si>
    <t>2014-11-26 15:59:14.7: RTWSControl  - tickOptionComputation - id:200041 tickType:10 impliedVol:3.63571872644562E-02 delta:0.999473247485993 optPrice:1.42000000923872E-02 pvDividend:0 gamma: 0.406316818880321 theta/vega/undPrice: -1.74137608838827E-06-8.50679252542216E-06-1.5792</t>
  </si>
  <si>
    <t>2014-11-26 15:59:14.51: RTWSControl  - tickOptionComputation - id:200041 tickType:11 impliedVol:0.079800312594907 delta:0.930666861895573 optPrice:1.44999995827675E-02 pvDividend:0 gamma: 1.79769313486232E+308 theta/vega/undPrice: -3.00299219601127E-04-1.93006405655637E-04-1.5792</t>
  </si>
  <si>
    <t>2014-11-26 15:59:14.121: RTWSControl  - tickOptionComputation - id:200041 tickType:13 impliedVol:0.074774302474907 delta:0.942399830532406 optPrice:1.44279151464379E-02 pvDividend:0 gamma: 1.79769313486232E+308 theta/vega/undPrice: -2.42604404604778E-04-1.56964320105278E-04-1.5792</t>
  </si>
  <si>
    <t>2014-11-26 15:59:14.165: RTWSControl  - tickOptionComputation - id:200043 tickType:13 impliedVol:0.074774302474907 delta:-5.77126874976474E-02 optPrice:2.28117926940834E-04 pvDividend:0 gamma: 1.79769313486232E+308 theta/vega/undPrice: -2.42698214061281E-04-1.56964581166661E-04-1.5792</t>
  </si>
  <si>
    <t>2014-11-26 15:59:14.211: RTWSControl  - tickOptionComputation - id:200044 tickType:13 impliedVol:6.80330633255011E-02 delta:0.870080452938682 optPrice:9.74203365513106E-03 pvDividend:0 gamma: 1.79769313486232E+308 theta/vega/undPrice: -4.08205551644815E-04-2.97564402413462E-04-1.5792</t>
  </si>
  <si>
    <t>2014-11-26 15:59:14.251: RTWSControl  - tickOptionComputation - id:200043 tickType:10 impliedVol:0.063804857853243 delta:-3.23725592829952E-02 optPrice:9.99999974737875E-05 pvDividend:0 gamma: 1.79769313486232E+308 theta/vega/undPrice: -1.29717456683366E-04-1.14182686154141E-04-1.5792</t>
  </si>
  <si>
    <t>2014-11-26 15:59:14.294: RTWSControl  - tickOptionComputation - id:200043 tickType:11 impliedVol:7.97796793550629E-02 delta:-6.92745561579911E-02 optPrice:3.00000014249235E-04 pvDividend:0 gamma: 1.79769313486232E+308 theta/vega/undPrice: -3.00156239589325E-04-1.92858741544852E-04-1.5792</t>
  </si>
  <si>
    <t>2014-11-26 15:59:14.339: RTWSControl  - tickOptionComputation - id:200046 tickType:13 impliedVol:6.80330633255011E-02 delta:-0.130032217349577 optPrice:5.42165670771598E-04 pvDividend:0 gamma: 1.79769313486232E+308 theta/vega/undPrice: -4.08266970285858E-04-2.97564690196521E-04-1.5792</t>
  </si>
  <si>
    <t>2014-11-26 15:59:14.382: RTWSControl  - tickOptionComputation - id:200045 tickType:13 impliedVol:6.35159559554381E-02 delta:0.708928109485707 optPrice:5.61746709184574E-03 pvDividend:0 gamma: 1.79769313486232E+308 theta/vega/undPrice: -6.18596122397158E-04-4.45289978000302E-04-1.5792</t>
  </si>
  <si>
    <t>2014-11-26 15:59:14.427: RTWSControl  - tickOptionComputation - id:200047 tickType:13 impliedVol:6.35159559554381E-02 delta:-0.291184981445544 optPrice:1.41752954131041E-03 pvDividend:0 gamma: 1.79769313486232E+308 theta/vega/undPrice: -6.1862566180163E-04-4.45290614102222E-04-1.5792</t>
  </si>
  <si>
    <t>2014-11-26 15:59:14.491: RTWSControl  - tickOptionComputation - id:200055 tickType:13 impliedVol:6.12229803647324E-02 delta:0.458377463679727 optPrice:2.60298813601734E-03 pvDividend:0 gamma: 1.79769313486232E+308 theta/vega/undPrice: -6.85763242321668E-04-4.83162684220661E-04-1.5792</t>
  </si>
  <si>
    <t>2014-11-26 15:59:14.536: RTWSControl  - tickOptionComputation - id:200044 tickType:10 impliedVol:6.18277859964533E-02 delta:0.890869597521392 optPrice:9.60000045597553E-03 pvDividend:0 gamma: 1.79769313486232E+308 theta/vega/undPrice: -3.25819470082755E-04-2.54950680342831E-04-1.5792</t>
  </si>
  <si>
    <t>2014-11-26 15:59:14.581: RTWSControl  - tickOptionComputation - id:200044 tickType:11 impliedVol:0.073361007523474 delta:0.850227873721778 optPrice:9.89999994635582E-03 pvDividend:0 gamma: 1.79769313486232E+308 theta/vega/undPrice: -4.81354831640645E-04-2.97564218634925E-04-1.5792</t>
  </si>
  <si>
    <t>2014-11-26 15:59:14.626: RTWSControl  - tickOptionComputation - id:200049 tickType:13 impliedVol:6.90909832422033E-02 delta:0.706093953681637 optPrice:1.24263393394536E-02 pvDividend:0 gamma: 1.79769313486232E+308 theta/vega/undPrice: -3.2814667034685E-04-9.1429428116286E-04-1.5792</t>
  </si>
  <si>
    <t>2014-11-26 15:59:14.669: RTWSControl  - tickOptionComputation - id:200050 tickType:13 impliedVol:6.90909832422033E-02 delta:-0.293976086676541 optPrice:3.22691871962521E-03 pvDividend:0 gamma: 1.79769313486232E+308 theta/vega/undPrice: -3.28211525329225E-04-9.14299836767793E-04-1.5792</t>
  </si>
  <si>
    <t>2014-11-26 15:59:14.708: RTWSControl  - tickOptionComputation - id:200051 tickType:13 impliedVol:7.18196141971639E-02 delta:-0.299848183949169 optPrice:3.39999746058558E-03 pvDividend:0 gamma: 1.79769313486232E+308 theta/vega/undPrice: -3.44669796522474E-04-8.59958080481735E-04-1.5792</t>
  </si>
  <si>
    <t>2014-11-26 15:59:14.748: RTWSControl  - tickOptionComputation - id:200052 tickType:13 impliedVol:0.12455209190643 delta:-0.506495804096517 optPrice:1.27000119274035E-02 pvDividend:0 gamma: 1.79769313486232E+308 theta/vega/undPrice: -6.85893734260502E-04-9.86842073095625E-04-1.5792</t>
  </si>
  <si>
    <t>2014-11-26 15:59:14.790: RTWSControl  - tickOptionComputation - id:200048 tickType:13 impliedVol:0.084193323702852 delta:-2.87249270383168E-02 optPrice:2.37742864859678E-04 pvDividend:0 gamma: 1.79769313486232E+308 theta/vega/undPrice: -7.53392808534524E-05-1.8763560120124E-04-1.5792</t>
  </si>
  <si>
    <t>2014-11-26 15:59:14.836: RTWSControl  - tickOptionComputation - id:200053 tickType:13 impliedVol:6.38134506824866E-02 delta:9.84569684994852E-02 optPrice:7.47428876657499E-04 pvDividend:0 gamma: 1.79769313486232E+308 theta/vega/undPrice: -1.51430525658914E-04-4.61558934526833E-04-1.5792</t>
  </si>
  <si>
    <t>2014-11-26 15:59:14.874: RTWSControl  - tickOptionComputation - id:200054 tickType:13 impliedVol:6.83607260237089E-02 delta:1.52842365523525E-03 optPrice:7.61984715373192E-06 pvDividend:0 gamma: 0.288029102017949 theta/vega/undPrice: -4.59713399972686E-06-2.18901879051641E-05-1.5792</t>
  </si>
  <si>
    <t>2014-11-26 15:59:14.916: RTWSControl  - tickOptionComputation - id:200046 tickType:10 impliedVol:6.64624993703428E-02 delta:-0.124228128411662 optPrice:5.00000023748726E-04 pvDividend:0 gamma: 1.79769313486232E+308 theta/vega/undPrice: -3.87005015875285E-04-2.92995922354201E-04-1.5792</t>
  </si>
  <si>
    <t>2014-11-26 15:59:14.960: RTWSControl  - tickOptionComputation - id:200046 tickType:11 impliedVol:6.99766518207065E-02 delta:-0.137566916872571 optPrice:6.00000028498471E-04 pvDividend:0 gamma: 1.79769313486232E+308 theta/vega/undPrice: -4.3495126269305E-04-2.97564623259251E-04-1.5792</t>
  </si>
  <si>
    <t>2014-11-26 15:59:15.6: RTWSControl  - tickOptionComputation - id:200045 tickType:10 impliedVol:6.08456322339402E-02 delta:0.717414188919807 optPrice:5.49999997019768E-03 pvDividend:0 gamma: 1.79769313486232E+308 theta/vega/undPrice: -5.85864246390957E-04-4.43650169693056E-04-1.5792</t>
  </si>
  <si>
    <t>2014-11-26 15:59:15.49: RTWSControl  - tickOptionComputation - id:200045 tickType:11 impliedVol:6.53694216536504E-02 delta:0.703219243187481 optPrice:5.70000009611249E-03 pvDividend:0 gamma: 1.79769313486232E+308 theta/vega/undPrice: -6.41133010105667E-04-4.45289888566656E-04-1.5792</t>
  </si>
  <si>
    <t>2014-11-26 15:59:15.115: RTWSControl  - tickOptionComputation - id:200047 tickType:10 impliedVol:0.063117677522875 delta:-0.289897410628176 optPrice:1.39999995008111E-03 pvDividend:0 gamma: 1.79769313486232E+308 theta/vega/undPrice: -6.13782848132174E-04-4.45290633069091E-04-1.5792</t>
  </si>
  <si>
    <t>2014-11-26 15:59:15.164: RTWSControl  - tickOptionComputation - id:200047 tickType:11 impliedVol:6.53680146698444E-02 delta:-0.29676328488906 optPrice:1.50000001303852E-03 pvDividend:0 gamma: 1.79769313486232E+308 theta/vega/undPrice: -6.41145517054565E-04-4.45290524741259E-04-1.5792</t>
  </si>
  <si>
    <t>2014-11-26 15:59:15.211: RTWSControl  - tickOptionComputation - id:200055 tickType:10 impliedVol:5.90905297395591E-02 delta:0.456748686494287 optPrice:2.49999994412065E-03 pvDividend:0 gamma: 1.79769313486232E+308 theta/vega/undPrice: -6.61509474980196E-04-4.83162785298947E-04-1.5792</t>
  </si>
  <si>
    <t>2014-11-26 15:59:15.249: RTWSControl  - tickOptionComputation - id:200055 tickType:11 impliedVol:6.11543204548567E-02 delta:0.458270612997458 optPrice:2.60000000707805E-03 pvDividend:0 gamma: 1.79769313486232E+308 theta/vega/undPrice: -6.84982328097487E-04-4.83162687525066E-04-1.5792</t>
  </si>
  <si>
    <t>2014-11-26 15:59:15.295: RTWSControl  - tickOptionComputation - id:200049 tickType:10 impliedVol:6.77091590321901E-02 delta:0.709943051362675 optPrice:1.22999995946884E-02 pvDividend:0 gamma: 1.79769313486232E+308 theta/vega/undPrice: -3.19991261923709E-04-9.1429489435047E-04-1.5792</t>
  </si>
  <si>
    <t>2014-11-26 15:59:15.340: RTWSControl  - tickOptionComputation - id:200049 tickType:11 impliedVol:7.09903754136794E-02 delta:0.700843968479231 optPrice:1.26000000163913E-02 pvDividend:0 gamma: 1.79769313486232E+308 theta/vega/undPrice: -3.3935669893591E-04-9.14293423275181E-04-1.5792</t>
  </si>
  <si>
    <t>2014-11-26 15:59:15.407: RTWSControl  - tickOptionComputation - id:200050 tickType:10 impliedVol:6.87965641385922E-02 delta:-0.293113188639304 optPrice:3.1999999191612E-03 pvDividend:0 gamma: 1.79769313486232E+308 theta/vega/undPrice: -3.26473864722304E-04-9.14299968169087E-04-1.5792</t>
  </si>
  <si>
    <t>2014-11-26 15:59:15.453: RTWSControl  - tickOptionComputation - id:200050 tickType:11 impliedVol:7.09840278583463E-02 delta:-0.299082903390077 optPrice:3.40000004507601E-03 pvDividend:0 gamma: 1.79769313486232E+308 theta/vega/undPrice: -3.39384254091338E-04-9.14298981912715E-04-1.5792</t>
  </si>
  <si>
    <t>2014-11-26 15:59:15.501: RTWSControl  - tickOptionComputation - id:200051 tickType:10 impliedVol:6.83048520744148E-02 delta:-0.290683123164237 optPrice:3.10000008903444E-03 pvDividend:0 gamma: 1.79769313486232E+308 theta/vega/undPrice: -3.23170956798636E-04-8.47807221555805E-04-1.5792</t>
  </si>
  <si>
    <t>2014-11-26 15:59:15.540: RTWSControl  - tickOptionComputation - id:200051 tickType:11 impliedVol:7.06480262679538E-02 delta:-0.296855697519235 optPrice:3.29999998211861E-03 pvDividend:0 gamma: 1.79769313486232E+308 theta/vega/undPrice: -3.37522390394626E-04-8.56089996682776E-04-1.5792</t>
  </si>
  <si>
    <t>2014-11-26 15:59:15.586: RTWSControl  - tickOptionComputation - id:200052 tickType:10 impliedVol:1.79769313486232E+308 delta:1.79769313486232E+308 optPrice:1.79769313486232E+308 pvDividend:0 gamma: 1.79769313486232E+308 theta/vega/undPrice: 1.79769313486232E+308-1.79769313486232E+308-1.5792</t>
  </si>
  <si>
    <t>2014-11-26 15:59:15.621: RTWSControl  - tickOptionComputation - id:200052 tickType:11 impliedVol:1.79769313486232E+308 delta:1.79769313486232E+308 optPrice:1.79769313486232E+308 pvDividend:0 gamma: 1.79769313486232E+308 theta/vega/undPrice: 1.79769313486232E+308-1.79769313486232E+308-1.5792</t>
  </si>
  <si>
    <t>2014-11-26 15:59:15.664: RTWSControl  - tickOptionComputation - id:200048 tickType:10 impliedVol:8.21170087757897E-02 delta:-2.53200675017448E-02 optPrice:1.99999994947575E-04 pvDividend:0 gamma: 1.79769313486232E+308 theta/vega/undPrice: -6.63045859489326E-05-1.79326865725691E-04-1.5792</t>
  </si>
  <si>
    <t>2014-11-26 15:59:15.710: RTWSControl  - tickOptionComputation - id:200048 tickType:11 impliedVol:8.76580377590711E-02 delta:-3.40368563439817E-02 optPrice:3.00000014249235E-04 pvDividend:0 gamma: 1.79769313486232E+308 theta/vega/undPrice: -9.04153009955714E-05-2.26876135563713E-04-1.5792</t>
  </si>
  <si>
    <t>2014-11-26 15:59:15.755: RTWSControl  - tickOptionComputation - id:200053 tickType:10 impliedVol:6.27416269289514E-02 delta:9.44784125500616E-02 optPrice:6.99999975040555E-04 pvDividend:0 gamma: 1.79769313486232E+308 theta/vega/undPrice: -1.44492692571413E-04-4.47349991398409E-04-1.5792</t>
  </si>
  <si>
    <t>2014-11-26 15:59:15.796: RTWSControl  - tickOptionComputation - id:200053 tickType:11 impliedVol:6.49879736590762E-02 delta:0.102641000245034 optPrice:7.999999797903E-04 pvDividend:0 gamma: 1.79769313486232E+308 theta/vega/undPrice: -1.59033116929206E-04-4.81574765515522E-04-1.5792</t>
  </si>
  <si>
    <t>2014-11-26 15:59:15.863: RTWSControl  - tickOptionComputation - id:200054 tickType:10 impliedVol:1.79769313486232E+308 delta:1.79769313486232E+308 optPrice:1.79769313486232E+308 pvDividend:0 gamma: 1.79769313486232E+308 theta/vega/undPrice: 1.79769313486232E+308-1.79769313486232E+308-1.5792</t>
  </si>
  <si>
    <t>2014-11-26 15:59:15.881: RTWSControl  - tickOptionComputation - id:200054 tickType:11 impliedVol:8.99762453639597E-02 delta:1.26035502900295E-02 optPrice:9.99999974737875E-05 pvDividend:0 gamma: 1.79769313486232E+308 theta/vega/undPrice: -4.00052166083288E-05-1.03776321956673E-04-1.5792</t>
  </si>
  <si>
    <t>2014-11-26 15:59:16.122: RTWSControl  - tickOptionComputation - id:200052 tickType:10 impliedVol:1.79769313486232E+308 delta:1.79769313486232E+308 optPrice:1.79769313486232E+308 pvDividend:0 gamma: 1.79769313486232E+308 theta/vega/undPrice: 1.79769313486232E+308-1.79769313486232E+308-1.5792</t>
  </si>
  <si>
    <t>2014-11-26 15:59:16.163: RTWSControl  - tickOptionComputation - id:200052 tickType:11 impliedVol:1.79769313486232E+308 delta:1.79769313486232E+308 optPrice:1.79769313486232E+308 pvDividend:0 gamma: 1.79769313486232E+308 theta/vega/undPrice: 1.79769313486232E+308-1.79769313486232E+308-1.5792</t>
  </si>
  <si>
    <t>2014-11-26 15:59:16.205: RTWSControl  - tickOptionComputation - id:200054 tickType:10 impliedVol:1.79769313486232E+308 delta:1.79769313486232E+308 optPrice:1.79769313486232E+308 pvDividend:0 gamma: 1.79769313486232E+308 theta/vega/undPrice: 1.79769313486232E+308-1.79769313486232E+308-1.5792</t>
  </si>
  <si>
    <t>2014-11-26 15:59:16.410: RTWSControl  - tickOptionComputation - id:200052 tickType:10 impliedVol:1.79769313486232E+308 delta:1.79769313486232E+308 optPrice:1.79769313486232E+308 pvDividend:0 gamma: 1.79769313486232E+308 theta/vega/undPrice: 1.79769313486232E+308-1.79769313486232E+308-1.5792</t>
  </si>
  <si>
    <t>2014-11-26 15:59:16.451: RTWSControl  - tickOptionComputation - id:200052 tickType:11 impliedVol:1.79769313486232E+308 delta:1.79769313486232E+308 optPrice:1.79769313486232E+308 pvDividend:0 gamma: 1.79769313486232E+308 theta/vega/undPrice: 1.79769313486232E+308-1.79769313486232E+308-1.5792</t>
  </si>
  <si>
    <t>2014-11-26 15:59:16.492: RTWSControl  - tickOptionComputation - id:200054 tickType:10 impliedVol:1.79769313486232E+308 delta:1.79769313486232E+308 optPrice:1.79769313486232E+308 pvDividend:0 gamma: 1.79769313486232E+308 theta/vega/undPrice: 1.79769313486232E+308-1.79769313486232E+308-1.5792</t>
  </si>
  <si>
    <t>2014-11-26 15:59:16.749: RTWSControl  - tickOptionComputation - id:200052 tickType:10 impliedVol:1.79769313486232E+308 delta:1.79769313486232E+308 optPrice:1.79769313486232E+308 pvDividend:0 gamma: 1.79769313486232E+308 theta/vega/undPrice: 1.79769313486232E+308-1.79769313486232E+308-1.5792</t>
  </si>
  <si>
    <t>2014-11-26 15:59:16.790: RTWSControl  - tickOptionComputation - id:200052 tickType:11 impliedVol:1.79769313486232E+308 delta:1.79769313486232E+308 optPrice:1.79769313486232E+308 pvDividend:0 gamma: 1.79769313486232E+308 theta/vega/undPrice: 1.79769313486232E+308-1.79769313486232E+308-1.5792</t>
  </si>
  <si>
    <t>2014-11-26 15:59:16.830: RTWSControl  - tickOptionComputation - id:200054 tickType:10 impliedVol:1.79769313486232E+308 delta:1.79769313486232E+308 optPrice:1.79769313486232E+308 pvDividend:0 gamma: 1.79769313486232E+308 theta/vega/undPrice: 1.79769313486232E+308-1.79769313486232E+308-1.5792</t>
  </si>
  <si>
    <t>2014-11-26 15:59:17.74: RTWSControl  - tickOptionComputation - id:200052 tickType:10 impliedVol:1.79769313486232E+308 delta:1.79769313486232E+308 optPrice:1.79769313486232E+308 pvDividend:0 gamma: 1.79769313486232E+308 theta/vega/undPrice: 1.79769313486232E+308-1.79769313486232E+308-1.5792</t>
  </si>
  <si>
    <t>2014-11-26 15:59:17.117: RTWSControl  - tickOptionComputation - id:200052 tickType:11 impliedVol:1.79769313486232E+308 delta:1.79769313486232E+308 optPrice:1.79769313486232E+308 pvDividend:0 gamma: 1.79769313486232E+308 theta/vega/undPrice: 1.79769313486232E+308-1.79769313486232E+308-1.5792</t>
  </si>
  <si>
    <t>2014-11-26 15:59:17.159: RTWSControl  - tickOptionComputation - id:200054 tickType:10 impliedVol:1.79769313486232E+308 delta:1.79769313486232E+308 optPrice:1.79769313486232E+308 pvDividend:0 gamma: 1.79769313486232E+308 theta/vega/undPrice: 1.79769313486232E+308-1.79769313486232E+308-1.5792</t>
  </si>
  <si>
    <t>2014-11-26 15:59:18.508: Algorithm - FindNextStrikes - price is 1.57915 nextStrikeUp/Down 1.58/1.575</t>
  </si>
  <si>
    <t>2014-11-26 15:59:18.508: Algorithm - getPortfolioForwardDelta - required deltas is 4 currentHedgePosition is 6</t>
  </si>
  <si>
    <t>2014-11-26 15:59:18.508: Algorithm - getHedgeShortfall - required deltas is 4 price is 1.57925 currentHedgePositionDeltas is 6</t>
  </si>
  <si>
    <t>2014-11-26 15:59:18.512: Algorithm - processTransitionPoint - nextUpper/LowerStrikes are 1.58/1.575 requiredDeltas/currentPosition/currentHedgeShortfall/direction/transitionPrice are 4/6/-2/1/1.57925</t>
  </si>
  <si>
    <t>2014-11-26 15:59:18.513: TransitionLogger - processTransitionpoint - checking transition - currentHedgeShortfall is -2</t>
  </si>
  <si>
    <t>2014-11-26 15:59:18.513: Algorithm - handleTransition - currentHedgeShortfall is NOT ZERO and AUTOHEDGE IS NOT ENABLED!</t>
  </si>
  <si>
    <t>2014-11-26 15:59:18.514: Algorithm - updatePortfolio - haveAllDetails is True</t>
  </si>
  <si>
    <t>2014-11-26 15:59:18.556: Algorithm - FindNextStrikes - price is 1.57915 nextStrikeUp/Down 1.58/1.575</t>
  </si>
  <si>
    <t>2014-11-26 15:59:18.556: Algorithm - getPortfolioForwardDelta - required deltas is 4 currentHedgePosition is 6</t>
  </si>
  <si>
    <t>2014-11-26 15:59:18.557: Algorithm - getHedgeShortfall - required deltas is 4 price is 1.57925 currentHedgePositionDeltas is 6</t>
  </si>
  <si>
    <t>2014-11-26 15:59:18.557: Algorithm - processTransitionPoint - nextUpper/LowerStrikes are 1.58/1.575 requiredDeltas/currentPosition/currentHedgeShortfall/direction/transitionPrice are 4/6/-2/1/1.57925</t>
  </si>
  <si>
    <t>2014-11-26 15:59:18.557: TransitionLogger - processTransitionpoint - checking transition - currentHedgeShortfall is -2</t>
  </si>
  <si>
    <t>2014-11-26 15:59:18.557: Algorithm - handleTransition - currentHedgeShortfall is NOT ZERO and AUTOHEDGE IS NOT ENABLED!</t>
  </si>
  <si>
    <t>2014-11-26 15:59:18.558: Algorithm - updatePortfolio - haveAllDetails is True</t>
  </si>
  <si>
    <t>2014-11-26 15:59:18.622: Algorithm - FindNextStrikes - price is 1.57915 nextStrikeUp/Down 1.58/1.575</t>
  </si>
  <si>
    <t>2014-11-26 15:59:18.622: Algorithm - getPortfolioForwardDelta - required deltas is 4 currentHedgePosition is 6</t>
  </si>
  <si>
    <t>2014-11-26 15:59:18.623: Algorithm - getHedgeShortfall - required deltas is 4 price is 1.57925 currentHedgePositionDeltas is 6</t>
  </si>
  <si>
    <t>2014-11-26 15:59:18.623: Algorithm - processTransitionPoint - nextUpper/LowerStrikes are 1.58/1.575 requiredDeltas/currentPosition/currentHedgeShortfall/direction/transitionPrice are 4/6/-2/1/1.57925</t>
  </si>
  <si>
    <t>2014-11-26 15:59:18.626: TransitionLogger - processTransitionpoint - checking transition - currentHedgeShortfall is -2</t>
  </si>
  <si>
    <t>2014-11-26 15:59:18.627: Algorithm - handleTransition - currentHedgeShortfall is NOT ZERO and AUTOHEDGE IS NOT ENABLED!</t>
  </si>
  <si>
    <t>2014-11-26 15:59:18.627: Algorithm - updatePortfolio - haveAllDetails is True</t>
  </si>
  <si>
    <t>2014-11-26 15:59:18.670: Algorithm - FindNextStrikes - price is 1.57915 nextStrikeUp/Down 1.58/1.575</t>
  </si>
  <si>
    <t>2014-11-26 15:59:18.670: Algorithm - getPortfolioForwardDelta - required deltas is 4 currentHedgePosition is 6</t>
  </si>
  <si>
    <t>2014-11-26 15:59:18.670: Algorithm - getHedgeShortfall - required deltas is 4 price is 1.57925 currentHedgePositionDeltas is 6</t>
  </si>
  <si>
    <t>2014-11-26 15:59:18.671: Algorithm - processTransitionPoint - nextUpper/LowerStrikes are 1.58/1.575 requiredDeltas/currentPosition/currentHedgeShortfall/direction/transitionPrice are 4/6/-2/1/1.57925</t>
  </si>
  <si>
    <t>2014-11-26 15:59:18.671: TransitionLogger - processTransitionpoint - checking transition - currentHedgeShortfall is -2</t>
  </si>
  <si>
    <t>2014-11-26 15:59:18.671: Algorithm - handleTransition - currentHedgeShortfall is NOT ZERO and AUTOHEDGE IS NOT ENABLED!</t>
  </si>
  <si>
    <t>2014-11-26 15:59:18.672: Algorithm - updatePortfolio - haveAllDetails is True</t>
  </si>
  <si>
    <t>2014-11-26 15:59:18.715: Algorithm - FindNextStrikes - price is 1.57915 nextStrikeUp/Down 1.58/1.575</t>
  </si>
  <si>
    <t>2014-11-26 15:59:18.715: Algorithm - getPortfolioForwardDelta - required deltas is 4 currentHedgePosition is 6</t>
  </si>
  <si>
    <t>2014-11-26 15:59:18.715: Algorithm - getHedgeShortfall - required deltas is 4 price is 1.57925 currentHedgePositionDeltas is 6</t>
  </si>
  <si>
    <t>2014-11-26 15:59:18.716: Algorithm - processTransitionPoint - nextUpper/LowerStrikes are 1.58/1.575 requiredDeltas/currentPosition/currentHedgeShortfall/direction/transitionPrice are 4/6/-2/1/1.57925</t>
  </si>
  <si>
    <t>2014-11-26 15:59:18.716: TransitionLogger - processTransitionpoint - checking transition - currentHedgeShortfall is -2</t>
  </si>
  <si>
    <t>2014-11-26 15:59:18.720: Algorithm - handleTransition - currentHedgeShortfall is NOT ZERO and AUTOHEDGE IS NOT ENABLED!</t>
  </si>
  <si>
    <t>2014-11-26 15:59:18.721: Algorithm - updatePortfolio - haveAllDetails is True</t>
  </si>
  <si>
    <t>2014-11-26 15:59:18.757: Algorithm - FindNextStrikes - price is 1.57915 nextStrikeUp/Down 1.58/1.575</t>
  </si>
  <si>
    <t>2014-11-26 15:59:18.757: Algorithm - getPortfolioForwardDelta - required deltas is 4 currentHedgePosition is 6</t>
  </si>
  <si>
    <t>2014-11-26 15:59:18.757: Algorithm - getHedgeShortfall - required deltas is 4 price is 1.57925 currentHedgePositionDeltas is 6</t>
  </si>
  <si>
    <t>2014-11-26 15:59:18.757: Algorithm - processTransitionPoint - nextUpper/LowerStrikes are 1.58/1.575 requiredDeltas/currentPosition/currentHedgeShortfall/direction/transitionPrice are 4/6/-2/1/1.57925</t>
  </si>
  <si>
    <t>2014-11-26 15:59:18.758: TransitionLogger - processTransitionpoint - checking transition - currentHedgeShortfall is -2</t>
  </si>
  <si>
    <t>2014-11-26 15:59:18.758: Algorithm - handleTransition - currentHedgeShortfall is NOT ZERO and AUTOHEDGE IS NOT ENABLED!</t>
  </si>
  <si>
    <t>2014-11-26 15:59:18.759: Algorithm - updatePortfolio - haveAllDetails is True</t>
  </si>
  <si>
    <t>2014-11-26 15:59:18.794: Algorithm - FindNextStrikes - price is 1.57915 nextStrikeUp/Down 1.58/1.575</t>
  </si>
  <si>
    <t>2014-11-26 15:59:18.794: Algorithm - getPortfolioForwardDelta - required deltas is 4 currentHedgePosition is 6</t>
  </si>
  <si>
    <t>2014-11-26 15:59:18.794: Algorithm - getHedgeShortfall - required deltas is 4 price is 1.57925 currentHedgePositionDeltas is 6</t>
  </si>
  <si>
    <t>2014-11-26 15:59:18.794: Algorithm - processTransitionPoint - nextUpper/LowerStrikes are 1.58/1.575 requiredDeltas/currentPosition/currentHedgeShortfall/direction/transitionPrice are 4/6/-2/1/1.57925</t>
  </si>
  <si>
    <t>2014-11-26 15:59:18.795: TransitionLogger - processTransitionpoint - checking transition - currentHedgeShortfall is -2</t>
  </si>
  <si>
    <t>2014-11-26 15:59:18.795: Algorithm - handleTransition - currentHedgeShortfall is NOT ZERO and AUTOHEDGE IS NOT ENABLED!</t>
  </si>
  <si>
    <t>2014-11-26 15:59:18.799: Algorithm - updatePortfolio - haveAllDetails is True</t>
  </si>
  <si>
    <t>2014-11-26 15:59:18.846: Algorithm - FindNextStrikes - price is 1.57915 nextStrikeUp/Down 1.58/1.575</t>
  </si>
  <si>
    <t>2014-11-26 15:59:18.846: Algorithm - getPortfolioForwardDelta - required deltas is 4 currentHedgePosition is 6</t>
  </si>
  <si>
    <t>2014-11-26 15:59:18.847: Algorithm - getHedgeShortfall - required deltas is 4 price is 1.57925 currentHedgePositionDeltas is 6</t>
  </si>
  <si>
    <t>2014-11-26 15:59:18.847: Algorithm - processTransitionPoint - nextUpper/LowerStrikes are 1.58/1.575 requiredDeltas/currentPosition/currentHedgeShortfall/direction/transitionPrice are 4/6/-2/1/1.57925</t>
  </si>
  <si>
    <t>2014-11-26 15:59:18.847: TransitionLogger - processTransitionpoint - checking transition - currentHedgeShortfall is -2</t>
  </si>
  <si>
    <t>2014-11-26 15:59:18.847: Algorithm - handleTransition - currentHedgeShortfall is NOT ZERO and AUTOHEDGE IS NOT ENABLED!</t>
  </si>
  <si>
    <t>2014-11-26 15:59:18.848: Algorithm - updatePortfolio - haveAllDetails is True</t>
  </si>
  <si>
    <t>2014-11-26 15:59:18.905: Algorithm - FindNextStrikes - price is 1.57915 nextStrikeUp/Down 1.58/1.575</t>
  </si>
  <si>
    <t>2014-11-26 15:59:18.906: Algorithm - getPortfolioForwardDelta - required deltas is 4 currentHedgePosition is 6</t>
  </si>
  <si>
    <t>2014-11-26 15:59:18.906: Algorithm - getHedgeShortfall - required deltas is 4 price is 1.57925 currentHedgePositionDeltas is 6</t>
  </si>
  <si>
    <t>2014-11-26 15:59:18.906: Algorithm - processTransitionPoint - nextUpper/LowerStrikes are 1.58/1.575 requiredDeltas/currentPosition/currentHedgeShortfall/direction/transitionPrice are 4/6/-2/1/1.57925</t>
  </si>
  <si>
    <t>2014-11-26 15:59:18.906: TransitionLogger - processTransitionpoint - checking transition - currentHedgeShortfall is -2</t>
  </si>
  <si>
    <t>2014-11-26 15:59:18.907: Algorithm - handleTransition - currentHedgeShortfall is NOT ZERO and AUTOHEDGE IS NOT ENABLED!</t>
  </si>
  <si>
    <t>2014-11-26 15:59:18.907: Algorithm - updatePortfolio - haveAllDetails is True</t>
  </si>
  <si>
    <t>2014-11-26 15:59:18.952: Algorithm - FindNextStrikes - price is 1.57915 nextStrikeUp/Down 1.58/1.575</t>
  </si>
  <si>
    <t>2014-11-26 15:59:18.956: Algorithm - getPortfolioForwardDelta - required deltas is 4 currentHedgePosition is 6</t>
  </si>
  <si>
    <t>2014-11-26 15:59:18.956: Algorithm - getHedgeShortfall - required deltas is 4 price is 1.57925 currentHedgePositionDeltas is 6</t>
  </si>
  <si>
    <t>2014-11-26 15:59:18.956: Algorithm - processTransitionPoint - nextUpper/LowerStrikes are 1.58/1.575 requiredDeltas/currentPosition/currentHedgeShortfall/direction/transitionPrice are 4/6/-2/1/1.57925</t>
  </si>
  <si>
    <t>2014-11-26 15:59:18.956: TransitionLogger - processTransitionpoint - checking transition - currentHedgeShortfall is -2</t>
  </si>
  <si>
    <t>2014-11-26 15:59:18.957: Algorithm - handleTransition - currentHedgeShortfall is NOT ZERO and AUTOHEDGE IS NOT ENABLED!</t>
  </si>
  <si>
    <t>2014-11-26 15:59:18.957: Algorithm - updatePortfolio - haveAllDetails is True</t>
  </si>
  <si>
    <t>2014-11-26 15:59:18.996: Algorithm - FindNextStrikes - price is 1.57915 nextStrikeUp/Down 1.58/1.575</t>
  </si>
  <si>
    <t>2014-11-26 15:59:18.996: Algorithm - getPortfolioForwardDelta - required deltas is 4 currentHedgePosition is 6</t>
  </si>
  <si>
    <t>2014-11-26 15:59:18.996: Algorithm - getHedgeShortfall - required deltas is 4 price is 1.57925 currentHedgePositionDeltas is 6</t>
  </si>
  <si>
    <t>2014-11-26 15:59:18.996: Algorithm - processTransitionPoint - nextUpper/LowerStrikes are 1.58/1.575 requiredDeltas/currentPosition/currentHedgeShortfall/direction/transitionPrice are 4/6/-2/1/1.57925</t>
  </si>
  <si>
    <t>2014-11-26 15:59:18.997: TransitionLogger - processTransitionpoint - checking transition - currentHedgeShortfall is -2</t>
  </si>
  <si>
    <t>2014-11-26 15:59:18.997: Algorithm - handleTransition - currentHedgeShortfall is NOT ZERO and AUTOHEDGE IS NOT ENABLED!</t>
  </si>
  <si>
    <t>2014-11-26 15:59:18.998: Algorithm - updatePortfolio - haveAllDetails is True</t>
  </si>
  <si>
    <t>2014-11-26 15:59:19.37: Algorithm - FindNextStrikes - price is 1.57915 nextStrikeUp/Down 1.58/1.575</t>
  </si>
  <si>
    <t>2014-11-26 15:59:19.37: Algorithm - getPortfolioForwardDelta - required deltas is 4 currentHedgePosition is 6</t>
  </si>
  <si>
    <t>2014-11-26 15:59:19.38: Algorithm - getHedgeShortfall - required deltas is 4 price is 1.57925 currentHedgePositionDeltas is 6</t>
  </si>
  <si>
    <t>2014-11-26 15:59:19.41: Algorithm - processTransitionPoint - nextUpper/LowerStrikes are 1.58/1.575 requiredDeltas/currentPosition/currentHedgeShortfall/direction/transitionPrice are 4/6/-2/1/1.57925</t>
  </si>
  <si>
    <t>2014-11-26 15:59:19.41: TransitionLogger - processTransitionpoint - checking transition - currentHedgeShortfall is -2</t>
  </si>
  <si>
    <t>2014-11-26 15:59:19.41: Algorithm - handleTransition - currentHedgeShortfall is NOT ZERO and AUTOHEDGE IS NOT ENABLED!</t>
  </si>
  <si>
    <t>2014-11-26 15:59:19.42: Algorithm - updatePortfolio - haveAllDetails is True</t>
  </si>
  <si>
    <t>2014-11-26 15:59:19.79: Algorithm - FindNextStrikes - price is 1.57915 nextStrikeUp/Down 1.58/1.575</t>
  </si>
  <si>
    <t>2014-11-26 15:59:19.80: Algorithm - getPortfolioForwardDelta - required deltas is 4 currentHedgePosition is 6</t>
  </si>
  <si>
    <t>2014-11-26 15:59:19.80: Algorithm - getHedgeShortfall - required deltas is 4 price is 1.57925 currentHedgePositionDeltas is 6</t>
  </si>
  <si>
    <t>2014-11-26 15:59:19.80: Algorithm - processTransitionPoint - nextUpper/LowerStrikes are 1.58/1.575 requiredDeltas/currentPosition/currentHedgeShortfall/direction/transitionPrice are 4/6/-2/1/1.57925</t>
  </si>
  <si>
    <t>2014-11-26 15:59:19.80: TransitionLogger - processTransitionpoint - checking transition - currentHedgeShortfall is -2</t>
  </si>
  <si>
    <t>2014-11-26 15:59:19.81: Algorithm - handleTransition - currentHedgeShortfall is NOT ZERO and AUTOHEDGE IS NOT ENABLED!</t>
  </si>
  <si>
    <t>2014-11-26 15:59:19.81: Algorithm - updatePortfolio - haveAllDetails is True</t>
  </si>
  <si>
    <t>2014-11-26 15:59:19.127: Algorithm - FindNextStrikes - price is 1.57915 nextStrikeUp/Down 1.58/1.575</t>
  </si>
  <si>
    <t>2014-11-26 15:59:19.128: Algorithm - getPortfolioForwardDelta - required deltas is 4 currentHedgePosition is 6</t>
  </si>
  <si>
    <t>2014-11-26 15:59:19.128: Algorithm - getHedgeShortfall - required deltas is 4 price is 1.57925 currentHedgePositionDeltas is 6</t>
  </si>
  <si>
    <t>2014-11-26 15:59:19.128: Algorithm - processTransitionPoint - nextUpper/LowerStrikes are 1.58/1.575 requiredDeltas/currentPosition/currentHedgeShortfall/direction/transitionPrice are 4/6/-2/1/1.57925</t>
  </si>
  <si>
    <t>2014-11-26 15:59:19.132: TransitionLogger - processTransitionpoint - checking transition - currentHedgeShortfall is -2</t>
  </si>
  <si>
    <t>2014-11-26 15:59:19.132: Algorithm - handleTransition - currentHedgeShortfall is NOT ZERO and AUTOHEDGE IS NOT ENABLED!</t>
  </si>
  <si>
    <t>2014-11-26 15:59:19.133: Algorithm - updatePortfolio - haveAllDetails is True</t>
  </si>
  <si>
    <t>2014-11-26 15:59:19.170: Algorithm - FindNextStrikes - price is 1.57915 nextStrikeUp/Down 1.58/1.575</t>
  </si>
  <si>
    <t>2014-11-26 15:59:19.170: Algorithm - getPortfolioForwardDelta - required deltas is 4 currentHedgePosition is 6</t>
  </si>
  <si>
    <t>2014-11-26 15:59:19.170: Algorithm - getHedgeShortfall - required deltas is 4 price is 1.57925 currentHedgePositionDeltas is 6</t>
  </si>
  <si>
    <t>2014-11-26 15:59:19.170: Algorithm - processTransitionPoint - nextUpper/LowerStrikes are 1.58/1.575 requiredDeltas/currentPosition/currentHedgeShortfall/direction/transitionPrice are 4/6/-2/1/1.57925</t>
  </si>
  <si>
    <t>2014-11-26 15:59:19.171: TransitionLogger - processTransitionpoint - checking transition - currentHedgeShortfall is -2</t>
  </si>
  <si>
    <t>2014-11-26 15:59:19.171: Algorithm - handleTransition - currentHedgeShortfall is NOT ZERO and AUTOHEDGE IS NOT ENABLED!</t>
  </si>
  <si>
    <t>2014-11-26 15:59:19.172: Algorithm - updatePortfolio - haveAllDetails is True</t>
  </si>
  <si>
    <t>2014-11-26 15:59:19.208: Algorithm - FindNextStrikes - price is 1.57915 nextStrikeUp/Down 1.58/1.575</t>
  </si>
  <si>
    <t>2014-11-26 15:59:19.208: Algorithm - getPortfolioForwardDelta - required deltas is 4 currentHedgePosition is 6</t>
  </si>
  <si>
    <t>2014-11-26 15:59:19.208: Algorithm - getHedgeShortfall - required deltas is 4 price is 1.57925 currentHedgePositionDeltas is 6</t>
  </si>
  <si>
    <t>2014-11-26 15:59:19.208: Algorithm - processTransitionPoint - nextUpper/LowerStrikes are 1.58/1.575 requiredDeltas/currentPosition/currentHedgeShortfall/direction/transitionPrice are 4/6/-2/1/1.57925</t>
  </si>
  <si>
    <t>2014-11-26 15:59:19.209: TransitionLogger - processTransitionpoint - checking transition - currentHedgeShortfall is -2</t>
  </si>
  <si>
    <t>2014-11-26 15:59:19.212: Algorithm - handleTransition - currentHedgeShortfall is NOT ZERO and AUTOHEDGE IS NOT ENABLED!</t>
  </si>
  <si>
    <t>2014-11-26 15:59:19.213: Algorithm - updatePortfolio - haveAllDetails is True</t>
  </si>
  <si>
    <t>2014-11-26 15:59:19.245: RTWSControl  - tickOptionComputation - id:200041 tickType:10 impliedVol:1.79769313486232E+308 delta:1.79769313486232E+308 optPrice:1.41000002622604E-02 pvDividend:0 gamma: 1.79769313486232E+308 theta/vega/undPrice: 1.79769313486232E+308-1.79769313486232E+308-1.5792</t>
  </si>
  <si>
    <t>2014-11-26 15:59:19.289: RTWSControl  - tickOptionComputation - id:200044 tickType:10 impliedVol:5.71869048721638E-02 delta:0.90846071858493 optPrice:9.4999996945262E-03 pvDividend:0 gamma: 1.79769313486232E+308 theta/vega/undPrice: -2.64613733165228E-04-2.168552825372E-04-1.5792</t>
  </si>
  <si>
    <t>2014-11-26 15:59:19.332: RTWSControl  - tickOptionComputation - id:200044 tickType:11 impliedVol:6.99810934988757E-02 delta:0.862402558776457 optPrice:9.80000011622906E-03 pvDividend:0 gamma: 1.79769313486232E+308 theta/vega/undPrice: -4.34950774814434E-04-2.97564335279226E-04-1.5792</t>
  </si>
  <si>
    <t>2014-11-26 15:59:19.376: RTWSControl  - tickOptionComputation - id:200045 tickType:10 impliedVol:5.82040739078869E-02 delta:0.725417868941232 optPrice:5.40000014007092E-03 pvDividend:0 gamma: 1.79769313486232E+308 theta/vega/undPrice: -5.50954990099161E-04-4.26224205813053E-04-1.5792</t>
  </si>
  <si>
    <t>2014-11-26 15:59:19.421: RTWSControl  - tickOptionComputation - id:200047 tickType:11 impliedVol:6.76136230434643E-02 delta:-0.303157040108302 optPrice:1.5999999595806E-03 pvDividend:0 gamma: 1.79769313486232E+308 theta/vega/undPrice: -6.6845067093558E-04-4.45290413833655E-04-1.5792</t>
  </si>
  <si>
    <t>2014-11-26 15:59:19.463: RTWSControl  - tickOptionComputation - id:200051 tickType:11 impliedVol:7.18196155880051E-02 delta:-0.299810282635641 optPrice:3.40000004507601E-03 pvDividend:0 gamma: 1.79769313486232E+308 theta/vega/undPrice: -3.44669804996613E-04-8.59958084971734E-04-1.5792</t>
  </si>
  <si>
    <t>2014-11-26 15:59:19.530: RTWSControl  - tickOptionComputation - id:200052 tickType:10 impliedVol:1.79769313486232E+308 delta:1.79769313486232E+308 optPrice:1.79769313486232E+308 pvDividend:0 gamma: 1.79769313486232E+308 theta/vega/undPrice: 1.79769313486232E+308-1.79769313486232E+308-1.5792</t>
  </si>
  <si>
    <t>2014-11-26 15:59:19.547: RTWSControl  - tickOptionComputation - id:200052 tickType:11 impliedVol:1.79769313486232E+308 delta:1.79769313486232E+308 optPrice:1.79769313486232E+308 pvDividend:0 gamma: 1.79769313486232E+308 theta/vega/undPrice: 1.79769313486232E+308-1.79769313486232E+308-1.5792</t>
  </si>
  <si>
    <t>2014-11-26 15:59:19.609: RTWSControl  - tickOptionComputation - id:200053 tickType:10 impliedVol:6.05178544200633E-02 delta:0.085803305328971 optPrice:6.00000028498471E-04 pvDividend:0 gamma: 1.79769313486232E+308 theta/vega/undPrice: -1.30098366685804E-04-4.47350398117356E-04-1.5792</t>
  </si>
  <si>
    <t>2014-11-26 15:59:19.663: RTWSControl  - tickOptionComputation - id:200054 tickType:10 impliedVol:1.79769313486232E+308 delta:1.79769313486232E+308 optPrice:1.79769313486232E+308 pvDividend:0 gamma: 1.79769313486232E+308 theta/vega/undPrice: 1.79769313486232E+308-1.79769313486232E+308-1.5792</t>
  </si>
  <si>
    <t>2014-11-26 15:59:19.712: DirectionIndicator - notify - price/longMA/ShortMA/prevDirection are 1.5791/1.57915101464651/1.57915708563126/1</t>
  </si>
  <si>
    <t>2014-11-26 15:59:19.713: Algorithm - handleTransition - currentHedgeShortfall is NOT ZERO and AUTOHEDGE IS NOT ENABLED!</t>
  </si>
  <si>
    <t>2014-11-26 15:59:19.909: DirectionIndicator - notify - price/longMA/ShortMA/prevDirection are 1.57905/1.57913264834714/1.57912139042084/1</t>
  </si>
  <si>
    <t>2014-11-26 15:59:19.910: Algorithm - handleTransition - currentHedgeShortfall is NOT ZERO and AUTOHEDGE IS NOT ENABLED!</t>
  </si>
  <si>
    <t>2014-11-26 15:59:20.120: RTWSControl  - tickOptionComputation - id:200042 tickType:13 impliedVol:8.37396734036844E-02 delta:-2.88043292556014E-02 optPrice:1.15045565415086E-04 pvDividend:0 gamma: 1.79769313486232E+308 theta/vega/undPrice: -1.54461134489741E-04-9.15412098127852E-05-1.5791</t>
  </si>
  <si>
    <t>2014-11-26 15:59:20.173: RTWSControl  - tickOptionComputation - id:200041 tickType:13 impliedVol:0.074774302474907 delta:0.941104356153992 optPrice:1.43338284781771E-02 pvDividend:0 gamma: 1.79769313486232E+308 theta/vega/undPrice: -2.46913470948215E-04-1.61126322699037E-04-1.5791</t>
  </si>
  <si>
    <t>2014-11-26 15:59:20.217: RTWSControl  - tickOptionComputation - id:200043 tickType:13 impliedVol:0.074774302474907 delta:-5.90081628203559E-02 optPrice:2.34029835804045E-04 pvDividend:0 gamma: 1.79769313486232E+308 theta/vega/undPrice: -2.47006626524576E-04-1.61126587129343E-04-1.5791</t>
  </si>
  <si>
    <t>2014-11-26 15:59:20.283: RTWSControl  - tickOptionComputation - id:200044 tickType:13 impliedVol:6.80330633255011E-02 delta:0.867127222654797 optPrice:9.65808246690452E-03 pvDividend:0 gamma: 1.79769313486232E+308 theta/vega/undPrice: -4.13891704735007E-04-2.9755497976874E-04-1.5791</t>
  </si>
  <si>
    <t>2014-11-26 15:59:20.331: RTWSControl  - tickOptionComputation - id:200046 tickType:13 impliedVol:6.80330633255011E-02 delta:-0.132985450711153 optPrice:5.58213068806711E-04 pvDividend:0 gamma: 1.79769313486232E+308 theta/vega/undPrice: -4.13952475000132E-04-2.9755526756261E-04-1.5791</t>
  </si>
  <si>
    <t>2014-11-26 15:59:20.372: RTWSControl  - tickOptionComputation - id:200045 tickType:13 impliedVol:6.35159559554381E-02 delta:0.704194299275366 optPrice:5.55096896920986E-03 pvDividend:0 gamma: 1.79769313486232E+308 theta/vega/undPrice: -6.22231636593726E-04-4.45275876423862E-04-1.5791</t>
  </si>
  <si>
    <t>2014-11-26 15:59:20.414: RTWSControl  - tickOptionComputation - id:200047 tickType:13 impliedVol:6.35159559554381E-02 delta:-0.295918799130158 optPrice:1.45103002785123E-03 pvDividend:0 gamma: 1.79769313486232E+308 theta/vega/undPrice: -6.22260534255573E-04-4.45276512506334E-04-1.5791</t>
  </si>
  <si>
    <t>2014-11-26 15:59:20.455: RTWSControl  - tickOptionComputation - id:200055 tickType:13 impliedVol:6.12229803647324E-02 delta:0.453047525695424 optPrice:2.55850887853567E-03 pvDividend:0 gamma: 1.79769313486232E+308 theta/vega/undPrice: -6.84419985252303E-04-4.83147384870427E-04-1.5791</t>
  </si>
  <si>
    <t>2014-11-26 15:59:20.497: RTWSControl  - tickOptionComputation - id:200049 tickType:13 impliedVol:6.90909832422033E-02 delta:0.703982095310666 optPrice:1.23597335381561E-02 pvDividend:0 gamma: 1.79769313486232E+308 theta/vega/undPrice: -3.28999319331953E-04-9.1426532067897E-04-1.5791</t>
  </si>
  <si>
    <t>2014-11-26 15:59:20.540: RTWSControl  - tickOptionComputation - id:200050 tickType:13 impliedVol:6.90909832422033E-02 delta:-0.29608795956563 optPrice:3.26030703668848E-03 pvDividend:0 gamma: 1.79769313486232E+308 theta/vega/undPrice: -3.29063533760543E-04-9.14270876165524E-04-1.5791</t>
  </si>
  <si>
    <t>2014-11-26 15:59:20.579: RTWSControl  - tickOptionComputation - id:200051 tickType:13 impliedVol:7.18196141971639E-02 delta:-0.301807491056391 optPrice:3.43007647090337E-03 pvDividend:0 gamma: 1.79769313486232E+308 theta/vega/undPrice: -3.45661988368313E-04-8.62433952287575E-04-1.5791</t>
  </si>
  <si>
    <t>2014-11-26 15:59:20.621: RTWSControl  - tickOptionComputation - id:200052 tickType:13 impliedVol:0.12455209190643 delta:-0.507790341287309 optPrice:0.012750715668736 pvDividend:0 gamma: 1.79769313486232E+308 theta/vega/undPrice: -6.85810295809153E-04-9.86722519192619E-04-1.5791</t>
  </si>
  <si>
    <t>2014-11-26 15:59:20.663: RTWSControl  - tickOptionComputation - id:200048 tickType:13 impliedVol:0.084193323702852 delta:-2.90649405914147E-02 optPrice:2.40939995697199E-04 pvDividend:0 gamma: 1.79769313486232E+308 theta/vega/undPrice: -7.6070028582045E-05-1.90296297037185E-04-1.5791</t>
  </si>
  <si>
    <t>2014-11-26 15:59:20.706: RTWSControl  - tickOptionComputation - id:200053 tickType:13 impliedVol:6.38134506824866E-02 delta:9.73374239566673E-02 optPrice:7.37207465090622E-04 pvDividend:0 gamma: 1.79769313486232E+308 theta/vega/undPrice: -1.50159615748607E-04-4.55525650476602E-04-1.5791</t>
  </si>
  <si>
    <t>2014-11-26 15:59:20.745: RTWSControl  - tickOptionComputation - id:200054 tickType:13 impliedVol:6.83607260237089E-02 delta:1.50324429935106E-03 optPrice:7.48743079515053E-06 pvDividend:0 gamma: 0.283594474707279 theta/vega/undPrice: -4.52578129448687E-06-2.16864063944695E-05-1.5791</t>
  </si>
  <si>
    <t>2014-11-26 15:59:21.158: RTWSControl  - tickOptionComputation - id:200042 tickType:10 impliedVol:9.32894215910207E-02 delta:-4.28894559889271E-02 optPrice:1.99999994947575E-04 pvDividend:0 gamma: 1.79769313486232E+308 theta/vega/undPrice: -2.41049212123997E-04-1.43188657856288E-04-1.5791</t>
  </si>
  <si>
    <t>2014-11-26 15:59:21.207: RTWSControl  - tickOptionComputation - id:200042 tickType:11 impliedVol:9.32894215910207E-02 delta:-4.28894559889271E-02 optPrice:1.99999994947575E-04 pvDividend:0 gamma: 1.79769313486232E+308 theta/vega/undPrice: -2.41049212123997E-04-1.43188657856288E-04-1.5791</t>
  </si>
  <si>
    <t>2014-11-26 15:59:21.256: RTWSControl  - tickOptionComputation - id:200042 tickType:13 impliedVol:8.33750452333248E-02 delta:-2.82104166984476E-02 optPrice:1.11845553653356E-04 pvDividend:0 gamma: 1.79769313486232E+308 theta/vega/undPrice: -1.51176738931238E-04-8.95201557014129E-05-1.5791</t>
  </si>
  <si>
    <t>2014-11-26 15:59:21.299: RTWSControl  - tickOptionComputation - id:200041 tickType:10 impliedVol:1.79769313486232E+308 delta:0.99998602146416 optPrice:1.41000002622604E-02 pvDividend:0 gamma: 3.50531238017706E-10 theta/vega/undPrice: 9.27958330347945E-08--4.28476698566271E-16-1.5791</t>
  </si>
  <si>
    <t>2014-11-26 15:59:21.342: RTWSControl  - tickOptionComputation - id:200041 tickType:11 impliedVol:7.93881696738095E-02 delta:0.930343395100667 optPrice:1.43999997526407E-02 pvDividend:0 gamma: 1.79769313486232E+308 theta/vega/undPrice: -2.99875520394996E-04-1.94211837751108E-04-1.5791</t>
  </si>
  <si>
    <t>2014-11-26 15:59:21.412: RTWSControl  - tickOptionComputation - id:200041 tickType:13 impliedVol:7.45202232981086E-02 delta:0.941728832568182 optPrice:1.43301845181961E-02 pvDividend:0 gamma: 1.79769313486232E+308 theta/vega/undPrice: -2.43996924165481E-04-1.59304349001736E-04-1.5791</t>
  </si>
  <si>
    <t>2014-11-26 15:59:21.459: RTWSControl  - tickOptionComputation - id:200043 tickType:10 impliedVol:6.34334972882478E-02 delta:-3.25325176311288E-02 optPrice:9.99999974737875E-05 pvDividend:0 gamma: 1.79769313486232E+308 theta/vega/undPrice: -1.29489277379031E-04-1.14805773871545E-04-1.5791</t>
  </si>
  <si>
    <t>2014-11-26 15:59:21.501: RTWSControl  - tickOptionComputation - id:200043 tickType:11 impliedVol:7.93614321404194E-02 delta:-6.95846050362922E-02 optPrice:3.00000014249235E-04 pvDividend:0 gamma: 1.79769313486232E+308 theta/vega/undPrice: -2.99661818148677E-04-1.94020405332714E-04-1.5791</t>
  </si>
  <si>
    <t>2014-11-26 15:59:21.547: RTWSControl  - tickOptionComputation - id:200043 tickType:13 impliedVol:7.45202232981086E-02 delta:-0.058383685951522 optPrice:2.30385873327176E-04 pvDividend:0 gamma: 1.79769313486232E+308 theta/vega/undPrice: -2.44090076471816E-04-1.59304611497035E-04-1.5791</t>
  </si>
  <si>
    <t>2014-11-26 15:59:21.590: RTWSControl  - tickOptionComputation - id:200044 tickType:10 impliedVol:6.13496030765751E-02 delta:0.890186726150787 optPrice:9.4999996945262E-03 pvDividend:0 gamma: 1.79769313486232E+308 theta/vega/undPrice: -3.24809017650587E-04-2.56979823991537E-04-1.5791</t>
  </si>
  <si>
    <t>2014-11-26 15:59:21.634: RTWSControl  - tickOptionComputation - id:200044 tickType:11 impliedVol:7.28025217862133E-02 delta:0.849401501990196 optPrice:9.80000011622906E-03 pvDividend:0 gamma: 1.79769313486232E+308 theta/vega/undPrice: -4.79371261540803E-04-2.97554816996412E-04-1.5791</t>
  </si>
  <si>
    <t>2014-11-26 15:59:21.704: RTWSControl  - tickOptionComputation - id:200044 tickType:13 impliedVol:6.79246731355221E-02 delta:0.867556441603313 optPrice:9.65485726096035E-03 pvDividend:0 gamma: 1.79769313486232E+308 theta/vega/undPrice: -4.12403622732336E-04-2.97554983463457E-04-1.5791</t>
  </si>
  <si>
    <t>2014-11-26 15:59:21.750: RTWSControl  - tickOptionComputation - id:200046 tickType:10 impliedVol:6.59838202525817E-02 delta:-0.124971997391864 optPrice:5.00000023748726E-04 pvDividend:0 gamma: 1.79769313486232E+308 theta/vega/undPrice: -3.85985431567225E-04-2.95019790393091E-04-1.5791</t>
  </si>
  <si>
    <t>2014-11-26 15:59:21.802: RTWSControl  - tickOptionComputation - id:200046 tickType:11 impliedVol:6.94262837596818E-02 delta:-0.138365423735415 optPrice:6.00000028498471E-04 pvDividend:0 gamma: 1.79769313486232E+308 theta/vega/undPrice: -4.33079942720653E-04-2.97555220088664E-04-1.5791</t>
  </si>
  <si>
    <t>2014-11-26 15:59:21.851: RTWSControl  - tickOptionComputation - id:200046 tickType:13 impliedVol:6.79246731355221E-02 delta:-0.132556231315887 optPrice:5.54987859744016E-04 pvDividend:0 gamma: 1.79769313486232E+308 theta/vega/undPrice: -4.12464390172472E-04-2.97555271254671E-04-1.5791</t>
  </si>
  <si>
    <t>2014-11-26 15:59:21.921: RTWSControl  - tickOptionComputation - id:200045 tickType:10 impliedVol:1.79769313486232E+308 delta:1.79769313486232E+308 optPrice:5.40000014007092E-03 pvDividend:0 gamma: 1.79769313486232E+308 theta/vega/undPrice: 1.79769313486232E+308-1.79769313486232E+308-1.5791</t>
  </si>
  <si>
    <t>2014-11-26 15:59:21.959: RTWSControl  - tickOptionComputation - id:200045 tickType:11 impliedVol:0.066852185127851 delta:0.694452008792556 optPrice:5.70000009611249E-03 pvDividend:0 gamma: 1.79769313486232E+308 theta/vega/undPrice: -6.62796631365639E-04-4.45275714851161E-04-1.5791</t>
  </si>
  <si>
    <t>2014-11-26 15:59:22.26: RTWSControl  - tickOptionComputation - id:200045 tickType:13 impliedVol:6.35883947455653E-02 delta:0.703973861594467 optPrice:5.55419449546288E-03 pvDividend:0 gamma: 1.79769313486232E+308 theta/vega/undPrice: -6.23112415533286E-04-4.45275872979469E-04-1.5791</t>
  </si>
  <si>
    <t>2014-11-26 15:59:22.80: RTWSControl  - tickOptionComputation - id:200047 tickType:10 impliedVol:6.23599357918341E-02 delta:-0.292294345135443 optPrice:1.39999995008111E-03 pvDividend:0 gamma: 1.79769313486232E+308 theta/vega/undPrice: -6.08204504541544E-04-4.45276567049092E-04-1.5791</t>
  </si>
  <si>
    <t>2014-11-26 15:59:22.123: RTWSControl  - tickOptionComputation - id:200047 tickType:11 impliedVol:6.68508058302139E-02 delta:-0.305530886433478 optPrice:1.5999999595806E-03 pvDividend:0 gamma: 1.79769313486232E+308 theta/vega/undPrice: -6.62808894207539E-04-4.45276351038556E-04-1.5791</t>
  </si>
  <si>
    <t>2014-11-26 15:59:22.168: RTWSControl  - tickOptionComputation - id:200047 tickType:13 impliedVol:6.35883947455653E-02 delta:-0.296139237158895 optPrice:1.45425555871001E-03 pvDividend:0 gamma: 1.79769313486232E+308 theta/vega/undPrice: -6.23141316147642E-04-4.45276509064037E-04-1.5791</t>
  </si>
  <si>
    <t>2014-11-26 15:59:22.210: RTWSControl  - tickOptionComputation - id:200055 tickType:10 impliedVol:0.057942236463443 delta:0.450224802529842 optPrice:2.40000011399388E-03 pvDividend:0 gamma: 1.79769313486232E+308 theta/vega/undPrice: -6.47107097126222E-04-4.83147539294193E-04-1.5791</t>
  </si>
  <si>
    <t>2014-11-26 15:59:22.250: RTWSControl  - tickOptionComputation - id:200055 tickType:11 impliedVol:6.20718113304194E-02 delta:0.453659025057048 optPrice:2.60000000707805E-03 pvDividend:0 gamma: 1.79769313486232E+308 theta/vega/undPrice: -6.94073990132153E-04-4.83147343661196E-04-1.5791</t>
  </si>
  <si>
    <t>2014-11-26 15:59:22.295: RTWSControl  - tickOptionComputation - id:200055 tickType:13 impliedVol:6.15113881282241E-02 delta:0.453276813279352 optPrice:2.57244323080549E-03 pvDividend:0 gamma: 1.79769313486232E+308 theta/vega/undPrice: -6.87700132040613E-04-4.83147370925957E-04-1.5791</t>
  </si>
  <si>
    <t>2014-11-26 15:59:22.338: RTWSControl  - tickOptionComputation - id:200049 tickType:10 impliedVol:6.73527611506731E-02 delta:0.708819345817566 optPrice:1.21999997645617E-02 pvDividend:0 gamma: 1.79769313486232E+308 theta/vega/undPrice: -3.18740803953736E-04-9.14266088811302E-04-1.5791</t>
  </si>
  <si>
    <t>2014-11-26 15:59:22.383: RTWSControl  - tickOptionComputation - id:200049 tickType:11 impliedVol:7.06238232590892E-02 delta:0.699752192929698 optPrice:1.25000001862645E-02 pvDividend:0 gamma: 1.79769313486232E+308 theta/vega/undPrice: -3.38045708002115E-04-9.1426463121626E-04-1.5791</t>
  </si>
  <si>
    <t>2014-11-26 15:59:22.452: RTWSControl  - tickOptionComputation - id:200049 tickType:13 impliedVol:6.88969158498072E-02 delta:0.704519710841751 optPrice:1.23419905861797E-02 pvDividend:0 gamma: 1.79769313486232E+308 theta/vega/undPrice: -3.27853987245169E-04-9.14265407160194E-04-1.5791</t>
  </si>
  <si>
    <t>2014-11-26 15:59:22.498: RTWSControl  - tickOptionComputation - id:200050 tickType:10 impliedVol:0.068428773495982 delta:-0.294203581613339 optPrice:3.1999999191612E-03 pvDividend:0 gamma: 1.79769313486232E+308 theta/vega/undPrice: -3.25155296935555E-04-9.14271170472376E-04-1.5791</t>
  </si>
  <si>
    <t>2014-11-26 15:59:22.539: RTWSControl  - tickOptionComputation - id:200050 tickType:11 impliedVol:7.06162233026069E-02 delta:-0.300171385364132 optPrice:3.40000004507601E-03 pvDividend:0 gamma: 1.79769313486232E+308 theta/vega/undPrice: -3.38065200830477E-04-9.14270190261622E-04-1.5791</t>
  </si>
  <si>
    <t>2014-11-26 15:59:22.587: RTWSControl  - tickOptionComputation - id:200050 tickType:13 impliedVol:6.88969158498072E-02 delta:-0.295550340346379 optPrice:3.24256397690939E-03 pvDividend:0 gamma: 1.79769313486232E+308 theta/vega/undPrice: -3.2791818498609E-04-9.14270962635262E-04-1.5791</t>
  </si>
  <si>
    <t>2014-11-26 15:59:22.629: RTWSControl  - tickOptionComputation - id:200051 tickType:10 impliedVol:6.79609228012375E-02 delta:-0.29178453495238 optPrice:3.10000008903444E-03 pvDividend:0 gamma: 1.79769313486232E+308 theta/vega/undPrice: -3.22091410509414E-04-8.49251475281403E-04-1.5791</t>
  </si>
  <si>
    <t>2014-11-26 15:59:22.672: RTWSControl  - tickOptionComputation - id:200051 tickType:11 impliedVol:7.14759230500022E-02 delta:-0.300918266222067 optPrice:3.40000004507601E-03 pvDividend:0 gamma: 1.79769313486232E+308 theta/vega/undPrice: -3.43570757481364E-04-8.61338055336628E-04-1.5791</t>
  </si>
  <si>
    <t>2014-11-26 15:59:22.741: RTWSControl  - tickOptionComputation - id:200051 tickType:13 impliedVol:7.03047914465369E-02 delta:-0.298001205325565 optPrice:3.29980322752801E-03 pvDividend:0 gamma: 1.79769313486232E+308 theta/vega/undPrice: -3.36433106222144E-04-8.57493352291472E-04-1.5791</t>
  </si>
  <si>
    <t>2014-11-26 15:59:22.789: RTWSControl  - tickOptionComputation - id:200052 tickType:10 impliedVol:1.79769313486232E+308 delta:1.79769313486232E+308 optPrice:1.79769313486232E+308 pvDividend:0 gamma: 1.79769313486232E+308 theta/vega/undPrice: 1.79769313486232E+308-1.79769313486232E+308-1.5791</t>
  </si>
  <si>
    <t>2014-11-26 15:59:22.827: RTWSControl  - tickOptionComputation - id:200052 tickType:11 impliedVol:1.79769313486232E+308 delta:1.79769313486232E+308 optPrice:1.79769313486232E+308 pvDividend:0 gamma: 1.79769313486232E+308 theta/vega/undPrice: 1.79769313486232E+308-1.79769313486232E+308-1.5791</t>
  </si>
  <si>
    <t>2014-11-26 15:59:22.868: RTWSControl  - tickOptionComputation - id:200052 tickType:13 impliedVol:0.124034942675143 delta:-0.507855063723363 optPrice:1.26996871721028E-02 pvDividend:0 gamma: 1.79769313486232E+308 theta/vega/undPrice: -6.82960585835885E-04-9.86719393422232E-04-1.5791</t>
  </si>
  <si>
    <t>2014-11-26 15:59:22.911: RTWSControl  - tickOptionComputation - id:200048 tickType:10 impliedVol:8.19347666994068E-02 delta:-0.025362504870708 optPrice:1.99999994947575E-04 pvDividend:0 gamma: 1.79769313486232E+308 theta/vega/undPrice: -6.62426520429575E-05-1.79321206234939E-04-1.5791</t>
  </si>
  <si>
    <t>2014-11-26 15:59:22.956: RTWSControl  - tickOptionComputation - id:200048 tickType:11 impliedVol:8.74397352742054E-02 delta:-3.40419205311055E-02 optPrice:3.00000014249235E-04 pvDividend:0 gamma: 1.79769313486232E+308 theta/vega/undPrice: -9.01957024088223E-05-2.27063226420365E-04-1.5791</t>
  </si>
  <si>
    <t>2014-11-26 15:59:23.3: RTWSControl  - tickOptionComputation - id:200048 tickType:13 impliedVol:0.083499413482242 delta:-2.79497751472452E-02 optPrice:2.28496693182958E-04 pvDividend:0 gamma: 1.79769313486232E+308 theta/vega/undPrice: -7.30507057554468E-05-1.82437467476986E-04-1.5791</t>
  </si>
  <si>
    <t>2014-11-26 15:59:23.43: TransitionLogger - flushFile - flushing file</t>
  </si>
  <si>
    <t>2014-11-26 15:59:23.43: TransitionLogger - openTransitionFile - opening file C:\temp\transitionlog_2014-11-26_155023</t>
  </si>
  <si>
    <t>2014-11-26 15:59:23.45: RTWSControl  - tickOptionComputation - id:200053 tickType:10 impliedVol:6.07439438236229E-02 delta:8.55378644309236E-02 optPrice:6.00000028498471E-04 pvDividend:0 gamma: 1.79769313486232E+308 theta/vega/undPrice: -1.30291547810933E-04-4.47336191310424E-04-1.5791</t>
  </si>
  <si>
    <t>2014-11-26 15:59:23.77: RTWSControl  - tickOptionComputation - id:200053 tickType:11 impliedVol:6.52160019440212E-02 delta:0.102343101532723 optPrice:7.999999797903E-04 pvDividend:0 gamma: 1.79769313486232E+308 theta/vega/undPrice: -1.59237927314242E-04-4.79426706655827E-04-1.5791</t>
  </si>
  <si>
    <t>2014-11-26 15:59:23.124: RTWSControl  - tickOptionComputation - id:200053 tickType:13 impliedVol:6.44901229743873E-02 delta:9.97858420139961E-02 optPrice:7.6747748536339E-04 pvDividend:0 gamma: 1.79769313486232E+308 theta/vega/undPrice: -1.54539522311239E-04-4.6705691340248E-04-1.5791</t>
  </si>
  <si>
    <t>2014-11-26 15:59:23.164: RTWSControl  - tickOptionComputation - id:200054 tickType:13 impliedVol:7.02790348559788E-02 delta:1.84830708044903E-03 optPrice:9.55570529671624E-06 pvDividend:0 gamma: 0.335204084738043 theta/vega/undPrice: -5.65383690391233E-06-2.90853586743743E-05-1.5791</t>
  </si>
  <si>
    <t>2014-11-26 15:59:23.206: RTWSControl  - tickOptionComputation - id:200054 tickType:10 impliedVol:1.79769313486232E+308 delta:1.79769313486232E+308 optPrice:1.79769313486232E+308 pvDividend:0 gamma: 1.79769313486232E+308 theta/vega/undPrice: 1.79769313486232E+308-1.79769313486232E+308-1.5791</t>
  </si>
  <si>
    <t>2014-11-26 15:59:23.243: RTWSControl  - tickOptionComputation - id:200054 tickType:11 impliedVol:9.01330725866379E-02 delta:1.25803068216169E-02 optPrice:9.99999974737875E-05 pvDividend:0 gamma: 1.79769313486232E+308 theta/vega/undPrice: -4.00107502199368E-05-1.03773026200217E-04-1.5791</t>
  </si>
  <si>
    <t>2014-11-26 15:59:23.413: DirectionIndicator - notify - price/longMA/ShortMA/prevDirection are 1.5791/1.57912671228403/1.57911426028056/1</t>
  </si>
  <si>
    <t>2014-11-26 15:59:23.413: Algorithm - handleTransition - currentHedgeShortfall is NOT ZERO and AUTOHEDGE IS NOT ENABLED!</t>
  </si>
  <si>
    <t>2014-11-26 15:59:23.454: DirectionIndicator - notify - price/longMA/ShortMA/prevDirection are 1.57915/1.5791309464142/1.57912617352037/1</t>
  </si>
  <si>
    <t>2014-11-26 15:59:23.454: Algorithm - handleTransition - currentHedgeShortfall is NOT ZERO and AUTOHEDGE IS NOT ENABLED!</t>
  </si>
  <si>
    <t>2014-11-26 15:59:24.363: RTWSControl  - tickOptionComputation - id:200041 tickType:10 impliedVol:6.34468730390569E-02 delta:0.967425629693639 optPrice:1.42000000923872E-02 pvDividend:0 gamma: 1.79769313486232E+308 theta/vega/undPrice: -1.29516997696956E-04-1.14879896321262E-04-1.5791</t>
  </si>
  <si>
    <t>2014-11-26 15:59:24.414: RTWSControl  - tickOptionComputation - id:200041 tickType:11 impliedVol:8.49951920970908E-02 delta:0.916337032864658 optPrice:1.44999995827675E-02 pvDividend:0 gamma: 1.79769313486232E+308 theta/vega/undPrice: -3.68779166328932E-04-2.15127017215226E-04-1.5791</t>
  </si>
  <si>
    <t>2014-11-26 15:59:24.460: RTWSControl  - tickOptionComputation - id:200044 tickType:11 impliedVol:0.076151042403028 delta:0.838355489184157 optPrice:9.89999994635582E-03 pvDividend:0 gamma: 1.79769313486232E+308 theta/vega/undPrice: -5.25342822904729E-04-2.97554702478459E-04-1.5791</t>
  </si>
  <si>
    <t>2014-11-26 15:59:24.500: RTWSControl  - tickOptionComputation - id:200045 tickType:10 impliedVol:6.23613060729587E-02 delta:0.707687989148383 optPrice:5.49999997019768E-03 pvDividend:0 gamma: 1.79769313486232E+308 theta/vega/undPrice: -6.08192315182596E-04-4.45275930902525E-04-1.5791</t>
  </si>
  <si>
    <t>2014-11-26 15:59:24.547: RTWSControl  - tickOptionComputation - id:200047 tickType:11 impliedVol:6.46053718446321E-02 delta:-0.299143745615424 optPrice:1.50000001303852E-03 pvDividend:0 gamma: 1.79769313486232E+308 theta/vega/undPrice: -6.35506719912299E-04-4.45276460425837E-04-1.5791</t>
  </si>
  <si>
    <t>2014-11-26 15:59:24.590: RTWSControl  - tickOptionComputation - id:200055 tickType:10 impliedVol:6.00001956043011E-02 delta:0.451994238746214 optPrice:2.49999994412065E-03 pvDividend:0 gamma: 1.79769313486232E+308 theta/vega/undPrice: -6.70512889754235E-04-4.8314744332616E-04-1.5791</t>
  </si>
  <si>
    <t>2014-11-26 15:59:24.632: RTWSControl  - tickOptionComputation - id:200049 tickType:10 impliedVol:0.068435038945008 delta:0.70572239464588 optPrice:1.22999995946884E-02 pvDividend:0 gamma: 1.79769313486232E+308 theta/vega/undPrice: -3.25128116422319E-04-9.14265612255435E-04-1.5791</t>
  </si>
  <si>
    <t>2014-11-26 15:59:24.699: RTWSControl  - tickOptionComputation - id:200049 tickType:11 impliedVol:7.17162361365686E-02 delta:0.69691026869195 optPrice:1.26000000163913E-02 pvDividend:0 gamma: 1.79769313486232E+308 theta/vega/undPrice: -3.44492809993452E-04-9.14264132942034E-04-1.5791</t>
  </si>
  <si>
    <t>2014-11-26 15:59:24.747: RTWSControl  - tickOptionComputation - id:200051 tickType:11 impliedVol:0.07030479122513 delta:-0.297963533470361 optPrice:3.29999998211861E-03 pvDividend:0 gamma: 1.79769313486232E+308 theta/vega/undPrice: -0.000336433104871-8.57493351548067E-04-1.5791</t>
  </si>
  <si>
    <t>2014-11-26 15:59:24.791: RTWSControl  - tickOptionComputation - id:200052 tickType:10 impliedVol:1.79769313486232E+308 delta:1.79769313486232E+308 optPrice:1.79769313486232E+308 pvDividend:0 gamma: 1.79769313486232E+308 theta/vega/undPrice: 1.79769313486232E+308-1.79769313486232E+308-1.5791</t>
  </si>
  <si>
    <t>2014-11-26 15:59:24.828: RTWSControl  - tickOptionComputation - id:200052 tickType:11 impliedVol:1.79769313486232E+308 delta:1.79769313486232E+308 optPrice:1.79769313486232E+308 pvDividend:0 gamma: 1.79769313486232E+308 theta/vega/undPrice: 1.79769313486232E+308-1.79769313486232E+308-1.5791</t>
  </si>
  <si>
    <t>2014-11-26 15:59:24.867: RTWSControl  - tickOptionComputation - id:200054 tickType:10 impliedVol:1.79769313486232E+308 delta:1.79769313486232E+308 optPrice:1.79769313486232E+308 pvDividend:0 gamma: 1.79769313486232E+308 theta/vega/undPrice: 1.79769313486232E+308-1.79769313486232E+308-1.5791</t>
  </si>
  <si>
    <t>2014-11-26 15:59:24.886: DirectionIndicator - notify - price/longMA/ShortMA/prevDirection are 1.5791/1.57912531979344/1.57911744901358/1</t>
  </si>
  <si>
    <t>2014-11-26 15:59:24.886: Algorithm - handleTransition - currentHedgeShortfall is NOT ZERO and AUTOHEDGE IS NOT ENABLED!</t>
  </si>
  <si>
    <t>2014-11-26 15:59:24.922: DirectionIndicator - notify - price/longMA/ShortMA/prevDirection are 1.57905/1.57911162528554/1.57909496600905/1</t>
  </si>
  <si>
    <t>2014-11-26 15:59:24.922: Algorithm - handleTransition - currentHedgeShortfall is NOT ZERO and AUTOHEDGE IS NOT ENABLED!</t>
  </si>
  <si>
    <t>2014-11-26 15:59:25.829: DirectionIndicator - notify - price/longMA/ShortMA/prevDirection are 1.5791/1.57910951159726/1.57909664400604/1</t>
  </si>
  <si>
    <t>2014-11-26 15:59:25.829: Algorithm - handleTransition - currentHedgeShortfall is NOT ZERO and AUTOHEDGE IS NOT ENABLED!</t>
  </si>
  <si>
    <t>2014-11-26 15:59:26.74: RTWSControl  - tickOptionComputation - id:200042 tickType:13 impliedVol:8.34881249727317E-02 delta:-2.83951587988974E-02 optPrice:1.12837952298865E-04 pvDividend:0 gamma: 1.79769313486232E+308 theta/vega/undPrice: -1.52195306976295E-04-9.01469319552412E-05-1.5791</t>
  </si>
  <si>
    <t>2014-11-26 15:59:26.125: RTWSControl  - tickOptionComputation - id:200041 tickType:10 impliedVol:1.79769313486232E+308 delta:0.99998602146416 optPrice:1.41000002622604E-02 pvDividend:0 gamma: 3.50531238017706E-10 theta/vega/undPrice: 9.27958330347945E-08--4.28476698566271E-16-1.5791</t>
  </si>
  <si>
    <t>2014-11-26 15:59:26.171: RTWSControl  - tickOptionComputation - id:200041 tickType:13 impliedVol:7.46214267251588E-02 delta:0.941479584011324 optPrice:1.43316359604034E-02 pvDividend:0 gamma: 1.79769313486232E+308 theta/vega/undPrice: -2.45158627131995E-04-1.60030067604207E-04-1.5791</t>
  </si>
  <si>
    <t>2014-11-26 15:59:26.215: RTWSControl  - tickOptionComputation - id:200043 tickType:13 impliedVol:7.46214267251588E-02 delta:-5.86329346898325E-02 optPrice:2.31837316529007E-04 pvDividend:0 gamma: 1.79769313486232E+308 theta/vega/undPrice: -0.000245251780741-1.60030330870295E-04-1.5791</t>
  </si>
  <si>
    <t>2014-11-26 15:59:26.258: RTWSControl  - tickOptionComputation - id:200044 tickType:11 impliedVol:7.28025217862133E-02 delta:0.849401501990196 optPrice:9.80000011622906E-03 pvDividend:0 gamma: 1.79769313486232E+308 theta/vega/undPrice: -4.79371261540803E-04-2.97554816996412E-04-1.5791</t>
  </si>
  <si>
    <t>2014-11-26 15:59:26.324: RTWSControl  - tickOptionComputation - id:200044 tickType:13 impliedVol:0.068003355997206 delta:0.867244725536229 optPrice:9.65719851004735E-03 pvDividend:0 gamma: 1.79769313486232E+308 theta/vega/undPrice: -4.13483854722476E-04-2.97554980783496E-04-1.5791</t>
  </si>
  <si>
    <t>2014-11-26 15:59:26.373: RTWSControl  - tickOptionComputation - id:200046 tickType:13 impliedVol:0.068003355997206 delta:-0.132867947707495 optPrice:5.5732911109828E-04 pvDividend:0 gamma: 1.79769313486232E+308 theta/vega/undPrice: -4.13544624214949E-04-2.97555268574011E-04-1.5791</t>
  </si>
  <si>
    <t>2014-11-26 15:59:26.414: RTWSControl  - tickOptionComputation - id:200045 tickType:10 impliedVol:1.79769313486232E+308 delta:1.79769313486232E+308 optPrice:5.40000014007092E-03 pvDividend:0 gamma: 1.79769313486232E+308 theta/vega/undPrice: 1.79769313486232E+308-1.79769313486232E+308-1.5791</t>
  </si>
  <si>
    <t>2014-11-26 15:59:26.433: RTWSControl  - tickOptionComputation - id:200045 tickType:11 impliedVol:6.46027718531085E-02 delta:0.700850584728211 optPrice:5.59999980032444E-03 pvDividend:0 gamma: 1.79769313486232E+308 theta/vega/undPrice: -6.35446164701006E-04-4.45275824466523E-04-1.5791</t>
  </si>
  <si>
    <t>2014-11-26 15:59:26.493: RTWSControl  - tickOptionComputation - id:200045 tickType:13 impliedVol:6.36339127887879E-02 delta:0.703835604094225 optPrice:5.55622130516278E-03 pvDividend:0 gamma: 1.79769313486232E+308 theta/vega/undPrice: -6.23665866704145E-04-4.45275870816109E-04-1.5791</t>
  </si>
  <si>
    <t>2014-11-26 15:59:26.541: RTWSControl  - tickOptionComputation - id:200047 tickType:11 impliedVol:6.68508058302139E-02 delta:-0.305530886433478 optPrice:1.5999999595806E-03 pvDividend:0 gamma: 1.79769313486232E+308 theta/vega/undPrice: -6.62808894207539E-04-4.45276351038556E-04-1.5791</t>
  </si>
  <si>
    <t>2014-11-26 15:59:26.583: RTWSControl  - tickOptionComputation - id:200047 tickType:13 impliedVol:6.36339127887879E-02 delta:-0.296277494877192 optPrice:1.45628237130566E-03 pvDividend:0 gamma: 1.79769313486232E+308 theta/vega/undPrice: -6.23694769174438E-04-4.45276506897578E-04-1.5791</t>
  </si>
  <si>
    <t>2014-11-26 15:59:26.627: RTWSControl  - tickOptionComputation - id:200055 tickType:13 impliedVol:6.15130970999616E-02 delta:0.453278165647632 optPrice:2.5725257993672E-03 pvDividend:0 gamma: 1.79769313486232E+308 theta/vega/undPrice: -6.87719568681291E-04-4.83147370841715E-04-1.5791</t>
  </si>
  <si>
    <t>2014-11-26 15:59:26.664: RTWSControl  - tickOptionComputation - id:200049 tickType:13 impliedVol:6.88252807745862E-02 delta:0.70471893216473 optPrice:1.23354412232952E-02 pvDividend:0 gamma: 1.79769313486232E+308 theta/vega/undPrice: -3.27431216773812E-04-9.14265439036418E-04-1.5791</t>
  </si>
  <si>
    <t>2014-11-26 15:59:26.709: RTWSControl  - tickOptionComputation - id:200050 tickType:13 impliedVol:6.88252807745862E-02 delta:-0.29535111765667 optPrice:3.2360145742299E-03 pvDividend:0 gamma: 1.79769313486232E+308 theta/vega/undPrice: -3.2749540835464E-04-9.14270994506553E-04-1.5791</t>
  </si>
  <si>
    <t>2014-11-26 15:59:26.748: RTWSControl  - tickOptionComputation - id:200048 tickType:13 impliedVol:8.36467575001532E-02 delta:-2.81881207271141E-02 optPrice:2.31138888710669E-04 pvDividend:0 gamma: 1.79769313486232E+308 theta/vega/undPrice: -7.36918250828636E-05-1.84106201825161E-04-1.5791</t>
  </si>
  <si>
    <t>2014-11-26 15:59:26.791: RTWSControl  - tickOptionComputation - id:200053 tickType:13 impliedVol:6.44336695583192E-02 delta:9.95835339286692E-02 optPrice:7.64952118437563E-04 pvDividend:0 gamma: 1.79769313486232E+308 theta/vega/undPrice: -1.54174115546267E-04-4.66094883445768E-04-1.5791</t>
  </si>
  <si>
    <t>2014-11-26 15:59:26.833: RTWSControl  - tickOptionComputation - id:200054 tickType:13 impliedVol:7.04719238513469E-02 delta:1.88196621113513E-03 optPrice:9.7636735079086E-06 pvDividend:0 gamma: 0.340059751044808 theta/vega/undPrice: -5.76726463785073E-06-2.99085611032862E-05-1.5791</t>
  </si>
  <si>
    <t>2014-11-26 15:59:26.877: RTWSControl  - tickOptionComputation - id:200049 tickType:11 impliedVol:7.06238232590892E-02 delta:0.699752192929698 optPrice:1.25000001862645E-02 pvDividend:0 gamma: 1.79769313486232E+308 theta/vega/undPrice: -3.38045708002115E-04-9.1426463121626E-04-1.5791</t>
  </si>
  <si>
    <t>2014-11-26 15:59:26.926: RTWSControl  - tickOptionComputation - id:200051 tickType:11 impliedVol:7.14759230500022E-02 delta:-0.300918266222067 optPrice:3.40000004507601E-03 pvDividend:0 gamma: 1.79769313486232E+308 theta/vega/undPrice: -3.43570757481364E-04-8.61338055336628E-04-1.5791</t>
  </si>
  <si>
    <t>2014-11-26 15:59:26.967: RTWSControl  - tickOptionComputation - id:200052 tickType:10 impliedVol:1.79769313486232E+308 delta:1.79769313486232E+308 optPrice:1.79769313486232E+308 pvDividend:0 gamma: 1.79769313486232E+308 theta/vega/undPrice: 1.79769313486232E+308-1.79769313486232E+308-1.5791</t>
  </si>
  <si>
    <t>2014-11-26 15:59:26.995: RTWSControl  - tickOptionComputation - id:200052 tickType:11 impliedVol:1.79769313486232E+308 delta:1.79769313486232E+308 optPrice:1.79769313486232E+308 pvDividend:0 gamma: 1.79769313486232E+308 theta/vega/undPrice: 1.79769313486232E+308-1.79769313486232E+308-1.5791</t>
  </si>
  <si>
    <t>2014-11-26 15:59:27.38: RTWSControl  - tickOptionComputation - id:200054 tickType:10 impliedVol:1.79769313486232E+308 delta:1.79769313486232E+308 optPrice:1.79769313486232E+308 pvDividend:0 gamma: 1.79769313486232E+308 theta/vega/undPrice: 1.79769313486232E+308-1.79769313486232E+308-1.5791</t>
  </si>
  <si>
    <t>2014-11-26 15:59:27.76: DirectionIndicator - notify - price/longMA/ShortMA/prevDirection are 1.57905/1.57909869130685/1.57908109600402/1</t>
  </si>
  <si>
    <t>2014-11-26 15:59:27.77: Algorithm - handleTransition - currentHedgeShortfall is NOT ZERO and AUTOHEDGE IS NOT ENABLED!</t>
  </si>
  <si>
    <t>2014-11-26 15:59:27.330: DirectionIndicator - notify - price/longMA/ShortMA/prevDirection are 1.5791/1.57909892925106/1.57908739733602/1</t>
  </si>
  <si>
    <t>2014-11-26 15:59:27.331: Algorithm - handleTransition - currentHedgeShortfall is NOT ZERO and AUTOHEDGE IS NOT ENABLED!</t>
  </si>
  <si>
    <t>2014-11-26 15:59:27.374: DirectionIndicator - notify - price/longMA/ShortMA/prevDirection are 1.57915/1.57910821484178/1.57910826489068/1</t>
  </si>
  <si>
    <t>2014-11-26 15:59:27.374: Algorithm - handleTransition - currentHedgeShortfall is NOT ZERO and AUTOHEDGE IS NOT ENABLED!</t>
  </si>
  <si>
    <t>2014-11-26 15:59:27.913: DirectionIndicator - notify - price/longMA/ShortMA/prevDirection are 1.5791/1.57910672123418/1.57910550992712/1</t>
  </si>
  <si>
    <t>2014-11-26 15:59:27.914: Algorithm - handleTransition - currentHedgeShortfall is NOT ZERO and AUTOHEDGE IS NOT ENABLED!</t>
  </si>
  <si>
    <t>2014-11-26 15:59:27.955: DirectionIndicator - notify - price/longMA/ShortMA/prevDirection are 1.57905/1.57909640828251/1.57908700661808/1</t>
  </si>
  <si>
    <t>2014-11-26 15:59:27.955: Algorithm - handleTransition - currentHedgeShortfall is NOT ZERO and AUTOHEDGE IS NOT ENABLED!</t>
  </si>
  <si>
    <t>2014-11-26 15:59:28.579: RTWSControl  - tickOptionComputation - id:200041 tickType:11 impliedVol:7.93881696738095E-02 delta:0.930343395100667 optPrice:1.43999997526407E-02 pvDividend:0 gamma: 1.79769313486232E+308 theta/vega/undPrice: -2.99875520394996E-04-1.94211837751108E-04-1.5791</t>
  </si>
  <si>
    <t>2014-11-26 15:59:28.651: RTWSControl  - tickOptionComputation - id:200045 tickType:10 impliedVol:1.79769313486232E+308 delta:1.79769313486232E+308 optPrice:5.40000014007092E-03 pvDividend:0 gamma: 1.79769313486232E+308 theta/vega/undPrice: 1.79769313486232E+308-1.79769313486232E+308-1.5791</t>
  </si>
  <si>
    <t>2014-11-26 15:59:28.672: RTWSControl  - tickOptionComputation - id:200045 tickType:11 impliedVol:0.066852185127851 delta:0.694452008792556 optPrice:5.70000009611249E-03 pvDividend:0 gamma: 1.79769313486232E+308 theta/vega/undPrice: -6.62796631365639E-04-4.45275714851161E-04-1.5791</t>
  </si>
  <si>
    <t>2014-11-26 15:59:28.745: RTWSControl  - tickOptionComputation - id:200055 tickType:10 impliedVol:0.057942236463443 delta:0.450224802529842 optPrice:2.40000011399388E-03 pvDividend:0 gamma: 1.79769313486232E+308 theta/vega/undPrice: -6.47107097126222E-04-4.83147539294193E-04-1.5791</t>
  </si>
  <si>
    <t>2014-11-26 15:59:28.792: RTWSControl  - tickOptionComputation - id:200052 tickType:10 impliedVol:1.79769313486232E+308 delta:1.79769313486232E+308 optPrice:1.79769313486232E+308 pvDividend:0 gamma: 1.79769313486232E+308 theta/vega/undPrice: 1.79769313486232E+308-1.79769313486232E+308-1.5791</t>
  </si>
  <si>
    <t>2014-11-26 15:59:28.829: RTWSControl  - tickOptionComputation - id:200052 tickType:11 impliedVol:1.79769313486232E+308 delta:1.79769313486232E+308 optPrice:1.79769313486232E+308 pvDividend:0 gamma: 1.79769313486232E+308 theta/vega/undPrice: 1.79769313486232E+308-1.79769313486232E+308-1.5791</t>
  </si>
  <si>
    <t>2014-11-26 15:59:28.870: RTWSControl  - tickOptionComputation - id:200054 tickType:10 impliedVol:1.79769313486232E+308 delta:1.79769313486232E+308 optPrice:1.79769313486232E+308 pvDividend:0 gamma: 1.79769313486232E+308 theta/vega/undPrice: 1.79769313486232E+308-1.79769313486232E+308-1.5791</t>
  </si>
  <si>
    <t>2014-11-26 15:59:28.910: DirectionIndicator - notify - price/longMA/ShortMA/prevDirection are 1.5791/1.57909706132205/1.57909133774539/1</t>
  </si>
  <si>
    <t>2014-11-26 15:59:28.910: Algorithm - handleTransition - currentHedgeShortfall is NOT ZERO and AUTOHEDGE IS NOT ENABLED!</t>
  </si>
  <si>
    <t>2014-11-26 15:59:29.202: DirectionIndicator - notify - price/longMA/ShortMA/prevDirection are 1.57905/1.57908850471804/1.57907755849692/1</t>
  </si>
  <si>
    <t>2014-11-26 15:59:29.205: Algorithm - handleTransition - currentHedgeShortfall is NOT ZERO and AUTOHEDGE IS NOT ENABLED!</t>
  </si>
  <si>
    <t>2014-11-26 15:59:29.326: DirectionIndicator - notify - price/longMA/ShortMA/prevDirection are 1.5791/1.57909059476931/1.57908503899795/1</t>
  </si>
  <si>
    <t>2014-11-26 15:59:29.326: Algorithm - handleTransition - currentHedgeShortfall is NOT ZERO and AUTOHEDGE IS NOT ENABLED!</t>
  </si>
  <si>
    <t>2014-11-26 15:59:29.749: DirectionIndicator - notify - price/longMA/ShortMA/prevDirection are 1.5792/1.57911048662943/1.57912335933197/1</t>
  </si>
  <si>
    <t>2014-11-26 15:59:29.750: Algorithm - handleTransition - currentHedgeShortfall is NOT ZERO and AUTOHEDGE IS NOT ENABLED!</t>
  </si>
  <si>
    <t>2014-11-26 15:59:29.792: DirectionIndicator - notify - price/longMA/ShortMA/prevDirection are 1.57925/1.57913585269681/1.57916557288798/1</t>
  </si>
  <si>
    <t>2014-11-26 15:59:29.792: Algorithm - handleTransition - currentHedgeShortfall is NOT ZERO and AUTOHEDGE IS NOT ENABLED!</t>
  </si>
  <si>
    <t>2014-11-26 15:59:30.492: DirectionIndicator - notify - price/longMA/ShortMA/prevDirection are 1.5792/1.57914751584284/1.57917704859198/1</t>
  </si>
  <si>
    <t>2014-11-26 15:59:30.493: Algorithm - handleTransition - currentHedgeShortfall is NOT ZERO and AUTOHEDGE IS NOT ENABLED!</t>
  </si>
  <si>
    <t>2014-11-26 15:59:30.534: DirectionIndicator - notify - price/longMA/ShortMA/prevDirection are 1.57915/1.57914796750778/1.57916803239466/1</t>
  </si>
  <si>
    <t>2014-11-26 15:59:30.534: Algorithm - handleTransition - currentHedgeShortfall is NOT ZERO and AUTOHEDGE IS NOT ENABLED!</t>
  </si>
  <si>
    <t>2014-11-26 15:59:31.76: DirectionIndicator - notify - price/longMA/ShortMA/prevDirection are 1.5792/1.57915742796091/1.5791786882631/1</t>
  </si>
  <si>
    <t>2014-11-26 15:59:31.77: Algorithm - handleTransition - currentHedgeShortfall is NOT ZERO and AUTOHEDGE IS NOT ENABLED!</t>
  </si>
  <si>
    <t>2014-11-26 15:59:31.159: DirectionIndicator - notify - price/longMA/ShortMA/prevDirection are 1.57925/1.57917425924075/1.57920245884207/1</t>
  </si>
  <si>
    <t>2014-11-26 15:59:31.159: Algorithm - handleTransition - currentHedgeShortfall is NOT ZERO and AUTOHEDGE IS NOT ENABLED!</t>
  </si>
  <si>
    <t>2014-11-26 15:59:31.369: DirectionIndicator - notify - price/longMA/ShortMA/prevDirection are 1.5792/1.57917893937879/1.57920163922805/1</t>
  </si>
  <si>
    <t>2014-11-26 15:59:31.369: Algorithm - handleTransition - currentHedgeShortfall is NOT ZERO and AUTOHEDGE IS NOT ENABLED!</t>
  </si>
  <si>
    <t>2014-11-26 15:59:31.534: DirectionIndicator - notify - price/longMA/ShortMA/prevDirection are 1.57925/1.57919185949174/1.57921775948536/1</t>
  </si>
  <si>
    <t>2014-11-26 15:59:31.534: Algorithm - handleTransition - currentHedgeShortfall is NOT ZERO and AUTOHEDGE IS NOT ENABLED!</t>
  </si>
  <si>
    <t>2014-11-26 15:59:31.867: RTWSControl  - tickOptionComputation - id:200042 tickType:13 impliedVol:8.53769123921921E-02 delta:-3.07141953462126E-02 optPrice:1.2619253958806E-04 pvDividend:0 gamma: 1.79769313486232E+308 theta/vega/undPrice: -1.66092527103098E-04-9.79350964665175E-05-1.5792</t>
  </si>
  <si>
    <t>2014-11-26 15:59:31.916: RTWSControl  - tickOptionComputation - id:200042 tickType:10 impliedVol:9.36741889329913E-02 delta:-4.26741182111712E-02 optPrice:1.99999994947575E-04 pvDividend:0 gamma: 1.79769313486232E+308 theta/vega/undPrice: -2.41157295226043E-04-1.43193183681488E-04-1.5792</t>
  </si>
  <si>
    <t>2014-11-26 15:59:31.962: RTWSControl  - tickOptionComputation - id:200042 tickType:11 impliedVol:9.36741889329913E-02 delta:-4.26741182111712E-02 optPrice:1.99999994947575E-04 pvDividend:0 gamma: 1.79769313486232E+308 theta/vega/undPrice: -2.41157295226043E-04-1.43193183681488E-04-1.5792</t>
  </si>
  <si>
    <t>2014-11-26 15:59:32.15: RTWSControl  - tickOptionComputation - id:200041 tickType:13 impliedVol:7.61705043097578E-02 delta:0.939019087705045 optPrice:1.44479398658487E-02 pvDividend:0 gamma: 1.79769313486232E+308 theta/vega/undPrice: -2.58631756280483E-04-1.66976644793034E-04-1.5792</t>
  </si>
  <si>
    <t>2014-11-26 15:59:32.88: RTWSControl  - tickOptionComputation - id:200041 tickType:10 impliedVol:3.63571872644562E-02 delta:0.999473247485993 optPrice:1.42000000923872E-02 pvDividend:0 gamma: 0.406316818880321 theta/vega/undPrice: -1.74137608838827E-06-8.50679252542216E-06-1.5792</t>
  </si>
  <si>
    <t>2014-11-26 15:59:32.134: RTWSControl  - tickOptionComputation - id:200041 tickType:11 impliedVol:8.54771611219588E-02 delta:0.91667433508354 optPrice:1.46000003442168E-02 pvDividend:0 gamma: 1.79769313486232E+308 theta/vega/undPrice: -3.69839260593337E-04-2.15133814772128E-04-1.5792</t>
  </si>
  <si>
    <t>2014-11-26 15:59:32.205: RTWSControl  - tickOptionComputation - id:200043 tickType:13 impliedVol:7.61705043097578E-02 delta:-6.10934327866878E-02 optPrice:2.48142660083094E-04 pvDividend:0 gamma: 1.79769313486232E+308 theta/vega/undPrice: -2.58725583714579E-04-1.66976916467301E-04-1.5792</t>
  </si>
  <si>
    <t>2014-11-26 15:59:32.250: RTWSControl  - tickOptionComputation - id:200043 tickType:10 impliedVol:0.063804857853243 delta:-3.23725592829952E-02 optPrice:9.99999974737875E-05 pvDividend:0 gamma: 1.79769313486232E+308 theta/vega/undPrice: -1.29717456683366E-04-1.14182686154141E-04-1.5792</t>
  </si>
  <si>
    <t>2014-11-26 15:59:32.293: RTWSControl  - tickOptionComputation - id:200043 tickType:11 impliedVol:7.97796793550629E-02 delta:-6.92745561579911E-02 optPrice:3.00000014249235E-04 pvDividend:0 gamma: 1.79769313486232E+308 theta/vega/undPrice: -3.00156239589325E-04-1.92858741544852E-04-1.5792</t>
  </si>
  <si>
    <t>2014-11-26 15:59:32.340: RTWSControl  - tickOptionComputation - id:200044 tickType:13 impliedVol:6.90403859033353E-02 delta:0.866113152134663 optPrice:9.77200800481292E-03 pvDividend:0 gamma: 1.79769313486232E+308 theta/vega/undPrice: -4.22035455424975E-04-2.97564367706933E-04-1.5792</t>
  </si>
  <si>
    <t>2014-11-26 15:59:32.382: RTWSControl  - tickOptionComputation - id:200044 tickType:10 impliedVol:6.18277859964533E-02 delta:0.890869597521392 optPrice:9.60000045597553E-03 pvDividend:0 gamma: 1.79769313486232E+308 theta/vega/undPrice: -3.25819470082755E-04-2.54950680342831E-04-1.5792</t>
  </si>
  <si>
    <t>2014-11-26 15:59:32.427: RTWSControl  - tickOptionComputation - id:200044 tickType:11 impliedVol:0.073361007523474 delta:0.850227873721778 optPrice:9.89999994635582E-03 pvDividend:0 gamma: 1.79769313486232E+308 theta/vega/undPrice: -4.81354831640645E-04-2.97564218634925E-04-1.5792</t>
  </si>
  <si>
    <t>2014-11-26 15:59:32.496: RTWSControl  - tickOptionComputation - id:200046 tickType:13 impliedVol:6.90403859033353E-02 delta:-0.133999522283395 optPrice:5.72140049436747E-04 pvDividend:0 gamma: 1.79769313486232E+308 theta/vega/undPrice: -4.22096900321493E-04-2.97564655512525E-04-1.5792</t>
  </si>
  <si>
    <t>2014-11-26 15:59:32.542: RTWSControl  - tickOptionComputation - id:200046 tickType:10 impliedVol:6.64624993703428E-02 delta:-0.124228128411662 optPrice:5.00000023748726E-04 pvDividend:0 gamma: 1.79769313486232E+308 theta/vega/undPrice: -3.87005015875285E-04-2.92995922354201E-04-1.5792</t>
  </si>
  <si>
    <t>2014-11-26 15:59:32.583: RTWSControl  - tickOptionComputation - id:200046 tickType:11 impliedVol:6.99766518207065E-02 delta:-0.137566916872571 optPrice:6.00000028498471E-04 pvDividend:0 gamma: 1.79769313486232E+308 theta/vega/undPrice: -4.3495126269305E-04-2.97564623259251E-04-1.5792</t>
  </si>
  <si>
    <t>2014-11-26 15:59:32.629: RTWSControl  - tickOptionComputation - id:200045 tickType:13 impliedVol:6.39865571729246E-02 delta:0.707470200944155 optPrice:5.63842250294158E-03 pvDividend:0 gamma: 1.79769313486232E+308 theta/vega/undPrice: -6.24318315533661E-04-4.4528995547281E-04-1.5792</t>
  </si>
  <si>
    <t>2014-11-26 15:59:32.673: RTWSControl  - tickOptionComputation - id:200045 tickType:10 impliedVol:6.08456322339402E-02 delta:0.717414188919807 optPrice:5.49999997019768E-03 pvDividend:0 gamma: 1.79769313486232E+308 theta/vega/undPrice: -5.85864246390957E-04-4.43650169693056E-04-1.5792</t>
  </si>
  <si>
    <t>2014-11-26 15:59:32.715: RTWSControl  - tickOptionComputation - id:200045 tickType:11 impliedVol:6.76140780153771E-02 delta:0.696828390098692 optPrice:5.79999992623925E-03 pvDividend:0 gamma: 1.79769313486232E+308 theta/vega/undPrice: -6.68426496607393E-04-4.4528977770962E-04-1.5792</t>
  </si>
  <si>
    <t>2014-11-26 15:59:32.788: RTWSControl  - tickOptionComputation - id:200047 tickType:13 impliedVol:6.39865571729246E-02 delta:-0.292642892286582 optPrice:1.43848498233897E-03 pvDividend:0 gamma: 1.79769313486232E+308 theta/vega/undPrice: -6.2434787412432E-04-4.45290591575588E-04-1.5792</t>
  </si>
  <si>
    <t>2014-11-26 15:59:32.834: RTWSControl  - tickOptionComputation - id:200047 tickType:10 impliedVol:6.08410402387942E-02 delta:-0.282559030802647 optPrice:1.30000000353903E-03 pvDividend:0 gamma: 1.79769313486232E+308 theta/vega/undPrice: -5.8583276251229E-04-4.43621080698722E-04-1.5792</t>
  </si>
  <si>
    <t>2014-11-26 15:59:32.876: RTWSControl  - tickOptionComputation - id:200047 tickType:11 impliedVol:6.53680146698444E-02 delta:-0.29676328488906 optPrice:1.50000001303852E-03 pvDividend:0 gamma: 1.79769313486232E+308 theta/vega/undPrice: -6.41145517054565E-04-4.45290524741259E-04-1.5792</t>
  </si>
  <si>
    <t>2014-11-26 15:59:32.922: RTWSControl  - tickOptionComputation - id:200055 tickType:13 impliedVol:6.10090181185541E-02 delta:0.458224686179394 optPrice:2.59265027357257E-03 pvDividend:0 gamma: 1.79769313486232E+308 theta/vega/undPrice: -6.83329709199767E-04-4.83162694509506E-04-1.5792</t>
  </si>
  <si>
    <t>2014-11-26 15:59:32.963: RTWSControl  - tickOptionComputation - id:200055 tickType:10 impliedVol:5.90905297395591E-02 delta:0.456748686494287 optPrice:2.49999994412065E-03 pvDividend:0 gamma: 1.79769313486232E+308 theta/vega/undPrice: -6.61509474980196E-04-4.83162785298947E-04-1.5792</t>
  </si>
  <si>
    <t>2014-11-26 15:59:33.6: RTWSControl  - tickOptionComputation - id:200055 tickType:11 impliedVol:6.32315345388275E-02 delta:0.459704200662638 optPrice:2.70000007003546E-03 pvDividend:0 gamma: 1.79769313486232E+308 theta/vega/undPrice: -7.08607841003994E-04-4.83162586033006E-04-1.5792</t>
  </si>
  <si>
    <t>2014-11-26 15:59:33.76: RTWSControl  - tickOptionComputation - id:200049 tickType:13 impliedVol:6.90198295155469E-02 delta:0.706292884872996 optPrice:1.24198337791917E-02 pvDividend:0 gamma: 1.79769313486232E+308 theta/vega/undPrice: -3.27726727453935E-04-9.1429431296006E-04-1.5792</t>
  </si>
  <si>
    <t>2014-11-26 15:59:33.125: RTWSControl  - tickOptionComputation - id:200049 tickType:10 impliedVol:6.88029040122648E-02 delta:0.706812567918614 optPrice:1.24000003561378E-02 pvDividend:0 gamma: 1.79769313486232E+308 theta/vega/undPrice: -3.26446452432998E-04-9.14294409759778E-04-1.5792</t>
  </si>
  <si>
    <t>2014-11-26 15:59:33.167: RTWSControl  - tickOptionComputation - id:200049 tickType:11 impliedVol:7.20841111143868E-02 delta:0.697996954911161 optPrice:0.012699999846518 pvDividend:0 gamma: 1.79769313486232E+308 theta/vega/undPrice: -3.45811809453843E-04-9.14292921380974E-04-1.5792</t>
  </si>
  <si>
    <t>2014-11-26 15:59:33.212: RTWSControl  - tickOptionComputation - id:200050 tickType:13 impliedVol:6.90198295155469E-02 delta:-0.293777154120434 optPrice:3.22041311983364E-03 pvDividend:0 gamma: 1.79769313486232E+308 theta/vega/undPrice: -3.27791576317327E-04-9.14299868563814E-04-1.5792</t>
  </si>
  <si>
    <t>2014-11-26 15:59:33.253: RTWSControl  - tickOptionComputation - id:200050 tickType:10 impliedVol:6.87965641385922E-02 delta:-0.293113188639304 optPrice:3.1999999191612E-03 pvDividend:0 gamma: 1.79769313486232E+308 theta/vega/undPrice: -3.26473864722304E-04-9.14299968169087E-04-1.5792</t>
  </si>
  <si>
    <t>2014-11-26 15:59:33.297: RTWSControl  - tickOptionComputation - id:200050 tickType:11 impliedVol:7.09840278583463E-02 delta:-0.299082903390077 optPrice:3.40000004507601E-03 pvDividend:0 gamma: 1.79769313486232E+308 theta/vega/undPrice: -3.39384254091338E-04-9.14298981912715E-04-1.5792</t>
  </si>
  <si>
    <t>2014-11-26 15:59:33.367: RTWSControl  - tickOptionComputation - id:200051 tickType:13 impliedVol:7.18196141971639E-02 delta:-0.299848183949169 optPrice:3.39999746058558E-03 pvDividend:0 gamma: 1.79769313486232E+308 theta/vega/undPrice: -3.44669796522474E-04-8.59958080481735E-04-1.5792</t>
  </si>
  <si>
    <t>2014-11-26 15:59:33.414: RTWSControl  - tickOptionComputation - id:200051 tickType:10 impliedVol:6.83048520744148E-02 delta:-0.290683123164237 optPrice:3.10000008903444E-03 pvDividend:0 gamma: 1.79769313486232E+308 theta/vega/undPrice: -3.23170956798636E-04-8.47807221555805E-04-1.5792</t>
  </si>
  <si>
    <t>2014-11-26 15:59:33.457: RTWSControl  - tickOptionComputation - id:200051 tickType:11 impliedVol:7.06480262679538E-02 delta:-0.296855697519235 optPrice:3.29999998211861E-03 pvDividend:0 gamma: 1.79769313486232E+308 theta/vega/undPrice: -3.37522390394626E-04-8.56089996682776E-04-1.5792</t>
  </si>
  <si>
    <t>2014-11-26 15:59:33.503: RTWSControl  - tickOptionComputation - id:200052 tickType:13 impliedVol:0.12455209190643 delta:-0.506495804096517 optPrice:1.27000119274035E-02 pvDividend:0 gamma: 1.79769313486232E+308 theta/vega/undPrice: -6.85893734260502E-04-9.86842073095625E-04-1.5792</t>
  </si>
  <si>
    <t>2014-11-26 15:59:33.545: RTWSControl  - tickOptionComputation - id:200052 tickType:10 impliedVol:1.79769313486232E+308 delta:1.79769313486232E+308 optPrice:1.79769313486232E+308 pvDividend:0 gamma: 1.79769313486232E+308 theta/vega/undPrice: 1.79769313486232E+308-1.79769313486232E+308-1.5792</t>
  </si>
  <si>
    <t>2014-11-26 15:59:33.581: RTWSControl  - tickOptionComputation - id:200052 tickType:11 impliedVol:1.79769313486232E+308 delta:1.79769313486232E+308 optPrice:1.79769313486232E+308 pvDividend:0 gamma: 1.79769313486232E+308 theta/vega/undPrice: 1.79769313486232E+308-1.79769313486232E+308-1.5792</t>
  </si>
  <si>
    <t>2014-11-26 15:59:33.625: RTWSControl  - tickOptionComputation - id:200048 tickType:13 impliedVol:8.43797450749602E-02 delta:-2.90221253285213E-02 optPrice:2.41085905983445E-04 pvDividend:0 gamma: 1.79769313486232E+308 theta/vega/undPrice: -7.61504577418835E-05-1.89746968957293E-04-1.5792</t>
  </si>
  <si>
    <t>2014-11-26 15:59:33.673: RTWSControl  - tickOptionComputation - id:200048 tickType:10 impliedVol:8.21170087757897E-02 delta:-2.53200675017448E-02 optPrice:1.99999994947575E-04 pvDividend:0 gamma: 1.79769313486232E+308 theta/vega/undPrice: -6.63045859489326E-05-1.79326865725691E-04-1.5792</t>
  </si>
  <si>
    <t>2014-11-26 15:59:33.718: RTWSControl  - tickOptionComputation - id:200048 tickType:11 impliedVol:8.76580377590711E-02 delta:-3.40368563439817E-02 optPrice:3.00000014249235E-04 pvDividend:0 gamma: 1.79769313486232E+308 theta/vega/undPrice: -9.04153009955714E-05-2.26876135563713E-04-1.5792</t>
  </si>
  <si>
    <t>2014-11-26 15:59:33.786: RTWSControl  - tickOptionComputation - id:200053 tickType:13 impliedVol:6.37194324367982E-02 delta:9.81143442594477E-02 optPrice:7.43222963693139E-04 pvDividend:0 gamma: 1.79769313486232E+308 theta/vega/undPrice: -1.5082195296338E-04-4.59956705924469E-04-1.5792</t>
  </si>
  <si>
    <t>2014-11-26 15:59:33.833: RTWSControl  - tickOptionComputation - id:200053 tickType:10 impliedVol:6.27416269289514E-02 delta:9.44784125500616E-02 optPrice:6.99999975040555E-04 pvDividend:0 gamma: 1.79769313486232E+308 theta/vega/undPrice: -1.44492692571413E-04-4.47349991398409E-04-1.5792</t>
  </si>
  <si>
    <t>2014-11-26 15:59:33.875: RTWSControl  - tickOptionComputation - id:200053 tickType:11 impliedVol:6.49879736590762E-02 delta:0.102641000245034 optPrice:7.999999797903E-04 pvDividend:0 gamma: 1.79769313486232E+308 theta/vega/undPrice: -1.59033116929206E-04-4.81574765515522E-04-1.5792</t>
  </si>
  <si>
    <t>2014-11-26 15:59:33.920: RTWSControl  - tickOptionComputation - id:200054 tickType:13 impliedVol:6.84785538387196E-02 delta:1.55013055246781E-03 optPrice:7.74689033711697E-06 pvDividend:0 gamma: 0.291365166593991 theta/vega/undPrice: -4.66642450468502E-06-2.20595775228208E-05-1.5792</t>
  </si>
  <si>
    <t>2014-11-26 15:59:33.962: RTWSControl  - tickOptionComputation - id:200054 tickType:10 impliedVol:1.79769313486232E+308 delta:1.79769313486232E+308 optPrice:1.79769313486232E+308 pvDividend:0 gamma: 1.79769313486232E+308 theta/vega/undPrice: 1.79769313486232E+308-1.79769313486232E+308-1.5792</t>
  </si>
  <si>
    <t>2014-11-26 15:59:33.999: RTWSControl  - tickOptionComputation - id:200054 tickType:11 impliedVol:8.99762453639597E-02 delta:1.26035502900295E-02 optPrice:9.99999974737875E-05 pvDividend:0 gamma: 1.79769313486232E+308 theta/vega/undPrice: -4.00052166083288E-05-1.03776321956673E-04-1.5792</t>
  </si>
  <si>
    <t>2014-11-26 15:59:34.410: DirectionIndicator - notify - price/longMA/ShortMA/prevDirection are 1.5792/1.57919333958415/1.57921183965691/1</t>
  </si>
  <si>
    <t>2014-11-26 15:59:34.410: Algorithm - handleTransition - currentHedgeShortfall is NOT ZERO and AUTOHEDGE IS NOT ENABLED!</t>
  </si>
  <si>
    <t>2014-11-26 15:59:34.787: DirectionIndicator - notify - price/longMA/ShortMA/prevDirection are 1.57925/1.57920364147794/1.57922455977127/1</t>
  </si>
  <si>
    <t>2014-11-26 15:59:34.788: Algorithm - handleTransition - currentHedgeShortfall is NOT ZERO and AUTOHEDGE IS NOT ENABLED!</t>
  </si>
  <si>
    <t>2014-11-26 15:59:35.156: DirectionIndicator - notify - price/longMA/ShortMA/prevDirection are 1.5792/1.57920297939104/1.57921637318085/1</t>
  </si>
  <si>
    <t>2014-11-26 15:59:35.156: Algorithm - handleTransition - currentHedgeShortfall is NOT ZERO and AUTOHEDGE IS NOT ENABLED!</t>
  </si>
  <si>
    <t>2014-11-26 15:59:35.196: DirectionIndicator - notify - price/longMA/ShortMA/prevDirection are 1.57915/1.57919334677449/1.57919424878723/1</t>
  </si>
  <si>
    <t>2014-11-26 15:59:35.197: Algorithm - handleTransition - currentHedgeShortfall is NOT ZERO and AUTOHEDGE IS NOT ENABLED!</t>
  </si>
  <si>
    <t>2014-11-26 15:59:35.458: DirectionIndicator - notify - price/longMA/ShortMA/prevDirection are 1.5792/1.57919455645186/1.57919616585815/1</t>
  </si>
  <si>
    <t>2014-11-26 15:59:35.459: Algorithm - handleTransition - currentHedgeShortfall is NOT ZERO and AUTOHEDGE IS NOT ENABLED!</t>
  </si>
  <si>
    <t>2014-11-26 15:59:35.616: RTWSControl  - tickOptionComputation - id:200041 tickType:11 impliedVol:0.079800312594907 delta:0.930666861895573 optPrice:1.44999995827675E-02 pvDividend:0 gamma: 1.79769313486232E+308 theta/vega/undPrice: -3.00299219601127E-04-1.93006405655637E-04-1.5792</t>
  </si>
  <si>
    <t>2014-11-26 15:59:35.678: RTWSControl  - tickOptionComputation - id:200047 tickType:10 impliedVol:0.063117677522875 delta:-0.289897410628176 optPrice:1.39999995008111E-03 pvDividend:0 gamma: 1.79769313486232E+308 theta/vega/undPrice: -6.13782848132174E-04-4.45290633069091E-04-1.5792</t>
  </si>
  <si>
    <t>2014-11-26 15:59:35.741: RTWSControl  - tickOptionComputation - id:200049 tickType:10 impliedVol:6.77091590321901E-02 delta:0.709943051362675 optPrice:1.22999995946884E-02 pvDividend:0 gamma: 1.79769313486232E+308 theta/vega/undPrice: -3.19991261923709E-04-9.1429489435047E-04-1.5792</t>
  </si>
  <si>
    <t>2014-11-26 15:59:35.789: RTWSControl  - tickOptionComputation - id:200049 tickType:11 impliedVol:7.09903754136794E-02 delta:0.700843968479231 optPrice:1.26000000163913E-02 pvDividend:0 gamma: 1.79769313486232E+308 theta/vega/undPrice: -3.3935669893591E-04-9.14293423275181E-04-1.5792</t>
  </si>
  <si>
    <t>2014-11-26 15:59:35.839: RTWSControl  - tickOptionComputation - id:200052 tickType:10 impliedVol:1.79769313486232E+308 delta:1.79769313486232E+308 optPrice:1.79769313486232E+308 pvDividend:0 gamma: 1.79769313486232E+308 theta/vega/undPrice: 1.79769313486232E+308-1.79769313486232E+308-1.5792</t>
  </si>
  <si>
    <t>2014-11-26 15:59:35.868: RTWSControl  - tickOptionComputation - id:200052 tickType:11 impliedVol:1.79769313486232E+308 delta:1.79769313486232E+308 optPrice:1.79769313486232E+308 pvDividend:0 gamma: 1.79769313486232E+308 theta/vega/undPrice: 1.79769313486232E+308-1.79769313486232E+308-1.5792</t>
  </si>
  <si>
    <t>2014-11-26 15:59:35.909: RTWSControl  - tickOptionComputation - id:200054 tickType:10 impliedVol:1.79769313486232E+308 delta:1.79769313486232E+308 optPrice:1.79769313486232E+308 pvDividend:0 gamma: 1.79769313486232E+308 theta/vega/undPrice: 1.79769313486232E+308-1.79769313486232E+308-1.5792</t>
  </si>
  <si>
    <t>2014-11-26 15:59:36.239: DirectionIndicator - notify - price/longMA/ShortMA/prevDirection are 1.57925/1.57920463709697/1.5792141105721/1</t>
  </si>
  <si>
    <t>2014-11-26 15:59:36.240: Algorithm - handleTransition - currentHedgeShortfall is NOT ZERO and AUTOHEDGE IS NOT ENABLED!</t>
  </si>
  <si>
    <t>2014-11-26 15:59:36.705: DirectionIndicator - notify - price/longMA/ShortMA/prevDirection are 1.5793/1.57922197580661/1.5792427403814/1</t>
  </si>
  <si>
    <t>2014-11-26 15:59:36.709: Algorithm - handleTransition - currentHedgeShortfall is NOT ZERO and AUTOHEDGE IS NOT ENABLED!</t>
  </si>
  <si>
    <t>2014-11-26 15:59:36.749: DirectionIndicator - notify - price/longMA/ShortMA/prevDirection are 1.57935/1.57924525293268/1.5792784935876/1</t>
  </si>
  <si>
    <t>2014-11-26 15:59:36.749: Algorithm - handleTransition - currentHedgeShortfall is NOT ZERO and AUTOHEDGE IS NOT ENABLED!</t>
  </si>
  <si>
    <t>2014-11-26 15:59:37.616: RTWSControl  - tickOptionComputation - id:200042 tickType:13 impliedVol:8.55595407691965E-02 delta:-3.09999602933024E-02 optPrice:1.27795354061637E-04 pvDividend:0 gamma: 1.79769313486232E+308 theta/vega/undPrice: -1.67737607375703E-04-9.89473972256479E-05-1.5792</t>
  </si>
  <si>
    <t>2014-11-26 15:59:37.667: RTWSControl  - tickOptionComputation - id:200041 tickType:13 impliedVol:7.64338568754397E-02 delta:0.938395281111803 optPrice:1.44517169420594E-02 pvDividend:0 gamma: 1.79769313486232E+308 theta/vega/undPrice: -2.61654846116477E-04-1.68865176147611E-04-1.5792</t>
  </si>
  <si>
    <t>2014-11-26 15:59:37.709: RTWSControl  - tickOptionComputation - id:200041 tickType:10 impliedVol:6.38243537362159E-02 delta:0.967573012320432 optPrice:0.014299999922514 pvDividend:0 gamma: 1.79769313486232E+308 theta/vega/undPrice: -1.29799739529034E-04-1.14290789058358E-04-1.5792</t>
  </si>
  <si>
    <t>2014-11-26 15:59:37.752: RTWSControl  - tickOptionComputation - id:200041 tickType:11 impliedVol:1.79769313486232E+308 delta:1.79769313486232E+308 optPrice:1.47000001743436E-02 pvDividend:0 gamma: 1.79769313486232E+308 theta/vega/undPrice: 1.79769313486232E+308-1.79769313486232E+308-1.5792</t>
  </si>
  <si>
    <t>2014-11-26 15:59:37.791: RTWSControl  - tickOptionComputation - id:200043 tickType:13 impliedVol:7.64338568754397E-02 delta:-6.17172398341264E-02 optPrice:2.51919738886103E-04 pvDividend:0 gamma: 1.79769313486232E+308 theta/vega/undPrice: -2.61748676942551E-04-1.68865449819949E-04-1.5792</t>
  </si>
  <si>
    <t>2014-11-26 15:59:37.837: RTWSControl  - tickOptionComputation - id:200044 tickType:13 impliedVol:6.93687512084722E-02 delta:0.864844859287696 optPrice:9.7817789917224E-03 pvDividend:0 gamma: 1.79769313486232E+308 theta/vega/undPrice: -4.26543703356169E-04-2.97564356386828E-04-1.5792</t>
  </si>
  <si>
    <t>2014-11-26 15:59:37.876: RTWSControl  - tickOptionComputation - id:200044 tickType:10 impliedVol:6.64686259511045E-02 delta:0.875739473401414 optPrice:9.70000028610229E-03 pvDividend:0 gamma: 1.79769313486232E+308 theta/vega/undPrice: -3.87024620377743E-04-2.93045706986081E-04-1.5792</t>
  </si>
  <si>
    <t>2014-11-26 15:59:37.919: RTWSControl  - tickOptionComputation - id:200044 tickType:11 impliedVol:8.00654667027382E-02 delta:0.829127635821776 optPrice:1.00999996066093E-02 pvDividend:0 gamma: 1.79769313486232E+308 theta/vega/undPrice: -5.73402663114567E-04-3.03298741907525E-04-1.5792</t>
  </si>
  <si>
    <t>2014-11-26 15:59:37.958: RTWSControl  - tickOptionComputation - id:200046 tickType:13 impliedVol:6.93687512084722E-02 delta:-0.135267816450709 optPrice:5.81911045792703E-04 pvDividend:0 gamma: 1.79769313486232E+308 theta/vega/undPrice: -4.26605156810776E-04-2.97564644202972E-04-1.5792</t>
  </si>
  <si>
    <t>2014-11-26 15:59:38.1: RTWSControl  - tickOptionComputation - id:200045 tickType:13 impliedVol:6.43642237682656E-02 delta:0.706315690963198 optPrice:5.65523962564957E-03 pvDividend:0 gamma: 1.79769313486232E+308 theta/vega/undPrice: -6.28910485894719E-04-4.45289937306508E-04-1.5792</t>
  </si>
  <si>
    <t>2014-11-26 15:59:38.44: RTWSControl  - tickOptionComputation - id:200045 tickType:10 impliedVol:6.31252263226379E-02 delta:0.710065397072646 optPrice:5.59999980032444E-03 pvDividend:0 gamma: 1.79769313486232E+308 theta/vega/undPrice: -6.13845113290655E-04-4.45289996611104E-04-1.5792</t>
  </si>
  <si>
    <t>2014-11-26 15:59:38.83: RTWSControl  - tickOptionComputation - id:200045 tickType:11 impliedVol:6.98587448296172E-02 delta:0.69085023880648 optPrice:5.9000002220273E-03 pvDividend:0 gamma: 1.79769313486232E+308 theta/vega/undPrice: -6.95720093562579E-04-4.45289664049507E-04-1.5792</t>
  </si>
  <si>
    <t>2014-11-26 15:59:38.130: RTWSControl  - tickOptionComputation - id:200047 tickType:13 impliedVol:6.43642237682656E-02 delta:-0.293797404088559 optPrice:1.45530212907126E-03 pvDividend:0 gamma: 1.79769313486232E+308 theta/vega/undPrice: -6.28940059883912E-04-4.4529057340797E-04-1.5792</t>
  </si>
  <si>
    <t>2014-11-26 15:59:38.174: RTWSControl  - tickOptionComputation - id:200047 tickType:10 impliedVol:6.08410402387942E-02 delta:-0.282559030802647 optPrice:1.30000000353903E-03 pvDividend:0 gamma: 1.79769313486232E+308 theta/vega/undPrice: -5.8583276251229E-04-4.43621080698722E-04-1.5792</t>
  </si>
  <si>
    <t>2014-11-26 15:59:38.218: RTWSControl  - tickOptionComputation - id:200055 tickType:13 impliedVol:6.14202745548056E-02 delta:0.458517416464924 optPrice:2.61252065961021E-03 pvDividend:0 gamma: 1.79769313486232E+308 theta/vega/undPrice: -6.8800719857403E-04-4.831626747037E-04-1.5792</t>
  </si>
  <si>
    <t>2014-11-26 15:59:38.280: RTWSControl  - tickOptionComputation - id:200055 tickType:10 impliedVol:6.11543204548567E-02 delta:0.458270612997458 optPrice:2.60000000707805E-03 pvDividend:0 gamma: 1.79769313486232E+308 theta/vega/undPrice: -6.84982328097487E-04-4.83162687525066E-04-1.5792</t>
  </si>
  <si>
    <t>2014-11-26 15:59:38.328: RTWSControl  - tickOptionComputation - id:200055 tickType:11 impliedVol:6.53087437864104E-02 delta:0.461048612852768 optPrice:2.79999990016222E-03 pvDividend:0 gamma: 1.79769313486232E+308 theta/vega/undPrice: -7.3223328538478E-04-4.83162481446514E-04-1.5792</t>
  </si>
  <si>
    <t>2014-11-26 15:59:38.370: RTWSControl  - tickOptionComputation - id:200049 tickType:13 impliedVol:6.94746636831276E-02 delta:0.705028357540137 optPrice:1.24614191038563E-02 pvDividend:0 gamma: 1.79769313486232E+308 theta/vega/undPrice: -3.30411117182157E-04-9.14294109269314E-04-1.5792</t>
  </si>
  <si>
    <t>2014-11-26 15:59:38.415: RTWSControl  - tickOptionComputation - id:200049 tickType:10 impliedVol:6.88029040122648E-02 delta:0.706812567918614 optPrice:1.24000003561378E-02 pvDividend:0 gamma: 1.79769313486232E+308 theta/vega/undPrice: -3.26446452432998E-04-9.14294409759778E-04-1.5792</t>
  </si>
  <si>
    <t>2014-11-26 15:59:38.456: RTWSControl  - tickOptionComputation - id:200049 tickType:11 impliedVol:7.20841111143868E-02 delta:0.697996954911161 optPrice:0.012699999846518 pvDividend:0 gamma: 1.79769313486232E+308 theta/vega/undPrice: -3.45811809453843E-04-9.14292921380974E-04-1.5792</t>
  </si>
  <si>
    <t>2014-11-26 15:59:38.499: RTWSControl  - tickOptionComputation - id:200050 tickType:13 impliedVol:6.94746636831276E-02 delta:-0.295041690128187 optPrice:3.26199869716641E-03 pvDividend:0 gamma: 1.79769313486232E+308 theta/vega/undPrice: -3.30476005157972E-04-9.14299664903456E-04-1.5792</t>
  </si>
  <si>
    <t>2014-11-26 15:59:38.540: RTWSControl  - tickOptionComputation - id:200050 tickType:11 impliedVol:6.98902954655097E-02 delta:-0.29614525161864 optPrice:3.29999998211861E-03 pvDividend:0 gamma: 1.79769313486232E+308 theta/vega/undPrice: -3.32929060465241E-04-9.14299477924752E-04-1.5792</t>
  </si>
  <si>
    <t>2014-11-26 15:59:38.580: RTWSControl  - tickOptionComputation - id:200051 tickType:13 impliedVol:7.06480264891702E-02 delta:-0.296893229310848 optPrice:3.29947042773198E-03 pvDividend:0 gamma: 1.79769313486232E+308 theta/vega/undPrice: -3.37522391745926E-04-8.56089997429673E-04-1.5792</t>
  </si>
  <si>
    <t>2014-11-26 15:59:38.621: RTWSControl  - tickOptionComputation - id:200051 tickType:10 impliedVol:0.067124134732805 delta:-0.287432388718208 optPrice:3.00000002607703E-03 pvDividend:0 gamma: 1.79769313486232E+308 theta/vega/undPrice: -3.15909457614061E-04-8.43334751843656E-04-1.5792</t>
  </si>
  <si>
    <t>2014-11-26 15:59:38.667: RTWSControl  - tickOptionComputation - id:200052 tickType:13 impliedVol:0.124552091906441 delta:-0.506495804096516 optPrice:0.012700011927404 pvDividend:0 gamma: 1.79769313486232E+308 theta/vega/undPrice: -6.85893734260561E-04-9.86842073095625E-04-1.5792</t>
  </si>
  <si>
    <t>2014-11-26 15:59:38.707: RTWSControl  - tickOptionComputation - id:200052 tickType:10 impliedVol:1.79769313486232E+308 delta:1.79769313486232E+308 optPrice:1.79769313486232E+308 pvDividend:0 gamma: 1.79769313486232E+308 theta/vega/undPrice: 1.79769313486232E+308-1.79769313486232E+308-1.5792</t>
  </si>
  <si>
    <t>2014-11-26 15:59:38.743: RTWSControl  - tickOptionComputation - id:200052 tickType:11 impliedVol:1.79769313486232E+308 delta:1.79769313486232E+308 optPrice:1.79769313486232E+308 pvDividend:0 gamma: 1.79769313486232E+308 theta/vega/undPrice: 1.79769313486232E+308-1.79769313486232E+308-1.5792</t>
  </si>
  <si>
    <t>2014-11-26 15:59:38.784: RTWSControl  - tickOptionComputation - id:200048 tickType:13 impliedVol:8.50369358912388E-02 delta:-3.00594066046797E-02 optPrice:2.5287111796986E-04 pvDividend:0 gamma: 1.79769313486232E+308 theta/vega/undPrice: -7.90100967226857E-05-1.97190165695755E-04-1.5792</t>
  </si>
  <si>
    <t>2014-11-26 15:59:38.833: RTWSControl  - tickOptionComputation - id:200053 tickType:13 impliedVol:6.36555381327728E-02 delta:0.097880923241748 optPrice:7.40364647324746E-04 pvDividend:0 gamma: 1.79769313486232E+308 theta/vega/undPrice: -1.5040837014535E-04-4.58867839744037E-04-1.5792</t>
  </si>
  <si>
    <t>2014-11-26 15:59:38.872: RTWSControl  - tickOptionComputation - id:200054 tickType:13 impliedVol:6.75795592401762E-02 delta:1.38260186420257E-03 optPrice:6.77758480461509E-06 pvDividend:0 gamma: 0.265275238330713 theta/vega/undPrice: -4.13775645802608E-06-2.07671800680716E-05-1.5792</t>
  </si>
  <si>
    <t>2014-11-26 15:59:38.911: RTWSControl  - tickOptionComputation - id:200054 tickType:10 impliedVol:1.79769313486232E+308 delta:1.79769313486232E+308 optPrice:1.79769313486232E+308 pvDividend:0 gamma: 1.79769313486232E+308 theta/vega/undPrice: 1.79769313486232E+308-1.79769313486232E+308-1.5792</t>
  </si>
  <si>
    <t>2014-11-26 15:59:39.75: RTWSControl  - tickOptionComputation - id:200041 tickType:11 impliedVol:1.79769313486232E+308 delta:1.79769313486232E+308 optPrice:1.47000001743436E-02 pvDividend:0 gamma: 1.79769313486232E+308 theta/vega/undPrice: 1.79769313486232E+308-1.79769313486232E+308-1.5792</t>
  </si>
  <si>
    <t>2014-11-26 15:59:39.133: RTWSControl  - tickOptionComputation - id:200052 tickType:10 impliedVol:1.79769313486232E+308 delta:1.79769313486232E+308 optPrice:1.79769313486232E+308 pvDividend:0 gamma: 1.79769313486232E+308 theta/vega/undPrice: 1.79769313486232E+308-1.79769313486232E+308-1.5792</t>
  </si>
  <si>
    <t>2014-11-26 15:59:39.168: RTWSControl  - tickOptionComputation - id:200052 tickType:11 impliedVol:1.79769313486232E+308 delta:1.79769313486232E+308 optPrice:1.79769313486232E+308 pvDividend:0 gamma: 1.79769313486232E+308 theta/vega/undPrice: 1.79769313486232E+308-1.79769313486232E+308-1.5792</t>
  </si>
  <si>
    <t>2014-11-26 15:59:39.233: RTWSControl  - tickOptionComputation - id:200054 tickType:10 impliedVol:1.79769313486232E+308 delta:1.79769313486232E+308 optPrice:1.79769313486232E+308 pvDividend:0 gamma: 1.79769313486232E+308 theta/vega/undPrice: 1.79769313486232E+308-1.79769313486232E+308-1.5792</t>
  </si>
  <si>
    <t>2014-11-26 15:59:39.293: DirectionIndicator - notify - price/longMA/ShortMA/prevDirection are 1.5793/1.57925520694492/1.57928566239173/1</t>
  </si>
  <si>
    <t>2014-11-26 15:59:39.293: Algorithm - handleTransition - currentHedgeShortfall is NOT ZERO and AUTOHEDGE IS NOT ENABLED!</t>
  </si>
  <si>
    <t>2014-11-26 15:59:39.330: DirectionIndicator - notify - price/longMA/ShortMA/prevDirection are 1.57925/1.57925426022766/1.57927377492782/1</t>
  </si>
  <si>
    <t>2014-11-26 15:59:39.331: Algorithm - handleTransition - currentHedgeShortfall is NOT ZERO and AUTOHEDGE IS NOT ENABLED!</t>
  </si>
  <si>
    <t>2014-11-26 15:59:40.242: DirectionIndicator - notify - price/longMA/ShortMA/prevDirection are 1.5793/1.57926257654991/1.57928251661855/1</t>
  </si>
  <si>
    <t>2014-11-26 15:59:40.242: Algorithm - handleTransition - currentHedgeShortfall is NOT ZERO and AUTOHEDGE IS NOT ENABLED!</t>
  </si>
  <si>
    <t>2014-11-26 15:59:40.283: DirectionIndicator - notify - price/longMA/ShortMA/prevDirection are 1.57935/1.57927847172265/1.57930501107903/1</t>
  </si>
  <si>
    <t>2014-11-26 15:59:40.284: Algorithm - handleTransition - currentHedgeShortfall is NOT ZERO and AUTOHEDGE IS NOT ENABLED!</t>
  </si>
  <si>
    <t>2014-11-26 15:59:40.863: RTWSControl  - tickOptionComputation - id:200042 tickType:13 impliedVol:8.62234418911783E-02 delta:-3.20285721260424E-02 optPrice:1.33621996585353E-04 pvDividend:0 gamma: 1.79769313486232E+308 theta/vega/undPrice: -1.73717896809477E-04-1.02627370499901E-04-1.5792</t>
  </si>
  <si>
    <t>2014-11-26 15:59:40.914: RTWSControl  - tickOptionComputation - id:200041 tickType:11 impliedVol:1.79769313486232E+308 delta:1.79769313486232E+308 optPrice:1.47000001743436E-02 pvDividend:0 gamma: 1.79769313486232E+308 theta/vega/undPrice: 1.79769313486232E+308-1.79769313486232E+308-1.5792</t>
  </si>
  <si>
    <t>2014-11-26 15:59:40.953: RTWSControl  - tickOptionComputation - id:200041 tickType:13 impliedVol:7.71285792844623E-02 delta:0.936770163797965 optPrice:1.44616808447781E-02 pvDividend:0 gamma: 1.79769313486232E+308 theta/vega/undPrice: -2.69629737399717E-04-1.7384710945377E-04-1.5792</t>
  </si>
  <si>
    <t>2014-11-26 15:59:40.998: RTWSControl  - tickOptionComputation - id:200043 tickType:13 impliedVol:7.71285792844623E-02 delta:-6.33423583313772E-02 optPrice:2.61883648438315E-04 pvDividend:0 gamma: 1.79769313486232E+308 theta/vega/undPrice: -2.69723577171565E-04-1.73847388405449E-04-1.5792</t>
  </si>
  <si>
    <t>2014-11-26 15:59:41.39: RTWSControl  - tickOptionComputation - id:200044 tickType:13 impliedVol:6.98277805150127E-02 delta:0.863091925296162 optPrice:9.79543807527841E-03 pvDividend:0 gamma: 1.79769313486232E+308 theta/vega/undPrice: -4.32845884840806E-04-2.97564340567737E-04-1.5792</t>
  </si>
  <si>
    <t>2014-11-26 15:59:41.82: RTWSControl  - tickOptionComputation - id:200046 tickType:13 impliedVol:6.98277805150127E-02 delta:-0.137020752267045 optPrice:5.95570142559012E-04 pvDividend:0 gamma: 1.79769313486232E+308 theta/vega/undPrice: -4.32907350261187E-04-2.97564628388417E-04-1.5792</t>
  </si>
  <si>
    <t>2014-11-26 15:59:41.127: RTWSControl  - tickOptionComputation - id:200045 tickType:13 impliedVol:6.43210455828438E-02 delta:0.70644699518026 optPrice:5.65331694347564E-03 pvDividend:0 gamma: 1.79769313486232E+308 theta/vega/undPrice: -6.28385468386383E-04-4.45289939388047E-04-1.5792</t>
  </si>
  <si>
    <t>2014-11-26 15:59:41.167: RTWSControl  - tickOptionComputation - id:200047 tickType:13 impliedVol:6.43210455828438E-02 delta:-0.29366609966436 optPrice:1.45337944415112E-03 pvDividend:0 gamma: 1.79769313486232E+308 theta/vega/undPrice: -6.28415040615299E-04-4.45290575489788E-04-1.5792</t>
  </si>
  <si>
    <t>2014-11-26 15:59:41.209: RTWSControl  - tickOptionComputation - id:200055 tickType:11 impliedVol:6.32315345388275E-02 delta:0.459704200662638 optPrice:2.70000007003546E-03 pvDividend:0 gamma: 1.79769313486232E+308 theta/vega/undPrice: -7.08607841003994E-04-4.83162586033006E-04-1.5792</t>
  </si>
  <si>
    <t>2014-11-26 15:59:41.248: RTWSControl  - tickOptionComputation - id:200055 tickType:13 impliedVol:6.06083744879271E-02 delta:0.457935771964133 optPrice:2.57329265822715E-03 pvDividend:0 gamma: 1.79769313486232E+308 theta/vega/undPrice: -6.78772925737792E-04-4.83162713688203E-04-1.5792</t>
  </si>
  <si>
    <t>2014-11-26 15:59:41.290: RTWSControl  - tickOptionComputation - id:200049 tickType:13 impliedVol:6.94179595261115E-02 delta:0.705185092525709 optPrice:1.24562346636151E-02 pvDividend:0 gamma: 1.79769313486232E+308 theta/vega/undPrice: -3.30076454503594E-04-9.14294134716501E-04-1.5792</t>
  </si>
  <si>
    <t>2014-11-26 15:59:41.333: RTWSControl  - tickOptionComputation - id:200050 tickType:13 impliedVol:6.94179595261115E-02 delta:-0.29488495406746 optPrice:3.25681422542509E-03 pvDividend:0 gamma: 1.79769313486232E+308 theta/vega/undPrice: -3.3014133760327E-04-9.14299690348365E-04-1.5792</t>
  </si>
  <si>
    <t>2014-11-26 15:59:41.379: RTWSControl  - tickOptionComputation - id:200052 tickType:10 impliedVol:1.79769313486232E+308 delta:1.79769313486232E+308 optPrice:1.79769313486232E+308 pvDividend:0 gamma: 1.79769313486232E+308 theta/vega/undPrice: 1.79769313486232E+308-1.79769313486232E+308-1.5792</t>
  </si>
  <si>
    <t>2014-11-26 15:59:41.412: RTWSControl  - tickOptionComputation - id:200052 tickType:11 impliedVol:1.79769313486232E+308 delta:1.79769313486232E+308 optPrice:1.79769313486232E+308 pvDividend:0 gamma: 1.79769313486232E+308 theta/vega/undPrice: 1.79769313486232E+308-1.79769313486232E+308-1.5792</t>
  </si>
  <si>
    <t>2014-11-26 15:59:41.456: RTWSControl  - tickOptionComputation - id:200048 tickType:13 impliedVol:8.48565982412595E-02 delta:-2.97763748520634E-02 optPrice:2.49637175726301E-04 pvDividend:0 gamma: 1.79769313486232E+308 theta/vega/undPrice: -7.82253923973455E-05-1.95147702115842E-04-1.5792</t>
  </si>
  <si>
    <t>2014-11-26 15:59:41.500: RTWSControl  - tickOptionComputation - id:200053 tickType:13 impliedVol:6.37081960383892E-02 delta:9.80733288342314E-02 optPrice:7.42720302593232E-04 pvDividend:0 gamma: 1.79769313486232E+308 theta/vega/undPrice: -1.50749220639243E-04-4.59765218840434E-04-1.5792</t>
  </si>
  <si>
    <t>2014-11-26 15:59:41.541: RTWSControl  - tickOptionComputation - id:200054 tickType:13 impliedVol:6.77273077780889E-02 delta:1.41043982380681E-03 optPrice:6.93688887261797E-06 pvDividend:0 gamma: 0.26966515373023 theta/vega/undPrice: -4.22464234672742E-06-2.09795838527946E-05-1.5792</t>
  </si>
  <si>
    <t>2014-11-26 15:59:41.581: RTWSControl  - tickOptionComputation - id:200054 tickType:10 impliedVol:1.79769313486232E+308 delta:1.79769313486232E+308 optPrice:1.79769313486232E+308 pvDividend:0 gamma: 1.79769313486232E+308 theta/vega/undPrice: 1.79769313486232E+308-1.79769313486232E+308-1.5792</t>
  </si>
  <si>
    <t>2014-11-26 15:59:41.832: DirectionIndicator - notify - price/longMA/ShortMA/prevDirection are 1.5794/1.57930056777308/1.57933667405269/1</t>
  </si>
  <si>
    <t>2014-11-26 15:59:41.832: Algorithm - handleTransition - currentHedgeShortfall is NOT ZERO and AUTOHEDGE IS NOT ENABLED!</t>
  </si>
  <si>
    <t>2014-11-26 15:59:41.874: DirectionIndicator - notify - price/longMA/ShortMA/prevDirection are 1.57945/1.57932773726888/1.57937444936846/1</t>
  </si>
  <si>
    <t>2014-11-26 15:59:41.875: Algorithm - handleTransition - currentHedgeShortfall is NOT ZERO and AUTOHEDGE IS NOT ENABLED!</t>
  </si>
  <si>
    <t>2014-11-26 15:59:42.705: DirectionIndicator - notify - price/longMA/ShortMA/prevDirection are 1.5794/1.57934087594727/1.57938296624564/1</t>
  </si>
  <si>
    <t>2014-11-26 15:59:42.705: Algorithm - handleTransition - currentHedgeShortfall is NOT ZERO and AUTOHEDGE IS NOT ENABLED!</t>
  </si>
  <si>
    <t>2014-11-26 15:59:42.746: DirectionIndicator - notify - price/longMA/ShortMA/prevDirection are 1.57935/1.57934253486595/1.57937197749709/1</t>
  </si>
  <si>
    <t>2014-11-26 15:59:42.747: Algorithm - handleTransition - currentHedgeShortfall is NOT ZERO and AUTOHEDGE IS NOT ENABLED!</t>
  </si>
  <si>
    <t>2014-11-26 15:59:43.323: RTWSControl  - tickOptionComputation - id:200042 tickType:10 impliedVol:9.45202810277872E-02 delta:-4.24104121738069E-02 optPrice:1.99999994947575E-04 pvDividend:0 gamma: 1.79769313486232E+308 theta/vega/undPrice: -2.42251768457384E-04-1.43202233041184E-04-1.5794</t>
  </si>
  <si>
    <t>2014-11-26 15:59:43.375: RTWSControl  - tickOptionComputation - id:200042 tickType:11 impliedVol:8.31267658879069E-02 delta:-2.56612339244612E-02 optPrice:9.99999974737875E-05 pvDividend:0 gamma: 1.79769313486232E+308 theta/vega/undPrice: -1.39590229141014E-04-8.7769242414181E-05-1.5794</t>
  </si>
  <si>
    <t>2014-11-26 15:59:43.422: RTWSControl  - tickOptionComputation - id:200042 tickType:13 impliedVol:8.62234418911783E-02 delta:-3.06538615602686E-02 optPrice:1.271792868361E-04 pvDividend:0 gamma: 1.79769313486232E+308 theta/vega/undPrice: -1.6748624438709E-04-9.72657307596486E-05-1.5794</t>
  </si>
  <si>
    <t>2014-11-26 15:59:43.465: RTWSControl  - tickOptionComputation - id:200041 tickType:10 impliedVol:3.68662585691991E-02 delta:0.999473377954598 optPrice:1.43999997526407E-02 pvDividend:0 gamma: 0.400559538471468 theta/vega/undPrice: -1.76554139326722E-06-8.26789719213239E-06-1.5794</t>
  </si>
  <si>
    <t>2014-11-26 15:59:43.510: RTWSControl  - tickOptionComputation - id:200041 tickType:11 impliedVol:8.06245851315539E-02 delta:0.93130368170436 optPrice:1.47000001743436E-02 pvDividend:0 gamma: 1.79769313486232E+308 theta/vega/undPrice: -3.01147362793276E-04-1.90596007201137E-04-1.5794</t>
  </si>
  <si>
    <t>2014-11-26 15:59:43.579: RTWSControl  - tickOptionComputation - id:200041 tickType:13 impliedVol:7.71285792844623E-02 delta:0.939281902910991 optPrice:1.46498563193746E-02 pvDividend:0 gamma: 1.79769313486232E+308 theta/vega/undPrice: -2.61013315981755E-04-1.65524174381893E-04-1.5794</t>
  </si>
  <si>
    <t>2014-11-26 15:59:43.626: RTWSControl  - tickOptionComputation - id:200043 tickType:10 impliedVol:6.45585060664167E-02 delta:-3.20808161616865E-02 optPrice:9.99999974737875E-05 pvDividend:0 gamma: 1.79769313486232E+308 theta/vega/undPrice: -1.30273044459019E-04-1.12997571468266E-04-1.5794</t>
  </si>
  <si>
    <t>2014-11-26 15:59:43.667: RTWSControl  - tickOptionComputation - id:200043 tickType:11 impliedVol:8.06102338102045E-02 delta:-6.86515495243249E-02 optPrice:3.00000014249235E-04 pvDividend:0 gamma: 1.79769313486232E+308 theta/vega/undPrice: -3.01077802489959E-04-1.90493384490292E-04-1.5794</t>
  </si>
  <si>
    <t>2014-11-26 15:59:43.714: RTWSControl  - tickOptionComputation - id:200043 tickType:13 impliedVol:7.71285792844623E-02 delta:-6.08306173874171E-02 optPrice:2.50061968788489E-04 pvDividend:0 gamma: 1.79769313486232E+308 theta/vega/undPrice: -2.61108463515853E-04-1.65524446596897E-04-1.5794</t>
  </si>
  <si>
    <t>2014-11-26 15:59:43.756: RTWSControl  - tickOptionComputation - id:200044 tickType:10 impliedVol:5.81237799130655E-02 delta:0.909688785227486 optPrice:9.70000028610229E-03 pvDividend:0 gamma: 1.79769313486232E+308 theta/vega/undPrice: -2.66374899398375E-04-2.15491535323046E-04-1.5794</t>
  </si>
  <si>
    <t>2014-11-26 15:59:43.803: RTWSControl  - tickOptionComputation - id:200044 tickType:11 impliedVol:7.44199635032978E-02 delta:0.852040710566684 optPrice:1.00999996066093E-02 pvDividend:0 gamma: 1.79769313486232E+308 theta/vega/undPrice: -4.84526860214307E-04-2.975830227315E-04-1.5794</t>
  </si>
  <si>
    <t>2014-11-26 15:59:43.871: RTWSControl  - tickOptionComputation - id:200044 tickType:13 impliedVol:6.98277805150127E-02 delta:0.868845877441203 optPrice:9.96334383445892E-03 pvDividend:0 gamma: 1.79769313486232E+308 theta/vega/undPrice: -4.21475139421409E-04-2.97583184563181E-04-1.5794</t>
  </si>
  <si>
    <t>2014-11-26 15:59:43.916: RTWSControl  - tickOptionComputation - id:200046 tickType:10 impliedVol:6.73986283399316E-02 delta:-0.122708520112133 optPrice:5.00000023748726E-04 pvDividend:0 gamma: 1.79769313486232E+308 theta/vega/undPrice: -3.88765388227728E-04-2.88774656355278E-04-1.5794</t>
  </si>
  <si>
    <t>2014-11-26 15:59:43.961: RTWSControl  - tickOptionComputation - id:200046 tickType:11 impliedVol:7.10550422421509E-02 delta:-0.135923881251075 optPrice:6.00000028498471E-04 pvDividend:0 gamma: 1.79769313486232E+308 theta/vega/undPrice: -4.38388523522342E-04-2.97583429180178E-04-1.5794</t>
  </si>
  <si>
    <t>2014-11-26 15:59:44.5: RTWSControl  - tickOptionComputation - id:200046 tickType:13 impliedVol:6.98277805150127E-02 delta:-0.131266794125368 optPrice:5.63478729219262E-04 pvDividend:0 gamma: 1.79769313486232E+308 theta/vega/undPrice: -4.21537901596389E-04-2.97583472362614E-04-1.5794</t>
  </si>
  <si>
    <t>2014-11-26 15:59:44.47: RTWSControl  - tickOptionComputation - id:200045 tickType:10 impliedVol:6.21016037147086E-02 delta:0.722099963902055 optPrice:5.70000009611249E-03 pvDividend:0 gamma: 1.79769313486232E+308 theta/vega/undPrice: -5.92122088648324E-04-4.32797775222629E-04-1.5794</t>
  </si>
  <si>
    <t>2014-11-26 15:59:44.93: RTWSControl  - tickOptionComputation - id:200045 tickType:11 impliedVol:6.68739332153259E-02 delta:0.707877905961414 optPrice:5.9000002220273E-03 pvDividend:0 gamma: 1.79769313486232E+308 theta/vega/undPrice: -6.52158401577126E-04-4.45318016166097E-04-1.5794</t>
  </si>
  <si>
    <t>2014-11-26 15:59:44.162: RTWSControl  - tickOptionComputation - id:200045 tickType:13 impliedVol:6.43210455828438E-02 delta:0.715794458356375 optPrice:5.78631545952567E-03 pvDividend:0 gamma: 1.79769313486232E+308 theta/vega/undPrice: -6.21115060063718E-04-4.45318142167278E-04-1.5794</t>
  </si>
  <si>
    <t>2014-11-26 15:59:44.209: RTWSControl  - tickOptionComputation - id:200047 tickType:10 impliedVol:6.20998996395825E-02 delta:-0.277881580700689 optPrice:1.30000000353903E-03 pvDividend:0 gamma: 1.79769313486232E+308 theta/vega/undPrice: -5.9213004486431E-04-4.32787759469133E-04-1.5794</t>
  </si>
  <si>
    <t>2014-11-26 15:59:44.251: RTWSControl  - tickOptionComputation - id:200047 tickType:11 impliedVol:0.066872458891757 delta:-0.292104412542645 optPrice:1.50000001303852E-03 pvDividend:0 gamma: 1.79769313486232E+308 theta/vega/undPrice: -6.52171433425641E-04-4.45318652382806E-04-1.5794</t>
  </si>
  <si>
    <t>2014-11-26 15:59:44.296: RTWSControl  - tickOptionComputation - id:200047 tickType:13 impliedVol:6.43210455828438E-02 delta:-0.284318621729115 optPrice:1.38638074185096E-03 pvDividend:0 gamma: 1.79769313486232E+308 theta/vega/undPrice: -6.21145915779915E-04-4.45318778308305E-04-1.5794</t>
  </si>
  <si>
    <t>2014-11-26 15:59:44.339: RTWSControl  - tickOptionComputation - id:200055 tickType:10 impliedVol:5.93232954885258E-02 delta:0.467923394285999 optPrice:2.60000000707805E-03 pvDividend:0 gamma: 1.79769313486232E+308 theta/vega/undPrice: -6.66842019863027E-04-4.83193372814861E-04-1.5794</t>
  </si>
  <si>
    <t>2014-11-26 15:59:44.382: RTWSControl  - tickOptionComputation - id:200055 tickType:11 impliedVol:6.34587658069027E-02 delta:0.470136380966725 optPrice:2.79999990016222E-03 pvDividend:0 gamma: 1.79769313486232E+308 theta/vega/undPrice: -7.13880414389734E-04-4.83193173808301E-04-1.5794</t>
  </si>
  <si>
    <t>2014-11-26 15:59:44.498: RTWSControl  - tickOptionComputation - id:200055 tickType:13 impliedVol:6.06083744879271E-02 delta:0.468701736902845 optPrice:2.66224929262974E-03 pvDividend:0 gamma: 1.79769313486232E+308 theta/vega/undPrice: -6.81458997192467E-04-4.8319331228788E-04-1.5794</t>
  </si>
  <si>
    <t>2014-11-26 15:59:44.571: RTWSControl  - tickOptionComputation - id:200049 tickType:10 impliedVol:6.84396959695477E-02 delta:0.712103391620542 optPrice:1.25000001862645E-02 pvDividend:0 gamma: 1.79769313486232E+308 theta/vega/undPrice: -3.22597288626795E-04-9.14352493575174E-04-1.5794</t>
  </si>
  <si>
    <t>2014-11-26 15:59:44.622: RTWSControl  - tickOptionComputation - id:200049 tickType:11 impliedVol:7.17206953236557E-02 delta:0.703001110306593 optPrice:1.27999996766448E-02 pvDividend:0 gamma: 1.79769313486232E+308 theta/vega/undPrice: -3.4196265485133E-04-9.14351004555457E-04-1.5794</t>
  </si>
  <si>
    <t>2014-11-26 15:59:44.668: RTWSControl  - tickOptionComputation - id:200049 tickType:13 impliedVol:6.94179595261115E-02 delta:0.709388161588387 optPrice:1.25894481604004E-02 pvDividend:0 gamma: 1.79769313486232E+308 theta/vega/undPrice: -3.28371278805985E-04-9.14352055038647E-04-1.5794</t>
  </si>
  <si>
    <t>2014-11-26 15:59:44.708: RTWSControl  - tickOptionComputation - id:200050 tickType:10 impliedVol:6.95268929505604E-02 delta:-0.290952515892697 optPrice:3.1999999191612E-03 pvDividend:0 gamma: 1.79769313486232E+308 theta/vega/undPrice: -3.29080408072214E-04-9.14357561796103E-04-1.5794</t>
  </si>
  <si>
    <t>2014-11-26 15:59:44.749: RTWSControl  - tickOptionComputation - id:200050 tickType:11 impliedVol:7.06205553167365E-02 delta:-0.293985691784056 optPrice:3.29999998211861E-03 pvDividend:0 gamma: 1.79769313486232E+308 theta/vega/undPrice: -3.35535600177549E-04-9.14357065572704E-04-1.5794</t>
  </si>
  <si>
    <t>2014-11-26 15:59:44.794: RTWSControl  - tickOptionComputation - id:200050 tickType:13 impliedVol:6.94179595261115E-02 delta:-0.290681856110037 optPrice:3.19003948550052E-03 pvDividend:0 gamma: 1.79769313486232E+308 theta/vega/undPrice: -3.28437443015001E-04-9.14357610907129E-04-1.5794</t>
  </si>
  <si>
    <t>2014-11-26 15:59:44.838: RTWSControl  - tickOptionComputation - id:200051 tickType:10 impliedVol:6.78056325049753E-02 delta:-0.285258063009439 optPrice:3.00000002607703E-03 pvDividend:0 gamma: 1.79769313486232E+308 theta/vega/undPrice: -3.18009049141814E-04-8.40406877895192E-04-1.5794</t>
  </si>
  <si>
    <t>2014-11-26 15:59:44.880: RTWSControl  - tickOptionComputation - id:200051 tickType:11 impliedVol:7.13473274894893E-02 delta:-0.294710430544869 optPrice:3.29999998211861E-03 pvDividend:0 gamma: 1.79769313486232E+308 theta/vega/undPrice: -3.39772657110442E-04-8.53350415063757E-04-1.5794</t>
  </si>
  <si>
    <t>2014-11-26 15:59:44.949: RTWSControl  - tickOptionComputation - id:200051 tickType:13 impliedVol:7.06480264891702E-02 delta:-0.292945903043895 optPrice:3.24049413785774E-03 pvDividend:0 gamma: 1.79769313486232E+308 theta/vega/undPrice: -3.35489530192951E-04-8.50933205493112E-04-1.5794</t>
  </si>
  <si>
    <t>2014-11-26 15:59:44.998: RTWSControl  - tickOptionComputation - id:200052 tickType:10 impliedVol:1.79769313486232E+308 delta:1.79769313486232E+308 optPrice:1.79769313486232E+308 pvDividend:0 gamma: 1.79769313486232E+308 theta/vega/undPrice: 1.79769313486232E+308-1.79769313486232E+308-1.5794</t>
  </si>
  <si>
    <t>2014-11-26 15:59:45.35: RTWSControl  - tickOptionComputation - id:200052 tickType:11 impliedVol:1.79769313486232E+308 delta:1.79769313486232E+308 optPrice:1.79769313486232E+308 pvDividend:0 gamma: 1.79769313486232E+308 theta/vega/undPrice: 1.79769313486232E+308-1.79769313486232E+308-1.5794</t>
  </si>
  <si>
    <t>2014-11-26 15:59:45.76: RTWSControl  - tickOptionComputation - id:200052 tickType:13 impliedVol:0.124552091906441 delta:-0.503906783586132 optPrice:1.25989933213097E-02 pvDividend:0 gamma: 1.79769313486232E+308 theta/vega/undPrice: -6.86038948688975E-04-9.87050021102582E-04-1.5794</t>
  </si>
  <si>
    <t>2014-11-26 15:59:45.120: RTWSControl  - tickOptionComputation - id:200048 tickType:10 impliedVol:8.24453114042306E-02 delta:-2.51752555883599E-02 optPrice:1.99999994947575E-04 pvDividend:0 gamma: 1.79769313486232E+308 theta/vega/undPrice: -6.62711569578622E-05-1.79338187563186E-04-1.5794</t>
  </si>
  <si>
    <t>2014-11-26 15:59:45.164: RTWSControl  - tickOptionComputation - id:200048 tickType:11 impliedVol:8.80033419368148E-02 delta:-3.38928606140617E-02 optPrice:3.00000014249235E-04 pvDividend:0 gamma: 1.79769313486232E+308 theta/vega/undPrice: -9.04573762110497E-05-2.25468308042581E-04-1.5794</t>
  </si>
  <si>
    <t>2014-11-26 15:59:45.209: RTWSControl  - tickOptionComputation - id:200048 tickType:13 impliedVol:8.48565982412595E-02 delta:-2.91017263328466E-02 optPrice:2.43243667428614E-04 pvDividend:0 gamma: 1.79769313486232E+308 theta/vega/undPrice: -7.67640797444515E-05-1.89826787068425E-04-1.5794</t>
  </si>
  <si>
    <t>2014-11-26 15:59:45.250: RTWSControl  - tickOptionComputation - id:200053 tickType:10 impliedVol:6.22782247340877E-02 delta:9.50154747855927E-02 optPrice:6.99999975040555E-04 pvDividend:0 gamma: 1.79769313486232E+308 theta/vega/undPrice: -1.44034314691964E-04-4.47461009346044E-04-1.5794</t>
  </si>
  <si>
    <t>2014-11-26 15:59:45.290: RTWSControl  - tickOptionComputation - id:200053 tickType:11 impliedVol:6.45396400669402E-02 delta:0.103270124474318 optPrice:7.999999797903E-04 pvDividend:0 gamma: 1.79769313486232E+308 theta/vega/undPrice: -1.58673208414225E-04-4.86001765300712E-04-1.5794</t>
  </si>
  <si>
    <t>2014-11-26 15:59:45.335: RTWSControl  - tickOptionComputation - id:200053 tickType:13 impliedVol:6.37081960383892E-02 delta:0.100315715092502 optPrice:7.63162827598354E-04 pvDividend:0 gamma: 1.79769313486232E+308 theta/vega/undPrice: -1.5329099732227E-04-4.71831673635274E-04-1.5794</t>
  </si>
  <si>
    <t>2014-11-26 15:59:45.378: RTWSControl  - tickOptionComputation - id:200054 tickType:10 impliedVol:1.79769313486232E+308 delta:1.79769313486232E+308 optPrice:1.79769313486232E+308 pvDividend:0 gamma: 1.79769313486232E+308 theta/vega/undPrice: 1.79769313486232E+308-1.79769313486232E+308-1.5794</t>
  </si>
  <si>
    <t>2014-11-26 15:59:45.414: RTWSControl  - tickOptionComputation - id:200054 tickType:11 impliedVol:8.96261470937801E-02 delta:1.26127099174909E-02 optPrice:9.99999974737875E-05 pvDividend:0 gamma: 1.79769313486232E+308 theta/vega/undPrice: -3.98787039451137E-05-1.03782915321515E-04-1.5794</t>
  </si>
  <si>
    <t>2014-11-26 15:59:45.482: RTWSControl  - tickOptionComputation - id:200054 tickType:13 impliedVol:6.77273077780889E-02 delta:1.46126744930718E-03 optPrice:7.20167833480223E-06 pvDividend:0 gamma: 0.278702159820826 theta/vega/undPrice: -4.36732416554902E-06-2.13870891403578E-05-1.5794</t>
  </si>
  <si>
    <t>2014-11-26 15:59:46.247: DirectionIndicator - notify - price/longMA/ShortMA/prevDirection are 1.5793/1.57933480125396/1.57934798499806/1</t>
  </si>
  <si>
    <t>2014-11-26 15:59:46.248: Algorithm - handleTransition - currentHedgeShortfall is NOT ZERO and AUTOHEDGE IS NOT ENABLED!</t>
  </si>
  <si>
    <t>2014-11-26 15:59:46.414: DirectionIndicator - notify - price/longMA/ShortMA/prevDirection are 1.57935/1.57933756466233/1.57934865666537/1</t>
  </si>
  <si>
    <t>2014-11-26 15:59:46.415: Algorithm - handleTransition - currentHedgeShortfall is NOT ZERO and AUTOHEDGE IS NOT ENABLED!</t>
  </si>
  <si>
    <t>2014-11-26 15:59:46.615: DirectionIndicator - notify - price/longMA/ShortMA/prevDirection are 1.5794/1.5793489165419/1.57936577111025/1</t>
  </si>
  <si>
    <t>2014-11-26 15:59:46.615: Algorithm - handleTransition - currentHedgeShortfall is NOT ZERO and AUTOHEDGE IS NOT ENABLED!</t>
  </si>
  <si>
    <t>2014-11-26 15:59:46.657: DirectionIndicator - notify - price/longMA/ShortMA/prevDirection are 1.57945/1.57936729535247/1.57939384740683/1</t>
  </si>
  <si>
    <t>2014-11-26 15:59:46.657: Algorithm - handleTransition - currentHedgeShortfall is NOT ZERO and AUTOHEDGE IS NOT ENABLED!</t>
  </si>
  <si>
    <t>2014-11-26 15:59:47.164: DirectionIndicator - notify - price/longMA/ShortMA/prevDirection are 1.5794/1.57937324165202/1.57939589827122/1</t>
  </si>
  <si>
    <t>2014-11-26 15:59:47.167: Algorithm - handleTransition - currentHedgeShortfall is NOT ZERO and AUTOHEDGE IS NOT ENABLED!</t>
  </si>
  <si>
    <t>2014-11-26 15:59:47.208: DirectionIndicator - notify - price/longMA/ShortMA/prevDirection are 1.57935/1.57936901589711/1.57938059884748/1</t>
  </si>
  <si>
    <t>2014-11-26 15:59:47.208: Algorithm - handleTransition - currentHedgeShortfall is NOT ZERO and AUTOHEDGE IS NOT ENABLED!</t>
  </si>
  <si>
    <t>2014-11-26 15:59:47.497: DirectionIndicator - notify - price/longMA/ShortMA/prevDirection are 1.5794/1.57937464937036/1.57938706589832/1</t>
  </si>
  <si>
    <t>2014-11-26 15:59:47.498: Algorithm - handleTransition - currentHedgeShortfall is NOT ZERO and AUTOHEDGE IS NOT ENABLED!</t>
  </si>
  <si>
    <t>2014-11-26 15:59:47.540: DirectionIndicator - notify - price/longMA/ShortMA/prevDirection are 1.57945/1.57938834948484/1.57940804393221/1</t>
  </si>
  <si>
    <t>2014-11-26 15:59:47.540: Algorithm - handleTransition - currentHedgeShortfall is NOT ZERO and AUTOHEDGE IS NOT ENABLED!</t>
  </si>
  <si>
    <t>2014-11-26 15:59:48.123: RTWSControl  - tickOptionComputation - id:200042 tickType:13 impliedVol:8.75442545426495E-02 delta:-3.26743930214289E-02 optPrice:1.38771961137863E-04 pvDividend:0 gamma: 1.79769313486232E+308 theta/vega/undPrice: -1.79384613600171E-04-1.04587396701252E-04-1.5794</t>
  </si>
  <si>
    <t>2014-11-26 15:59:48.174: RTWSControl  - tickOptionComputation - id:200041 tickType:13 impliedVol:7.75873351302465E-02 delta:0.938209968660742 optPrice:1.46564363399497E-02 pvDividend:0 gamma: 1.79769313486232E+308 theta/vega/undPrice: -2.66279821320049E-04-1.68814172770738E-04-1.5794</t>
  </si>
  <si>
    <t>2014-11-26 15:59:48.219: RTWSControl  - tickOptionComputation - id:200041 tickType:11 impliedVol:8.64136981454034E-02 delta:0.917414257109435 optPrice:1.48000000044703E-02 pvDividend:0 gamma: 1.79769313486232E+308 theta/vega/undPrice: -3.71599832439026E-04-2.15147409884474E-04-1.5794</t>
  </si>
  <si>
    <t>2014-11-26 15:59:48.288: RTWSControl  - tickOptionComputation - id:200043 tickType:13 impliedVol:7.75873351302465E-02 delta:-0.061902552418179 optPrice:2.5664199387286E-04 pvDividend:0 gamma: 1.79769313486232E+308 theta/vega/undPrice: -2.66374974760213E-04-1.68814448477825E-04-1.5794</t>
  </si>
  <si>
    <t>2014-11-26 15:59:48.335: RTWSControl  - tickOptionComputation - id:200044 tickType:13 impliedVol:6.98853574963465E-02 delta:0.868622904766531 optPrice:9.9650572296117E-03 pvDividend:0 gamma: 1.79769313486232E+308 theta/vega/undPrice: -4.22265684913404E-04-2.97583182535052E-04-1.5794</t>
  </si>
  <si>
    <t>2014-11-26 15:59:48.377: RTWSControl  - tickOptionComputation - id:200044 tickType:10 impliedVol:6.27455544056784E-02 delta:0.892337854679194 optPrice:9.80000011622906E-03 pvDividend:0 gamma: 1.79769313486232E+308 theta/vega/undPrice: -3.27332501612779E-04-2.50576285434801E-04-1.5794</t>
  </si>
  <si>
    <t>2014-11-26 15:59:48.419: RTWSControl  - tickOptionComputation - id:200046 tickType:13 impliedVol:6.98853574963465E-02 delta:-0.131489767032003 optPrice:5.65192126028347E-04 pvDividend:0 gamma: 1.79769313486232E+308 theta/vega/undPrice: -4.2232844858899E-04-2.97583470337349E-04-1.5794</t>
  </si>
  <si>
    <t>2014-11-26 15:59:48.459: RTWSControl  - tickOptionComputation - id:200045 tickType:13 impliedVol:6.44383216409921E-02 delta:0.715421241256688 optPrice:5.79153797792504E-03 pvDividend:0 gamma: 1.79769313486232E+308 theta/vega/undPrice: -6.22541147858089E-04-4.45318136458468E-04-1.5794</t>
  </si>
  <si>
    <t>2014-11-26 15:59:48.506: RTWSControl  - tickOptionComputation - id:200047 tickType:13 impliedVol:6.44383216409921E-02 delta:-0.284691839417451 optPrice:1.39160326771241E-03 pvDividend:0 gamma: 1.79769313486232E+308 theta/vega/undPrice: -6.22572008356904E-04-4.45318772599489E-04-1.5794</t>
  </si>
  <si>
    <t>2014-11-26 15:59:48.549: RTWSControl  - tickOptionComputation - id:200047 tickType:11 impliedVol:0.064619606015118 delta:-0.285230017542153 optPrice:1.39999995008111E-03 pvDividend:0 gamma: 1.79769313486232E+308 theta/vega/undPrice: -6.24776450544201E-04-4.45318763759194E-04-1.5794</t>
  </si>
  <si>
    <t>2014-11-26 15:59:48.594: RTWSControl  - tickOptionComputation - id:200055 tickType:13 impliedVol:6.12462275641121E-02 delta:0.46904780459135 optPrice:2.69306994058309E-03 pvDividend:0 gamma: 1.79769313486232E+308 theta/vega/undPrice: -6.88714178860477E-04-4.83193281803737E-04-1.5794</t>
  </si>
  <si>
    <t>2014-11-26 15:59:48.656: RTWSControl  - tickOptionComputation - id:200049 tickType:13 impliedVol:6.97762767295185E-02 delta:0.7083805352197 optPrice:1.26222110440833E-02 pvDividend:0 gamma: 1.79769313486232E+308 theta/vega/undPrice: -3.30486167339624E-04-9.14351893259188E-04-1.5794</t>
  </si>
  <si>
    <t>2014-11-26 15:59:48.706: RTWSControl  - tickOptionComputation - id:200050 tickType:13 impliedVol:6.97762767295185E-02 delta:-0.291689489391097 optPrice:3.22280256824489E-03 pvDividend:0 gamma: 1.79769313486232E+308 theta/vega/undPrice: -3.30552362362998E-04-9.1435744915326E-04-1.5794</t>
  </si>
  <si>
    <t>2014-11-26 15:59:48.746: RTWSControl  - tickOptionComputation - id:200051 tickType:13 impliedVol:7.13473277000265E-02 delta:-0.294747691083945 optPrice:3.30008510200002E-03 pvDividend:0 gamma: 1.79769313486232E+308 theta/vega/undPrice: -3.39772658398946E-04-8.53350415781836E-04-1.5794</t>
  </si>
  <si>
    <t>2014-11-26 15:59:48.792: RTWSControl  - tickOptionComputation - id:200052 tickType:13 impliedVol:0.12557543542508 delta:-0.503811520180696 optPrice:1.27000031877758E-02 pvDividend:0 gamma: 1.79769313486232E+308 theta/vega/undPrice: -6.91677174609205E-04-9.87052280997106E-04-1.5794</t>
  </si>
  <si>
    <t>2014-11-26 15:59:48.834: RTWSControl  - tickOptionComputation - id:200052 tickType:10 impliedVol:1.79769313486232E+308 delta:1.79769313486232E+308 optPrice:1.79769313486232E+308 pvDividend:0 gamma: 1.79769313486232E+308 theta/vega/undPrice: 1.79769313486232E+308-1.79769313486232E+308-1.5794</t>
  </si>
  <si>
    <t>2014-11-26 15:59:48.869: RTWSControl  - tickOptionComputation - id:200052 tickType:11 impliedVol:1.79769313486232E+308 delta:1.79769313486232E+308 optPrice:1.79769313486232E+308 pvDividend:0 gamma: 1.79769313486232E+308 theta/vega/undPrice: 1.79769313486232E+308-1.79769313486232E+308-1.5794</t>
  </si>
  <si>
    <t>2014-11-26 15:59:48.910: RTWSControl  - tickOptionComputation - id:200048 tickType:13 impliedVol:8.65932451873945E-02 delta:-3.17915140028536E-02 optPrice:2.74388406877802E-04 pvDividend:0 gamma: 1.79769313486232E+308 theta/vega/undPrice: -8.43212362245796E-05-2.09496892394278E-04-1.5794</t>
  </si>
  <si>
    <t>2014-11-26 15:59:48.958: RTWSControl  - tickOptionComputation - id:200048 tickType:10 impliedVol:7.40361079409232E-02 delta:-1.49007596677142E-02 optPrice:9.99999974737875E-05 pvDividend:0 gamma: 1.79769313486232E+308 theta/vega/undPrice: -3.79343815601551E-05-1.285291171443E-04-1.5794</t>
  </si>
  <si>
    <t>2014-11-26 15:59:48.998: RTWSControl  - tickOptionComputation - id:200053 tickType:13 impliedVol:6.32347757700025E-02 delta:9.85913256109978E-02 optPrice:7.41982994408185E-04 pvDividend:0 gamma: 1.79769313486232E+308 theta/vega/undPrice: -1.50226390572609E-04-4.63763286609636E-04-1.5794</t>
  </si>
  <si>
    <t>2014-11-26 15:59:49.37: RTWSControl  - tickOptionComputation - id:200054 tickType:13 impliedVol:6.69687423088501E-02 delta:1.31762641736625E-03 optPrice:6.38373296150399E-06 pvDividend:0 gamma: 0.255934140136968 theta/vega/undPrice: -3.92120930464479E-06-2.02965036901053E-05-1.5794</t>
  </si>
  <si>
    <t>2014-11-26 15:59:49.79: RTWSControl  - tickOptionComputation - id:200054 tickType:10 impliedVol:1.79769313486232E+308 delta:1.79769313486232E+308 optPrice:1.79769313486232E+308 pvDividend:0 gamma: 1.79769313486232E+308 theta/vega/undPrice: 1.79769313486232E+308-1.79769313486232E+308-1.5794</t>
  </si>
  <si>
    <t>2014-11-26 15:59:49.281: DirectionIndicator - notify - price/longMA/ShortMA/prevDirection are 1.5795/1.57940864957851/1.57943869595481/1</t>
  </si>
  <si>
    <t>2014-11-26 15:59:49.281: Algorithm - handleTransition - currentHedgeShortfall is NOT ZERO and AUTOHEDGE IS NOT ENABLED!</t>
  </si>
  <si>
    <t>2014-11-26 15:59:49.322: DirectionIndicator - notify - price/longMA/ShortMA/prevDirection are 1.57955/1.57943434965514/1.57947579730321/1</t>
  </si>
  <si>
    <t>2014-11-26 15:59:49.325: Algorithm - handleTransition - currentHedgeShortfall is NOT ZERO and AUTOHEDGE IS NOT ENABLED!</t>
  </si>
  <si>
    <t>2014-11-26 15:59:51.239: DirectionIndicator - notify - price/longMA/ShortMA/prevDirection are 1.5796/1.57946446789966/1.57951719820214/1</t>
  </si>
  <si>
    <t>2014-11-26 15:59:51.239: Algorithm - handleTransition - currentHedgeShortfall is NOT ZERO and AUTOHEDGE IS NOT ENABLED!</t>
  </si>
  <si>
    <t>2014-11-26 15:59:51.406: DirectionIndicator - notify - price/longMA/ShortMA/prevDirection are 1.57955/1.57948001919063/1.57952813213476/1</t>
  </si>
  <si>
    <t>2014-11-26 15:59:51.406: Algorithm - handleTransition - currentHedgeShortfall is NOT ZERO and AUTOHEDGE IS NOT ENABLED!</t>
  </si>
  <si>
    <t>2014-11-26 15:59:51.697: RTWSControl  - tickOptionComputation - id:200042 tickType:13 impliedVol:8.75442545426495E-02 delta:-3.13206396704638E-02 optPrice:1.32329985399399E-04 pvDividend:0 gamma: 1.79769313486232E+308 theta/vega/undPrice: -1.73153714543975E-04-9.92262209614557E-05-1.5796</t>
  </si>
  <si>
    <t>2014-11-26 15:59:51.749: RTWSControl  - tickOptionComputation - id:200042 tickType:10 impliedVol:9.52537609976505E-02 delta:-4.20978170425088E-02 optPrice:1.99999994947575E-04 pvDividend:0 gamma: 1.79769313486232E+308 theta/vega/undPrice: -2.42608142945245E-04-1.41965022336605E-04-1.5796</t>
  </si>
  <si>
    <t>2014-11-26 15:59:51.789: RTWSControl  - tickOptionComputation - id:200042 tickType:11 impliedVol:8.38609675667641E-02 delta:-2.54647479178187E-02 optPrice:9.99999974737875E-05 pvDividend:0 gamma: 1.79769313486232E+308 theta/vega/undPrice: -1.39971193775245E-04-8.77747906697992E-05-1.5796</t>
  </si>
  <si>
    <t>2014-11-26 15:59:51.837: RTWSControl  - tickOptionComputation - id:200041 tickType:13 impliedVol:7.75873351302465E-02 delta:0.940706292668094 optPrice:1.48446122311377E-02 pvDividend:0 gamma: 1.79769313486232E+308 theta/vega/undPrice: -2.57663733332893E-04-1.60491446214141E-04-1.5796</t>
  </si>
  <si>
    <t>2014-11-26 15:59:51.876: RTWSControl  - tickOptionComputation - id:200041 tickType:11 impliedVol:8.73501170180198E-02 delta:0.918138241557214 optPrice:1.49999996647239E-02 pvDividend:0 gamma: 1.79769313486232E+308 theta/vega/undPrice: -3.73360407795509E-04-2.1516100391498E-04-1.5796</t>
  </si>
  <si>
    <t>2014-11-26 15:59:51.924: RTWSControl  - tickOptionComputation - id:200043 tickType:13 impliedVol:7.75873351302465E-02 delta:-5.94062265911237E-02 optPrice:2.44820730814807E-04 pvDividend:0 gamma: 1.79769313486232E+308 theta/vega/undPrice: -2.57760194535642E-04-1.60491715184803E-04-1.5796</t>
  </si>
  <si>
    <t>2014-11-26 15:59:51.965: RTWSControl  - tickOptionComputation - id:200043 tickType:10 impliedVol:6.52971848319645E-02 delta:-3.17655145628919E-02 optPrice:9.99999974737875E-05 pvDividend:0 gamma: 1.79769313486232E+308 theta/vega/undPrice: -1.30694417346633E-04-1.11729867719688E-04-1.5796</t>
  </si>
  <si>
    <t>2014-11-26 15:59:52.8: RTWSControl  - tickOptionComputation - id:200043 tickType:11 impliedVol:8.14341627921115E-02 delta:-0.068027382325827 optPrice:3.00000014249235E-04 pvDividend:0 gamma: 1.79769313486232E+308 theta/vega/undPrice: -3.01924506010951E-04-1.8808126325899E-04-1.5796</t>
  </si>
  <si>
    <t>2014-11-26 15:59:52.79: TransitionLogger - flushFile - flushing file</t>
  </si>
  <si>
    <t>2014-11-26 15:59:52.80: TransitionLogger - openTransitionFile - opening file C:\temp\transitionlog_2014-11-26_155023</t>
  </si>
  <si>
    <t>2014-11-26 15:59:52.81: RTWSControl  - tickOptionComputation - id:200044 tickType:13 impliedVol:6.98853574963465E-02 delta:0.874328442695817 optPrice:1.01332813325991E-02 pvDividend:0 gamma: 1.79769313486232E+308 theta/vega/undPrice: -4.10915963164903E-04-2.97283791200894E-04-1.5796</t>
  </si>
  <si>
    <t>2014-11-26 15:59:52.120: RTWSControl  - tickOptionComputation - id:200044 tickType:10 impliedVol:5.90604938922708E-02 delta:0.910877943411711 optPrice:9.89999994635582E-03 pvDividend:0 gamma: 1.79769313486232E+308 theta/vega/undPrice: -2.68135504348866E-04-2.15505158958958E-04-1.5796</t>
  </si>
  <si>
    <t>2014-11-26 15:59:52.165: RTWSControl  - tickOptionComputation - id:200044 tickType:11 impliedVol:7.54981236049003E-02 delta:0.853737038205285 optPrice:1.03000001981854E-02 pvDividend:0 gamma: 1.79769313486232E+308 theta/vega/undPrice: -4.87964420244164E-04-2.9760182459446E-04-1.5796</t>
  </si>
  <si>
    <t>2014-11-26 15:59:52.212: RTWSControl  - tickOptionComputation - id:200046 tickType:13 impliedVol:6.98853574963465E-02 delta:-0.125784170281102 optPrice:5.33418832478116E-04 pvDividend:0 gamma: 1.79769313486232E+308 theta/vega/undPrice: -4.10979856531931E-04-2.97284302999273E-04-1.5796</t>
  </si>
  <si>
    <t>2014-11-26 15:59:52.256: RTWSControl  - tickOptionComputation - id:200046 tickType:10 impliedVol:6.36943800209417E-02 delta:-0.10633001446824 optPrice:3.9999998989515E-04 pvDividend:0 gamma: 1.79769313486232E+308 theta/vega/undPrice: -3.29320454667465E-04-2.46458267017131E-04-1.5796</t>
  </si>
  <si>
    <t>2014-11-26 15:59:52.304: RTWSControl  - tickOptionComputation - id:200046 tickType:11 impliedVol:7.21332962085967E-02 delta:-0.134330115512025 optPrice:6.00000028498471E-04 pvDividend:0 gamma: 1.79769313486232E+308 theta/vega/undPrice: -4.4182578264666E-04-2.9760223353117E-04-1.5796</t>
  </si>
  <si>
    <t>2014-11-26 15:59:52.381: RTWSControl  - tickOptionComputation - id:200045 tickType:13 impliedVol:6.44383216409921E-02 delta:0.723580959123511 optPrice:5.94080631379927E-03 pvDividend:0 gamma: 1.79769313486232E+308 theta/vega/undPrice: -6.12666322678933E-04-4.29076850137194E-04-1.5796</t>
  </si>
  <si>
    <t>2014-11-26 15:59:52.422: RTWSControl  - tickOptionComputation - id:200045 tickType:10 impliedVol:6.07267306796873E-02 delta:0.73463323512241 optPrice:5.79999992623925E-03 pvDividend:0 gamma: 1.79769313486232E+308 theta/vega/undPrice: -5.63609974811165E-04-4.04588950828544E-04-1.5796</t>
  </si>
  <si>
    <t>2014-11-26 15:59:52.479: RTWSControl  - tickOptionComputation - id:200045 tickType:11 impliedVol:6.83779306870533E-02 delta:0.712332214943963 optPrice:6.09999988228083E-03 pvDividend:0 gamma: 1.79769313486232E+308 theta/vega/undPrice: -6.63179851248682E-04-4.45346141136839E-04-1.5796</t>
  </si>
  <si>
    <t>2014-11-26 15:59:52.538: RTWSControl  - tickOptionComputation - id:200047 tickType:13 impliedVol:6.44383216409921E-02 delta:-0.276531976571716 optPrice:1.34087377650739E-03 pvDividend:0 gamma: 1.79769313486232E+308 theta/vega/undPrice: -6.12698166748852E-04-4.2907809504787E-04-1.5796</t>
  </si>
  <si>
    <t>2014-11-26 15:59:52.585: RTWSControl  - tickOptionComputation - id:200047 tickType:10 impliedVol:6.07249602666422E-02 delta:-0.265347615330411 optPrice:1.20000005699694E-03 pvDividend:0 gamma: 1.79769313486232E+308 theta/vega/undPrice: -5.63618282745818E-04-4.04578446767914E-04-1.5796</t>
  </si>
  <si>
    <t>2014-11-26 15:59:52.626: RTWSControl  - tickOptionComputation - id:200047 tickType:11 impliedVol:0.065996858650278 delta:-0.28080124343576 optPrice:1.39999995008111E-03 pvDividend:0 gamma: 1.79769313486232E+308 theta/vega/undPrice: -6.33297517448605E-04-4.39360842823747E-04-1.5796</t>
  </si>
  <si>
    <t>2014-11-26 15:59:52.673: RTWSControl  - tickOptionComputation - id:200055 tickType:13 impliedVol:6.12462275641121E-02 delta:0.479698911147958 optPrice:2.78202852667778E-03 pvDividend:0 gamma: 1.79769313486232E+308 theta/vega/undPrice: -6.91400709743565E-04-4.83223880507986E-04-1.5796</t>
  </si>
  <si>
    <t>2014-11-26 15:59:52.715: RTWSControl  - tickOptionComputation - id:200055 tickType:10 impliedVol:5.95479237574369E-02 delta:0.479004860703951 optPrice:2.70000007003546E-03 pvDividend:0 gamma: 1.79769313486232E+308 theta/vega/undPrice: -6.72082335230075E-04-4.83223960743062E-04-1.5796</t>
  </si>
  <si>
    <t>2014-11-26 15:59:52.756: RTWSControl  - tickOptionComputation - id:200055 tickType:11 impliedVol:6.36867321522269E-02 delta:0.480491769868232 optPrice:2.89999996311963E-03 pvDividend:0 gamma: 1.79769313486232E+308 theta/vega/undPrice: -7.19161676523614E-04-4.8322376158575E-04-1.5796</t>
  </si>
  <si>
    <t>2014-11-26 15:59:52.826: RTWSControl  - tickOptionComputation - id:200049 tickType:13 impliedVol:6.97762767295185E-02 delta:0.712561011385096 optPrice:1.27554266165945E-02 pvDividend:0 gamma: 1.79769313486232E+308 theta/vega/undPrice: -3.28781125632924E-04-9.144098128737E-04-1.5796</t>
  </si>
  <si>
    <t>2014-11-26 15:59:52.875: RTWSControl  - tickOptionComputation - id:200049 tickType:10 impliedVol:1.79769313486232E+308 delta:1.79769313486232E+308 optPrice:1.26000000163913E-02 pvDividend:0 gamma: 1.79769313486232E+308 theta/vega/undPrice: 1.79769313486232E+308-1.79769313486232E+308-1.5796</t>
  </si>
  <si>
    <t>2014-11-26 15:59:52.909: RTWSControl  - tickOptionComputation - id:200049 tickType:11 impliedVol:7.13573350352889E-02 delta:0.708055058931892 optPrice:1.29000004380941E-02 pvDividend:0 gamma: 1.79769313486232E+308 theta/vega/undPrice: -3.38113555132027E-04-9.14409088507248E-04-1.5796</t>
  </si>
  <si>
    <t>2014-11-26 15:59:52.961: RTWSControl  - tickOptionComputation - id:200050 tickType:13 impliedVol:6.97762767295185E-02 delta:-0.287508984485782 optPrice:3.1560299040587E-03 pvDividend:0 gamma: 1.79769313486232E+308 theta/vega/undPrice: -3.2884860176758E-04-9.14415369006806E-04-1.5796</t>
  </si>
  <si>
    <t>2014-11-26 15:59:52.998: RTWSControl  - tickOptionComputation - id:200050 tickType:10 impliedVol:6.91635391055348E-02 delta:-0.285706412936716 optPrice:3.10000008903444E-03 pvDividend:0 gamma: 1.79769313486232E+308 theta/vega/undPrice: -3.25231770249888E-04-9.14415646451006E-04-1.5796</t>
  </si>
  <si>
    <t>2014-11-26 15:59:53.39: RTWSControl  - tickOptionComputation - id:200050 tickType:11 impliedVol:0.071350722934257 delta:-0.291870489278999 optPrice:3.29999998211861E-03 pvDividend:0 gamma: 1.79769313486232E+308 theta/vega/undPrice: -3.38142137811043E-04-9.14414647806985E-04-1.5796</t>
  </si>
  <si>
    <t>2014-11-26 15:59:53.86: RTWSControl  - tickOptionComputation - id:200051 tickType:13 impliedVol:7.13473277000265E-02 delta:-0.290852566134486 optPrice:3.24153261140661E-03 pvDividend:0 gamma: 1.79769313486232E+308 theta/vega/undPrice: -3.37723372508563E-04-8.48202926813614E-04-1.5796</t>
  </si>
  <si>
    <t>2014-11-26 15:59:53.129: RTWSControl  - tickOptionComputation - id:200051 tickType:10 impliedVol:6.72852051003732E-02 delta:-0.279741898358177 optPrice:2.89999996311963E-03 pvDividend:0 gamma: 1.79769313486232E+308 theta/vega/undPrice: -3.12659143397409E-04-8.32658637039251E-04-1.5796</t>
  </si>
  <si>
    <t>2014-11-26 15:59:53.174: RTWSControl  - tickOptionComputation - id:200051 tickType:11 impliedVol:7.08480074934067E-02 delta:-0.289513202327144 optPrice:3.1999999191612E-03 pvDividend:0 gamma: 1.79769313486232E+308 theta/vega/undPrice: -3.34655288789992E-04-8.46420752398656E-04-1.5796</t>
  </si>
  <si>
    <t>2014-11-26 15:59:53.243: RTWSControl  - tickOptionComputation - id:200052 tickType:13 impliedVol:0.12557543542508 delta:-0.501243755791624 optPrice:1.25995200574552E-02 pvDividend:0 gamma: 1.79769313486232E+308 theta/vega/undPrice: -6.91793268487707E-04-9.87216988193186E-04-1.5796</t>
  </si>
  <si>
    <t>2014-11-26 15:59:53.289: RTWSControl  - tickOptionComputation - id:200052 tickType:10 impliedVol:1.79769313486232E+308 delta:1.79769313486232E+308 optPrice:1.79769313486232E+308 pvDividend:0 gamma: 1.79769313486232E+308 theta/vega/undPrice: 1.79769313486232E+308-1.79769313486232E+308-1.5796</t>
  </si>
  <si>
    <t>2014-11-26 15:59:53.326: RTWSControl  - tickOptionComputation - id:200052 tickType:11 impliedVol:1.79769313486232E+308 delta:1.79769313486232E+308 optPrice:1.79769313486232E+308 pvDividend:0 gamma: 1.79769313486232E+308 theta/vega/undPrice: 1.79769313486232E+308-1.79769313486232E+308-1.5796</t>
  </si>
  <si>
    <t>2014-11-26 15:59:53.368: RTWSControl  - tickOptionComputation - id:200048 tickType:13 impliedVol:8.65932451873945E-02 delta:-3.11303965072614E-02 optPrice:2.67996870795258E-04 pvDividend:0 gamma: 1.79769313486232E+308 theta/vega/undPrice: -8.28604021205936E-05-2.04177225157865E-04-1.5796</t>
  </si>
  <si>
    <t>2014-11-26 15:59:53.415: RTWSControl  - tickOptionComputation - id:200048 tickType:10 impliedVol:7.43772193533021E-02 delta:-1.48647817018387E-02 optPrice:9.99999974737875E-05 pvDividend:0 gamma: 1.79769313486232E+308 theta/vega/undPrice: -3.80346967713985E-05-1.28047340016553E-04-1.5796</t>
  </si>
  <si>
    <t>2014-11-26 15:59:53.458: RTWSControl  - tickOptionComputation - id:200048 tickType:11 impliedVol:8.83603405439644E-02 delta:-3.37672017956122E-02 optPrice:3.00000014249235E-04 pvDividend:0 gamma: 1.79769313486232E+308 theta/vega/undPrice: -9.05505336238162E-05-2.24193440202719E-04-1.5796</t>
  </si>
  <si>
    <t>2014-11-26 15:59:53.503: RTWSControl  - tickOptionComputation - id:200053 tickType:13 impliedVol:6.32347757700025E-02 delta:0.100850036145343 optPrice:7.62424178512654E-04 pvDividend:0 gamma: 1.79769313486232E+308 theta/vega/undPrice: -1.52767973234599E-04-4.75829231774523E-04-1.5796</t>
  </si>
  <si>
    <t>2014-11-26 15:59:53.542: RTWSControl  - tickOptionComputation - id:200053 tickType:10 impliedVol:6.18235290763226E-02 delta:9.55934108588793E-02 optPrice:6.99999975040555E-04 pvDividend:0 gamma: 1.79769313486232E+308 theta/vega/undPrice: -1.43631919997897E-04-4.51776158371697E-04-1.5796</t>
  </si>
  <si>
    <t>2014-11-26 15:59:53.581: RTWSControl  - tickOptionComputation - id:200053 tickType:11 impliedVol:6.40849131525464E-02 delta:0.103885161058665 optPrice:7.999999797903E-04 pvDividend:0 gamma: 1.79769313486232E+308 theta/vega/undPrice: -1.58271542767467E-04-4.9031883029366E-04-1.5796</t>
  </si>
  <si>
    <t>2014-11-26 15:59:53.628: RTWSControl  - tickOptionComputation - id:200054 tickType:13 impliedVol:6.69687423088501E-02 delta:1.36902594987436E-03 optPrice:6.64847063110128E-06 pvDividend:0 gamma: 0.265177873164812 theta/vega/undPrice: -4.06386287531744E-06-2.0703939846529E-05-1.5796</t>
  </si>
  <si>
    <t>2014-11-26 15:59:53.672: RTWSControl  - tickOptionComputation - id:200054 tickType:10 impliedVol:1.79769313486232E+308 delta:1.79769313486232E+308 optPrice:1.79769313486232E+308 pvDividend:0 gamma: 1.79769313486232E+308 theta/vega/undPrice: 1.79769313486232E+308-1.79769313486232E+308-1.5796</t>
  </si>
  <si>
    <t>2014-11-26 15:59:53.708: RTWSControl  - tickOptionComputation - id:200054 tickType:11 impliedVol:8.93093894454905E-02 delta:0.012656369069566 optPrice:9.99999974737875E-05 pvDividend:0 gamma: 1.79769313486232E+308 theta/vega/undPrice: -3.98575862667372E-05-1.03789506188708E-04-1.5796</t>
  </si>
  <si>
    <t>2014-11-26 15:59:54.376: DirectionIndicator - notify - price/longMA/ShortMA/prevDirection are 1.5796/1.57950183388324/1.57955208808984/1</t>
  </si>
  <si>
    <t>2014-11-26 15:59:54.377: Algorithm - handleTransition - currentHedgeShortfall is NOT ZERO and AUTOHEDGE IS NOT ENABLED!</t>
  </si>
  <si>
    <t>2014-11-26 15:59:54.417: DirectionIndicator - notify - price/longMA/ShortMA/prevDirection are 1.57965/1.5795287731772/1.57958472539323/1</t>
  </si>
  <si>
    <t>2014-11-26 15:59:54.417: Algorithm - handleTransition - currentHedgeShortfall is NOT ZERO and AUTOHEDGE IS NOT ENABLED!</t>
  </si>
  <si>
    <t>2014-11-26 15:59:55.451: DirectionIndicator - notify - price/longMA/ShortMA/prevDirection are 1.5797/1.5795599053268/1.57962315026215/1</t>
  </si>
  <si>
    <t>2014-11-26 15:59:55.451: Algorithm - handleTransition - currentHedgeShortfall is NOT ZERO and AUTOHEDGE IS NOT ENABLED!</t>
  </si>
  <si>
    <t>2014-11-26 15:59:55.492: DirectionIndicator - notify - price/longMA/ShortMA/prevDirection are 1.57975/1.57959446799465/1.5796654335081/1</t>
  </si>
  <si>
    <t>2014-11-26 15:59:55.493: Algorithm - handleTransition - currentHedgeShortfall is NOT ZERO and AUTOHEDGE IS NOT ENABLED!</t>
  </si>
  <si>
    <t>2014-11-26 15:59:55.742: DirectionIndicator - notify - price/longMA/ShortMA/prevDirection are 1.5798/1.57963183745017/1.5797102890054/1</t>
  </si>
  <si>
    <t>2014-11-26 15:59:55.742: Algorithm - handleTransition - currentHedgeShortfall is NOT ZERO and AUTOHEDGE IS NOT ENABLED!</t>
  </si>
  <si>
    <t>2014-11-26 15:59:55.783: DirectionIndicator - notify - price/longMA/ShortMA/prevDirection are 1.57985/1.57967150336832/1.57975685933693/1</t>
  </si>
  <si>
    <t>2014-11-26 15:59:55.787: Algorithm - handleTransition - currentHedgeShortfall is NOT ZERO and AUTOHEDGE IS NOT ENABLED!</t>
  </si>
  <si>
    <t>2014-11-26 15:59:56.460: RTWSControl  - tickOptionComputation - id:200042 tickType:13 impliedVol:8.75442545426495E-02 delta:-3.06438915402923E-02 optPrice:1.29108997530191E-04 pvDividend:0 gamma: 1.79769313486232E+308 theta/vega/undPrice: -1.70038265016125E-04-9.65456330915216E-05-1.5797</t>
  </si>
  <si>
    <t>2014-11-26 15:59:56.532: RTWSControl  - tickOptionComputation - id:200041 tickType:13 impliedVol:7.75873351302465E-02 delta:0.941954217633977 optPrice:0.014938700176732 pvDividend:0 gamma: 1.79769313486232E+308 theta/vega/undPrice: -2.53355689339295E-04-1.56330082935752E-04-1.5797</t>
  </si>
  <si>
    <t>2014-11-26 15:59:56.582: RTWSControl  - tickOptionComputation - id:200043 tickType:13 impliedVol:7.75873351302465E-02 delta:-5.81583007155585E-02 optPrice:2.38910099285768E-04 pvDividend:0 gamma: 1.79769313486232E+308 theta/vega/undPrice: -2.53452804423344E-04-1.5633034853829E-04-1.5797</t>
  </si>
  <si>
    <t>2014-11-26 15:59:56.623: RTWSControl  - tickOptionComputation - id:200044 tickType:13 impliedVol:6.98853574963465E-02 delta:0.87641072122642 optPrice:1.02231958493266E-02 pvDividend:0 gamma: 1.79769313486232E+308 theta/vega/undPrice: -4.05623519317331E-04-2.91331630300089E-04-1.5797</t>
  </si>
  <si>
    <t>2014-11-26 15:59:56.664: RTWSControl  - tickOptionComputation - id:200046 tickType:13 impliedVol:6.98853574963465E-02 delta:-0.123701885623531 optPrice:5.23334758353618E-04 pvDividend:0 gamma: 1.79769313486232E+308 theta/vega/undPrice: -4.05688036099371E-04-2.91332146679657E-04-1.5797</t>
  </si>
  <si>
    <t>2014-11-26 15:59:56.706: RTWSControl  - tickOptionComputation - id:200045 tickType:13 impliedVol:6.44383216409921E-02 delta:0.727556077250941 optPrice:6.01688827177735E-03 pvDividend:0 gamma: 1.79769313486232E+308 theta/vega/undPrice: -6.07497140084379E-04-4.1950841693563E-04-1.5797</t>
  </si>
  <si>
    <t>2014-11-26 15:59:56.748: RTWSControl  - tickOptionComputation - id:200047 tickType:13 impliedVol:6.44383216409921E-02 delta:-0.272556852284194 optPrice:1.31695713680335E-03 pvDividend:0 gamma: 1.79769313486232E+308 theta/vega/undPrice: -6.07529621877127E-04-4.19509650373573E-04-1.5797</t>
  </si>
  <si>
    <t>2014-11-26 15:59:56.791: RTWSControl  - tickOptionComputation - id:200055 tickType:13 impliedVol:6.12462275641121E-02 delta:0.485023453053236 optPrice:2.8265078197252E-03 pvDividend:0 gamma: 1.79769313486232E+308 theta/vega/undPrice: -6.92743975185109E-04-4.83239179860064E-04-1.5797</t>
  </si>
  <si>
    <t>2014-11-26 15:59:56.831: RTWSControl  - tickOptionComputation - id:200049 tickType:13 impliedVol:6.97762767295185E-02 delta:0.714650852511779 optPrice:1.28220344028502E-02 pvDividend:0 gamma: 1.79769313486232E+308 theta/vega/undPrice: -3.27928604779574E-04-9.14438772680898E-04-1.5797</t>
  </si>
  <si>
    <t>2014-11-26 15:59:56.874: RTWSControl  - tickOptionComputation - id:200050 tickType:13 impliedVol:6.97762767295185E-02 delta:-0.285419128991876 optPrice:3.12264357196558E-03 pvDividend:0 gamma: 1.79769313486232E+308 theta/vega/undPrice: -3.27996721469876E-04-9.1444432893678E-04-1.5797</t>
  </si>
  <si>
    <t>2014-11-26 15:59:56.912: RTWSControl  - tickOptionComputation - id:200051 tickType:13 impliedVol:7.13473277000265E-02 delta:-0.288914253677098 optPrice:3.21254782849588E-03 pvDividend:0 gamma: 1.79769313486232E+308 theta/vega/undPrice: -3.36687264545249E-04-8.45600394210218E-04-1.5797</t>
  </si>
  <si>
    <t>2014-11-26 15:59:56.954: RTWSControl  - tickOptionComputation - id:200052 tickType:13 impliedVol:0.12557543542508 delta:-0.49995996814978 optPrice:1.25494730082463E-02 pvDividend:0 gamma: 1.79769313486232E+308 theta/vega/undPrice: -6.91840568998348E-04-9.87284009867365E-04-1.5797</t>
  </si>
  <si>
    <t>2014-11-26 15:59:56.995: RTWSControl  - tickOptionComputation - id:200048 tickType:13 impliedVol:8.65932451873945E-02 delta:-0.030799900535862 optPrice:2.64801102754603E-04 pvDividend:0 gamma: 1.79769313486232E+308 theta/vega/undPrice: -8.21299850696074E-05-2.01517391539029E-04-1.5797</t>
  </si>
  <si>
    <t>2014-11-26 15:59:57.38: RTWSControl  - tickOptionComputation - id:200053 tickType:13 impliedVol:6.32347757700025E-02 delta:0.101979176937251 optPrice:7.72644770564913E-04 pvDividend:0 gamma: 1.79769313486232E+308 theta/vega/undPrice: -1.54038764565598E-04-4.81862204356956E-04-1.5797</t>
  </si>
  <si>
    <t>2014-11-26 15:59:57.79: RTWSControl  - tickOptionComputation - id:200054 tickType:13 impliedVol:6.69687423088501E-02 delta:1.39472083549947E-03 optPrice:6.78083946590098E-06 pvDividend:0 gamma: 0.269797981185029 theta/vega/undPrice: -4.13518966065435E-06-2.09076579247423E-05-1.5797</t>
  </si>
  <si>
    <t>2014-11-26 15:59:57.488: RTWSControl  - tickOptionComputation - id:200042 tickType:13 impliedVol:8.88160752293459E-02 delta:-3.25614759426923E-02 optPrice:1.40272731187256E-04 pvDividend:0 gamma: 1.79769313486232E+308 theta/vega/undPrice: -1.81496381773996E-04-1.03596389767617E-04-1.5797</t>
  </si>
  <si>
    <t>2014-11-26 15:59:57.538: RTWSControl  - tickOptionComputation - id:200042 tickType:10 impliedVol:0.095541409375743 delta:-0.041845959285553 optPrice:1.99999994947575E-04 pvDividend:0 gamma: 1.79769313486232E+308 theta/vega/undPrice: -2.4208637613898E-04-1.40880459287745E-04-1.5797</t>
  </si>
  <si>
    <t>2014-11-26 15:59:57.581: RTWSControl  - tickOptionComputation - id:200042 tickType:11 impliedVol:8.43009773876008E-02 delta:-2.54882348382324E-02 optPrice:9.99999974737875E-05 pvDividend:0 gamma: 1.79769313486232E+308 theta/vega/undPrice: -1.40818843687037E-04-8.7777563800432E-05-1.5797</t>
  </si>
  <si>
    <t>2014-11-26 15:59:57.628: RTWSControl  - tickOptionComputation - id:200041 tickType:13 impliedVol:7.82546103042137E-02 delta:0.940385754762299 optPrice:1.49482719371593E-02 pvDividend:0 gamma: 1.79769313486232E+308 theta/vega/undPrice: -2.61016717912801E-04-1.61115946069034E-04-1.5797</t>
  </si>
  <si>
    <t>2014-11-26 15:59:57.667: RTWSControl  - tickOptionComputation - id:200043 tickType:13 impliedVol:7.82546103042137E-02 delta:-5.97267647291832E-02 optPrice:2.48481866275921E-04 pvDividend:0 gamma: 1.79769313486232E+308 theta/vega/undPrice: -2.61113841589741E-04-1.61116216743685E-04-1.5797</t>
  </si>
  <si>
    <t>2014-11-26 15:59:57.710: RTWSControl  - tickOptionComputation - id:200041 tickType:10 impliedVol:0.065610412467314 delta:0.968489416485135 optPrice:1.48000000044703E-02 pvDividend:0 gamma: 1.79769313486232E+308 theta/vega/undPrice: -1.30302178728406E-04-1.10784502905793E-04-1.5797</t>
  </si>
  <si>
    <t>2014-11-26 15:59:57.750: RTWSControl  - tickOptionComputation - id:200041 tickType:11 impliedVol:9.24658513565611E-02 delta:0.906251578672363 optPrice:0.0152000002563 pvDividend:0 gamma: 1.79769313486232E+308 theta/vega/undPrice: -4.35446286937688E-04-2.15167656028142E-04-1.5797</t>
  </si>
  <si>
    <t>2014-11-26 15:59:57.797: RTWSControl  - tickOptionComputation - id:200044 tickType:13 impliedVol:7.00730929084585E-02 delta:0.875869421838648 optPrice:1.02272417701617E-02 pvDividend:0 gamma: 1.79769313486232E+308 theta/vega/undPrice: -4.08099834372994E-04-2.92872926786831E-04-1.5797</t>
  </si>
  <si>
    <t>2014-11-26 15:59:57.843: RTWSControl  - tickOptionComputation - id:200046 tickType:13 impliedVol:7.00730929084585E-02 delta:-0.124243185580106 optPrice:5.27380682664658E-04 pvDividend:0 gamma: 1.79769313486232E+308 theta/vega/undPrice: -4.08164355549046E-04-2.92873445095954E-04-1.5797</t>
  </si>
  <si>
    <t>2014-11-26 15:59:57.884: RTWSControl  - tickOptionComputation - id:200045 tickType:13 impliedVol:6.42715230420663E-02 delta:0.72803950305589 optPrice:6.01056024480321E-03 pvDividend:0 gamma: 1.79769313486232E+308 theta/vega/undPrice: -6.05292482814889E-04-4.18407898285371E-04-1.5797</t>
  </si>
  <si>
    <t>2014-11-26 15:59:57.950: RTWSControl  - tickOptionComputation - id:200043 tickType:10 impliedVol:6.56368711903841E-02 delta:-3.15504028763577E-02 optPrice:9.99999974737875E-05 pvDividend:0 gamma: 1.79769313486232E+308 theta/vega/undPrice: -1.30637840526878E-04-1.10931555384275E-04-1.5797</t>
  </si>
  <si>
    <t>2014-11-26 15:59:57.998: RTWSControl  - tickOptionComputation - id:200043 tickType:11 impliedVol:8.18460880932997E-02 delta:-6.77200367401054E-02 optPrice:3.00000014249235E-04 pvDividend:0 gamma: 1.79769313486232E+308 theta/vega/undPrice: -3.02347856351364E-04-1.86875202003586E-04-1.5797</t>
  </si>
  <si>
    <t>2014-11-26 15:59:58.44: RTWSControl  - tickOptionComputation - id:200047 tickType:13 impliedVol:6.42715230420663E-02 delta:-0.272073425735374 optPrice:1.31062910217561E-03 pvDividend:0 gamma: 1.79769313486232E+308 theta/vega/undPrice: -6.05324958147179E-04-4.18409128764037E-04-1.5797</t>
  </si>
  <si>
    <t>2014-11-26 15:59:58.84: RTWSControl  - tickOptionComputation - id:200055 tickType:13 impliedVol:6.08499007050085E-02 delta:0.484913342741165 optPrice:2.80735574351306E-03 pvDividend:0 gamma: 1.79769313486232E+308 theta/vega/undPrice: -6.88235575830808E-04-4.83239198737976E-04-1.5797</t>
  </si>
  <si>
    <t>2014-11-26 15:59:58.123: RTWSControl  - tickOptionComputation - id:200049 tickType:13 impliedVol:6.95718680519466E-02 delta:0.715242767006196 optPrice:1.28033424342108E-02 pvDividend:0 gamma: 1.79769313486232E+308 theta/vega/undPrice: -3.26722012944261E-04-9.14438865651068E-04-1.5797</t>
  </si>
  <si>
    <t>2014-11-26 15:59:58.167: RTWSControl  - tickOptionComputation - id:200044 tickType:10 impliedVol:6.41689108295806E-02 delta:0.894300071880688 optPrice:1.00999996066093E-02 pvDividend:0 gamma: 1.79769313486232E+308 theta/vega/undPrice: -3.30220964346591E-04-2.44399917166876E-04-1.5797</t>
  </si>
  <si>
    <t>2014-11-26 15:59:58.210: RTWSControl  - tickOptionComputation - id:200044 tickType:11 impliedVol:7.93972167486629E-02 delta:0.843722107929506 optPrice:0.010499999858439 pvDividend:0 gamma: 1.79769313486232E+308 theta/vega/undPrice: -5.35821972256162E-04-2.9761110255724E-04-1.5797</t>
  </si>
  <si>
    <t>2014-11-26 15:59:58.256: RTWSControl  - tickOptionComputation - id:200050 tickType:13 impliedVol:6.95718680519466E-02 delta:-0.284827210436975 optPrice:3.1039514897563E-03 pvDividend:0 gamma: 1.79769313486232E+308 theta/vega/undPrice: -3.2679011205419E-04-9.14444421895603E-04-1.5797</t>
  </si>
  <si>
    <t>2014-11-26 15:59:58.296: RTWSControl  - tickOptionComputation - id:200051 tickType:13 impliedVol:7.12003509953689E-02 delta:-0.288529619302124 optPrice:3.20012331588534E-03 pvDividend:0 gamma: 1.79769313486232E+308 theta/vega/undPrice: -3.35782985453598E-04-8.45070065446107E-04-1.5797</t>
  </si>
  <si>
    <t>2014-11-26 15:59:58.341: RTWSControl  - tickOptionComputation - id:200046 tickType:10 impliedVol:0.064152346621544 delta:-0.105629262371611 optPrice:3.9999998989515E-04 pvDividend:0 gamma: 1.79769313486232E+308 theta/vega/undPrice: -3.30066879400531E-04-2.44264378032764E-04-1.5797</t>
  </si>
  <si>
    <t>2014-11-26 15:59:58.406: RTWSControl  - tickOptionComputation - id:200046 tickType:11 impliedVol:6.88215414476589E-02 delta:-0.120563415883301 optPrice:5.00000023748726E-04 pvDividend:0 gamma: 1.79769313486232E+308 theta/vega/undPrice: -3.91655797195345E-04-2.82598267931432E-04-1.5797</t>
  </si>
  <si>
    <t>2014-11-26 15:59:58.461: RTWSControl  - tickOptionComputation - id:200052 tickType:13 impliedVol:0.127100083246479 delta:-0.499866124175411 optPrice:0.012699999999447 pvDividend:0 gamma: 1.79769313486232E+308 theta/vega/undPrice: -7.00240368498116E-04-9.87283939622662E-04-1.5797</t>
  </si>
  <si>
    <t>2014-11-26 15:59:58.501: RTWSControl  - tickOptionComputation - id:200048 tickType:13 impliedVol:0.086927085746547 delta:-3.13083651746559E-02 optPrice:2.70788709299932E-04 pvDividend:0 gamma: 1.79769313486232E+308 theta/vega/undPrice: -8.3582855442651E-05-2.05298987641473E-04-1.5797</t>
  </si>
  <si>
    <t>2014-11-26 15:59:58.544: RTWSControl  - tickOptionComputation - id:200045 tickType:10 impliedVol:6.39931700204763E-02 delta:0.728759741284411 optPrice:6.00000005215406E-03 pvDividend:0 gamma: 1.79769313486232E+308 theta/vega/undPrice: -6.01613356938605E-04-4.16571355817846E-04-1.5797</t>
  </si>
  <si>
    <t>2014-11-26 15:59:58.585: RTWSControl  - tickOptionComputation - id:200045 tickType:11 impliedVol:6.91303384779222E-02 delta:0.714485162908196 optPrice:6.20000017806888E-03 pvDividend:0 gamma: 1.79769313486232E+308 theta/vega/undPrice: -6.68696416565544E-04-4.453602026093E-04-1.5797</t>
  </si>
  <si>
    <t>2014-11-26 15:59:58.631: RTWSControl  - tickOptionComputation - id:200053 tickType:13 impliedVol:6.27469263053957E-02 delta:0.100201622276687 optPrice:7.508173283871E-04 pvDividend:0 gamma: 1.79769313486232E+308 theta/vega/undPrice: -1.50880451884946E-04-4.73547113023745E-04-1.5797</t>
  </si>
  <si>
    <t>2014-11-26 15:59:58.673: RTWSControl  - tickOptionComputation - id:200054 tickType:13 impliedVol:6.64522605068907E-02 delta:1.29565594715942E-03 optPrice:6.22387483825372E-06 pvDividend:0 gamma: 0.253879310896016 theta/vega/undPrice: -3.8314160638185E-06-2.01650441069384E-05-1.5797</t>
  </si>
  <si>
    <t>2014-11-26 15:59:58.715: RTWSControl  - tickOptionComputation - id:200047 tickType:10 impliedVol:6.13291672010859E-02 delta:-0.263078323781498 optPrice:1.20000005699694E-03 pvDividend:0 gamma: 1.79769313486232E+308 theta/vega/undPrice: -5.66434310265071E-04-3.98995727624304E-04-1.5797</t>
  </si>
  <si>
    <t>2014-11-26 15:59:58.780: RTWSControl  - tickOptionComputation - id:200047 tickType:11 impliedVol:6.66272202371265E-02 delta:-0.278640401680741 optPrice:1.39999995008111E-03 pvDividend:0 gamma: 1.79769313486232E+308 theta/vega/undPrice: -6.36461428258475E-04-4.33951793229186E-04-1.5797</t>
  </si>
  <si>
    <t>2014-11-26 15:59:58.837: RTWSControl  - tickOptionComputation - id:200055 tickType:10 impliedVol:6.06929271498053E-02 delta:0.484808061664851 optPrice:2.79999990016222E-03 pvDividend:0 gamma: 1.79769313486232E+308 theta/vega/undPrice: -6.86449929689639E-04-4.83239206183031E-04-1.5797</t>
  </si>
  <si>
    <t>2014-11-26 15:59:58.873: RTWSControl  - tickOptionComputation - id:200055 tickType:11 impliedVol:6.48315426146589E-02 delta:0.48590031113221 optPrice:3.00000002607703E-03 pvDividend:0 gamma: 1.79769313486232E+308 theta/vega/undPrice: -7.33528552301714E-04-4.83239003972522E-04-1.5797</t>
  </si>
  <si>
    <t>2014-11-26 15:59:58.919: RTWSControl  - tickOptionComputation - id:200049 tickType:10 impliedVol:6.95336495651444E-02 delta:0.715263397690897 optPrice:1.27999996766448E-02 pvDividend:0 gamma: 1.79769313486232E+308 theta/vega/undPrice: -3.26496415276931E-04-9.14438883016101E-04-1.5797</t>
  </si>
  <si>
    <t>2014-11-26 15:59:58.966: RTWSControl  - tickOptionComputation - id:200049 tickType:11 impliedVol:0.072816012450977 delta:0.706155379368168 optPrice:1.31000000983477E-02 pvDividend:0 gamma: 1.79769313486232E+308 theta/vega/undPrice: -3.45871644932377E-04-9.14437366324555E-04-1.5797</t>
  </si>
  <si>
    <t>2014-11-26 15:59:59.32: RTWSControl  - tickOptionComputation - id:200050 tickType:10 impliedVol:0.069528657215608 delta:-0.284665642067538 optPrice:3.10000008903444E-03 pvDividend:0 gamma: 1.79769313486232E+308 theta/vega/undPrice: -3.26535041622352E-04-9.14444441519552E-04-1.5797</t>
  </si>
  <si>
    <t>2014-11-26 15:59:59.79: RTWSControl  - tickOptionComputation - id:200050 tickType:11 impliedVol:7.06222134357075E-02 delta:-0.28779557577192 optPrice:3.1999999191612E-03 pvDividend:0 gamma: 1.79769313486232E+308 theta/vega/undPrice: -3.32990220595414E-04-9.14443942089493E-04-1.5797</t>
  </si>
  <si>
    <t>2014-11-26 15:59:59.125: RTWSControl  - tickOptionComputation - id:200051 tickType:10 impliedVol:6.76204545277948E-02 delta:-0.278688130607276 optPrice:2.89999996311963E-03 pvDividend:0 gamma: 1.79769313486232E+308 theta/vega/undPrice: -3.13661068871894E-04-8.31185360757832E-04-1.5797</t>
  </si>
  <si>
    <t>2014-11-26 15:59:59.167: RTWSControl  - tickOptionComputation - id:200051 tickType:11 impliedVol:7.00070533841173E-02 delta:-0.285319618844021 optPrice:3.10000008903444E-03 pvDividend:0 gamma: 1.79769313486232E+308 theta/vega/undPrice: -3.28429847648082E-04-8.40652911726338E-04-1.5797</t>
  </si>
  <si>
    <t>2014-11-26 15:59:59.212: RTWSControl  - tickOptionComputation - id:200052 tickType:10 impliedVol:1.79769313486232E+308 delta:1.79769313486232E+308 optPrice:1.79769313486232E+308 pvDividend:0 gamma: 1.79769313486232E+308 theta/vega/undPrice: 1.79769313486232E+308-1.79769313486232E+308-1.5797</t>
  </si>
  <si>
    <t>2014-11-26 15:59:59.246: RTWSControl  - tickOptionComputation - id:200052 tickType:11 impliedVol:1.79769313486232E+308 delta:1.79769313486232E+308 optPrice:1.79769313486232E+308 pvDividend:0 gamma: 1.79769313486232E+308 theta/vega/undPrice: 1.79769313486232E+308-1.79769313486232E+308-1.5797</t>
  </si>
  <si>
    <t>2014-11-26 15:59:59.290: RTWSControl  - tickOptionComputation - id:200048 tickType:10 impliedVol:7.45246741963715E-02 delta:-0.014820097031463 optPrice:9.99999974737875E-05 pvDividend:0 gamma: 1.79769313486232E+308 theta/vega/undPrice: -3.80138254743328E-05-1.27625311533131E-04-1.5797</t>
  </si>
  <si>
    <t>2014-11-26 15:59:59.334: RTWSControl  - tickOptionComputation - id:200048 tickType:11 impliedVol:8.85557710314012E-02 delta:-0.033729532473169 optPrice:3.00000014249235E-04 pvDividend:0 gamma: 1.79769313486232E+308 theta/vega/undPrice: -9.06708701441972E-05-2.23747986632625E-04-1.5797</t>
  </si>
  <si>
    <t>2014-11-26 15:59:59.380: RTWSControl  - tickOptionComputation - id:200053 tickType:10 impliedVol:6.16025060546381E-02 delta:9.59095648497974E-02 optPrice:6.99999975040555E-04 pvDividend:0 gamma: 1.79769313486232E+308 theta/vega/undPrice: -1.43471529085122E-04-4.54041167261653E-04-1.5797</t>
  </si>
  <si>
    <t>2014-11-26 15:59:59.421: RTWSControl  - tickOptionComputation - id:200053 tickType:11 impliedVol:6.38461725515598E-02 delta:0.104155520723251 optPrice:7.999999797903E-04 pvDividend:0 gamma: 1.79769313486232E+308 theta/vega/undPrice: -1.57996914808101E-04-4.92283078343746E-04-1.5797</t>
  </si>
  <si>
    <t>2014-11-26 15:59:59.487: RTWSControl  - tickOptionComputation - id:200054 tickType:10 impliedVol:1.79769313486232E+308 delta:1.79769313486232E+308 optPrice:1.79769313486232E+308 pvDividend:0 gamma: 1.79769313486232E+308 theta/vega/undPrice: 1.79769313486232E+308-1.79769313486232E+308-1.5797</t>
  </si>
  <si>
    <t>2014-11-26 15:59:59.505: RTWSControl  - tickOptionComputation - id:200054 tickType:11 impliedVol:8.91753630339745E-02 delta:1.27034953223152E-02 optPrice:9.99999974737875E-05 pvDividend:0 gamma: 1.79769313486232E+308 theta/vega/undPrice: -3.99240666971013E-05-1.03792799987882E-04-1.5797</t>
  </si>
  <si>
    <t>2014-11-26 16:0:0.281: DirectionIndicator - notify - price/longMA/ShortMA/prevDirection are 1.5799/1.57971304821045/1.57980457289129/1</t>
  </si>
  <si>
    <t>2014-11-26 16:0:0.282: Algorithm - handleTransition - currentHedgeShortfall is NOT ZERO and AUTOHEDGE IS NOT ENABLED!</t>
  </si>
  <si>
    <t>2014-11-26 16:0:0.413: DirectionIndicator - notify - price/longMA/ShortMA/prevDirection are 1.57995/1.579756130354/1.57985304859419/1</t>
  </si>
  <si>
    <t>2014-11-26 16:0:0.413: Algorithm - FindNextStrikes - price is 1.57995 nextStrikeUp/Down 1.58/1.575</t>
  </si>
  <si>
    <t>2014-11-26 16:0:0.414: Algorithm - getPortfolioForwardDelta - required deltas is 12 currentHedgePosition is 6</t>
  </si>
  <si>
    <t>2014-11-26 16:0:0.414: Algorithm - getHedgeShortfall - required deltas is 12 price is 1.58005 currentHedgePositionDeltas is 6</t>
  </si>
  <si>
    <t>2014-11-26 16:0:0.414: Algorithm - processTransitionPoint - nextUpper/LowerStrikes are 1.58/1.575 requiredDeltas/currentPosition/currentHedgeShortfall/direction/transitionPrice are 12/6/6/1/1.58005</t>
  </si>
  <si>
    <t>2014-11-26 16:0:0.415: TransitionLogger - processTransitionpoint - checking transition - currentHedgeShortfall is 6</t>
  </si>
  <si>
    <t>2014-11-26 16:0:0.415: TransitionLogger - processTransitionpoint - reversing transition - currentHedgeShortfall/currentTransition.direction is 6/-1</t>
  </si>
  <si>
    <t>2014-11-26 16:0:0.415: TransitionLogger - endingTransition - currentCost is 0 multiplier is 62500</t>
  </si>
  <si>
    <t>2014-11-26 16:0:0.415: TransitionLogger - endTransition - ending a transition</t>
  </si>
  <si>
    <t>2014-11-26 16:0:0.416: TransitionLogger - startTransition - begining a new transition</t>
  </si>
  <si>
    <t>2014-11-26 16:0:0.416: Algorithm - handleTransition - currentHedgeShortfall is NOT ZERO and AUTOHEDGE IS NOT ENABLED!</t>
  </si>
  <si>
    <t>2014-11-26 16:0:0.996: DirectionIndicator - notify - price/longMA/ShortMA/prevDirection are 1.58/1.57980047028964/1.57990203239613/1</t>
  </si>
  <si>
    <t>2014-11-26 16:0:0.999: Algorithm - FindNextStrikes - price is 1.58 nextStrikeUp/Down 1.6/1.575</t>
  </si>
  <si>
    <t>2014-11-26 16:0:0.999: Algorithm - getPortfolioForwardDelta - required deltas is 12 currentHedgePosition is 6</t>
  </si>
  <si>
    <t>2014-11-26 16:0:0.999: Algorithm - getHedgeShortfall - required deltas is 12 price is 1.5801 currentHedgePositionDeltas is 6</t>
  </si>
  <si>
    <t>2014-11-26 16:0:1.0: Algorithm - processTransitionPoint - nextUpper/LowerStrikes are 1.6/1.575 requiredDeltas/currentPosition/currentHedgeShortfall/direction/transitionPrice are 12/6/6/1/1.5801</t>
  </si>
  <si>
    <t>2014-11-26 16:0:1.0: TransitionLogger - processTransitionpoint - checking transition - currentHedgeShortfall is 6</t>
  </si>
  <si>
    <t>2014-11-26 16:0:1.0: Algorithm - handleTransition - currentHedgeShortfall is NOT ZERO and AUTOHEDGE IS NOT ENABLED!</t>
  </si>
  <si>
    <t>2014-11-26 16:0:1.37: DirectionIndicator - notify - price/longMA/ShortMA/prevDirection are 1.58005/1.57984583932788/1.57995135493075/1</t>
  </si>
  <si>
    <t>2014-11-26 16:0:1.38: Algorithm - handleTransition - currentHedgeShortfall is NOT ZERO and AUTOHEDGE IS NOT ENABLED!</t>
  </si>
  <si>
    <t>2014-11-26 16:0:1.697: RTWSControl  - tickOptionComputation - id:200042 tickType:13 impliedVol:8.88160752293459E-02 delta:-3.18944431221523E-02 optPrice:1.37052096677855E-04 pvDividend:0 gamma: 1.79769313486232E+308 theta/vega/undPrice: -1.78381294923682E-04-1.00916025280093E-04-1.5798</t>
  </si>
  <si>
    <t>2014-11-26 16:0:1.748: RTWSControl  - tickOptionComputation - id:200041 tickType:13 impliedVol:7.82546103042137E-02 delta:0.941622931446925 optPrice:1.50423601857158E-02 pvDividend:0 gamma: 1.79769313486232E+308 theta/vega/undPrice: -2.56708916403866E-04-1.56954734434594E-04-1.5798</t>
  </si>
  <si>
    <t>2014-11-26 16:0:1.789: RTWSControl  - tickOptionComputation - id:200043 tickType:13 impliedVol:7.82546103042137E-02 delta:-5.84895871426993E-02 optPrice:2.42571537709729E-04 pvDividend:0 gamma: 1.79769313486232E+308 theta/vega/undPrice: -2.56806693962416E-04-1.56955001741132E-04-1.5798</t>
  </si>
  <si>
    <t>2014-11-26 16:0:1.835: RTWSControl  - tickOptionComputation - id:200044 tickType:13 impliedVol:7.00730929084585E-02 delta:0.877945877829015 optPrice:1.03171564149037E-02 pvDividend:0 gamma: 1.79769313486232E+308 theta/vega/undPrice: -4.02807468877193E-04-2.86920814720842E-04-1.5798</t>
  </si>
  <si>
    <t>2014-11-26 16:0:1.873: RTWSControl  - tickOptionComputation - id:200046 tickType:13 impliedVol:7.00730929084585E-02 delta:-0.122166727509499 optPrice:5.17296746357849E-04 pvDividend:0 gamma: 1.79769313486232E+308 theta/vega/undPrice: -4.02872639169299E-04-2.8692132781347E-04-1.5798</t>
  </si>
  <si>
    <t>2014-11-26 16:0:1.916: RTWSControl  - tickOptionComputation - id:200045 tickType:13 impliedVol:6.42715230420663E-02 delta:0.73202441488671 optPrice:6.08664200254174E-03 pvDividend:0 gamma: 1.79769313486232E+308 theta/vega/undPrice: -6.00123230457837E-04-4.08839430133509E-04-1.5798</t>
  </si>
  <si>
    <t>2014-11-26 16:0:1.957: RTWSControl  - tickOptionComputation - id:200047 tickType:13 impliedVol:6.42715230420663E-02 delta:-0.26808850853628 optPrice:1.28671226389852E-03 pvDividend:0 gamma: 1.79769313486232E+308 theta/vega/undPrice: -6.00156348641519E-04-4.08840647472673E-04-1.5798</t>
  </si>
  <si>
    <t>2014-11-26 16:0:1.997: RTWSControl  - tickOptionComputation - id:200055 tickType:13 impliedVol:6.08499007050085E-02 delta:0.490271897687448 optPrice:2.85183443022281E-03 pvDividend:0 gamma: 1.79769313486232E+308 theta/vega/undPrice: -6.89578698540464E-04-4.8325449805768E-04-1.5798</t>
  </si>
  <si>
    <t>2014-11-26 16:0:2.38: RTWSControl  - tickOptionComputation - id:200049 tickType:13 impliedVol:6.95718680519466E-02 delta:0.717338468721602 optPrice:1.28699496283999E-02 pvDividend:0 gamma: 1.79769313486232E+308 theta/vega/undPrice: -3.2586945387222E-04-9.1446782566011E-04-1.5798</t>
  </si>
  <si>
    <t>2014-11-26 16:0:2.81: RTWSControl  - tickOptionComputation - id:200050 tickType:13 impliedVol:6.95718680519466E-02 delta:-0.282731494314194 optPrice:3.0705645655931E-03 pvDividend:0 gamma: 1.79769313486232E+308 theta/vega/undPrice: -3.25938193537234E-04-9.14473382027466E-04-1.5798</t>
  </si>
  <si>
    <t>2014-11-26 16:0:2.120: RTWSControl  - tickOptionComputation - id:200051 tickType:13 impliedVol:7.12003509953689E-02 delta:-0.28659476802545 optPrice:3.17137061106116E-03 pvDividend:0 gamma: 1.79769313486232E+308 theta/vega/undPrice: -3.34737819765026E-04-8.42439370075083E-04-1.5798</t>
  </si>
  <si>
    <t>2014-11-26 16:0:2.161: RTWSControl  - tickOptionComputation - id:200052 tickType:13 impliedVol:0.127100083246479 delta:-0.498597819093106 optPrice:1.26500872932583E-02 pvDividend:0 gamma: 1.79769313486232E+308 theta/vega/undPrice: -7.00280555563503E-04-9.8734013037261E-04-1.5798</t>
  </si>
  <si>
    <t>2014-11-26 16:0:2.204: RTWSControl  - tickOptionComputation - id:200048 tickType:13 impliedVol:0.086927085746547 delta:-3.09791641916997E-02 optPrice:2.67593130792954E-04 pvDividend:0 gamma: 1.79769313486232E+308 theta/vega/undPrice: -8.28524843812642E-05-2.02639273946636E-04-1.5798</t>
  </si>
  <si>
    <t>2014-11-26 16:0:2.249: RTWSControl  - tickOptionComputation - id:200053 tickType:13 impliedVol:6.27469263053957E-02 delta:0.101339454141528 optPrice:7.6103722958796E-04 pvDividend:0 gamma: 1.79769313486232E+308 theta/vega/undPrice: -1.52151143253487E-04-4.7957982302718E-04-1.5798</t>
  </si>
  <si>
    <t>2014-11-26 16:0:2.288: RTWSControl  - tickOptionComputation - id:200054 tickType:13 impliedVol:6.64522605068907E-02 delta:1.32155041372831E-03 optPrice:6.35622604377534E-06 pvDividend:0 gamma: 0.258572236100744 theta/vega/undPrice: -3.90273323398606E-06-2.03687386535444E-05-1.5798</t>
  </si>
  <si>
    <t>2014-11-26 16:0:2.364: DirectionIndicator - notify - price/longMA/ShortMA/prevDirection are 1.58/1.579873868541/1.57996756995383/1</t>
  </si>
  <si>
    <t>2014-11-26 16:0:2.364: Algorithm - handleTransition - currentHedgeShortfall is NOT ZERO and AUTOHEDGE IS NOT ENABLED!</t>
  </si>
  <si>
    <t>2014-11-26 16:0:2.408: DirectionIndicator - notify - price/longMA/ShortMA/prevDirection are 1.57995/1.57988771062445/1.57996171330256/1</t>
  </si>
  <si>
    <t>2014-11-26 16:0:2.411: Algorithm - handleTransition - currentHedgeShortfall is NOT ZERO and AUTOHEDGE IS NOT ENABLED!</t>
  </si>
  <si>
    <t>2014-11-26 16:0:2.869: DirectionIndicator - notify - price/longMA/ShortMA/prevDirection are 1.5799/1.57988994505637/1.5799411422017/1</t>
  </si>
  <si>
    <t>2014-11-26 16:0:2.870: Algorithm - handleTransition - currentHedgeShortfall is NOT ZERO and AUTOHEDGE IS NOT ENABLED!</t>
  </si>
  <si>
    <t>2014-11-26 16:0:2.912: DirectionIndicator - notify - price/longMA/ShortMA/prevDirection are 1.57985/1.57988268231885/1.5799107614678/1</t>
  </si>
  <si>
    <t>2014-11-26 16:0:2.913: Algorithm - handleTransition - currentHedgeShortfall is NOT ZERO and AUTOHEDGE IS NOT ENABLED!</t>
  </si>
  <si>
    <t>2014-11-26 16:0:3.748: DirectionIndicator - notify - price/longMA/ShortMA/prevDirection are 1.5799/1.57988583098815/1.57990717431187/1</t>
  </si>
  <si>
    <t>2014-11-26 16:0:3.749: Algorithm - handleTransition - currentHedgeShortfall is NOT ZERO and AUTOHEDGE IS NOT ENABLED!</t>
  </si>
  <si>
    <t>2014-11-26 16:0:3.792: DirectionIndicator - notify - price/longMA/ShortMA/prevDirection are 1.57995/1.57989749808121/1.57992144954125/1</t>
  </si>
  <si>
    <t>2014-11-26 16:0:3.793: Algorithm - handleTransition - currentHedgeShortfall is NOT ZERO and AUTOHEDGE IS NOT ENABLED!</t>
  </si>
  <si>
    <t>2014-11-26 16:0:4.491: DirectionIndicator - notify - price/longMA/ShortMA/prevDirection are 1.5799/1.57989795297554/1.57991429969416/1</t>
  </si>
  <si>
    <t>2014-11-26 16:0:4.491: Algorithm - handleTransition - currentHedgeShortfall is NOT ZERO and AUTOHEDGE IS NOT ENABLED!</t>
  </si>
  <si>
    <t>2014-11-26 16:0:4.532: DirectionIndicator - notify - price/longMA/ShortMA/prevDirection are 1.57985/1.57988923425271/1.57989286646278/1</t>
  </si>
  <si>
    <t>2014-11-26 16:0:4.533: Algorithm - handleTransition - currentHedgeShortfall is NOT ZERO and AUTOHEDGE IS NOT ENABLED!</t>
  </si>
  <si>
    <t>2014-11-26 16:0:5.372: RTWSControl  - tickOptionComputation - id:200042 tickType:10 impliedVol:9.67204426401856E-02 delta:-4.15028933778265E-02 optPrice:1.99999994947575E-04 pvDividend:0 gamma: 1.79769313486232E+308 theta/vega/undPrice: -2.43370034503149E-04-1.39379877070727E-04-1.58</t>
  </si>
  <si>
    <t>2014-11-26 16:0:5.425: RTWSControl  - tickOptionComputation - id:200042 tickType:11 impliedVol:0.085329089129365 delta:-2.50819755327289E-02 optPrice:9.99999974737875E-05 pvDividend:0 gamma: 1.79769313486232E+308 theta/vega/undPrice: -1.4073309427282E-04-8.77858859454534E-05-1.58</t>
  </si>
  <si>
    <t>2014-11-26 16:0:5.490: RTWSControl  - tickOptionComputation - id:200042 tickType:13 impliedVol:8.88160752293459E-02 delta:-3.05606307846947E-02 optPrice:1.30610827659085E-04 pvDividend:0 gamma: 1.79769313486232E+308 theta/vega/undPrice: -1.72151121223358E-04-9.55552963050039E-05-1.58</t>
  </si>
  <si>
    <t>2014-11-26 16:0:5.540: RTWSControl  - tickOptionComputation - id:200041 tickType:10 impliedVol:1.79769313486232E+308 delta:1.79769313486232E+308 optPrice:1.48000000044703E-02 pvDividend:0 gamma: 1.79769313486232E+308 theta/vega/undPrice: 1.79769313486232E+308-1.79769313486232E+308-1.58</t>
  </si>
  <si>
    <t>2014-11-26 16:0:5.559: RTWSControl  - tickOptionComputation - id:200041 tickType:11 impliedVol:7.61260297128127E-02 delta:0.949179653127046 optPrice:0.0152000002563 pvDividend:0 gamma: 1.79769313486232E+308 theta/vega/undPrice: -2.23652620793418E-04-1.43459041639739E-04-1.58</t>
  </si>
  <si>
    <t>2014-11-26 16:0:5.621: RTWSControl  - tickOptionComputation - id:200041 tickType:13 impliedVol:7.82546103042137E-02 delta:0.944096815002265 optPrice:1.52305366828291E-02 pvDividend:0 gamma: 1.79769313486232E+308 theta/vega/undPrice: -2.48093313386034E-04-1.48632311165641E-04-1.58</t>
  </si>
  <si>
    <t>2014-11-26 16:0:5.667: RTWSControl  - tickOptionComputation - id:200043 tickType:10 impliedVol:6.68226848548473E-02 delta:-3.12528176587936E-02 optPrice:9.99999974737875E-05 pvDividend:0 gamma: 1.79769313486232E+308 theta/vega/undPrice: -1.31974156609472E-04-1.09463364560583E-04-1.58</t>
  </si>
  <si>
    <t>2014-11-26 16:0:5.710: RTWSControl  - tickOptionComputation - id:200043 tickType:11 impliedVol:7.61446167184224E-02 delta:-5.08531196517205E-02 optPrice:1.99999994947575E-04 pvDividend:0 gamma: 1.79769313486232E+308 theta/vega/undPrice: -2.23965097882775E-04-1.43459139758135E-04-1.58</t>
  </si>
  <si>
    <t>2014-11-26 16:0:5.756: RTWSControl  - tickOptionComputation - id:200043 tickType:13 impliedVol:7.82546103042137E-02 delta:-5.60157017842839E-02 optPrice:2.3075088057781E-04 pvDividend:0 gamma: 1.79769313486232E+308 theta/vega/undPrice: -2.48192398711235E-04-1.48632571735512E-04-1.58</t>
  </si>
  <si>
    <t>2014-11-26 16:0:5.800: RTWSControl  - tickOptionComputation - id:200044 tickType:10 impliedVol:5.53095613714192E-02 delta:0.932999685970419 optPrice:1.02000003680587E-02 pvDividend:0 gamma: 1.79769313486232E+308 theta/vega/undPrice: -2.02460772420026E-04-1.94315814207899E-04-1.58</t>
  </si>
  <si>
    <t>2014-11-26 16:0:5.845: RTWSControl  - tickOptionComputation - id:200044 tickType:11 impliedVol:1.79769313486232E+308 delta:1.79769313486232E+308 optPrice:0.010499999858439 pvDividend:0 gamma: 1.79769313486232E+308 theta/vega/undPrice: 1.79769313486232E+308-1.79769313486232E+308-1.58</t>
  </si>
  <si>
    <t>2014-11-26 16:0:5.906: RTWSControl  - tickOptionComputation - id:200044 tickType:13 impliedVol:7.00730929084585E-02 delta:0.882098001282141 optPrice:1.04969857043878E-02 pvDividend:0 gamma: 1.79769313486232E+308 theta/vega/undPrice: -3.9222273788547E-04-2.75016590588763E-04-1.58</t>
  </si>
  <si>
    <t>2014-11-26 16:0:5.956: RTWSControl  - tickOptionComputation - id:200046 tickType:10 impliedVol:6.55887173282953E-02 delta:-0.103798199280405 optPrice:3.9999998989515E-04 pvDividend:0 gamma: 1.79769313486232E+308 theta/vega/undPrice: -3.33132544648411E-04-2.38197070981434E-04-1.58</t>
  </si>
  <si>
    <t>2014-11-26 16:0:5.998: RTWSControl  - tickOptionComputation - id:200046 tickType:11 impliedVol:7.02063047939001E-02 delta:-0.11839374118914 optPrice:5.00000023748726E-04 pvDividend:0 gamma: 1.79769313486232E+308 theta/vega/undPrice: -3.94046504339277E-04-2.76110859413429E-04-1.58</t>
  </si>
  <si>
    <t>2014-11-26 16:0:6.44: RTWSControl  - tickOptionComputation - id:200046 tickType:13 impliedVol:7.00730929084585E-02 delta:-0.118014600340402 optPrice:4.97128874627436E-04 pvDividend:0 gamma: 1.79769313486232E+308 theta/vega/undPrice: -3.92289209972725E-04-2.750170923943E-04-1.58</t>
  </si>
  <si>
    <t>2014-11-26 16:0:6.85: RTWSControl  - tickOptionComputation - id:200045 tickType:10 impliedVol:5.79775193942428E-02 delta:0.761474698619986 optPrice:6.00000005215406E-03 pvDividend:0 gamma: 1.79769313486232E+308 theta/vega/undPrice: -5.0658590004234E-04-3.79417364216184E-04-1.58</t>
  </si>
  <si>
    <t>2014-11-26 16:0:6.127: RTWSControl  - tickOptionComputation - id:200045 tickType:11 impliedVol:0.063248761557073 delta:0.743111936710269 optPrice:6.20000017806888E-03 pvDividend:0 gamma: 1.79769313486232E+308 theta/vega/undPrice: -5.76265110494275E-04-3.82953783031934E-04-1.58</t>
  </si>
  <si>
    <t>2014-11-26 16:0:6.173: RTWSControl  - tickOptionComputation - id:200045 tickType:13 impliedVol:6.42715230420663E-02 delta:0.739992725290716 optPrice:6.23880551801882E-03 pvDividend:0 gamma: 1.79769313486232E+308 theta/vega/undPrice: -5.89784725743743E-04-3.89702493829833E-04-1.58</t>
  </si>
  <si>
    <t>2014-11-26 16:0:6.216: RTWSControl  - tickOptionComputation - id:200047 tickType:10 impliedVol:6.32468338366245E-02 delta:-0.256868390442078 optPrice:1.20000005699694E-03 pvDividend:0 gamma: 1.79769313486232E+308 theta/vega/undPrice: -5.76273997785095E-04-3.82942234200558E-04-1.58</t>
  </si>
  <si>
    <t>2014-11-26 16:0:6.260: RTWSControl  - tickOptionComputation - id:200047 tickType:11 impliedVol:6.85180662536484E-02 delta:-0.272397021411726 optPrice:1.39999995008111E-03 pvDividend:0 gamma: 1.79769313486232E+308 theta/vega/undPrice: -6.45953186093255E-04-4.17724639825947E-04-1.58</t>
  </si>
  <si>
    <t>2014-11-26 16:0:6.329: RTWSControl  - tickOptionComputation - id:200047 tickType:13 impliedVol:6.42715230420663E-02 delta:-0.260120187453986 optPrice:1.2388785874568E-03 pvDividend:0 gamma: 1.79769313486232E+308 theta/vega/undPrice: -5.89819130005296E-04-3.89703684777695E-04-1.58</t>
  </si>
  <si>
    <t>2014-11-26 16:0:6.376: RTWSControl  - tickOptionComputation - id:200055 tickType:10 impliedVol:1.79769313486232E+308 delta:1.79769313486232E+308 optPrice:2.79999990016222E-03 pvDividend:0 gamma: 1.79769313486232E+308 theta/vega/undPrice: 1.79769313486232E+308-1.79769313486232E+308-1.58</t>
  </si>
  <si>
    <t>2014-11-26 16:0:6.411: RTWSControl  - tickOptionComputation - id:200055 tickType:11 impliedVol:6.20887671026426E-02 delta:0.50094258834329 optPrice:3.00000002607703E-03 pvDividend:0 gamma: 1.79769313486232E+308 theta/vega/undPrice: -7.06358952955277E-04-4.83285037619009E-04-1.58</t>
  </si>
  <si>
    <t>2014-11-26 16:0:6.459: RTWSControl  - tickOptionComputation - id:200055 tickType:13 impliedVol:6.08499007050085E-02 delta:0.500986972685738 optPrice:2.94079180364233E-03 pvDividend:0 gamma: 1.79769313486232E+308 theta/vega/undPrice: -6.92264943959789E-04-4.83285096697024E-04-1.58</t>
  </si>
  <si>
    <t>2014-11-26 16:0:6.500: RTWSControl  - tickOptionComputation - id:200049 tickType:10 impliedVol:6.67464988269456E-02 delta:0.728407206968289 optPrice:1.27999996766448E-02 pvDividend:0 gamma: 1.79769313486232E+308 theta/vega/undPrice: -3.05394611274139E-04-8.59303272341246E-04-1.58</t>
  </si>
  <si>
    <t>2014-11-26 16:0:6.542: RTWSControl  - tickOptionComputation - id:200049 tickType:11 impliedVol:7.05973850277585E-02 delta:0.718315769583314 optPrice:1.31000000983477E-02 pvDividend:0 gamma: 1.79769313486232E+308 theta/vega/undPrice: -3.30102928915894E-04-9.11475567827941E-04-1.58</t>
  </si>
  <si>
    <t>2014-11-26 16:0:6.590: RTWSControl  - tickOptionComputation - id:200049 tickType:13 impliedVol:6.95718680519466E-02 delta:0.720984162970398 optPrice:1.30201080050729E-02 pvDividend:0 gamma: 1.79769313486232E+308 theta/vega/undPrice: -3.23522946147324E-04-8.97581757383383E-04-1.58</t>
  </si>
  <si>
    <t>2014-11-26 16:0:6.632: RTWSControl  - tickOptionComputation - id:200050 tickType:10 impliedVol:6.93057854595052E-02 delta:-0.278368685902369 optPrice:3.00000002607703E-03 pvDividend:0 gamma: 1.79769313486232E+308 theta/vega/undPrice: -3.21885130201249E-04-8.93987967751392E-04-1.58</t>
  </si>
  <si>
    <t>2014-11-26 16:0:6.675: RTWSControl  - tickOptionComputation - id:200050 tickType:11 impliedVol:7.17158879185503E-02 delta:-0.284731333860454 optPrice:3.1999999191612E-03 pvDividend:0 gamma: 1.79769313486232E+308 theta/vega/undPrice: -3.3689153617938E-04-9.14530310879967E-04-1.58</t>
  </si>
  <si>
    <t>2014-11-26 16:0:6.744: RTWSControl  - tickOptionComputation - id:200050 tickType:13 impliedVol:6.95718680519466E-02 delta:-0.279085260268328 optPrice:3.0207291336327E-03 pvDividend:0 gamma: 1.79769313486232E+308 theta/vega/undPrice: -3.23592424634407E-04-8.97592885925045E-04-1.58</t>
  </si>
  <si>
    <t>2014-11-26 16:0:6.790: RTWSControl  - tickOptionComputation - id:200051 tickType:10 impliedVol:6.86257090636178E-02 delta:-0.275598676581468 optPrice:2.89999996311963E-03 pvDividend:0 gamma: 1.79769313486232E+308 theta/vega/undPrice: -3.16652811517274E-04-8.26821210238706E-04-1.58</t>
  </si>
  <si>
    <t>2014-11-26 16:0:6.835: RTWSControl  - tickOptionComputation - id:200051 tickType:11 impliedVol:7.10302080717038E-02 delta:-0.28225186370061 optPrice:3.10000008903444E-03 pvDividend:0 gamma: 1.79769313486232E+308 theta/vega/undPrice: -3.31572780312511E-04-8.364720525986E-04-1.58</t>
  </si>
  <si>
    <t>2014-11-26 16:0:6.878: RTWSControl  - tickOptionComputation - id:200051 tickType:13 impliedVol:7.12003509953689E-02 delta:-0.282744001219251 optPrice:3.11444397338346E-03 pvDividend:0 gamma: 1.79769313486232E+308 theta/vega/undPrice: -3.3262530115022E-04-8.37122153467886E-04-1.58</t>
  </si>
  <si>
    <t>2014-11-26 16:0:6.921: RTWSControl  - tickOptionComputation - id:200052 tickType:10 impliedVol:1.79769313486232E+308 delta:1.79769313486232E+308 optPrice:1.79769313486232E+308 pvDividend:0 gamma: 1.79769313486232E+308 theta/vega/undPrice: 1.79769313486232E+308-1.79769313486232E+308-1.58</t>
  </si>
  <si>
    <t>2014-11-26 16:0:6.958: RTWSControl  - tickOptionComputation - id:200052 tickType:11 impliedVol:1.79769313486232E+308 delta:1.79769313486232E+308 optPrice:1.79769313486232E+308 pvDividend:0 gamma: 1.79769313486232E+308 theta/vega/undPrice: 1.79769313486232E+308-1.79769313486232E+308-1.58</t>
  </si>
  <si>
    <t>2014-11-26 16:0:6.999: RTWSControl  - tickOptionComputation - id:200052 tickType:13 impliedVol:0.127100083246479 delta:-0.496061507790581 optPrice:1.25506372821439E-02 pvDividend:0 gamma: 1.79769313486232E+308 theta/vega/undPrice: -7.0033969476759E-04-9.87422579349429E-04-1.58</t>
  </si>
  <si>
    <t>2014-11-26 16:0:7.47: RTWSControl  - tickOptionComputation - id:200048 tickType:10 impliedVol:7.50363182652547E-02 delta:-1.47672612358351E-02 optPrice:9.99999974737875E-05 pvDividend:0 gamma: 1.79769313486232E+308 theta/vega/undPrice: -3.81645689005712E-05-1.26903336247091E-04-1.58</t>
  </si>
  <si>
    <t>2014-11-26 16:0:7.92: RTWSControl  - tickOptionComputation - id:200048 tickType:11 impliedVol:8.90716248676614E-02 delta:-3.35151974783908E-02 optPrice:3.00000014249235E-04 pvDividend:0 gamma: 1.79769313486232E+308 theta/vega/undPrice: -9.07256296108118E-05-2.21614505801144E-04-1.58</t>
  </si>
  <si>
    <t>2014-11-26 16:0:7.163: RTWSControl  - tickOptionComputation - id:200048 tickType:13 impliedVol:0.086927085746547 delta:-3.03208872388479E-02 optPrice:2.61201973779109E-04 pvDividend:0 gamma: 1.79769313486232E+308 theta/vega/undPrice: -8.13917422587059E-05-1.97319846556912E-04-1.58</t>
  </si>
  <si>
    <t>2014-11-26 16:0:7.207: RTWSControl  - tickOptionComputation - id:200053 tickType:10 impliedVol:6.09119008080868E-02 delta:9.67657383363792E-02 optPrice:6.99999975040555E-04 pvDividend:0 gamma: 1.79769313486232E+308 theta/vega/undPrice: -1.42811526647847E-04-4.60365380072015E-04-1.58</t>
  </si>
  <si>
    <t>2014-11-26 16:0:7.249: RTWSControl  - tickOptionComputation - id:200053 tickType:11 impliedVol:6.53956971967171E-02 delta:0.112794833141841 optPrice:8.99999984540045E-04 pvDividend:0 gamma: 1.79769313486232E+308 theta/vega/undPrice: -1.71842149978135E-04-5.36796135814642E-04-1.58</t>
  </si>
  <si>
    <t>2014-11-26 16:0:7.294: RTWSControl  - tickOptionComputation - id:200053 tickType:13 impliedVol:6.27469263053957E-02 delta:0.103614685783158 optPrice:7.81477031989648E-04 pvDividend:0 gamma: 1.79769313486232E+308 theta/vega/undPrice: -1.54692525990569E-04-4.91645243034062E-04-1.58</t>
  </si>
  <si>
    <t>2014-11-26 16:0:7.338: RTWSControl  - tickOptionComputation - id:200054 tickType:10 impliedVol:1.79769313486232E+308 delta:1.79769313486232E+308 optPrice:1.79769313486232E+308 pvDividend:0 gamma: 1.79769313486232E+308 theta/vega/undPrice: 1.79769313486232E+308-1.79769313486232E+308-1.58</t>
  </si>
  <si>
    <t>2014-11-26 16:0:7.375: RTWSControl  - tickOptionComputation - id:200054 tickType:11 impliedVol:8.86388623701956E-02 delta:1.27059848390715E-02 optPrice:9.99999974737875E-05 pvDividend:0 gamma: 1.79769313486232E+308 theta/vega/undPrice: -3.96977984859709E-05-1.03802688711291E-04-1.58</t>
  </si>
  <si>
    <t>2014-11-26 16:0:7.443: RTWSControl  - tickOptionComputation - id:200054 tickType:13 impliedVol:6.64522605068907E-02 delta:1.37332951352422E-03 optPrice:6.62092845481778E-06 pvDividend:0 gamma: 0.267954516386876 theta/vega/undPrice: -4.04536757432077E-06-2.07761277467622E-05-1.58</t>
  </si>
  <si>
    <t>2014-11-26 16:0:7.583: DirectionIndicator - notify - price/longMA/ShortMA/prevDirection are 1.5798/1.57987300984313/1.57986191097518/1</t>
  </si>
  <si>
    <t>2014-11-26 16:0:7.584: Algorithm - handleTransition - currentHedgeShortfall is NOT ZERO and AUTOHEDGE IS NOT ENABLED!</t>
  </si>
  <si>
    <t>2014-11-26 16:0:7.620: DirectionIndicator - notify - price/longMA/ShortMA/prevDirection are 1.57975/1.5798506444171/1.57982460731679/1</t>
  </si>
  <si>
    <t>2014-11-26 16:0:7.621: Algorithm - handleTransition - currentHedgeShortfall is NOT ZERO and AUTOHEDGE IS NOT ENABLED!</t>
  </si>
  <si>
    <t>2014-11-26 16:0:8.329: RTWSControl  - tickOptionComputation - id:200042 tickType:13 impliedVol:8.88160752293459E-02 delta:-3.12274947414908E-02 optPrice:1.33831462168453E-04 pvDividend:0 gamma: 1.79769313486232E+308 theta/vega/undPrice: -1.75266208073369E-04-9.82356607925721E-05-1.5799</t>
  </si>
  <si>
    <t>2014-11-26 16:0:8.380: RTWSControl  - tickOptionComputation - id:200041 tickType:13 impliedVol:7.82546103042137E-02 delta:0.942859951517 optPrice:1.51364484342724E-02 pvDividend:0 gamma: 1.79769313486232E+308 theta/vega/undPrice: -2.5240111489495E-04-1.52793522800225E-04-1.5799</t>
  </si>
  <si>
    <t>2014-11-26 16:0:8.428: RTWSControl  - tickOptionComputation - id:200043 tickType:13 impliedVol:7.82546103042137E-02 delta:-5.72525661708834E-02 optPrice:2.36661209143526E-04 pvDividend:0 gamma: 1.79769313486232E+308 theta/vega/undPrice: -2.52499546335089E-04-1.52793786738587E-04-1.5799</t>
  </si>
  <si>
    <t>2014-11-26 16:0:8.493: RTWSControl  - tickOptionComputation - id:200044 tickType:13 impliedVol:7.00730929084585E-02 delta:0.880022070960201 optPrice:1.04070710596458E-02 pvDividend:0 gamma: 1.79769313486232E+308 theta/vega/undPrice: -3.97515103381311E-04-2.80968702654769E-04-1.5799</t>
  </si>
  <si>
    <t>2014-11-26 16:0:8.540: RTWSControl  - tickOptionComputation - id:200046 tickType:13 impliedVol:7.00730929084585E-02 delta:-0.120090532496763 optPrice:5.07212810449198E-04 pvDividend:0 gamma: 1.79769313486232E+308 theta/vega/undPrice: -3.97580924366832E-04-2.80969210147342E-04-1.5799</t>
  </si>
  <si>
    <t>2014-11-26 16:0:8.581: RTWSControl  - tickOptionComputation - id:200045 tickType:13 impliedVol:6.42715230420663E-02 delta:0.736008822266389 optPrice:6.16272376028021E-03 pvDividend:0 gamma: 1.79769313486232E+308 theta/vega/undPrice: -5.94953978100795E-04-3.99270961981774E-04-1.5799</t>
  </si>
  <si>
    <t>2014-11-26 16:0:8.623: RTWSControl  - tickOptionComputation - id:200047 tickType:13 impliedVol:6.42715230420663E-02 delta:-0.264104095812479 optPrice:1.26279542567056E-03 pvDividend:0 gamma: 1.79769313486232E+308 theta/vega/undPrice: -5.94987739282002E-04-3.99272166132235E-04-1.5799</t>
  </si>
  <si>
    <t>2014-11-26 16:0:8.665: RTWSControl  - tickOptionComputation - id:200055 tickType:13 impliedVol:6.08499007050085E-02 delta:0.495629774292694 optPrice:2.89631311693248E-03 pvDividend:0 gamma: 1.79769313486232E+308 theta/vega/undPrice: -6.90921821250114E-04-4.83269797377496E-04-1.5799</t>
  </si>
  <si>
    <t>2014-11-26 16:0:8.706: RTWSControl  - tickOptionComputation - id:200049 tickType:13 impliedVol:6.95718680519466E-02 delta:0.719196602393955 optPrice:1.29439352443557E-02 pvDividend:0 gamma: 1.79769313486232E+308 theta/vega/undPrice: -3.24737595572528E-04-9.07118363902478E-04-1.5799</t>
  </si>
  <si>
    <t>2014-11-26 16:0:8.748: RTWSControl  - tickOptionComputation - id:200050 tickType:13 impliedVol:6.95718680519466E-02 delta:-0.280872866008162 optPrice:3.04455065102888E-03 pvDividend:0 gamma: 1.79769313486232E+308 theta/vega/undPrice: -3.24806511907056E-04-9.07129332560142E-04-1.5799</t>
  </si>
  <si>
    <t>2014-11-26 16:0:8.789: RTWSControl  - tickOptionComputation - id:200051 tickType:13 impliedVol:7.12003509953689E-02 delta:-0.284666214998885 optPrice:3.14281104063886E-03 pvDividend:0 gamma: 1.79769313486232E+308 theta/vega/undPrice: -3.33685227444752E-04-8.39789988359911E-04-1.5799</t>
  </si>
  <si>
    <t>2014-11-26 16:0:8.829: RTWSControl  - tickOptionComputation - id:200052 tickType:13 impliedVol:0.127100083246479 delta:-0.497329609372252 optPrice:1.26002997232738E-02 pvDividend:0 gamma: 1.79769313486232E+308 theta/vega/undPrice: -7.0031366420325E-04-9.87386343450307E-04-1.5799</t>
  </si>
  <si>
    <t>2014-11-26 16:0:8.871: RTWSControl  - tickOptionComputation - id:200048 tickType:13 impliedVol:0.086927085746547 delta:-0.030650004882406 optPrice:2.64397552286037E-04 pvDividend:0 gamma: 1.79769313486232E+308 theta/vega/undPrice: -8.21221133199786E-05-1.99979560251769E-04-1.5799</t>
  </si>
  <si>
    <t>2014-11-26 16:0:8.914: RTWSControl  - tickOptionComputation - id:200053 tickType:13 impliedVol:6.27469263053957E-02 delta:0.102477141967899 optPrice:7.7125713078878E-04 pvDividend:0 gamma: 1.79769313486232E+308 theta/vega/undPrice: -1.53421834622025E-04-4.85612533030622E-04-1.5799</t>
  </si>
  <si>
    <t>2014-11-26 16:0:8.956: RTWSControl  - tickOptionComputation - id:200054 tickType:13 impliedVol:6.64522605068907E-02 delta:1.34744160230917E-03 optPrice:6.48857724929699E-06 pvDividend:0 gamma: 0.263263971151324 theta/vega/undPrice: -3.97405040415365E-06-2.0572433200153E-05-1.5799</t>
  </si>
  <si>
    <t>2014-11-26 16:0:9.409: DirectionIndicator - notify - price/longMA/ShortMA/prevDirection are 1.5798/1.57984143634127/1.57981640487786/-1</t>
  </si>
  <si>
    <t>2014-11-26 16:0:9.409: Algorithm - handleTransition - currentHedgeShortfall is NOT ZERO and AUTOHEDGE IS NOT ENABLED!</t>
  </si>
  <si>
    <t>2014-11-26 16:0:9.451: DirectionIndicator - notify - price/longMA/ShortMA/prevDirection are 1.57985/1.57984299337013/1.57982760325191/-1</t>
  </si>
  <si>
    <t>2014-11-26 16:0:9.455: Algorithm - handleTransition - currentHedgeShortfall is NOT ZERO and AUTOHEDGE IS NOT ENABLED!</t>
  </si>
  <si>
    <t>2014-11-26 16:0:9.576: DirectionIndicator - notify - price/longMA/ShortMA/prevDirection are 1.5798/1.57983517639374/1.57981840216794/-1</t>
  </si>
  <si>
    <t>2014-11-26 16:0:9.577: Algorithm - handleTransition - currentHedgeShortfall is NOT ZERO and AUTOHEDGE IS NOT ENABLED!</t>
  </si>
  <si>
    <t>2014-11-26 16:0:9.619: DirectionIndicator - notify - price/longMA/ShortMA/prevDirection are 1.57975/1.5798196897767/1.57979560144529/-1</t>
  </si>
  <si>
    <t>2014-11-26 16:0:9.619: Algorithm - handleTransition - currentHedgeShortfall is NOT ZERO and AUTOHEDGE IS NOT ENABLED!</t>
  </si>
  <si>
    <t>2014-11-26 16:0:9.952: DirectionIndicator - notify - price/longMA/ShortMA/prevDirection are 1.5797/1.57979792799912/1.57976373429686/-1</t>
  </si>
  <si>
    <t>2014-11-26 16:0:9.952: Algorithm - handleTransition - currentHedgeShortfall is NOT ZERO and AUTOHEDGE IS NOT ENABLED!</t>
  </si>
  <si>
    <t>2014-11-26 16:0:9.993: DirectionIndicator - notify - price/longMA/ShortMA/prevDirection are 1.57965/1.57977103199928/1.57972582286457/-1</t>
  </si>
  <si>
    <t>2014-11-26 16:0:9.993: Algorithm - handleTransition - currentHedgeShortfall is NOT ZERO and AUTOHEDGE IS NOT ENABLED!</t>
  </si>
  <si>
    <t>2014-11-26 16:0:10.410: RTWSControl  - tickOptionComputation - id:200042 tickType:10 impliedVol:9.59378726496141E-02 delta:-4.17350493634573E-02 optPrice:1.99999994947575E-04 pvDividend:0 gamma: 1.79769313486232E+308 theta/vega/undPrice: -2.4254514090365E-04-1.40399266310258E-04-1.5798</t>
  </si>
  <si>
    <t>2014-11-26 16:0:10.459: RTWSControl  - tickOptionComputation - id:200042 tickType:11 impliedVol:8.46436813014052E-02 delta:-2.53516715800005E-02 optPrice:9.99999974737875E-05 pvDividend:0 gamma: 1.79769313486232E+308 theta/vega/undPrice: -1.40790065260391E-04-8.77803379475423E-05-1.5798</t>
  </si>
  <si>
    <t>2014-11-26 16:0:10.506: RTWSControl  - tickOptionComputation - id:200042 tickType:13 impliedVol:8.85284150449763E-02 delta:-3.14634009146731E-02 optPrice:1.34527005565397E-04 pvDividend:0 gamma: 1.79769313486232E+308 theta/vega/undPrice: -1.75789618257442E-04-9.93212360038206E-05-1.5798</t>
  </si>
  <si>
    <t>2014-11-26 16:0:10.550: RTWSControl  - tickOptionComputation - id:200041 tickType:10 impliedVol:1.79769313486232E+308 delta:1.79769313486232E+308 optPrice:1.47000001743436E-02 pvDividend:0 gamma: 1.79769313486232E+308 theta/vega/undPrice: 1.79769313486232E+308-1.79769313486232E+308-1.5798</t>
  </si>
  <si>
    <t>2014-11-26 16:0:10.585: RTWSControl  - tickOptionComputation - id:200041 tickType:11 impliedVol:7.53016298258363E-02 delta:0.948703500506937 optPrice:1.49999996647239E-02 pvDividend:0 gamma: 1.79769313486232E+308 theta/vega/undPrice: -2.22804480129694E-04-1.43449976316018E-04-1.5798</t>
  </si>
  <si>
    <t>2014-11-26 16:0:10.652: RTWSControl  - tickOptionComputation - id:200041 tickType:13 impliedVol:7.77890869361499E-02 delta:0.942721692512306 optPrice:1.50356822523711E-02 pvDividend:0 gamma: 1.79769313486232E+308 theta/vega/undPrice: -2.51364044033168E-04-1.53615779596503E-04-1.5798</t>
  </si>
  <si>
    <t>2014-11-26 16:0:10.706: RTWSControl  - tickOptionComputation - id:200043 tickType:10 impliedVol:6.60321424118505E-02 delta:-3.14499699354881E-02 optPrice:9.99999974737875E-05 pvDividend:0 gamma: 1.79769313486232E+308 theta/vega/undPrice: -1.31083053634774E-04-1.10442019599272E-04-1.5798</t>
  </si>
  <si>
    <t>2014-11-26 16:0:10.748: RTWSControl  - tickOptionComputation - id:200043 tickType:11 impliedVol:7.52954032299516E-02 delta:-5.12668067147788E-02 optPrice:1.99999994947575E-04 pvDividend:0 gamma: 1.79769313486232E+308 theta/vega/undPrice: -2.2283072935535E-04-1.43450074860481E-04-1.5798</t>
  </si>
  <si>
    <t>2014-11-26 16:0:10.794: RTWSControl  - tickOptionComputation - id:200043 tickType:13 impliedVol:7.77890869361499E-02 delta:-0.05739082527728 optPrice:2.35893599786012E-04 pvDividend:0 gamma: 1.79769313486232E+308 theta/vega/undPrice: -2.5146181559659E-04-1.53616043365661E-04-1.5798</t>
  </si>
  <si>
    <t>2014-11-26 16:0:10.835: RTWSControl  - tickOptionComputation - id:200044 tickType:10 impliedVol:5.44851599377349E-02 delta:0.932097181099273 optPrice:9.99999977648258E-03 pvDividend:0 gamma: 1.79769313486232E+308 theta/vega/undPrice: -2.01612616272644E-04-1.96726214022303E-04-1.5798</t>
  </si>
  <si>
    <t>2014-11-26 16:0:10.876: RTWSControl  - tickOptionComputation - id:200044 tickType:11 impliedVol:7.32161394698023E-02 delta:0.867185450881082 optPrice:1.04000000283122E-02 pvDividend:0 gamma: 1.79769313486232E+308 theta/vega/undPrice: -4.45262489502462E-04-2.97620748296016E-04-1.5798</t>
  </si>
  <si>
    <t>2014-11-26 16:0:10.922: RTWSControl  - tickOptionComputation - id:200044 tickType:13 impliedVol:6.96020891284093E-02 delta:0.879323471237855 optPrice:1.03070054034101E-02 pvDividend:0 gamma: 1.79769313486232E+308 theta/vega/undPrice: -3.96594519122872E-04-2.83053779264689E-04-1.5798</t>
  </si>
  <si>
    <t>2014-11-26 16:0:10.965: RTWSControl  - tickOptionComputation - id:200046 tickType:10 impliedVol:6.46311368569718E-02 delta:-0.105009733999345 optPrice:3.9999998989515E-04 pvDividend:0 gamma: 1.79769313486232E+308 theta/vega/undPrice: -3.31088368560191E-04-2.42241693615133E-04-1.5798</t>
  </si>
  <si>
    <t>2014-11-26 16:0:11.9: RTWSControl  - tickOptionComputation - id:200046 tickType:11 impliedVol:7.31900521666473E-02 delta:-0.132704928831432 optPrice:6.00000028498471E-04 pvDividend:0 gamma: 1.79769313486232E+308 theta/vega/undPrice: -4.4496970292905E-04-2.97621037095144E-04-1.5798</t>
  </si>
  <si>
    <t>2014-11-26 16:0:11.79: RTWSControl  - tickOptionComputation - id:200046 tickType:13 impliedVol:6.96020891284093E-02 delta:-0.120789132852768 optPrice:5.07145726536226E-04 pvDividend:0 gamma: 1.79769313486232E+308 theta/vega/undPrice: -3.96659679954159E-04-2.83054287134666E-04-1.5798</t>
  </si>
  <si>
    <t>2014-11-26 16:0:11.125: RTWSControl  - tickOptionComputation - id:200045 tickType:10 impliedVol:5.93446598859639E-02 delta:0.747770166682546 optPrice:5.9000002220273E-03 pvDividend:0 gamma: 1.79769313486232E+308 theta/vega/undPrice: -5.35000416214628E-04-3.79393306613299E-04-1.5798</t>
  </si>
  <si>
    <t>2014-11-26 16:0:11.167: RTWSControl  - tickOptionComputation - id:200045 tickType:11 impliedVol:6.72531326492119E-02 delta:0.723478285206321 optPrice:6.20000017806888E-03 pvDividend:0 gamma: 1.79769313486232E+308 theta/vega/undPrice: -6.39533833060409E-04-4.28512376726835E-04-1.5798</t>
  </si>
  <si>
    <t>2014-11-26 16:0:11.214: RTWSControl  - tickOptionComputation - id:200045 tickType:13 impliedVol:6.39674216217827E-02 delta:0.732931206408243 optPrice:6.07510459792953E-03 pvDividend:0 gamma: 1.79769313486232E+308 theta/vega/undPrice: -5.96103648400696E-04-4.06832938850108E-04-1.5798</t>
  </si>
  <si>
    <t>2014-11-26 16:0:11.256: RTWSControl  - tickOptionComputation - id:200047 tickType:10 impliedVol:6.19683894125049E-02 delta:-0.260965419902359 optPrice:1.20000005699694E-03 pvDividend:0 gamma: 1.79769313486232E+308 theta/vega/undPrice: -5.69713672143572E-04-3.93644296085282E-04-1.5798</t>
  </si>
  <si>
    <t>2014-11-26 16:0:11.301: RTWSControl  - tickOptionComputation - id:200047 tickType:11 impliedVol:6.72575022445888E-02 delta:-0.276520059561111 optPrice:1.39999995008111E-03 pvDividend:0 gamma: 1.79769313486232E+308 theta/vega/undPrice: -6.39624819348029E-04-4.28542479522959E-04-1.5798</t>
  </si>
  <si>
    <t>2014-11-26 16:0:11.372: RTWSControl  - tickOptionComputation - id:200047 tickType:13 impliedVol:6.39674216217827E-02 delta:-0.267181715799577 optPrice:1.27517484569696E-03 pvDividend:0 gamma: 1.79769313486232E+308 theta/vega/undPrice: -5.96136755901925E-04-4.06834150433292E-04-1.5798</t>
  </si>
  <si>
    <t>2014-11-26 16:0:11.418: RTWSControl  - tickOptionComputation - id:200055 tickType:10 impliedVol:5.77056812094063E-02 delta:0.48957787658423 optPrice:2.70000007003546E-03 pvDividend:0 gamma: 1.79769313486232E+308 theta/vega/undPrice: -6.53810614382244E-04-4.83254643566741E-04-1.5798</t>
  </si>
  <si>
    <t>2014-11-26 16:0:11.457: RTWSControl  - tickOptionComputation - id:200055 tickType:11 impliedVol:6.39172841125118E-02 delta:0.490771156568654 optPrice:3.00000002607703E-03 pvDividend:0 gamma: 1.79769313486232E+308 theta/vega/undPrice: -7.2447268035714E-04-4.83254349271389E-04-1.5798</t>
  </si>
  <si>
    <t>2014-11-26 16:0:11.504: RTWSControl  - tickOptionComputation - id:200055 tickType:13 impliedVol:6.08850844162419E-02 delta:0.490278629865844 optPrice:2.85353469970573E-03 pvDividend:0 gamma: 1.79769313486232E+308 theta/vega/undPrice: -6.89978942044189E-04-4.83254496387143E-04-1.5798</t>
  </si>
  <si>
    <t>2014-11-26 16:0:11.547: RTWSControl  - tickOptionComputation - id:200049 tickType:10 impliedVol:6.74159468181414E-02 delta:0.722880540689546 optPrice:0.012699999846518 pvDividend:0 gamma: 1.79769313486232E+308 theta/vega/undPrice: -3.12120149225903E-04-8.87448131546686E-04-1.5798</t>
  </si>
  <si>
    <t>2014-11-26 16:0:11.592: RTWSControl  - tickOptionComputation - id:200049 tickType:11 impliedVol:7.09951817671077E-02 delta:0.713156310693384 optPrice:1.30000002682209E-02 pvDividend:0 gamma: 1.79769313486232E+308 theta/vega/undPrice: -3.34271307788629E-04-9.14467172700226E-04-1.5798</t>
  </si>
  <si>
    <t>2014-11-26 16:0:11.664: RTWSControl  - tickOptionComputation - id:200049 tickType:13 impliedVol:6.90856548282071E-02 delta:0.71863282278446 optPrice:1.28298868089674E-02 pvDividend:0 gamma: 1.79769313486232E+308 theta/vega/undPrice: -3.22832769934269E-04-9.10068117132578E-04-1.5798</t>
  </si>
  <si>
    <t>2014-11-26 16:0:11.710: RTWSControl  - tickOptionComputation - id:200050 tickType:10 impliedVol:6.98946228260926E-02 delta:-0.283638311417449 optPrice:3.10000008903444E-03 pvDividend:0 gamma: 1.79769313486232E+308 theta/vega/undPrice: -3.27843451484172E-04-9.14473234837353E-04-1.5798</t>
  </si>
  <si>
    <t>2014-11-26 16:0:11.750: RTWSControl  - tickOptionComputation - id:200050 tickType:11 impliedVol:7.09867715945912E-02 delta:-0.286763568932022 optPrice:3.1999999191612E-03 pvDividend:0 gamma: 1.79769313486232E+308 theta/vega/undPrice: -3.34290523746173E-04-9.14472733047151E-04-1.5798</t>
  </si>
  <si>
    <t>2014-11-26 16:0:11.795: RTWSControl  - tickOptionComputation - id:200050 tickType:13 impliedVol:6.90856548282071E-02 delta:-0.281436674008647 optPrice:3.03049625185644E-03 pvDividend:0 gamma: 1.79769313486232E+308 theta/vega/undPrice: -3.22901058351839E-04-9.10078897619708E-04-1.5798</t>
  </si>
  <si>
    <t>2014-11-26 16:0:11.840: RTWSControl  - tickOptionComputation - id:200051 tickType:10 impliedVol:6.79548959568183E-02 delta:-0.277644398585468 optPrice:2.89999996311963E-03 pvDividend:0 gamma: 1.79769313486232E+308 theta/vega/undPrice: -3.14656119225399E-04-8.29718358344493E-04-1.5798</t>
  </si>
  <si>
    <t>2014-11-26 16:0:11.882: RTWSControl  - tickOptionComputation - id:200051 tickType:11 impliedVol:7.15329072632008E-02 delta:-0.287433022508761 optPrice:3.1999999191612E-03 pvDividend:0 gamma: 1.79769313486232E+308 theta/vega/undPrice: -3.3678692357622E-04-8.4365604756977E-04-1.5798</t>
  </si>
  <si>
    <t>2014-11-26 16:0:11.953: RTWSControl  - tickOptionComputation - id:200051 tickType:13 impliedVol:7.03473041461606E-02 delta:-0.284319095266364 optPrice:3.09964167579433E-03 pvDividend:0 gamma: 1.79769313486232E+308 theta/vega/undPrice: -3.29474427990196E-04-8.39247526929334E-04-1.5798</t>
  </si>
  <si>
    <t>2014-11-26 16:0:11.999: RTWSControl  - tickOptionComputation - id:200052 tickType:10 impliedVol:1.79769313486232E+308 delta:1.79769313486232E+308 optPrice:1.79769313486232E+308 pvDividend:0 gamma: 1.79769313486232E+308 theta/vega/undPrice: 1.79769313486232E+308-1.79769313486232E+308-1.5798</t>
  </si>
  <si>
    <t>2014-11-26 16:0:12.35: RTWSControl  - tickOptionComputation - id:200052 tickType:11 impliedVol:1.79769313486232E+308 delta:1.79769313486232E+308 optPrice:1.79769313486232E+308 pvDividend:0 gamma: 1.79769313486232E+308 theta/vega/undPrice: 1.79769313486232E+308-1.79769313486232E+308-1.5798</t>
  </si>
  <si>
    <t>2014-11-26 16:0:12.76: RTWSControl  - tickOptionComputation - id:200052 tickType:13 impliedVol:0.127605614930893 delta:-0.498571971476185 optPrice:1.27000007385318E-02 pvDividend:0 gamma: 1.79769313486232E+308 theta/vega/undPrice: -7.03065709669848E-04-9.87339898085042E-04-1.5798</t>
  </si>
  <si>
    <t>2014-11-26 16:0:12.197: RTWSControl  - tickOptionComputation - id:200048 tickType:10 impliedVol:7.46952222192842E-02 delta:-1.48023922233085E-02 optPrice:9.99999974737875E-05 pvDividend:0 gamma: 1.79769313486232E+308 theta/vega/undPrice: -3.80640401181047E-05-1.27384568497426E-04-1.5798</t>
  </si>
  <si>
    <t>2014-11-26 16:0:12.248: RTWSControl  - tickOptionComputation - id:200048 tickType:11 impliedVol:8.87277223098807E-02 delta:-3.36577896307293E-02 optPrice:3.00000014249235E-04 pvDividend:0 gamma: 1.79769313486232E+308 theta/vega/undPrice: -9.06890760362731E-05-2.23036703157845E-04-1.5798</t>
  </si>
  <si>
    <t>2014-11-26 16:0:12.295: RTWSControl  - tickOptionComputation - id:200048 tickType:13 impliedVol:8.75863072945648E-02 delta:-3.19742287135434E-02 optPrice:2.79416987956172E-04 pvDividend:0 gamma: 1.79769313486232E+308 theta/vega/undPrice: -8.57214988628593E-05-2.1010687318575E-04-1.5798</t>
  </si>
  <si>
    <t>2014-11-26 16:0:12.334: RTWSControl  - tickOptionComputation - id:200053 tickType:10 impliedVol:6.13687609684348E-02 delta:9.61793544727906E-02 optPrice:6.99999975040555E-04 pvDividend:0 gamma: 1.79769313486232E+308 theta/vega/undPrice: -1.4322868269209E-04-4.56089090743971E-04-1.5798</t>
  </si>
  <si>
    <t>2014-11-26 16:0:12.382: RTWSControl  - tickOptionComputation - id:200053 tickType:11 impliedVol:6.58526862410534E-02 delta:0.112139461357083 optPrice:8.99999984540045E-04 pvDividend:0 gamma: 1.79769313486232E+308 theta/vega/undPrice: -1.72258293809001E-04-5.3251718801749E-04-1.5798</t>
  </si>
  <si>
    <t>2014-11-26 16:0:12.420: RTWSControl  - tickOptionComputation - id:200053 tickType:13 impliedVol:6.37696840785544E-02 delta:0.105016526892059 optPrice:8.06799072011772E-04 pvDividend:0 gamma: 1.79769313486232E+308 theta/vega/undPrice: -1.587726335353E-04-4.97012641160425E-04-1.5798</t>
  </si>
  <si>
    <t>2014-11-26 16:0:12.463: RTWSControl  - tickOptionComputation - id:200054 tickType:10 impliedVol:1.79769313486232E+308 delta:1.79769313486232E+308 optPrice:1.79769313486232E+308 pvDividend:0 gamma: 1.79769313486232E+308 theta/vega/undPrice: 1.79769313486232E+308-1.79769313486232E+308-1.5798</t>
  </si>
  <si>
    <t>2014-11-26 16:0:12.499: RTWSControl  - tickOptionComputation - id:200054 tickType:11 impliedVol:8.89997029963183E-02 delta:0.012707620951816 optPrice:9.99999974737875E-05 pvDividend:0 gamma: 1.79769313486232E+308 theta/vega/undPrice: -3.98587258636726E-05-1.03796096163842E-04-1.5798</t>
  </si>
  <si>
    <t>2014-11-26 16:0:12.569: RTWSControl  - tickOptionComputation - id:200054 tickType:13 impliedVol:7.16383950456034E-02 delta:2.67047263905997E-03 optPrice:1.46118549151416E-05 pvDividend:0 gamma: 0.455526544838603 theta/vega/undPrice: -7.99047067307339E-06-3.67632175671451E-05-1.5798</t>
  </si>
  <si>
    <t>2014-11-26 16:0:12.629: DirectionIndicator - notify - price/longMA/ShortMA/prevDirection are 1.5797/1.57975811709032/1.57971721524305/-1</t>
  </si>
  <si>
    <t>2014-11-26 16:0:12.629: Algorithm - handleTransition - currentHedgeShortfall is NOT ZERO and AUTOHEDGE IS NOT ENABLED!</t>
  </si>
  <si>
    <t>2014-11-26 16:0:12.847: DirectionIndicator - notify - price/longMA/ShortMA/prevDirection are 1.57965/1.57973845943753/1.57969481016203/-1</t>
  </si>
  <si>
    <t>2014-11-26 16:0:12.847: Algorithm - handleTransition - currentHedgeShortfall is NOT ZERO and AUTOHEDGE IS NOT ENABLED!</t>
  </si>
  <si>
    <t>2014-11-26 16:0:13.130: DirectionIndicator - notify - price/longMA/ShortMA/prevDirection are 1.5796/1.57971328499434/1.57966320677469/-1</t>
  </si>
  <si>
    <t>2014-11-26 16:0:13.130: Algorithm - handleTransition - currentHedgeShortfall is NOT ZERO and AUTOHEDGE IS NOT ENABLED!</t>
  </si>
  <si>
    <t>2014-11-26 16:0:13.380: DirectionIndicator - notify - price/longMA/ShortMA/prevDirection are 1.57965/1.57970177863174/1.57965880451646/-1</t>
  </si>
  <si>
    <t>2014-11-26 16:0:13.380: Algorithm - handleTransition - currentHedgeShortfall is NOT ZERO and AUTOHEDGE IS NOT ENABLED!</t>
  </si>
  <si>
    <t>2014-11-26 16:0:13.532: DirectionIndicator - notify - price/longMA/ShortMA/prevDirection are 1.5796/1.57968327342597/1.57963920301097/-1</t>
  </si>
  <si>
    <t>2014-11-26 16:0:13.536: Algorithm - handleTransition - currentHedgeShortfall is NOT ZERO and AUTOHEDGE IS NOT ENABLED!</t>
  </si>
  <si>
    <t>2014-11-26 16:0:13.548: DirectionIndicator - notify - price/longMA/ShortMA/prevDirection are 1.57955/1.57965904189397/1.57960946867398/-1</t>
  </si>
  <si>
    <t>2014-11-26 16:0:13.549: Algorithm - handleTransition - currentHedgeShortfall is NOT ZERO and AUTOHEDGE IS NOT ENABLED!</t>
  </si>
  <si>
    <t>2014-11-26 16:0:13.584: RTWSControl  - tickOptionComputation - id:200042 tickType:13 impliedVol:8.85284150449763E-02 delta:-3.28018589160477E-02 optPrice:1.40968434424378E-04 pvDividend:0 gamma: 1.79769313486232E+308 theta/vega/undPrice: -1.82019956013162E-04-1.04682066025896E-04-1.5796</t>
  </si>
  <si>
    <t>2014-11-26 16:0:13.629: RTWSControl  - tickOptionComputation - id:200041 tickType:13 impliedVol:7.77890869361499E-02 delta:0.940232443286788 optPrice:1.48475061779778E-02 pvDividend:0 gamma: 1.79769313486232E+308 theta/vega/undPrice: -2.59979985386956E-04-1.61938414452868E-04-1.5796</t>
  </si>
  <si>
    <t>2014-11-26 16:0:13.669: RTWSControl  - tickOptionComputation - id:200043 tickType:13 impliedVol:7.77890869361499E-02 delta:-5.98800763173451E-02 optPrice:2.47714679638844E-04 pvDividend:0 gamma: 1.79769313486232E+308 theta/vega/undPrice: -2.60076449187618E-04-1.61938684958496E-04-1.5796</t>
  </si>
  <si>
    <t>2014-11-26 16:0:13.705: RTWSControl  - tickOptionComputation - id:200044 tickType:13 impliedVol:6.96020891284093E-02 delta:0.875142287800036 optPrice:1.01271767562749E-02 pvDividend:0 gamma: 1.79769313486232E+308 theta/vega/undPrice: -4.07179643265721E-04-2.94958248437081E-04-1.5796</t>
  </si>
  <si>
    <t>2014-11-26 16:0:13.729: RTWSControl  - tickOptionComputation - id:200046 tickType:13 impliedVol:6.96020891284093E-02 delta:-0.124970320664667 optPrice:5.27314241915015E-04 pvDividend:0 gamma: 1.79769313486232E+308 theta/vega/undPrice: -4.07243507130653E-04-2.94958766318451E-04-1.5796</t>
  </si>
  <si>
    <t>2014-11-26 16:0:13.769: RTWSControl  - tickOptionComputation - id:200045 tickType:13 impliedVol:6.39674216217827E-02 delta:0.724923053336102 optPrice:5.92294181259571E-03 pvDividend:0 gamma: 1.79769313486232E+308 theta/vega/undPrice: -6.06442407493616E-04-4.25970002593147E-04-1.5796</t>
  </si>
  <si>
    <t>2014-11-26 16:0:13.803: RTWSControl  - tickOptionComputation - id:200047 tickType:13 impliedVol:6.39674216217827E-02 delta:-0.275189880252232 optPrice:1.32300925362562E-03 pvDividend:0 gamma: 1.79769313486232E+308 theta/vega/undPrice: -6.06474232982325E-04-4.25971239225506E-04-1.5796</t>
  </si>
  <si>
    <t>2014-11-26 16:0:13.840: RTWSControl  - tickOptionComputation - id:200055 tickType:13 impliedVol:6.08850844162419E-02 delta:0.479567037087911 optPrice:2.76457721863158E-03 pvDividend:0 gamma: 1.79769313486232E+308 theta/vega/undPrice: -6.87292671282991E-04-4.83223897742004E-04-1.5796</t>
  </si>
  <si>
    <t>2014-11-26 16:0:13.870: RTWSControl  - tickOptionComputation - id:200049 tickType:13 impliedVol:6.90856548282071E-02 delta:0.714554245890139 optPrice:1.26922753078938E-02 pvDividend:0 gamma: 1.79769313486232E+308 theta/vega/undPrice: -3.24704622602632E-04-9.1441012550076E-04-1.5796</t>
  </si>
  <si>
    <t>2014-11-26 16:0:13.894: RTWSControl  - tickOptionComputation - id:200050 tickType:13 impliedVol:6.90856548282071E-02 delta:-0.28551573630739 optPrice:3.0928782116606E-03 pvDividend:0 gamma: 1.79769313486232E+308 theta/vega/undPrice: -3.24772039341686E-04-9.1441568158641E-04-1.5796</t>
  </si>
  <si>
    <t>2014-11-26 16:0:13.934: RTWSControl  - tickOptionComputation - id:200051 tickType:13 impliedVol:7.03473041461606E-02 delta:-0.288227491912835 optPrice:3.15688902807377E-03 pvDividend:0 gamma: 1.79769313486232E+308 theta/vega/undPrice: -3.31575187484352E-04-8.44599275304314E-04-1.5796</t>
  </si>
  <si>
    <t>2014-11-26 16:0:13.962: RTWSControl  - tickOptionComputation - id:200052 tickType:13 impliedVol:0.127605614930893 delta:-0.501098615216501 optPrice:1.27999442102123E-02 pvDividend:0 gamma: 1.79769313486232E+308 theta/vega/undPrice: -7.0297824891666E-04-9.87218012084844E-04-1.5796</t>
  </si>
  <si>
    <t>2014-11-26 16:0:13.999: RTWSControl  - tickOptionComputation - id:200048 tickType:13 impliedVol:8.75863072945648E-02 delta:-3.26277790868154E-02 optPrice:2.85807396504132E-04 pvDividend:0 gamma: 1.79769313486232E+308 theta/vega/undPrice: -8.71820593847273E-05-2.15425826969282E-04-1.5796</t>
  </si>
  <si>
    <t>2014-11-26 16:0:14.38: RTWSControl  - tickOptionComputation - id:200053 tickType:13 impliedVol:6.37696840785544E-02 delta:0.102777451092195 optPrice:7.86356372845173E-04 pvDividend:0 gamma: 1.79769313486232E+308 theta/vega/undPrice: -1.56230831652056E-04-4.84946120174296E-04-1.5796</t>
  </si>
  <si>
    <t>2014-11-26 16:0:14.61: RTWSControl  - tickOptionComputation - id:200054 tickType:13 impliedVol:7.16383950456034E-02 delta:2.55832982920707E-03 optPrice:1.39405302561027E-05 pvDividend:0 gamma: 0.438472208896085 theta/vega/undPrice: -7.68937109026978E-06-3.58725508907604E-05-1.5796</t>
  </si>
  <si>
    <t>2014-11-26 16:0:14.285: DirectionIndicator - notify - price/longMA/ShortMA/prevDirection are 1.57965/1.57965739791325/1.57962297911599/-1</t>
  </si>
  <si>
    <t>2014-11-26 16:0:14.285: Algorithm - handleTransition - currentHedgeShortfall is NOT ZERO and AUTOHEDGE IS NOT ENABLED!</t>
  </si>
  <si>
    <t>2014-11-26 16:0:14.297: DirectionIndicator - notify - price/longMA/ShortMA/prevDirection are 1.57975/1.5796742346563/1.57966531941066/-1</t>
  </si>
  <si>
    <t>2014-11-26 16:0:14.298: Algorithm - handleTransition - currentHedgeShortfall is NOT ZERO and AUTOHEDGE IS NOT ENABLED!</t>
  </si>
  <si>
    <t>2014-11-26 16:0:14.697: DirectionIndicator - notify - price/longMA/ShortMA/prevDirection are 1.5797/1.57967891926424/1.57967687960711/-1</t>
  </si>
  <si>
    <t>2014-11-26 16:0:14.698: Algorithm - handleTransition - currentHedgeShortfall is NOT ZERO and AUTOHEDGE IS NOT ENABLED!</t>
  </si>
  <si>
    <t>2014-11-26 16:0:14.710: DirectionIndicator - notify - price/longMA/ShortMA/prevDirection are 1.57965/1.5796736612162/1.57966791973807/-1</t>
  </si>
  <si>
    <t>2014-11-26 16:0:14.710: Algorithm - handleTransition - currentHedgeShortfall is NOT ZERO and AUTOHEDGE IS NOT ENABLED!</t>
  </si>
  <si>
    <t>2014-11-26 16:0:14.993: DirectionIndicator - notify - price/longMA/ShortMA/prevDirection are 1.57945/1.57963299554053/1.57959527982538/-1</t>
  </si>
  <si>
    <t>2014-11-26 16:0:14.996: Algorithm - handleTransition - currentHedgeShortfall is NOT ZERO and AUTOHEDGE IS NOT ENABLED!</t>
  </si>
  <si>
    <t>2014-11-26 16:0:15.9: DirectionIndicator - notify - price/longMA/ShortMA/prevDirection are 1.57925/1.5795633599877/1.57948018655025/-1</t>
  </si>
  <si>
    <t>2014-11-26 16:0:15.10: Algorithm - handleTransition - currentHedgeShortfall is NOT ZERO and AUTOHEDGE IS NOT ENABLED!</t>
  </si>
  <si>
    <t>2014-11-26 16:0:16.35: DirectionIndicator - notify - price/longMA/ShortMA/prevDirection are 1.5792/1.57949729453539/1.5793867910335/-1</t>
  </si>
  <si>
    <t>2014-11-26 16:0:16.35: Algorithm - handleTransition - currentHedgeShortfall is NOT ZERO and AUTOHEDGE IS NOT ENABLED!</t>
  </si>
  <si>
    <t>2014-11-26 16:0:16.47: DirectionIndicator - notify - price/longMA/ShortMA/prevDirection are 1.57915/1.57943415007441/1.579307860689/-1</t>
  </si>
  <si>
    <t>2014-11-26 16:0:16.47: Algorithm - handleTransition - currentHedgeShortfall is NOT ZERO and AUTOHEDGE IS NOT ENABLED!</t>
  </si>
  <si>
    <t>2014-11-26 16:0:16.122: RTWSControl  - tickOptionComputation - id:200042 tickType:10 impliedVol:0.095541409375743 delta:-0.041845959285553 optPrice:1.99999994947575E-04 pvDividend:0 gamma: 1.79769313486232E+308 theta/vega/undPrice: -2.4208637613898E-04-1.40880459287745E-04-1.5797</t>
  </si>
  <si>
    <t>2014-11-26 16:0:16.169: RTWSControl  - tickOptionComputation - id:200042 tickType:11 impliedVol:8.43009773876008E-02 delta:-2.54882348382324E-02 optPrice:9.99999974737875E-05 pvDividend:0 gamma: 1.79769313486232E+308 theta/vega/undPrice: -1.40818843687037E-04-8.7777563800432E-05-1.5797</t>
  </si>
  <si>
    <t>2014-11-26 16:0:16.213: RTWSControl  - tickOptionComputation - id:200042 tickType:13 impliedVol:8.85284150449763E-02 delta:-3.21325875510501E-02 optPrice:1.37747719994885E-04 pvDividend:0 gamma: 1.79769313486232E+308 theta/vega/undPrice: -1.789047871353E-04-1.02001651014863E-04-1.5797</t>
  </si>
  <si>
    <t>2014-11-26 16:0:16.251: RTWSControl  - tickOptionComputation - id:200041 tickType:13 impliedVol:7.77890869361499E-02 delta:0.941477146688216 optPrice:1.49415942151745E-02 pvDividend:0 gamma: 1.79769313486232E+308 theta/vega/undPrice: -2.55672014710072E-04-1.57777097024791E-04-1.5797</t>
  </si>
  <si>
    <t>2014-11-26 16:0:16.293: RTWSControl  - tickOptionComputation - id:200041 tickType:10 impliedVol:3.76309714187046E-02 delta:0.999473396310658 optPrice:1.47000001743436E-02 pvDividend:0 gamma: 0.392332791296417 theta/vega/undPrice: -1.80245638785475E-06-7.95374160851049E-06-1.5797</t>
  </si>
  <si>
    <t>2014-11-26 16:0:16.330: RTWSControl  - tickOptionComputation - id:200041 tickType:11 impliedVol:8.18088549324274E-02 delta:0.932345395330146 optPrice:1.49999996647239E-02 pvDividend:0 gamma: 1.79769313486232E+308 theta/vega/undPrice: -3.01823210418248E-04-1.86607858784365E-04-1.5797</t>
  </si>
  <si>
    <t>2014-11-26 16:0:16.372: RTWSControl  - tickOptionComputation - id:200043 tickType:10 impliedVol:6.56368711903841E-02 delta:-3.15504028763577E-02 optPrice:9.99999974737875E-05 pvDividend:0 gamma: 1.79769313486232E+308 theta/vega/undPrice: -1.30637840526878E-04-1.10931555384275E-04-1.5797</t>
  </si>
  <si>
    <t>2014-11-26 16:0:16.397: RTWSControl  - tickOptionComputation - id:200043 tickType:11 impliedVol:7.48748012302313E-02 delta:-5.14874789175256E-02 optPrice:1.99999994947575E-04 pvDividend:0 gamma: 1.79769313486232E+308 theta/vega/undPrice: -2.22309986286854E-04-1.4344554210587E-04-1.5797</t>
  </si>
  <si>
    <t>2014-11-26 16:0:16.447: RTWSControl  - tickOptionComputation - id:200043 tickType:13 impliedVol:7.77890869361499E-02 delta:-5.86353720085865E-02 optPrice:2.41804139712433E-04 pvDividend:0 gamma: 1.79769313486232E+308 theta/vega/undPrice: -2.55769132392103E-04-1.5777736416207E-04-1.5797</t>
  </si>
  <si>
    <t>2014-11-26 16:0:16.470: RTWSControl  - tickOptionComputation - id:200044 tickType:10 impliedVol:5.95596986394926E-02 delta:0.911335354066372 optPrice:9.99999977648258E-03 pvDividend:0 gamma: 1.79769313486232E+308 theta/vega/undPrice: -2.69423289435183E-04-2.15511969745261E-04-1.5797</t>
  </si>
  <si>
    <t>2014-11-26 16:0:16.519: RTWSControl  - tickOptionComputation - id:200044 tickType:11 impliedVol:7.26988451098399E-02 delta:0.866337551807818 optPrice:1.03000001981854E-02 pvDividend:0 gamma: 1.79769313486232E+308 theta/vega/undPrice: -4.43843145987831E-04-2.97611346317622E-04-1.5797</t>
  </si>
  <si>
    <t>2014-11-26 16:0:16.557: RTWSControl  - tickOptionComputation - id:200044 tickType:13 impliedVol:6.96020891284093E-02 delta:0.87723301186001 optPrice:1.02170910798427E-02 pvDividend:0 gamma: 1.79769313486232E+308 theta/vega/undPrice: -4.01887081194277E-04-2.89006013850724E-04-1.5797</t>
  </si>
  <si>
    <t>2014-11-26 16:0:16.594: RTWSControl  - tickOptionComputation - id:200046 tickType:10 impliedVol:0.064152346621544 delta:-0.105629262371611 optPrice:3.9999998989515E-04 pvDividend:0 gamma: 1.79769313486232E+308 theta/vega/undPrice: -3.30066879400531E-04-2.44264378032764E-04-1.5797</t>
  </si>
  <si>
    <t>2014-11-26 16:0:16.637: RTWSControl  - tickOptionComputation - id:200046 tickType:11 impliedVol:7.26644351340271E-02 delta:-0.133521723079509 optPrice:6.00000028498471E-04 pvDividend:0 gamma: 1.79769313486232E+308 theta/vega/undPrice: -4.43435425595302E-04-2.97611635405759E-04-1.5797</t>
  </si>
  <si>
    <t>2014-11-26 16:0:16.678: RTWSControl  - tickOptionComputation - id:200046 tickType:13 impliedVol:6.96020891284093E-02 delta:-0.122879594126364 optPrice:5.17229983621521E-04 pvDividend:0 gamma: 1.79769313486232E+308 theta/vega/undPrice: -4.01951591346729E-04-2.89006527322595E-04-1.5797</t>
  </si>
  <si>
    <t>2014-11-26 16:0:16.714: RTWSControl  - tickOptionComputation - id:200045 tickType:10 impliedVol:6.13498767586748E-02 delta:0.736842080907601 optPrice:5.9000002220273E-03 pvDividend:0 gamma: 1.79769313486232E+308 theta/vega/undPrice: -5.66675666786157E-04-3.99131192279418E-04-1.5797</t>
  </si>
  <si>
    <t>2014-11-26 16:0:16.756: RTWSControl  - tickOptionComputation - id:200045 tickType:11 impliedVol:6.66240720242991E-02 delta:0.721354619767772 optPrice:6.09999988228083E-03 pvDividend:0 gamma: 1.79769313486232E+308 theta/vega/undPrice: -6.36387246379849E-04-4.33929750826969E-04-1.5797</t>
  </si>
  <si>
    <t>2014-11-26 16:0:16.797: RTWSControl  - tickOptionComputation - id:200045 tickType:13 impliedVol:6.39674216217827E-02 delta:0.728927383342877 optPrice:5.99902320526274E-03 pvDividend:0 gamma: 1.79769313486232E+308 theta/vega/undPrice: -6.01273027947161E-04-4.1640147072156E-04-1.5797</t>
  </si>
  <si>
    <t>2014-11-26 16:0:16.837: RTWSControl  - tickOptionComputation - id:200047 tickType:10 impliedVol:6.13291672010859E-02 delta:-0.263078323781498 optPrice:1.20000005699694E-03 pvDividend:0 gamma: 1.79769313486232E+308 theta/vega/undPrice: -5.66434310265071E-04-3.98995727624304E-04-1.5797</t>
  </si>
  <si>
    <t>2014-11-26 16:0:16.878: RTWSControl  - tickOptionComputation - id:200047 tickType:11 impliedVol:6.66272202371265E-02 delta:-0.278640401680741 optPrice:1.39999995008111E-03 pvDividend:0 gamma: 1.79769313486232E+308 theta/vega/undPrice: -6.36461428258475E-04-4.33951793229186E-04-1.5797</t>
  </si>
  <si>
    <t>2014-11-26 16:0:16.920: RTWSControl  - tickOptionComputation - id:200047 tickType:13 impliedVol:6.39674216217827E-02 delta:-0.271185544235086 optPrice:1.29909204899703E-03 pvDividend:0 gamma: 1.79769313486232E+308 theta/vega/undPrice: -6.01305492451168E-04-4.16402695493604E-04-1.5797</t>
  </si>
  <si>
    <t>2014-11-26 16:0:16.955: RTWSControl  - tickOptionComputation - id:200055 tickType:10 impliedVol:5.86285645618687E-02 delta:0.48420893992444 optPrice:2.70000007003546E-03 pvDividend:0 gamma: 1.79769313486232E+308 theta/vega/undPrice: -6.62966852221988E-04-4.83239302452386E-04-1.5797</t>
  </si>
  <si>
    <t>2014-11-26 16:0:16.977: RTWSControl  - tickOptionComputation - id:200055 tickType:11 impliedVol:6.27622348498413E-02 delta:0.485371148955251 optPrice:2.89999996311963E-03 pvDividend:0 gamma: 1.79769313486232E+308 theta/vega/undPrice: -7.0998924726586E-04-4.83239106612337E-04-1.5797</t>
  </si>
  <si>
    <t>2014-11-26 16:0:17.29: RTWSControl  - tickOptionComputation - id:200055 tickType:13 impliedVol:6.08850844162419E-02 delta:0.484923172515717 optPrice:2.80905595916873E-03 pvDividend:0 gamma: 1.79769313486232E+308 theta/vega/undPrice: -6.88635806663593E-04-4.83239197064504E-04-1.5797</t>
  </si>
  <si>
    <t>2014-11-26 16:0:17.50: RTWSControl  - tickOptionComputation - id:200049 tickType:10 impliedVol:6.83901831340935E-02 delta:0.718504543451461 optPrice:0.012699999846518 pvDividend:0 gamma: 1.79769313486232E+308 theta/vega/undPrice: -3.19585608888033E-04-9.10183496656013E-04-1.5797</t>
  </si>
  <si>
    <t>2014-11-26 16:0:17.98: RTWSControl  - tickOptionComputation - id:200049 tickType:11 impliedVol:7.17228430846573E-02 delta:0.709095190361057 optPrice:1.30000002682209E-02 pvDividend:0 gamma: 1.79769313486232E+308 theta/vega/undPrice: -3.39418860765204E-04-9.14437877218545E-04-1.5797</t>
  </si>
  <si>
    <t>2014-11-26 16:0:17.139: RTWSControl  - tickOptionComputation - id:200049 tickType:13 impliedVol:6.90856548282071E-02 delta:0.716664929963712 optPrice:1.27588810937575E-02 pvDividend:0 gamma: 1.79769313486232E+308 theta/vega/undPrice: -3.23851972621243E-04-9.14439085989786E-04-1.5797</t>
  </si>
  <si>
    <t>2014-11-26 16:0:17.175: RTWSControl  - tickOptionComputation - id:200050 tickType:10 impliedVol:0.069528657215608 delta:-0.284665642067538 optPrice:3.10000008903444E-03 pvDividend:0 gamma: 1.79769313486232E+308 theta/vega/undPrice: -3.26535041622352E-04-9.14444441519552E-04-1.5797</t>
  </si>
  <si>
    <t>2014-11-26 16:0:17.215: RTWSControl  - tickOptionComputation - id:200050 tickType:11 impliedVol:7.06222134357075E-02 delta:-0.28779557577192 optPrice:3.1999999191612E-03 pvDividend:0 gamma: 1.79769313486232E+308 theta/vega/undPrice: -3.32990220595414E-04-9.14443942089493E-04-1.5797</t>
  </si>
  <si>
    <t>2014-11-26 16:0:17.254: RTWSControl  - tickOptionComputation - id:200050 tickType:13 impliedVol:6.90856548282071E-02 delta:-0.283405037723773 optPrice:3.05948987916316E-03 pvDividend:0 gamma: 1.79769313486232E+308 theta/vega/undPrice: -3.23920029914057E-04-9.14444642198441E-04-1.5797</t>
  </si>
  <si>
    <t>2014-11-26 16:0:17.291: RTWSControl  - tickOptionComputation - id:200051 tickType:10 impliedVol:6.76204545277948E-02 delta:-0.278688130607276 optPrice:2.89999996311963E-03 pvDividend:0 gamma: 1.79769313486232E+308 theta/vega/undPrice: -3.13661068871894E-04-8.31185360757832E-04-1.5797</t>
  </si>
  <si>
    <t>2014-11-26 16:0:17.334: RTWSControl  - tickOptionComputation - id:200051 tickType:11 impliedVol:0.071198820458758 delta:-0.288489133310907 optPrice:3.1999999191612E-03 pvDividend:0 gamma: 1.79769313486232E+308 theta/vega/undPrice: -3.35773567181336E-04-8.45064527355417E-04-1.5797</t>
  </si>
  <si>
    <t>2014-11-26 16:0:17.374: RTWSControl  - tickOptionComputation - id:200051 tickType:13 impliedVol:7.03473041461606E-02 delta:-0.286270064350131 optPrice:3.12816766008144E-03 pvDividend:0 gamma: 1.79769313486232E+308 theta/vega/undPrice: -3.30528558077302E-04-8.41932951870698E-04-1.5797</t>
  </si>
  <si>
    <t>2014-11-26 16:0:17.413: RTWSControl  - tickOptionComputation - id:200052 tickType:10 impliedVol:1.79769313486232E+308 delta:1.79769313486232E+308 optPrice:1.79769313486232E+308 pvDividend:0 gamma: 1.79769313486232E+308 theta/vega/undPrice: 1.79769313486232E+308-1.79769313486232E+308-1.5797</t>
  </si>
  <si>
    <t>2014-11-26 16:0:17.427: RTWSControl  - tickOptionComputation - id:200052 tickType:11 impliedVol:1.79769313486232E+308 delta:1.79769313486232E+308 optPrice:1.79769313486232E+308 pvDividend:0 gamma: 1.79769313486232E+308 theta/vega/undPrice: 1.79769313486232E+308-1.79769313486232E+308-1.5797</t>
  </si>
  <si>
    <t>2014-11-26 16:0:17.460: RTWSControl  - tickOptionComputation - id:200052 tickType:13 impliedVol:0.127605614930893 delta:-0.499835251756399 optPrice:1.27499106442401E-02 pvDividend:0 gamma: 1.79769313486232E+308 theta/vega/undPrice: -7.03025504554466E-04-9.87283904573348E-04-1.5797</t>
  </si>
  <si>
    <t>2014-11-26 16:0:17.496: RTWSControl  - tickOptionComputation - id:200048 tickType:10 impliedVol:7.45246741963715E-02 delta:-0.014820097031463 optPrice:9.99999974737875E-05 pvDividend:0 gamma: 1.79769313486232E+308 theta/vega/undPrice: -3.80138254743328E-05-1.27625311533131E-04-1.5797</t>
  </si>
  <si>
    <t>2014-11-26 16:0:17.520: RTWSControl  - tickOptionComputation - id:200048 tickType:11 impliedVol:8.85557710314012E-02 delta:-0.033729532473169 optPrice:3.00000014249235E-04 pvDividend:0 gamma: 1.79769313486232E+308 theta/vega/undPrice: -9.06708701441972E-05-2.23747986632625E-04-1.5797</t>
  </si>
  <si>
    <t>2014-11-26 16:0:17.572: RTWSControl  - tickOptionComputation - id:200048 tickType:13 impliedVol:8.75863072945648E-02 delta:-3.23009832142774E-02 optPrice:2.82612192230148E-04 pvDividend:0 gamma: 1.79769313486232E+308 theta/vega/undPrice: -8.64517791237923E-05-2.12766350077506E-04-1.5797</t>
  </si>
  <si>
    <t>2014-11-26 16:0:17.595: RTWSControl  - tickOptionComputation - id:200053 tickType:10 impliedVol:6.16025060546381E-02 delta:9.59095648497974E-02 optPrice:6.99999975040555E-04 pvDividend:0 gamma: 1.79769313486232E+308 theta/vega/undPrice: -1.43471529085122E-04-4.54041167261653E-04-1.5797</t>
  </si>
  <si>
    <t>2014-11-26 16:0:17.644: RTWSControl  - tickOptionComputation - id:200053 tickType:11 impliedVol:6.60677082532964E-02 delta:0.111770452762343 optPrice:8.99999984540045E-04 pvDividend:0 gamma: 1.79769313486232E+308 theta/vega/undPrice: -1.72379004718468E-04-5.30147714039019E-04-1.5797</t>
  </si>
  <si>
    <t>2014-11-26 16:0:17.686: RTWSControl  - tickOptionComputation - id:200053 tickType:13 impliedVol:6.37696840785544E-02 delta:0.103897059862413 optPrice:7.96577722428481E-04 pvDividend:0 gamma: 1.79769313486232E+308 theta/vega/undPrice: -1.5750173259368E-04-4.90979380667352E-04-1.5797</t>
  </si>
  <si>
    <t>2014-11-26 16:0:17.719: RTWSControl  - tickOptionComputation - id:200054 tickType:10 impliedVol:1.79769313486232E+308 delta:1.79769313486232E+308 optPrice:1.79769313486232E+308 pvDividend:0 gamma: 1.79769313486232E+308 theta/vega/undPrice: 1.79769313486232E+308-1.79769313486232E+308-1.5797</t>
  </si>
  <si>
    <t>2014-11-26 16:0:17.750: RTWSControl  - tickOptionComputation - id:200054 tickType:11 impliedVol:8.91753630339745E-02 delta:1.27034953223152E-02 optPrice:9.99999974737875E-05 pvDividend:0 gamma: 1.79769313486232E+308 theta/vega/undPrice: -3.99240666971013E-05-1.03792799987882E-04-1.5797</t>
  </si>
  <si>
    <t>2014-11-26 16:0:17.786: RTWSControl  - tickOptionComputation - id:200054 tickType:13 impliedVol:7.16383950456034E-02 delta:2.61440478363061E-03 optPrice:1.42761925856223E-05 pvDividend:0 gamma: 0.447000458251944 theta/vega/undPrice: -7.8399208816717E-06-3.63178842289521E-05-1.5797</t>
  </si>
  <si>
    <t>2014-11-26 16:0:18.238: DirectionIndicator - notify - price/longMA/ShortMA/prevDirection are 1.5791/1.57937339551543/1.57923857379267/-1</t>
  </si>
  <si>
    <t>2014-11-26 16:0:18.239: Algorithm - handleTransition - currentHedgeShortfall is NOT ZERO and AUTOHEDGE IS NOT ENABLED!</t>
  </si>
  <si>
    <t>2014-11-26 16:0:18.289: DirectionIndicator - notify - price/longMA/ShortMA/prevDirection are 1.57915/1.57933277814899/1.57920904919511/-1</t>
  </si>
  <si>
    <t>2014-11-26 16:0:18.290: Algorithm - handleTransition - currentHedgeShortfall is NOT ZERO and AUTOHEDGE IS NOT ENABLED!</t>
  </si>
  <si>
    <t>2014-11-26 16:0:18.332: DirectionIndicator - notify - price/longMA/ShortMA/prevDirection are 1.5791/1.57929045484917/1.57917269946341/-1</t>
  </si>
  <si>
    <t>2014-11-26 16:0:18.332: Algorithm - handleTransition - currentHedgeShortfall is NOT ZERO and AUTOHEDGE IS NOT ENABLED!</t>
  </si>
  <si>
    <t>2014-11-26 16:0:18.364: DirectionIndicator - notify - price/longMA/ShortMA/prevDirection are 1.57905/1.57924673578569/1.57913179964227/-1</t>
  </si>
  <si>
    <t>2014-11-26 16:0:18.365: Algorithm - handleTransition - currentHedgeShortfall is NOT ZERO and AUTOHEDGE IS NOT ENABLED!</t>
  </si>
  <si>
    <t>2014-11-26 16:0:18.655: DirectionIndicator - notify - price/longMA/ShortMA/prevDirection are 1.5791/1.57922005655192/1.57912119976151/-1</t>
  </si>
  <si>
    <t>2014-11-26 16:0:18.655: Algorithm - handleTransition - currentHedgeShortfall is NOT ZERO and AUTOHEDGE IS NOT ENABLED!</t>
  </si>
  <si>
    <t>2014-11-26 16:0:18.666: DirectionIndicator - notify - price/longMA/ShortMA/prevDirection are 1.57915/1.57920731899703/1.57913079984101/-1</t>
  </si>
  <si>
    <t>2014-11-26 16:0:18.670: Algorithm - handleTransition - currentHedgeShortfall is NOT ZERO and AUTOHEDGE IS NOT ENABLED!</t>
  </si>
  <si>
    <t>2014-11-26 16:0:19.29: RTWSControl  - tickOptionComputation - id:200042 tickType:13 impliedVol:8.85284150449763E-02 delta:-3.61494872336971E-02 optPrice:1.57072006571745E-04 pvDividend:0 gamma: 1.79769313486232E+308 theta/vega/undPrice: -1.97595800402375E-04-1.18084141081118E-04-1.5791</t>
  </si>
  <si>
    <t>2014-11-26 16:0:19.51: RTWSControl  - tickOptionComputation - id:200041 tickType:13 impliedVol:7.77890869361499E-02 delta:0.934006561571808 optPrice:0.014377065991995 pvDividend:0 gamma: 1.79769313486232E+308 theta/vega/undPrice: -2.81519838771536E-04-1.82745001594089E-04-1.5791</t>
  </si>
  <si>
    <t>2014-11-26 16:0:19.101: RTWSControl  - tickOptionComputation - id:200043 tickType:13 impliedVol:7.77890869361499E-02 delta:-6.61059625707354E-02 optPrice:2.77267379270894E-04 pvDividend:0 gamma: 1.79769313486232E+308 theta/vega/undPrice: -2.81613033165185E-04-1.82745288940548E-04-1.5791</t>
  </si>
  <si>
    <t>2014-11-26 16:0:19.133: RTWSControl  - tickOptionComputation - id:200044 tickType:13 impliedVol:6.96020891284093E-02 delta:0.861064067046622 optPrice:9.70476963353926E-03 pvDividend:0 gamma: 1.79769313486232E+308 theta/vega/undPrice: -4.35432756046376E-04-2.97554926265748E-04-1.5791</t>
  </si>
  <si>
    <t>2014-11-26 16:0:19.170: RTWSControl  - tickOptionComputation - id:200046 tickType:13 impliedVol:6.96020891284093E-02 delta:-0.139048612630946 optPrice:6.04900280585567E-04 pvDividend:0 gamma: 1.79769313486232E+308 theta/vega/undPrice: -4.35493567206617E-04-2.97555214096043E-04-1.5791</t>
  </si>
  <si>
    <t>2014-11-26 16:0:19.206: RTWSControl  - tickOptionComputation - id:200045 tickType:13 impliedVol:6.39674216217827E-02 delta:0.702828627335354 optPrice:5.57107165629297E-03 pvDividend:0 gamma: 1.79769313486232E+308 theta/vega/undPrice: -6.27720980500762E-04-4.45275854919434E-04-1.5791</t>
  </si>
  <si>
    <t>2014-11-26 16:0:19.230: RTWSControl  - tickOptionComputation - id:200047 tickType:13 impliedVol:6.39674216217827E-02 delta:-0.297284473224344 optPrice:1.47113274365258E-03 pvDividend:0 gamma: 1.79769313486232E+308 theta/vega/undPrice: -6.27749896569694E-04-0.000445276491002-1.5791</t>
  </si>
  <si>
    <t>2014-11-26 16:0:19.269: RTWSControl  - tickOptionComputation - id:200055 tickType:13 impliedVol:6.08850844162419E-02 delta:0.452776184275278 optPrice:2.54218351594634E-03 pvDividend:0 gamma: 1.79769313486232E+308 theta/vega/undPrice: -6.80576994379993E-04-4.83147401129456E-04-1.5791</t>
  </si>
  <si>
    <t>2014-11-26 16:0:19.297: RTWSControl  - tickOptionComputation - id:200049 tickType:13 impliedVol:6.90856548282071E-02 delta:0.703996815610197 optPrice:1.23592463785765E-02 pvDividend:0 gamma: 1.79769313486232E+308 theta/vega/undPrice: -3.28967872509551E-04-9.14265323054856E-04-1.5791</t>
  </si>
  <si>
    <t>2014-11-26 16:0:19.336: RTWSControl  - tickOptionComputation - id:200050 tickType:13 impliedVol:6.90856548282071E-02 delta:-0.296073239165099 optPrice:3.25981987414715E-03 pvDividend:0 gamma: 1.79769313486232E+308 theta/vega/undPrice: -3.29032086479768E-04-9.14270878543034E-04-1.5791</t>
  </si>
  <si>
    <t>2014-11-26 16:0:19.371: RTWSControl  - tickOptionComputation - id:200051 tickType:13 impliedVol:7.03473041461606E-02 delta:-0.298109981549449 optPrice:3.30344897745933E-03 pvDividend:0 gamma: 1.79769313486232E+308 theta/vega/undPrice: -3.36692529145334E-04-8.57635977182128E-04-1.5791</t>
  </si>
  <si>
    <t>2014-11-26 16:0:19.394: RTWSControl  - tickOptionComputation - id:200052 tickType:13 impliedVol:0.127605614930893 delta:-0.507416205391977 optPrice:1.30520181465385E-02 pvDividend:0 gamma: 1.79769313486232E+308 theta/vega/undPrice: -7.02636222525644E-04-9.86740078991678E-04-1.5791</t>
  </si>
  <si>
    <t>2014-11-26 16:0:19.432: RTWSControl  - tickOptionComputation - id:200048 tickType:13 impliedVol:8.75863072945648E-02 delta:-0.034262379301645 optPrice:3.01783417874031E-04 pvDividend:0 gamma: 1.79769313486232E+308 theta/vega/undPrice: -9.08334606893963E-05-2.28723211428001E-04-1.5791</t>
  </si>
  <si>
    <t>2014-11-26 16:0:19.465: RTWSControl  - tickOptionComputation - id:200053 tickType:13 impliedVol:6.37696840785544E-02 delta:9.71772801900546E-02 optPrice:7.35249624928653E-04 pvDividend:0 gamma: 1.79769313486232E+308 theta/vega/undPrice: -1.49876326943943E-04-4.5477981770889E-04-1.5791</t>
  </si>
  <si>
    <t>2014-11-26 16:0:19.502: RTWSControl  - tickOptionComputation - id:200054 tickType:13 impliedVol:7.16383950456034E-02 delta:2.27784852497412E-03 optPrice:1.22622186085045E-05 pvDividend:0 gamma: 0.395798498992831 theta/vega/undPrice: -6.93662213326037E-06-3.36458841998063E-05-1.5791</t>
  </si>
  <si>
    <t>2014-11-26 16:0:19.780: DirectionIndicator - notify - price/longMA/ShortMA/prevDirection are 1.5791/1.57918780645211/1.57912053322734/-1</t>
  </si>
  <si>
    <t>2014-11-26 16:0:19.780: Algorithm - handleTransition - currentHedgeShortfall is NOT ZERO and AUTOHEDGE IS NOT ENABLED!</t>
  </si>
  <si>
    <t>2014-11-26 16:0:19.992: RTWSControl  - tickOptionComputation - id:200042 tickType:13 impliedVol:8.18192321377751E-02 delta:-2.56166994656888E-02 optPrice:9.81915870094343E-05 pvDividend:0 gamma: 1.79769313486232E+308 theta/vega/undPrice: -1.37162718698521E-04-8.77609215424793E-05-1.5791</t>
  </si>
  <si>
    <t>2014-11-26 16:0:20.39: RTWSControl  - tickOptionComputation - id:200042 tickType:10 impliedVol:9.32295066445018E-02 delta:-4.27617063638049E-02 optPrice:1.99999994947575E-04 pvDividend:0 gamma: 1.79769313486232E+308 theta/vega/undPrice: -2.40362556234351E-04-1.43188659232956E-04-1.5791</t>
  </si>
  <si>
    <t>2014-11-26 16:0:20.63: RTWSControl  - tickOptionComputation - id:200042 tickType:11 impliedVol:9.32295066445018E-02 delta:-4.27617063638049E-02 optPrice:1.99999994947575E-04 pvDividend:0 gamma: 1.79769313486232E+308 theta/vega/undPrice: -2.40362556234351E-04-1.43188659232956E-04-1.5791</t>
  </si>
  <si>
    <t>2014-11-26 16:0:20.114: RTWSControl  - tickOptionComputation - id:200041 tickType:13 impliedVol:7.22986302183983E-02 delta:0.947376386843431 optPrice:1.42983228067138E-02 pvDividend:0 gamma: 1.79769313486232E+308 theta/vega/undPrice: -2.18495497311152E-04-1.43418244030101E-04-1.5791</t>
  </si>
  <si>
    <t>2014-11-26 16:0:20.137: RTWSControl  - tickOptionComputation - id:200041 tickType:10 impliedVol:6.34570305121099E-02 delta:0.96740444465272 optPrice:1.42000000923872E-02 pvDividend:0 gamma: 1.79769313486232E+308 theta/vega/undPrice: -1.29608638049651E-04-1.14936287231873E-04-1.5791</t>
  </si>
  <si>
    <t>2014-11-26 16:0:20.185: RTWSControl  - tickOptionComputation - id:200041 tickType:11 impliedVol:8.49847339374178E-02 delta:0.916366755783551 optPrice:1.44999995827675E-02 pvDividend:0 gamma: 1.79769313486232E+308 theta/vega/undPrice: -3.68641464878108E-04-2.15127017534013E-04-1.5791</t>
  </si>
  <si>
    <t>2014-11-26 16:0:20.222: RTWSControl  - tickOptionComputation - id:200043 tickType:13 impliedVol:7.22986302183983E-02 delta:-5.27361275651486E-02 optPrice:1.9852413999628E-04 pvDividend:0 gamma: 1.79769313486232E+308 theta/vega/undPrice: -2.1858862102414E-04-1.4341835754208E-04-1.5791</t>
  </si>
  <si>
    <t>2014-11-26 16:0:20.257: RTWSControl  - tickOptionComputation - id:200043 tickType:10 impliedVol:6.34341284153065E-02 delta:-3.25338347027404E-02 optPrice:9.99999974737875E-05 pvDividend:0 gamma: 1.79769313486232E+308 theta/vega/undPrice: -1.29494971389888E-04-1.14809277681564E-04-1.5791</t>
  </si>
  <si>
    <t>2014-11-26 16:0:20.304: RTWSControl  - tickOptionComputation - id:200043 tickType:11 impliedVol:7.93451204299905E-02 delta:-6.95491413343358E-02 optPrice:3.00000014249235E-04 pvDividend:0 gamma: 1.79769313486232E+308 theta/vega/undPrice: -2.99474577766949E-04-1.93903435851865E-04-1.5791</t>
  </si>
  <si>
    <t>2014-11-26 16:0:20.343: RTWSControl  - tickOptionComputation - id:200044 tickType:13 impliedVol:6.54948083033275E-02 delta:0.87662449584484 optPrice:9.58910515127413E-03 pvDividend:0 gamma: 1.79769313486232E+308 theta/vega/undPrice: -3.7947582548954E-04-2.91005285515991E-04-1.5791</t>
  </si>
  <si>
    <t>2014-11-26 16:0:20.381: RTWSControl  - tickOptionComputation - id:200044 tickType:10 impliedVol:6.13300807133968E-02 delta:0.890255502987275 optPrice:9.4999996945262E-03 pvDividend:0 gamma: 1.79769313486232E+308 theta/vega/undPrice: -3.24551557391035E-04-2.56819576755477E-04-1.5791</t>
  </si>
  <si>
    <t>2014-11-26 16:0:20.421: RTWSControl  - tickOptionComputation - id:200044 tickType:11 impliedVol:7.61632399627725E-02 delta:0.838317032734724 optPrice:9.89999994635582E-03 pvDividend:0 gamma: 1.79769313486232E+308 theta/vega/undPrice: -5.25510282127465E-04-2.97554702059112E-04-1.5791</t>
  </si>
  <si>
    <t>2014-11-26 16:0:20.464: RTWSControl  - tickOptionComputation - id:200046 tickType:13 impliedVol:6.54948083033275E-02 delta:-0.12348811078592 optPrice:4.89235466502067E-04 pvDividend:0 gamma: 1.79769313486232E+308 theta/vega/undPrice: -3.79536349664435E-04-2.91005786893489E-04-1.5791</t>
  </si>
  <si>
    <t>2014-11-26 16:0:20.501: RTWSControl  - tickOptionComputation - id:200046 tickType:10 impliedVol:6.13533982082637E-02 delta:-0.109812805984128 optPrice:3.9999998989515E-04 pvDividend:0 gamma: 1.79769313486232E+308 theta/vega/undPrice: -3.24919510660678E-04-2.57011430966858E-04-1.5791</t>
  </si>
  <si>
    <t>2014-11-26 16:0:20.545: RTWSControl  - tickOptionComputation - id:200046 tickType:11 impliedVol:6.94374054607176E-02 delta:-0.138407631381286 optPrice:6.00000028498471E-04 pvDividend:0 gamma: 1.79769313486232E+308 theta/vega/undPrice: -4.33232632087309E-04-2.97555219709206E-04-1.5791</t>
  </si>
  <si>
    <t>2014-11-26 16:0:20.586: RTWSControl  - tickOptionComputation - id:200045 tickType:13 impliedVol:6.14077663925343E-02 delta:0.710838579145066 optPrice:5.45709631473093E-03 pvDividend:0 gamma: 1.79769313486232E+308 theta/vega/undPrice: -5.96598278054827E-04-4.45275975335523E-04-1.5791</t>
  </si>
  <si>
    <t>2014-11-26 16:0:20.623: RTWSControl  - tickOptionComputation - id:200045 tickType:10 impliedVol:6.23712954880751E-02 delta:0.707656422026999 optPrice:5.49999997019768E-03 pvDividend:0 gamma: 1.79769313486232E+308 theta/vega/undPrice: -6.0831377592308E-04-4.45275930437129E-04-1.5791</t>
  </si>
  <si>
    <t>2014-11-26 16:0:20.647: RTWSControl  - tickOptionComputation - id:200045 tickType:11 impliedVol:0.06687343145775 delta:0.694393634743005 optPrice:5.70000009611249E-03 pvDividend:0 gamma: 1.79769313486232E+308 theta/vega/undPrice: -6.63054964002283E-04-4.45275713800596E-04-1.5791</t>
  </si>
  <si>
    <t>2014-11-26 16:0:20.697: RTWSControl  - tickOptionComputation - id:200047 tickType:13 impliedVol:6.14077663925343E-02 delta:-0.289274508781112 optPrice:1.35715723927339E-03 pvDividend:0 gamma: 1.79769313486232E+308 theta/vega/undPrice: -5.96627089764386E-04-4.45276611419161E-04-1.5791</t>
  </si>
  <si>
    <t>2014-11-26 16:0:20.724: RTWSControl  - tickOptionComputation - id:200047 tickType:10 impliedVol:1.79769313486232E+308 delta:1.79769313486232E+308 optPrice:1.39999995008111E-03 pvDividend:0 gamma: 1.79769313486232E+308 theta/vega/undPrice: 1.79769313486232E+308-1.79769313486232E+308-1.5791</t>
  </si>
  <si>
    <t>2014-11-26 16:0:20.761: RTWSControl  - tickOptionComputation - id:200047 tickType:11 impliedVol:1.79769313486232E+308 delta:1.79769313486232E+308 optPrice:1.50000001303852E-03 pvDividend:0 gamma: 1.79769313486232E+308 theta/vega/undPrice: 1.79769313486232E+308-1.79769313486232E+308-1.5791</t>
  </si>
  <si>
    <t>2014-11-26 16:0:20.788: RTWSControl  - tickOptionComputation - id:200055 tickType:13 impliedVol:6.00375044860471E-02 delta:0.452082366566333 optPrice:2.50123289046797E-03 pvDividend:0 gamma: 1.79769313486232E+308 theta/vega/undPrice: -6.70937214851467E-04-4.83147441560446E-04-1.5791</t>
  </si>
  <si>
    <t>2014-11-26 16:0:20.832: RTWSControl  - tickOptionComputation - id:200055 tickType:10 impliedVol:6.00160772495582E-02 delta:0.452007430354294 optPrice:2.49999994412065E-03 pvDividend:0 gamma: 1.79769313486232E+308 theta/vega/undPrice: -6.70693516466927E-04-4.83147442576147E-04-1.5791</t>
  </si>
  <si>
    <t>2014-11-26 16:0:20.855: RTWSControl  - tickOptionComputation - id:200055 tickType:11 impliedVol:6.41542081099473E-02 delta:0.455226181039602 optPrice:2.70000007003546E-03 pvDividend:0 gamma: 1.79769313486232E+308 theta/vega/undPrice: -7.17757693318462E-04-4.83147240367034E-04-1.5791</t>
  </si>
  <si>
    <t>2014-11-26 16:0:20.903: RTWSControl  - tickOptionComputation - id:200049 tickType:13 impliedVol:6.81384711831683E-02 delta:0.706650472092399 optPrice:1.22726484361434E-02 pvDividend:0 gamma: 1.79769313486232E+308 theta/vega/undPrice: -3.23377854049928E-04-9.14265743403997E-04-1.5791</t>
  </si>
  <si>
    <t>2014-11-26 16:0:20.932: RTWSControl  - tickOptionComputation - id:200049 tickType:10 impliedVol:0.068440419738061 delta:0.705707244612982 optPrice:1.22999995946884E-02 pvDividend:0 gamma: 1.79769313486232E+308 theta/vega/undPrice: -3.25159872395782E-04-9.14265609869458E-04-1.5791</t>
  </si>
  <si>
    <t>2014-11-26 16:0:20.989: RTWSControl  - tickOptionComputation - id:200050 tickType:13 impliedVol:6.81384711831683E-02 delta:-0.293419564478422 optPrice:3.17322140555755E-03 pvDividend:0 gamma: 1.79769313486232E+308 theta/vega/undPrice: -3.23441986572199E-04-9.14271298825529E-04-1.5791</t>
  </si>
  <si>
    <t>2014-11-26 16:0:21.12: RTWSControl  - tickOptionComputation - id:200050 tickType:10 impliedVol:6.84313651340898E-02 delta:-0.294210880268581 optPrice:3.1999999191612E-03 pvDividend:0 gamma: 1.79769313486232E+308 theta/vega/undPrice: -3.25170592300035E-04-9.14271169324289E-04-1.5791</t>
  </si>
  <si>
    <t>2014-11-26 16:0:21.71: RTWSControl  - tickOptionComputation - id:200051 tickType:13 impliedVol:7.03072648970515E-02 delta:-0.298007537230467 optPrice:3.30001532593067E-03 pvDividend:0 gamma: 1.79769313486232E+308 theta/vega/undPrice: -3.36448200496723E-04-8.57501656854251E-04-1.5791</t>
  </si>
  <si>
    <t>2014-11-26 16:0:21.94: RTWSControl  - tickOptionComputation - id:200051 tickType:10 impliedVol:6.79639096509589E-02 delta:-0.291792643540969 optPrice:3.10000008903444E-03 pvDividend:0 gamma: 1.79769313486232E+308 theta/vega/undPrice: -3.22109736111809E-04-8.49262470667994E-04-1.5791</t>
  </si>
  <si>
    <t>2014-11-26 16:0:21.140: RTWSControl  - tickOptionComputation - id:200051 tickType:11 impliedVol:7.03072646868578E-02 delta:-0.297969864603562 optPrice:3.29999998211861E-03 pvDividend:0 gamma: 1.79769313486232E+308 theta/vega/undPrice: -3.36448199214015E-04-8.57501656148563E-04-1.5791</t>
  </si>
  <si>
    <t>2014-11-26 16:0:21.177: RTWSControl  - tickOptionComputation - id:200052 tickType:13 impliedVol:0.124034942675136 delta:-0.507855063723364 optPrice:1.26996871721022E-02 pvDividend:0 gamma: 1.79769313486232E+308 theta/vega/undPrice: -6.82960585835846E-04-9.86719393422231E-04-1.5791</t>
  </si>
  <si>
    <t>2014-11-26 16:0:21.224: RTWSControl  - tickOptionComputation - id:200052 tickType:10 impliedVol:1.79769313486232E+308 delta:1.79769313486232E+308 optPrice:1.79769313486232E+308 pvDividend:0 gamma: 1.79769313486232E+308 theta/vega/undPrice: 1.79769313486232E+308-1.79769313486232E+308-1.5791</t>
  </si>
  <si>
    <t>2014-11-26 16:0:21.252: RTWSControl  - tickOptionComputation - id:200052 tickType:11 impliedVol:1.79769313486232E+308 delta:1.79769313486232E+308 optPrice:1.79769313486232E+308 pvDividend:0 gamma: 1.79769313486232E+308 theta/vega/undPrice: 1.79769313486232E+308-1.79769313486232E+308-1.5791</t>
  </si>
  <si>
    <t>2014-11-26 16:0:21.288: RTWSControl  - tickOptionComputation - id:200048 tickType:13 impliedVol:8.49763004174058E-02 delta:-3.03012954594992E-02 optPrice:2.54980445990519E-04 pvDividend:0 gamma: 1.79769313486232E+308 theta/vega/undPrice: -7.94768930569536E-05-1.99163836539991E-04-1.5791</t>
  </si>
  <si>
    <t>2014-11-26 16:0:21.332: RTWSControl  - tickOptionComputation - id:200048 tickType:10 impliedVol:8.19102747243685E-02 delta:-0.025321273338219 optPrice:1.99999994947575E-04 pvDividend:0 gamma: 1.79769313486232E+308 theta/vega/undPrice: -6.61360830769659E-05-1.79321208575976E-04-1.5791</t>
  </si>
  <si>
    <t>2014-11-26 16:0:21.357: RTWSControl  - tickOptionComputation - id:200048 tickType:11 impliedVol:0.08748685420124 delta:-3.41114789627272E-02 optPrice:3.00000014249235E-04 pvDividend:0 gamma: 1.79769313486232E+308 theta/vega/undPrice: -9.04007243969488E-05-2.27596866578394E-04-1.5791</t>
  </si>
  <si>
    <t>2014-11-26 16:0:21.406: RTWSControl  - tickOptionComputation - id:200053 tickType:13 impliedVol:6.40786538658276E-02 delta:9.83031521869641E-02 optPrice:7.49070972032374E-04 pvDividend:0 gamma: 1.79769313486232E+308 theta/vega/undPrice: -1.51876200492027E-04-4.60045014125627E-04-1.5791</t>
  </si>
  <si>
    <t>2014-11-26 16:0:21.433: RTWSControl  - tickOptionComputation - id:200053 tickType:10 impliedVol:6.29816947718467E-02 delta:9.42441497162107E-02 optPrice:6.99999975040555E-04 pvDividend:0 gamma: 1.79769313486232E+308 theta/vega/undPrice: -1.44775894319213E-04-4.47335779730077E-04-1.5791</t>
  </si>
  <si>
    <t>2014-11-26 16:0:21.474: RTWSControl  - tickOptionComputation - id:200053 tickType:11 impliedVol:6.52346791573373E-02 delta:0.102408473916634 optPrice:7.999999797903E-04 pvDividend:0 gamma: 1.79769313486232E+308 theta/vega/undPrice: -1.59358819491744E-04-4.7974498725791E-04-1.5791</t>
  </si>
  <si>
    <t>2014-11-26 16:0:21.511: RTWSControl  - tickOptionComputation - id:200054 tickType:13 impliedVol:0.07279684846538 delta:2.72584943402994E-03 optPrice:1.51765869944872E-05 pvDividend:0 gamma: 0.456794798164177 theta/vega/undPrice: -8.26662680358764E-06-3.69245173954799E-05-1.5791</t>
  </si>
  <si>
    <t>2014-11-26 16:0:21.546: RTWSControl  - tickOptionComputation - id:200054 tickType:10 impliedVol:1.79769313486232E+308 delta:1.79769313486232E+308 optPrice:1.79769313486232E+308 pvDividend:0 gamma: 1.79769313486232E+308 theta/vega/undPrice: 1.79769313486232E+308-1.79769313486232E+308-1.5791</t>
  </si>
  <si>
    <t>2014-11-26 16:0:21.579: RTWSControl  - tickOptionComputation - id:200054 tickType:11 impliedVol:9.01330725866379E-02 delta:1.25803068216169E-02 optPrice:9.99999974737875E-05 pvDividend:0 gamma: 1.79769313486232E+308 theta/vega/undPrice: -4.00107502199368E-05-1.03773026200217E-04-1.5791</t>
  </si>
  <si>
    <t>2014-11-26 16:0:21.623: DirectionIndicator - notify - price/longMA/ShortMA/prevDirection are 1.57905/1.57916275073355/1.57909702215156/-1</t>
  </si>
  <si>
    <t>2014-11-26 16:0:21.623: Algorithm - handleTransition - currentHedgeShortfall is NOT ZERO and AUTOHEDGE IS NOT ENABLED!</t>
  </si>
  <si>
    <t>2014-11-26 16:0:21.666: DirectionIndicator - notify - price/longMA/ShortMA/prevDirection are 1.5791/1.57915134150927/1.57909801476771/-1</t>
  </si>
  <si>
    <t>2014-11-26 16:0:21.670: Algorithm - handleTransition - currentHedgeShortfall is NOT ZERO and AUTOHEDGE IS NOT ENABLED!</t>
  </si>
  <si>
    <t>2014-11-26 16:0:21.699: DirectionIndicator - notify - price/longMA/ShortMA/prevDirection are 1.57915/1.57915109759849/1.57911534317847/-1</t>
  </si>
  <si>
    <t>2014-11-26 16:0:21.699: Algorithm - handleTransition - currentHedgeShortfall is NOT ZERO and AUTOHEDGE IS NOT ENABLED!</t>
  </si>
  <si>
    <t>2014-11-26 16:0:21.880: DirectionIndicator - notify - price/longMA/ShortMA/prevDirection are 1.5791/1.57914180712604/1.57911022878565/-1</t>
  </si>
  <si>
    <t>2014-11-26 16:0:21.881: Algorithm - handleTransition - currentHedgeShortfall is NOT ZERO and AUTOHEDGE IS NOT ENABLED!</t>
  </si>
  <si>
    <t>2014-11-26 16:0:21.910: DirectionIndicator - notify - price/longMA/ShortMA/prevDirection are 1.57905/1.5791251149213/1.57909015252376/-1</t>
  </si>
  <si>
    <t>2014-11-26 16:0:21.911: Algorithm - handleTransition - currentHedgeShortfall is NOT ZERO and AUTOHEDGE IS NOT ENABLED!</t>
  </si>
  <si>
    <t>2014-11-26 16:0:22.32: DirectionIndicator - notify - price/longMA/ShortMA/prevDirection are 1.5791/1.57912054857198/1.57909343501584/-1</t>
  </si>
  <si>
    <t>2014-11-26 16:0:22.32: Algorithm - handleTransition - currentHedgeShortfall is NOT ZERO and AUTOHEDGE IS NOT ENABLED!</t>
  </si>
  <si>
    <t>2014-11-26 16:0:22.44: DirectionIndicator - notify - price/longMA/ShortMA/prevDirection are 1.57915/1.57912590337707/1.57911229001056/-1</t>
  </si>
  <si>
    <t>2014-11-26 16:0:22.45: Algorithm - handleTransition - currentHedgeShortfall is NOT ZERO and AUTOHEDGE IS NOT ENABLED!</t>
  </si>
  <si>
    <t>2014-11-26 16:0:22.286: DirectionIndicator - notify - price/longMA/ShortMA/prevDirection are 1.5791/1.57912119367215/1.57910819334037/-1</t>
  </si>
  <si>
    <t>2014-11-26 16:0:22.286: Algorithm - handleTransition - currentHedgeShortfall is NOT ZERO and AUTOHEDGE IS NOT ENABLED!</t>
  </si>
  <si>
    <t>2014-11-26 16:0:22.298: DirectionIndicator - notify - price/longMA/ShortMA/prevDirection are 1.57905/1.57910824936812/1.57908879556025/-1</t>
  </si>
  <si>
    <t>2014-11-26 16:0:22.298: Algorithm - handleTransition - currentHedgeShortfall is NOT ZERO and AUTOHEDGE IS NOT ENABLED!</t>
  </si>
  <si>
    <t>2014-11-26 16:0:22.702: DirectionIndicator - notify - price/longMA/ShortMA/prevDirection are 1.5791/1.57910674948301/1.5790925303735/-1</t>
  </si>
  <si>
    <t>2014-11-26 16:0:22.703: Algorithm - handleTransition - currentHedgeShortfall is NOT ZERO and AUTOHEDGE IS NOT ENABLED!</t>
  </si>
  <si>
    <t>2014-11-26 16:0:22.715: DirectionIndicator - notify - price/longMA/ShortMA/prevDirection are 1.57915/1.57911461321337/1.57911168691567/-1</t>
  </si>
  <si>
    <t>2014-11-26 16:0:22.715: Algorithm - handleTransition - currentHedgeShortfall is NOT ZERO and AUTOHEDGE IS NOT ENABLED!</t>
  </si>
  <si>
    <t>2014-11-26 16:0:22.998: DirectionIndicator - notify - price/longMA/ShortMA/prevDirection are 1.5791/1.57911195626549/1.57910779127711/-1</t>
  </si>
  <si>
    <t>2014-11-26 16:0:22.998: Algorithm - handleTransition - currentHedgeShortfall is NOT ZERO and AUTOHEDGE IS NOT ENABLED!</t>
  </si>
  <si>
    <t>2014-11-26 16:0:23.5: TransitionLogger - flushFile - flushing file</t>
  </si>
  <si>
    <t>2014-11-26 16:0:23.6: TransitionLogger - openTransitionFile - opening file C:\temp\transitionlog_2014-11-26_155023</t>
  </si>
  <si>
    <t>2014-11-26 16:0:23.78: DirectionIndicator - notify - price/longMA/ShortMA/prevDirection are 1.57905/1.57910069148994/1.57908852751807/-1</t>
  </si>
  <si>
    <t>2014-11-26 16:0:23.79: Algorithm - handleTransition - currentHedgeShortfall is NOT ZERO and AUTOHEDGE IS NOT ENABLED!</t>
  </si>
  <si>
    <t>2014-11-26 16:0:23.240: DirectionIndicator - notify - price/longMA/ShortMA/prevDirection are 1.5791/1.5791005657645/1.57909235167872/-1</t>
  </si>
  <si>
    <t>2014-11-26 16:0:23.240: Algorithm - handleTransition - currentHedgeShortfall is NOT ZERO and AUTOHEDGE IS NOT ENABLED!</t>
  </si>
  <si>
    <t>2014-11-26 16:0:23.251: DirectionIndicator - notify - price/longMA/ShortMA/prevDirection are 1.57915/1.57910955380732/1.57911156778581/-1</t>
  </si>
  <si>
    <t>2014-11-26 16:0:23.252: Algorithm - handleTransition - currentHedgeShortfall is NOT ZERO and AUTOHEDGE IS NOT ENABLED!</t>
  </si>
  <si>
    <t>2014-11-26 16:0:23.489: DirectionIndicator - notify - price/longMA/ShortMA/prevDirection are 1.5791/1.57910781675144/1.57910771185721/-1</t>
  </si>
  <si>
    <t>2014-11-26 16:0:23.493: Algorithm - handleTransition - currentHedgeShortfall is NOT ZERO and AUTOHEDGE IS NOT ENABLED!</t>
  </si>
  <si>
    <t>2014-11-26 16:0:23.504: DirectionIndicator - notify - price/longMA/ShortMA/prevDirection are 1.57905/1.57909730461482/1.57908847457147/-1</t>
  </si>
  <si>
    <t>2014-11-26 16:0:23.505: Algorithm - handleTransition - currentHedgeShortfall is NOT ZERO and AUTOHEDGE IS NOT ENABLED!</t>
  </si>
  <si>
    <t>2014-11-26 16:0:23.622: RTWSControl  - tickOptionComputation - id:200047 tickType:10 impliedVol:6.23902237688374E-02 delta:-0.292390029965455 optPrice:1.39999995008111E-03 pvDividend:0 gamma: 1.79769313486232E+308 theta/vega/undPrice: -6.08572775596233E-04-4.45276565631165E-04-1.5791</t>
  </si>
  <si>
    <t>2014-11-26 16:0:23.670: RTWSControl  - tickOptionComputation - id:200047 tickType:11 impliedVol:6.68776618608211E-02 delta:-0.305604670027023 optPrice:1.5999999595806E-03 pvDividend:0 gamma: 1.79769313486232E+308 theta/vega/undPrice: -6.6313543589725E-04-4.45276349717263E-04-1.5791</t>
  </si>
  <si>
    <t>2014-11-26 16:0:23.715: RTWSControl  - tickOptionComputation - id:200052 tickType:10 impliedVol:1.79769313486232E+308 delta:1.79769313486232E+308 optPrice:1.79769313486232E+308 pvDividend:0 gamma: 1.79769313486232E+308 theta/vega/undPrice: 1.79769313486232E+308-1.79769313486232E+308-1.5791</t>
  </si>
  <si>
    <t>2014-11-26 16:0:23.741: RTWSControl  - tickOptionComputation - id:200052 tickType:11 impliedVol:1.79769313486232E+308 delta:1.79769313486232E+308 optPrice:1.79769313486232E+308 pvDividend:0 gamma: 1.79769313486232E+308 theta/vega/undPrice: 1.79769313486232E+308-1.79769313486232E+308-1.5791</t>
  </si>
  <si>
    <t>2014-11-26 16:0:23.759: RTWSControl  - tickOptionComputation - id:200054 tickType:10 impliedVol:1.79769313486232E+308 delta:1.79769313486232E+308 optPrice:1.79769313486232E+308 pvDividend:0 gamma: 1.79769313486232E+308 theta/vega/undPrice: 1.79769313486232E+308-1.79769313486232E+308-1.5791</t>
  </si>
  <si>
    <t>2014-11-26 16:0:23.820: DirectionIndicator - notify - price/longMA/ShortMA/prevDirection are 1.5791/1.57909779468485/1.57909231638098/-1</t>
  </si>
  <si>
    <t>2014-11-26 16:0:23.824: Algorithm - handleTransition - currentHedgeShortfall is NOT ZERO and AUTOHEDGE IS NOT ENABLED!</t>
  </si>
  <si>
    <t>2014-11-26 16:0:23.837: DirectionIndicator - notify - price/longMA/ShortMA/prevDirection are 1.57915/1.57910728656033/1.57911154425399/-1</t>
  </si>
  <si>
    <t>2014-11-26 16:0:23.838: Algorithm - handleTransition - currentHedgeShortfall is NOT ZERO and AUTOHEDGE IS NOT ENABLED!</t>
  </si>
  <si>
    <t>2014-11-26 16:0:24.253: DirectionIndicator - notify - price/longMA/ShortMA/prevDirection are 1.5792/1.57912414354936/1.57914102950266/-1</t>
  </si>
  <si>
    <t>2014-11-26 16:0:24.254: Algorithm - handleTransition - currentHedgeShortfall is NOT ZERO and AUTOHEDGE IS NOT ENABLED!</t>
  </si>
  <si>
    <t>2014-11-26 16:0:24.286: DirectionIndicator - notify - price/longMA/ShortMA/prevDirection are 1.57925/1.57914702654039/1.57917735300177/-1</t>
  </si>
  <si>
    <t>2014-11-26 16:0:24.286: Algorithm - handleTransition - currentHedgeShortfall is NOT ZERO and AUTOHEDGE IS NOT ENABLED!</t>
  </si>
  <si>
    <t>2014-11-26 16:0:24.663: RTWSControl  - tickOptionComputation - id:200042 tickType:13 impliedVol:8.32762174310915E-02 delta:-2.80485469043734E-02 optPrice:1.1097823136338E-04 pvDividend:0 gamma: 1.79769313486232E+308 theta/vega/undPrice: -1.50286545481141E-04-8.89723748047621E-05-1.5791</t>
  </si>
  <si>
    <t>2014-11-26 16:0:24.711: RTWSControl  - tickOptionComputation - id:200041 tickType:13 impliedVol:7.41314036973506E-02 delta:0.942692777399472 optPrice:1.43246081339652E-02 pvDividend:0 gamma: 1.79769313486232E+308 theta/vega/undPrice: -2.39533706706282E-04-1.56516166424025E-04-1.5791</t>
  </si>
  <si>
    <t>2014-11-26 16:0:24.752: RTWSControl  - tickOptionComputation - id:200041 tickType:10 impliedVol:7.24155689876204E-02 delta:0.946950737081584 optPrice:0.014299999922514 pvDividend:0 gamma: 1.79769313486232E+308 theta/vega/undPrice: -2.19837825051864E-04-1.44212101855399E-04-1.5791</t>
  </si>
  <si>
    <t>2014-11-26 16:0:24.787: RTWSControl  - tickOptionComputation - id:200041 tickType:11 impliedVol:8.96572554267106E-02 delta:0.903779264677654 optPrice:1.46000003442168E-02 pvDividend:0 gamma: 1.79769313486232E+308 theta/vega/undPrice: -4.30164013014512E-04-2.15126879126712E-04-1.5791</t>
  </si>
  <si>
    <t>2014-11-26 16:0:24.833: RTWSControl  - tickOptionComputation - id:200043 tickType:13 impliedVol:7.41314036973506E-02 delta:-5.74197404183147E-02 optPrice:2.24809485268948E-04 pvDividend:0 gamma: 1.79769313486232E+308 theta/vega/undPrice: -2.39626854004697E-04-1.56516425964003E-04-1.5791</t>
  </si>
  <si>
    <t>2014-11-26 16:0:24.857: RTWSControl  - tickOptionComputation - id:200044 tickType:13 impliedVol:6.74484128501973E-02 delta:0.86945879178134 optPrice:9.6406858903312E-03 pvDividend:0 gamma: 1.79769313486232E+308 theta/vega/undPrice: -4.05865075257819E-04-2.97554999697854E-04-1.5791</t>
  </si>
  <si>
    <t>2014-11-26 16:0:24.893: RTWSControl  - tickOptionComputation - id:200044 tickType:10 impliedVol:6.60004588718411E-02 delta:0.874963555109654 optPrice:9.60000045597553E-03 pvDividend:0 gamma: 1.79769313486232E+308 theta/vega/undPrice: -3.86144323461756E-04-2.95155860765587E-04-1.5791</t>
  </si>
  <si>
    <t>2014-11-26 16:0:24.924: RTWSControl  - tickOptionComputation - id:200046 tickType:13 impliedVol:6.74484128501973E-02 delta:-0.130653879157606 optPrice:5.40816475414545E-04 pvDividend:0 gamma: 1.79769313486232E+308 theta/vega/undPrice: -4.05925830285939E-04-2.97555287472965E-04-1.5791</t>
  </si>
  <si>
    <t>2014-11-26 16:0:24.962: RTWSControl  - tickOptionComputation - id:200045 tickType:13 impliedVol:6.32272448896174E-02 delta:0.705077914349831 optPrice:5.53811335501548E-03 pvDividend:0 gamma: 1.79769313486232E+308 theta/vega/undPrice: -6.18721215761928E-04-4.45275890114175E-04-1.5791</t>
  </si>
  <si>
    <t>2014-11-26 16:0:24.998: RTWSControl  - tickOptionComputation - id:200045 tickType:11 impliedVol:6.91295007792007E-02 delta:0.688400354957379 optPrice:5.79999992623925E-03 pvDividend:0 gamma: 1.79769313486232E+308 theta/vega/undPrice: -6.9048634435663E-04-4.45275601008566E-04-1.5791</t>
  </si>
  <si>
    <t>2014-11-26 16:0:25.40: RTWSControl  - tickOptionComputation - id:200047 tickType:13 impliedVol:6.32272448896174E-02 delta:-0.295035182662226 optPrice:1.43817439529048E-03 pvDividend:0 gamma: 1.79769313486232E+308 theta/vega/undPrice: -6.18750101651984E-04-4.45276526197249E-04-1.5791</t>
  </si>
  <si>
    <t>2014-11-26 16:0:25.67: RTWSControl  - tickOptionComputation - id:200047 tickType:10 impliedVol:6.01241327697488E-02 delta:-0.284963660764747 optPrice:1.30000000353903E-03 pvDividend:0 gamma: 1.79769313486232E+308 theta/vega/undPrice: -5.81019401678743E-04-4.45276670435321E-04-1.5791</t>
  </si>
  <si>
    <t>2014-11-26 16:0:25.102: RTWSControl  - tickOptionComputation - id:200047 tickType:11 impliedVol:6.46157211840625E-02 delta:-0.299174207677386 optPrice:1.50000001303852E-03 pvDividend:0 gamma: 1.79769313486232E+308 theta/vega/undPrice: -6.35632557302757E-04-4.45276459926943E-04-1.5791</t>
  </si>
  <si>
    <t>2014-11-26 16:0:25.134: RTWSControl  - tickOptionComputation - id:200055 tickType:13 impliedVol:6.14678998156108E-02 delta:0.453242374664851 optPrice:2.57034210338304E-03 pvDividend:0 gamma: 1.79769313486232E+308 theta/vega/undPrice: -6.87205526615939E-04-4.83147373032268E-04-1.5791</t>
  </si>
  <si>
    <t>2014-11-26 16:0:25.169: RTWSControl  - tickOptionComputation - id:200049 tickType:13 impliedVol:6.84997254096231E-02 delta:0.705629625187698 optPrice:0.012305676748101 pvDividend:0 gamma: 1.79769313486232E+308 theta/vega/undPrice: -3.25509878284753E-04-9.14265583594094E-04-1.5791</t>
  </si>
  <si>
    <t>2014-11-26 16:0:25.206: RTWSControl  - tickOptionComputation - id:200049 tickType:10 impliedVol:6.95314104078836E-02 delta:0.702684411620935 optPrice:1.24000003561378E-02 pvDividend:0 gamma: 1.79769313486232E+308 theta/vega/undPrice: -3.31598597705534E-04-9.14265123739046E-04-1.5791</t>
  </si>
  <si>
    <t>2014-11-26 16:0:25.230: RTWSControl  - tickOptionComputation - id:200049 tickType:11 impliedVol:7.28185594230442E-02 delta:0.694129957707346 optPrice:0.012699999846518 pvDividend:0 gamma: 1.79769313486232E+308 theta/vega/undPrice: -3.50998391628022E-04-9.14263624313696E-04-1.5791</t>
  </si>
  <si>
    <t>2014-11-26 16:0:25.270: RTWSControl  - tickOptionComputation - id:200050 tickType:13 impliedVol:6.84997254096231E-02 delta:-0.294440418386275 optPrice:3.20624991819329E-03 pvDividend:0 gamma: 1.79769313486232E+308 theta/vega/undPrice: -3.25574041871448E-04-9.14271139039781E-04-1.5791</t>
  </si>
  <si>
    <t>2014-11-26 16:0:25.300: RTWSControl  - tickOptionComputation - id:200051 tickType:13 impliedVol:7.14706225964186E-02 delta:-0.300943127772661 optPrice:3.39999754875962E-03 pvDividend:0 gamma: 1.79769313486232E+308 theta/vega/undPrice: -3.43538494095941E-04-8.61321041334207E-04-1.5791</t>
  </si>
  <si>
    <t>2014-11-26 16:0:25.338: RTWSControl  - tickOptionComputation - id:200052 tickType:13 impliedVol:0.124034942675138 delta:-0.507855063723364 optPrice:1.26996871721022E-02 pvDividend:0 gamma: 1.79769313486232E+308 theta/vega/undPrice: -6.82960585835856E-04-9.86719393422231E-04-1.5791</t>
  </si>
  <si>
    <t>2014-11-26 16:0:25.375: RTWSControl  - tickOptionComputation - id:200052 tickType:10 impliedVol:1.79769313486232E+308 delta:1.79769313486232E+308 optPrice:1.79769313486232E+308 pvDividend:0 gamma: 1.79769313486232E+308 theta/vega/undPrice: 1.79769313486232E+308-1.79769313486232E+308-1.5791</t>
  </si>
  <si>
    <t>2014-11-26 16:0:25.408: RTWSControl  - tickOptionComputation - id:200052 tickType:11 impliedVol:1.79769313486232E+308 delta:1.79769313486232E+308 optPrice:1.79769313486232E+308 pvDividend:0 gamma: 1.79769313486232E+308 theta/vega/undPrice: 1.79769313486232E+308-1.79769313486232E+308-1.5791</t>
  </si>
  <si>
    <t>2014-11-26 16:0:25.425: RTWSControl  - tickOptionComputation - id:200048 tickType:13 impliedVol:8.43518451879426E-02 delta:-0.02931711279611 optPrice:2.43782626121886E-04 pvDividend:0 gamma: 1.79769313486232E+308 theta/vega/undPrice: -7.6759782618695E-05-1.92091619830616E-04-1.5791</t>
  </si>
  <si>
    <t>2014-11-26 16:0:25.473: RTWSControl  - tickOptionComputation - id:200053 tickType:13 impliedVol:6.42592205604018E-02 delta:9.89561359458945E-02 optPrice:7.57148378970829E-04 pvDividend:0 gamma: 1.79769313486232E+308 theta/vega/undPrice: -1.53044957141949E-04-4.63122075247086E-04-1.5791</t>
  </si>
  <si>
    <t>2014-11-26 16:0:25.509: RTWSControl  - tickOptionComputation - id:200054 tickType:13 impliedVol:7.16303306402821E-02 delta:2.27467914656461E-03 optPrice:1.22419306492469E-05 pvDividend:0 gamma: 0.395359213604322 theta/vega/undPrice: -6.9273634952278E-06-3.36230604631584E-05-1.5791</t>
  </si>
  <si>
    <t>2014-11-26 16:0:25.545: RTWSControl  - tickOptionComputation - id:200054 tickType:10 impliedVol:1.79769313486232E+308 delta:1.79769313486232E+308 optPrice:1.79769313486232E+308 pvDividend:0 gamma: 1.79769313486232E+308 theta/vega/undPrice: 1.79769313486232E+308-1.79769313486232E+308-1.5791</t>
  </si>
  <si>
    <t>2014-11-26 16:0:25.960: DirectionIndicator - notify - price/longMA/ShortMA/prevDirection are 1.5792/1.5791566580785/1.57918490200118/1</t>
  </si>
  <si>
    <t>2014-11-26 16:0:25.960: Algorithm - handleTransition - currentHedgeShortfall is NOT ZERO and AUTOHEDGE IS NOT ENABLED!</t>
  </si>
  <si>
    <t>2014-11-26 16:0:25.994: DirectionIndicator - notify - price/longMA/ShortMA/prevDirection are 1.57915/1.57915544751877/1.57917326800079/1</t>
  </si>
  <si>
    <t>2014-11-26 16:0:25.994: Algorithm - handleTransition - currentHedgeShortfall is NOT ZERO and AUTOHEDGE IS NOT ENABLED!</t>
  </si>
  <si>
    <t>2014-11-26 16:0:26.166: RTWSControl  - tickOptionComputation - id:200042 tickType:10 impliedVol:0.093634357515036 delta:-4.25894699326197E-02 optPrice:1.99999994947575E-04 pvDividend:0 gamma: 1.79769313486232E+308 theta/vega/undPrice: -2.40700792415033E-04-1.43193184602893E-04-1.5792</t>
  </si>
  <si>
    <t>2014-11-26 16:0:26.212: RTWSControl  - tickOptionComputation - id:200042 tickType:11 impliedVol:0.093634357515036 delta:-4.25894699326197E-02 optPrice:1.99999994947575E-04 pvDividend:0 gamma: 1.79769313486232E+308 theta/vega/undPrice: -2.40700792415033E-04-1.43193184602893E-04-1.5792</t>
  </si>
  <si>
    <t>2014-11-26 16:0:26.257: RTWSControl  - tickOptionComputation - id:200042 tickType:13 impliedVol:8.32762174310915E-02 delta:-2.73368785794977E-02 optPrice:1.07756057439124E-04 pvDividend:0 gamma: 1.79769313486232E+308 theta/vega/undPrice: -1.4716987862242E-04-8.77636841188239E-05-1.5792</t>
  </si>
  <si>
    <t>2014-11-26 16:0:26.294: RTWSControl  - tickOptionComputation - id:200041 tickType:10 impliedVol:6.38243537594878E-02 delta:0.967573012272034 optPrice:0.014299999922514 pvDividend:0 gamma: 1.79769313486232E+308 theta/vega/undPrice: -1.29799739739279E-04-1.14290789185536E-04-1.5792</t>
  </si>
  <si>
    <t>2014-11-26 16:0:26.335: RTWSControl  - tickOptionComputation - id:200041 tickType:11 impliedVol:8.54771611210701E-02 delta:0.916674335086013 optPrice:1.46000003442168E-02 pvDividend:0 gamma: 1.79769313486232E+308 theta/vega/undPrice: -3.69839260581571E-04-2.15133814771775E-04-1.5792</t>
  </si>
  <si>
    <t>2014-11-26 16:0:26.376: RTWSControl  - tickOptionComputation - id:200041 tickType:13 impliedVol:7.41314036973506E-02 delta:0.943999436420412 optPrice:1.44186945102701E-02 pvDividend:0 gamma: 1.79769313486232E+308 theta/vega/undPrice: -2.35224406687685E-04-1.52354017712396E-04-1.5792</t>
  </si>
  <si>
    <t>2014-11-26 16:0:26.414: RTWSControl  - tickOptionComputation - id:200043 tickType:13 impliedVol:7.41314036973506E-02 delta:-0.056113080445208 optPrice:2.18897284450159E-04 pvDividend:0 gamma: 1.79769313486232E+308 theta/vega/undPrice: -2.353182078691E-04-1.52354273882825E-04-1.5792</t>
  </si>
  <si>
    <t>2014-11-26 16:0:26.438: RTWSControl  - tickOptionComputation - id:200044 tickType:13 impliedVol:6.74484128501973E-02 delta:0.872437554750268 optPrice:9.72463652755098E-03 pvDividend:0 gamma: 1.79769313486232E+308 theta/vega/undPrice: -4.00178667937875E-04-2.97564422553197E-04-1.5792</t>
  </si>
  <si>
    <t>2014-11-26 16:0:26.476: RTWSControl  - tickOptionComputation - id:200046 tickType:13 impliedVol:6.74484128501973E-02 delta:-0.12767511308443 optPrice:5.24768526371995E-04 pvDividend:0 gamma: 1.79769313486232E+308 theta/vega/undPrice: -4.00240071341373E-04-2.9756471031766E-04-1.5792</t>
  </si>
  <si>
    <t>2014-11-26 16:0:26.508: RTWSControl  - tickOptionComputation - id:200045 tickType:13 impliedVol:6.32272448896174E-02 delta:0.709833317982913 optPrice:5.60461107048885E-03 pvDividend:0 gamma: 1.79769313486232E+308 theta/vega/undPrice: -6.15085590383416E-04-4.45289991757442E-04-1.5792</t>
  </si>
  <si>
    <t>2014-11-26 16:0:26.544: RTWSControl  - tickOptionComputation - id:200047 tickType:13 impliedVol:6.32272448896174E-02 delta:-0.290279771520816 optPrice:1.40467350158649E-03 pvDividend:0 gamma: 1.79769313486232E+308 theta/vega/undPrice: -6.15115118015706E-04-4.45290627860181E-04-1.5792</t>
  </si>
  <si>
    <t>2014-11-26 16:0:26.583: RTWSControl  - tickOptionComputation - id:200055 tickType:13 impliedVol:6.14678998156108E-02 delta:0.458551068255143 optPrice:2.61482173556569E-03 pvDividend:0 gamma: 1.79769313486232E+308 theta/vega/undPrice: -6.88548871889958E-04-4.83162672402393E-04-1.5792</t>
  </si>
  <si>
    <t>2014-11-26 16:0:26.606: RTWSControl  - tickOptionComputation - id:200049 tickType:13 impliedVol:6.84997254096231E-02 delta:0.707759670347452 optPrice:1.23722808367781E-02 pvDividend:0 gamma: 1.79769313486232E+308 theta/vega/undPrice: -3.24657118747626E-04-9.14294544661808E-04-1.5792</t>
  </si>
  <si>
    <t>2014-11-26 16:0:26.643: RTWSControl  - tickOptionComputation - id:200050 tickType:13 impliedVol:6.84997254096231E-02 delta:-0.292310358583791 optPrice:3.17285988849931E-03 pvDividend:0 gamma: 1.79769313486232E+308 theta/vega/undPrice: -3.247219228865E-04-9.14300100225805E-04-1.5792</t>
  </si>
  <si>
    <t>2014-11-26 16:0:26.674: RTWSControl  - tickOptionComputation - id:200051 tickType:13 impliedVol:7.14706225964186E-02 delta:-0.298976821974124 optPrice:3.37000530742049E-03 pvDividend:0 gamma: 1.79769313486232E+308 theta/vega/undPrice: -3.42542650518161E-04-8.58823926218801E-04-1.5792</t>
  </si>
  <si>
    <t>2014-11-26 16:0:26.710: RTWSControl  - tickOptionComputation - id:200052 tickType:13 impliedVol:0.124034942675138 delta:-0.506555132756995 optPrice:1.26489772223734E-02 pvDividend:0 gamma: 1.79769313486232E+308 theta/vega/undPrice: -6.83044189861362E-04-9.86839684919193E-04-1.5792</t>
  </si>
  <si>
    <t>2014-11-26 16:0:26.746: RTWSControl  - tickOptionComputation - id:200043 tickType:10 impliedVol:6.38012522111124E-02 delta:-3.23650694366182E-02 optPrice:9.99999974737875E-05 pvDividend:0 gamma: 1.79769313486232E+308 theta/vega/undPrice: -1.29684925653178E-04-1.14162668179023E-04-1.5792</t>
  </si>
  <si>
    <t>2014-11-26 16:0:26.774: RTWSControl  - tickOptionComputation - id:200043 tickType:11 impliedVol:7.97619483738533E-02 delta:-6.92361414482152E-02 optPrice:3.00000014249235E-04 pvDividend:0 gamma: 1.79769313486232E+308 theta/vega/undPrice: -2.9995270112157E-04-1.9273159061083E-04-1.5792</t>
  </si>
  <si>
    <t>2014-11-26 16:0:26.825: RTWSControl  - tickOptionComputation - id:200044 tickType:10 impliedVol:6.18134423912604E-02 delta:0.890919889847461 optPrice:9.60000045597553E-03 pvDividend:0 gamma: 1.79769313486232E+308 theta/vega/undPrice: -3.256303011312E-04-2.54832938669279E-04-1.5792</t>
  </si>
  <si>
    <t>2014-11-26 16:0:26.851: RTWSControl  - tickOptionComputation - id:200044 tickType:11 impliedVol:7.67030476547466E-02 delta:0.83924736259158 optPrice:9.99999977648258E-03 pvDividend:0 gamma: 1.79769313486232E+308 theta/vega/undPrice: -5.2723887017052E-04-2.97564103096835E-04-1.5792</t>
  </si>
  <si>
    <t>2014-11-26 16:0:26.906: RTWSControl  - tickOptionComputation - id:200046 tickType:10 impliedVol:6.18198896104591E-02 delta:-0.10908888507009 optPrice:3.9999998989515E-04 pvDividend:0 gamma: 1.79769313486232E+308 theta/vega/undPrice: -3.25776432751453E-04-2.54886316215855E-04-1.5792</t>
  </si>
  <si>
    <t>2014-11-26 16:0:26.930: RTWSControl  - tickOptionComputation - id:200046 tickType:11 impliedVol:6.99752437395765E-02 delta:-0.137561598469886 optPrice:6.00000028498471E-04 pvDividend:0 gamma: 1.79769313486232E+308 theta/vega/undPrice: -4.34931930596384E-04-2.97564623307458E-04-1.5792</t>
  </si>
  <si>
    <t>2014-11-26 16:0:26.989: RTWSControl  - tickOptionComputation - id:200045 tickType:10 impliedVol:6.08243520817222E-02 delta:0.717475877188776 optPrice:5.49999997019768E-03 pvDividend:0 gamma: 1.79769313486232E+308 theta/vega/undPrice: -5.85583020688085E-04-4.43509787769037E-04-1.5792</t>
  </si>
  <si>
    <t>2014-11-26 16:0:27.13: RTWSControl  - tickOptionComputation - id:200045 tickType:11 impliedVol:6.76226278155242E-02 delta:0.696804862730629 optPrice:5.79999992623925E-03 pvDividend:0 gamma: 1.79769313486232E+308 theta/vega/undPrice: -6.68530456300153E-04-4.45289777280364E-04-1.5792</t>
  </si>
  <si>
    <t>2014-11-26 16:0:27.73: RTWSControl  - tickOptionComputation - id:200047 tickType:10 impliedVol:6.08329317869613E-02 delta:-0.282535526775832 optPrice:1.30000000353903E-03 pvDividend:0 gamma: 1.79769313486232E+308 theta/vega/undPrice: -5.85725604703902E-04-4.43567590930743E-04-1.5792</t>
  </si>
  <si>
    <t>2014-11-26 16:0:27.99: RTWSControl  - tickOptionComputation - id:200047 tickType:11 impliedVol:6.53739456934896E-02 delta:-0.296780753261098 optPrice:1.50000001303852E-03 pvDividend:0 gamma: 1.79769313486232E+308 theta/vega/undPrice: -6.412176345103E-04-4.45290524450079E-04-1.5792</t>
  </si>
  <si>
    <t>2014-11-26 16:0:27.155: RTWSControl  - tickOptionComputation - id:200055 tickType:10 impliedVol:0.059091493726944 delta:0.456749421680915 optPrice:2.49999994412065E-03 pvDividend:0 gamma: 1.79769313486232E+308 theta/vega/undPrice: -6.61520439047741E-04-4.83162785254007E-04-1.5792</t>
  </si>
  <si>
    <t>2014-11-26 16:0:27.177: RTWSControl  - tickOptionComputation - id:200055 tickType:11 impliedVol:6.32332675190445E-02 delta:0.459705358227251 optPrice:2.70000007003546E-03 pvDividend:0 gamma: 1.79769313486232E+308 theta/vega/undPrice: -7.08627551314912E-04-4.83162585945016E-04-1.5792</t>
  </si>
  <si>
    <t>2014-11-26 16:0:27.237: RTWSControl  - tickOptionComputation - id:200049 tickType:10 impliedVol:6.88050631761059E-02 delta:0.706806487454233 optPrice:1.24000003561378E-02 pvDividend:0 gamma: 1.79769313486232E+308 theta/vega/undPrice: -3.26459195627699E-04-9.14294408795429E-04-1.5792</t>
  </si>
  <si>
    <t>2014-11-26 16:0:27.259: RTWSControl  - tickOptionComputation - id:200049 tickType:11 impliedVol:7.20804967081567E-02 delta:0.698006219401429 optPrice:0.012699999846518 pvDividend:0 gamma: 1.79769313486232E+308 theta/vega/undPrice: -3.45790477631062E-04-9.14292923047877E-04-1.5792</t>
  </si>
  <si>
    <t>2014-11-26 16:0:27.321: RTWSControl  - tickOptionComputation - id:200050 tickType:10 impliedVol:6.87952503695015E-02 delta:-0.293109488004882 optPrice:3.1999999191612E-03 pvDividend:0 gamma: 1.79769313486232E+308 theta/vega/undPrice: -3.26466110859993E-04-9.14299968755289E-04-1.5792</t>
  </si>
  <si>
    <t>2014-11-26 16:0:27.348: RTWSControl  - tickOptionComputation - id:200050 tickType:11 impliedVol:7.09864913321021E-02 delta:-0.299089416746027 optPrice:3.40000004507601E-03 pvDividend:0 gamma: 1.79769313486232E+308 theta/vega/undPrice: -3.39398793470203E-04-9.14298980788663E-04-1.5792</t>
  </si>
  <si>
    <t>2014-11-26 16:0:27.406: RTWSControl  - tickOptionComputation - id:200051 tickType:10 impliedVol:6.83044336050011E-02 delta:-0.290681988155504 optPrice:3.10000008903444E-03 pvDividend:0 gamma: 1.79769313486232E+308 theta/vega/undPrice: -3.23168386801007E-04-8.47805673311057E-04-1.5792</t>
  </si>
  <si>
    <t>2014-11-26 16:0:27.430: RTWSControl  - tickOptionComputation - id:200051 tickType:11 impliedVol:7.18241375652942E-02 delta:-0.299821523011384 optPrice:3.40000004507601E-03 pvDividend:0 gamma: 1.79769313486232E+308 theta/vega/undPrice: -3.44697356434691E-04-8.59972681839655E-04-1.5792</t>
  </si>
  <si>
    <t>2014-11-26 16:0:27.488: RTWSControl  - tickOptionComputation - id:200052 tickType:10 impliedVol:1.79769313486232E+308 delta:1.79769313486232E+308 optPrice:1.79769313486232E+308 pvDividend:0 gamma: 1.79769313486232E+308 theta/vega/undPrice: 1.79769313486232E+308-1.79769313486232E+308-1.5792</t>
  </si>
  <si>
    <t>2014-11-26 16:0:27.502: RTWSControl  - tickOptionComputation - id:200052 tickType:11 impliedVol:1.79769313486232E+308 delta:1.79769313486232E+308 optPrice:1.79769313486232E+308 pvDividend:0 gamma: 1.79769313486232E+308 theta/vega/undPrice: 1.79769313486232E+308-1.79769313486232E+308-1.5792</t>
  </si>
  <si>
    <t>2014-11-26 16:0:27.545: RTWSControl  - tickOptionComputation - id:200048 tickType:13 impliedVol:8.43518451879426E-02 delta:-2.89777304178897E-02 optPrice:2.40585585315619E-04 pvDividend:0 gamma: 1.79769313486232E+308 theta/vega/undPrice: -7.60290567358626E-05-1.89430980952204E-04-1.5792</t>
  </si>
  <si>
    <t>2014-11-26 16:0:27.582: RTWSControl  - tickOptionComputation - id:200048 tickType:10 impliedVol:8.20871226178355E-02 delta:-2.52698502204992E-02 optPrice:1.99999994947575E-04 pvDividend:0 gamma: 1.79769313486232E+308 theta/vega/undPrice: -6.61745418271414E-05-1.79326868593038E-04-1.5792</t>
  </si>
  <si>
    <t>2014-11-26 16:0:27.606: RTWSControl  - tickOptionComputation - id:200048 tickType:11 impliedVol:8.76650070061894E-02 delta:-3.40471235486805E-02 optPrice:3.00000014249235E-04 pvDividend:0 gamma: 1.79769313486232E+308 theta/vega/undPrice: -9.04456262599274E-05-2.2695506748409E-04-1.5792</t>
  </si>
  <si>
    <t>2014-11-26 16:0:27.655: RTWSControl  - tickOptionComputation - id:200053 tickType:13 impliedVol:6.42592205604018E-02 delta:0.100067863960881 optPrice:7.67370421865794E-04 pvDividend:0 gamma: 1.79769313486232E+308 theta/vega/undPrice: -1.54315958401985E-04-4.69155599232248E-04-1.5792</t>
  </si>
  <si>
    <t>2014-11-26 16:0:27.678: RTWSControl  - tickOptionComputation - id:200053 tickType:10 impliedVol:6.27509306770622E-02 delta:9.45134202647911E-02 optPrice:6.99999975040555E-04 pvDividend:0 gamma: 1.79769313486232E+308 theta/vega/undPrice: -1.4455291504304E-04-4.4734998971442E-04-1.5792</t>
  </si>
  <si>
    <t>2014-11-26 16:0:27.723: RTWSControl  - tickOptionComputation - id:200053 tickType:11 impliedVol:6.49988621014924E-02 delta:0.102679197094412 optPrice:7.999999797903E-04 pvDividend:0 gamma: 1.79769313486232E+308 theta/vega/undPrice: -1.59103596897912E-04-4.81760322647297E-04-1.5792</t>
  </si>
  <si>
    <t>2014-11-26 16:0:27.762: RTWSControl  - tickOptionComputation - id:200054 tickType:13 impliedVol:7.16303306402821E-02 delta:2.33079602987417E-03 optPrice:1.257759233677E-05 pvDividend:0 gamma: 0.403900259089923 theta/vega/undPrice: -7.07791299364735E-06-3.4068393078696E-05-1.5792</t>
  </si>
  <si>
    <t>2014-11-26 16:0:27.799: RTWSControl  - tickOptionComputation - id:200054 tickType:10 impliedVol:1.79769313486232E+308 delta:1.79769313486232E+308 optPrice:1.79769313486232E+308 pvDividend:0 gamma: 1.79769313486232E+308 theta/vega/undPrice: 1.79769313486232E+308-1.79769313486232E+308-1.5792</t>
  </si>
  <si>
    <t>2014-11-26 16:0:27.837: RTWSControl  - tickOptionComputation - id:200054 tickType:11 impliedVol:8.99762453639597E-02 delta:1.26035502900295E-02 optPrice:9.99999974737875E-05 pvDividend:0 gamma: 1.79769313486232E+308 theta/vega/undPrice: -4.00052166083288E-05-1.03776321956673E-04-1.5792</t>
  </si>
  <si>
    <t>2014-11-26 16:0:28.81: DirectionIndicator - notify - price/longMA/ShortMA/prevDirection are 1.5791/1.57914536615172/1.57914884533386/1</t>
  </si>
  <si>
    <t>2014-11-26 16:0:28.82: Algorithm - handleTransition - currentHedgeShortfall is NOT ZERO and AUTOHEDGE IS NOT ENABLED!</t>
  </si>
  <si>
    <t>2014-11-26 16:0:28.322: DirectionIndicator - notify - price/longMA/ShortMA/prevDirection are 1.57915/1.57914620866959/1.57914923022257/1</t>
  </si>
  <si>
    <t>2014-11-26 16:0:28.322: Algorithm - handleTransition - currentHedgeShortfall is NOT ZERO and AUTOHEDGE IS NOT ENABLED!</t>
  </si>
  <si>
    <t>2014-11-26 16:0:28.529: RTWSControl  - tickOptionComputation - id:200042 tickType:10 impliedVol:9.32295066445018E-02 delta:-4.27617063638049E-02 optPrice:1.99999994947575E-04 pvDividend:0 gamma: 1.79769313486232E+308 theta/vega/undPrice: -2.40362556234351E-04-1.43188659232956E-04-1.5791</t>
  </si>
  <si>
    <t>2014-11-26 16:0:28.553: RTWSControl  - tickOptionComputation - id:200042 tickType:11 impliedVol:9.32295066445018E-02 delta:-4.27617063638049E-02 optPrice:1.99999994947575E-04 pvDividend:0 gamma: 1.79769313486232E+308 theta/vega/undPrice: -2.40362556234351E-04-1.43188659232956E-04-1.5791</t>
  </si>
  <si>
    <t>2014-11-26 16:0:28.613: RTWSControl  - tickOptionComputation - id:200042 tickType:13 impliedVol:8.29309952652437E-02 delta:-2.74800756710111E-02 optPrice:1.07948528365666E-04 pvDividend:0 gamma: 1.79769313486232E+308 theta/vega/undPrice: -1.4717694962995E-04-8.77609096601985E-05-1.5791</t>
  </si>
  <si>
    <t>2014-11-26 16:0:28.636: RTWSControl  - tickOptionComputation - id:200041 tickType:10 impliedVol:6.34570305121099E-02 delta:0.96740444465272 optPrice:1.42000000923872E-02 pvDividend:0 gamma: 1.79769313486232E+308 theta/vega/undPrice: -1.29608638049651E-04-1.14936287231873E-04-1.5791</t>
  </si>
  <si>
    <t>2014-11-26 16:0:28.685: RTWSControl  - tickOptionComputation - id:200041 tickType:11 impliedVol:8.49847339374178E-02 delta:0.916366755783551 optPrice:1.44999995827675E-02 pvDividend:0 gamma: 1.79769313486232E+308 theta/vega/undPrice: -3.68641464878108E-04-2.15127017534013E-04-1.5791</t>
  </si>
  <si>
    <t>2014-11-26 16:0:28.723: RTWSControl  - tickOptionComputation - id:200041 tickType:13 impliedVol:7.38396206649696E-02 delta:0.943422833166896 optPrice:1.43204234314391E-02 pvDividend:0 gamma: 1.79769313486232E+308 theta/vega/undPrice: -2.36184361149788E-04-1.54423822253582E-04-1.5791</t>
  </si>
  <si>
    <t>2014-11-26 16:0:28.759: RTWSControl  - tickOptionComputation - id:200043 tickType:10 impliedVol:6.34341284153065E-02 delta:-3.25338347027404E-02 optPrice:9.99999974737875E-05 pvDividend:0 gamma: 1.79769313486232E+308 theta/vega/undPrice: -1.29494971389888E-04-1.14809277681564E-04-1.5791</t>
  </si>
  <si>
    <t>2014-11-26 16:0:28.804: RTWSControl  - tickOptionComputation - id:200043 tickType:11 impliedVol:7.93451204299905E-02 delta:-6.95491413343358E-02 optPrice:3.00000014249235E-04 pvDividend:0 gamma: 1.79769313486232E+308 theta/vega/undPrice: -2.99474577766949E-04-1.93903435851865E-04-1.5791</t>
  </si>
  <si>
    <t>2014-11-26 16:0:28.846: RTWSControl  - tickOptionComputation - id:200043 tickType:13 impliedVol:7.38396206649696E-02 delta:-5.66896841194014E-02 optPrice:2.20624779874231E-04 pvDividend:0 gamma: 1.79769313486232E+308 theta/vega/undPrice: -2.36277504693181E-04-1.54424079578201E-04-1.5791</t>
  </si>
  <si>
    <t>2014-11-26 16:0:28.882: RTWSControl  - tickOptionComputation - id:200044 tickType:10 impliedVol:6.13300807133968E-02 delta:0.890255502987275 optPrice:9.4999996945262E-03 pvDividend:0 gamma: 1.79769313486232E+308 theta/vega/undPrice: -3.24551557391035E-04-2.56819576755477E-04-1.5791</t>
  </si>
  <si>
    <t>2014-11-26 16:0:28.922: RTWSControl  - tickOptionComputation - id:200044 tickType:11 impliedVol:7.61632399627725E-02 delta:0.838317032734724 optPrice:9.89999994635582E-03 pvDividend:0 gamma: 1.79769313486232E+308 theta/vega/undPrice: -5.25510282127465E-04-2.97554702059112E-04-1.5791</t>
  </si>
  <si>
    <t>2014-11-26 16:0:28.965: RTWSControl  - tickOptionComputation - id:200044 tickType:13 impliedVol:6.72688681246996E-02 delta:0.870182964385755 optPrice:9.6353434441472E-03 pvDividend:0 gamma: 1.79769313486232E+308 theta/vega/undPrice: -4.03400116855205E-04-2.97555005812239E-04-1.5791</t>
  </si>
  <si>
    <t>2014-11-26 16:0:29.2: RTWSControl  - tickOptionComputation - id:200046 tickType:10 impliedVol:6.13533982082637E-02 delta:-0.109812805984128 optPrice:3.9999998989515E-04 pvDividend:0 gamma: 1.79769313486232E+308 theta/vega/undPrice: -3.24919510660678E-04-2.57011430966858E-04-1.5791</t>
  </si>
  <si>
    <t>2014-11-26 16:0:29.45: RTWSControl  - tickOptionComputation - id:200046 tickType:11 impliedVol:6.94374054607176E-02 delta:-0.138407631381286 optPrice:6.00000028498471E-04 pvDividend:0 gamma: 1.79769313486232E+308 theta/vega/undPrice: -4.33232632087309E-04-2.97555219709206E-04-1.5791</t>
  </si>
  <si>
    <t>2014-11-26 16:0:29.86: RTWSControl  - tickOptionComputation - id:200046 tickType:13 impliedVol:6.72688681246996E-02 delta:-0.129929705799326 optPrice:5.35474024063284E-04 pvDividend:0 gamma: 1.79769313486232E+308 theta/vega/undPrice: -4.03460867203038E-04-2.9755529358705E-04-1.5791</t>
  </si>
  <si>
    <t>2014-11-26 16:0:29.122: RTWSControl  - tickOptionComputation - id:200045 tickType:10 impliedVol:6.23712954880751E-02 delta:0.707656422026999 optPrice:5.49999997019768E-03 pvDividend:0 gamma: 1.79769313486232E+308 theta/vega/undPrice: -6.0831377592308E-04-4.45275930437129E-04-1.5791</t>
  </si>
  <si>
    <t>2014-11-26 16:0:29.146: RTWSControl  - tickOptionComputation - id:200045 tickType:11 impliedVol:0.06687343145775 delta:0.694393634743005 optPrice:5.70000009611249E-03 pvDividend:0 gamma: 1.79769313486232E+308 theta/vega/undPrice: -6.63054964002283E-04-4.45275713800596E-04-1.5791</t>
  </si>
  <si>
    <t>2014-11-26 16:0:29.198: RTWSControl  - tickOptionComputation - id:200045 tickType:13 impliedVol:6.32187376443909E-02 delta:0.705104074186272 optPrice:5.53773454769733E-03 pvDividend:0 gamma: 1.79769313486232E+308 theta/vega/undPrice: -6.18617776664144E-04-4.45275890516728E-04-1.5791</t>
  </si>
  <si>
    <t>2014-11-26 16:0:29.226: RTWSControl  - tickOptionComputation - id:200047 tickType:10 impliedVol:6.23902237688374E-02 delta:-0.292390029965455 optPrice:1.39999995008111E-03 pvDividend:0 gamma: 1.79769313486232E+308 theta/vega/undPrice: -6.08572775596233E-04-4.45276565631165E-04-1.5791</t>
  </si>
  <si>
    <t>2014-11-26 16:0:29.270: RTWSControl  - tickOptionComputation - id:200047 tickType:11 impliedVol:6.46157211840625E-02 delta:-0.299174207677386 optPrice:1.50000001303852E-03 pvDividend:0 gamma: 1.79769313486232E+308 theta/vega/undPrice: -6.35632557302757E-04-4.45276459926943E-04-1.5791</t>
  </si>
  <si>
    <t>2014-11-26 16:0:29.305: RTWSControl  - tickOptionComputation - id:200047 tickType:13 impliedVol:6.32187376443909E-02 delta:-0.295009022784317 optPrice:1.43779558743246E-03 pvDividend:0 gamma: 1.79769313486232E+308 theta/vega/undPrice: -6.18646662207956E-04-4.45276526600283E-04-1.5791</t>
  </si>
  <si>
    <t>2014-11-26 16:0:29.343: RTWSControl  - tickOptionComputation - id:200055 tickType:10 impliedVol:6.00160772495582E-02 delta:0.452007430354294 optPrice:2.49999994412065E-03 pvDividend:0 gamma: 1.79769313486232E+308 theta/vega/undPrice: -6.70693516466927E-04-4.83147442576147E-04-1.5791</t>
  </si>
  <si>
    <t>2014-11-26 16:0:29.384: RTWSControl  - tickOptionComputation - id:200055 tickType:11 impliedVol:6.41542081099473E-02 delta:0.455226181039602 optPrice:2.70000007003546E-03 pvDividend:0 gamma: 1.79769313486232E+308 theta/vega/undPrice: -7.17757693318462E-04-4.83147240367034E-04-1.5791</t>
  </si>
  <si>
    <t>2014-11-26 16:0:29.423: RTWSControl  - tickOptionComputation - id:200055 tickType:13 impliedVol:6.16892292240578E-02 delta:0.453417151019165 optPrice:2.58103558072572E-03 pvDividend:0 gamma: 1.79769313486232E+308 theta/vega/undPrice: -6.89722771291666E-04-4.83147362297157E-04-1.5791</t>
  </si>
  <si>
    <t>2014-11-26 16:0:29.459: RTWSControl  - tickOptionComputation - id:200049 tickType:10 impliedVol:0.068440419738061 delta:0.705707244612982 optPrice:1.22999995946884E-02 pvDividend:0 gamma: 1.79769313486232E+308 theta/vega/undPrice: -3.25159872395782E-04-9.14265609869458E-04-1.5791</t>
  </si>
  <si>
    <t>2014-11-26 16:0:29.503: RTWSControl  - tickOptionComputation - id:200049 tickType:11 impliedVol:7.17228430846573E-02 delta:0.696893346953232 optPrice:1.26000000163913E-02 pvDividend:0 gamma: 1.79769313486232E+308 theta/vega/undPrice: -3.44531802246784E-04-9.14264129909843E-04-1.5791</t>
  </si>
  <si>
    <t>2014-11-26 16:0:29.568: RTWSControl  - tickOptionComputation - id:200049 tickType:13 impliedVol:6.84058061997845E-02 delta:0.705893978066854 optPrice:1.22970900173608E-02 pvDividend:0 gamma: 1.79769313486232E+308 theta/vega/undPrice: -3.2495559272736E-04-9.14265625201581E-04-1.5791</t>
  </si>
  <si>
    <t>2014-11-26 16:0:29.622: RTWSControl  - tickOptionComputation - id:200050 tickType:10 impliedVol:6.84313651340898E-02 delta:-0.294210880268581 optPrice:3.1999999191612E-03 pvDividend:0 gamma: 1.79769313486232E+308 theta/vega/undPrice: -3.25170592300035E-04-9.14271169324289E-04-1.5791</t>
  </si>
  <si>
    <t>2014-11-26 16:0:29.645: RTWSControl  - tickOptionComputation - id:200050 tickType:11 impliedVol:7.06222134357075E-02 delta:-0.30018721468844 optPrice:3.40000004507601E-03 pvDividend:0 gamma: 1.79769313486232E+308 theta/vega/undPrice: -3.38100553386452E-04-9.14270187545978E-04-1.5791</t>
  </si>
  <si>
    <t>2014-11-26 16:0:29.724: RTWSControl  - tickOptionComputation - id:200050 tickType:13 impliedVol:6.84058061997845E-02 delta:-0.294176063693583 optPrice:3.1976631352798E-03 pvDividend:0 gamma: 1.79769313486232E+308 theta/vega/undPrice: -3.25019748237817E-04-9.14271180641501E-04-1.5791</t>
  </si>
  <si>
    <t>2014-11-26 16:0:29.769: RTWSControl  - tickOptionComputation - id:200051 tickType:10 impliedVol:6.79639096509589E-02 delta:-0.291792643540969 optPrice:3.10000008903444E-03 pvDividend:0 gamma: 1.79769313486232E+308 theta/vega/undPrice: -3.22109736111809E-04-8.49262470667994E-04-1.5791</t>
  </si>
  <si>
    <t>2014-11-26 16:0:29.818: RTWSControl  - tickOptionComputation - id:200051 tickType:11 impliedVol:7.14706225843244E-02 delta:-0.300905084556259 optPrice:3.40000004507601E-03 pvDividend:0 gamma: 1.79769313486232E+308 theta/vega/undPrice: -3.43538494022325E-04-8.61321041295381E-04-1.5791</t>
  </si>
  <si>
    <t>2014-11-26 16:0:29.888: RTWSControl  - tickOptionComputation - id:200051 tickType:13 impliedVol:7.03072648970515E-02 delta:-0.298007537230467 optPrice:3.30001532593067E-03 pvDividend:0 gamma: 1.79769313486232E+308 theta/vega/undPrice: -3.36448200496723E-04-8.57501656854251E-04-1.5791</t>
  </si>
  <si>
    <t>2014-11-26 16:0:29.925: RTWSControl  - tickOptionComputation - id:200052 tickType:10 impliedVol:1.79769313486232E+308 delta:1.79769313486232E+308 optPrice:1.79769313486232E+308 pvDividend:0 gamma: 1.79769313486232E+308 theta/vega/undPrice: 1.79769313486232E+308-1.79769313486232E+308-1.5791</t>
  </si>
  <si>
    <t>2014-11-26 16:0:29.954: RTWSControl  - tickOptionComputation - id:200052 tickType:11 impliedVol:1.79769313486232E+308 delta:1.79769313486232E+308 optPrice:1.79769313486232E+308 pvDividend:0 gamma: 1.79769313486232E+308 theta/vega/undPrice: 1.79769313486232E+308-1.79769313486232E+308-1.5791</t>
  </si>
  <si>
    <t>2014-11-26 16:0:29.973: RTWSControl  - tickOptionComputation - id:200052 tickType:13 impliedVol:0.124034942675136 delta:-0.507855063723364 optPrice:1.26996871721022E-02 pvDividend:0 gamma: 1.79769313486232E+308 theta/vega/undPrice: -6.82960585835846E-04-9.86719393422231E-04-1.5791</t>
  </si>
  <si>
    <t>2014-11-26 16:0:30.13: RTWSControl  - tickOptionComputation - id:200048 tickType:10 impliedVol:8.19102747243685E-02 delta:-0.025321273338219 optPrice:1.99999994947575E-04 pvDividend:0 gamma: 1.79769313486232E+308 theta/vega/undPrice: -6.61360830769659E-05-1.79321208575976E-04-1.5791</t>
  </si>
  <si>
    <t>2014-11-26 16:0:30.52: RTWSControl  - tickOptionComputation - id:200048 tickType:11 impliedVol:0.08748685420124 delta:-3.41114789627272E-02 optPrice:3.00000014249235E-04 pvDividend:0 gamma: 1.79769313486232E+308 theta/vega/undPrice: -9.04007243969488E-05-2.27596866578394E-04-1.5791</t>
  </si>
  <si>
    <t>2014-11-26 16:0:30.92: RTWSControl  - tickOptionComputation - id:200048 tickType:13 impliedVol:8.40511905135202E-02 delta:-2.88380268139629E-02 optPrice:2.38391242363991E-04 pvDividend:0 gamma: 1.79769313486232E+308 theta/vega/undPrice: -7.5451582743304E-05-1.88686578390747E-04-1.5791</t>
  </si>
  <si>
    <t>2014-11-26 16:0:30.130: RTWSControl  - tickOptionComputation - id:200053 tickType:10 impliedVol:6.29816947718467E-02 delta:9.42441497162107E-02 optPrice:6.99999975040555E-04 pvDividend:0 gamma: 1.79769313486232E+308 theta/vega/undPrice: -1.44775894319213E-04-4.47335779730077E-04-1.5791</t>
  </si>
  <si>
    <t>2014-11-26 16:0:30.169: RTWSControl  - tickOptionComputation - id:200053 tickType:11 impliedVol:6.52346791573373E-02 delta:0.102408473916634 optPrice:7.999999797903E-04 pvDividend:0 gamma: 1.79769313486232E+308 theta/vega/undPrice: -1.59358819491744E-04-4.7974498725791E-04-1.5791</t>
  </si>
  <si>
    <t>2014-11-26 16:0:30.210: RTWSControl  - tickOptionComputation - id:200053 tickType:13 impliedVol:0.064223234138332 delta:9.88262899881289E-02 optPrice:7.55538575085569E-04 pvDividend:0 gamma: 1.79769313486232E+308 theta/vega/undPrice: -1.52812027320366E-04-4.6250882586652E-04-1.5791</t>
  </si>
  <si>
    <t>2014-11-26 16:0:30.247: RTWSControl  - tickOptionComputation - id:200054 tickType:10 impliedVol:1.79769313486232E+308 delta:1.79769313486232E+308 optPrice:1.79769313486232E+308 pvDividend:0 gamma: 1.79769313486232E+308 theta/vega/undPrice: 1.79769313486232E+308-1.79769313486232E+308-1.5791</t>
  </si>
  <si>
    <t>2014-11-26 16:0:30.262: RTWSControl  - tickOptionComputation - id:200054 tickType:11 impliedVol:9.01330725866379E-02 delta:1.25803068216169E-02 optPrice:9.99999974737875E-05 pvDividend:0 gamma: 1.79769313486232E+308 theta/vega/undPrice: -4.00107502199368E-05-1.03773026200217E-04-1.5791</t>
  </si>
  <si>
    <t>2014-11-26 16:0:30.305: RTWSControl  - tickOptionComputation - id:200054 tickType:13 impliedVol:7.15034743291589E-02 delta:2.22472967615638E-03 optPrice:1.19227929482272E-05 pvDividend:0 gamma: 0.388421653121963 theta/vega/undPrice: -6.78172142069808E-06-3.32640339719169E-05-1.5791</t>
  </si>
  <si>
    <t>2014-11-26 16:0:30.620: RTWSControl  - tickOptionComputation - id:200052 tickType:10 impliedVol:1.79769313486232E+308 delta:1.79769313486232E+308 optPrice:1.79769313486232E+308 pvDividend:0 gamma: 1.79769313486232E+308 theta/vega/undPrice: 1.79769313486232E+308-1.79769313486232E+308-1.5791</t>
  </si>
  <si>
    <t>2014-11-26 16:0:30.659: RTWSControl  - tickOptionComputation - id:200052 tickType:11 impliedVol:1.79769313486232E+308 delta:1.79769313486232E+308 optPrice:1.79769313486232E+308 pvDividend:0 gamma: 1.79769313486232E+308 theta/vega/undPrice: 1.79769313486232E+308-1.79769313486232E+308-1.5791</t>
  </si>
  <si>
    <t>2014-11-26 16:0:30.678: RTWSControl  - tickOptionComputation - id:200054 tickType:10 impliedVol:1.79769313486232E+308 delta:1.79769313486232E+308 optPrice:1.79769313486232E+308 pvDividend:0 gamma: 1.79769313486232E+308 theta/vega/undPrice: 1.79769313486232E+308-1.79769313486232E+308-1.5791</t>
  </si>
  <si>
    <t>2014-11-26 16:0:30.873: RTWSControl  - tickOptionComputation - id:200042 tickType:13 impliedVol:8.29309952652437E-02 delta:-0.026765462283237 optPrice:1.04726258491079E-04 pvDividend:0 gamma: 1.79769313486232E+308 theta/vega/undPrice: -1.44060184290699E-04-8.77636878090441E-05-1.5792</t>
  </si>
  <si>
    <t>2014-11-26 16:0:30.920: RTWSControl  - tickOptionComputation - id:200041 tickType:13 impliedVol:7.38396206649696E-02 delta:0.944734632653765 optPrice:1.44145096752345E-02 pvDividend:0 gamma: 1.79769313486232E+308 theta/vega/undPrice: -2.31874955073557E-04-1.50261607224542E-04-1.5792</t>
  </si>
  <si>
    <t>2014-11-26 16:0:30.959: RTWSControl  - tickOptionComputation - id:200043 tickType:13 impliedVol:7.38396206649696E-02 delta:-5.53778836766396E-02 optPrice:2.14712446545958E-04 pvDividend:0 gamma: 1.79769313486232E+308 theta/vega/undPrice: -2.31968752500237E-04-1.50261861179659E-04-1.5792</t>
  </si>
  <si>
    <t>2014-11-26 16:0:30.995: RTWSControl  - tickOptionComputation - id:200044 tickType:13 impliedVol:6.72688681246996E-02 delta:0.873169657456004 optPrice:9.7192939121515E-03 pvDividend:0 gamma: 1.79769313486232E+308 theta/vega/undPrice: -3.9771363146077E-04-2.97564428732402E-04-1.5792</t>
  </si>
  <si>
    <t>2014-11-26 16:0:31.19: RTWSControl  - tickOptionComputation - id:200046 tickType:13 impliedVol:6.72688681246996E-02 delta:-0.126943009616541 optPrice:5.19425905805181E-04 pvDividend:0 gamma: 1.79769313486232E+308 theta/vega/undPrice: -3.97775030183823E-04-2.97564716496529E-04-1.5792</t>
  </si>
  <si>
    <t>2014-11-26 16:0:31.60: RTWSControl  - tickOptionComputation - id:200045 tickType:13 impliedVol:6.32187376443909E-02 delta:0.7098601170889 optPrice:5.60423225117295E-03 pvDividend:0 gamma: 1.79769313486232E+308 theta/vega/undPrice: -6.14982148009515E-04-4.45289992162082E-04-1.5792</t>
  </si>
  <si>
    <t>2014-11-26 16:0:31.91: RTWSControl  - tickOptionComputation - id:200047 tickType:13 impliedVol:6.32187376443909E-02 delta:-0.290252972372362 optPrice:1.40429468173093E-03 pvDividend:0 gamma: 1.79769313486232E+308 theta/vega/undPrice: -6.15011675295587E-04-4.45290628265116E-04-1.5792</t>
  </si>
  <si>
    <t>2014-11-26 16:0:31.128: RTWSControl  - tickOptionComputation - id:200055 tickType:13 impliedVol:6.16892292240578E-02 delta:0.458706791523507 optPrice:2.62551555151947E-03 pvDividend:0 gamma: 1.79769313486232E+308 theta/vega/undPrice: -6.91066196274734E-04-4.83162661685487E-04-1.5792</t>
  </si>
  <si>
    <t>2014-11-26 16:0:31.163: RTWSControl  - tickOptionComputation - id:200049 tickType:13 impliedVol:6.84058061997845E-02 delta:0.708026941069474 optPrice:0.012363693833991 pvDividend:0 gamma: 1.79769313486232E+308 theta/vega/undPrice: -3.24102815629237E-04-9.14294586362097E-04-1.5792</t>
  </si>
  <si>
    <t>2014-11-26 16:0:31.186: RTWSControl  - tickOptionComputation - id:200050 tickType:13 impliedVol:6.84058061997845E-02 delta:-0.292043086028243 optPrice:3.16427283353736E-03 pvDividend:0 gamma: 1.79769313486232E+308 theta/vega/undPrice: -3.2416761169161E-04-9.14300141920279E-04-1.5792</t>
  </si>
  <si>
    <t>2014-11-26 16:0:31.225: RTWSControl  - tickOptionComputation - id:200051 tickType:13 impliedVol:7.03072648970515E-02 delta:-0.296017656234985 optPrice:3.27031776447862E-03 pvDividend:0 gamma: 1.79769313486232E+308 theta/vega/undPrice: -3.35440057974679E-04-8.54931883353295E-04-1.5792</t>
  </si>
  <si>
    <t>2014-11-26 16:0:31.256: RTWSControl  - tickOptionComputation - id:200052 tickType:13 impliedVol:0.124034942675136 delta:-0.506555132756995 optPrice:1.26489772223727E-02 pvDividend:0 gamma: 1.79769313486232E+308 theta/vega/undPrice: -6.83044189861353E-04-9.86839684919193E-04-1.5792</t>
  </si>
  <si>
    <t>2014-11-26 16:0:31.293: RTWSControl  - tickOptionComputation - id:200048 tickType:13 impliedVol:8.40511905135202E-02 delta:-2.84974453137797E-02 optPrice:2.35194030801048E-04 pvDividend:0 gamma: 1.79769313486232E+308 theta/vega/undPrice: -7.47208154269785E-05-1.86025831485044E-04-1.5792</t>
  </si>
  <si>
    <t>2014-11-26 16:0:31.332: RTWSControl  - tickOptionComputation - id:200053 tickType:13 impliedVol:0.064223234138332 delta:9.99386449949216E-02 optPrice:7.657605670132E-04 pvDividend:0 gamma: 1.79769313486232E+308 theta/vega/undPrice: -1.54083021205708E-04-4.68542330481947E-04-1.5792</t>
  </si>
  <si>
    <t>2014-11-26 16:0:31.355: RTWSControl  - tickOptionComputation - id:200054 tickType:13 impliedVol:7.15034743291589E-02 delta:2.28094763965145E-03 optPrice:1.22584445370084E-05 pvDividend:0 gamma: 0.39699382382854 theta/vega/undPrice: -6.93226631044335E-06-3.37093552200199E-05-1.5792</t>
  </si>
  <si>
    <t>2014-11-26 16:0:31.420: DirectionIndicator - notify - price/longMA/ShortMA/prevDirection are 1.5792/1.57915598891148/1.57916615348171/1</t>
  </si>
  <si>
    <t>2014-11-26 16:0:31.420: Algorithm - handleTransition - currentHedgeShortfall is NOT ZERO and AUTOHEDGE IS NOT ENABLED!</t>
  </si>
  <si>
    <t>2014-11-26 16:0:31.452: DirectionIndicator - notify - price/longMA/ShortMA/prevDirection are 1.57925/1.57917308183667/1.57919410232114/1</t>
  </si>
  <si>
    <t>2014-11-26 16:0:31.456: Algorithm - handleTransition - currentHedgeShortfall is NOT ZERO and AUTOHEDGE IS NOT ENABLED!</t>
  </si>
  <si>
    <t>2014-11-26 16:0:31.753: DirectionIndicator - notify - price/longMA/ShortMA/prevDirection are 1.5792/1.57917797604818/1.5791960682141/1</t>
  </si>
  <si>
    <t>2014-11-26 16:0:31.753: Algorithm - handleTransition - currentHedgeShortfall is NOT ZERO and AUTOHEDGE IS NOT ENABLED!</t>
  </si>
  <si>
    <t>2014-11-26 16:0:31.785: DirectionIndicator - notify - price/longMA/ShortMA/prevDirection are 1.57915/1.57917288949397/1.57918071214273/1</t>
  </si>
  <si>
    <t>2014-11-26 16:0:31.786: Algorithm - handleTransition - currentHedgeShortfall is NOT ZERO and AUTOHEDGE IS NOT ENABLED!</t>
  </si>
  <si>
    <t>2014-11-26 16:0:31.989: RTWSControl  - tickOptionComputation - id:200042 tickType:13 impliedVol:8.22725698925808E-02 delta:-2.56400446416384E-02 optPrice:9.88319826933634E-05 pvDividend:0 gamma: 1.79769313486232E+308 theta/vega/undPrice: -1.38054712365628E-04-8.77496340488361E-05-1.5792</t>
  </si>
  <si>
    <t>2014-11-26 16:0:32.12: RTWSControl  - tickOptionComputation - id:200041 tickType:13 impliedVol:7.31947583410033E-02 delta:0.94641049800056 optPrice:0.014405092745472 pvDividend:0 gamma: 1.79769313486232E+308 theta/vega/undPrice: -2.24409730739326E-04-1.45518656750958E-04-1.5792</t>
  </si>
  <si>
    <t>2014-11-26 16:0:32.60: RTWSControl  - tickOptionComputation - id:200043 tickType:13 impliedVol:7.31947583410033E-02 delta:-5.37020169974258E-02 optPrice:2.0529544535634E-04 pvDividend:0 gamma: 1.79769313486232E+308 theta/vega/undPrice: -2.2450351971589E-04-1.45518905607428E-04-1.5792</t>
  </si>
  <si>
    <t>2014-11-26 16:0:32.92: RTWSControl  - tickOptionComputation - id:200044 tickType:13 impliedVol:0.06678338709429 delta:0.874932338251455 optPrice:9.70655217189162E-03 pvDividend:0 gamma: 1.79769313486232E+308 theta/vega/undPrice: -3.91160046987506E-04-2.95493961580713E-04-1.5792</t>
  </si>
  <si>
    <t>2014-11-26 16:0:32.131: RTWSControl  - tickOptionComputation - id:200046 tickType:13 impliedVol:0.06678338709429 delta:-0.12518027040653 optPrice:5.06683888131334E-04 pvDividend:0 gamma: 1.79769313486232E+308 theta/vega/undPrice: -3.91221252087825E-04-2.95494470044688E-04-1.5792</t>
  </si>
  <si>
    <t>2014-11-26 16:0:32.166: RTWSControl  - tickOptionComputation - id:200045 tickType:13 impliedVol:6.30384561525261E-02 delta:0.710461748645467 optPrice:5.59575477151728E-03 pvDividend:0 gamma: 1.79769313486232E+308 theta/vega/undPrice: -6.12863622123715E-04-4.4521865853116E-04-1.5792</t>
  </si>
  <si>
    <t>2014-11-26 16:0:32.189: RTWSControl  - tickOptionComputation - id:200047 tickType:13 impliedVol:6.30384561525261E-02 delta:-0.289651339570292 optPrice:0.001395817169965 pvDividend:0 gamma: 1.79769313486232E+308 theta/vega/undPrice: -6.12893141645379E-04-4.45219294326106E-04-1.5792</t>
  </si>
  <si>
    <t>2014-11-26 16:0:32.226: RTWSControl  - tickOptionComputation - id:200055 tickType:13 impliedVol:6.19599655156264E-02 delta:0.458888894790109 optPrice:2.63811688722519E-03 pvDividend:0 gamma: 1.79769313486232E+308 theta/vega/undPrice: -6.94255006938253E-04-4.83085238517662E-04-1.5792</t>
  </si>
  <si>
    <t>2014-11-26 16:0:32.256: RTWSControl  - tickOptionComputation - id:200049 tickType:13 impliedVol:6.86088779667777E-02 delta:0.707457339531037 optPrice:0.012382023078784 pvDividend:0 gamma: 1.79769313486232E+308 theta/vega/undPrice: -3.25310641073436E-04-9.14259871010892E-04-1.5792</t>
  </si>
  <si>
    <t>2014-11-26 16:0:32.295: RTWSControl  - tickOptionComputation - id:200050 tickType:13 impliedVol:6.86088779667777E-02 delta:-0.292612691174262 optPrice:3.18260214581988E-03 pvDividend:0 gamma: 1.79769313486232E+308 theta/vega/undPrice: -3.2537545437034E-04-9.14265425954058E-04-1.5792</t>
  </si>
  <si>
    <t>2014-11-26 16:0:32.329: RTWSControl  - tickOptionComputation - id:200051 tickType:13 impliedVol:0.070648085142901 delta:-0.296886373148473 optPrice:3.29924105422338E-03 pvDividend:0 gamma: 1.79769313486232E+308 theta/vega/undPrice: -3.37532190594726E-04-8.56047774392219E-04-1.5792</t>
  </si>
  <si>
    <t>2014-11-26 16:0:32.351: RTWSControl  - tickOptionComputation - id:200052 tickType:13 impliedVol:0.124552091906445 delta:-0.506496356244394 optPrice:1.26995356002382E-02 pvDividend:0 gamma: 1.79769313486232E+308 theta/vega/undPrice: -6.85920313022775E-04-9.86803807840452E-04-1.5792</t>
  </si>
  <si>
    <t>2014-11-26 16:0:32.391: RTWSControl  - tickOptionComputation - id:200048 tickType:13 impliedVol:8.46344605646259E-02 delta:-2.94210071912835E-02 optPrice:2.45596159860675E-04 pvDividend:0 gamma: 1.79769313486232E+308 theta/vega/undPrice: -7.72507066332658E-05-1.92584432136857E-04-1.5792</t>
  </si>
  <si>
    <t>2014-11-26 16:0:32.425: RTWSControl  - tickOptionComputation - id:200053 tickType:13 impliedVol:6.40410161161071E-02 delta:9.92733566763259E-02 optPrice:7.57500522969638E-04 pvDividend:0 gamma: 1.79769313486232E+308 theta/vega/undPrice: -1.52899420961926E-04-4.65372296308488E-04-1.5792</t>
  </si>
  <si>
    <t>2014-11-26 16:0:32.460: RTWSControl  - tickOptionComputation - id:200054 tickType:13 impliedVol:7.09308750126212E-02 delta:2.05265475514898E-03 optPrice:1.08111276799113E-05 pvDividend:0 gamma: 0.365018486908257 theta/vega/undPrice: -6.27224213155614E-06-3.20791144174542E-05-1.5792</t>
  </si>
  <si>
    <t>2014-11-26 16:0:32.497: RTWSControl  - tickOptionComputation - id:200042 tickType:10 impliedVol:9.37250774330869E-02 delta:-4.27502900810338E-02 optPrice:1.99999994947575E-04 pvDividend:0 gamma: 1.79769313486232E+308 theta/vega/undPrice: -2.41645845772336E-04-1.43170240956021E-04-1.5792</t>
  </si>
  <si>
    <t>2014-11-26 16:0:32.520: RTWSControl  - tickOptionComputation - id:200042 tickType:11 impliedVol:9.37250774330869E-02 delta:-4.27502900810338E-02 optPrice:1.99999994947575E-04 pvDividend:0 gamma: 1.79769313486232E+308 theta/vega/undPrice: -2.41645845772336E-04-1.43170240956021E-04-1.5792</t>
  </si>
  <si>
    <t>2014-11-26 16:0:32.572: RTWSControl  - tickOptionComputation - id:200041 tickType:10 impliedVol:0.036356968141138 delta:0.999474131692578 optPrice:1.42000000923872E-02 pvDividend:0 gamma: 0.405724015117386 theta/vega/undPrice: -1.73867704518471E-06-8.48852273985061E-06-1.5792</t>
  </si>
  <si>
    <t>2014-11-26 16:0:32.596: RTWSControl  - tickOptionComputation - id:200041 tickType:11 impliedVol:7.98130956921968E-02 delta:0.93066687608032 optPrice:1.44999995827675E-02 pvDividend:0 gamma: 1.79769313486232E+308 theta/vega/undPrice: -3.00395449917582E-04-1.929719044278E-04-1.5792</t>
  </si>
  <si>
    <t>2014-11-26 16:0:32.655: RTWSControl  - tickOptionComputation - id:200043 tickType:10 impliedVol:6.38012522111124E-02 delta:-3.23438306304651E-02 optPrice:9.99999974737875E-05 pvDividend:0 gamma: 1.79769313486232E+308 theta/vega/undPrice: -1.29634235124912E-04-1.14082936700758E-04-1.5792</t>
  </si>
  <si>
    <t>2014-11-26 16:0:32.680: RTWSControl  - tickOptionComputation - id:200043 tickType:11 impliedVol:7.97619483738533E-02 delta:-6.92084438803808E-02 optPrice:3.00000014249235E-04 pvDividend:0 gamma: 1.79769313486232E+308 theta/vega/undPrice: -2.99902096904799E-04-1.92605478942985E-04-1.5792</t>
  </si>
  <si>
    <t>2014-11-26 16:0:32.738: RTWSControl  - tickOptionComputation - id:200044 tickType:10 impliedVol:6.18134423912604E-02 delta:0.890954632741772 optPrice:9.60000045597553E-03 pvDividend:0 gamma: 1.79769313486232E+308 theta/vega/undPrice: -3.25604036418687E-04-2.54703966910656E-04-1.5792</t>
  </si>
  <si>
    <t>2014-11-26 16:0:32.762: RTWSControl  - tickOptionComputation - id:200044 tickType:11 impliedVol:0.073353457845585 delta:0.850294211993589 optPrice:9.89999994635582E-03 pvDividend:0 gamma: 1.79769313486232E+308 theta/vega/undPrice: -4.81244043000671E-04-2.97516544689047E-04-1.5792</t>
  </si>
  <si>
    <t>2014-11-26 16:0:32.824: RTWSControl  - tickOptionComputation - id:200046 tickType:10 impliedVol:6.18198896104591E-02 delta:-0.109054150215209 optPrice:3.9999998989515E-04 pvDividend:0 gamma: 1.79769313486232E+308 theta/vega/undPrice: -3.25750181476443E-04-2.5475733567694E-04-1.5792</t>
  </si>
  <si>
    <t>2014-11-26 16:0:32.848: RTWSControl  - tickOptionComputation - id:200046 tickType:11 impliedVol:6.99752437395765E-02 delta:-0.13751924490069 optPrice:6.00000028498471E-04 pvDividend:0 gamma: 1.79769313486232E+308 theta/vega/undPrice: -4.3491736099069E-04-2.97516948925038E-04-1.5792</t>
  </si>
  <si>
    <t>2014-11-26 16:0:32.910: RTWSControl  - tickOptionComputation - id:200045 tickType:10 impliedVol:6.08243520817222E-02 delta:0.717504145264247 optPrice:5.49999997019768E-03 pvDividend:0 gamma: 1.79769313486232E+308 theta/vega/undPrice: -5.85641895496217E-04-4.43374156599279E-04-1.5792</t>
  </si>
  <si>
    <t>2014-11-26 16:0:32.937: RTWSControl  - tickOptionComputation - id:200045 tickType:11 impliedVol:6.53812122720882E-02 delta:0.703215372686306 optPrice:5.70000009611249E-03 pvDividend:0 gamma: 1.79769313486232E+308 theta/vega/undPrice: -6.4135451697333E-04-4.45218545842777E-04-1.5792</t>
  </si>
  <si>
    <t>2014-11-26 16:0:33.30: RTWSControl  - tickOptionComputation - id:200047 tickType:10 impliedVol:6.31343496881235E-02 delta:-0.289918130936484 optPrice:1.39999995008111E-03 pvDividend:0 gamma: 1.79769313486232E+308 theta/vega/undPrice: -6.14059333280202E-04-4.4521928977302E-04-1.5792</t>
  </si>
  <si>
    <t>2014-11-26 16:0:33.226: RTWSControl  - tickOptionComputation - id:200047 tickType:11 impliedVol:6.53739456934896E-02 delta:-0.296749902837743 optPrice:1.50000001303852E-03 pvDividend:0 gamma: 1.79769313486232E+308 theta/vega/undPrice: -6.41295760887816E-04-4.45219181995201E-04-1.5792</t>
  </si>
  <si>
    <t>2014-11-26 16:0:33.307: RTWSControl  - tickOptionComputation - id:200055 tickType:10 impliedVol:0.059091493726944 delta:0.456742202157784 optPrice:2.49999994412065E-03 pvDividend:0 gamma: 1.79769313486232E+308 theta/vega/undPrice: -6.61624760109289E-04-4.83085375177397E-04-1.5792</t>
  </si>
  <si>
    <t>2014-11-26 16:0:33.337: RTWSControl  - tickOptionComputation - id:200055 tickType:11 impliedVol:6.32332675190445E-02 delta:0.459698592093845 optPrice:2.70000007003546E-03 pvDividend:0 gamma: 1.79769313486232E+308 theta/vega/undPrice: -7.08739421880133E-04-4.8308517596699E-04-1.5792</t>
  </si>
  <si>
    <t>2014-11-26 16:0:33.373: RTWSControl  - tickOptionComputation - id:200049 tickType:10 impliedVol:6.88050631761059E-02 delta:0.706813829802865 optPrice:1.24000003561378E-02 pvDividend:0 gamma: 1.79769313486232E+308 theta/vega/undPrice: -3.26468552877776E-04-9.14259783673984E-04-1.5792</t>
  </si>
  <si>
    <t>2014-11-26 16:0:33.428: RTWSControl  - tickOptionComputation - id:200049 tickType:11 impliedVol:7.09886855141111E-02 delta:0.700855547798045 optPrice:1.26000000163913E-02 pvDividend:0 gamma: 1.79769313486232E+308 theta/vega/undPrice: -3.39356570927546E-04-9.14258799027023E-04-1.5792</t>
  </si>
  <si>
    <t>2014-11-26 16:0:33.458: RTWSControl  - tickOptionComputation - id:200050 tickType:10 impliedVol:6.87952503695015E-02 delta:-0.293102148807322 optPrice:3.1999999191612E-03 pvDividend:0 gamma: 1.79769313486232E+308 theta/vega/undPrice: -3.26475465687106E-04-9.14265343000523E-04-1.5792</t>
  </si>
  <si>
    <t>2014-11-26 16:0:33.512: RTWSControl  - tickOptionComputation - id:200050 tickType:11 impliedVol:7.09864913321021E-02 delta:-0.299082308894062 optPrice:3.40000004507601E-03 pvDividend:0 gamma: 1.79769313486232E+308 theta/vega/undPrice: -3.39408638347961E-04-9.14264355140074E-04-1.5792</t>
  </si>
  <si>
    <t>2014-11-26 16:0:33.535: RTWSControl  - tickOptionComputation - id:200051 tickType:10 impliedVol:6.83044336050011E-02 delta:-0.290674808926656 optPrice:3.10000008903444E-03 pvDividend:0 gamma: 1.79769313486232E+308 theta/vega/undPrice: -3.23177182174677E-04-8.47763023559936E-04-1.5792</t>
  </si>
  <si>
    <t>2014-11-26 16:0:33.571: RTWSControl  - tickOptionComputation - id:200051 tickType:11 impliedVol:7.18241375652942E-02 delta:-0.299814604946247 optPrice:3.40000004507601E-03 pvDividend:0 gamma: 1.79769313486232E+308 theta/vega/undPrice: -3.44707118625277E-04-8.59930370087867E-04-1.5792</t>
  </si>
  <si>
    <t>2014-11-26 16:0:33.597: RTWSControl  - tickOptionComputation - id:200052 tickType:10 impliedVol:1.79769313486232E+308 delta:1.79769313486232E+308 optPrice:1.79769313486232E+308 pvDividend:0 gamma: 1.79769313486232E+308 theta/vega/undPrice: 1.79769313486232E+308-1.79769313486232E+308-1.5792</t>
  </si>
  <si>
    <t>2014-11-26 16:0:33.608: RTWSControl  - tickOptionComputation - id:200052 tickType:11 impliedVol:1.79769313486232E+308 delta:1.79769313486232E+308 optPrice:1.79769313486232E+308 pvDividend:0 gamma: 1.79769313486232E+308 theta/vega/undPrice: 1.79769313486232E+308-1.79769313486232E+308-1.5792</t>
  </si>
  <si>
    <t>2014-11-26 16:0:33.640: RTWSControl  - tickOptionComputation - id:200048 tickType:10 impliedVol:8.20871226178355E-02 delta:-2.52646238770613E-02 optPrice:1.99999994947575E-04 pvDividend:0 gamma: 1.79769313486232E+308 theta/vega/undPrice: -6.61660253065549E-05-1.79320077366168E-04-1.5792</t>
  </si>
  <si>
    <t>2014-11-26 16:0:33.661: RTWSControl  - tickOptionComputation - id:200048 tickType:11 impliedVol:8.76650070061894E-02 delta:-3.40422321256432E-02 optPrice:3.00000014249235E-04 pvDividend:0 gamma: 1.79769313486232E+308 theta/vega/undPrice: -9.04380292962766E-05-2.26906379463852E-04-1.5792</t>
  </si>
  <si>
    <t>2014-11-26 16:0:33.723: RTWSControl  - tickOptionComputation - id:200053 tickType:10 impliedVol:6.27509306770622E-02 delta:9.45044783408807E-02 optPrice:6.99999975040555E-04 pvDividend:0 gamma: 1.79769313486232E+308 theta/vega/undPrice: -1.44548481007394E-04-4.47333048035685E-04-1.5792</t>
  </si>
  <si>
    <t>2014-11-26 16:0:33.742: RTWSControl  - tickOptionComputation - id:200053 tickType:11 impliedVol:6.49988621014924E-02 delta:0.102670562108461 optPrice:7.999999797903E-04 pvDividend:0 gamma: 1.79769313486232E+308 theta/vega/undPrice: -1.59099714155121E-04-4.81694970109718E-04-1.5792</t>
  </si>
  <si>
    <t>2014-11-26 16:0:33.772: RTWSControl  - tickOptionComputation - id:200054 tickType:10 impliedVol:1.79769313486232E+308 delta:1.79769313486232E+308 optPrice:1.79769313486232E+308 pvDividend:0 gamma: 1.79769313486232E+308 theta/vega/undPrice: 1.79769313486232E+308-1.79769313486232E+308-1.5792</t>
  </si>
  <si>
    <t>2014-11-26 16:0:33.782: RTWSControl  - tickOptionComputation - id:200054 tickType:11 impliedVol:8.99762453639597E-02 delta:1.26000516930203E-02 optPrice:9.99999974737875E-05 pvDividend:0 gamma: 1.79769313486232E+308 theta/vega/undPrice: -3.9997460464517E-05-1.03772391933674E-04-1.5792</t>
  </si>
  <si>
    <t>2014-11-26 16:0:33.855: RTWSControl  - tickOptionComputation - id:200052 tickType:10 impliedVol:1.79769313486232E+308 delta:1.79769313486232E+308 optPrice:1.79769313486232E+308 pvDividend:0 gamma: 1.79769313486232E+308 theta/vega/undPrice: 1.79769313486232E+308-1.79769313486232E+308-1.5792</t>
  </si>
  <si>
    <t>2014-11-26 16:0:33.864: RTWSControl  - tickOptionComputation - id:200052 tickType:11 impliedVol:1.79769313486232E+308 delta:1.79769313486232E+308 optPrice:1.79769313486232E+308 pvDividend:0 gamma: 1.79769313486232E+308 theta/vega/undPrice: 1.79769313486232E+308-1.79769313486232E+308-1.5792</t>
  </si>
  <si>
    <t>2014-11-26 16:0:33.874: RTWSControl  - tickOptionComputation - id:200054 tickType:10 impliedVol:1.79769313486232E+308 delta:1.79769313486232E+308 optPrice:1.79769313486232E+308 pvDividend:0 gamma: 1.79769313486232E+308 theta/vega/undPrice: 1.79769313486232E+308-1.79769313486232E+308-1.5792</t>
  </si>
  <si>
    <t>2014-11-26 16:0:34.30: DirectionIndicator - notify - price/longMA/ShortMA/prevDirection are 1.5791/1.5791596368587/1.57915380809515/1</t>
  </si>
  <si>
    <t>2014-11-26 16:0:34.30: Algorithm - handleTransition - currentHedgeShortfall is NOT ZERO and AUTOHEDGE IS NOT ENABLED!</t>
  </si>
  <si>
    <t>2014-11-26 16:0:34.285: DirectionIndicator - notify - price/longMA/ShortMA/prevDirection are 1.57905/1.57913970288439/1.57911920539677/1</t>
  </si>
  <si>
    <t>2014-11-26 16:0:34.286: Algorithm - handleTransition - currentHedgeShortfall is NOT ZERO and AUTOHEDGE IS NOT ENABLED!</t>
  </si>
  <si>
    <t>2014-11-26 16:0:34.415: DirectionIndicator - notify - price/longMA/ShortMA/prevDirection are 1.5791/1.57913248417814/1.57911280359785/-1</t>
  </si>
  <si>
    <t>2014-11-26 16:0:34.415: Algorithm - handleTransition - currentHedgeShortfall is NOT ZERO and AUTOHEDGE IS NOT ENABLED!</t>
  </si>
  <si>
    <t>2014-11-26 16:0:34.449: DirectionIndicator - notify - price/longMA/ShortMA/prevDirection are 1.57915/1.57913566887302/1.57912520239856/-1</t>
  </si>
  <si>
    <t>2014-11-26 16:0:34.453: Algorithm - handleTransition - currentHedgeShortfall is NOT ZERO and AUTOHEDGE IS NOT ENABLED!</t>
  </si>
  <si>
    <t>2014-11-26 16:0:34.582: DirectionIndicator - notify - price/longMA/ShortMA/prevDirection are 1.5791/1.57912918362338/1.57911680159904/-1</t>
  </si>
  <si>
    <t>2014-11-26 16:0:34.582: Algorithm - handleTransition - currentHedgeShortfall is NOT ZERO and AUTOHEDGE IS NOT ENABLED!</t>
  </si>
  <si>
    <t>2014-11-26 16:0:34.624: DirectionIndicator - notify - price/longMA/ShortMA/prevDirection are 1.57905/1.57911478660095/1.57909453439936/-1</t>
  </si>
  <si>
    <t>2014-11-26 16:0:34.625: Algorithm - handleTransition - currentHedgeShortfall is NOT ZERO and AUTOHEDGE IS NOT ENABLED!</t>
  </si>
  <si>
    <t>2014-11-26 16:0:34.785: RTWSControl  - tickOptionComputation - id:200042 tickType:13 impliedVol:8.22725698925808E-02 delta:-2.63604582803205E-02 optPrice:1.02054439253957E-04 pvDividend:0 gamma: 1.79769313486232E+308 theta/vega/undPrice: -1.41172668362113E-04-8.77468559467128E-05-1.5791</t>
  </si>
  <si>
    <t>2014-11-26 16:0:34.832: RTWSControl  - tickOptionComputation - id:200041 tickType:13 impliedVol:7.31947583410033E-02 delta:0.945086981192215 optPrice:1.43110067994366E-02 pvDividend:0 gamma: 1.79769313486232E+308 theta/vega/undPrice: -2.28720756622979E-04-1.49681022124247E-04-1.5791</t>
  </si>
  <si>
    <t>2014-11-26 16:0:34.855: RTWSControl  - tickOptionComputation - id:200043 tickType:13 impliedVol:7.31947583410033E-02 delta:-0.055025534769882 optPrice:2.11208076900752E-04 pvDividend:0 gamma: 1.79769313486232E+308 theta/vega/undPrice: -2.28813891716472E-04-1.49681274349398E-04-1.5791</t>
  </si>
  <si>
    <t>2014-11-26 16:0:34.893: RTWSControl  - tickOptionComputation - id:200044 tickType:13 impliedVol:0.06678338709429 delta:0.872204552722068 optPrice:9.62057936155634E-03 pvDividend:0 gamma: 1.79769313486232E+308 theta/vega/undPrice: -3.96715212460007E-04-2.97507349579758E-04-1.5791</t>
  </si>
  <si>
    <t>2014-11-26 16:0:34.925: RTWSControl  - tickOptionComputation - id:200046 tickType:13 impliedVol:0.06678338709429 delta:-0.127908115197041 optPrice:5.20709885364028E-04 pvDividend:0 gamma: 1.79769313486232E+308 theta/vega/undPrice: -3.967759498768E-04-2.97507637202379E-04-1.5791</t>
  </si>
  <si>
    <t>2014-11-26 16:0:34.963: RTWSControl  - tickOptionComputation - id:200045 tickType:13 impliedVol:6.30384561525261E-02 delta:0.705691354542281 optPrice:5.5292573362294E-03 pvDividend:0 gamma: 1.79769313486232E+308 theta/vega/undPrice: -6.1650048928057E-04-4.45204559100833E-04-1.5791</t>
  </si>
  <si>
    <t>2014-11-26 16:0:34.998: RTWSControl  - tickOptionComputation - id:200047 tickType:13 impliedVol:6.30384561525261E-02 delta:-0.294421741203021 optPrice:1.42931834430051E-03 pvDividend:0 gamma: 1.79769313486232E+308 theta/vega/undPrice: -6.16529367060327E-04-4.45205194876238E-04-1.5791</t>
  </si>
  <si>
    <t>2014-11-26 16:0:35.22: RTWSControl  - tickOptionComputation - id:200055 tickType:13 impliedVol:6.19599655156264E-02 delta:0.45362153122966 optPrice:2.5936365172166E-03 pvDividend:0 gamma: 1.79769313486232E+308 theta/vega/undPrice: -6.92911057305115E-04-4.83069941559337E-04-1.5791</t>
  </si>
  <si>
    <t>2014-11-26 16:0:35.58: RTWSControl  - tickOptionComputation - id:200049 tickType:13 impliedVol:6.86088779667777E-02 delta:0.705330595069717 optPrice:0.012315418681159 pvDividend:0 gamma: 1.79769313486232E+308 theta/vega/undPrice: -3.26163445259494E-04-9.14230911145061E-04-1.5791</t>
  </si>
  <si>
    <t>2014-11-26 16:0:35.89: RTWSControl  - tickOptionComputation - id:200050 tickType:13 impliedVol:6.86088779667777E-02 delta:-0.294739450254617 optPrice:3.21599186700982E-03 pvDividend:0 gamma: 1.79769313486232E+308 theta/vega/undPrice: -3.26227618004035E-04-9.14236465969991E-04-1.5791</t>
  </si>
  <si>
    <t>2014-11-26 16:0:35.126: RTWSControl  - tickOptionComputation - id:200051 tickType:13 impliedVol:0.070648085142901 delta:-0.298869364247643 optPrice:3.32902512612695E-03 pvDividend:0 gamma: 1.79769313486232E+308 theta/vega/undPrice: -3.38536816925921E-04-8.58596036837626E-04-1.5791</t>
  </si>
  <si>
    <t>2014-11-26 16:0:35.162: RTWSControl  - tickOptionComputation - id:200052 tickType:13 impliedVol:0.124552091906445 delta:-0.50779094357665 optPrice:1.27502393995778E-02 pvDividend:0 gamma: 1.79769313486232E+308 theta/vega/undPrice: -6.8583686659292E-04-9.86684251728132E-04-1.5791</t>
  </si>
  <si>
    <t>2014-11-26 16:0:35.188: RTWSControl  - tickOptionComputation - id:200048 tickType:13 impliedVol:8.46344605646259E-02 delta:-2.97592828187236E-02 optPrice:2.48793041997118E-04 pvDividend:0 gamma: 1.79769313486232E+308 theta/vega/undPrice: -7.79814493719858E-05-1.95244970986871E-04-1.5791</t>
  </si>
  <si>
    <t>2014-11-26 16:0:35.225: RTWSControl  - tickOptionComputation - id:200053 tickType:13 impliedVol:6.40410161161071E-02 delta:9.81577735370059E-02 optPrice:7.47278792502127E-04 pvDividend:0 gamma: 1.79769313486232E+308 theta/vega/undPrice: -1.51628368619548E-04-4.5933889179005E-04-1.5791</t>
  </si>
  <si>
    <t>2014-11-26 16:0:35.257: RTWSControl  - tickOptionComputation - id:200054 tickType:13 impliedVol:7.09308750126212E-02 delta:1.99597386069328E-03 optPrice:1.04755218833706E-05 pvDividend:0 gamma: 0.356303044933099 theta/vega/undPrice: -6.12170673610424E-06-3.16338447789925E-05-1.5791</t>
  </si>
  <si>
    <t>2014-11-26 16:0:35.569: DirectionIndicator - notify - price/longMA/ShortMA/prevDirection are 1.5791/1.57911209812805/1.57909635626624/-1</t>
  </si>
  <si>
    <t>2014-11-26 16:0:35.570: Algorithm - handleTransition - currentHedgeShortfall is NOT ZERO and AUTOHEDGE IS NOT ENABLED!</t>
  </si>
  <si>
    <t>2014-11-26 16:0:35.574: DirectionIndicator - notify - price/longMA/ShortMA/prevDirection are 1.57915/1.57911898937749/1.57911423751083/-1</t>
  </si>
  <si>
    <t>2014-11-26 16:0:35.574: Algorithm - handleTransition - currentHedgeShortfall is NOT ZERO and AUTOHEDGE IS NOT ENABLED!</t>
  </si>
  <si>
    <t>2014-11-26 16:0:35.612: RTWSControl  - tickOptionComputation - id:200042 tickType:13 impliedVol:8.16234242592486E-02 delta:-2.59871223451748E-02 optPrice:9.95810233867729E-05 pvDividend:0 gamma: 1.79769313486232E+308 theta/vega/undPrice: -1.38442678425288E-04-8.77440848961414E-05-1.579</t>
  </si>
  <si>
    <t>2014-11-26 16:0:35.630: RTWSControl  - tickOptionComputation - id:200042 tickType:10 impliedVol:9.28822466217851E-02 delta:-4.30269128575147E-02 optPrice:1.99999994947575E-04 pvDividend:0 gamma: 1.79769313486232E+308 theta/vega/undPrice: -2.40591157675716E-04-1.43161192270418E-04-1.579</t>
  </si>
  <si>
    <t>2014-11-26 16:0:35.652: RTWSControl  - tickOptionComputation - id:200042 tickType:11 impliedVol:9.28822466217851E-02 delta:-4.30269128575147E-02 optPrice:1.99999994947575E-04 pvDividend:0 gamma: 1.79769313486232E+308 theta/vega/undPrice: -2.40591157675716E-04-1.43161192270418E-04-1.579</t>
  </si>
  <si>
    <t>2014-11-26 16:0:35.669: RTWSControl  - tickOptionComputation - id:200041 tickType:13 impliedVol:7.26835619827853E-02 delta:0.945070316895605 optPrice:1.42095907682004E-02 pvDividend:0 gamma: 1.79769313486232E+308 theta/vega/undPrice: -2.2716305975442E-04-1.50178357089152E-04-1.579</t>
  </si>
  <si>
    <t>2014-11-26 16:0:35.690: RTWSControl  - tickOptionComputation - id:200041 tickType:10 impliedVol:0.063099784774753 delta:0.967233927993885 optPrice:1.41000002622604E-02 pvDividend:0 gamma: 1.79769313486232E+308 theta/vega/undPrice: -1.29458964859897E-04-1.15558757159344E-04-1.579</t>
  </si>
  <si>
    <t>2014-11-26 16:0:35.706: RTWSControl  - tickOptionComputation - id:200041 tickType:11 impliedVol:8.45540063653934E-02 delta:0.915918080477021 optPrice:1.43999997526407E-02 pvDividend:0 gamma: 1.79769313486232E+308 theta/vega/undPrice: -3.68196083092753E-04-2.15085752832349E-04-1.579</t>
  </si>
  <si>
    <t>2014-11-26 16:0:35.731: RTWSControl  - tickOptionComputation - id:200043 tickType:13 impliedVol:7.26835619827853E-02 delta:-5.50421990795939E-02 optPrice:2.09790618222794E-04 pvDividend:0 gamma: 1.79769313486232E+308 theta/vega/undPrice: -2.27255534388817E-04-1.50178608795962E-04-1.579</t>
  </si>
  <si>
    <t>2014-11-26 16:0:35.748: RTWSControl  - tickOptionComputation - id:200043 tickType:10 impliedVol:6.30670046195005E-02 delta:-3.26834368056417E-02 optPrice:9.99999974737875E-05 pvDividend:0 gamma: 1.79769313486232E+308 theta/vega/undPrice: -1.29255481983106E-04-1.1537694283059E-04-1.579</t>
  </si>
  <si>
    <t>2014-11-26 16:0:35.773: RTWSControl  - tickOptionComputation - id:200043 tickType:11 impliedVol:0.078974716401861 delta:-6.99391831413138E-02 optPrice:3.00000014249235E-04 pvDividend:0 gamma: 1.79769313486232E+308 theta/vega/undPrice: -2.99480353052668E-04-1.95283161305836E-04-1.579</t>
  </si>
  <si>
    <t>2014-11-26 16:0:35.794: RTWSControl  - tickOptionComputation - id:200044 tickType:13 impliedVol:6.64640455369749E-02 delta:0.870497803704517 optPrice:9.52712901010228E-03 pvDividend:0 gamma: 1.79769313486232E+308 theta/vega/undPrice: -3.98018951334449E-04-2.97497938747551E-04-1.579</t>
  </si>
  <si>
    <t>2014-11-26 16:0:35.817: RTWSControl  - tickOptionComputation - id:200044 tickType:10 impliedVol:6.09008412354114E-02 delta:0.889423436665477 optPrice:9.39999986439943E-03 pvDividend:0 gamma: 1.79769313486232E+308 theta/vega/undPrice: -3.24162165364603E-04-2.59122944829973E-04-1.579</t>
  </si>
  <si>
    <t>2014-11-26 16:0:35.848: RTWSControl  - tickOptionComputation - id:200044 tickType:11 impliedVol:7.56356888850043E-02 delta:0.83737283323011 optPrice:9.80000011622906E-03 pvDividend:0 gamma: 1.79769313486232E+308 theta/vega/undPrice: -5.23951965346371E-04-2.97497629038249E-04-1.579</t>
  </si>
  <si>
    <t>2014-11-26 16:0:35.865: RTWSControl  - tickOptionComputation - id:200046 tickType:13 impliedVol:6.64640455369749E-02 delta:-0.129614865994009 optPrice:5.27258111441068E-04 pvDividend:0 gamma: 1.79769313486232E+308 theta/vega/undPrice: -3.98079032054065E-04-2.97498226374922E-04-1.579</t>
  </si>
  <si>
    <t>2014-11-26 16:0:35.881: RTWSControl  - tickOptionComputation - id:200046 tickType:10 impliedVol:6.55367521465127E-02 delta:-0.125791333390879 optPrice:5.00000023748726E-04 pvDividend:0 gamma: 1.79769313486232E+308 theta/vega/undPrice: -3.85368142615378E-04-2.97169507593066E-04-1.579</t>
  </si>
  <si>
    <t>2014-11-26 16:0:35.901: RTWSControl  - tickOptionComputation - id:200046 tickType:11 impliedVol:6.88995671818587E-02 delta:-0.139224957568964 optPrice:6.00000028498471E-04 pvDividend:0 gamma: 1.79769313486232E+308 theta/vega/undPrice: -4.31520518197133E-04-2.97498144335069E-04-1.579</t>
  </si>
  <si>
    <t>2014-11-26 16:0:35.933: RTWSControl  - tickOptionComputation - id:200045 tickType:13 impliedVol:6.29648749218461E-02 delta:0.701142686030061 optPrice:5.45948413304434E-03 pvDividend:0 gamma: 1.79769313486232E+308 theta/vega/undPrice: -6.19242571465976E-04-4.45190463126486E-04-1.579</t>
  </si>
  <si>
    <t>2014-11-26 16:0:35.953: RTWSControl  - tickOptionComputation - id:200045 tickType:10 impliedVol:6.16287286396181E-02 delta:0.705183555643148 optPrice:5.40000014007092E-03 pvDividend:0 gamma: 1.79769313486232E+308 theta/vega/undPrice: -6.02994354165633E-04-4.45190525357164E-04-1.579</t>
  </si>
  <si>
    <t>2014-11-26 16:0:35.973: RTWSControl  - tickOptionComputation - id:200045 tickType:11 impliedVol:6.83674144073378E-02 delta:0.68601021656565 optPrice:5.70000009611249E-03 pvDividend:0 gamma: 1.79769313486232E+308 theta/vega/undPrice: -6.84940137878821E-04-4.45190201405673E-04-1.579</t>
  </si>
  <si>
    <t>2014-11-26 16:0:35.990: RTWSControl  - tickOptionComputation - id:200047 tickType:13 impliedVol:6.29648749218461E-02 delta:-0.298970416895319 optPrice:1.45954374606118E-03 pvDividend:0 gamma: 1.79769313486232E+308 theta/vega/undPrice: -6.19270804504627E-04-4.45191098881377E-04-1.579</t>
  </si>
  <si>
    <t>2014-11-26 16:0:36.23: RTWSControl  - tickOptionComputation - id:200047 tickType:10 impliedVol:6.16273872431796E-02 delta:-0.294798881717787 optPrice:1.39999995008111E-03 pvDividend:0 gamma: 1.79769313486232E+308 theta/vega/undPrice: -6.0300622062049E-04-4.45191161174385E-04-1.579</t>
  </si>
  <si>
    <t>2014-11-26 16:0:36.39: RTWSControl  - tickOptionComputation - id:200047 tickType:11 impliedVol:6.61198383432641E-02 delta:-0.308018053354312 optPrice:1.5999999595806E-03 pvDividend:0 gamma: 1.79769313486232E+308 theta/vega/undPrice: -6.57636868413946E-04-4.45190948244858E-04-1.579</t>
  </si>
  <si>
    <t>2014-11-26 16:0:36.60: RTWSControl  - tickOptionComputation - id:200055 tickType:13 impliedVol:6.21860501373988E-02 delta:0.448548440081589 optPrice:2.56007727513934E-03 pvDividend:0 gamma: 1.79769313486232E+308 theta/vega/undPrice: -6.94138765102061E-04-4.83054633543545E-04-1.579</t>
  </si>
  <si>
    <t>2014-11-26 16:0:36.87: RTWSControl  - tickOptionComputation - id:200055 tickType:10 impliedVol:5.88711738054308E-02 delta:0.445486592871661 optPrice:2.40000011399388E-03 pvDividend:0 gamma: 1.79769313486232E+308 theta/vega/undPrice: -6.56432839836538E-04-4.83054792017443E-04-1.579</t>
  </si>
  <si>
    <t>2014-11-26 16:0:36.109: RTWSControl  - tickOptionComputation - id:200055 tickType:11 impliedVol:6.30117522241402E-02 delta:0.449191932862228 optPrice:2.60000000707805E-03 pvDividend:0 gamma: 1.79769313486232E+308 theta/vega/undPrice: -7.03530923603858E-04-4.83054592845068E-04-1.579</t>
  </si>
  <si>
    <t>2014-11-26 16:0:36.125: RTWSControl  - tickOptionComputation - id:200049 tickType:13 impliedVol:6.88853164773526E-02 delta:0.70244069472329 optPrice:1.22740864045943E-02 pvDividend:0 gamma: 1.79769313486232E+308 theta/vega/undPrice: -3.2864772369905E-04-9.14201828706851E-04-1.579</t>
  </si>
  <si>
    <t>2014-11-26 16:0:36.144: RTWSControl  - tickOptionComputation - id:200049 tickType:10 impliedVol:6.91687673447871E-02 delta:0.701576158125999 optPrice:1.22999995946884E-02 pvDividend:0 gamma: 1.79769313486232E+308 theta/vega/undPrice: -3.30320582663224E-04-9.14201702641235E-04-1.579</t>
  </si>
  <si>
    <t>2014-11-26 16:0:36.178: RTWSControl  - tickOptionComputation - id:200049 tickType:11 impliedVol:7.24503181753755E-02 delta:0.693041878525671 optPrice:1.26000000163913E-02 pvDividend:0 gamma: 1.79769313486232E+308 theta/vega/undPrice: -3.4968746659649E-04-9.14200214952256E-04-1.579</t>
  </si>
  <si>
    <t>2014-11-26 16:0:36.195: RTWSControl  - tickOptionComputation - id:200050 tickType:13 impliedVol:6.88853164773526E-02 delta:-0.297629370455144 optPrice:3.27465386279944E-03 pvDividend:0 gamma: 1.79769313486232E+308 theta/vega/undPrice: -3.28711279660572E-04-9.14207383430829E-04-1.579</t>
  </si>
  <si>
    <t>2014-11-26 16:0:36.209: RTWSControl  - tickOptionComputation - id:200050 tickType:10 impliedVol:6.91625627687199E-02 delta:-0.298350583006345 optPrice:3.29999998211861E-03 pvDividend:0 gamma: 1.79769313486232E+308 theta/vega/undPrice: -3.30347544551388E-04-9.14207260147624E-04-1.579</t>
  </si>
  <si>
    <t>2014-11-26 16:0:36.229: RTWSControl  - tickOptionComputation - id:200050 tickType:11 impliedVol:7.02564049841697E-02 delta:-0.301285431751092 optPrice:3.40000004507601E-03 pvDividend:0 gamma: 1.79769313486232E+308 theta/vega/undPrice: -3.36803227527666E-04-9.14206770137654E-04-1.579</t>
  </si>
  <si>
    <t>2014-11-26 16:0:36.256: RTWSControl  - tickOptionComputation - id:200051 tickType:13 impliedVol:7.11241169767902E-02 delta:-0.302050001819311 optPrice:3.40003671372422E-03 pvDividend:0 gamma: 1.79769313486232E+308 theta/vega/undPrice: -3.42429747973319E-04-8.62657177349124E-04-1.579</t>
  </si>
  <si>
    <t>2014-11-26 16:0:36.274: RTWSControl  - tickOptionComputation - id:200051 tickType:10 impliedVol:6.87954354598355E-02 delta:-0.296046715948256 optPrice:3.1999999191612E-03 pvDividend:0 gamma: 1.79769313486232E+308 theta/vega/undPrice: -3.28232018409103E-04-8.54878602424545E-04-1.579</t>
  </si>
  <si>
    <t>2014-11-26 16:0:36.288: RTWSControl  - tickOptionComputation - id:200051 tickType:11 impliedVol:7.11245794464522E-02 delta:-0.302012970704934 optPrice:3.40000004507601E-03 pvDividend:0 gamma: 1.79769313486232E+308 theta/vega/undPrice: -3.42432560369446E-04-8.62658653345828E-04-1.579</t>
  </si>
  <si>
    <t>2014-11-26 16:0:36.306: RTWSControl  - tickOptionComputation - id:200052 tickType:13 impliedVol:0.123518304906117 delta:-0.509226145526344 optPrice:1.26990839498084E-02 pvDividend:0 gamma: 1.79769313486232E+308 theta/vega/undPrice: -6.80048970410296E-04-9.8654635821036E-04-1.579</t>
  </si>
  <si>
    <t>2014-11-26 16:0:36.330: RTWSControl  - tickOptionComputation - id:200052 tickType:10 impliedVol:1.79769313486232E+308 delta:1.79769313486232E+308 optPrice:1.79769313486232E+308 pvDividend:0 gamma: 1.79769313486232E+308 theta/vega/undPrice: 1.79769313486232E+308-1.79769313486232E+308-1.579</t>
  </si>
  <si>
    <t>2014-11-26 16:0:36.338: RTWSControl  - tickOptionComputation - id:200052 tickType:11 impliedVol:1.79769313486232E+308 delta:1.79769313486232E+308 optPrice:1.79769313486232E+308 pvDividend:0 gamma: 1.79769313486232E+308 theta/vega/undPrice: 1.79769313486232E+308-1.79769313486232E+308-1.579</t>
  </si>
  <si>
    <t>2014-11-26 16:0:36.349: RTWSControl  - tickOptionComputation - id:200048 tickType:13 impliedVol:8.39184462540281E-02 delta:-2.89614758249316E-02 optPrice:2.39151143843345E-04 pvDividend:0 gamma: 1.79769313486232E+308 theta/vega/undPrice: -7.55966722915586E-05-1.89796909627069E-04-1.579</t>
  </si>
  <si>
    <t>2014-11-26 16:0:36.367: RTWSControl  - tickOptionComputation - id:200048 tickType:10 impliedVol:8.16805903704207E-02 delta:-2.52785183595934E-02 optPrice:1.99999994947575E-04 pvDividend:0 gamma: 1.79769313486232E+308 theta/vega/undPrice: -6.5859307417284E-05-1.79308762583458E-04-1.579</t>
  </si>
  <si>
    <t>2014-11-26 16:0:36.385: RTWSControl  - tickOptionComputation - id:200048 tickType:11 impliedVol:8.73119691504086E-02 delta:-3.41760594410159E-02 optPrice:3.00000014249235E-04 pvDividend:0 gamma: 1.79769313486232E+308 theta/vega/undPrice: -9.03625459919223E-05-2.28227267233382E-04-1.579</t>
  </si>
  <si>
    <t>2014-11-26 16:0:36.437: RTWSControl  - tickOptionComputation - id:200053 tickType:13 impliedVol:6.44969476950461E-02 delta:9.86937437379228E-02 optPrice:7.57451125784956E-04 pvDividend:0 gamma: 1.79769313486232E+308 theta/vega/undPrice: -1.53308449352254E-04-4.61074537835325E-04-1.579</t>
  </si>
  <si>
    <t>2014-11-26 16:0:36.469: RTWSControl  - tickOptionComputation - id:200053 tickType:10 impliedVol:6.32125646753165E-02 delta:0.09396821145323 optPrice:6.99999975040555E-04 pvDividend:0 gamma: 1.79769313486232E+308 theta/vega/undPrice: -1.4499495122358E-04-4.4730462856597E-04-1.579</t>
  </si>
  <si>
    <t>2014-11-26 16:0:36.507: RTWSControl  - tickOptionComputation - id:200053 tickType:11 impliedVol:6.54541659650646E-02 delta:0.102073959948189 optPrice:7.999999797903E-04 pvDividend:0 gamma: 1.79769313486232E+308 theta/vega/undPrice: -1.5950428487899E-04-4.77385478086666E-04-1.579</t>
  </si>
  <si>
    <t>2014-11-26 16:0:36.540: RTWSControl  - tickOptionComputation - id:200054 tickType:13 impliedVol:7.07533399071085E-02 delta:1.90596388912441E-03 optPrice:9.93170205885767E-06 pvDividend:0 gamma: 0.342840982251678 theta/vega/undPrice: -5.86022121767839E-06-3.04477655651142E-05-1.579</t>
  </si>
  <si>
    <t>2014-11-26 16:0:36.559: RTWSControl  - tickOptionComputation - id:200054 tickType:10 impliedVol:1.79769313486232E+308 delta:1.79769313486232E+308 optPrice:1.79769313486232E+308 pvDividend:0 gamma: 1.79769313486232E+308 theta/vega/undPrice: 1.79769313486232E+308-1.79769313486232E+308-1.579</t>
  </si>
  <si>
    <t>2014-11-26 16:0:36.588: RTWSControl  - tickOptionComputation - id:200054 tickType:11 impliedVol:9.02941207272519E-02 delta:1.25579521330202E-02 optPrice:9.99999974737875E-05 pvDividend:0 gamma: 1.79769313486232E+308 theta/vega/undPrice: -4.0021818874162E-05-1.03765800297528E-04-1.579</t>
  </si>
  <si>
    <t>2014-11-26 16:0:37.110: RTWSControl  - tickOptionComputation - id:200042 tickType:10 impliedVol:9.37250774330869E-02 delta:-4.27502900810338E-02 optPrice:1.99999994947575E-04 pvDividend:0 gamma: 1.79769313486232E+308 theta/vega/undPrice: -2.41645845772336E-04-1.43170240956021E-04-1.5792</t>
  </si>
  <si>
    <t>2014-11-26 16:0:37.130: RTWSControl  - tickOptionComputation - id:200042 tickType:11 impliedVol:9.37250774330869E-02 delta:-4.27502900810338E-02 optPrice:1.99999994947575E-04 pvDividend:0 gamma: 1.79769313486232E+308 theta/vega/undPrice: -2.41645845772336E-04-1.43170240956021E-04-1.5792</t>
  </si>
  <si>
    <t>2014-11-26 16:0:37.179: RTWSControl  - tickOptionComputation - id:200042 tickType:13 impliedVol:8.16234242592486E-02 delta:-2.45348109450775E-02 optPrice:9.31357494491828E-05 pvDividend:0 gamma: 1.79769313486232E+308 theta/vega/undPrice: -1.32206395982513E-04-8.77496413712977E-05-1.5792</t>
  </si>
  <si>
    <t>2014-11-26 16:0:37.207: RTWSControl  - tickOptionComputation - id:200041 tickType:10 impliedVol:0.036356968141138 delta:0.999474131692578 optPrice:1.42000000923872E-02 pvDividend:0 gamma: 0.405724015117386 theta/vega/undPrice: -1.73867704518471E-06-8.48852273985061E-06-1.5792</t>
  </si>
  <si>
    <t>2014-11-26 16:0:37.243: RTWSControl  - tickOptionComputation - id:200041 tickType:11 impliedVol:7.98130956921968E-02 delta:0.93066687608032 optPrice:1.44999995827675E-02 pvDividend:0 gamma: 1.79769313486232E+308 theta/vega/undPrice: -3.00395449917582E-04-1.929719044278E-04-1.5792</t>
  </si>
  <si>
    <t>2014-11-26 16:0:37.285: RTWSControl  - tickOptionComputation - id:200041 tickType:13 impliedVol:7.26835619827853E-02 delta:0.947736054870898 optPrice:1.43977621960101E-02 pvDividend:0 gamma: 1.79769313486232E+308 theta/vega/undPrice: -2.18540636283324E-04-1.43399799968335E-04-1.5792</t>
  </si>
  <si>
    <t>2014-11-26 16:0:37.311: RTWSControl  - tickOptionComputation - id:200043 tickType:10 impliedVol:6.38012522111124E-02 delta:-3.23438306304651E-02 optPrice:9.99999974737875E-05 pvDividend:0 gamma: 1.79769313486232E+308 theta/vega/undPrice: -1.29634235124912E-04-1.14082936700758E-04-1.5792</t>
  </si>
  <si>
    <t>2014-11-26 16:0:37.345: RTWSControl  - tickOptionComputation - id:200043 tickType:11 impliedVol:7.97619483738533E-02 delta:-6.92084438803808E-02 optPrice:3.00000014249235E-04 pvDividend:0 gamma: 1.79769313486232E+308 theta/vega/undPrice: -2.99902096904799E-04-1.92605478942985E-04-1.5792</t>
  </si>
  <si>
    <t>2014-11-26 16:0:37.372: RTWSControl  - tickOptionComputation - id:200043 tickType:13 impliedVol:7.26835619827853E-02 delta:-5.23764591625021E-02 optPrice:1.97964890872401E-04 pvDividend:0 gamma: 1.79769313486232E+308 theta/vega/undPrice: -2.18634418683434E-04-1.43399898889471E-04-1.5792</t>
  </si>
  <si>
    <t>2014-11-26 16:0:37.393: RTWSControl  - tickOptionComputation - id:200044 tickType:10 impliedVol:6.18134423912604E-02 delta:0.890954632741772 optPrice:9.60000045597553E-03 pvDividend:0 gamma: 1.79769313486232E+308 theta/vega/undPrice: -3.25604036418687E-04-2.54703966910656E-04-1.5792</t>
  </si>
  <si>
    <t>2014-11-26 16:0:37.433: RTWSControl  - tickOptionComputation - id:200044 tickType:11 impliedVol:0.073353457845585 delta:0.850294211993589 optPrice:9.89999994635582E-03 pvDividend:0 gamma: 1.79769313486232E+308 theta/vega/undPrice: -4.81244043000671E-04-2.97516544689047E-04-1.5792</t>
  </si>
  <si>
    <t>2014-11-26 16:0:37.468: RTWSControl  - tickOptionComputation - id:200044 tickType:13 impliedVol:6.64640455369749E-02 delta:0.875896385799762 optPrice:9.69967217184561E-03 pvDividend:0 gamma: 1.79769313486232E+308 theta/vega/undPrice: -3.86947776580679E-04-2.92873020046979E-04-1.5792</t>
  </si>
  <si>
    <t>2014-11-26 16:0:37.500: RTWSControl  - tickOptionComputation - id:200046 tickType:10 impliedVol:6.18198896104591E-02 delta:-0.109054150215209 optPrice:3.9999998989515E-04 pvDividend:0 gamma: 1.79769313486232E+308 theta/vega/undPrice: -3.25750181476443E-04-2.5475733567694E-04-1.5792</t>
  </si>
  <si>
    <t>2014-11-26 16:0:37.524: RTWSControl  - tickOptionComputation - id:200046 tickType:11 impliedVol:6.99752437395765E-02 delta:-0.13751924490069 optPrice:6.00000028498471E-04 pvDividend:0 gamma: 1.79769313486232E+308 theta/vega/undPrice: -4.3491736099069E-04-2.97516948925038E-04-1.5792</t>
  </si>
  <si>
    <t>2014-11-26 16:0:37.559: RTWSControl  - tickOptionComputation - id:200046 tickType:13 impliedVol:6.64640455369749E-02 delta:-0.124216221452622 optPrice:4.99803881357943E-04 pvDividend:0 gamma: 1.79769313486232E+308 theta/vega/undPrice: -3.87008971496289E-04-2.92873526046985E-04-1.5792</t>
  </si>
  <si>
    <t>2014-11-26 16:0:37.593: RTWSControl  - tickOptionComputation - id:200045 tickType:10 impliedVol:6.08243520817222E-02 delta:0.717504145264247 optPrice:5.49999997019768E-03 pvDividend:0 gamma: 1.79769313486232E+308 theta/vega/undPrice: -5.85641895496217E-04-4.43374156599279E-04-1.5792</t>
  </si>
  <si>
    <t>2014-11-26 16:0:37.629: RTWSControl  - tickOptionComputation - id:200045 tickType:11 impliedVol:6.53812122720882E-02 delta:0.703215372686306 optPrice:5.70000009611249E-03 pvDividend:0 gamma: 1.79769313486232E+308 theta/vega/undPrice: -6.4135451697333E-04-4.45218545842777E-04-1.5792</t>
  </si>
  <si>
    <t>2014-11-26 16:0:37.662: RTWSControl  - tickOptionComputation - id:200045 tickType:13 impliedVol:6.29648749218461E-02 delta:0.710695217188162 optPrice:5.59247879611221E-03 pvDividend:0 gamma: 1.79769313486232E+308 theta/vega/undPrice: -6.11968780470952E-04-4.45218662021236E-04-1.5792</t>
  </si>
  <si>
    <t>2014-11-26 16:0:37.682: RTWSControl  - tickOptionComputation - id:200047 tickType:10 impliedVol:6.31343496881235E-02 delta:-0.289918130936484 optPrice:1.39999995008111E-03 pvDividend:0 gamma: 1.79769313486232E+308 theta/vega/undPrice: -6.14059333280202E-04-4.4521928977302E-04-1.5792</t>
  </si>
  <si>
    <t>2014-11-26 16:0:37.718: RTWSControl  - tickOptionComputation - id:200047 tickType:11 impliedVol:6.53739456934896E-02 delta:-0.296749902837743 optPrice:1.50000001303852E-03 pvDividend:0 gamma: 1.79769313486232E+308 theta/vega/undPrice: -6.41295760887816E-04-4.45219181995201E-04-1.5792</t>
  </si>
  <si>
    <t>2014-11-26 16:0:37.747: RTWSControl  - tickOptionComputation - id:200047 tickType:13 impliedVol:6.29648749218461E-02 delta:-0.289417870659614 optPrice:1.39254118988194E-03 pvDividend:0 gamma: 1.79769313486232E+308 theta/vega/undPrice: -6.11998296993153E-04-4.45219297815236E-04-1.5792</t>
  </si>
  <si>
    <t>2014-11-26 16:0:37.767: RTWSControl  - tickOptionComputation - id:200055 tickType:10 impliedVol:0.059091493726944 delta:0.456742202157784 optPrice:2.49999994412065E-03 pvDividend:0 gamma: 1.79769313486232E+308 theta/vega/undPrice: -6.61624760109289E-04-4.83085375177397E-04-1.5792</t>
  </si>
  <si>
    <t>2014-11-26 16:0:37.805: RTWSControl  - tickOptionComputation - id:200055 tickType:11 impliedVol:6.32332675190445E-02 delta:0.459698592093845 optPrice:2.70000007003546E-03 pvDividend:0 gamma: 1.79769313486232E+308 theta/vega/undPrice: -7.08739421880133E-04-4.8308517596699E-04-1.5792</t>
  </si>
  <si>
    <t>2014-11-26 16:0:37.841: RTWSControl  - tickOptionComputation - id:200055 tickType:13 impliedVol:6.21860501373988E-02 delta:0.459045518578441 optPrice:2.64903870681983E-03 pvDividend:0 gamma: 1.79769313486232E+308 theta/vega/undPrice: -6.96826827238054E-04-4.83085227497207E-04-1.5792</t>
  </si>
  <si>
    <t>2014-11-26 16:0:37.867: RTWSControl  - tickOptionComputation - id:200049 tickType:10 impliedVol:6.88050631761059E-02 delta:0.706813829802865 optPrice:1.24000003561378E-02 pvDividend:0 gamma: 1.79769313486232E+308 theta/vega/undPrice: -3.26468552877776E-04-9.14259783673984E-04-1.5792</t>
  </si>
  <si>
    <t>2014-11-26 16:0:37.888: RTWSControl  - tickOptionComputation - id:200049 tickType:11 impliedVol:7.09886855141111E-02 delta:0.700855547798045 optPrice:1.26000000163913E-02 pvDividend:0 gamma: 1.79769313486232E+308 theta/vega/undPrice: -3.39356570927546E-04-9.14258799027023E-04-1.5792</t>
  </si>
  <si>
    <t>2014-11-26 16:0:37.935: RTWSControl  - tickOptionComputation - id:200049 tickType:13 impliedVol:6.88853164773526E-02 delta:0.706677421448833 optPrice:1.24072968012339E-02 pvDividend:0 gamma: 1.79769313486232E+308 theta/vega/undPrice: -3.26942218706687E-04-9.14259747892643E-04-1.5792</t>
  </si>
  <si>
    <t>2014-11-26 16:0:38.3: RTWSControl  - tickOptionComputation - id:200050 tickType:10 impliedVol:6.87952503695015E-02 delta:-0.293102148807322 optPrice:3.1999999191612E-03 pvDividend:0 gamma: 1.79769313486232E+308 theta/vega/undPrice: -3.26475465687106E-04-9.14265343000523E-04-1.5792</t>
  </si>
  <si>
    <t>2014-11-26 16:0:38.24: RTWSControl  - tickOptionComputation - id:200050 tickType:11 impliedVol:7.09864913321021E-02 delta:-0.299082308894062 optPrice:3.40000004507601E-03 pvDividend:0 gamma: 1.79769313486232E+308 theta/vega/undPrice: -3.39408638347961E-04-9.14264355140074E-04-1.5792</t>
  </si>
  <si>
    <t>2014-11-26 16:0:38.57: RTWSControl  - tickOptionComputation - id:200050 tickType:13 impliedVol:6.88853164773526E-02 delta:-0.293392614606364 optPrice:3.20787602181895E-03 pvDividend:0 gamma: 1.79769313486232E+308 theta/vega/undPrice: -3.2700705577444E-04-9.14265302853364E-04-1.5792</t>
  </si>
  <si>
    <t>2014-11-26 16:0:38.88: RTWSControl  - tickOptionComputation - id:200051 tickType:10 impliedVol:6.83044336050011E-02 delta:-0.290674808926656 optPrice:3.10000008903444E-03 pvDividend:0 gamma: 1.79769313486232E+308 theta/vega/undPrice: -3.23177182174677E-04-8.47763023559936E-04-1.5792</t>
  </si>
  <si>
    <t>2014-11-26 16:0:38.124: RTWSControl  - tickOptionComputation - id:200051 tickType:11 impliedVol:7.18241375652942E-02 delta:-0.299814604946247 optPrice:3.40000004507601E-03 pvDividend:0 gamma: 1.79769313486232E+308 theta/vega/undPrice: -3.44707118625277E-04-8.59930370087867E-04-1.5792</t>
  </si>
  <si>
    <t>2014-11-26 16:0:38.147: RTWSControl  - tickOptionComputation - id:200051 tickType:13 impliedVol:7.11241169767902E-02 delta:-0.298097300049735 optPrice:3.34002980175051E-03 pvDividend:0 gamma: 1.79769313486232E+308 theta/vega/undPrice: -3.40438625463492E-04-8.57640427018062E-04-1.5792</t>
  </si>
  <si>
    <t>2014-11-26 16:0:38.177: RTWSControl  - tickOptionComputation - id:200052 tickType:10 impliedVol:1.79769313486232E+308 delta:1.79769313486232E+308 optPrice:1.79769313486232E+308 pvDividend:0 gamma: 1.79769313486232E+308 theta/vega/undPrice: 1.79769313486232E+308-1.79769313486232E+308-1.5792</t>
  </si>
  <si>
    <t>2014-11-26 16:0:38.226: RTWSControl  - tickOptionComputation - id:200052 tickType:11 impliedVol:1.79769313486232E+308 delta:1.79769313486232E+308 optPrice:1.79769313486232E+308 pvDividend:0 gamma: 1.79769313486232E+308 theta/vega/undPrice: 1.79769313486232E+308-1.79769313486232E+308-1.5792</t>
  </si>
  <si>
    <t>2014-11-26 16:0:38.282: RTWSControl  - tickOptionComputation - id:200052 tickType:13 impliedVol:0.123518304906117 delta:-0.506615317786044 optPrice:1.25975207440272E-02 pvDividend:0 gamma: 1.79769313486232E+308 theta/vega/undPrice: -6.80223809950295E-04-9.86798997024816E-04-1.5792</t>
  </si>
  <si>
    <t>2014-11-26 16:0:38.302: RTWSControl  - tickOptionComputation - id:200048 tickType:10 impliedVol:8.20871226178355E-02 delta:-2.52646238770613E-02 optPrice:1.99999994947575E-04 pvDividend:0 gamma: 1.79769313486232E+308 theta/vega/undPrice: -6.61660253065549E-05-1.79320077366168E-04-1.5792</t>
  </si>
  <si>
    <t>2014-11-26 16:0:38.350: RTWSControl  - tickOptionComputation - id:200048 tickType:11 impliedVol:8.76650070061894E-02 delta:-3.40422321256432E-02 optPrice:3.00000014249235E-04 pvDividend:0 gamma: 1.79769313486232E+308 theta/vega/undPrice: -9.04380292962766E-05-2.26906379463852E-04-1.5792</t>
  </si>
  <si>
    <t>2014-11-26 16:0:38.412: RTWSControl  - tickOptionComputation - id:200048 tickType:13 impliedVol:8.39184462540281E-02 delta:-2.82791797548856E-02 optPrice:2.32756566289729E-04 pvDividend:0 gamma: 1.79769313486232E+308 theta/vega/undPrice: -7.41349894595294E-05-1.84475317412185E-04-1.5792</t>
  </si>
  <si>
    <t>2014-11-26 16:0:38.434: RTWSControl  - tickOptionComputation - id:200053 tickType:13 impliedVol:6.44969476950461E-02 delta:0.10090917583178 optPrice:7.77895878140528E-04 pvDividend:0 gamma: 1.79769313486232E+308 theta/vega/undPrice: -1.55850740912655E-04-4.73141837664455E-04-1.5792</t>
  </si>
  <si>
    <t>2014-11-26 16:0:38.472: RTWSControl  - tickOptionComputation - id:200053 tickType:10 impliedVol:6.27509306770622E-02 delta:9.45044783408807E-02 optPrice:6.99999975040555E-04 pvDividend:0 gamma: 1.79769313486232E+308 theta/vega/undPrice: -1.44548481007394E-04-4.47333048035685E-04-1.5792</t>
  </si>
  <si>
    <t>2014-11-26 16:0:38.501: RTWSControl  - tickOptionComputation - id:200053 tickType:11 impliedVol:6.49988621014924E-02 delta:0.102670562108461 optPrice:7.999999797903E-04 pvDividend:0 gamma: 1.79769313486232E+308 theta/vega/undPrice: -1.59099714155121E-04-4.81694970109718E-04-1.5792</t>
  </si>
  <si>
    <t>2014-11-26 16:0:38.533: RTWSControl  - tickOptionComputation - id:200054 tickType:13 impliedVol:7.07533399071085E-02 delta:1.98145738275286E-03 optPrice:1.03644978146358E-05 pvDividend:0 gamma: 0.354930318415717 theta/vega/undPrice: -6.06840212112852E-06-3.15766606061965E-05-1.5792</t>
  </si>
  <si>
    <t>2014-11-26 16:0:38.554: RTWSControl  - tickOptionComputation - id:200054 tickType:10 impliedVol:1.79769313486232E+308 delta:1.79769313486232E+308 optPrice:1.79769313486232E+308 pvDividend:0 gamma: 1.79769313486232E+308 theta/vega/undPrice: 1.79769313486232E+308-1.79769313486232E+308-1.5792</t>
  </si>
  <si>
    <t>2014-11-26 16:0:38.582: RTWSControl  - tickOptionComputation - id:200054 tickType:11 impliedVol:8.99762453639597E-02 delta:1.26000516930203E-02 optPrice:9.99999974737875E-05 pvDividend:0 gamma: 1.79769313486232E+308 theta/vega/undPrice: -3.9997460464517E-05-1.03772391933674E-04-1.5792</t>
  </si>
  <si>
    <t>2014-11-26 16:0:38.960: DirectionIndicator - notify - price/longMA/ShortMA/prevDirection are 1.5791/1.5791155367634/1.57910949167388/-1</t>
  </si>
  <si>
    <t>2014-11-26 16:0:38.961: Algorithm - handleTransition - currentHedgeShortfall is NOT ZERO and AUTOHEDGE IS NOT ENABLED!</t>
  </si>
  <si>
    <t>2014-11-26 16:0:38.992: DirectionIndicator - notify - price/longMA/ShortMA/prevDirection are 1.57905/1.57910362098824/1.57908966111592/-1</t>
  </si>
  <si>
    <t>2014-11-26 16:0:38.996: Algorithm - handleTransition - currentHedgeShortfall is NOT ZERO and AUTOHEDGE IS NOT ENABLED!</t>
  </si>
  <si>
    <t>2014-11-26 16:0:39.210: DirectionIndicator - notify - price/longMA/ShortMA/prevDirection are 1.5791/1.57910296262674/1.57909310741062/-1</t>
  </si>
  <si>
    <t>2014-11-26 16:0:39.211: Algorithm - handleTransition - currentHedgeShortfall is NOT ZERO and AUTOHEDGE IS NOT ENABLED!</t>
  </si>
  <si>
    <t>2014-11-26 16:0:39.424: DirectionIndicator - notify - price/longMA/ShortMA/prevDirection are 1.57915/1.57911151487643/1.57911207160708/-1</t>
  </si>
  <si>
    <t>2014-11-26 16:0:39.424: Algorithm - handleTransition - currentHedgeShortfall is NOT ZERO and AUTOHEDGE IS NOT ENABLED!</t>
  </si>
  <si>
    <t>2014-11-26 16:0:39.874: RTWSControl  - tickOptionComputation - id:200042 tickType:13 impliedVol:0.081940507927726 delta:-2.50768681657205E-02 optPrice:9.59181490905554E-05 pvDividend:0 gamma: 1.79769313486232E+308 theta/vega/undPrice: -1.35063082646152E-04-8.77496377783826E-05-1.5792</t>
  </si>
  <si>
    <t>2014-11-26 16:0:39.926: RTWSControl  - tickOptionComputation - id:200041 tickType:13 impliedVol:7.28450961629221E-02 delta:0.947315174813622 optPrice:1.44000785942064E-02 pvDividend:0 gamma: 1.79769313486232E+308 theta/vega/undPrice: -2.2039522576799E-04-1.43399797439634E-04-1.5792</t>
  </si>
  <si>
    <t>2014-11-26 16:0:39.992: RTWSControl  - tickOptionComputation - id:200043 tickType:13 impliedVol:7.28450961629221E-02 delta:-5.27973395260456E-02 optPrice:2.00281290655315E-04 pvDividend:0 gamma: 1.79769313486232E+308 theta/vega/undPrice: -2.20489010246078E-04-1.43399898607709E-04-1.5792</t>
  </si>
  <si>
    <t>2014-11-26 16:0:40.42: RTWSControl  - tickOptionComputation - id:200044 tickType:13 impliedVol:0.066533627058476 delta:0.875685538592238 optPrice:9.7011712591561E-03 pvDividend:0 gamma: 1.79769313486232E+308 theta/vega/undPrice: -3.87865590698153E-04-2.93444098566588E-04-1.5792</t>
  </si>
  <si>
    <t>2014-11-26 16:0:40.78: RTWSControl  - tickOptionComputation - id:200044 tickType:10 impliedVol:5.71960668621629E-02 delta:0.908460730907699 optPrice:9.4999996945262E-03 pvDividend:0 gamma: 1.79769313486232E+308 theta/vega/undPrice: -2.6469854146837E-04-2.16807590937246E-04-1.5792</t>
  </si>
  <si>
    <t>2014-11-26 16:0:40.104: RTWSControl  - tickOptionComputation - id:200046 tickType:13 impliedVol:0.066533627058476 delta:-0.124427068881674 optPrice:5.01302969956733E-04 pvDividend:0 gamma: 1.79769313486232E+308 theta/vega/undPrice: -3.87926787242261E-04-2.93444605281639E-04-1.5792</t>
  </si>
  <si>
    <t>2014-11-26 16:0:40.135: RTWSControl  - tickOptionComputation - id:200045 tickType:13 impliedVol:6.30061006143308E-02 delta:0.710564343228708 optPrice:5.59431424183095E-03 pvDividend:0 gamma: 1.79769313486232E+308 theta/vega/undPrice: -6.12470137496456E-04-4.45218660067152E-04-1.5792</t>
  </si>
  <si>
    <t>2014-11-26 16:0:40.167: RTWSControl  - tickOptionComputation - id:200047 tickType:13 impliedVol:6.30061006143308E-02 delta:-0.289548744825279 optPrice:1.39437663822135E-03 pvDividend:0 gamma: 1.79769313486232E+308 theta/vega/undPrice: -6.12499655699025E-04-4.45219295861362E-04-1.5792</t>
  </si>
  <si>
    <t>2014-11-26 16:0:40.207: RTWSControl  - tickOptionComputation - id:200055 tickType:13 impliedVol:6.22625168306001E-02 delta:0.45909824038999 optPrice:2.65273270161611E-03 pvDividend:0 gamma: 1.79769313486232E+308 theta/vega/undPrice: -6.97696672273354E-04-4.83085223761065E-04-1.5792</t>
  </si>
  <si>
    <t>2014-11-26 16:0:40.227: RTWSControl  - tickOptionComputation - id:200049 tickType:13 impliedVol:6.92502082839397E-02 delta:0.705657581389474 optPrice:1.24406574674453E-02 pvDividend:0 gamma: 1.79769313486232E+308 theta/vega/undPrice: -3.29095858894465E-04-9.14259584809779E-04-1.5792</t>
  </si>
  <si>
    <t>2014-11-26 16:0:40.260: RTWSControl  - tickOptionComputation - id:200049 tickType:10 impliedVol:6.77213239976541E-02 delta:0.709915133664968 optPrice:1.22999995946884E-02 pvDividend:0 gamma: 1.79769313486232E+308 theta/vega/undPrice: -3.20072173446677E-04-9.14260263819067E-04-1.5792</t>
  </si>
  <si>
    <t>2014-11-26 16:0:40.284: RTWSControl  - tickOptionComputation - id:200050 tickType:13 impliedVol:6.92502082839397E-02 delta:-0.294412461661465 optPrice:3.24123689070837E-03 pvDividend:0 gamma: 1.79769313486232E+308 theta/vega/undPrice: -3.29160727338811E-04-9.14265139800434E-04-1.5792</t>
  </si>
  <si>
    <t>2014-11-26 16:0:40.307: RTWSControl  - tickOptionComputation - id:200051 tickType:13 impliedVol:7.18241370406858E-02 delta:-0.29985250758951 optPrice:3.40014703333535E-03 pvDividend:0 gamma: 1.79769313486232E+308 theta/vega/undPrice: -3.44707115428822E-04-8.59930368394537E-04-1.5792</t>
  </si>
  <si>
    <t>2014-11-26 16:0:40.347: RTWSControl  - tickOptionComputation - id:200052 tickType:13 impliedVol:0.12455209190643 delta:-0.506496356244395 optPrice:1.26995356002363E-02 pvDividend:0 gamma: 1.79769313486232E+308 theta/vega/undPrice: -6.85920313022697E-04-9.86803807840452E-04-1.5792</t>
  </si>
  <si>
    <t>2014-11-26 16:0:40.370: RTWSControl  - tickOptionComputation - id:200052 tickType:10 impliedVol:1.79769313486232E+308 delta:1.79769313486232E+308 optPrice:1.79769313486232E+308 pvDividend:0 gamma: 1.79769313486232E+308 theta/vega/undPrice: 1.79769313486232E+308-1.79769313486232E+308-1.5792</t>
  </si>
  <si>
    <t>2014-11-26 16:0:40.383: RTWSControl  - tickOptionComputation - id:200052 tickType:11 impliedVol:1.79769313486232E+308 delta:1.79769313486232E+308 optPrice:1.79769313486232E+308 pvDividend:0 gamma: 1.79769313486232E+308 theta/vega/undPrice: 1.79769313486232E+308-1.79769313486232E+308-1.5792</t>
  </si>
  <si>
    <t>2014-11-26 16:0:40.416: RTWSControl  - tickOptionComputation - id:200048 tickType:13 impliedVol:8.45264781711137E-02 delta:-2.92500508949236E-02 optPrice:2.43659816158955E-04 pvDividend:0 gamma: 1.79769313486232E+308 theta/vega/undPrice: -7.67808242421667E-05-1.91361493776244E-04-1.5792</t>
  </si>
  <si>
    <t>2014-11-26 16:0:40.437: RTWSControl  - tickOptionComputation - id:200053 tickType:13 impliedVol:6.42048557977084E-02 delta:9.98638544432977E-02 optPrice:7.64829624211487E-04 pvDividend:0 gamma: 1.79769313486232E+308 theta/vega/undPrice: -1.53959982224268E-04-4.68164292728575E-04-1.5792</t>
  </si>
  <si>
    <t>2014-11-26 16:0:40.468: RTWSControl  - tickOptionComputation - id:200054 tickType:13 impliedVol:6.93904207124145E-02 delta:1.71516074001657E-03 optPrice:8.7272407568984E-06 pvDividend:0 gamma: 0.316295503058839 theta/vega/undPrice: -5.20151053110876E-06-2.59278940442355E-05-1.5792</t>
  </si>
  <si>
    <t>2014-11-26 16:0:40.490: RTWSControl  - tickOptionComputation - id:200054 tickType:10 impliedVol:1.79769313486232E+308 delta:1.79769313486232E+308 optPrice:1.79769313486232E+308 pvDividend:0 gamma: 1.79769313486232E+308 theta/vega/undPrice: 1.79769313486232E+308-1.79769313486232E+308-1.5792</t>
  </si>
  <si>
    <t>2014-11-26 16:0:40.667: DirectionIndicator - notify - price/longMA/ShortMA/prevDirection are 1.5791/1.57910942126253/1.57910804773805/-1</t>
  </si>
  <si>
    <t>2014-11-26 16:0:40.667: Algorithm - handleTransition - currentHedgeShortfall is NOT ZERO and AUTOHEDGE IS NOT ENABLED!</t>
  </si>
  <si>
    <t>2014-11-26 16:0:40.793: RTWSControl  - tickOptionComputation - id:200042 tickType:13 impliedVol:0.081940507927726 delta:-2.58001842821768E-02 optPrice:9.91406979355488E-05 pvDividend:0 gamma: 1.79769313486232E+308 theta/vega/undPrice: -1.38181133390929E-04-8.77468596033294E-05-1.5791</t>
  </si>
  <si>
    <t>2014-11-26 16:0:40.840: RTWSControl  - tickOptionComputation - id:200041 tickType:13 impliedVol:7.28450961629221E-02 delta:0.945985332836118 optPrice:1.43059928069493E-02 pvDividend:0 gamma: 1.79769313486232E+308 theta/vega/undPrice: -2.24706378775155E-04-1.47174034164291E-04-1.5791</t>
  </si>
  <si>
    <t>2014-11-26 16:0:40.876: RTWSControl  - tickOptionComputation - id:200043 tickType:13 impliedVol:7.28450961629221E-02 delta:-0.054127182472247 optPrice:2.06194080978171E-04 pvDividend:0 gamma: 1.79769313486232E+308 theta/vega/undPrice: -2.24799509370291E-04-1.47174283731324E-04-1.5791</t>
  </si>
  <si>
    <t>2014-11-26 16:0:40.896: RTWSControl  - tickOptionComputation - id:200044 tickType:13 impliedVol:0.066533627058476 delta:0.873233420406162 optPrice:9.61314881257432E-03 pvDividend:0 gamma: 1.79769313486232E+308 theta/vega/undPrice: -3.93285722398399E-04-2.97507358081886E-04-1.5791</t>
  </si>
  <si>
    <t>2014-11-26 16:0:40.927: RTWSControl  - tickOptionComputation - id:200046 tickType:13 impliedVol:0.066533627058476 delta:-0.126879246442185 optPrice:5.13279329197965E-04 pvDividend:0 gamma: 1.79769313486232E+308 theta/vega/undPrice: -3.93346453305805E-04-2.97507645700874E-04-1.5791</t>
  </si>
  <si>
    <t>2014-11-26 16:0:40.953: RTWSControl  - tickOptionComputation - id:200045 tickType:13 impliedVol:6.30061006143308E-02 delta:0.705791501893261 optPrice:5.52781685216629E-03 pvDividend:0 gamma: 1.79769313486232E+308 theta/vega/undPrice: -6.16107017115389E-04-4.45204560629277E-04-1.5791</t>
  </si>
  <si>
    <t>2014-11-26 16:0:40.975: RTWSControl  - tickOptionComputation - id:200047 tickType:13 impliedVol:6.30061006143308E-02 delta:-0.294321593694122 optPrice:1.42787785818013E-03 pvDividend:0 gamma: 1.79769313486232E+308 theta/vega/undPrice: -6.16135893576152E-04-4.45205196403964E-04-1.5791</t>
  </si>
  <si>
    <t>2014-11-26 16:0:41.11: RTWSControl  - tickOptionComputation - id:200055 tickType:13 impliedVol:6.22625168306001E-02 delta:0.453856481237368 optPrice:2.60825186880801E-03 pvDividend:0 gamma: 1.79769313486232E+308 theta/vega/undPrice: -6.96352613662297E-04-4.83069926778025E-04-1.5791</t>
  </si>
  <si>
    <t>2014-11-26 16:0:41.35: RTWSControl  - tickOptionComputation - id:200049 tickType:13 impliedVol:6.92502082839397E-02 delta:0.703550487996222 optPrice:1.23740512122402E-02 pvDividend:0 gamma: 1.79769313486232E+308 theta/vega/undPrice: -3.2994854316208E-04-9.14230625577274E-04-1.5791</t>
  </si>
  <si>
    <t>2014-11-26 16:0:41.56: RTWSControl  - tickOptionComputation - id:200050 tickType:13 impliedVol:6.92502082839397E-02 delta:-0.296519569539114 optPrice:3.27462475430681E-03 pvDividend:0 gamma: 1.79769313486232E+308 theta/vega/undPrice: -3.30012771052308E-04-9.14236180449554E-04-1.5791</t>
  </si>
  <si>
    <t>2014-11-26 16:0:41.94: RTWSControl  - tickOptionComputation - id:200051 tickType:13 impliedVol:7.18241370406858E-02 delta:-0.301811779905886 optPrice:3.43022647432926E-03 pvDividend:0 gamma: 1.79769313486232E+308 theta/vega/undPrice: -3.45699366053946E-04-8.62406039022555E-04-1.5791</t>
  </si>
  <si>
    <t>2014-11-26 16:0:41.149: RTWSControl  - tickOptionComputation - id:200052 tickType:13 impliedVol:0.12455209190643 delta:-0.507790943576652 optPrice:1.27502393995763E-02 pvDividend:0 gamma: 1.79769313486232E+308 theta/vega/undPrice: -6.85836866592842E-04-9.86684251728131E-04-1.5791</t>
  </si>
  <si>
    <t>2014-11-26 16:0:41.168: RTWSControl  - tickOptionComputation - id:200048 tickType:13 impliedVol:8.45264781711137E-02 delta:-2.95887533603322E-02 optPrice:2.46856759618269E-04 pvDividend:0 gamma: 1.79769313486232E+308 theta/vega/undPrice: -7.75115818617864E-05-1.94022071422287E-04-1.5791</t>
  </si>
  <si>
    <t>2014-11-26 16:0:41.220: RTWSControl  - tickOptionComputation - id:200053 tickType:13 impliedVol:6.42048557977084E-02 delta:9.87511365392516E-02 optPrice:7.54607661710401E-04 pvDividend:0 gamma: 1.79769313486232E+308 theta/vega/undPrice: -1.52688896305357E-04-0.000462130800027-1.5791</t>
  </si>
  <si>
    <t>2014-11-26 16:0:41.242: RTWSControl  - tickOptionComputation - id:200054 tickType:13 impliedVol:6.93904207124145E-02 delta:1.69036009086036E-03 optPrice:8.59478932262567E-06 pvDividend:0 gamma: 0.311994674206797 theta/vega/undPrice: -5.13013328823903E-06-2.52797306340973E-05-1.5791</t>
  </si>
  <si>
    <t>2014-11-26 16:0:41.264: DirectionIndicator - notify - price/longMA/ShortMA/prevDirection are 1.57905/1.57909861739662/1.57908869849203/-1</t>
  </si>
  <si>
    <t>2014-11-26 16:0:41.265: Algorithm - handleTransition - currentHedgeShortfall is NOT ZERO and AUTOHEDGE IS NOT ENABLED!</t>
  </si>
  <si>
    <t>2014-11-26 16:0:41.404: DirectionIndicator - notify - price/longMA/ShortMA/prevDirection are 1.5791/1.57909886877905/1.57909246566136/-1</t>
  </si>
  <si>
    <t>2014-11-26 16:0:41.405: Algorithm - handleTransition - currentHedgeShortfall is NOT ZERO and AUTOHEDGE IS NOT ENABLED!</t>
  </si>
  <si>
    <t>2014-11-26 16:0:41.455: DirectionIndicator - notify - price/longMA/ShortMA/prevDirection are 1.57905/1.57908998354649/1.5790783104409/-1</t>
  </si>
  <si>
    <t>2014-11-26 16:0:41.459: Algorithm - handleTransition - currentHedgeShortfall is NOT ZERO and AUTOHEDGE IS NOT ENABLED!</t>
  </si>
  <si>
    <t>2014-11-26 16:0:41.576: DirectionIndicator - notify - price/longMA/ShortMA/prevDirection are 1.5791/1.57909180471986/1.57908554029394/-1</t>
  </si>
  <si>
    <t>2014-11-26 16:0:41.576: Algorithm - handleTransition - currentHedgeShortfall is NOT ZERO and AUTOHEDGE IS NOT ENABLED!</t>
  </si>
  <si>
    <t>2014-11-26 16:0:41.625: DirectionIndicator - notify - price/longMA/ShortMA/prevDirection are 1.57905/1.5790842038617/1.57907369352929/-1</t>
  </si>
  <si>
    <t>2014-11-26 16:0:41.626: Algorithm - handleTransition - currentHedgeShortfall is NOT ZERO and AUTOHEDGE IS NOT ENABLED!</t>
  </si>
  <si>
    <t>2014-11-26 16:0:41.669: RTWSControl  - tickOptionComputation - id:200042 tickType:10 impliedVol:9.32295066445018E-02 delta:-4.27298318233037E-02 optPrice:1.99999994947575E-04 pvDividend:0 gamma: 1.79769313486232E+308 theta/vega/undPrice: -2.40268354191037E-04-1.43165718405143E-04-1.5791</t>
  </si>
  <si>
    <t>2014-11-26 16:0:41.712: RTWSControl  - tickOptionComputation - id:200042 tickType:11 impliedVol:9.32295066445018E-02 delta:-4.27298318233037E-02 optPrice:1.99999994947575E-04 pvDividend:0 gamma: 1.79769313486232E+308 theta/vega/undPrice: -2.40268354191037E-04-1.43165718405143E-04-1.5791</t>
  </si>
  <si>
    <t>2014-11-26 16:0:41.754: RTWSControl  - tickOptionComputation - id:200041 tickType:10 impliedVol:1.79769313486232E+308 delta:0.999986025943157 optPrice:1.41000002622604E-02 pvDividend:0 gamma: 1.07118924498362E-09 theta/vega/undPrice: 9.2795833234804E-08-6.40112962635442E-16-1.5791</t>
  </si>
  <si>
    <t>2014-11-26 16:0:41.786: RTWSControl  - tickOptionComputation - id:200041 tickType:11 impliedVol:8.49847339374178E-02 delta:0.916405469563203 optPrice:1.44999995827675E-02 pvDividend:0 gamma: 1.79769313486232E+308 theta/vega/undPrice: -3.68580311414129E-04-2.1509255111167E-04-1.5791</t>
  </si>
  <si>
    <t>2014-11-26 16:0:41.828: RTWSControl  - tickOptionComputation - id:200043 tickType:10 impliedVol:6.34341284153065E-02 delta:-3.25126219401805E-02 optPrice:9.99999974737875E-05 pvDividend:0 gamma: 1.79769313486232E+308 theta/vega/undPrice: -1.29444753743908E-04-1.14729875281796E-04-1.5791</t>
  </si>
  <si>
    <t>2014-11-26 16:0:41.853: RTWSControl  - tickOptionComputation - id:200043 tickType:11 impliedVol:7.93451204299905E-02 delta:-6.95214923885982E-02 optPrice:3.00000014249235E-04 pvDividend:0 gamma: 1.79769313486232E+308 theta/vega/undPrice: -2.99424591794293E-04-1.93777807078362E-04-1.5791</t>
  </si>
  <si>
    <t>2014-11-26 16:0:41.890: RTWSControl  - tickOptionComputation - id:200044 tickType:10 impliedVol:6.13300807133968E-02 delta:0.890290141612803 optPrice:9.4999996945262E-03 pvDividend:0 gamma: 1.79769313486232E+308 theta/vega/undPrice: -3.24525972495956E-04-2.56691244778869E-04-1.5791</t>
  </si>
  <si>
    <t>2014-11-26 16:0:41.917: RTWSControl  - tickOptionComputation - id:200044 tickType:11 impliedVol:7.28141869877148E-02 delta:0.84940150976711 optPrice:9.80000011622906E-03 pvDividend:0 gamma: 1.79769313486232E+308 theta/vega/undPrice: -4.79524915999352E-04-2.97507143888152E-04-1.5791</t>
  </si>
  <si>
    <t>2014-11-26 16:0:41.955: RTWSControl  - tickOptionComputation - id:200046 tickType:10 impliedVol:6.13533982082637E-02 delta:-0.109778184975216 optPrice:3.9999998989515E-04 pvDividend:0 gamma: 1.79769313486232E+308 theta/vega/undPrice: -3.2489397485821E-04-2.56883068023634E-04-1.5791</t>
  </si>
  <si>
    <t>2014-11-26 16:0:41.977: RTWSControl  - tickOptionComputation - id:200046 tickType:11 impliedVol:6.94374054607176E-02 delta:-0.138365410538338 optPrice:6.00000028498471E-04 pvDividend:0 gamma: 1.79769313486232E+308 theta/vega/undPrice: -4.33218706120634E-04-2.97507546826572E-04-1.5791</t>
  </si>
  <si>
    <t>2014-11-26 16:0:42.23: RTWSControl  - tickOptionComputation - id:200045 tickType:10 impliedVol:6.01351365938762E-02 delta:0.715018340233309 optPrice:5.40000014007092E-03 pvDividend:0 gamma: 1.79769313486232E+308 theta/vega/undPrice: -5.81193524618907E-04-4.45204693851987E-04-1.5791</t>
  </si>
  <si>
    <t>2014-11-26 16:0:42.54: RTWSControl  - tickOptionComputation - id:200045 tickType:11 impliedVol:6.46274433312934E-02 delta:0.700808447273275 optPrice:5.59999980032444E-03 pvDividend:0 gamma: 1.79769313486232E+308 theta/vega/undPrice: -6.35823984751933E-04-4.45204483371685E-04-1.5791</t>
  </si>
  <si>
    <t>2014-11-26 16:0:42.94: RTWSControl  - tickOptionComputation - id:200047 tickType:10 impliedVol:6.23902237688374E-02 delta:-0.292358461653372 optPrice:1.39999995008111E-03 pvDividend:0 gamma: 1.79769313486232E+308 theta/vega/undPrice: -6.08646256822946E-04-4.45205225366861E-04-1.5791</t>
  </si>
  <si>
    <t>2014-11-26 16:0:42.120: RTWSControl  - tickOptionComputation - id:200047 tickType:11 impliedVol:6.46157211840625E-02 delta:-0.29914373659538 optPrice:1.50000001303852E-03 pvDividend:0 gamma: 1.79769313486232E+308 theta/vega/undPrice: -6.35710375134678E-04-4.45205119711255E-04-1.5791</t>
  </si>
  <si>
    <t>2014-11-26 16:0:42.146: RTWSControl  - tickOptionComputation - id:200055 tickType:10 impliedVol:5.79515150913869E-02 delta:0.450224798838821 optPrice:2.40000011399388E-03 pvDividend:0 gamma: 1.79769313486232E+308 theta/vega/undPrice: -6.47314442026713E-04-4.8307013122003E-04-1.5791</t>
  </si>
  <si>
    <t>2014-11-26 16:0:42.183: RTWSControl  - tickOptionComputation - id:200055 tickType:11 impliedVol:6.20822712803717E-02 delta:0.453659425902162 optPrice:2.60000000707805E-03 pvDividend:0 gamma: 1.79769313486232E+308 theta/vega/undPrice: -6.94302299621434E-04-4.83069935594602E-04-1.5791</t>
  </si>
  <si>
    <t>2014-11-26 16:0:42.215: RTWSControl  - tickOptionComputation - id:200049 tickType:10 impliedVol:6.84420984806593E-02 delta:0.705709819985607 optPrice:1.22999995946884E-02 pvDividend:0 gamma: 1.79769313486232E+308 theta/vega/undPrice: -3.2517912101145E-04-9.14230985084183E-04-1.5791</t>
  </si>
  <si>
    <t>2014-11-26 16:0:42.245: RTWSControl  - tickOptionComputation - id:200049 tickType:11 impliedVol:7.06278553482519E-02 delta:0.69974861084833 optPrice:1.25000001862645E-02 pvDividend:0 gamma: 1.79769313486232E+308 theta/vega/undPrice: -3.38079334181548E-04-9.14230005444603E-04-1.5791</t>
  </si>
  <si>
    <t>2014-11-26 16:0:42.271: RTWSControl  - tickOptionComputation - id:200050 tickType:10 impliedVol:6.84313651340898E-02 delta:-0.29420358181163 optPrice:3.1999999191612E-03 pvDividend:0 gamma: 1.79769313486232E+308 theta/vega/undPrice: -3.2517993080736E-04-9.14236544646862E-04-1.5791</t>
  </si>
  <si>
    <t>2014-11-26 16:0:42.308: RTWSControl  - tickOptionComputation - id:200050 tickType:11 impliedVol:7.06222134357075E-02 delta:-0.300180147440092 optPrice:3.40000004507601E-03 pvDividend:0 gamma: 1.79769313486232E+308 theta/vega/undPrice: -3.38110381840763E-04-9.14235562972354E-04-1.5791</t>
  </si>
  <si>
    <t>2014-11-26 16:0:42.342: RTWSControl  - tickOptionComputation - id:200051 tickType:10 impliedVol:6.79639096509589E-02 delta:-0.291785493898883 optPrice:3.10000008903444E-03 pvDividend:0 gamma: 1.79769313486232E+308 theta/vega/undPrice: -3.2211854633175E-04-8.4921986271863E-04-1.5791</t>
  </si>
  <si>
    <t>2014-11-26 16:0:42.369: RTWSControl  - tickOptionComputation - id:200051 tickType:11 impliedVol:7.14706225843244E-02 delta:-0.300898196492176 optPrice:3.40000004507601E-03 pvDividend:0 gamma: 1.79769313486232E+308 theta/vega/undPrice: -3.43548265955996E-04-8.61278769897043E-04-1.5791</t>
  </si>
  <si>
    <t>2014-11-26 16:0:42.393: RTWSControl  - tickOptionComputation - id:200052 tickType:10 impliedVol:1.79769313486232E+308 delta:1.79769313486232E+308 optPrice:1.79769313486232E+308 pvDividend:0 gamma: 1.79769313486232E+308 theta/vega/undPrice: 1.79769313486232E+308-1.79769313486232E+308-1.5791</t>
  </si>
  <si>
    <t>2014-11-26 16:0:42.424: RTWSControl  - tickOptionComputation - id:200052 tickType:11 impliedVol:1.79769313486232E+308 delta:1.79769313486232E+308 optPrice:1.79769313486232E+308 pvDividend:0 gamma: 1.79769313486232E+308 theta/vega/undPrice: 1.79769313486232E+308-1.79769313486232E+308-1.5791</t>
  </si>
  <si>
    <t>2014-11-26 16:0:42.450: RTWSControl  - tickOptionComputation - id:200048 tickType:10 impliedVol:8.19102747243685E-02 delta:-2.53160487088386E-02 optPrice:1.99999994947575E-04 pvDividend:0 gamma: 1.79769313486232E+308 theta/vega/undPrice: -6.61275932176241E-05-1.79314417561645E-04-1.5791</t>
  </si>
  <si>
    <t>2014-11-26 16:0:42.476: RTWSControl  - tickOptionComputation - id:200048 tickType:11 impliedVol:0.08748685420124 delta:-3.41065897431266E-02 optPrice:3.00000014249235E-04 pvDividend:0 gamma: 1.79769313486232E+308 theta/vega/undPrice: -9.0393153850173E-05-2.27548256519522E-04-1.5791</t>
  </si>
  <si>
    <t>2014-11-26 16:0:42.516: RTWSControl  - tickOptionComputation - id:200053 tickType:10 impliedVol:6.29816947718467E-02 delta:9.42351970708536E-02 optPrice:6.99999975040555E-04 pvDividend:0 gamma: 1.79769313486232E+308 theta/vega/undPrice: -1.44771421086774E-04-4.47318838593595E-04-1.5791</t>
  </si>
  <si>
    <t>2014-11-26 16:0:42.541: RTWSControl  - tickOptionComputation - id:200053 tickType:11 impliedVol:6.52346791573373E-02 delta:0.102399828148848 optPrice:7.999999797903E-04 pvDividend:0 gamma: 1.79769313486232E+308 theta/vega/undPrice: -1.59354898774119E-04-4.79679484576029E-04-1.5791</t>
  </si>
  <si>
    <t>2014-11-26 16:0:42.576: RTWSControl  - tickOptionComputation - id:200054 tickType:10 impliedVol:1.79769313486232E+308 delta:1.79769313486232E+308 optPrice:1.79769313486232E+308 pvDividend:0 gamma: 1.79769313486232E+308 theta/vega/undPrice: 1.79769313486232E+308-1.79769313486232E+308-1.5791</t>
  </si>
  <si>
    <t>2014-11-26 16:0:42.590: RTWSControl  - tickOptionComputation - id:200054 tickType:11 impliedVol:9.01330725866379E-02 delta:1.25768071994916E-02 optPrice:9.99999974737875E-05 pvDividend:0 gamma: 1.79769313486232E+308 theta/vega/undPrice: -4.00029760370022E-05-1.03769096303024E-04-1.5791</t>
  </si>
  <si>
    <t>2014-11-26 16:0:42.668: DirectionIndicator - notify - price/longMA/ShortMA/prevDirection are 1.5791/1.57908707588685/1.57908246235286/-1</t>
  </si>
  <si>
    <t>2014-11-26 16:0:42.668: Algorithm - handleTransition - currentHedgeShortfall is NOT ZERO and AUTOHEDGE IS NOT ENABLED!</t>
  </si>
  <si>
    <t>2014-11-26 16:0:42.706: DirectionIndicator - notify - price/longMA/ShortMA/prevDirection are 1.57905/1.57908033481651/1.57907164156857/-1</t>
  </si>
  <si>
    <t>2014-11-26 16:0:42.710: Algorithm - handleTransition - currentHedgeShortfall is NOT ZERO and AUTOHEDGE IS NOT ENABLED!</t>
  </si>
  <si>
    <t>2014-11-26 16:0:42.876: RTWSControl  - tickOptionComputation - id:200042 tickType:13 impliedVol:0.081940507927726 delta:-2.50768681657205E-02 optPrice:9.59181490905554E-05 pvDividend:0 gamma: 1.79769313486232E+308 theta/vega/undPrice: -1.35063082646152E-04-8.77496377783826E-05-1.5792</t>
  </si>
  <si>
    <t>2014-11-26 16:0:42.921: RTWSControl  - tickOptionComputation - id:200041 tickType:13 impliedVol:7.28450961629221E-02 delta:0.947315174813622 optPrice:1.44000785942064E-02 pvDividend:0 gamma: 1.79769313486232E+308 theta/vega/undPrice: -2.2039522576799E-04-1.43399797439634E-04-1.5792</t>
  </si>
  <si>
    <t>2014-11-26 16:0:42.961: RTWSControl  - tickOptionComputation - id:200043 tickType:13 impliedVol:7.28450961629221E-02 delta:-5.27973395260456E-02 optPrice:2.00281290655315E-04 pvDividend:0 gamma: 1.79769313486232E+308 theta/vega/undPrice: -2.20489010246078E-04-1.43399898607709E-04-1.5792</t>
  </si>
  <si>
    <t>2014-11-26 16:0:42.982: RTWSControl  - tickOptionComputation - id:200044 tickType:13 impliedVol:0.066533627058476 delta:0.875685538592238 optPrice:9.7011712591561E-03 pvDividend:0 gamma: 1.79769313486232E+308 theta/vega/undPrice: -3.87865590698153E-04-2.93444098566588E-04-1.5792</t>
  </si>
  <si>
    <t>2014-11-26 16:0:43.14: RTWSControl  - tickOptionComputation - id:200046 tickType:13 impliedVol:0.066533627058476 delta:-0.124427068881674 optPrice:5.01302969956733E-04 pvDividend:0 gamma: 1.79769313486232E+308 theta/vega/undPrice: -3.87926787242261E-04-2.93444605281639E-04-1.5792</t>
  </si>
  <si>
    <t>2014-11-26 16:0:43.83: RTWSControl  - tickOptionComputation - id:200045 tickType:13 impliedVol:6.30061006143308E-02 delta:0.710564343228708 optPrice:5.59431424183095E-03 pvDividend:0 gamma: 1.79769313486232E+308 theta/vega/undPrice: -6.12470137496456E-04-4.45218660067152E-04-1.5792</t>
  </si>
  <si>
    <t>2014-11-26 16:0:43.104: RTWSControl  - tickOptionComputation - id:200047 tickType:13 impliedVol:6.30061006143308E-02 delta:-0.289548744825279 optPrice:1.39437663822135E-03 pvDividend:0 gamma: 1.79769313486232E+308 theta/vega/undPrice: -6.12499655699025E-04-4.45219295861362E-04-1.5792</t>
  </si>
  <si>
    <t>2014-11-26 16:0:43.136: RTWSControl  - tickOptionComputation - id:200055 tickType:13 impliedVol:6.22625168306001E-02 delta:0.45909824038999 optPrice:2.65273270161611E-03 pvDividend:0 gamma: 1.79769313486232E+308 theta/vega/undPrice: -6.97696672273354E-04-4.83085223761065E-04-1.5792</t>
  </si>
  <si>
    <t>2014-11-26 16:0:43.159: RTWSControl  - tickOptionComputation - id:200049 tickType:13 impliedVol:6.92502082839397E-02 delta:0.705657581389474 optPrice:1.24406574674453E-02 pvDividend:0 gamma: 1.79769313486232E+308 theta/vega/undPrice: -3.29095858894465E-04-9.14259584809779E-04-1.5792</t>
  </si>
  <si>
    <t>2014-11-26 16:0:43.178: RTWSControl  - tickOptionComputation - id:200050 tickType:13 impliedVol:6.92502082839397E-02 delta:-0.294412461661465 optPrice:3.24123689070837E-03 pvDividend:0 gamma: 1.79769313486232E+308 theta/vega/undPrice: -3.29160727338811E-04-9.14265139800434E-04-1.5792</t>
  </si>
  <si>
    <t>2014-11-26 16:0:43.219: RTWSControl  - tickOptionComputation - id:200051 tickType:13 impliedVol:7.18241370406858E-02 delta:-0.29985250758951 optPrice:3.40014703333535E-03 pvDividend:0 gamma: 1.79769313486232E+308 theta/vega/undPrice: -3.44707115428822E-04-8.59930368394537E-04-1.5792</t>
  </si>
  <si>
    <t>2014-11-26 16:0:43.240: RTWSControl  - tickOptionComputation - id:200052 tickType:13 impliedVol:0.12455209190643 delta:-0.506496356244395 optPrice:1.26995356002363E-02 pvDividend:0 gamma: 1.79769313486232E+308 theta/vega/undPrice: -6.85920313022697E-04-9.86803807840452E-04-1.5792</t>
  </si>
  <si>
    <t>2014-11-26 16:0:43.260: RTWSControl  - tickOptionComputation - id:200048 tickType:13 impliedVol:8.45264781711137E-02 delta:-2.92500508949236E-02 optPrice:2.43659816158955E-04 pvDividend:0 gamma: 1.79769313486232E+308 theta/vega/undPrice: -7.67808242421667E-05-1.91361493776244E-04-1.5792</t>
  </si>
  <si>
    <t>2014-11-26 16:0:43.301: RTWSControl  - tickOptionComputation - id:200053 tickType:13 impliedVol:6.42048557977084E-02 delta:9.98638544432977E-02 optPrice:7.64829624211487E-04 pvDividend:0 gamma: 1.79769313486232E+308 theta/vega/undPrice: -1.53959982224268E-04-4.68164292728575E-04-1.5792</t>
  </si>
  <si>
    <t>2014-11-26 16:0:43.345: RTWSControl  - tickOptionComputation - id:200054 tickType:13 impliedVol:6.93904207124145E-02 delta:1.71516074001657E-03 optPrice:8.7272407568984E-06 pvDividend:0 gamma: 0.316295503058839 theta/vega/undPrice: -5.20151053110876E-06-2.59278940442355E-05-1.5792</t>
  </si>
  <si>
    <t>2014-11-26 16:0:43.541: DirectionIndicator - notify - price/longMA/ShortMA/prevDirection are 1.579/1.57906572848624/1.57904776104572/-1</t>
  </si>
  <si>
    <t>2014-11-26 16:0:43.541: Algorithm - handleTransition - currentHedgeShortfall is NOT ZERO and AUTOHEDGE IS NOT ENABLED!</t>
  </si>
  <si>
    <t>2014-11-26 16:0:43.788: DirectionIndicator - notify - price/longMA/ShortMA/prevDirection are 1.57905/1.57906286876147/1.57904850736381/-1</t>
  </si>
  <si>
    <t>2014-11-26 16:0:43.788: Algorithm - handleTransition - currentHedgeShortfall is NOT ZERO and AUTOHEDGE IS NOT ENABLED!</t>
  </si>
  <si>
    <t>2014-11-26 16:0:43.831: DirectionIndicator - notify - price/longMA/ShortMA/prevDirection are 1.579/1.57905143807756/1.57903233824254/-1</t>
  </si>
  <si>
    <t>2014-11-26 16:0:43.831: Algorithm - handleTransition - currentHedgeShortfall is NOT ZERO and AUTOHEDGE IS NOT ENABLED!</t>
  </si>
  <si>
    <t>2014-11-26 16:0:43.864: DirectionIndicator - notify - price/longMA/ShortMA/prevDirection are 1.57895/1.57903299479073/1.57900489216169/-1</t>
  </si>
  <si>
    <t>2014-11-26 16:0:43.864: Algorithm - handleTransition - currentHedgeShortfall is NOT ZERO and AUTOHEDGE IS NOT ENABLED!</t>
  </si>
  <si>
    <t>2014-11-26 16:0:44.33: RTWSControl  - tickOptionComputation - id:200042 tickType:13 impliedVol:8.21405877768768E-02 delta:-2.61383138069257E-02 optPrice:1.00896336914558E-04 pvDividend:0 gamma: 1.79769313486232E+308 theta/vega/undPrice: -1.39983645984123E-04-8.77468573917304E-05-1.5791</t>
  </si>
  <si>
    <t>2014-11-26 16:0:44.55: RTWSControl  - tickOptionComputation - id:200041 tickType:13 impliedVol:7.28953726996338E-02 delta:0.945855630968459 optPrice:1.43067137490384E-02 pvDividend:0 gamma: 1.79769313486232E+308 theta/vega/undPrice: -2.25283590246355E-04-1.47534504025734E-04-1.5791</t>
  </si>
  <si>
    <t>2014-11-26 16:0:44.99: RTWSControl  - tickOptionComputation - id:200041 tickType:10 impliedVol:1.79769313486232E+308 delta:1.79769313486232E+308 optPrice:1.40000004321337E-02 pvDividend:0 gamma: 1.79769313486232E+308 theta/vega/undPrice: 1.79769313486232E+308-1.79769313486232E+308-1.5791</t>
  </si>
  <si>
    <t>2014-11-26 16:0:44.127: RTWSControl  - tickOptionComputation - id:200041 tickType:11 impliedVol:7.24155689876204E-02 delta:0.946981046917918 optPrice:0.014299999922514 pvDividend:0 gamma: 1.79769313486232E+308 theta/vega/undPrice: -2.19775091940437E-04-1.44094434457242E-04-1.5791</t>
  </si>
  <si>
    <t>2014-11-26 16:0:44.163: RTWSControl  - tickOptionComputation - id:200043 tickType:13 impliedVol:7.28953726996338E-02 delta:-5.42568844342964E-02 optPrice:2.06915023562987E-04 pvDividend:0 gamma: 1.79769313486232E+308 theta/vega/undPrice: -2.25376721489153E-04-1.47534753972501E-04-1.5791</t>
  </si>
  <si>
    <t>2014-11-26 16:0:44.184: RTWSControl  - tickOptionComputation - id:200044 tickType:13 impliedVol:6.64005535651597E-02 delta:0.873784774471381 optPrice:9.60918977593934E-03 pvDividend:0 gamma: 1.79769313486232E+308 theta/vega/undPrice: -3.91458471535364E-04-2.97507362612524E-04-1.5791</t>
  </si>
  <si>
    <t>2014-11-26 16:0:44.219: RTWSControl  - tickOptionComputation - id:200044 tickType:10 impliedVol:5.67275312637896E-02 delta:0.907831347059679 optPrice:9.39999986439943E-03 pvDividend:0 gamma: 1.79769313486232E+308 theta/vega/undPrice: -2.63817958754403E-04-2.1891774541241E-04-1.5791</t>
  </si>
  <si>
    <t>2014-11-26 16:0:44.244: RTWSControl  - tickOptionComputation - id:200044 tickType:11 impliedVol:6.94529320783821E-02 delta:0.861561934021583 optPrice:9.70000028610229E-03 pvDividend:0 gamma: 1.79769313486232E+308 theta/vega/undPrice: -4.33371097580596E-04-2.9750725861219E-04-1.5791</t>
  </si>
  <si>
    <t>2014-11-26 16:0:44.269: RTWSControl  - tickOptionComputation - id:200046 tickType:13 impliedVol:6.64005535651597E-02 delta:-0.126327891803207 optPrice:5.09320288734743E-04 pvDividend:0 gamma: 1.79769313486232E+308 theta/vega/undPrice: -3.9151919897433E-04-2.97507650228759E-04-1.5791</t>
  </si>
  <si>
    <t>2014-11-26 16:0:44.307: RTWSControl  - tickOptionComputation - id:200046 tickType:10 impliedVol:6.59943904620187E-02 delta:-0.124971987340605 optPrice:5.00000023748726E-04 pvDividend:0 gamma: 1.79769313486232E+308 theta/vega/undPrice: -3.86109103914323E-04-2.94972088552254E-04-1.5791</t>
  </si>
  <si>
    <t>2014-11-26 16:0:44.338: RTWSControl  - tickOptionComputation - id:200045 tickType:13 impliedVol:6.26561303733979E-02 delta:0.70688137505725 optPrice:5.51223600906263E-03 pvDividend:0 gamma: 1.79769313486232E+308 theta/vega/undPrice: -6.11851067043493E-04-4.45204577111836E-04-1.5791</t>
  </si>
  <si>
    <t>2014-11-26 16:0:44.370: RTWSControl  - tickOptionComputation - id:200047 tickType:13 impliedVol:6.26561303733979E-02 delta:-0.293231718811731 optPrice:1.41229699282653E-03 pvDividend:0 gamma: 1.79769313486232E+308 theta/vega/undPrice: -6.11879929238284E-04-4.45205212889024E-04-1.5791</t>
  </si>
  <si>
    <t>2014-11-26 16:0:44.393: RTWSControl  - tickOptionComputation - id:200047 tickType:10 impliedVol:6.23808684682705E-02 delta:-0.292328911865043 optPrice:1.39999995008111E-03 pvDividend:0 gamma: 1.79769313486232E+308 theta/vega/undPrice: -6.08532487634732E-04-4.45205225806251E-04-1.5791</t>
  </si>
  <si>
    <t>2014-11-26 16:0:44.431: RTWSControl  - tickOptionComputation - id:200047 tickType:11 impliedVol:6.68776618608211E-02 delta:-0.305575239657053 optPrice:1.5999999595806E-03 pvDividend:0 gamma: 1.79769313486232E+308 theta/vega/undPrice: -6.63217661351096E-04-4.45205009547162E-04-1.5791</t>
  </si>
  <si>
    <t>2014-11-26 16:0:44.475: RTWSControl  - tickOptionComputation - id:200055 tickType:13 impliedVol:6.16621031244051E-02 delta:0.453388014535823 optPrice:2.57924767314121E-03 pvDividend:0 gamma: 1.79769313486232E+308 theta/vega/undPrice: -6.89522837725334E-04-4.83069956049355E-04-1.5791</t>
  </si>
  <si>
    <t>2014-11-26 16:0:44.496: RTWSControl  - tickOptionComputation - id:200049 tickType:13 impliedVol:6.87059046351202E-02 delta:0.705059127376115 optPrice:1.23242891800363E-02 pvDividend:0 gamma: 1.79769313486232E+308 theta/vega/undPrice: -3.26736091750966E-04-9.14230868071067E-04-1.5791</t>
  </si>
  <si>
    <t>2014-11-26 16:0:44.521: RTWSControl  - tickOptionComputation - id:200049 tickType:10 impliedVol:6.73464105220285E-02 delta:0.708845237633125 optPrice:1.21999997645617E-02 pvDividend:0 gamma: 1.79769313486232E+308 theta/vega/undPrice: -3.18712420327232E-04-9.1423146749252E-04-1.5791</t>
  </si>
  <si>
    <t>2014-11-26 16:0:44.553: RTWSControl  - tickOptionComputation - id:200050 tickType:13 impliedVol:6.87059046351202E-02 delta:-0.295010919810341 optPrice:3.22486241978165E-03 pvDividend:0 gamma: 1.79769313486232E+308 theta/vega/undPrice: -3.26800272838773E-04-9.1423642290043E-04-1.5791</t>
  </si>
  <si>
    <t>2014-11-26 16:0:44.576: RTWSControl  - tickOptionComputation - id:200050 tickType:10 impliedVol:6.95277527120527E-02 delta:-0.297242074153536 optPrice:3.29999998211861E-03 pvDividend:0 gamma: 1.79769313486232E+308 theta/vega/undPrice: -3.31650846692132E-04-9.14236056271896E-04-1.5791</t>
  </si>
  <si>
    <t>2014-11-26 16:0:44.596: RTWSControl  - tickOptionComputation - id:200050 tickType:11 impliedVol:7.17153802858826E-02 delta:-0.303024262668898 optPrice:3.50000010803342E-03 pvDividend:0 gamma: 1.79769313486232E+308 theta/vega/undPrice: -3.44562272071103E-04-9.14235064473194E-04-1.5791</t>
  </si>
  <si>
    <t>2014-11-26 16:0:44.632: RTWSControl  - tickOptionComputation - id:200051 tickType:13 impliedVol:7.14706225964186E-02 delta:-0.300936237462332 optPrice:3.39975897633387E-03 pvDividend:0 gamma: 1.79769313486232E+308 theta/vega/undPrice: -3.43548266029616E-04-8.61278769935869E-04-1.5791</t>
  </si>
  <si>
    <t>2014-11-26 16:0:44.652: RTWSControl  - tickOptionComputation - id:200051 tickType:10 impliedVol:6.91355858049293E-02 delta:-0.294919618184192 optPrice:3.1999999191612E-03 pvDividend:0 gamma: 1.79769313486232E+308 theta/vega/undPrice: -3.2929773049854E-04-8.53434359081811E-04-1.5791</t>
  </si>
  <si>
    <t>2014-11-26 16:0:44.680: RTWSControl  - tickOptionComputation - id:200052 tickType:13 impliedVol:0.124034942675138 delta:-0.50785566726674 optPrice:1.26992128819613E-02 pvDividend:0 gamma: 1.79769313486232E+308 theta/vega/undPrice: -6.8298704600241E-04-9.86681125776335E-04-1.5791</t>
  </si>
  <si>
    <t>2014-11-26 16:0:44.714: RTWSControl  - tickOptionComputation - id:200052 tickType:10 impliedVol:1.79769313486232E+308 delta:1.79769313486232E+308 optPrice:1.79769313486232E+308 pvDividend:0 gamma: 1.79769313486232E+308 theta/vega/undPrice: 1.79769313486232E+308-1.79769313486232E+308-1.5791</t>
  </si>
  <si>
    <t>2014-11-26 16:0:44.741: RTWSControl  - tickOptionComputation - id:200052 tickType:11 impliedVol:1.79769313486232E+308 delta:1.79769313486232E+308 optPrice:1.79769313486232E+308 pvDividend:0 gamma: 1.79769313486232E+308 theta/vega/undPrice: 1.79769313486232E+308-1.79769313486232E+308-1.5791</t>
  </si>
  <si>
    <t>2014-11-26 16:0:44.758: RTWSControl  - tickOptionComputation - id:200048 tickType:13 impliedVol:8.41556459287656E-02 delta:-2.89997784198099E-02 optPrice:2.40207193778031E-04 pvDividend:0 gamma: 1.79769313486232E+308 theta/vega/undPrice: -7.58979664398896E-05-1.8982239891467E-04-1.5791</t>
  </si>
  <si>
    <t>2014-11-26 16:0:44.799: RTWSControl  - tickOptionComputation - id:200053 tickType:13 impliedVol:0.063718414751202 delta:9.69805534737842E-02 optPrice:7.32848201395137E-04 pvDividend:0 gamma: 1.79769313486232E+308 theta/vega/undPrice: -1.49540182567383E-04-4.53841605778786E-04-1.5791</t>
  </si>
  <si>
    <t>2014-11-26 16:0:44.827: RTWSControl  - tickOptionComputation - id:200054 tickType:13 impliedVol:6.91931762770039E-02 delta:1.65485669500006E-03 optPrice:8.38213316398474E-06 pvDividend:0 gamma: 0.306681430061765 theta/vega/undPrice: -5.01413990989964E-06-2.44379714906547E-05-1.5791</t>
  </si>
  <si>
    <t>2014-11-26 16:0:44.872: RTWSControl  - tickOptionComputation - id:200054 tickType:10 impliedVol:1.79769313486232E+308 delta:1.79769313486232E+308 optPrice:1.79769313486232E+308 pvDividend:0 gamma: 1.79769313486232E+308 theta/vega/undPrice: 1.79769313486232E+308-1.79769313486232E+308-1.5791</t>
  </si>
  <si>
    <t>2014-11-26 16:0:44.986: DirectionIndicator - notify - price/longMA/ShortMA/prevDirection are 1.579/1.57902699573787/1.57900326144113/-1</t>
  </si>
  <si>
    <t>2014-11-26 16:0:44.987: Algorithm - handleTransition - currentHedgeShortfall is NOT ZERO and AUTOHEDGE IS NOT ENABLED!</t>
  </si>
  <si>
    <t>2014-11-26 16:0:44.998: DirectionIndicator - notify - price/longMA/ShortMA/prevDirection are 1.57905/1.57903117833099/1.57901884096075/-1</t>
  </si>
  <si>
    <t>2014-11-26 16:0:44.998: Algorithm - handleTransition - currentHedgeShortfall is NOT ZERO and AUTOHEDGE IS NOT ENABLED!</t>
  </si>
  <si>
    <t>2014-11-26 16:0:45.116: DirectionIndicator - notify - price/longMA/ShortMA/prevDirection are 1.579/1.57902550954354/1.5790125606405/-1</t>
  </si>
  <si>
    <t>2014-11-26 16:0:45.117: Algorithm - handleTransition - currentHedgeShortfall is NOT ZERO and AUTOHEDGE IS NOT ENABLED!</t>
  </si>
  <si>
    <t>2014-11-26 16:0:45.204: DirectionIndicator - notify - price/longMA/ShortMA/prevDirection are 1.57905/1.5790299623538/1.579025040427/-1</t>
  </si>
  <si>
    <t>2014-11-26 16:0:45.205: Algorithm - handleTransition - currentHedgeShortfall is NOT ZERO and AUTOHEDGE IS NOT ENABLED!</t>
  </si>
  <si>
    <t>2014-11-26 16:0:45.247: DirectionIndicator - notify - price/longMA/ShortMA/prevDirection are 1.579/1.57902451465311/1.579016693618/-1</t>
  </si>
  <si>
    <t>2014-11-26 16:0:45.248: Algorithm - handleTransition - currentHedgeShortfall is NOT ZERO and AUTOHEDGE IS NOT ENABLED!</t>
  </si>
  <si>
    <t>2014-11-26 16:0:45.370: RTWSControl  - tickOptionComputation - id:200042 tickType:13 impliedVol:8.21405877768768E-02 delta:-2.68599696561857E-02 optPrice:1.04118830154455E-04 pvDividend:0 gamma: 1.79769313486232E+308 theta/vega/undPrice: -1.43101639639209E-04-8.7744079284582E-05-1.579</t>
  </si>
  <si>
    <t>2014-11-26 16:0:45.413: RTWSControl  - tickOptionComputation - id:200041 tickType:13 impliedVol:7.28953726996338E-02 delta:0.944526533871829 optPrice:0.014212627938951 pvDividend:0 gamma: 1.79769313486232E+308 theta/vega/undPrice: -2.29594724974753E-04-1.51696937435133E-04-1.579</t>
  </si>
  <si>
    <t>2014-11-26 16:0:45.439: RTWSControl  - tickOptionComputation - id:200043 tickType:13 impliedVol:7.28953726996338E-02 delta:-0.055585982499085 optPrice:2.12827791055514E-04 pvDividend:0 gamma: 1.79769313486232E+308 theta/vega/undPrice: -2.29687202334599E-04-1.51697190750668E-04-1.579</t>
  </si>
  <si>
    <t>2014-11-26 16:0:45.469: RTWSControl  - tickOptionComputation - id:200044 tickType:13 impliedVol:6.64005535651597E-02 delta:0.870758257685216 optPrice:9.52524013595429E-03 pvDividend:0 gamma: 1.79769313486232E+308 theta/vega/undPrice: -3.9714716174348E-04-2.97497940885063E-04-1.579</t>
  </si>
  <si>
    <t>2014-11-26 16:0:45.494: RTWSControl  - tickOptionComputation - id:200046 tickType:13 impliedVol:6.64005535651597E-02 delta:-0.129354411742303 optPrice:5.25369235465844E-04 pvDividend:0 gamma: 1.79769313486232E+308 theta/vega/undPrice: -3.97207240807943E-04-2.97498228512041E-04-1.579</t>
  </si>
  <si>
    <t>2014-11-26 16:0:45.514: RTWSControl  - tickOptionComputation - id:200045 tickType:13 impliedVol:6.26561303733979E-02 delta:0.702081294061063 optPrice:5.44573911287837E-03 pvDividend:0 gamma: 1.79769313486232E+308 theta/vega/undPrice: -6.15488081457968E-04-4.45190477592859E-04-1.579</t>
  </si>
  <si>
    <t>2014-11-26 16:0:45.552: RTWSControl  - tickOptionComputation - id:200047 tickType:13 impliedVol:6.26561303733979E-02 delta:-0.298031807384271 optPrice:1.4457987062665E-03 pvDividend:0 gamma: 1.79769313486232E+308 theta/vega/undPrice: -6.15516301911393E-04-4.45191113350346E-04-1.579</t>
  </si>
  <si>
    <t>2014-11-26 16:0:45.576: RTWSControl  - tickOptionComputation - id:200055 tickType:13 impliedVol:6.16621031244051E-02 delta:0.448094527532537 optPrice:2.53476775875903E-03 pvDividend:0 gamma: 1.79769313486232E+308 theta/vega/undPrice: -6.8817899538101E-04-4.830546591153E-04-1.579</t>
  </si>
  <si>
    <t>2014-11-26 16:0:45.610: RTWSControl  - tickOptionComputation - id:200049 tickType:13 impliedVol:6.87059046351202E-02 delta:0.702935110472313 optPrice:1.22576845013761E-02 pvDividend:0 gamma: 1.79769313486232E+308 theta/vega/undPrice: -3.27588877794426E-04-9.14201908301056E-04-1.579</t>
  </si>
  <si>
    <t>2014-11-26 16:0:45.642: RTWSControl  - tickOptionComputation - id:200050 tickType:13 impliedVol:6.87059046351202E-02 delta:-0.297134951314496 optPrice:3.2582518599345E-03 pvDividend:0 gamma: 1.79769313486232E+308 theta/vega/undPrice: -3.27652418329608E-04-9.14207463012123E-04-1.579</t>
  </si>
  <si>
    <t>2014-11-26 16:0:45.700: RTWSControl  - tickOptionComputation - id:200051 tickType:13 impliedVol:7.14706225964186E-02 delta:-0.302908535223958 optPrice:3.42994741883695E-03 pvDividend:0 gamma: 1.79769313486232E+308 theta/vega/undPrice: -3.44536152144938E-04-8.63755746592764E-04-1.579</t>
  </si>
  <si>
    <t>2014-11-26 16:0:45.721: RTWSControl  - tickOptionComputation - id:200052 tickType:13 impliedVol:0.124034942675138 delta:-0.509155647351784 optPrice:1.27500530545764E-02 pvDividend:0 gamma: 1.79769313486232E+308 theta/vega/undPrice: -6.82896183881048E-04-9.86550360675044E-04-1.579</t>
  </si>
  <si>
    <t>2014-11-26 16:0:45.766: RTWSControl  - tickOptionComputation - id:200048 tickType:13 impliedVol:8.41556459287656E-02 delta:-2.93399981567948E-02 optPrice:2.43404347839174E-04 pvDividend:0 gamma: 1.79769313486232E+308 theta/vega/undPrice: -7.66287751651552E-05-1.92483109796626E-04-1.579</t>
  </si>
  <si>
    <t>2014-11-26 16:0:45.791: RTWSControl  - tickOptionComputation - id:200053 tickType:13 impliedVol:0.063718414751202 delta:9.58591435754921E-02 optPrice:7.22626927791871E-04 pvDividend:0 gamma: 1.79769313486232E+308 theta/vega/undPrice: -1.48269196335781E-04-4.47808374892988E-04-1.579</t>
  </si>
  <si>
    <t>2014-11-26 16:0:45.812: RTWSControl  - tickOptionComputation - id:200054 tickType:13 impliedVol:6.91931762770039E-02 delta:1.62998104124992E-03 optPrice:8.24968846615845E-06 pvDividend:0 gamma: 0.302354273858358 theta/vega/undPrice: -4.94276634142704E-06-2.3789834705366E-05-1.579</t>
  </si>
  <si>
    <t>2014-11-26 16:0:45.862: DirectionIndicator - notify - price/longMA/ShortMA/prevDirection are 1.57905/1.57902914835254/1.57902779574533/-1</t>
  </si>
  <si>
    <t>2014-11-26 16:0:45.866: Algorithm - handleTransition - currentHedgeShortfall is NOT ZERO and AUTOHEDGE IS NOT ENABLED!</t>
  </si>
  <si>
    <t>2014-11-26 16:0:45.962: DirectionIndicator - notify - price/longMA/ShortMA/prevDirection are 1.579/1.57902384865208/1.57901853049689/-1</t>
  </si>
  <si>
    <t>2014-11-26 16:0:45.962: Algorithm - handleTransition - currentHedgeShortfall is NOT ZERO and AUTOHEDGE IS NOT ENABLED!</t>
  </si>
  <si>
    <t>2014-11-26 16:0:45.994: DirectionIndicator - notify - price/longMA/ShortMA/prevDirection are 1.57895/1.57901042162443/1.57899568699793/-1</t>
  </si>
  <si>
    <t>2014-11-26 16:0:45.994: Algorithm - handleTransition - currentHedgeShortfall is NOT ZERO and AUTOHEDGE IS NOT ENABLED!</t>
  </si>
  <si>
    <t>2014-11-26 16:0:46.236: RTWSControl  - tickOptionComputation - id:200042 tickType:10 impliedVol:9.28822466217851E-02 delta:-4.30269128575147E-02 optPrice:1.99999994947575E-04 pvDividend:0 gamma: 1.79769313486232E+308 theta/vega/undPrice: -2.40591157675716E-04-1.43161192270418E-04-1.579</t>
  </si>
  <si>
    <t>2014-11-26 16:0:46.256: RTWSControl  - tickOptionComputation - id:200042 tickType:11 impliedVol:9.28822466217851E-02 delta:-4.30269128575147E-02 optPrice:1.99999994947575E-04 pvDividend:0 gamma: 1.79769313486232E+308 theta/vega/undPrice: -2.40591157675716E-04-1.43161192270418E-04-1.579</t>
  </si>
  <si>
    <t>2014-11-26 16:0:46.307: RTWSControl  - tickOptionComputation - id:200041 tickType:10 impliedVol:1.79769313486232E+308 delta:0.999986025943575 optPrice:1.40000004321337E-02 pvDividend:0 gamma: 5.64763383583431E-10 theta/vega/undPrice: 9.21377057984513E-08--1.23512311489549E-15-1.579</t>
  </si>
  <si>
    <t>2014-11-26 16:0:46.334: RTWSControl  - tickOptionComputation - id:200041 tickType:11 impliedVol:7.89886517565851E-02 delta:0.930016547828523 optPrice:0.014299999922514 pvDividend:0 gamma: 1.79769313486232E+308 theta/vega/undPrice: -2.99547780222483E-04-1.95382771430672E-04-1.579</t>
  </si>
  <si>
    <t>2014-11-26 16:0:46.375: RTWSControl  - tickOptionComputation - id:200043 tickType:10 impliedVol:6.30670046195005E-02 delta:-3.26834368056417E-02 optPrice:9.99999974737875E-05 pvDividend:0 gamma: 1.79769313486232E+308 theta/vega/undPrice: -1.29255481983106E-04-1.1537694283059E-04-1.579</t>
  </si>
  <si>
    <t>2014-11-26 16:0:46.400: RTWSControl  - tickOptionComputation - id:200043 tickType:11 impliedVol:0.078974716401861 delta:-6.99391831413138E-02 optPrice:3.00000014249235E-04 pvDividend:0 gamma: 1.79769313486232E+308 theta/vega/undPrice: -2.99480353052668E-04-1.95283161305836E-04-1.579</t>
  </si>
  <si>
    <t>2014-11-26 16:0:46.437: RTWSControl  - tickOptionComputation - id:200044 tickType:10 impliedVol:6.09008412354114E-02 delta:0.889423436665477 optPrice:9.39999986439943E-03 pvDividend:0 gamma: 1.79769313486232E+308 theta/vega/undPrice: -3.24162165364603E-04-2.59122944829973E-04-1.579</t>
  </si>
  <si>
    <t>2014-11-26 16:0:46.469: RTWSControl  - tickOptionComputation - id:200044 tickType:11 impliedVol:7.22748836598546E-02 delta:0.848495436206727 optPrice:9.70000028610229E-03 pvDividend:0 gamma: 1.79769313486232E+308 theta/vega/undPrice: -4.77805811269294E-04-2.97497742697272E-04-1.579</t>
  </si>
  <si>
    <t>2014-11-26 16:0:46.510: RTWSControl  - tickOptionComputation - id:200046 tickType:10 impliedVol:6.55367521465127E-02 delta:-0.125791333390879 optPrice:5.00000023748726E-04 pvDividend:0 gamma: 1.79769313486232E+308 theta/vega/undPrice: -3.85368142615378E-04-2.97169507593066E-04-1.579</t>
  </si>
  <si>
    <t>2014-11-26 16:0:46.543: RTWSControl  - tickOptionComputation - id:200046 tickType:11 impliedVol:6.88995671818587E-02 delta:-0.139224957568964 optPrice:6.00000028498471E-04 pvDividend:0 gamma: 1.79769313486232E+308 theta/vega/undPrice: -4.31520518197133E-04-2.97498144335069E-04-1.579</t>
  </si>
  <si>
    <t>2014-11-26 16:0:46.570: RTWSControl  - tickOptionComputation - id:200045 tickType:10 impliedVol:6.16287286396181E-02 delta:0.705183555643148 optPrice:5.40000014007092E-03 pvDividend:0 gamma: 1.79769313486232E+308 theta/vega/undPrice: -6.02994354165633E-04-4.45190525357164E-04-1.579</t>
  </si>
  <si>
    <t>2014-11-26 16:0:46.601: RTWSControl  - tickOptionComputation - id:200045 tickType:11 impliedVol:0.06612117860589 delta:0.691964966518413 optPrice:5.59999980032444E-03 pvDividend:0 gamma: 1.79769313486232E+308 theta/vega/undPrice: -6.57624805028208E-04-4.45190312189014E-04-1.579</t>
  </si>
  <si>
    <t>2014-11-26 16:0:46.634: RTWSControl  - tickOptionComputation - id:200047 tickType:10 impliedVol:6.16273872431796E-02 delta:-0.294798881717787 optPrice:1.39999995008111E-03 pvDividend:0 gamma: 1.79769313486232E+308 theta/vega/undPrice: -6.0300622062049E-04-4.45191161174385E-04-1.579</t>
  </si>
  <si>
    <t>2014-11-26 16:0:46.665: RTWSControl  - tickOptionComputation - id:200047 tickType:11 impliedVol:6.61198383432641E-02 delta:-0.308018053354312 optPrice:1.5999999595806E-03 pvDividend:0 gamma: 1.79769313486232E+308 theta/vega/undPrice: -6.57636868413946E-04-4.45190948244858E-04-1.579</t>
  </si>
  <si>
    <t>2014-11-26 16:0:46.704: RTWSControl  - tickOptionComputation - id:200055 tickType:10 impliedVol:5.88711738054308E-02 delta:0.445486592871661 optPrice:2.40000011399388E-03 pvDividend:0 gamma: 1.79769313486232E+308 theta/vega/undPrice: -6.56432839836538E-04-4.83054792017443E-04-1.579</t>
  </si>
  <si>
    <t>2014-11-26 16:0:46.724: RTWSControl  - tickOptionComputation - id:200055 tickType:11 impliedVol:6.30117522241402E-02 delta:0.449191932862228 optPrice:2.60000000707805E-03 pvDividend:0 gamma: 1.79769313486232E+308 theta/vega/undPrice: -7.03530923603858E-04-4.83054592845068E-04-1.579</t>
  </si>
  <si>
    <t>2014-11-26 16:0:46.765: RTWSControl  - tickOptionComputation - id:200049 tickType:10 impliedVol:6.80816877899629E-02 delta:0.70458674296321 optPrice:1.21999997645617E-02 pvDividend:0 gamma: 1.79769313486232E+308 theta/vega/undPrice: -3.23904897116687E-04-9.14202184017797E-04-1.579</t>
  </si>
  <si>
    <t>2014-11-26 16:0:46.791: RTWSControl  - tickOptionComputation - id:200049 tickType:11 impliedVol:0.071356471285882 delta:0.695798440667549 optPrice:1.25000001862645E-02 pvDividend:0 gamma: 1.79769313486232E+308 theta/vega/undPrice: -3.43231867125522E-04-9.14200716614116E-04-1.579</t>
  </si>
  <si>
    <t>2014-11-26 16:0:46.829: RTWSControl  - tickOptionComputation - id:200050 tickType:10 impliedVol:6.91625627687199E-02 delta:-0.298350583006345 optPrice:3.29999998211861E-03 pvDividend:0 gamma: 1.79769313486232E+308 theta/vega/undPrice: -3.30347544551388E-04-9.14207260147624E-04-1.579</t>
  </si>
  <si>
    <t>2014-11-26 16:0:46.853: RTWSControl  - tickOptionComputation - id:200050 tickType:11 impliedVol:7.13502477491739E-02 delta:-0.304129323587767 optPrice:3.50000010803342E-03 pvDividend:0 gamma: 1.79769313486232E+308 theta/vega/undPrice: -3.43258905390278E-04-9.1420627430598E-04-1.579</t>
  </si>
  <si>
    <t>2014-11-26 16:0:46.889: RTWSControl  - tickOptionComputation - id:200051 tickType:10 impliedVol:6.87954354598355E-02 delta:-0.296046715948256 optPrice:3.1999999191612E-03 pvDividend:0 gamma: 1.79769313486232E+308 theta/vega/undPrice: -3.28232018409103E-04-8.54878602424545E-04-1.579</t>
  </si>
  <si>
    <t>2014-11-26 16:0:46.912: RTWSControl  - tickOptionComputation - id:200051 tickType:11 impliedVol:7.11245794464522E-02 delta:-0.302012970704934 optPrice:3.40000004507601E-03 pvDividend:0 gamma: 1.79769313486232E+308 theta/vega/undPrice: -3.42432560369446E-04-8.62658653345828E-04-1.579</t>
  </si>
  <si>
    <t>2014-11-26 16:0:46.938: RTWSControl  - tickOptionComputation - id:200052 tickType:10 impliedVol:1.79769313486232E+308 delta:1.79769313486232E+308 optPrice:1.79769313486232E+308 pvDividend:0 gamma: 1.79769313486232E+308 theta/vega/undPrice: 1.79769313486232E+308-1.79769313486232E+308-1.579</t>
  </si>
  <si>
    <t>2014-11-26 16:0:46.966: RTWSControl  - tickOptionComputation - id:200052 tickType:11 impliedVol:1.79769313486232E+308 delta:1.79769313486232E+308 optPrice:1.79769313486232E+308 pvDividend:0 gamma: 1.79769313486232E+308 theta/vega/undPrice: 1.79769313486232E+308-1.79769313486232E+308-1.579</t>
  </si>
  <si>
    <t>2014-11-26 16:0:46.991: RTWSControl  - tickOptionComputation - id:200048 tickType:10 impliedVol:8.16805903704207E-02 delta:-2.52785183595934E-02 optPrice:1.99999994947575E-04 pvDividend:0 gamma: 1.79769313486232E+308 theta/vega/undPrice: -6.5859307417284E-05-1.79308762583458E-04-1.579</t>
  </si>
  <si>
    <t>2014-11-26 16:0:47.18: RTWSControl  - tickOptionComputation - id:200048 tickType:11 impliedVol:8.73119691504086E-02 delta:-3.41760594410159E-02 optPrice:3.00000014249235E-04 pvDividend:0 gamma: 1.79769313486232E+308 theta/vega/undPrice: -9.03625459919223E-05-2.28227267233382E-04-1.579</t>
  </si>
  <si>
    <t>2014-11-26 16:0:47.59: RTWSControl  - tickOptionComputation - id:200053 tickType:10 impliedVol:6.32125646753165E-02 delta:0.09396821145323 optPrice:6.99999975040555E-04 pvDividend:0 gamma: 1.79769313486232E+308 theta/vega/undPrice: -1.4499495122358E-04-4.4730462856597E-04-1.579</t>
  </si>
  <si>
    <t>2014-11-26 16:0:47.83: RTWSControl  - tickOptionComputation - id:200053 tickType:11 impliedVol:6.54541659650646E-02 delta:0.102073959948189 optPrice:7.999999797903E-04 pvDividend:0 gamma: 1.79769313486232E+308 theta/vega/undPrice: -1.5950428487899E-04-4.77385478086666E-04-1.579</t>
  </si>
  <si>
    <t>2014-11-26 16:0:47.117: RTWSControl  - tickOptionComputation - id:200054 tickType:10 impliedVol:1.79769313486232E+308 delta:1.79769313486232E+308 optPrice:1.79769313486232E+308 pvDividend:0 gamma: 1.79769313486232E+308 theta/vega/undPrice: 1.79769313486232E+308-1.79769313486232E+308-1.579</t>
  </si>
  <si>
    <t>2014-11-26 16:0:47.131: RTWSControl  - tickOptionComputation - id:200054 tickType:11 impliedVol:9.02941207272519E-02 delta:1.25579521330202E-02 optPrice:9.99999974737875E-05 pvDividend:0 gamma: 1.79769313486232E+308 theta/vega/undPrice: -4.0021818874162E-05-1.03765800297528E-04-1.579</t>
  </si>
  <si>
    <t>2014-11-26 16:0:47.654: DirectionIndicator - notify - price/longMA/ShortMA/prevDirection are 1.5789/1.57899034496544/1.57896379133195/-1</t>
  </si>
  <si>
    <t>2014-11-26 16:0:47.655: Algorithm - handleTransition - currentHedgeShortfall is NOT ZERO and AUTOHEDGE IS NOT ENABLED!</t>
  </si>
  <si>
    <t>2014-11-26 16:0:47.668: DirectionIndicator - notify - price/longMA/ShortMA/prevDirection are 1.57885/1.578964827699/1.57892586088797/-1</t>
  </si>
  <si>
    <t>2014-11-26 16:0:47.671: Algorithm - handleTransition - currentHedgeShortfall is NOT ZERO and AUTOHEDGE IS NOT ENABLED!</t>
  </si>
  <si>
    <t>2014-11-26 16:0:47.873: RTWSControl  - tickOptionComputation - id:200042 tickType:13 impliedVol:8.21405877768768E-02 delta:-0.027581716917929 optPrice:1.07341323394351E-04 pvDividend:0 gamma: 1.79769313486232E+308 theta/vega/undPrice: -1.46219633294295E-04-8.79450193650104E-05-1.5789</t>
  </si>
  <si>
    <t>2014-11-26 16:0:47.915: RTWSControl  - tickOptionComputation - id:200041 tickType:13 impliedVol:7.28953726996338E-02 delta:0.943197268417854 optPrice:1.41185421288635E-02 pvDividend:0 gamma: 1.79769313486232E+308 theta/vega/undPrice: -2.33905859703151E-04-1.55859370844617E-04-1.5789</t>
  </si>
  <si>
    <t>2014-11-26 16:0:47.937: RTWSControl  - tickOptionComputation - id:200043 tickType:13 impliedVol:7.28953726996338E-02 delta:-5.69152489213494E-02 optPrice:2.18740558548055E-04 pvDividend:0 gamma: 1.79769313486232E+308 theta/vega/undPrice: -2.33997683180059E-04-1.55859627528802E-04-1.5789</t>
  </si>
  <si>
    <t>2014-11-26 16:0:47.972: RTWSControl  - tickOptionComputation - id:200044 tickType:13 impliedVol:6.64005535651597E-02 delta:0.867731357528772 optPrice:9.44129049596931E-03 pvDividend:0 gamma: 1.79769313486232E+308 theta/vega/undPrice: -4.02835851951596E-04-2.97488519157575E-04-1.5789</t>
  </si>
  <si>
    <t>2014-11-26 16:0:47.993: RTWSControl  - tickOptionComputation - id:200046 tickType:13 impliedVol:6.64005535651597E-02 delta:-0.132381315052113 optPrice:5.41418182197047E-04 pvDividend:0 gamma: 1.79769313486232E+308 theta/vega/undPrice: -4.02895282641603E-04-2.97488806795275E-04-1.5789</t>
  </si>
  <si>
    <t>2014-11-26 16:0:48.17: RTWSControl  - tickOptionComputation - id:200045 tickType:13 impliedVol:6.26561303733979E-02 delta:0.69728060503638 optPrice:5.37924221669414E-03 pvDividend:0 gamma: 1.79769313486232E+308 theta/vega/undPrice: -6.19125095872423E-04-4.45176378073935E-04-1.5789</t>
  </si>
  <si>
    <t>2014-11-26 16:0:48.58: RTWSControl  - tickOptionComputation - id:200047 tickType:13 impliedVol:6.26561303733979E-02 delta:-0.302832503986245 optPrice:1.47930041970633E-03 pvDividend:0 gamma: 1.79769313486232E+308 theta/vega/undPrice: -6.19152674584457E-04-4.45177013811911E-04-1.5789</t>
  </si>
  <si>
    <t>2014-11-26 16:0:48.113: RTWSControl  - tickOptionComputation - id:200055 tickType:13 impliedVol:6.16621031244051E-02 delta:0.442800370000771 optPrice:2.49028784437674E-03 pvDividend:0 gamma: 1.79769313486232E+308 theta/vega/undPrice: -6.86835153036706E-04-4.8303936218118E-04-1.5789</t>
  </si>
  <si>
    <t>2014-11-26 16:0:48.134: RTWSControl  - tickOptionComputation - id:200049 tickType:13 impliedVol:6.87059046351202E-02 delta:0.700810824518295 optPrice:1.21910798227158E-02 pvDividend:0 gamma: 1.79769313486232E+308 theta/vega/undPrice: -3.28441663837885E-04-9.14172948531021E-04-1.5789</t>
  </si>
  <si>
    <t>2014-11-26 16:0:48.180: RTWSControl  - tickOptionComputation - id:200050 tickType:13 impliedVol:6.87059046351202E-02 delta:-0.299259251870721 optPrice:3.29164130008744E-03 pvDividend:0 gamma: 1.79769313486232E+308 theta/vega/undPrice: -3.28504563820448E-04-9.14178503123691E-04-1.5789</t>
  </si>
  <si>
    <t>2014-11-26 16:0:48.225: RTWSControl  - tickOptionComputation - id:200051 tickType:13 impliedVol:7.14706225964186E-02 delta:-0.304886724269745 optPrice:3.46033334483148E-03 pvDividend:0 gamma: 1.79769313486232E+308 theta/vega/undPrice: -3.45515886297847E-04-8.66212290791499E-04-1.5789</t>
  </si>
  <si>
    <t>2014-11-26 16:0:48.245: RTWSControl  - tickOptionComputation - id:200052 tickType:13 impliedVol:0.124034942675138 delta:-0.510455612418073 optPrice:1.28010233860104E-02 pvDividend:0 gamma: 1.79769313486232E+308 theta/vega/undPrice: -6.82798073174863E-04-9.86409126383057E-04-1.5789</t>
  </si>
  <si>
    <t>2014-11-26 16:0:48.299: RTWSControl  - tickOptionComputation - id:200048 tickType:13 impliedVol:8.41556459287656E-02 delta:-2.96802609895743E-02 optPrice:2.46601501900333E-04 pvDividend:0 gamma: 1.79769313486232E+308 theta/vega/undPrice: -7.73595838904249E-05-1.95143820678577E-04-1.5789</t>
  </si>
  <si>
    <t>2014-11-26 16:0:48.419: RTWSControl  - tickOptionComputation - id:200053 tickType:13 impliedVol:0.063718414751202 delta:9.47375916276884E-02 optPrice:7.12405654188635E-04 pvDividend:0 gamma: 1.79769313486232E+308 theta/vega/undPrice: -1.46998210104183E-04-4.4729036741106E-04-1.5789</t>
  </si>
  <si>
    <t>2014-11-26 16:0:48.471: RTWSControl  - tickOptionComputation - id:200054 tickType:13 impliedVol:6.91931762770039E-02 delta:1.6051022364892E-03 optPrice:8.11724376833271E-06 pvDividend:0 gamma: 0.298026018914048 theta/vega/undPrice: -4.87139277295475E-06-2.31416979200769E-05-1.5789</t>
  </si>
  <si>
    <t>2014-11-26 16:0:48.670: RTWSControl  - tickOptionComputation - id:200042 tickType:10 impliedVol:9.24698527963487E-02 delta:-0.043186577260955 optPrice:1.99999994947575E-04 pvDividend:0 gamma: 1.79769313486232E+308 theta/vega/undPrice: -2.40167673915123E-04-1.43156667457367E-04-1.5789</t>
  </si>
  <si>
    <t>2014-11-26 16:0:48.712: RTWSControl  - tickOptionComputation - id:200042 tickType:11 impliedVol:9.24698527963487E-02 delta:-0.043186577260955 optPrice:1.99999994947575E-04 pvDividend:0 gamma: 1.79769313486232E+308 theta/vega/undPrice: -2.40167673915123E-04-1.43156667457367E-04-1.5789</t>
  </si>
  <si>
    <t>2014-11-26 16:0:48.754: RTWSControl  - tickOptionComputation - id:200042 tickType:13 impliedVol:8.08886220523277E-02 delta:-2.54605801332252E-02 optPrice:9.63564052892376E-05 pvDividend:0 gamma: 1.79769313486232E+308 theta/vega/undPrice: -1.34941429760743E-04-8.77413146689595E-05-1.5789</t>
  </si>
  <si>
    <t>2014-11-26 16:0:48.777: RTWSControl  - tickOptionComputation - id:200041 tickType:11 impliedVol:7.86370531069423E-02 delta:0.929553700400755 optPrice:1.42000000923872E-02 pvDividend:0 gamma: 1.79769313486232E+308 theta/vega/undPrice: -2.99820349677377E-04-1.97023111091691E-04-1.5789</t>
  </si>
  <si>
    <t>2014-11-26 16:0:48.814: RTWSControl  - tickOptionComputation - id:200041 tickType:13 impliedVol:7.18923676002703E-02 delta:0.945782214573366 optPrice:1.41041604136138E-02 pvDividend:0 gamma: 1.79769313486232E+308 theta/vega/undPrice: -2.22391354773008E-04-1.48668536996452E-04-1.5789</t>
  </si>
  <si>
    <t>2014-11-26 16:0:48.848: RTWSControl  - tickOptionComputation - id:200043 tickType:10 impliedVol:6.26998808236946E-02 delta:-3.28563107863764E-02 optPrice:9.99999974737875E-05 pvDividend:0 gamma: 1.79769313486232E+308 theta/vega/undPrice: -1.29066419849235E-04-1.16024139350214E-04-1.5789</t>
  </si>
  <si>
    <t>2014-11-26 16:0:48.882: RTWSControl  - tickOptionComputation - id:200043 tickType:11 impliedVol:7.85625429670696E-02 delta:-0.070269582350638 optPrice:3.00000014249235E-04 pvDividend:0 gamma: 1.79769313486232E+308 theta/vega/undPrice: -2.99056870188481E-04-1.9648922674649E-04-1.5789</t>
  </si>
  <si>
    <t>2014-11-26 16:0:48.915: RTWSControl  - tickOptionComputation - id:200043 tickType:13 impliedVol:7.18923676002703E-02 delta:-5.43303008847778E-02 optPrice:2.04358833438417E-04 pvDividend:0 gamma: 1.79769313486232E+308 theta/vega/undPrice: -2.22483165344321E-04-1.48668786060192E-04-1.5789</t>
  </si>
  <si>
    <t>2014-11-26 16:0:48.938: RTWSControl  - tickOptionComputation - id:200044 tickType:13 impliedVol:6.57742772691847E-02 delta:0.870298696225366 optPrice:9.42265948409979E-03 pvDividend:0 gamma: 1.79769313486232E+308 theta/vega/undPrice: -3.9423690809899E-04-2.97488540031596E-04-1.5789</t>
  </si>
  <si>
    <t>2014-11-26 16:0:48.974: RTWSControl  - tickOptionComputation - id:200046 tickType:13 impliedVol:6.57742772691847E-02 delta:-0.129813973683931 optPrice:5.22787152322846E-04 pvDividend:0 gamma: 1.79769313486232E+308 theta/vega/undPrice: -3.94296322471528E-04-2.974888276473E-04-1.5789</t>
  </si>
  <si>
    <t>2014-11-26 16:0:49.5: RTWSControl  - tickOptionComputation - id:200045 tickType:13 impliedVol:6.25343510591279E-02 delta:0.697644045155636 optPrice:5.37382088647981E-03 pvDividend:0 gamma: 1.79769313486232E+308 theta/vega/undPrice: -6.1764424458626E-04-4.45176383736703E-04-1.5789</t>
  </si>
  <si>
    <t>2014-11-26 16:0:49.33: RTWSControl  - tickOptionComputation - id:200044 tickType:10 impliedVol:0.060469972130373 delta:0.888550044712626 optPrice:9.30000003427267E-03 pvDividend:0 gamma: 1.79769313486232E+308 theta/vega/undPrice: -3.23777222820317E-04-2.61541494269383E-04-1.5789</t>
  </si>
  <si>
    <t>2014-11-26 16:0:49.54: RTWSControl  - tickOptionComputation - id:200044 tickType:11 impliedVol:7.17475542711448E-02 delta:0.847533945525713 optPrice:9.60000045597553E-03 pvDividend:0 gamma: 1.79769313486232E+308 theta/vega/undPrice: -4.762515799357E-04-2.97488340714401E-04-1.5789</t>
  </si>
  <si>
    <t>2014-11-26 16:0:49.101: RTWSControl  - tickOptionComputation - id:200046 tickType:10 impliedVol:6.50082950651864E-02 delta:-0.12659051719956 optPrice:5.00000023748726E-04 pvDividend:0 gamma: 1.79769313486232E+308 theta/vega/undPrice: -3.83779157049349E-04-2.97488853142136E-04-1.5789</t>
  </si>
  <si>
    <t>2014-11-26 16:0:49.126: RTWSControl  - tickOptionComputation - id:200046 tickType:11 impliedVol:7.17312332044437E-02 delta:-0.152395577765222 optPrice:6.99999975040555E-04 pvDividend:0 gamma: 1.79769313486232E+308 theta/vega/undPrice: -4.76087057113216E-04-2.97488629311776E-04-1.5789</t>
  </si>
  <si>
    <t>2014-11-26 16:0:49.164: RTWSControl  - tickOptionComputation - id:200047 tickType:13 impliedVol:6.25343510591279E-02 delta:-0.30246906329387 optPrice:1.47387908174922E-03 pvDividend:0 gamma: 1.79769313486232E+308 theta/vega/undPrice: -6.17671818333976E-04-4.45177019475846E-04-1.5789</t>
  </si>
  <si>
    <t>2014-11-26 16:0:49.185: RTWSControl  - tickOptionComputation - id:200055 tickType:13 impliedVol:6.21725889700429E-02 delta:0.443286198806628 optPrice:2.51494633164066E-03 pvDividend:0 gamma: 1.79769313486232E+308 theta/vega/undPrice: -6.92641621391217E-04-4.83039337228723E-04-1.5789</t>
  </si>
  <si>
    <t>2014-11-26 16:0:49.223: RTWSControl  - tickOptionComputation - id:200045 tickType:10 impliedVol:6.08761094924587E-02 delta:0.702649485108263 optPrice:5.29999984428287E-03 pvDividend:0 gamma: 1.79769313486232E+308 theta/vega/undPrice: -5.9747982079163E-04-4.45176460042471E-04-1.5789</t>
  </si>
  <si>
    <t>2014-11-26 16:0:49.253: RTWSControl  - tickOptionComputation - id:200045 tickType:11 impliedVol:0.067615008169062 delta:0.683512133407533 optPrice:5.59999980032444E-03 pvDividend:0 gamma: 1.79769313486232E+308 theta/vega/undPrice: -6.79425614073544E-04-4.45176140453744E-04-1.5789</t>
  </si>
  <si>
    <t>2014-11-26 16:0:49.287: RTWSControl  - tickOptionComputation - id:200049 tickType:13 impliedVol:6.88454517490396E-02 delta:0.700430337352137 optPrice:1.22038368722634E-02 pvDividend:0 gamma: 1.79769313486232E+308 theta/vega/undPrice: -3.2926521154944E-04-9.14172886771539E-04-1.5789</t>
  </si>
  <si>
    <t>2014-11-26 16:0:49.311: RTWSControl  - tickOptionComputation - id:200050 tickType:13 impliedVol:6.88454517490396E-02 delta:-0.29963974164704 optPrice:3.30439842713842E-03 pvDividend:0 gamma: 1.79769313486232E+308 theta/vega/undPrice: -3.29328123530303E-04-9.14178441376257E-04-1.5789</t>
  </si>
  <si>
    <t>2014-11-26 16:0:49.343: RTWSControl  - tickOptionComputation - id:200051 tickType:13 impliedVol:7.07732019681924E-02 delta:-0.303165604059107 optPrice:3.39999756916652E-03 pvDividend:0 gamma: 1.79769313486232E+308 theta/vega/undPrice: -3.41282014819979E-04-8.64028949470122E-04-1.5789</t>
  </si>
  <si>
    <t>2014-11-26 16:0:49.364: RTWSControl  - tickOptionComputation - id:200047 tickType:10 impliedVol:6.08748069991338E-02 delta:-0.297333081921399 optPrice:1.39999995008111E-03 pvDividend:0 gamma: 1.79769313486232E+308 theta/vega/undPrice: -5.97491488410959E-04-4.45177095837108E-04-1.5789</t>
  </si>
  <si>
    <t>2014-11-26 16:0:49.386: RTWSControl  - tickOptionComputation - id:200047 tickType:11 impliedVol:6.53674000617143E-02 delta:-0.310532464444629 optPrice:1.5999999595806E-03 pvDividend:0 gamma: 1.79769313486232E+308 theta/vega/undPrice: -6.5212214266533E-04-4.45176886030664E-04-1.5789</t>
  </si>
  <si>
    <t>2014-11-26 16:0:49.432: RTWSControl  - tickOptionComputation - id:200052 tickType:13 impliedVol:0.123001667137112 delta:-0.510607973476476 optPrice:1.26991000894944E-02 pvDividend:0 gamma: 1.79769313486232E+308 theta/vega/undPrice: -6.77103171428895E-04-9.86399209928623E-04-1.5789</t>
  </si>
  <si>
    <t>2014-11-26 16:0:49.457: RTWSControl  - tickOptionComputation - id:200048 tickType:13 impliedVol:8.34676694741496E-02 delta:-2.85792107196178E-02 optPrice:2.34265853013435E-04 pvDividend:0 gamma: 1.79769313486232E+308 theta/vega/undPrice: -7.43661560428457E-05-1.87352982746243E-04-1.5789</t>
  </si>
  <si>
    <t>2014-11-26 16:0:49.478: RTWSControl  - tickOptionComputation - id:200055 tickType:10 impliedVol:5.97992240128346E-02 delta:0.440902495589675 optPrice:2.40000011399388E-03 pvDividend:0 gamma: 1.79769313486232E+308 theta/vega/undPrice: -6.6564602089704E-04-4.83039451661255E-04-1.5789</t>
  </si>
  <si>
    <t>2014-11-26 16:0:49.511: RTWSControl  - tickOptionComputation - id:200055 tickType:11 impliedVol:6.39382789661775E-02 delta:0.444851503559646 optPrice:2.60000000707805E-03 pvDividend:0 gamma: 1.79769313486232E+308 theta/vega/undPrice: -7.12725273048733E-04-4.83039249471314E-04-1.5789</t>
  </si>
  <si>
    <t>2014-11-26 16:0:49.548: RTWSControl  - tickOptionComputation - id:200053 tickType:13 impliedVol:6.48235890488902E-02 delta:9.87605240974298E-02 optPrice:7.61839127289918E-04 pvDividend:0 gamma: 1.79769313486232E+308 theta/vega/undPrice: -1.54151505257039E-04-4.60606662097974E-04-1.5789</t>
  </si>
  <si>
    <t>2014-11-26 16:0:49.577: RTWSControl  - tickOptionComputation - id:200049 tickType:10 impliedVol:6.88034783104039E-02 delta:0.700456062613635 optPrice:1.21999997645617E-02 pvDividend:0 gamma: 1.79769313486232E+308 theta/vega/undPrice: -3.29017502181811E-04-9.14172905358076E-04-1.5789</t>
  </si>
  <si>
    <t>2014-11-26 16:0:49.598: RTWSControl  - tickOptionComputation - id:200049 tickType:11 impliedVol:7.20851325233941E-02 delta:0.691928085367867 optPrice:1.25000001862645E-02 pvDividend:0 gamma: 1.79769313486232E+308 theta/vega/undPrice: -3.48384391157116E-04-9.14171426642504E-04-1.5789</t>
  </si>
  <si>
    <t>2014-11-26 16:0:49.642: RTWSControl  - tickOptionComputation - id:200054 tickType:13 impliedVol:7.14020813737051E-02 delta:2.07098540741863E-03 optPrice:1.09896241197578E-05 pvDividend:0 gamma: 0.365487796095132 theta/vega/undPrice: -6.36160822490726E-06-3.20767707908657E-05-1.5789</t>
  </si>
  <si>
    <t>2014-11-26 16:0:49.666: RTWSControl  - tickOptionComputation - id:200050 tickType:10 impliedVol:6.87973382279022E-02 delta:-0.299470870821823 optPrice:3.29999998211861E-03 pvDividend:0 gamma: 1.79769313486232E+308 theta/vega/undPrice: -3.29044173871446E-04-9.14178462676073E-04-1.5789</t>
  </si>
  <si>
    <t>2014-11-26 16:0:49.686: RTWSControl  - tickOptionComputation - id:200050 tickType:11 impliedVol:7.09850921479465E-02 delta:-0.305245795630985 optPrice:3.50000010803342E-03 pvDividend:0 gamma: 1.79769313486232E+308 theta/vega/undPrice: -3.41955538175848E-04-9.14177482787363E-04-1.5789</t>
  </si>
  <si>
    <t>2014-11-26 16:0:49.722: RTWSControl  - tickOptionComputation - id:200051 tickType:10 impliedVol:6.84552851147417E-02 delta:-0.297187054816546 optPrice:3.1999999191612E-03 pvDividend:0 gamma: 1.79769313486232E+308 theta/vega/undPrice: -3.27163938863789E-04-8.56331003326692E-04-1.5789</t>
  </si>
  <si>
    <t>2014-11-26 16:0:49.756: RTWSControl  - tickOptionComputation - id:200051 tickType:11 impliedVol:7.19293420790997E-02 delta:-0.305963998261883 optPrice:3.50000010803342E-03 pvDividend:0 gamma: 1.79769313486232E+308 theta/vega/undPrice: -3.48297243920489E-04-8.67616763148344E-04-1.5789</t>
  </si>
  <si>
    <t>2014-11-26 16:0:49.794: RTWSControl  - tickOptionComputation - id:200052 tickType:10 impliedVol:1.79769313486232E+308 delta:1.79769313486232E+308 optPrice:1.79769313486232E+308 pvDividend:0 gamma: 1.79769313486232E+308 theta/vega/undPrice: 1.79769313486232E+308-1.79769313486232E+308-1.5789</t>
  </si>
  <si>
    <t>2014-11-26 16:0:49.808: RTWSControl  - tickOptionComputation - id:200052 tickType:11 impliedVol:1.79769313486232E+308 delta:1.79769313486232E+308 optPrice:1.79769313486232E+308 pvDividend:0 gamma: 1.79769313486232E+308 theta/vega/undPrice: 1.79769313486232E+308-1.79769313486232E+308-1.5789</t>
  </si>
  <si>
    <t>2014-11-26 16:0:49.837: RTWSControl  - tickOptionComputation - id:200048 tickType:10 impliedVol:8.15361646363883E-02 delta:-2.53851201213625E-02 optPrice:1.99999994947575E-04 pvDividend:0 gamma: 1.79769313486232E+308 theta/vega/undPrice: -6.59620509488276E-05-1.79303099258779E-04-1.5789</t>
  </si>
  <si>
    <t>2014-11-26 16:0:49.859: RTWSControl  - tickOptionComputation - id:200048 tickType:11 impliedVol:0.087097297474664 delta:-3.41869195006685E-02 optPrice:3.00000014249235E-04 pvDividend:0 gamma: 1.79769313486232E+308 theta/vega/undPrice: -9.01588726043385E-05-2.28455849770846E-04-1.5789</t>
  </si>
  <si>
    <t>2014-11-26 16:0:49.895: RTWSControl  - tickOptionComputation - id:200053 tickType:10 impliedVol:6.12053866218128E-02 delta:8.50405222165688E-02 optPrice:6.00000028498471E-04 pvDividend:0 gamma: 1.79769313486232E+308 theta/vega/undPrice: -1.30732490555962E-04-4.47290834210908E-04-1.5789</t>
  </si>
  <si>
    <t>2014-11-26 16:0:49.926: RTWSControl  - tickOptionComputation - id:200053 tickType:11 impliedVol:0.06567889981553 delta:0.101768491760894 optPrice:7.999999797903E-04 pvDividend:0 gamma: 1.79769313486232E+308 theta/vega/undPrice: -1.59687542497224E-04-4.75180641034895E-04-1.5789</t>
  </si>
  <si>
    <t>2014-11-26 16:0:49.962: RTWSControl  - tickOptionComputation - id:200054 tickType:10 impliedVol:1.79769313486232E+308 delta:1.79769313486232E+308 optPrice:1.79769313486232E+308 pvDividend:0 gamma: 1.79769313486232E+308 theta/vega/undPrice: 1.79769313486232E+308-1.79769313486232E+308-1.5789</t>
  </si>
  <si>
    <t>2014-11-26 16:0:49.975: RTWSControl  - tickOptionComputation - id:200054 tickType:11 impliedVol:9.05306821819762E-02 delta:1.26162603352692E-02 optPrice:9.99999974737875E-05 pvDividend:0 gamma: 1.79769313486232E+308 theta/vega/undPrice: -4.02796131548678E-05-1.03762499546814E-04-1.5789</t>
  </si>
  <si>
    <t>2014-11-26 16:0:50.326: DirectionIndicator - notify - price/longMA/ShortMA/prevDirection are 1.5789/1.57895304084464/1.57891724059198/-1</t>
  </si>
  <si>
    <t>2014-11-26 16:0:50.326: Algorithm - handleTransition - currentHedgeShortfall is NOT ZERO and AUTOHEDGE IS NOT ENABLED!</t>
  </si>
  <si>
    <t>2014-11-26 16:0:50.455: DirectionIndicator - notify - price/longMA/ShortMA/prevDirection are 1.57895/1.57895248796379/1.57892816039465/-1</t>
  </si>
  <si>
    <t>2014-11-26 16:0:50.455: Algorithm - handleTransition - currentHedgeShortfall is NOT ZERO and AUTOHEDGE IS NOT ENABLED!</t>
  </si>
  <si>
    <t>2014-11-26 16:0:50.626: DirectionIndicator - notify - price/longMA/ShortMA/prevDirection are 1.5789/1.57894294469765/1.57891877359643/-1</t>
  </si>
  <si>
    <t>2014-11-26 16:0:50.630: Algorithm - handleTransition - currentHedgeShortfall is NOT ZERO and AUTOHEDGE IS NOT ENABLED!</t>
  </si>
  <si>
    <t>2014-11-26 16:0:50.659: DirectionIndicator - notify - price/longMA/ShortMA/prevDirection are 1.57885/1.57892604566171/1.57889584906429/-1</t>
  </si>
  <si>
    <t>2014-11-26 16:0:50.659: Algorithm - handleTransition - currentHedgeShortfall is NOT ZERO and AUTOHEDGE IS NOT ENABLED!</t>
  </si>
  <si>
    <t>2014-11-26 16:0:50.865: DirectionIndicator - notify - price/longMA/ShortMA/prevDirection are 1.5789/1.57892131008686/1.57889723270953/-1</t>
  </si>
  <si>
    <t>2014-11-26 16:0:50.866: Algorithm - handleTransition - currentHedgeShortfall is NOT ZERO and AUTOHEDGE IS NOT ENABLED!</t>
  </si>
  <si>
    <t>2014-11-26 16:0:50.996: DirectionIndicator - notify - price/longMA/ShortMA/prevDirection are 1.57895/1.5789265264347/1.57891482180635/-1</t>
  </si>
  <si>
    <t>2014-11-26 16:0:50.996: Algorithm - handleTransition - currentHedgeShortfall is NOT ZERO and AUTOHEDGE IS NOT ENABLED!</t>
  </si>
  <si>
    <t>2014-11-26 16:0:51.168: DirectionIndicator - notify - price/longMA/ShortMA/prevDirection are 1.5789/1.57892170344657/1.57890988120423/-1</t>
  </si>
  <si>
    <t>2014-11-26 16:0:51.169: Algorithm - handleTransition - currentHedgeShortfall is NOT ZERO and AUTOHEDGE IS NOT ENABLED!</t>
  </si>
  <si>
    <t>2014-11-26 16:0:51.279: DirectionIndicator - notify - price/longMA/ShortMA/prevDirection are 1.57885/1.57890866645629/1.57888992080282/-1</t>
  </si>
  <si>
    <t>2014-11-26 16:0:51.280: Algorithm - handleTransition - currentHedgeShortfall is NOT ZERO and AUTOHEDGE IS NOT ENABLED!</t>
  </si>
  <si>
    <t>2014-11-26 16:0:51.488: DirectionIndicator - notify - price/longMA/ShortMA/prevDirection are 1.5789/1.57890709073696/1.57889328053522/-1</t>
  </si>
  <si>
    <t>2014-11-26 16:0:51.488: Algorithm - handleTransition - currentHedgeShortfall is NOT ZERO and AUTOHEDGE IS NOT ENABLED!</t>
  </si>
  <si>
    <t>2014-11-26 16:0:51.619: RTWSControl  - tickOptionComputation - id:200055 tickType:10 impliedVol:5.77227295806449E-02 delta:0.438711435034797 optPrice:2.30000005103648E-03 pvDividend:0 gamma: 1.79769313486232E+308 theta/vega/undPrice: -6.42027130527089E-04-4.83039548473624E-04-1.5789</t>
  </si>
  <si>
    <t>2014-11-26 16:0:51.662: RTWSControl  - tickOptionComputation - id:200055 tickType:11 impliedVol:6.18687490802468E-02 delta:0.442941986257887 optPrice:2.49999994412065E-03 pvDividend:0 gamma: 1.79769313486232E+308 theta/vega/undPrice: -6.89185626145167E-04-4.83039352103672E-04-1.5789</t>
  </si>
  <si>
    <t>2014-11-26 16:0:51.687: RTWSControl  - tickOptionComputation - id:200052 tickType:10 impliedVol:1.79769313486232E+308 delta:1.79769313486232E+308 optPrice:1.79769313486232E+308 pvDividend:0 gamma: 1.79769313486232E+308 theta/vega/undPrice: 1.79769313486232E+308-1.79769313486232E+308-1.5789</t>
  </si>
  <si>
    <t>2014-11-26 16:0:51.714: RTWSControl  - tickOptionComputation - id:200052 tickType:11 impliedVol:1.79769313486232E+308 delta:1.79769313486232E+308 optPrice:1.79769313486232E+308 pvDividend:0 gamma: 1.79769313486232E+308 theta/vega/undPrice: 1.79769313486232E+308-1.79769313486232E+308-1.5789</t>
  </si>
  <si>
    <t>2014-11-26 16:0:51.741: RTWSControl  - tickOptionComputation - id:200054 tickType:10 impliedVol:1.79769313486232E+308 delta:1.79769313486232E+308 optPrice:1.79769313486232E+308 pvDividend:0 gamma: 1.79769313486232E+308 theta/vega/undPrice: 1.79769313486232E+308-1.79769313486232E+308-1.5789</t>
  </si>
  <si>
    <t>2014-11-26 16:0:51.754: DirectionIndicator - notify - price/longMA/ShortMA/prevDirection are 1.57885/1.57889671060297/1.57887885369014/-1</t>
  </si>
  <si>
    <t>2014-11-26 16:0:51.754: Algorithm - handleTransition - currentHedgeShortfall is NOT ZERO and AUTOHEDGE IS NOT ENABLED!</t>
  </si>
  <si>
    <t>2014-11-26 16:1:23.94: Util - flushTransitionFile - an error occurred Object variable or With block variable not set</t>
  </si>
  <si>
    <t>2014-11-26 16:5:51.8: Util - logStaleData - Data is stale!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</si>
</sst>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0.0000"/>
    <numFmt numFmtId="166" formatCode="0.000000"/>
    <numFmt numFmtId="167" formatCode="0.00000"/>
    <numFmt numFmtId="168" formatCode="_-* #,##0.0000000_-;\-* #,##0.0000000_-;_-* &quot;-&quot;??_-;_-@_-"/>
    <numFmt numFmtId="170" formatCode="0.000E+00"/>
    <numFmt numFmtId="171" formatCode="_-[$$-409]* #,##0.00_ ;_-[$$-409]* \-#,##0.00\ ;_-[$$-409]* &quot;-&quot;??_ ;_-@_ "/>
    <numFmt numFmtId="173" formatCode="_-[$$-409]* #,##0.0000_ ;_-[$$-409]* \-#,##0.0000\ ;_-[$$-409]* &quot;-&quot;??_ ;_-@_ "/>
    <numFmt numFmtId="176" formatCode="0.0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9"/>
      <name val="Calibri"/>
      <family val="2"/>
    </font>
    <font>
      <sz val="11"/>
      <name val="Calibri"/>
      <family val="2"/>
    </font>
    <font>
      <sz val="11"/>
      <color indexed="1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b/>
      <sz val="9"/>
      <color indexed="9"/>
      <name val="Calibri"/>
      <family val="2"/>
    </font>
    <font>
      <b/>
      <sz val="12"/>
      <color rgb="FFFFFF00"/>
      <name val="Calibri"/>
      <family val="2"/>
    </font>
    <font>
      <sz val="10"/>
      <name val="Calibri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rgb="FF006400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indexed="6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0070C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6">
    <xf numFmtId="0" fontId="0" fillId="0" borderId="0"/>
    <xf numFmtId="164" fontId="1" fillId="0" borderId="0" applyFont="0" applyFill="0" applyBorder="0" applyAlignment="0" applyProtection="0"/>
    <xf numFmtId="0" fontId="10" fillId="9" borderId="0" applyNumberFormat="0" applyBorder="0" applyAlignment="0" applyProtection="0"/>
    <xf numFmtId="0" fontId="11" fillId="10" borderId="0" applyNumberFormat="0" applyBorder="0" applyAlignment="0" applyProtection="0"/>
    <xf numFmtId="0" fontId="12" fillId="11" borderId="0" applyNumberFormat="0" applyBorder="0" applyAlignment="0" applyProtection="0"/>
    <xf numFmtId="43" fontId="1" fillId="0" borderId="0" applyFont="0" applyFill="0" applyBorder="0" applyAlignment="0" applyProtection="0"/>
  </cellStyleXfs>
  <cellXfs count="131">
    <xf numFmtId="0" fontId="0" fillId="0" borderId="0" xfId="0"/>
    <xf numFmtId="0" fontId="6" fillId="4" borderId="1" xfId="0" applyFont="1" applyFill="1" applyBorder="1" applyAlignment="1">
      <alignment horizontal="center" wrapText="1"/>
    </xf>
    <xf numFmtId="0" fontId="3" fillId="3" borderId="1" xfId="0" applyFont="1" applyFill="1" applyBorder="1"/>
    <xf numFmtId="0" fontId="3" fillId="3" borderId="0" xfId="0" applyFont="1" applyFill="1" applyBorder="1" applyAlignment="1"/>
    <xf numFmtId="0" fontId="0" fillId="3" borderId="0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164" fontId="3" fillId="3" borderId="0" xfId="1" applyFont="1" applyFill="1" applyBorder="1" applyAlignment="1"/>
    <xf numFmtId="164" fontId="0" fillId="3" borderId="0" xfId="1" applyFont="1" applyFill="1" applyBorder="1" applyAlignment="1">
      <alignment horizontal="center"/>
    </xf>
    <xf numFmtId="0" fontId="3" fillId="3" borderId="1" xfId="0" applyFont="1" applyFill="1" applyBorder="1" applyAlignment="1"/>
    <xf numFmtId="0" fontId="2" fillId="2" borderId="1" xfId="0" applyFont="1" applyFill="1" applyBorder="1" applyAlignment="1"/>
    <xf numFmtId="0" fontId="0" fillId="6" borderId="7" xfId="0" quotePrefix="1" applyFill="1" applyBorder="1"/>
    <xf numFmtId="0" fontId="0" fillId="6" borderId="8" xfId="0" applyFill="1" applyBorder="1"/>
    <xf numFmtId="0" fontId="0" fillId="6" borderId="9" xfId="0" applyFill="1" applyBorder="1"/>
    <xf numFmtId="0" fontId="3" fillId="3" borderId="1" xfId="0" applyFont="1" applyFill="1" applyBorder="1" applyAlignment="1"/>
    <xf numFmtId="0" fontId="5" fillId="5" borderId="2" xfId="0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2" fillId="2" borderId="1" xfId="0" applyFont="1" applyFill="1" applyBorder="1" applyAlignment="1">
      <alignment wrapText="1"/>
    </xf>
    <xf numFmtId="0" fontId="0" fillId="0" borderId="0" xfId="0" applyAlignment="1">
      <alignment wrapText="1"/>
    </xf>
    <xf numFmtId="0" fontId="8" fillId="7" borderId="0" xfId="0" applyFont="1" applyFill="1" applyBorder="1" applyAlignment="1"/>
    <xf numFmtId="0" fontId="8" fillId="7" borderId="5" xfId="0" applyFont="1" applyFill="1" applyBorder="1" applyAlignment="1"/>
    <xf numFmtId="0" fontId="6" fillId="4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4" fillId="8" borderId="1" xfId="0" applyFont="1" applyFill="1" applyBorder="1"/>
    <xf numFmtId="0" fontId="5" fillId="5" borderId="2" xfId="0" applyFont="1" applyFill="1" applyBorder="1" applyAlignment="1"/>
    <xf numFmtId="0" fontId="9" fillId="3" borderId="1" xfId="0" applyFont="1" applyFill="1" applyBorder="1" applyAlignment="1">
      <alignment wrapText="1"/>
    </xf>
    <xf numFmtId="0" fontId="5" fillId="5" borderId="3" xfId="0" applyFont="1" applyFill="1" applyBorder="1" applyAlignment="1"/>
    <xf numFmtId="0" fontId="6" fillId="4" borderId="3" xfId="0" applyFont="1" applyFill="1" applyBorder="1" applyAlignment="1">
      <alignment wrapText="1"/>
    </xf>
    <xf numFmtId="0" fontId="6" fillId="4" borderId="14" xfId="0" applyFont="1" applyFill="1" applyBorder="1" applyAlignment="1">
      <alignment horizontal="center" wrapText="1"/>
    </xf>
    <xf numFmtId="0" fontId="4" fillId="8" borderId="1" xfId="0" applyFont="1" applyFill="1" applyBorder="1" applyAlignment="1">
      <alignment horizontal="right"/>
    </xf>
    <xf numFmtId="2" fontId="4" fillId="8" borderId="1" xfId="0" applyNumberFormat="1" applyFont="1" applyFill="1" applyBorder="1"/>
    <xf numFmtId="11" fontId="4" fillId="8" borderId="1" xfId="0" applyNumberFormat="1" applyFont="1" applyFill="1" applyBorder="1" applyAlignment="1">
      <alignment horizontal="right"/>
    </xf>
    <xf numFmtId="0" fontId="0" fillId="0" borderId="3" xfId="0" applyBorder="1" applyAlignment="1"/>
    <xf numFmtId="0" fontId="0" fillId="0" borderId="13" xfId="0" applyBorder="1" applyAlignment="1"/>
    <xf numFmtId="0" fontId="0" fillId="0" borderId="0" xfId="0" applyAlignment="1">
      <alignment horizontal="right"/>
    </xf>
    <xf numFmtId="0" fontId="10" fillId="9" borderId="0" xfId="2"/>
    <xf numFmtId="0" fontId="10" fillId="9" borderId="0" xfId="2" applyAlignment="1">
      <alignment horizontal="right"/>
    </xf>
    <xf numFmtId="0" fontId="11" fillId="10" borderId="0" xfId="3"/>
    <xf numFmtId="0" fontId="11" fillId="10" borderId="0" xfId="3" applyAlignment="1">
      <alignment horizontal="right"/>
    </xf>
    <xf numFmtId="0" fontId="12" fillId="11" borderId="0" xfId="4"/>
    <xf numFmtId="0" fontId="12" fillId="11" borderId="0" xfId="4" applyAlignment="1">
      <alignment horizontal="right"/>
    </xf>
    <xf numFmtId="0" fontId="11" fillId="10" borderId="15" xfId="3" applyBorder="1"/>
    <xf numFmtId="0" fontId="11" fillId="10" borderId="15" xfId="3" applyBorder="1" applyAlignment="1">
      <alignment horizontal="right"/>
    </xf>
    <xf numFmtId="0" fontId="10" fillId="9" borderId="15" xfId="2" applyBorder="1"/>
    <xf numFmtId="0" fontId="10" fillId="9" borderId="15" xfId="2" applyBorder="1" applyAlignment="1">
      <alignment horizontal="right"/>
    </xf>
    <xf numFmtId="0" fontId="2" fillId="2" borderId="6" xfId="0" applyFont="1" applyFill="1" applyBorder="1" applyAlignment="1"/>
    <xf numFmtId="0" fontId="0" fillId="3" borderId="4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2" fillId="2" borderId="1" xfId="0" applyFont="1" applyFill="1" applyBorder="1" applyAlignment="1"/>
    <xf numFmtId="20" fontId="4" fillId="4" borderId="1" xfId="0" applyNumberFormat="1" applyFont="1" applyFill="1" applyBorder="1" applyAlignment="1"/>
    <xf numFmtId="0" fontId="4" fillId="4" borderId="1" xfId="0" applyFont="1" applyFill="1" applyBorder="1" applyAlignment="1"/>
    <xf numFmtId="0" fontId="0" fillId="3" borderId="4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3" fillId="3" borderId="1" xfId="0" applyFont="1" applyFill="1" applyBorder="1" applyAlignment="1"/>
    <xf numFmtId="0" fontId="0" fillId="6" borderId="7" xfId="0" applyFill="1" applyBorder="1"/>
    <xf numFmtId="0" fontId="0" fillId="6" borderId="10" xfId="0" applyFill="1" applyBorder="1"/>
    <xf numFmtId="0" fontId="13" fillId="0" borderId="0" xfId="0" applyFont="1"/>
    <xf numFmtId="164" fontId="3" fillId="3" borderId="1" xfId="1" applyFont="1" applyFill="1" applyBorder="1"/>
    <xf numFmtId="0" fontId="3" fillId="3" borderId="1" xfId="0" applyFont="1" applyFill="1" applyBorder="1" applyAlignment="1"/>
    <xf numFmtId="22" fontId="0" fillId="0" borderId="0" xfId="0" applyNumberFormat="1"/>
    <xf numFmtId="165" fontId="0" fillId="0" borderId="0" xfId="0" applyNumberFormat="1"/>
    <xf numFmtId="0" fontId="3" fillId="3" borderId="2" xfId="0" applyFont="1" applyFill="1" applyBorder="1" applyAlignment="1"/>
    <xf numFmtId="0" fontId="3" fillId="3" borderId="13" xfId="0" applyFont="1" applyFill="1" applyBorder="1" applyAlignment="1"/>
    <xf numFmtId="166" fontId="8" fillId="7" borderId="0" xfId="0" applyNumberFormat="1" applyFont="1" applyFill="1" applyBorder="1" applyAlignment="1"/>
    <xf numFmtId="0" fontId="2" fillId="2" borderId="16" xfId="0" applyFont="1" applyFill="1" applyBorder="1" applyAlignment="1"/>
    <xf numFmtId="0" fontId="15" fillId="0" borderId="0" xfId="0" applyFont="1"/>
    <xf numFmtId="0" fontId="16" fillId="0" borderId="0" xfId="0" applyFont="1"/>
    <xf numFmtId="0" fontId="17" fillId="0" borderId="0" xfId="0" applyFont="1"/>
    <xf numFmtId="167" fontId="3" fillId="3" borderId="1" xfId="0" applyNumberFormat="1" applyFont="1" applyFill="1" applyBorder="1"/>
    <xf numFmtId="168" fontId="3" fillId="3" borderId="1" xfId="5" applyNumberFormat="1" applyFont="1" applyFill="1" applyBorder="1"/>
    <xf numFmtId="0" fontId="2" fillId="2" borderId="1" xfId="0" applyFont="1" applyFill="1" applyBorder="1" applyAlignment="1"/>
    <xf numFmtId="0" fontId="0" fillId="3" borderId="4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5" fillId="5" borderId="2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2" fillId="6" borderId="11" xfId="0" applyFont="1" applyFill="1" applyBorder="1" applyAlignment="1"/>
    <xf numFmtId="0" fontId="2" fillId="6" borderId="12" xfId="0" applyFont="1" applyFill="1" applyBorder="1" applyAlignment="1"/>
    <xf numFmtId="0" fontId="6" fillId="4" borderId="2" xfId="0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0" fontId="6" fillId="4" borderId="10" xfId="0" applyFont="1" applyFill="1" applyBorder="1" applyAlignment="1">
      <alignment horizontal="center"/>
    </xf>
    <xf numFmtId="0" fontId="6" fillId="4" borderId="11" xfId="0" applyFont="1" applyFill="1" applyBorder="1" applyAlignment="1">
      <alignment horizontal="center"/>
    </xf>
    <xf numFmtId="0" fontId="0" fillId="0" borderId="11" xfId="0" applyBorder="1" applyAlignment="1"/>
    <xf numFmtId="0" fontId="5" fillId="5" borderId="4" xfId="0" applyFont="1" applyFill="1" applyBorder="1" applyAlignment="1">
      <alignment horizontal="center"/>
    </xf>
    <xf numFmtId="0" fontId="5" fillId="5" borderId="0" xfId="0" applyFont="1" applyFill="1" applyBorder="1" applyAlignment="1">
      <alignment horizontal="center"/>
    </xf>
    <xf numFmtId="0" fontId="6" fillId="4" borderId="3" xfId="0" applyFont="1" applyFill="1" applyBorder="1" applyAlignment="1">
      <alignment horizontal="center" wrapText="1"/>
    </xf>
    <xf numFmtId="0" fontId="6" fillId="4" borderId="13" xfId="0" applyFont="1" applyFill="1" applyBorder="1" applyAlignment="1">
      <alignment horizontal="center" wrapText="1"/>
    </xf>
    <xf numFmtId="0" fontId="6" fillId="4" borderId="2" xfId="0" applyFont="1" applyFill="1" applyBorder="1" applyAlignment="1">
      <alignment horizontal="center" wrapText="1"/>
    </xf>
    <xf numFmtId="0" fontId="3" fillId="3" borderId="1" xfId="0" applyFont="1" applyFill="1" applyBorder="1" applyAlignment="1"/>
    <xf numFmtId="0" fontId="7" fillId="2" borderId="4" xfId="0" applyFont="1" applyFill="1" applyBorder="1" applyAlignment="1"/>
    <xf numFmtId="0" fontId="7" fillId="2" borderId="0" xfId="0" applyFont="1" applyFill="1" applyBorder="1" applyAlignment="1"/>
    <xf numFmtId="0" fontId="2" fillId="2" borderId="6" xfId="0" applyFont="1" applyFill="1" applyBorder="1" applyAlignment="1"/>
    <xf numFmtId="20" fontId="4" fillId="4" borderId="1" xfId="0" applyNumberFormat="1" applyFont="1" applyFill="1" applyBorder="1" applyAlignment="1"/>
    <xf numFmtId="0" fontId="4" fillId="4" borderId="1" xfId="0" applyFont="1" applyFill="1" applyBorder="1" applyAlignment="1"/>
    <xf numFmtId="0" fontId="0" fillId="3" borderId="7" xfId="0" applyFill="1" applyBorder="1" applyAlignment="1">
      <alignment horizontal="left"/>
    </xf>
    <xf numFmtId="0" fontId="0" fillId="3" borderId="9" xfId="0" applyFill="1" applyBorder="1" applyAlignment="1">
      <alignment horizontal="left"/>
    </xf>
    <xf numFmtId="0" fontId="2" fillId="6" borderId="10" xfId="0" applyFont="1" applyFill="1" applyBorder="1" applyAlignment="1"/>
    <xf numFmtId="0" fontId="14" fillId="12" borderId="0" xfId="0" applyFont="1" applyFill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2" fillId="2" borderId="4" xfId="0" applyFont="1" applyFill="1" applyBorder="1" applyAlignment="1"/>
    <xf numFmtId="0" fontId="18" fillId="0" borderId="0" xfId="0" applyFont="1"/>
    <xf numFmtId="0" fontId="19" fillId="0" borderId="0" xfId="0" applyFont="1"/>
    <xf numFmtId="0" fontId="19" fillId="0" borderId="0" xfId="0" applyFont="1" applyAlignment="1">
      <alignment wrapText="1"/>
    </xf>
    <xf numFmtId="0" fontId="20" fillId="0" borderId="0" xfId="0" applyFont="1"/>
    <xf numFmtId="0" fontId="20" fillId="0" borderId="0" xfId="0" applyFont="1" applyAlignment="1">
      <alignment wrapText="1"/>
    </xf>
    <xf numFmtId="167" fontId="0" fillId="0" borderId="0" xfId="0" applyNumberFormat="1"/>
    <xf numFmtId="170" fontId="0" fillId="0" borderId="0" xfId="0" applyNumberFormat="1"/>
    <xf numFmtId="43" fontId="0" fillId="0" borderId="0" xfId="5" applyFont="1" applyAlignment="1">
      <alignment wrapText="1"/>
    </xf>
    <xf numFmtId="171" fontId="0" fillId="0" borderId="0" xfId="0" applyNumberFormat="1"/>
    <xf numFmtId="0" fontId="0" fillId="0" borderId="0" xfId="0" quotePrefix="1" applyAlignment="1">
      <alignment wrapText="1"/>
    </xf>
    <xf numFmtId="0" fontId="19" fillId="0" borderId="0" xfId="0" quotePrefix="1" applyFont="1"/>
    <xf numFmtId="0" fontId="19" fillId="0" borderId="0" xfId="0" quotePrefix="1" applyFont="1" applyAlignment="1">
      <alignment wrapText="1"/>
    </xf>
    <xf numFmtId="0" fontId="19" fillId="13" borderId="0" xfId="0" applyFont="1" applyFill="1" applyAlignment="1">
      <alignment wrapText="1"/>
    </xf>
    <xf numFmtId="171" fontId="0" fillId="0" borderId="0" xfId="0" applyNumberFormat="1" applyAlignment="1">
      <alignment wrapText="1"/>
    </xf>
    <xf numFmtId="173" fontId="0" fillId="0" borderId="0" xfId="0" applyNumberFormat="1"/>
    <xf numFmtId="173" fontId="19" fillId="0" borderId="0" xfId="0" applyNumberFormat="1" applyFont="1"/>
    <xf numFmtId="171" fontId="15" fillId="0" borderId="0" xfId="0" applyNumberFormat="1" applyFont="1"/>
    <xf numFmtId="0" fontId="15" fillId="0" borderId="0" xfId="0" applyFont="1" applyAlignment="1">
      <alignment wrapText="1"/>
    </xf>
    <xf numFmtId="171" fontId="18" fillId="0" borderId="0" xfId="0" applyNumberFormat="1" applyFont="1"/>
    <xf numFmtId="165" fontId="18" fillId="0" borderId="0" xfId="0" applyNumberFormat="1" applyFont="1"/>
    <xf numFmtId="176" fontId="18" fillId="0" borderId="0" xfId="0" applyNumberFormat="1" applyFont="1"/>
    <xf numFmtId="0" fontId="18" fillId="0" borderId="0" xfId="0" quotePrefix="1" applyFont="1" applyAlignment="1">
      <alignment horizontal="left"/>
    </xf>
    <xf numFmtId="171" fontId="18" fillId="0" borderId="0" xfId="0" quotePrefix="1" applyNumberFormat="1" applyFont="1" applyAlignment="1">
      <alignment horizontal="left"/>
    </xf>
    <xf numFmtId="0" fontId="0" fillId="14" borderId="0" xfId="0" applyFill="1"/>
    <xf numFmtId="167" fontId="0" fillId="14" borderId="0" xfId="0" applyNumberFormat="1" applyFill="1"/>
    <xf numFmtId="170" fontId="0" fillId="14" borderId="0" xfId="0" applyNumberFormat="1" applyFill="1"/>
    <xf numFmtId="43" fontId="0" fillId="14" borderId="0" xfId="5" applyFont="1" applyFill="1" applyAlignment="1">
      <alignment wrapText="1"/>
    </xf>
    <xf numFmtId="171" fontId="0" fillId="14" borderId="0" xfId="0" applyNumberFormat="1" applyFill="1"/>
    <xf numFmtId="0" fontId="21" fillId="0" borderId="0" xfId="0" quotePrefix="1" applyFont="1" applyAlignment="1">
      <alignment wrapText="1"/>
    </xf>
    <xf numFmtId="1" fontId="21" fillId="0" borderId="0" xfId="0" applyNumberFormat="1" applyFont="1" applyAlignment="1">
      <alignment wrapText="1"/>
    </xf>
    <xf numFmtId="1" fontId="15" fillId="0" borderId="0" xfId="0" applyNumberFormat="1" applyFont="1" applyAlignment="1">
      <alignment wrapText="1"/>
    </xf>
  </cellXfs>
  <cellStyles count="6">
    <cellStyle name="Bad" xfId="3" builtinId="27"/>
    <cellStyle name="Comma" xfId="5" builtinId="3"/>
    <cellStyle name="Currency" xfId="1" builtinId="4"/>
    <cellStyle name="Good" xfId="2" builtinId="26"/>
    <cellStyle name="Neutral" xfId="4" builtinId="28"/>
    <cellStyle name="Normal" xfId="0" builtinId="0"/>
  </cellStyles>
  <dxfs count="4">
    <dxf>
      <font>
        <color rgb="FFFFFF00"/>
      </font>
      <fill>
        <patternFill>
          <bgColor rgb="FFFF00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7.emf"/><Relationship Id="rId9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47625</xdr:rowOff>
        </xdr:from>
        <xdr:to>
          <xdr:col>0</xdr:col>
          <xdr:colOff>790575</xdr:colOff>
          <xdr:row>1</xdr:row>
          <xdr:rowOff>66675</xdr:rowOff>
        </xdr:to>
        <xdr:sp macro="" textlink="">
          <xdr:nvSpPr>
            <xdr:cNvPr id="1026" name="cmbConnect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0</xdr:row>
          <xdr:rowOff>47625</xdr:rowOff>
        </xdr:from>
        <xdr:to>
          <xdr:col>2</xdr:col>
          <xdr:colOff>742950</xdr:colOff>
          <xdr:row>1</xdr:row>
          <xdr:rowOff>161925</xdr:rowOff>
        </xdr:to>
        <xdr:sp macro="" textlink="">
          <xdr:nvSpPr>
            <xdr:cNvPr id="1027" name="cmbSubscribeAccountInfo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0</xdr:row>
          <xdr:rowOff>47625</xdr:rowOff>
        </xdr:from>
        <xdr:to>
          <xdr:col>5</xdr:col>
          <xdr:colOff>419100</xdr:colOff>
          <xdr:row>1</xdr:row>
          <xdr:rowOff>161925</xdr:rowOff>
        </xdr:to>
        <xdr:sp macro="" textlink="">
          <xdr:nvSpPr>
            <xdr:cNvPr id="1028" name="cmbSubscribePortfolio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1</xdr:col>
          <xdr:colOff>9525</xdr:colOff>
          <xdr:row>3</xdr:row>
          <xdr:rowOff>85725</xdr:rowOff>
        </xdr:to>
        <xdr:sp macro="" textlink="">
          <xdr:nvSpPr>
            <xdr:cNvPr id="1029" name="CommandButton1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19</xdr:row>
          <xdr:rowOff>9525</xdr:rowOff>
        </xdr:from>
        <xdr:to>
          <xdr:col>15</xdr:col>
          <xdr:colOff>590550</xdr:colOff>
          <xdr:row>19</xdr:row>
          <xdr:rowOff>266700</xdr:rowOff>
        </xdr:to>
        <xdr:sp macro="" textlink="">
          <xdr:nvSpPr>
            <xdr:cNvPr id="1031" name="obRebalanceOnStartup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20</xdr:row>
          <xdr:rowOff>76200</xdr:rowOff>
        </xdr:from>
        <xdr:to>
          <xdr:col>15</xdr:col>
          <xdr:colOff>590550</xdr:colOff>
          <xdr:row>21</xdr:row>
          <xdr:rowOff>142875</xdr:rowOff>
        </xdr:to>
        <xdr:sp macro="" textlink="">
          <xdr:nvSpPr>
            <xdr:cNvPr id="1032" name="obNoRebalanceOnStartup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619125</xdr:colOff>
          <xdr:row>0</xdr:row>
          <xdr:rowOff>57150</xdr:rowOff>
        </xdr:from>
        <xdr:to>
          <xdr:col>8</xdr:col>
          <xdr:colOff>400050</xdr:colOff>
          <xdr:row>1</xdr:row>
          <xdr:rowOff>161925</xdr:rowOff>
        </xdr:to>
        <xdr:sp macro="" textlink="">
          <xdr:nvSpPr>
            <xdr:cNvPr id="1033" name="cmbEnableAutoHedge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828675</xdr:colOff>
          <xdr:row>0</xdr:row>
          <xdr:rowOff>19050</xdr:rowOff>
        </xdr:from>
        <xdr:to>
          <xdr:col>22</xdr:col>
          <xdr:colOff>590550</xdr:colOff>
          <xdr:row>1</xdr:row>
          <xdr:rowOff>152400</xdr:rowOff>
        </xdr:to>
        <xdr:sp macro="" textlink="">
          <xdr:nvSpPr>
            <xdr:cNvPr id="1035" name="cmbDumpContracts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0</xdr:rowOff>
        </xdr:from>
        <xdr:to>
          <xdr:col>2</xdr:col>
          <xdr:colOff>95250</xdr:colOff>
          <xdr:row>25</xdr:row>
          <xdr:rowOff>5603</xdr:rowOff>
        </xdr:to>
        <xdr:sp macro="" textlink="">
          <xdr:nvSpPr>
            <xdr:cNvPr id="1036" name="cbPreserveContract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AK1000"/>
  <sheetViews>
    <sheetView tabSelected="1" topLeftCell="R4" zoomScale="68" zoomScaleNormal="68" workbookViewId="0">
      <selection activeCell="AC30" sqref="AC30"/>
    </sheetView>
  </sheetViews>
  <sheetFormatPr defaultRowHeight="15" x14ac:dyDescent="0.25"/>
  <cols>
    <col min="1" max="1" width="17.7109375" customWidth="1"/>
    <col min="2" max="2" width="10.140625" customWidth="1"/>
    <col min="3" max="3" width="16.140625" customWidth="1"/>
    <col min="4" max="4" width="10.28515625" customWidth="1"/>
    <col min="5" max="5" width="13.85546875" customWidth="1"/>
    <col min="6" max="6" width="10" customWidth="1"/>
    <col min="7" max="7" width="13.85546875" customWidth="1"/>
    <col min="9" max="9" width="14" customWidth="1"/>
    <col min="10" max="10" width="13.140625" customWidth="1"/>
    <col min="11" max="11" width="12.85546875" customWidth="1"/>
    <col min="13" max="13" width="13.85546875" customWidth="1"/>
    <col min="14" max="14" width="22.28515625" customWidth="1"/>
    <col min="15" max="15" width="21" customWidth="1"/>
    <col min="16" max="16" width="15" customWidth="1"/>
    <col min="17" max="17" width="12.140625" customWidth="1"/>
    <col min="18" max="18" width="12.28515625" customWidth="1"/>
    <col min="19" max="19" width="15.28515625" bestFit="1" customWidth="1"/>
    <col min="20" max="20" width="11.85546875" customWidth="1"/>
    <col min="21" max="21" width="12.5703125" customWidth="1"/>
    <col min="25" max="25" width="16.7109375" customWidth="1"/>
    <col min="26" max="26" width="20.28515625" customWidth="1"/>
    <col min="27" max="27" width="14.85546875" customWidth="1"/>
    <col min="28" max="28" width="15.140625" customWidth="1"/>
    <col min="29" max="29" width="17.85546875" bestFit="1" customWidth="1"/>
    <col min="30" max="30" width="20.28515625" customWidth="1"/>
    <col min="31" max="31" width="15.140625" customWidth="1"/>
    <col min="32" max="32" width="16.5703125" customWidth="1"/>
    <col min="34" max="34" width="29.85546875" customWidth="1"/>
    <col min="35" max="35" width="14" customWidth="1"/>
    <col min="36" max="36" width="13.28515625" customWidth="1"/>
    <col min="37" max="37" width="13" bestFit="1" customWidth="1"/>
    <col min="38" max="38" width="12.7109375" customWidth="1"/>
  </cols>
  <sheetData>
    <row r="2" spans="1:34" x14ac:dyDescent="0.25">
      <c r="Y2" t="s">
        <v>371</v>
      </c>
    </row>
    <row r="4" spans="1:34" ht="93" x14ac:dyDescent="0.35">
      <c r="Y4" s="100" t="s">
        <v>372</v>
      </c>
      <c r="Z4" s="100" t="s">
        <v>373</v>
      </c>
      <c r="AA4" s="100" t="s">
        <v>374</v>
      </c>
      <c r="AB4" s="100" t="s">
        <v>394</v>
      </c>
      <c r="AC4" s="100" t="s">
        <v>395</v>
      </c>
      <c r="AD4" s="117" t="s">
        <v>396</v>
      </c>
    </row>
    <row r="5" spans="1:34" ht="23.25" x14ac:dyDescent="0.35">
      <c r="A5" s="15" t="s">
        <v>25</v>
      </c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Y5" s="65">
        <f>SUM(AE41:AE61)+J27</f>
        <v>0.33680089917648726</v>
      </c>
      <c r="Z5" s="65">
        <f>SUM(AJ41:AJ61)</f>
        <v>-503.89618828527102</v>
      </c>
      <c r="AA5" s="65">
        <f>SUM(AG41:AG61)</f>
        <v>1.0814283318841222E-2</v>
      </c>
      <c r="AB5" s="116">
        <f>AA5*62500</f>
        <v>675.8927074275764</v>
      </c>
      <c r="AC5" s="100">
        <v>1</v>
      </c>
      <c r="AD5" s="118">
        <f>AB5*AC5*-1</f>
        <v>-675.8927074275764</v>
      </c>
      <c r="AE5" s="100"/>
      <c r="AF5" s="100"/>
    </row>
    <row r="6" spans="1:34" x14ac:dyDescent="0.25">
      <c r="A6" s="70" t="s">
        <v>0</v>
      </c>
      <c r="B6" s="70"/>
      <c r="C6" s="70" t="s">
        <v>1</v>
      </c>
      <c r="D6" s="70"/>
      <c r="E6" s="70" t="s">
        <v>2</v>
      </c>
      <c r="F6" s="70"/>
      <c r="G6" s="70" t="s">
        <v>3</v>
      </c>
      <c r="H6" s="70"/>
      <c r="I6" s="70" t="s">
        <v>4</v>
      </c>
      <c r="J6" s="70"/>
      <c r="K6" s="70" t="s">
        <v>30</v>
      </c>
      <c r="L6" s="70"/>
      <c r="M6" s="70" t="s">
        <v>37</v>
      </c>
      <c r="N6" s="70"/>
      <c r="O6" s="70"/>
      <c r="P6" s="70"/>
      <c r="Q6" s="70"/>
      <c r="R6" s="70"/>
      <c r="S6" s="70"/>
      <c r="T6" s="70"/>
      <c r="U6" s="48"/>
      <c r="V6" s="48"/>
      <c r="W6" s="48"/>
      <c r="Y6" t="s">
        <v>377</v>
      </c>
      <c r="AD6" s="119">
        <f>AD5/62500</f>
        <v>-1.0814283318841222E-2</v>
      </c>
      <c r="AE6" s="121" t="s">
        <v>439</v>
      </c>
      <c r="AF6" s="100"/>
    </row>
    <row r="7" spans="1:34" x14ac:dyDescent="0.25">
      <c r="A7" s="88" t="s">
        <v>376</v>
      </c>
      <c r="B7" s="88"/>
      <c r="C7" s="88">
        <v>7496</v>
      </c>
      <c r="D7" s="88"/>
      <c r="E7" s="88">
        <v>6</v>
      </c>
      <c r="F7" s="88"/>
      <c r="G7" s="88">
        <v>5</v>
      </c>
      <c r="H7" s="88"/>
      <c r="I7" s="92">
        <v>0.96388888888888891</v>
      </c>
      <c r="J7" s="93"/>
      <c r="K7" s="94" t="s">
        <v>381</v>
      </c>
      <c r="L7" s="95"/>
      <c r="M7" s="71"/>
      <c r="N7" s="72"/>
      <c r="O7" s="71"/>
      <c r="P7" s="72"/>
      <c r="Q7" s="71"/>
      <c r="R7" s="72"/>
      <c r="S7" s="71"/>
      <c r="T7" s="72"/>
      <c r="U7" s="51"/>
      <c r="V7" s="52"/>
      <c r="W7" s="52"/>
      <c r="AD7" s="120">
        <f>AD6*10000</f>
        <v>-108.14283318841221</v>
      </c>
      <c r="AE7" s="122" t="s">
        <v>440</v>
      </c>
      <c r="AF7" s="100"/>
    </row>
    <row r="8" spans="1:34" x14ac:dyDescent="0.25">
      <c r="Y8">
        <f>Y5</f>
        <v>0.33680089917648726</v>
      </c>
      <c r="Z8">
        <f>Z5</f>
        <v>-503.89618828527102</v>
      </c>
    </row>
    <row r="9" spans="1:34" x14ac:dyDescent="0.25">
      <c r="Z9">
        <f>Z8*0.0001</f>
        <v>-5.0389618828527105E-2</v>
      </c>
    </row>
    <row r="10" spans="1:34" ht="23.25" x14ac:dyDescent="0.35">
      <c r="Y10" s="103" t="s">
        <v>401</v>
      </c>
      <c r="Z10" s="103"/>
      <c r="AA10" s="103"/>
      <c r="AB10" s="103"/>
    </row>
    <row r="11" spans="1:34" ht="23.25" x14ac:dyDescent="0.35">
      <c r="A11" s="24" t="s">
        <v>26</v>
      </c>
      <c r="B11" s="26"/>
      <c r="C11" s="26"/>
      <c r="D11" s="26"/>
      <c r="E11" s="26"/>
      <c r="F11" s="26"/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Y11" t="s">
        <v>408</v>
      </c>
      <c r="Z11" s="103">
        <f>AD5</f>
        <v>-675.8927074275764</v>
      </c>
      <c r="AB11" s="103"/>
      <c r="AD11" t="s">
        <v>409</v>
      </c>
    </row>
    <row r="12" spans="1:34" ht="23.25" x14ac:dyDescent="0.35">
      <c r="A12" s="91" t="s">
        <v>31</v>
      </c>
      <c r="B12" s="91"/>
      <c r="C12" s="91" t="s">
        <v>32</v>
      </c>
      <c r="D12" s="91"/>
      <c r="E12" s="45" t="s">
        <v>34</v>
      </c>
      <c r="F12" s="45"/>
      <c r="G12" s="91" t="s">
        <v>33</v>
      </c>
      <c r="H12" s="91"/>
      <c r="I12" s="91" t="s">
        <v>35</v>
      </c>
      <c r="J12" s="91"/>
      <c r="K12" s="70" t="s">
        <v>36</v>
      </c>
      <c r="L12" s="70"/>
      <c r="M12" s="70" t="s">
        <v>24</v>
      </c>
      <c r="N12" s="70"/>
      <c r="O12" s="48" t="s">
        <v>38</v>
      </c>
      <c r="P12" s="48"/>
      <c r="Q12" s="48" t="s">
        <v>57</v>
      </c>
      <c r="R12" s="48"/>
      <c r="S12" s="48"/>
      <c r="T12" s="48"/>
      <c r="U12" s="48"/>
      <c r="V12" s="48"/>
      <c r="W12" s="48"/>
      <c r="Y12" s="103" t="s">
        <v>402</v>
      </c>
      <c r="Z12" s="103">
        <f>2*Z8</f>
        <v>-1007.792376570542</v>
      </c>
      <c r="AA12" s="103"/>
      <c r="AB12" s="103"/>
      <c r="AD12" t="s">
        <v>410</v>
      </c>
      <c r="AG12">
        <v>-800</v>
      </c>
      <c r="AH12" s="123"/>
    </row>
    <row r="13" spans="1:34" ht="23.25" x14ac:dyDescent="0.35">
      <c r="A13" s="7">
        <v>51212.27</v>
      </c>
      <c r="B13" s="3"/>
      <c r="C13" s="7">
        <v>19248.75</v>
      </c>
      <c r="D13" s="3"/>
      <c r="E13" s="7">
        <v>15399</v>
      </c>
      <c r="F13" s="7"/>
      <c r="G13" s="7">
        <v>31963.52</v>
      </c>
      <c r="H13" s="7"/>
      <c r="I13" s="7">
        <v>-3902</v>
      </c>
      <c r="J13" s="7"/>
      <c r="K13" s="8">
        <v>243</v>
      </c>
      <c r="L13" s="6"/>
      <c r="M13" s="5" t="s">
        <v>382</v>
      </c>
      <c r="N13" s="4"/>
      <c r="O13" s="51" t="b">
        <v>1</v>
      </c>
      <c r="P13" s="52"/>
      <c r="Q13" s="49"/>
      <c r="R13" s="50"/>
      <c r="S13" s="51"/>
      <c r="T13" s="52"/>
      <c r="U13" s="51"/>
      <c r="V13" s="52"/>
      <c r="W13" s="52"/>
      <c r="Y13" s="103" t="s">
        <v>403</v>
      </c>
      <c r="Z13" s="103">
        <f>4*Z8*AD5</f>
        <v>1362319.0358502707</v>
      </c>
      <c r="AA13" s="103"/>
      <c r="AB13" s="103"/>
      <c r="AD13" t="s">
        <v>411</v>
      </c>
      <c r="AG13">
        <v>1E-3</v>
      </c>
      <c r="AH13" s="123">
        <v>-1E-3</v>
      </c>
    </row>
    <row r="14" spans="1:34" ht="23.25" x14ac:dyDescent="0.35">
      <c r="Y14" s="103" t="s">
        <v>404</v>
      </c>
      <c r="Z14" s="103">
        <f>2*Y8^2</f>
        <v>0.22686969137218066</v>
      </c>
      <c r="AA14" s="103"/>
      <c r="AB14" s="103"/>
      <c r="AD14" t="s">
        <v>366</v>
      </c>
      <c r="AE14">
        <f>Y8</f>
        <v>0.33680089917648726</v>
      </c>
      <c r="AH14" s="123"/>
    </row>
    <row r="15" spans="1:34" ht="23.25" x14ac:dyDescent="0.35">
      <c r="Y15" s="103" t="s">
        <v>405</v>
      </c>
      <c r="Z15" s="103">
        <f>Y8*2</f>
        <v>0.67360179835297451</v>
      </c>
      <c r="AA15" s="103"/>
      <c r="AB15" s="103"/>
      <c r="AC15" t="s">
        <v>412</v>
      </c>
      <c r="AE15" s="105">
        <f>AE14*AG13</f>
        <v>3.3680089917648728E-4</v>
      </c>
      <c r="AH15" s="124">
        <f>AE14*AH13</f>
        <v>-3.3680089917648728E-4</v>
      </c>
    </row>
    <row r="16" spans="1:34" ht="23.25" x14ac:dyDescent="0.35">
      <c r="Y16" s="103" t="s">
        <v>406</v>
      </c>
      <c r="Z16" s="103">
        <f>Z14-Z13</f>
        <v>-1362318.8089805793</v>
      </c>
      <c r="AA16" s="103"/>
      <c r="AB16" s="103"/>
      <c r="AC16" t="s">
        <v>413</v>
      </c>
      <c r="AE16">
        <f>AG13^2</f>
        <v>9.9999999999999995E-7</v>
      </c>
      <c r="AH16" s="123">
        <f>AH13^2</f>
        <v>9.9999999999999995E-7</v>
      </c>
    </row>
    <row r="17" spans="1:37" ht="23.25" x14ac:dyDescent="0.35">
      <c r="Y17" s="103" t="s">
        <v>407</v>
      </c>
      <c r="Z17" s="103" t="e">
        <f>SQRT(Z16)</f>
        <v>#NUM!</v>
      </c>
      <c r="AA17" s="103"/>
      <c r="AB17" s="103"/>
      <c r="AC17" t="s">
        <v>414</v>
      </c>
      <c r="AE17">
        <f>Z8/2</f>
        <v>-251.94809414263551</v>
      </c>
      <c r="AH17" s="123">
        <f>Z8/2</f>
        <v>-251.94809414263551</v>
      </c>
    </row>
    <row r="18" spans="1:37" ht="23.25" x14ac:dyDescent="0.35">
      <c r="Y18" s="103"/>
      <c r="Z18" s="103">
        <f>_xlfn.NORM.S.DIST(AA18,0)</f>
        <v>0.20582391654021423</v>
      </c>
      <c r="AA18" s="103">
        <v>1.15047443830116</v>
      </c>
      <c r="AB18" s="103"/>
      <c r="AC18" t="s">
        <v>415</v>
      </c>
      <c r="AF18" s="106">
        <f>AE17*AE16</f>
        <v>-2.5194809414263552E-4</v>
      </c>
      <c r="AH18" s="125">
        <f>AH17*AH16</f>
        <v>-2.5194809414263552E-4</v>
      </c>
    </row>
    <row r="19" spans="1:37" ht="23.25" x14ac:dyDescent="0.35">
      <c r="A19" s="73" t="s">
        <v>27</v>
      </c>
      <c r="B19" s="74"/>
      <c r="C19" s="74"/>
      <c r="D19" s="74"/>
      <c r="E19" s="74"/>
      <c r="F19" s="74"/>
      <c r="G19" s="74"/>
      <c r="H19" s="74"/>
      <c r="I19" s="74"/>
      <c r="J19" s="74"/>
      <c r="K19" s="74"/>
      <c r="L19" s="74"/>
      <c r="M19" s="74"/>
      <c r="N19" s="74"/>
      <c r="O19" s="74"/>
      <c r="P19" s="74"/>
      <c r="Q19" s="74"/>
      <c r="R19" s="74"/>
      <c r="S19" s="74"/>
      <c r="T19" s="74"/>
      <c r="U19" s="74"/>
      <c r="V19" s="74"/>
      <c r="W19" s="74"/>
      <c r="Y19" s="103"/>
      <c r="Z19" s="103">
        <f>R27*Y41*SQRT(0.008)</f>
        <v>1.0154327135285772E-2</v>
      </c>
      <c r="AA19" s="103"/>
      <c r="AB19" s="103"/>
      <c r="AC19" t="s">
        <v>416</v>
      </c>
      <c r="AF19" s="106">
        <f>AE15+AF18</f>
        <v>8.4852805033851762E-5</v>
      </c>
      <c r="AH19" s="125">
        <f>AH15+AH18</f>
        <v>-5.8874899331912275E-4</v>
      </c>
    </row>
    <row r="20" spans="1:37" s="18" customFormat="1" ht="46.5" x14ac:dyDescent="0.35">
      <c r="A20" s="17" t="s">
        <v>146</v>
      </c>
      <c r="B20" s="17" t="s">
        <v>147</v>
      </c>
      <c r="C20" s="17"/>
      <c r="D20" s="17"/>
      <c r="E20" s="17" t="s">
        <v>62</v>
      </c>
      <c r="F20" s="17"/>
      <c r="G20" s="17" t="s">
        <v>148</v>
      </c>
      <c r="H20" s="17" t="s">
        <v>149</v>
      </c>
      <c r="I20" s="17" t="s">
        <v>362</v>
      </c>
      <c r="J20" s="17"/>
      <c r="K20" s="17" t="s">
        <v>207</v>
      </c>
      <c r="L20" s="17"/>
      <c r="M20" s="17" t="s">
        <v>215</v>
      </c>
      <c r="N20" s="17" t="s">
        <v>361</v>
      </c>
      <c r="Y20" s="103"/>
      <c r="Z20" s="103">
        <f>Z18/Z19</f>
        <v>20.269577077636839</v>
      </c>
      <c r="AA20" s="103"/>
      <c r="AB20" s="104"/>
      <c r="AC20" s="18" t="s">
        <v>417</v>
      </c>
      <c r="AF20" s="107">
        <f>AF19*10000</f>
        <v>0.84852805033851764</v>
      </c>
      <c r="AH20" s="126">
        <f>AH19*10000</f>
        <v>-5.8874899331912278</v>
      </c>
    </row>
    <row r="21" spans="1:37" x14ac:dyDescent="0.25">
      <c r="A21" s="61">
        <v>1</v>
      </c>
      <c r="B21" s="61">
        <v>1</v>
      </c>
      <c r="C21" s="61"/>
      <c r="D21" s="62"/>
      <c r="E21" s="88">
        <v>5</v>
      </c>
      <c r="F21" s="88"/>
      <c r="G21" s="58">
        <v>5</v>
      </c>
      <c r="H21" s="58">
        <v>10</v>
      </c>
      <c r="I21" s="58">
        <v>0.2</v>
      </c>
      <c r="J21" s="58"/>
      <c r="K21" s="71">
        <v>8</v>
      </c>
      <c r="L21" s="72"/>
      <c r="M21" s="46">
        <v>1</v>
      </c>
      <c r="N21" s="47" t="s">
        <v>178</v>
      </c>
      <c r="AC21" t="s">
        <v>418</v>
      </c>
      <c r="AF21" s="108">
        <f>AF19*62500</f>
        <v>5.3033003146157354</v>
      </c>
      <c r="AH21" s="127">
        <f>AH19*62500</f>
        <v>-36.796812082445172</v>
      </c>
    </row>
    <row r="23" spans="1:37" ht="18.75" x14ac:dyDescent="0.3">
      <c r="Y23" s="101"/>
      <c r="Z23" s="101"/>
      <c r="AA23" s="101"/>
      <c r="AB23" s="101"/>
      <c r="AC23" s="101"/>
      <c r="AD23" s="101"/>
      <c r="AE23" s="101"/>
    </row>
    <row r="24" spans="1:37" ht="18.75" x14ac:dyDescent="0.3">
      <c r="Y24" s="101"/>
      <c r="Z24" s="101" t="s">
        <v>427</v>
      </c>
      <c r="AA24" s="101" t="s">
        <v>428</v>
      </c>
      <c r="AB24" s="101"/>
      <c r="AC24" s="101" t="s">
        <v>429</v>
      </c>
      <c r="AD24" s="101"/>
      <c r="AE24" s="101"/>
    </row>
    <row r="25" spans="1:37" ht="18.75" x14ac:dyDescent="0.3">
      <c r="A25" s="24" t="s">
        <v>28</v>
      </c>
      <c r="B25" s="26"/>
      <c r="C25" s="26"/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Y25" s="101" t="s">
        <v>103</v>
      </c>
      <c r="Z25" s="115">
        <f>AI27</f>
        <v>1.0814283318841222E-2</v>
      </c>
      <c r="AA25" s="101">
        <f>Z25*62500</f>
        <v>675.8927074275764</v>
      </c>
      <c r="AB25" s="101"/>
      <c r="AC25" s="101"/>
      <c r="AD25" s="110" t="s">
        <v>168</v>
      </c>
      <c r="AE25" s="110" t="s">
        <v>169</v>
      </c>
      <c r="AH25" t="s">
        <v>437</v>
      </c>
    </row>
    <row r="26" spans="1:37" s="18" customFormat="1" ht="30.75" x14ac:dyDescent="0.3">
      <c r="A26" s="17" t="s">
        <v>5</v>
      </c>
      <c r="B26" s="17" t="s">
        <v>6</v>
      </c>
      <c r="C26" s="17" t="s">
        <v>7</v>
      </c>
      <c r="D26" s="17" t="s">
        <v>10</v>
      </c>
      <c r="E26" s="17" t="s">
        <v>11</v>
      </c>
      <c r="F26" s="17" t="s">
        <v>12</v>
      </c>
      <c r="G26" s="17" t="s">
        <v>13</v>
      </c>
      <c r="H26" s="17" t="s">
        <v>14</v>
      </c>
      <c r="I26" s="17" t="s">
        <v>15</v>
      </c>
      <c r="J26" s="17" t="s">
        <v>16</v>
      </c>
      <c r="K26" s="17" t="s">
        <v>43</v>
      </c>
      <c r="L26" s="17" t="s">
        <v>45</v>
      </c>
      <c r="M26" s="17" t="s">
        <v>46</v>
      </c>
      <c r="N26" s="17" t="s">
        <v>42</v>
      </c>
      <c r="O26" s="17" t="s">
        <v>44</v>
      </c>
      <c r="P26" s="17" t="s">
        <v>50</v>
      </c>
      <c r="Q26" s="17"/>
      <c r="R26" s="17" t="s">
        <v>58</v>
      </c>
      <c r="S26" s="17" t="s">
        <v>18</v>
      </c>
      <c r="T26" s="17" t="s">
        <v>19</v>
      </c>
      <c r="U26" s="17" t="s">
        <v>59</v>
      </c>
      <c r="V26" s="17" t="s">
        <v>60</v>
      </c>
      <c r="W26" s="17"/>
      <c r="Y26" s="102" t="s">
        <v>421</v>
      </c>
      <c r="Z26" s="102">
        <f>0.5*Z8</f>
        <v>-251.94809414263551</v>
      </c>
      <c r="AA26" s="102">
        <f>-0.5*Z9</f>
        <v>2.5194809414263553E-2</v>
      </c>
      <c r="AB26" s="102"/>
      <c r="AC26" s="111" t="s">
        <v>430</v>
      </c>
      <c r="AD26" s="112">
        <f>AA26*Z35^2</f>
        <v>8.6192323527376651E-7</v>
      </c>
      <c r="AE26" s="112">
        <f>AA26*AA35^2</f>
        <v>1.300933428494478E-6</v>
      </c>
      <c r="AF26" s="109" t="s">
        <v>433</v>
      </c>
      <c r="AH26" s="18" t="s">
        <v>434</v>
      </c>
      <c r="AI26" s="113">
        <f>-AD5</f>
        <v>675.8927074275764</v>
      </c>
    </row>
    <row r="27" spans="1:37" ht="18.75" x14ac:dyDescent="0.3">
      <c r="A27" s="9" t="s">
        <v>39</v>
      </c>
      <c r="B27" s="9" t="s">
        <v>48</v>
      </c>
      <c r="C27" s="9">
        <v>20141215</v>
      </c>
      <c r="D27" s="9">
        <v>62500</v>
      </c>
      <c r="E27" s="9"/>
      <c r="F27" s="9" t="s">
        <v>41</v>
      </c>
      <c r="G27" s="9" t="s">
        <v>40</v>
      </c>
      <c r="H27" s="9" t="s">
        <v>363</v>
      </c>
      <c r="I27" s="9" t="s">
        <v>49</v>
      </c>
      <c r="J27" s="9">
        <v>6</v>
      </c>
      <c r="K27" s="9">
        <v>1.5788</v>
      </c>
      <c r="L27" s="9"/>
      <c r="M27" s="9">
        <v>8</v>
      </c>
      <c r="N27" s="9">
        <v>1.5788</v>
      </c>
      <c r="O27" s="9">
        <v>1.5789</v>
      </c>
      <c r="P27" s="9">
        <v>10</v>
      </c>
      <c r="Q27" s="9"/>
      <c r="R27" s="9">
        <v>1.5791499499999999</v>
      </c>
      <c r="S27" s="9">
        <v>592181.24</v>
      </c>
      <c r="T27" s="9">
        <v>98419.846363649995</v>
      </c>
      <c r="U27" s="14">
        <v>1662.16</v>
      </c>
      <c r="V27" s="14">
        <v>474.96</v>
      </c>
      <c r="W27" s="53"/>
      <c r="Y27" s="101" t="s">
        <v>422</v>
      </c>
      <c r="Z27" s="101">
        <f>Y5</f>
        <v>0.33680089917648726</v>
      </c>
      <c r="AA27" s="101"/>
      <c r="AB27" s="101"/>
      <c r="AC27" s="110" t="s">
        <v>431</v>
      </c>
      <c r="AD27" s="101">
        <f>Z27*Z35</f>
        <v>-1.9699354595304622E-3</v>
      </c>
      <c r="AE27" s="101">
        <f>Z27*AA35</f>
        <v>2.4201664726766518E-3</v>
      </c>
      <c r="AH27" t="s">
        <v>435</v>
      </c>
      <c r="AI27" s="114">
        <f>AI26/62500</f>
        <v>1.0814283318841222E-2</v>
      </c>
    </row>
    <row r="28" spans="1:37" ht="18.75" x14ac:dyDescent="0.3">
      <c r="C28" s="11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3"/>
      <c r="O28" s="12"/>
      <c r="P28" s="12"/>
      <c r="Q28" s="12"/>
      <c r="R28" s="13"/>
      <c r="S28" s="12"/>
      <c r="T28" s="13"/>
      <c r="U28" s="12"/>
      <c r="V28" s="13"/>
      <c r="W28" s="54"/>
      <c r="Y28" s="101"/>
      <c r="Z28" s="101"/>
      <c r="AA28" s="101"/>
      <c r="AB28" s="101"/>
      <c r="AC28" s="101" t="s">
        <v>432</v>
      </c>
      <c r="AD28" s="101">
        <f>Z25</f>
        <v>1.0814283318841222E-2</v>
      </c>
      <c r="AE28" s="101">
        <f>Z25</f>
        <v>1.0814283318841222E-2</v>
      </c>
      <c r="AH28" t="s">
        <v>413</v>
      </c>
      <c r="AI28">
        <f>AD6^2</f>
        <v>1.1694872370016751E-4</v>
      </c>
    </row>
    <row r="29" spans="1:37" ht="18.75" x14ac:dyDescent="0.3">
      <c r="C29" s="89" t="s">
        <v>118</v>
      </c>
      <c r="D29" s="90"/>
      <c r="E29" s="19">
        <v>1.575</v>
      </c>
      <c r="F29" s="19"/>
      <c r="G29" s="90" t="s">
        <v>117</v>
      </c>
      <c r="H29" s="90"/>
      <c r="I29" s="19">
        <v>1.6</v>
      </c>
      <c r="J29" s="19"/>
      <c r="K29" s="90" t="s">
        <v>55</v>
      </c>
      <c r="L29" s="90"/>
      <c r="M29" s="19">
        <v>12</v>
      </c>
      <c r="N29" s="20"/>
      <c r="O29" s="90" t="s">
        <v>150</v>
      </c>
      <c r="P29" s="90"/>
      <c r="Q29" s="63">
        <v>1.5788788536901435</v>
      </c>
      <c r="R29" s="20"/>
      <c r="S29" s="19"/>
      <c r="T29" s="20"/>
      <c r="U29" s="19"/>
      <c r="V29" s="20"/>
      <c r="W29" s="20"/>
      <c r="Y29" s="101" t="s">
        <v>423</v>
      </c>
      <c r="Z29" s="101">
        <f>2*Z26</f>
        <v>-503.89618828527102</v>
      </c>
      <c r="AA29" s="101"/>
      <c r="AB29" s="101"/>
      <c r="AC29" s="101"/>
      <c r="AD29" s="101">
        <f>SUM(AD26:AD28)</f>
        <v>8.8452097825460329E-3</v>
      </c>
      <c r="AE29" s="101">
        <f>SUM(AE26:AE28)</f>
        <v>1.3235750724946368E-2</v>
      </c>
      <c r="AH29" t="s">
        <v>438</v>
      </c>
      <c r="AI29">
        <f>Z5/2</f>
        <v>-251.94809414263551</v>
      </c>
    </row>
    <row r="30" spans="1:37" ht="18.75" x14ac:dyDescent="0.3">
      <c r="C30" s="89" t="s">
        <v>51</v>
      </c>
      <c r="D30" s="90"/>
      <c r="E30" s="19">
        <v>39</v>
      </c>
      <c r="F30" s="19"/>
      <c r="G30" s="90" t="s">
        <v>53</v>
      </c>
      <c r="H30" s="90"/>
      <c r="I30" s="19">
        <v>212</v>
      </c>
      <c r="J30" s="19"/>
      <c r="K30" s="90" t="s">
        <v>61</v>
      </c>
      <c r="L30" s="90"/>
      <c r="M30" s="19">
        <v>6</v>
      </c>
      <c r="N30" s="20"/>
      <c r="O30" s="90" t="s">
        <v>151</v>
      </c>
      <c r="P30" s="90"/>
      <c r="Q30" s="63">
        <v>1.5788967106029688</v>
      </c>
      <c r="R30" s="20"/>
      <c r="S30" s="19"/>
      <c r="T30" s="20"/>
      <c r="U30" s="19"/>
      <c r="V30" s="20"/>
      <c r="W30" s="20"/>
      <c r="Y30" s="101" t="s">
        <v>424</v>
      </c>
      <c r="Z30" s="101">
        <f>Z27^2</f>
        <v>0.11343484568609033</v>
      </c>
      <c r="AA30" s="101"/>
      <c r="AB30" s="101"/>
      <c r="AC30" s="101"/>
      <c r="AD30" s="101"/>
      <c r="AE30" s="101"/>
      <c r="AH30" t="s">
        <v>415</v>
      </c>
      <c r="AI30" s="106">
        <f>AH18</f>
        <v>-2.5194809414263552E-4</v>
      </c>
      <c r="AJ30">
        <f>AI28*AI29</f>
        <v>-2.946500804867087E-2</v>
      </c>
      <c r="AK30" s="106">
        <f>AI30-AJ30</f>
        <v>2.9213059954528234E-2</v>
      </c>
    </row>
    <row r="31" spans="1:37" ht="18.75" x14ac:dyDescent="0.3">
      <c r="C31" s="89" t="s">
        <v>52</v>
      </c>
      <c r="D31" s="90"/>
      <c r="E31" s="19">
        <v>38</v>
      </c>
      <c r="F31" s="19"/>
      <c r="G31" s="90" t="s">
        <v>54</v>
      </c>
      <c r="H31" s="90"/>
      <c r="I31" s="19">
        <v>211</v>
      </c>
      <c r="J31" s="19"/>
      <c r="K31" s="90" t="s">
        <v>56</v>
      </c>
      <c r="L31" s="90"/>
      <c r="M31" s="19">
        <v>6</v>
      </c>
      <c r="N31" s="20"/>
      <c r="O31" s="90" t="s">
        <v>152</v>
      </c>
      <c r="P31" s="90"/>
      <c r="Q31" s="19">
        <v>-1</v>
      </c>
      <c r="R31" s="20"/>
      <c r="S31" s="19"/>
      <c r="T31" s="20"/>
      <c r="U31" s="19"/>
      <c r="V31" s="20"/>
      <c r="W31" s="20"/>
      <c r="Y31" s="101" t="s">
        <v>403</v>
      </c>
      <c r="Z31" s="101">
        <f>4*Z26*Z25</f>
        <v>-10.898552286802163</v>
      </c>
      <c r="AA31" s="101"/>
      <c r="AB31" s="101"/>
      <c r="AC31" s="101"/>
      <c r="AD31" s="101"/>
      <c r="AE31" s="101"/>
      <c r="AH31" t="s">
        <v>412</v>
      </c>
      <c r="AI31" s="105">
        <f>AH15</f>
        <v>-3.3680089917648728E-4</v>
      </c>
    </row>
    <row r="32" spans="1:37" ht="18.75" x14ac:dyDescent="0.3">
      <c r="C32" s="96"/>
      <c r="D32" s="75"/>
      <c r="E32" s="75"/>
      <c r="F32" s="75"/>
      <c r="G32" s="75"/>
      <c r="H32" s="75"/>
      <c r="I32" s="75"/>
      <c r="J32" s="75"/>
      <c r="K32" s="75"/>
      <c r="L32" s="75"/>
      <c r="M32" s="75"/>
      <c r="N32" s="76"/>
      <c r="O32" s="75"/>
      <c r="P32" s="75"/>
      <c r="Q32" s="75"/>
      <c r="R32" s="76"/>
      <c r="S32" s="75"/>
      <c r="T32" s="76"/>
      <c r="U32" s="75"/>
      <c r="V32" s="76"/>
      <c r="W32" s="55"/>
      <c r="Y32" s="101" t="s">
        <v>425</v>
      </c>
      <c r="Z32" s="101">
        <f>-Z30-Z31</f>
        <v>10.785117441116073</v>
      </c>
      <c r="AA32" s="101"/>
      <c r="AB32" s="101"/>
      <c r="AC32" s="101"/>
      <c r="AD32" s="101"/>
      <c r="AE32" s="101"/>
      <c r="AH32" t="s">
        <v>436</v>
      </c>
      <c r="AI32" s="114">
        <f>AI30+AI31+AI27</f>
        <v>1.0225534325522099E-2</v>
      </c>
    </row>
    <row r="33" spans="1:36" ht="18.75" x14ac:dyDescent="0.3">
      <c r="Y33" s="101" t="s">
        <v>426</v>
      </c>
      <c r="Z33" s="101">
        <f>SQRT(Z32)</f>
        <v>3.2840702552040621</v>
      </c>
      <c r="AA33" s="101"/>
      <c r="AB33" s="101"/>
      <c r="AC33" s="101"/>
      <c r="AD33" s="101"/>
      <c r="AE33" s="101"/>
    </row>
    <row r="34" spans="1:36" ht="15" customHeight="1" x14ac:dyDescent="0.3">
      <c r="A34" s="24" t="s">
        <v>80</v>
      </c>
      <c r="B34" s="26"/>
      <c r="C34" s="26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Y34" s="110"/>
      <c r="Z34" s="110" t="s">
        <v>168</v>
      </c>
      <c r="AA34" s="110" t="s">
        <v>169</v>
      </c>
      <c r="AB34" s="101"/>
      <c r="AC34" s="101"/>
      <c r="AD34" s="101"/>
      <c r="AE34" s="101"/>
    </row>
    <row r="35" spans="1:36" s="18" customFormat="1" ht="30" customHeight="1" x14ac:dyDescent="0.35">
      <c r="A35" s="87" t="s">
        <v>63</v>
      </c>
      <c r="B35" s="85"/>
      <c r="C35" s="85"/>
      <c r="D35" s="85" t="s">
        <v>64</v>
      </c>
      <c r="E35" s="85"/>
      <c r="F35" s="85"/>
      <c r="G35" s="85"/>
      <c r="H35" s="27"/>
      <c r="I35" s="85" t="s">
        <v>65</v>
      </c>
      <c r="J35" s="85"/>
      <c r="K35" s="85"/>
      <c r="L35" s="85"/>
      <c r="M35" s="85"/>
      <c r="N35" s="27"/>
      <c r="O35" s="85" t="s">
        <v>66</v>
      </c>
      <c r="P35" s="85"/>
      <c r="Q35" s="86"/>
      <c r="Y35" s="111" t="s">
        <v>441</v>
      </c>
      <c r="Z35" s="102">
        <f>(-Z27+Z33)/Z29</f>
        <v>-5.8489614022621574E-3</v>
      </c>
      <c r="AA35" s="102">
        <f>(-Z27-Z33)/Z29</f>
        <v>7.1857482524369954E-3</v>
      </c>
      <c r="AB35" s="102"/>
      <c r="AC35" s="130">
        <f>ticksUpToLoss(AD5,Y5,Z5)</f>
        <v>-59.171523751463774</v>
      </c>
      <c r="AD35" s="130">
        <f>ticksDownToLoss(AD5,Y5,Z5)</f>
        <v>72.539392253212156</v>
      </c>
      <c r="AE35" s="102"/>
    </row>
    <row r="36" spans="1:36" s="18" customFormat="1" ht="26.25" customHeight="1" x14ac:dyDescent="0.4">
      <c r="A36" s="28" t="s">
        <v>5</v>
      </c>
      <c r="B36" s="28" t="s">
        <v>6</v>
      </c>
      <c r="C36" s="28" t="s">
        <v>7</v>
      </c>
      <c r="D36" s="1" t="s">
        <v>70</v>
      </c>
      <c r="E36" s="1" t="s">
        <v>71</v>
      </c>
      <c r="F36" s="1" t="s">
        <v>72</v>
      </c>
      <c r="G36" s="1" t="s">
        <v>73</v>
      </c>
      <c r="H36" s="1" t="s">
        <v>74</v>
      </c>
      <c r="I36" s="1" t="s">
        <v>22</v>
      </c>
      <c r="J36" s="1" t="s">
        <v>75</v>
      </c>
      <c r="K36" s="1" t="s">
        <v>76</v>
      </c>
      <c r="L36" s="1" t="s">
        <v>77</v>
      </c>
      <c r="M36" s="1" t="s">
        <v>78</v>
      </c>
      <c r="N36" s="1" t="s">
        <v>79</v>
      </c>
      <c r="O36" s="1" t="s">
        <v>83</v>
      </c>
      <c r="P36" s="1" t="s">
        <v>82</v>
      </c>
      <c r="Q36" s="1" t="s">
        <v>81</v>
      </c>
      <c r="Y36" s="128" t="s">
        <v>442</v>
      </c>
      <c r="Z36" s="129">
        <f>Z35*10000</f>
        <v>-58.489614022621573</v>
      </c>
      <c r="AA36" s="129">
        <f>AA35*10000</f>
        <v>71.857482524369956</v>
      </c>
      <c r="AB36" s="102"/>
      <c r="AC36" s="102"/>
      <c r="AD36" s="102"/>
      <c r="AE36" s="102"/>
    </row>
    <row r="37" spans="1:36" ht="18.75" x14ac:dyDescent="0.3">
      <c r="A37" s="2"/>
      <c r="B37" s="2"/>
      <c r="C37" s="2"/>
      <c r="D37" s="23"/>
      <c r="E37" s="23"/>
      <c r="F37" s="23"/>
      <c r="G37" s="23"/>
      <c r="H37" s="2"/>
      <c r="I37" s="25"/>
      <c r="J37" s="2"/>
      <c r="K37" s="2"/>
      <c r="L37" s="2"/>
      <c r="M37" s="2"/>
      <c r="N37" s="2"/>
      <c r="O37" s="2"/>
      <c r="P37" s="2"/>
      <c r="Q37" s="2"/>
      <c r="Y37" s="101"/>
      <c r="Z37" s="101"/>
      <c r="AA37" s="101"/>
      <c r="AB37" s="101"/>
      <c r="AC37" s="101"/>
      <c r="AD37" s="101"/>
      <c r="AE37" s="101"/>
    </row>
    <row r="39" spans="1:36" x14ac:dyDescent="0.25">
      <c r="A39" s="73" t="s">
        <v>23</v>
      </c>
      <c r="B39" s="78"/>
      <c r="C39" s="78"/>
      <c r="D39" s="78"/>
      <c r="E39" s="78"/>
      <c r="F39" s="78"/>
      <c r="G39" s="78"/>
      <c r="H39" s="78"/>
      <c r="I39" s="78"/>
      <c r="J39" s="78"/>
      <c r="K39" s="78"/>
      <c r="L39" s="78"/>
      <c r="M39" s="78"/>
      <c r="N39" s="78"/>
      <c r="O39" s="78"/>
      <c r="P39" s="78"/>
      <c r="Q39" s="78"/>
      <c r="R39" s="78"/>
      <c r="S39" s="78"/>
      <c r="T39" s="78"/>
      <c r="U39" s="73"/>
      <c r="V39" s="74"/>
      <c r="W39" s="74"/>
      <c r="X39" s="97" t="s">
        <v>364</v>
      </c>
      <c r="Y39" s="97"/>
      <c r="Z39" s="97"/>
      <c r="AA39" s="97"/>
      <c r="AB39" s="97"/>
      <c r="AC39" s="97"/>
      <c r="AD39" s="97"/>
      <c r="AE39" s="97" t="s">
        <v>375</v>
      </c>
      <c r="AF39" s="97"/>
      <c r="AG39" s="97"/>
    </row>
    <row r="40" spans="1:36" ht="45" x14ac:dyDescent="0.25">
      <c r="A40" s="1" t="s">
        <v>5</v>
      </c>
      <c r="B40" s="1" t="s">
        <v>6</v>
      </c>
      <c r="C40" s="1" t="s">
        <v>7</v>
      </c>
      <c r="D40" s="1" t="s">
        <v>8</v>
      </c>
      <c r="E40" s="1" t="s">
        <v>9</v>
      </c>
      <c r="F40" s="1" t="s">
        <v>10</v>
      </c>
      <c r="G40" s="1" t="s">
        <v>11</v>
      </c>
      <c r="H40" s="1" t="s">
        <v>12</v>
      </c>
      <c r="I40" s="1" t="s">
        <v>13</v>
      </c>
      <c r="J40" s="1" t="s">
        <v>14</v>
      </c>
      <c r="K40" s="1" t="s">
        <v>15</v>
      </c>
      <c r="L40" s="1" t="s">
        <v>16</v>
      </c>
      <c r="M40" s="1" t="s">
        <v>17</v>
      </c>
      <c r="N40" s="1" t="s">
        <v>18</v>
      </c>
      <c r="O40" s="1" t="s">
        <v>19</v>
      </c>
      <c r="P40" s="1" t="s">
        <v>20</v>
      </c>
      <c r="Q40" s="1" t="s">
        <v>21</v>
      </c>
      <c r="R40" s="10" t="s">
        <v>43</v>
      </c>
      <c r="S40" s="10" t="s">
        <v>45</v>
      </c>
      <c r="T40" s="10" t="s">
        <v>46</v>
      </c>
      <c r="U40" s="10" t="s">
        <v>42</v>
      </c>
      <c r="V40" s="10" t="s">
        <v>44</v>
      </c>
      <c r="W40" s="10" t="s">
        <v>47</v>
      </c>
      <c r="X40" s="64" t="s">
        <v>88</v>
      </c>
      <c r="Y40" s="64" t="s">
        <v>365</v>
      </c>
      <c r="Z40" s="64" t="s">
        <v>366</v>
      </c>
      <c r="AA40" s="64" t="s">
        <v>367</v>
      </c>
      <c r="AB40" s="64" t="s">
        <v>368</v>
      </c>
      <c r="AC40" s="64" t="s">
        <v>369</v>
      </c>
      <c r="AD40" s="64" t="s">
        <v>370</v>
      </c>
      <c r="AE40" s="64" t="s">
        <v>366</v>
      </c>
      <c r="AF40" s="64" t="s">
        <v>367</v>
      </c>
      <c r="AG40" s="64" t="s">
        <v>368</v>
      </c>
      <c r="AI40" s="99" t="s">
        <v>397</v>
      </c>
      <c r="AJ40" s="99" t="s">
        <v>400</v>
      </c>
    </row>
    <row r="41" spans="1:36" x14ac:dyDescent="0.25">
      <c r="A41" s="2" t="s">
        <v>39</v>
      </c>
      <c r="B41" s="2" t="s">
        <v>101</v>
      </c>
      <c r="C41" s="2">
        <v>20141128</v>
      </c>
      <c r="D41" s="2">
        <v>1.5649999999999999</v>
      </c>
      <c r="E41" s="2" t="s">
        <v>103</v>
      </c>
      <c r="F41" s="2">
        <v>62500</v>
      </c>
      <c r="G41" s="2"/>
      <c r="H41" s="2" t="s">
        <v>41</v>
      </c>
      <c r="I41" s="2" t="s">
        <v>40</v>
      </c>
      <c r="J41" s="2" t="s">
        <v>391</v>
      </c>
      <c r="K41" s="2" t="s">
        <v>384</v>
      </c>
      <c r="L41" s="2">
        <v>0</v>
      </c>
      <c r="M41" s="2">
        <v>1.43635E-2</v>
      </c>
      <c r="N41" s="2">
        <v>0</v>
      </c>
      <c r="O41" s="2">
        <v>0</v>
      </c>
      <c r="P41" s="57">
        <v>0</v>
      </c>
      <c r="Q41" s="2">
        <v>-2551.85</v>
      </c>
      <c r="R41" s="2">
        <v>1.29E-2</v>
      </c>
      <c r="S41" s="2"/>
      <c r="T41" s="2">
        <v>25</v>
      </c>
      <c r="U41" s="2">
        <v>1.3899999999999999E-2</v>
      </c>
      <c r="V41" s="2">
        <v>1.43E-2</v>
      </c>
      <c r="W41" s="2">
        <v>25</v>
      </c>
      <c r="X41" s="2" t="s">
        <v>380</v>
      </c>
      <c r="Y41" s="2">
        <v>7.189236760027029E-2</v>
      </c>
      <c r="Z41" s="2">
        <v>0.94578221457336586</v>
      </c>
      <c r="AA41" s="2">
        <v>5.6476338358343118E-10</v>
      </c>
      <c r="AB41" s="68">
        <v>-2.2239135477300769E-4</v>
      </c>
      <c r="AC41" s="2">
        <v>1.4866853699645188E-4</v>
      </c>
      <c r="AD41" s="2">
        <v>1.5789</v>
      </c>
      <c r="AE41" s="2">
        <f>Z41*L41</f>
        <v>0</v>
      </c>
      <c r="AF41" s="2">
        <v>1.5804</v>
      </c>
      <c r="AG41" s="2">
        <f>AB41*L41</f>
        <v>0</v>
      </c>
      <c r="AH41">
        <v>-0.79190495422144758</v>
      </c>
      <c r="AI41">
        <f>BSGamma($R$27,D41,C41,0.001,Y41)</f>
        <v>11.285916067084674</v>
      </c>
      <c r="AJ41">
        <f>IF(ISERR(AI41),0,AI41*L41)</f>
        <v>0</v>
      </c>
    </row>
    <row r="42" spans="1:36" x14ac:dyDescent="0.25">
      <c r="A42" s="2" t="s">
        <v>39</v>
      </c>
      <c r="B42" s="2" t="s">
        <v>101</v>
      </c>
      <c r="C42" s="2">
        <v>20141128</v>
      </c>
      <c r="D42" s="2">
        <v>1.56</v>
      </c>
      <c r="E42" s="2" t="s">
        <v>102</v>
      </c>
      <c r="F42" s="2">
        <v>62500</v>
      </c>
      <c r="G42" s="2"/>
      <c r="H42" s="2" t="s">
        <v>41</v>
      </c>
      <c r="I42" s="2" t="s">
        <v>40</v>
      </c>
      <c r="J42" s="2" t="s">
        <v>392</v>
      </c>
      <c r="K42" s="2" t="s">
        <v>384</v>
      </c>
      <c r="L42" s="2">
        <v>0</v>
      </c>
      <c r="M42" s="2">
        <v>5.4400000000000001E-5</v>
      </c>
      <c r="N42" s="2">
        <v>0</v>
      </c>
      <c r="O42" s="2">
        <v>0</v>
      </c>
      <c r="P42" s="57">
        <v>0</v>
      </c>
      <c r="Q42" s="2">
        <v>1000.28</v>
      </c>
      <c r="R42" s="2">
        <v>2.0000000000000001E-4</v>
      </c>
      <c r="S42" s="2"/>
      <c r="T42" s="2">
        <v>0</v>
      </c>
      <c r="U42" s="2">
        <v>-1</v>
      </c>
      <c r="V42" s="2">
        <v>2.0000000000000001E-4</v>
      </c>
      <c r="W42" s="2">
        <v>77</v>
      </c>
      <c r="X42" s="2" t="s">
        <v>380</v>
      </c>
      <c r="Y42" s="2">
        <v>8.0888622052327719E-2</v>
      </c>
      <c r="Z42" s="2">
        <v>-2.5460580133225153E-2</v>
      </c>
      <c r="AA42" s="2">
        <v>0</v>
      </c>
      <c r="AB42" s="68">
        <v>-1.3494142976074318E-4</v>
      </c>
      <c r="AC42" s="2">
        <v>8.7741314668959494E-5</v>
      </c>
      <c r="AD42" s="2">
        <v>1.5789</v>
      </c>
      <c r="AE42" s="2">
        <f>Z42*L42</f>
        <v>0</v>
      </c>
      <c r="AF42" s="2">
        <v>1.5804</v>
      </c>
      <c r="AG42" s="2">
        <f>AB42*L42</f>
        <v>0</v>
      </c>
      <c r="AH42">
        <v>-0.88722889607959154</v>
      </c>
      <c r="AI42">
        <f t="shared" ref="AI42:AI61" si="0">BSGamma($R$27,D42,C42,0.001,Y42)</f>
        <v>5.2498474219612756</v>
      </c>
      <c r="AJ42">
        <f t="shared" ref="AJ42:AJ61" si="1">IF(ISERR(AI42),0,AI42*L42)</f>
        <v>0</v>
      </c>
    </row>
    <row r="43" spans="1:36" x14ac:dyDescent="0.25">
      <c r="A43" s="2" t="s">
        <v>39</v>
      </c>
      <c r="B43" s="2" t="s">
        <v>101</v>
      </c>
      <c r="C43" s="2">
        <v>20141128</v>
      </c>
      <c r="D43" s="2">
        <v>1.5649999999999999</v>
      </c>
      <c r="E43" s="2" t="s">
        <v>102</v>
      </c>
      <c r="F43" s="2">
        <v>62500</v>
      </c>
      <c r="G43" s="2"/>
      <c r="H43" s="2" t="s">
        <v>41</v>
      </c>
      <c r="I43" s="2" t="s">
        <v>40</v>
      </c>
      <c r="J43" s="2" t="s">
        <v>393</v>
      </c>
      <c r="K43" s="2" t="s">
        <v>384</v>
      </c>
      <c r="L43" s="2">
        <v>0</v>
      </c>
      <c r="M43" s="2">
        <v>2.1364999999999999E-4</v>
      </c>
      <c r="N43" s="2">
        <v>0</v>
      </c>
      <c r="O43" s="2">
        <v>0</v>
      </c>
      <c r="P43" s="57">
        <v>0</v>
      </c>
      <c r="Q43" s="2">
        <v>1279.4000000000001</v>
      </c>
      <c r="R43" s="2">
        <v>2.0000000000000001E-4</v>
      </c>
      <c r="S43" s="2"/>
      <c r="T43" s="2">
        <v>30</v>
      </c>
      <c r="U43" s="2">
        <v>1E-4</v>
      </c>
      <c r="V43" s="2">
        <v>2.9999999999999997E-4</v>
      </c>
      <c r="W43" s="2">
        <v>82</v>
      </c>
      <c r="X43" s="2" t="s">
        <v>380</v>
      </c>
      <c r="Y43" s="2">
        <v>7.189236760027029E-2</v>
      </c>
      <c r="Z43" s="2">
        <v>-5.4330300884777846E-2</v>
      </c>
      <c r="AA43" s="2">
        <v>0</v>
      </c>
      <c r="AB43" s="68">
        <v>-2.2248316534432134E-4</v>
      </c>
      <c r="AC43" s="2">
        <v>1.4866878606019173E-4</v>
      </c>
      <c r="AD43" s="2">
        <v>1.5789</v>
      </c>
      <c r="AE43" s="2">
        <f>Z43*L43</f>
        <v>0</v>
      </c>
      <c r="AF43" s="2">
        <v>1.5804</v>
      </c>
      <c r="AG43" s="2">
        <f>AB43*L43</f>
        <v>0</v>
      </c>
      <c r="AH43">
        <f>AE43</f>
        <v>0</v>
      </c>
      <c r="AI43">
        <f t="shared" si="0"/>
        <v>11.285916067084674</v>
      </c>
      <c r="AJ43">
        <f t="shared" si="1"/>
        <v>0</v>
      </c>
    </row>
    <row r="44" spans="1:36" x14ac:dyDescent="0.25">
      <c r="A44" s="2" t="s">
        <v>39</v>
      </c>
      <c r="B44" s="2" t="s">
        <v>101</v>
      </c>
      <c r="C44" s="2">
        <v>20141128</v>
      </c>
      <c r="D44" s="2">
        <v>1.57</v>
      </c>
      <c r="E44" s="2" t="s">
        <v>103</v>
      </c>
      <c r="F44" s="2">
        <v>62500</v>
      </c>
      <c r="G44" s="2"/>
      <c r="H44" s="2" t="s">
        <v>41</v>
      </c>
      <c r="I44" s="2" t="s">
        <v>40</v>
      </c>
      <c r="J44" s="2" t="s">
        <v>383</v>
      </c>
      <c r="K44" s="2" t="s">
        <v>384</v>
      </c>
      <c r="L44" s="2">
        <v>-7</v>
      </c>
      <c r="M44" s="2">
        <v>9.8133000000000005E-3</v>
      </c>
      <c r="N44" s="2">
        <v>-4293.3100000000004</v>
      </c>
      <c r="O44" s="2">
        <v>214.01142855000001</v>
      </c>
      <c r="P44" s="57">
        <v>-2795.23</v>
      </c>
      <c r="Q44" s="2">
        <v>0</v>
      </c>
      <c r="R44" s="2">
        <v>1.0200000000000001E-2</v>
      </c>
      <c r="S44" s="2"/>
      <c r="T44" s="2">
        <v>25</v>
      </c>
      <c r="U44" s="2">
        <v>9.2999999999999992E-3</v>
      </c>
      <c r="V44" s="2">
        <v>9.5999999999999992E-3</v>
      </c>
      <c r="W44" s="2">
        <v>25</v>
      </c>
      <c r="X44" s="2" t="s">
        <v>380</v>
      </c>
      <c r="Y44" s="2">
        <v>7.1747554271144848E-2</v>
      </c>
      <c r="Z44" s="2">
        <v>0.84753394552571348</v>
      </c>
      <c r="AA44" s="2">
        <v>0</v>
      </c>
      <c r="AB44" s="68">
        <v>-4.7625157993570007E-4</v>
      </c>
      <c r="AC44" s="2">
        <v>2.974883407144014E-4</v>
      </c>
      <c r="AD44" s="2">
        <v>1.5789</v>
      </c>
      <c r="AE44" s="2">
        <f>Z44*L44</f>
        <v>-5.9327376186799947</v>
      </c>
      <c r="AF44" s="2">
        <v>1.5804</v>
      </c>
      <c r="AG44" s="2">
        <f>AB44*L44</f>
        <v>3.3337610595499004E-3</v>
      </c>
      <c r="AH44">
        <f>AE44</f>
        <v>-5.9327376186799947</v>
      </c>
      <c r="AI44">
        <f t="shared" si="0"/>
        <v>26.036954252667609</v>
      </c>
      <c r="AJ44">
        <f t="shared" si="1"/>
        <v>-182.25867976867326</v>
      </c>
    </row>
    <row r="45" spans="1:36" x14ac:dyDescent="0.25">
      <c r="A45" s="2" t="s">
        <v>39</v>
      </c>
      <c r="B45" s="2" t="s">
        <v>101</v>
      </c>
      <c r="C45" s="2">
        <v>20141128</v>
      </c>
      <c r="D45" s="2">
        <v>1.575</v>
      </c>
      <c r="E45" s="2" t="s">
        <v>103</v>
      </c>
      <c r="F45" s="2">
        <v>62500</v>
      </c>
      <c r="G45" s="2"/>
      <c r="H45" s="2" t="s">
        <v>41</v>
      </c>
      <c r="I45" s="2" t="s">
        <v>40</v>
      </c>
      <c r="J45" s="2" t="s">
        <v>399</v>
      </c>
      <c r="K45" s="2" t="s">
        <v>384</v>
      </c>
      <c r="L45" s="2">
        <v>-2</v>
      </c>
      <c r="M45" s="2">
        <v>5.7228499999999998E-3</v>
      </c>
      <c r="N45" s="2">
        <v>-715.36</v>
      </c>
      <c r="O45" s="2">
        <v>138.565</v>
      </c>
      <c r="P45" s="57">
        <v>-438.23</v>
      </c>
      <c r="Q45" s="2">
        <v>0</v>
      </c>
      <c r="R45" s="2">
        <v>1E-3</v>
      </c>
      <c r="S45" s="2"/>
      <c r="T45" s="2">
        <v>25</v>
      </c>
      <c r="U45" s="2">
        <v>5.3E-3</v>
      </c>
      <c r="V45" s="2">
        <v>5.5999999999999999E-3</v>
      </c>
      <c r="W45" s="2">
        <v>72</v>
      </c>
      <c r="X45" s="2" t="s">
        <v>380</v>
      </c>
      <c r="Y45" s="2">
        <v>6.7615008169062005E-2</v>
      </c>
      <c r="Z45" s="2">
        <v>0.68351213340753336</v>
      </c>
      <c r="AA45" s="69">
        <v>4.8865059350748031E-11</v>
      </c>
      <c r="AB45" s="68">
        <v>-6.7942561407354364E-4</v>
      </c>
      <c r="AC45" s="2">
        <v>4.4517614045374437E-4</v>
      </c>
      <c r="AD45" s="2">
        <v>1.5789</v>
      </c>
      <c r="AE45" s="2">
        <f>Z45*L45</f>
        <v>-1.3670242668150667</v>
      </c>
      <c r="AF45" s="2">
        <v>1.5804</v>
      </c>
      <c r="AG45" s="2">
        <f>AB45*L45</f>
        <v>1.3588512281470873E-3</v>
      </c>
      <c r="AH45">
        <f>AE45</f>
        <v>-1.3670242668150667</v>
      </c>
      <c r="AI45">
        <f t="shared" si="0"/>
        <v>43.876154050515382</v>
      </c>
      <c r="AJ45">
        <f t="shared" si="1"/>
        <v>-87.752308101030764</v>
      </c>
    </row>
    <row r="46" spans="1:36" x14ac:dyDescent="0.25">
      <c r="A46" s="2" t="s">
        <v>39</v>
      </c>
      <c r="B46" s="2" t="s">
        <v>101</v>
      </c>
      <c r="C46" s="2">
        <v>20141128</v>
      </c>
      <c r="D46" s="2">
        <v>1.57</v>
      </c>
      <c r="E46" s="2" t="s">
        <v>102</v>
      </c>
      <c r="F46" s="2">
        <v>62500</v>
      </c>
      <c r="G46" s="2"/>
      <c r="H46" s="2" t="s">
        <v>41</v>
      </c>
      <c r="I46" s="2" t="s">
        <v>40</v>
      </c>
      <c r="J46" s="2" t="s">
        <v>398</v>
      </c>
      <c r="K46" s="2" t="s">
        <v>384</v>
      </c>
      <c r="L46" s="2">
        <v>-4</v>
      </c>
      <c r="M46" s="2">
        <v>6.0309999999999997E-4</v>
      </c>
      <c r="N46" s="2">
        <v>-150.77000000000001</v>
      </c>
      <c r="O46" s="2">
        <v>247.94</v>
      </c>
      <c r="P46" s="57">
        <v>840.99</v>
      </c>
      <c r="Q46" s="2">
        <v>0</v>
      </c>
      <c r="R46" s="2">
        <v>5.0000000000000001E-4</v>
      </c>
      <c r="S46" s="2"/>
      <c r="T46" s="2">
        <v>40</v>
      </c>
      <c r="U46" s="2">
        <v>5.0000000000000001E-4</v>
      </c>
      <c r="V46" s="2">
        <v>6.9999999999999999E-4</v>
      </c>
      <c r="W46" s="2">
        <v>102</v>
      </c>
      <c r="X46" s="2" t="s">
        <v>380</v>
      </c>
      <c r="Y46" s="2">
        <v>7.1731233204443717E-2</v>
      </c>
      <c r="Z46" s="2">
        <v>-0.15239557776522217</v>
      </c>
      <c r="AA46" s="2">
        <v>0</v>
      </c>
      <c r="AB46" s="68">
        <v>-4.7608705711321627E-4</v>
      </c>
      <c r="AC46" s="2">
        <v>2.9748862931177646E-4</v>
      </c>
      <c r="AD46" s="2">
        <v>1.5789</v>
      </c>
      <c r="AE46" s="2">
        <f>Z46*L46</f>
        <v>0.60958231106088867</v>
      </c>
      <c r="AF46" s="2">
        <v>1.5804</v>
      </c>
      <c r="AG46" s="2">
        <f>AB46*L46</f>
        <v>1.9043482284528651E-3</v>
      </c>
      <c r="AH46">
        <f>AE46</f>
        <v>0.60958231106088867</v>
      </c>
      <c r="AI46">
        <f t="shared" si="0"/>
        <v>26.035771282448501</v>
      </c>
      <c r="AJ46">
        <f t="shared" si="1"/>
        <v>-104.143085129794</v>
      </c>
    </row>
    <row r="47" spans="1:36" x14ac:dyDescent="0.25">
      <c r="A47" s="2" t="s">
        <v>39</v>
      </c>
      <c r="B47" s="2" t="s">
        <v>101</v>
      </c>
      <c r="C47" s="2">
        <v>20141128</v>
      </c>
      <c r="D47" s="2">
        <v>1.575</v>
      </c>
      <c r="E47" s="2" t="s">
        <v>102</v>
      </c>
      <c r="F47" s="2">
        <v>62500</v>
      </c>
      <c r="G47" s="2"/>
      <c r="H47" s="2" t="s">
        <v>41</v>
      </c>
      <c r="I47" s="2" t="s">
        <v>40</v>
      </c>
      <c r="J47" s="2" t="s">
        <v>459</v>
      </c>
      <c r="K47" s="2" t="s">
        <v>384</v>
      </c>
      <c r="L47" s="2">
        <v>-3</v>
      </c>
      <c r="M47" s="2">
        <v>1.5053499999999999E-3</v>
      </c>
      <c r="N47" s="2">
        <v>-282.25</v>
      </c>
      <c r="O47" s="2">
        <v>116.69</v>
      </c>
      <c r="P47" s="57">
        <v>67.819999999999993</v>
      </c>
      <c r="Q47" s="2">
        <v>0</v>
      </c>
      <c r="R47" s="2">
        <v>1.9E-3</v>
      </c>
      <c r="S47" s="2"/>
      <c r="T47" s="2">
        <v>40</v>
      </c>
      <c r="U47" s="2">
        <v>1.4E-3</v>
      </c>
      <c r="V47" s="2">
        <v>1.6000000000000001E-3</v>
      </c>
      <c r="W47" s="2">
        <v>50</v>
      </c>
      <c r="X47" s="2" t="s">
        <v>380</v>
      </c>
      <c r="Y47" s="2">
        <v>6.5367400061714293E-2</v>
      </c>
      <c r="Z47" s="2">
        <v>-0.31053246444462923</v>
      </c>
      <c r="AA47" s="2">
        <v>0</v>
      </c>
      <c r="AB47" s="68">
        <v>-6.5212214266533038E-4</v>
      </c>
      <c r="AC47" s="2">
        <v>4.4517688603066359E-4</v>
      </c>
      <c r="AD47" s="2">
        <v>1.5789</v>
      </c>
      <c r="AE47" s="2">
        <f>Z47*L47</f>
        <v>0.93159739333388769</v>
      </c>
      <c r="AF47" s="2">
        <v>1.5804</v>
      </c>
      <c r="AG47" s="2">
        <f>AB47*L47</f>
        <v>1.9563664279959913E-3</v>
      </c>
      <c r="AH47">
        <f>AE47</f>
        <v>0.93159739333388769</v>
      </c>
      <c r="AI47">
        <f t="shared" si="0"/>
        <v>44.946349785688369</v>
      </c>
      <c r="AJ47">
        <f t="shared" si="1"/>
        <v>-134.83904935706511</v>
      </c>
    </row>
    <row r="48" spans="1:36" x14ac:dyDescent="0.25">
      <c r="A48" s="2" t="s">
        <v>39</v>
      </c>
      <c r="B48" s="2" t="s">
        <v>101</v>
      </c>
      <c r="C48" s="2">
        <v>20141205</v>
      </c>
      <c r="D48" s="2">
        <v>1.54</v>
      </c>
      <c r="E48" s="2" t="s">
        <v>102</v>
      </c>
      <c r="F48" s="2">
        <v>62500</v>
      </c>
      <c r="G48" s="2"/>
      <c r="H48" s="2" t="s">
        <v>41</v>
      </c>
      <c r="I48" s="2" t="s">
        <v>40</v>
      </c>
      <c r="J48" s="2" t="s">
        <v>385</v>
      </c>
      <c r="K48" s="2" t="s">
        <v>49</v>
      </c>
      <c r="L48" s="2">
        <v>5</v>
      </c>
      <c r="M48" s="2">
        <v>2.3735E-4</v>
      </c>
      <c r="N48" s="2">
        <v>74.17</v>
      </c>
      <c r="O48" s="2">
        <v>208.31</v>
      </c>
      <c r="P48" s="57">
        <v>-967.38</v>
      </c>
      <c r="Q48" s="2">
        <v>0</v>
      </c>
      <c r="R48" s="2">
        <v>2.0000000000000001E-4</v>
      </c>
      <c r="S48" s="2"/>
      <c r="T48" s="2">
        <v>30</v>
      </c>
      <c r="U48" s="2">
        <v>2.0000000000000001E-4</v>
      </c>
      <c r="V48" s="2">
        <v>2.9999999999999997E-4</v>
      </c>
      <c r="W48" s="2">
        <v>83</v>
      </c>
      <c r="X48" s="2" t="s">
        <v>380</v>
      </c>
      <c r="Y48" s="2">
        <v>8.7097297474663979E-2</v>
      </c>
      <c r="Z48" s="2">
        <v>-3.4186919500668517E-2</v>
      </c>
      <c r="AA48" s="2">
        <v>1.8909955414217726E-46</v>
      </c>
      <c r="AB48" s="68">
        <v>-9.0158872604338464E-5</v>
      </c>
      <c r="AC48" s="2">
        <v>2.2845584977084643E-4</v>
      </c>
      <c r="AD48" s="2">
        <v>1.5789</v>
      </c>
      <c r="AE48" s="2">
        <f>Z48*L48</f>
        <v>-0.17093459750334258</v>
      </c>
      <c r="AF48" s="2">
        <v>1.5804</v>
      </c>
      <c r="AG48" s="2">
        <f>AB48*L48</f>
        <v>-4.5079436302169232E-4</v>
      </c>
      <c r="AH48">
        <v>-2.7091848572871529</v>
      </c>
      <c r="AI48">
        <f t="shared" si="0"/>
        <v>3.372667785343602</v>
      </c>
      <c r="AJ48">
        <f t="shared" si="1"/>
        <v>16.863338926718011</v>
      </c>
    </row>
    <row r="49" spans="1:36" x14ac:dyDescent="0.25">
      <c r="A49" s="2" t="s">
        <v>39</v>
      </c>
      <c r="B49" s="2" t="s">
        <v>101</v>
      </c>
      <c r="C49" s="2">
        <v>20141205</v>
      </c>
      <c r="D49" s="2">
        <v>1.57</v>
      </c>
      <c r="E49" s="2" t="s">
        <v>103</v>
      </c>
      <c r="F49" s="2">
        <v>62500</v>
      </c>
      <c r="G49" s="2"/>
      <c r="H49" s="2" t="s">
        <v>41</v>
      </c>
      <c r="I49" s="2" t="s">
        <v>40</v>
      </c>
      <c r="J49" s="2" t="s">
        <v>419</v>
      </c>
      <c r="K49" s="2" t="s">
        <v>49</v>
      </c>
      <c r="L49" s="2">
        <v>0</v>
      </c>
      <c r="M49" s="2">
        <v>1.26035E-2</v>
      </c>
      <c r="N49" s="2">
        <v>0</v>
      </c>
      <c r="O49" s="2">
        <v>0</v>
      </c>
      <c r="P49" s="57">
        <v>0</v>
      </c>
      <c r="Q49" s="2">
        <v>479.4</v>
      </c>
      <c r="R49" s="2">
        <v>1.0999999999999999E-2</v>
      </c>
      <c r="S49" s="2"/>
      <c r="T49" s="2">
        <v>37</v>
      </c>
      <c r="U49" s="2">
        <v>1.2200000000000001E-2</v>
      </c>
      <c r="V49" s="2">
        <v>1.24E-2</v>
      </c>
      <c r="W49" s="2">
        <v>30</v>
      </c>
      <c r="X49" s="2" t="s">
        <v>380</v>
      </c>
      <c r="Y49" s="2">
        <v>7.208513252339413E-2</v>
      </c>
      <c r="Z49" s="2">
        <v>0.69192808536786699</v>
      </c>
      <c r="AA49" s="2">
        <v>0</v>
      </c>
      <c r="AB49" s="68">
        <v>-3.4838439115711611E-4</v>
      </c>
      <c r="AC49" s="2">
        <v>9.1417142664250439E-4</v>
      </c>
      <c r="AD49" s="2">
        <v>1.5789</v>
      </c>
      <c r="AE49" s="2">
        <f>Z49*L49</f>
        <v>0</v>
      </c>
      <c r="AF49" s="2">
        <v>1.5804</v>
      </c>
      <c r="AG49" s="2">
        <f>AB49*L49</f>
        <v>0</v>
      </c>
      <c r="AH49">
        <v>-2.7096533002722651</v>
      </c>
      <c r="AI49">
        <f t="shared" si="0"/>
        <v>19.483857032687958</v>
      </c>
      <c r="AJ49">
        <f t="shared" si="1"/>
        <v>0</v>
      </c>
    </row>
    <row r="50" spans="1:36" x14ac:dyDescent="0.25">
      <c r="A50" s="2" t="s">
        <v>39</v>
      </c>
      <c r="B50" s="2" t="s">
        <v>101</v>
      </c>
      <c r="C50" s="2">
        <v>20141205</v>
      </c>
      <c r="D50" s="2">
        <v>1.57</v>
      </c>
      <c r="E50" s="2" t="s">
        <v>102</v>
      </c>
      <c r="F50" s="2">
        <v>62500</v>
      </c>
      <c r="G50" s="2"/>
      <c r="H50" s="2" t="s">
        <v>41</v>
      </c>
      <c r="I50" s="2" t="s">
        <v>40</v>
      </c>
      <c r="J50" s="2" t="s">
        <v>420</v>
      </c>
      <c r="K50" s="2" t="s">
        <v>49</v>
      </c>
      <c r="L50" s="2">
        <v>0</v>
      </c>
      <c r="M50" s="2">
        <v>3.4017000000000001E-3</v>
      </c>
      <c r="N50" s="2">
        <v>0</v>
      </c>
      <c r="O50" s="2">
        <v>0</v>
      </c>
      <c r="P50" s="57">
        <v>0</v>
      </c>
      <c r="Q50" s="2">
        <v>-439.35</v>
      </c>
      <c r="R50" s="2">
        <v>3.0999999999999999E-3</v>
      </c>
      <c r="S50" s="2"/>
      <c r="T50" s="2">
        <v>88</v>
      </c>
      <c r="U50" s="2">
        <v>3.3E-3</v>
      </c>
      <c r="V50" s="2">
        <v>3.5000000000000001E-3</v>
      </c>
      <c r="W50" s="2">
        <v>61</v>
      </c>
      <c r="X50" s="2" t="s">
        <v>380</v>
      </c>
      <c r="Y50" s="2">
        <v>7.098509214794646E-2</v>
      </c>
      <c r="Z50" s="2">
        <v>-0.30524579563098547</v>
      </c>
      <c r="AA50" s="2">
        <v>0.33634523127492827</v>
      </c>
      <c r="AB50" s="68">
        <v>-3.4195553817584841E-4</v>
      </c>
      <c r="AC50" s="2">
        <v>9.14177482787363E-4</v>
      </c>
      <c r="AD50" s="2">
        <v>1.5789</v>
      </c>
      <c r="AE50" s="2">
        <f>Z50*L50</f>
        <v>0</v>
      </c>
      <c r="AF50" s="2">
        <v>1.5804</v>
      </c>
      <c r="AG50" s="2">
        <f>AB50*L50</f>
        <v>0</v>
      </c>
      <c r="AH50">
        <v>3.4493341615700741</v>
      </c>
      <c r="AI50">
        <f t="shared" si="0"/>
        <v>19.703844770395179</v>
      </c>
      <c r="AJ50">
        <f t="shared" si="1"/>
        <v>0</v>
      </c>
    </row>
    <row r="51" spans="1:36" x14ac:dyDescent="0.25">
      <c r="A51" s="2" t="s">
        <v>39</v>
      </c>
      <c r="B51" s="2" t="s">
        <v>101</v>
      </c>
      <c r="C51" s="2">
        <v>20141205</v>
      </c>
      <c r="D51" s="2">
        <v>1.57</v>
      </c>
      <c r="E51" s="2" t="s">
        <v>102</v>
      </c>
      <c r="F51" s="2">
        <v>62500</v>
      </c>
      <c r="G51" s="2"/>
      <c r="H51" s="2" t="s">
        <v>41</v>
      </c>
      <c r="I51" s="2" t="s">
        <v>40</v>
      </c>
      <c r="J51" s="2" t="s">
        <v>386</v>
      </c>
      <c r="K51" s="2" t="s">
        <v>387</v>
      </c>
      <c r="L51" s="2">
        <v>5</v>
      </c>
      <c r="M51" s="2">
        <v>3.3035500000000001E-3</v>
      </c>
      <c r="N51" s="2">
        <v>1032.3599999999999</v>
      </c>
      <c r="O51" s="2">
        <v>427.06</v>
      </c>
      <c r="P51" s="57">
        <v>-1102.94</v>
      </c>
      <c r="Q51" s="2">
        <v>0</v>
      </c>
      <c r="R51" s="2"/>
      <c r="S51" s="2"/>
      <c r="T51" s="2">
        <v>45</v>
      </c>
      <c r="U51" s="2">
        <v>3.2000000000000002E-3</v>
      </c>
      <c r="V51" s="2">
        <v>3.5000000000000001E-3</v>
      </c>
      <c r="W51" s="2">
        <v>45</v>
      </c>
      <c r="X51" s="2" t="s">
        <v>42</v>
      </c>
      <c r="Y51" s="2">
        <v>7.1929342079099692E-2</v>
      </c>
      <c r="Z51" s="2">
        <v>-0.30596399826188336</v>
      </c>
      <c r="AA51" s="2">
        <v>0</v>
      </c>
      <c r="AB51" s="68">
        <v>-3.4829724392048918E-4</v>
      </c>
      <c r="AC51" s="2">
        <v>8.6761676314834387E-4</v>
      </c>
      <c r="AD51" s="2">
        <v>1.5789</v>
      </c>
      <c r="AE51" s="2">
        <f>Z51*L51</f>
        <v>-1.5298199913094168</v>
      </c>
      <c r="AF51" s="2">
        <v>1.5804</v>
      </c>
      <c r="AG51" s="2">
        <f>AB51*L51</f>
        <v>-1.741486219602446E-3</v>
      </c>
      <c r="AH51">
        <v>0.10134091252645153</v>
      </c>
      <c r="AI51">
        <f t="shared" si="0"/>
        <v>19.514808328256258</v>
      </c>
      <c r="AJ51">
        <f t="shared" si="1"/>
        <v>97.574041641281298</v>
      </c>
    </row>
    <row r="52" spans="1:36" x14ac:dyDescent="0.25">
      <c r="A52" s="2" t="s">
        <v>39</v>
      </c>
      <c r="B52" s="2" t="s">
        <v>101</v>
      </c>
      <c r="C52" s="2">
        <v>20141205</v>
      </c>
      <c r="D52" s="2">
        <v>1.58</v>
      </c>
      <c r="E52" s="2" t="s">
        <v>102</v>
      </c>
      <c r="F52" s="2">
        <v>62500</v>
      </c>
      <c r="G52" s="2"/>
      <c r="H52" s="2" t="s">
        <v>41</v>
      </c>
      <c r="I52" s="2" t="s">
        <v>40</v>
      </c>
      <c r="J52" s="2" t="s">
        <v>388</v>
      </c>
      <c r="K52" s="2" t="s">
        <v>387</v>
      </c>
      <c r="L52" s="2">
        <v>-5</v>
      </c>
      <c r="M52" s="2">
        <v>7.31695E-3</v>
      </c>
      <c r="N52" s="2">
        <v>-2286.5500000000002</v>
      </c>
      <c r="O52" s="2">
        <v>604.19000000000005</v>
      </c>
      <c r="P52" s="57">
        <v>734.4</v>
      </c>
      <c r="Q52" s="2">
        <v>0</v>
      </c>
      <c r="R52" s="2"/>
      <c r="S52" s="2"/>
      <c r="T52" s="2">
        <v>0</v>
      </c>
      <c r="U52" s="2">
        <v>-1</v>
      </c>
      <c r="V52" s="2">
        <v>-1</v>
      </c>
      <c r="W52" s="2">
        <v>0</v>
      </c>
      <c r="X52" s="2">
        <v>12</v>
      </c>
      <c r="Y52" s="2">
        <v>1.7976931348623157E+308</v>
      </c>
      <c r="Z52" s="2">
        <v>-0.51060797347647591</v>
      </c>
      <c r="AA52" s="2">
        <v>0.57367698849696336</v>
      </c>
      <c r="AB52" s="68">
        <v>-6.7710317142889471E-4</v>
      </c>
      <c r="AC52" s="2">
        <v>9.863992099286231E-4</v>
      </c>
      <c r="AD52" s="2">
        <v>1.5789</v>
      </c>
      <c r="AE52" s="2">
        <f>Z52*L52</f>
        <v>2.5530398673823793</v>
      </c>
      <c r="AF52" s="2"/>
      <c r="AG52" s="2">
        <f>AB52*L52</f>
        <v>3.3855158571444734E-3</v>
      </c>
      <c r="AH52">
        <v>0</v>
      </c>
      <c r="AI52" t="e">
        <f t="shared" si="0"/>
        <v>#VALUE!</v>
      </c>
      <c r="AJ52">
        <f t="shared" si="1"/>
        <v>0</v>
      </c>
    </row>
    <row r="53" spans="1:36" x14ac:dyDescent="0.25">
      <c r="A53" s="2" t="s">
        <v>39</v>
      </c>
      <c r="B53" s="2" t="s">
        <v>101</v>
      </c>
      <c r="C53" s="2">
        <v>20141205</v>
      </c>
      <c r="D53" s="2">
        <v>1.6</v>
      </c>
      <c r="E53" s="2" t="s">
        <v>103</v>
      </c>
      <c r="F53" s="2">
        <v>62500</v>
      </c>
      <c r="G53" s="2"/>
      <c r="H53" s="2" t="s">
        <v>41</v>
      </c>
      <c r="I53" s="2" t="s">
        <v>40</v>
      </c>
      <c r="J53" s="2" t="s">
        <v>389</v>
      </c>
      <c r="K53" s="2" t="s">
        <v>49</v>
      </c>
      <c r="L53" s="2">
        <v>5</v>
      </c>
      <c r="M53" s="2">
        <v>8.0095000000000003E-4</v>
      </c>
      <c r="N53" s="2">
        <v>250.29</v>
      </c>
      <c r="O53" s="2">
        <v>77.06</v>
      </c>
      <c r="P53" s="57">
        <v>-135.01</v>
      </c>
      <c r="Q53" s="2">
        <v>0</v>
      </c>
      <c r="R53" s="2">
        <v>5.9999999999999995E-4</v>
      </c>
      <c r="S53" s="2"/>
      <c r="T53" s="2">
        <v>204</v>
      </c>
      <c r="U53" s="2">
        <v>5.9999999999999995E-4</v>
      </c>
      <c r="V53" s="2">
        <v>8.0000000000000004E-4</v>
      </c>
      <c r="W53" s="2">
        <v>101</v>
      </c>
      <c r="X53" s="2">
        <v>12</v>
      </c>
      <c r="Y53" s="2">
        <v>6.5678899815530017E-2</v>
      </c>
      <c r="Z53" s="2">
        <v>0.1017684917608935</v>
      </c>
      <c r="AA53" s="2">
        <v>0.58369589576076963</v>
      </c>
      <c r="AB53" s="68">
        <v>-1.5968754249722433E-4</v>
      </c>
      <c r="AC53" s="2">
        <v>4.7518064103489537E-4</v>
      </c>
      <c r="AD53" s="2">
        <v>1.5789</v>
      </c>
      <c r="AE53" s="2">
        <f>Z53*L53</f>
        <v>0.50884245880446755</v>
      </c>
      <c r="AF53" s="2"/>
      <c r="AG53" s="2">
        <f>AB53*L53</f>
        <v>-7.9843771248612168E-4</v>
      </c>
      <c r="AH53">
        <v>0</v>
      </c>
      <c r="AI53">
        <f t="shared" si="0"/>
        <v>11.015178335496035</v>
      </c>
      <c r="AJ53">
        <f t="shared" si="1"/>
        <v>55.075891677480172</v>
      </c>
    </row>
    <row r="54" spans="1:36" x14ac:dyDescent="0.25">
      <c r="A54" s="2" t="s">
        <v>39</v>
      </c>
      <c r="B54" s="2" t="s">
        <v>101</v>
      </c>
      <c r="C54" s="2">
        <v>20141205</v>
      </c>
      <c r="D54" s="2">
        <v>1.63</v>
      </c>
      <c r="E54" s="2" t="s">
        <v>103</v>
      </c>
      <c r="F54" s="2">
        <v>62500</v>
      </c>
      <c r="G54" s="2"/>
      <c r="H54" s="2" t="s">
        <v>41</v>
      </c>
      <c r="I54" s="2" t="s">
        <v>40</v>
      </c>
      <c r="J54" s="2" t="s">
        <v>390</v>
      </c>
      <c r="K54" s="2" t="s">
        <v>49</v>
      </c>
      <c r="L54" s="2">
        <v>5</v>
      </c>
      <c r="M54" s="2">
        <v>1.7600000000000001E-5</v>
      </c>
      <c r="N54" s="2">
        <v>5.5</v>
      </c>
      <c r="O54" s="2">
        <v>333.31</v>
      </c>
      <c r="P54" s="57">
        <v>-1661.05</v>
      </c>
      <c r="Q54" s="2">
        <v>0</v>
      </c>
      <c r="R54" s="2">
        <v>1E-4</v>
      </c>
      <c r="S54" s="2"/>
      <c r="T54" s="2">
        <v>0</v>
      </c>
      <c r="U54" s="2">
        <v>-1</v>
      </c>
      <c r="V54" s="2">
        <v>1E-4</v>
      </c>
      <c r="W54" s="2">
        <v>100</v>
      </c>
      <c r="X54" s="2">
        <v>13</v>
      </c>
      <c r="Y54" s="2">
        <v>1.7976931348623157E+308</v>
      </c>
      <c r="Z54" s="2">
        <v>1.2616260335269192E-2</v>
      </c>
      <c r="AA54" s="2">
        <v>0.36548779609513199</v>
      </c>
      <c r="AB54" s="68">
        <v>-4.0279613154867793E-5</v>
      </c>
      <c r="AC54" s="2">
        <v>1.0376249954681413E-4</v>
      </c>
      <c r="AD54" s="2">
        <v>1.5789</v>
      </c>
      <c r="AE54" s="2">
        <f>Z54*L54</f>
        <v>6.3081301676345958E-2</v>
      </c>
      <c r="AF54" s="2"/>
      <c r="AG54" s="2">
        <f>AB54*L54</f>
        <v>-2.0139806577433898E-4</v>
      </c>
      <c r="AH54">
        <v>0</v>
      </c>
      <c r="AI54" t="e">
        <f t="shared" si="0"/>
        <v>#VALUE!</v>
      </c>
      <c r="AJ54">
        <f t="shared" si="1"/>
        <v>0</v>
      </c>
    </row>
    <row r="55" spans="1:36" x14ac:dyDescent="0.25">
      <c r="A55" s="2" t="s">
        <v>39</v>
      </c>
      <c r="B55" s="2" t="s">
        <v>101</v>
      </c>
      <c r="C55" s="2">
        <v>20141128</v>
      </c>
      <c r="D55" s="2">
        <v>1.58</v>
      </c>
      <c r="E55" s="2" t="s">
        <v>103</v>
      </c>
      <c r="F55" s="2">
        <v>62500</v>
      </c>
      <c r="G55" s="2"/>
      <c r="H55" s="2" t="s">
        <v>41</v>
      </c>
      <c r="I55" s="2" t="s">
        <v>40</v>
      </c>
      <c r="J55" s="2" t="s">
        <v>1439</v>
      </c>
      <c r="K55" s="2" t="s">
        <v>384</v>
      </c>
      <c r="L55" s="2">
        <v>-3</v>
      </c>
      <c r="M55" s="2">
        <v>2.6053500000000002E-3</v>
      </c>
      <c r="N55" s="2">
        <v>-488.5</v>
      </c>
      <c r="O55" s="2">
        <v>127.10666664999999</v>
      </c>
      <c r="P55" s="57">
        <v>-107.18</v>
      </c>
      <c r="Q55" s="2">
        <v>0</v>
      </c>
      <c r="R55" s="2">
        <v>2.2000000000000001E-3</v>
      </c>
      <c r="S55" s="2"/>
      <c r="T55" s="2">
        <v>25</v>
      </c>
      <c r="U55" s="2">
        <v>2.3999999999999998E-3</v>
      </c>
      <c r="V55" s="2">
        <v>2.5000000000000001E-3</v>
      </c>
      <c r="W55" s="2">
        <v>30</v>
      </c>
      <c r="X55" s="2">
        <v>12</v>
      </c>
      <c r="Y55" s="2">
        <v>6.1868749080246845E-2</v>
      </c>
      <c r="Z55" s="2">
        <v>0.44294198625788694</v>
      </c>
      <c r="AA55" s="2">
        <v>0</v>
      </c>
      <c r="AB55" s="68">
        <v>-6.8918562614516689E-4</v>
      </c>
      <c r="AC55" s="2">
        <v>4.8303935210367152E-4</v>
      </c>
      <c r="AD55" s="2">
        <v>1.5789</v>
      </c>
      <c r="AE55" s="2">
        <f>Z55*L55</f>
        <v>-1.3288259587736608</v>
      </c>
      <c r="AF55" s="2"/>
      <c r="AG55" s="2">
        <f>AB55*L55</f>
        <v>2.0675568784355005E-3</v>
      </c>
      <c r="AH55">
        <v>0</v>
      </c>
      <c r="AI55">
        <f t="shared" si="0"/>
        <v>54.805446058062479</v>
      </c>
      <c r="AJ55">
        <f t="shared" si="1"/>
        <v>-164.41633817418744</v>
      </c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57"/>
      <c r="Q56" s="2"/>
      <c r="R56" s="2"/>
      <c r="S56" s="2"/>
      <c r="T56" s="2"/>
      <c r="U56" s="2"/>
      <c r="V56" s="2"/>
      <c r="W56" s="2"/>
      <c r="X56" s="2">
        <v>13</v>
      </c>
      <c r="Y56" s="2">
        <v>7.8027723798840043E-2</v>
      </c>
      <c r="Z56" s="2">
        <v>0.32695227810022182</v>
      </c>
      <c r="AA56" s="2">
        <v>0</v>
      </c>
      <c r="AB56" s="68">
        <v>-4.3913899502425504E-4</v>
      </c>
      <c r="AC56" s="2">
        <v>7.9611584683713342E-4</v>
      </c>
      <c r="AD56" s="2">
        <v>1.5672999999999999</v>
      </c>
      <c r="AE56" s="2">
        <f>Z56*L56</f>
        <v>0</v>
      </c>
      <c r="AF56" s="2"/>
      <c r="AG56" s="2">
        <f>AB56*L56</f>
        <v>0</v>
      </c>
      <c r="AH56">
        <v>0</v>
      </c>
      <c r="AI56" t="e">
        <f t="shared" si="0"/>
        <v>#VALUE!</v>
      </c>
      <c r="AJ56">
        <f t="shared" si="1"/>
        <v>0</v>
      </c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57"/>
      <c r="Q57" s="2"/>
      <c r="R57" s="2"/>
      <c r="S57" s="2"/>
      <c r="T57" s="2"/>
      <c r="U57" s="2"/>
      <c r="V57" s="2"/>
      <c r="W57" s="2"/>
      <c r="X57" s="2">
        <v>13</v>
      </c>
      <c r="Y57" s="2">
        <v>6.8036951190734385E-2</v>
      </c>
      <c r="Z57" s="2">
        <v>0.47553926081969933</v>
      </c>
      <c r="AA57" s="2">
        <v>0</v>
      </c>
      <c r="AB57" s="68">
        <v>-4.2551528934842663E-4</v>
      </c>
      <c r="AC57" s="2">
        <v>8.7568078334941506E-4</v>
      </c>
      <c r="AD57" s="2">
        <v>1.5840000000000001</v>
      </c>
      <c r="AE57" s="2">
        <f>Z57*L57</f>
        <v>0</v>
      </c>
      <c r="AF57" s="2"/>
      <c r="AG57" s="2">
        <f>AB57*L57</f>
        <v>0</v>
      </c>
      <c r="AH57">
        <v>0</v>
      </c>
      <c r="AI57" t="e">
        <f t="shared" si="0"/>
        <v>#VALUE!</v>
      </c>
      <c r="AJ57">
        <f t="shared" si="1"/>
        <v>0</v>
      </c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57"/>
      <c r="Q58" s="2"/>
      <c r="R58" s="2"/>
      <c r="S58" s="2"/>
      <c r="T58" s="2"/>
      <c r="U58" s="2"/>
      <c r="V58" s="2"/>
      <c r="W58" s="2"/>
      <c r="X58" s="2"/>
      <c r="Y58" s="2"/>
      <c r="Z58" s="2"/>
      <c r="AA58" s="2">
        <v>0</v>
      </c>
      <c r="AB58" s="2"/>
      <c r="AC58" s="2"/>
      <c r="AD58" s="2"/>
      <c r="AE58" s="2">
        <f>Z58*L58</f>
        <v>0</v>
      </c>
      <c r="AF58" s="2"/>
      <c r="AG58" s="2">
        <f>AB58*L58</f>
        <v>0</v>
      </c>
      <c r="AH58">
        <v>0</v>
      </c>
      <c r="AI58" t="e">
        <f t="shared" si="0"/>
        <v>#VALUE!</v>
      </c>
      <c r="AJ58">
        <f t="shared" si="1"/>
        <v>0</v>
      </c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57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>
        <f>Z59*L59</f>
        <v>0</v>
      </c>
      <c r="AF59" s="2"/>
      <c r="AG59" s="2">
        <f>AB59*L59</f>
        <v>0</v>
      </c>
      <c r="AH59">
        <v>0</v>
      </c>
      <c r="AI59" t="e">
        <f t="shared" si="0"/>
        <v>#VALUE!</v>
      </c>
      <c r="AJ59">
        <f t="shared" si="1"/>
        <v>0</v>
      </c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57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>
        <f>Z60*L60</f>
        <v>0</v>
      </c>
      <c r="AF60" s="2"/>
      <c r="AG60" s="2">
        <f>AB60*L60</f>
        <v>0</v>
      </c>
      <c r="AH60">
        <v>0</v>
      </c>
      <c r="AI60" t="e">
        <f t="shared" si="0"/>
        <v>#VALUE!</v>
      </c>
      <c r="AJ60">
        <f t="shared" si="1"/>
        <v>0</v>
      </c>
    </row>
    <row r="61" spans="1:36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57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>
        <f>Z61*L61</f>
        <v>0</v>
      </c>
      <c r="AF61" s="2"/>
      <c r="AG61" s="2">
        <f>AB61*L61</f>
        <v>0</v>
      </c>
      <c r="AH61">
        <v>0</v>
      </c>
      <c r="AI61" t="e">
        <f t="shared" si="0"/>
        <v>#VALUE!</v>
      </c>
      <c r="AJ61">
        <f t="shared" si="1"/>
        <v>0</v>
      </c>
    </row>
    <row r="62" spans="1:36" x14ac:dyDescent="0.25">
      <c r="A62" t="s">
        <v>39</v>
      </c>
      <c r="B62" t="s">
        <v>101</v>
      </c>
      <c r="C62">
        <v>20141121</v>
      </c>
      <c r="D62">
        <v>1.58</v>
      </c>
      <c r="E62" t="s">
        <v>103</v>
      </c>
      <c r="F62">
        <v>62500</v>
      </c>
      <c r="H62" t="s">
        <v>41</v>
      </c>
      <c r="I62" t="s">
        <v>40</v>
      </c>
      <c r="J62" t="s">
        <v>379</v>
      </c>
      <c r="K62" t="s">
        <v>378</v>
      </c>
      <c r="L62">
        <v>-2</v>
      </c>
      <c r="M62">
        <v>2.1979500000000002E-3</v>
      </c>
      <c r="N62">
        <v>-274.75</v>
      </c>
      <c r="O62">
        <v>122.94</v>
      </c>
      <c r="P62">
        <v>-28.87</v>
      </c>
      <c r="Q62">
        <v>0</v>
      </c>
      <c r="AH62">
        <f>SUM(AH41:AH61)</f>
        <v>-9.3058791148642168</v>
      </c>
    </row>
    <row r="64" spans="1:36" x14ac:dyDescent="0.25">
      <c r="A64" s="83" t="s">
        <v>29</v>
      </c>
      <c r="B64" s="84"/>
      <c r="C64" s="84"/>
      <c r="D64" s="84"/>
      <c r="E64" s="84"/>
      <c r="F64" s="84"/>
      <c r="G64" s="84"/>
      <c r="H64" s="84"/>
      <c r="I64" s="84"/>
      <c r="J64" s="84"/>
      <c r="K64" s="84"/>
      <c r="L64" s="84"/>
      <c r="M64" s="84"/>
      <c r="N64" s="84"/>
      <c r="O64" s="84"/>
      <c r="P64" s="84"/>
      <c r="Q64" s="84"/>
      <c r="R64" s="84"/>
      <c r="S64" s="84"/>
      <c r="T64" s="84"/>
      <c r="U64" s="84"/>
      <c r="V64" s="84"/>
      <c r="W64" s="84"/>
      <c r="X64" s="84"/>
      <c r="Y64" s="84"/>
      <c r="Z64" s="84"/>
      <c r="AA64" s="84"/>
      <c r="AB64" s="84"/>
    </row>
    <row r="65" spans="1:28" x14ac:dyDescent="0.25">
      <c r="A65" s="77" t="s">
        <v>63</v>
      </c>
      <c r="B65" s="78"/>
      <c r="C65" s="78"/>
      <c r="D65" s="78"/>
      <c r="E65" s="78"/>
      <c r="F65" s="78"/>
      <c r="G65" s="78"/>
      <c r="H65" s="78"/>
      <c r="I65" s="78"/>
      <c r="J65" s="78"/>
      <c r="K65" s="78"/>
      <c r="L65" s="79"/>
      <c r="M65" s="80" t="s">
        <v>84</v>
      </c>
      <c r="N65" s="81"/>
      <c r="O65" s="81"/>
      <c r="P65" s="81"/>
      <c r="Q65" s="81"/>
      <c r="R65" s="81"/>
      <c r="S65" s="81"/>
      <c r="T65" s="81"/>
      <c r="U65" s="81"/>
      <c r="V65" s="81"/>
      <c r="W65" s="81"/>
      <c r="X65" s="81"/>
      <c r="Y65" s="81"/>
      <c r="Z65" s="82"/>
      <c r="AA65" s="82"/>
      <c r="AB65" s="82"/>
    </row>
    <row r="66" spans="1:28" x14ac:dyDescent="0.25">
      <c r="A66" s="21" t="s">
        <v>5</v>
      </c>
      <c r="B66" s="21" t="s">
        <v>6</v>
      </c>
      <c r="C66" s="21" t="s">
        <v>7</v>
      </c>
      <c r="D66" s="21" t="s">
        <v>8</v>
      </c>
      <c r="E66" s="21" t="s">
        <v>9</v>
      </c>
      <c r="F66" s="21" t="s">
        <v>10</v>
      </c>
      <c r="G66" s="21" t="s">
        <v>11</v>
      </c>
      <c r="H66" s="21" t="s">
        <v>68</v>
      </c>
      <c r="I66" s="21" t="s">
        <v>13</v>
      </c>
      <c r="J66" s="21" t="s">
        <v>14</v>
      </c>
      <c r="K66" s="21" t="s">
        <v>15</v>
      </c>
      <c r="L66" s="21" t="s">
        <v>69</v>
      </c>
      <c r="M66" s="21" t="s">
        <v>85</v>
      </c>
      <c r="N66" s="21" t="s">
        <v>86</v>
      </c>
      <c r="O66" s="21" t="s">
        <v>87</v>
      </c>
      <c r="P66" s="21" t="s">
        <v>67</v>
      </c>
      <c r="Q66" s="21" t="s">
        <v>11</v>
      </c>
      <c r="R66" s="21" t="s">
        <v>88</v>
      </c>
      <c r="S66" s="21" t="s">
        <v>71</v>
      </c>
      <c r="T66" s="21" t="s">
        <v>89</v>
      </c>
      <c r="U66" s="21" t="s">
        <v>90</v>
      </c>
      <c r="V66" s="21" t="s">
        <v>91</v>
      </c>
      <c r="W66" s="21" t="s">
        <v>92</v>
      </c>
      <c r="X66" s="21" t="s">
        <v>93</v>
      </c>
      <c r="Y66" s="21" t="s">
        <v>94</v>
      </c>
      <c r="Z66" s="21" t="s">
        <v>95</v>
      </c>
      <c r="AA66" s="21" t="s">
        <v>96</v>
      </c>
      <c r="AB66" s="21" t="s">
        <v>97</v>
      </c>
    </row>
    <row r="67" spans="1:28" x14ac:dyDescent="0.25">
      <c r="A67" s="2"/>
      <c r="B67" s="2"/>
      <c r="C67" s="2"/>
      <c r="D67" s="22"/>
      <c r="E67" s="2"/>
      <c r="F67" s="2"/>
      <c r="G67" s="2"/>
      <c r="H67" s="2"/>
      <c r="I67" s="2"/>
      <c r="J67" s="2"/>
      <c r="K67" s="2"/>
      <c r="L67" s="2"/>
      <c r="M67" s="23"/>
      <c r="N67" s="29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</row>
    <row r="68" spans="1:28" x14ac:dyDescent="0.25">
      <c r="A68" s="2"/>
      <c r="B68" s="2"/>
      <c r="C68" s="2"/>
      <c r="D68" s="22"/>
      <c r="E68" s="2"/>
      <c r="F68" s="2"/>
      <c r="G68" s="2"/>
      <c r="H68" s="2"/>
      <c r="I68" s="2"/>
      <c r="J68" s="2"/>
      <c r="K68" s="2"/>
      <c r="L68" s="2"/>
      <c r="M68" s="23"/>
      <c r="N68" s="29"/>
      <c r="O68" s="23"/>
      <c r="P68" s="30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</row>
    <row r="69" spans="1:28" x14ac:dyDescent="0.25">
      <c r="A69" s="2"/>
      <c r="B69" s="2"/>
      <c r="C69" s="2"/>
      <c r="D69" s="22"/>
      <c r="E69" s="2"/>
      <c r="F69" s="2"/>
      <c r="G69" s="2"/>
      <c r="H69" s="2"/>
      <c r="I69" s="2"/>
      <c r="J69" s="2"/>
      <c r="K69" s="2"/>
      <c r="L69" s="2"/>
      <c r="M69" s="23"/>
      <c r="N69" s="29"/>
      <c r="O69" s="23"/>
      <c r="P69" s="30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</row>
    <row r="70" spans="1:28" x14ac:dyDescent="0.25">
      <c r="A70" s="2"/>
      <c r="B70" s="2"/>
      <c r="C70" s="2"/>
      <c r="D70" s="22"/>
      <c r="E70" s="2"/>
      <c r="F70" s="2"/>
      <c r="G70" s="2"/>
      <c r="H70" s="2"/>
      <c r="I70" s="2"/>
      <c r="J70" s="2"/>
      <c r="K70" s="2"/>
      <c r="L70" s="2"/>
      <c r="M70" s="23"/>
      <c r="N70" s="29"/>
      <c r="O70" s="23"/>
      <c r="P70" s="30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</row>
    <row r="71" spans="1:28" x14ac:dyDescent="0.25">
      <c r="A71" s="2"/>
      <c r="B71" s="2"/>
      <c r="C71" s="2"/>
      <c r="D71" s="22"/>
      <c r="E71" s="2"/>
      <c r="F71" s="2"/>
      <c r="G71" s="2"/>
      <c r="H71" s="2"/>
      <c r="I71" s="2"/>
      <c r="J71" s="2"/>
      <c r="K71" s="2"/>
      <c r="L71" s="2"/>
      <c r="M71" s="23"/>
      <c r="N71" s="31"/>
      <c r="O71" s="23"/>
      <c r="P71" s="30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</row>
    <row r="72" spans="1:28" x14ac:dyDescent="0.25">
      <c r="A72" s="2"/>
      <c r="B72" s="2"/>
      <c r="C72" s="2"/>
      <c r="D72" s="22"/>
      <c r="E72" s="2"/>
      <c r="F72" s="2"/>
      <c r="G72" s="2"/>
      <c r="H72" s="2"/>
      <c r="I72" s="2"/>
      <c r="J72" s="2"/>
      <c r="K72" s="2"/>
      <c r="L72" s="2"/>
      <c r="M72" s="23"/>
      <c r="N72" s="31"/>
      <c r="O72" s="23"/>
      <c r="P72" s="30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</row>
    <row r="73" spans="1:28" x14ac:dyDescent="0.25">
      <c r="A73" s="2"/>
      <c r="B73" s="2"/>
      <c r="C73" s="2"/>
      <c r="D73" s="22"/>
      <c r="E73" s="2"/>
      <c r="F73" s="2"/>
      <c r="G73" s="2"/>
      <c r="H73" s="2"/>
      <c r="I73" s="2"/>
      <c r="J73" s="2"/>
      <c r="K73" s="2"/>
      <c r="L73" s="2"/>
      <c r="M73" s="23"/>
      <c r="N73" s="31"/>
      <c r="O73" s="23"/>
      <c r="P73" s="30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</row>
    <row r="74" spans="1:28" x14ac:dyDescent="0.25">
      <c r="A74" s="2"/>
      <c r="B74" s="2"/>
      <c r="C74" s="2"/>
      <c r="D74" s="22"/>
      <c r="E74" s="2"/>
      <c r="F74" s="2"/>
      <c r="G74" s="2"/>
      <c r="H74" s="2"/>
      <c r="I74" s="2"/>
      <c r="J74" s="2"/>
      <c r="K74" s="2"/>
      <c r="L74" s="2"/>
      <c r="M74" s="23"/>
      <c r="N74" s="29"/>
      <c r="O74" s="23"/>
      <c r="P74" s="30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</row>
    <row r="75" spans="1:28" x14ac:dyDescent="0.25">
      <c r="A75" s="2"/>
      <c r="B75" s="2"/>
      <c r="C75" s="2"/>
      <c r="D75" s="22"/>
      <c r="E75" s="2"/>
      <c r="F75" s="2"/>
      <c r="G75" s="2"/>
      <c r="H75" s="2"/>
      <c r="I75" s="2"/>
      <c r="J75" s="2"/>
      <c r="K75" s="2"/>
      <c r="L75" s="2"/>
      <c r="M75" s="23"/>
      <c r="N75" s="31"/>
      <c r="O75" s="23"/>
      <c r="P75" s="30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</row>
    <row r="76" spans="1:28" x14ac:dyDescent="0.25">
      <c r="A76" s="2"/>
      <c r="B76" s="2"/>
      <c r="C76" s="2"/>
      <c r="D76" s="22"/>
      <c r="E76" s="2"/>
      <c r="F76" s="2"/>
      <c r="G76" s="2"/>
      <c r="H76" s="2"/>
      <c r="I76" s="2"/>
      <c r="J76" s="2"/>
      <c r="K76" s="2"/>
      <c r="L76" s="2"/>
      <c r="M76" s="23"/>
      <c r="N76" s="29"/>
      <c r="O76" s="23"/>
      <c r="P76" s="30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</row>
    <row r="77" spans="1:28" x14ac:dyDescent="0.25">
      <c r="A77" s="2"/>
      <c r="B77" s="2"/>
      <c r="C77" s="2"/>
      <c r="D77" s="22"/>
      <c r="E77" s="2"/>
      <c r="F77" s="2"/>
      <c r="G77" s="2"/>
      <c r="H77" s="2"/>
      <c r="I77" s="2"/>
      <c r="J77" s="2"/>
      <c r="K77" s="2"/>
      <c r="L77" s="2"/>
      <c r="M77" s="23"/>
      <c r="N77" s="31"/>
      <c r="O77" s="23"/>
      <c r="P77" s="30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</row>
    <row r="78" spans="1:28" x14ac:dyDescent="0.25">
      <c r="A78" s="2"/>
      <c r="B78" s="2"/>
      <c r="C78" s="2"/>
      <c r="D78" s="22"/>
      <c r="E78" s="2"/>
      <c r="F78" s="2"/>
      <c r="G78" s="2"/>
      <c r="H78" s="2"/>
      <c r="I78" s="2"/>
      <c r="J78" s="2"/>
      <c r="K78" s="2"/>
      <c r="L78" s="2"/>
      <c r="M78" s="23"/>
      <c r="N78" s="29"/>
      <c r="O78" s="23"/>
      <c r="P78" s="30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</row>
    <row r="79" spans="1:28" x14ac:dyDescent="0.25">
      <c r="A79" s="2"/>
      <c r="B79" s="2"/>
      <c r="C79" s="2"/>
      <c r="D79" s="22"/>
      <c r="E79" s="2"/>
      <c r="F79" s="2"/>
      <c r="G79" s="2"/>
      <c r="H79" s="2"/>
      <c r="I79" s="2"/>
      <c r="J79" s="2"/>
      <c r="K79" s="2"/>
      <c r="L79" s="2"/>
      <c r="M79" s="23"/>
      <c r="N79" s="31"/>
      <c r="O79" s="23"/>
      <c r="P79" s="30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</row>
    <row r="80" spans="1:28" x14ac:dyDescent="0.25">
      <c r="A80" s="2"/>
      <c r="B80" s="2"/>
      <c r="C80" s="2"/>
      <c r="D80" s="22"/>
      <c r="E80" s="2"/>
      <c r="F80" s="2"/>
      <c r="G80" s="2"/>
      <c r="H80" s="2"/>
      <c r="I80" s="2"/>
      <c r="J80" s="2"/>
      <c r="K80" s="2"/>
      <c r="L80" s="2"/>
      <c r="M80" s="23"/>
      <c r="N80" s="29"/>
      <c r="O80" s="23"/>
      <c r="P80" s="30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</row>
    <row r="81" spans="1:28" x14ac:dyDescent="0.25">
      <c r="A81" s="2"/>
      <c r="B81" s="2"/>
      <c r="C81" s="2"/>
      <c r="D81" s="22"/>
      <c r="E81" s="2"/>
      <c r="F81" s="2"/>
      <c r="G81" s="2"/>
      <c r="H81" s="2"/>
      <c r="I81" s="2"/>
      <c r="J81" s="2"/>
      <c r="K81" s="2"/>
      <c r="L81" s="2"/>
      <c r="M81" s="23"/>
      <c r="N81" s="31"/>
      <c r="O81" s="23"/>
      <c r="P81" s="30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</row>
    <row r="82" spans="1:28" x14ac:dyDescent="0.25">
      <c r="A82" s="2"/>
      <c r="B82" s="2"/>
      <c r="C82" s="2"/>
      <c r="D82" s="22"/>
      <c r="E82" s="2"/>
      <c r="F82" s="2"/>
      <c r="G82" s="2"/>
      <c r="H82" s="2"/>
      <c r="I82" s="2"/>
      <c r="J82" s="2"/>
      <c r="K82" s="2"/>
      <c r="L82" s="2"/>
      <c r="M82" s="23"/>
      <c r="N82" s="31"/>
      <c r="O82" s="23"/>
      <c r="P82" s="30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</row>
    <row r="83" spans="1:28" x14ac:dyDescent="0.25">
      <c r="A83" s="2"/>
      <c r="B83" s="2"/>
      <c r="C83" s="2"/>
      <c r="D83" s="22"/>
      <c r="E83" s="2"/>
      <c r="F83" s="2"/>
      <c r="G83" s="2"/>
      <c r="H83" s="2"/>
      <c r="I83" s="2"/>
      <c r="J83" s="2"/>
      <c r="K83" s="2"/>
      <c r="L83" s="2"/>
      <c r="M83" s="23"/>
      <c r="N83" s="31"/>
      <c r="O83" s="23"/>
      <c r="P83" s="30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</row>
    <row r="84" spans="1:28" x14ac:dyDescent="0.25">
      <c r="A84" s="2"/>
      <c r="B84" s="2"/>
      <c r="C84" s="2"/>
      <c r="D84" s="22"/>
      <c r="E84" s="2"/>
      <c r="F84" s="2"/>
      <c r="G84" s="2"/>
      <c r="H84" s="2"/>
      <c r="I84" s="2"/>
      <c r="J84" s="2"/>
      <c r="K84" s="2"/>
      <c r="L84" s="2"/>
      <c r="M84" s="23"/>
      <c r="N84" s="29"/>
      <c r="O84" s="23"/>
      <c r="P84" s="30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</row>
    <row r="85" spans="1:28" x14ac:dyDescent="0.25">
      <c r="A85" s="2"/>
      <c r="B85" s="2"/>
      <c r="C85" s="2"/>
      <c r="D85" s="22"/>
      <c r="E85" s="2"/>
      <c r="F85" s="2"/>
      <c r="G85" s="2"/>
      <c r="H85" s="2"/>
      <c r="I85" s="2"/>
      <c r="J85" s="2"/>
      <c r="K85" s="2"/>
      <c r="L85" s="2"/>
      <c r="M85" s="23"/>
      <c r="N85" s="29"/>
      <c r="O85" s="23"/>
      <c r="P85" s="30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</row>
    <row r="86" spans="1:28" x14ac:dyDescent="0.25">
      <c r="A86" s="2"/>
      <c r="B86" s="2"/>
      <c r="C86" s="2"/>
      <c r="D86" s="22"/>
      <c r="E86" s="2"/>
      <c r="F86" s="2"/>
      <c r="G86" s="2"/>
      <c r="H86" s="2"/>
      <c r="I86" s="2"/>
      <c r="J86" s="2"/>
      <c r="K86" s="2"/>
      <c r="L86" s="2"/>
      <c r="M86" s="23"/>
      <c r="N86" s="29"/>
      <c r="O86" s="23"/>
      <c r="P86" s="30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</row>
    <row r="87" spans="1:28" x14ac:dyDescent="0.25">
      <c r="A87" s="2"/>
      <c r="B87" s="2"/>
      <c r="C87" s="2"/>
      <c r="D87" s="22"/>
      <c r="E87" s="2"/>
      <c r="F87" s="2"/>
      <c r="G87" s="2"/>
      <c r="H87" s="2"/>
      <c r="I87" s="2"/>
      <c r="J87" s="2"/>
      <c r="K87" s="2"/>
      <c r="L87" s="2"/>
      <c r="M87" s="23"/>
      <c r="N87" s="29"/>
      <c r="O87" s="23"/>
      <c r="P87" s="30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</row>
    <row r="88" spans="1:28" x14ac:dyDescent="0.25">
      <c r="A88" s="2"/>
      <c r="B88" s="2"/>
      <c r="C88" s="2"/>
      <c r="D88" s="22"/>
      <c r="E88" s="2"/>
      <c r="F88" s="2"/>
      <c r="G88" s="2"/>
      <c r="H88" s="2"/>
      <c r="I88" s="2"/>
      <c r="J88" s="2"/>
      <c r="K88" s="2"/>
      <c r="L88" s="2"/>
      <c r="M88" s="23"/>
      <c r="N88" s="31"/>
      <c r="O88" s="23"/>
      <c r="P88" s="30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</row>
    <row r="89" spans="1:28" x14ac:dyDescent="0.25">
      <c r="A89" s="2"/>
      <c r="B89" s="2"/>
      <c r="C89" s="2"/>
      <c r="D89" s="22"/>
      <c r="E89" s="2"/>
      <c r="F89" s="2"/>
      <c r="G89" s="2"/>
      <c r="H89" s="2"/>
      <c r="I89" s="2"/>
      <c r="J89" s="2"/>
      <c r="K89" s="2"/>
      <c r="L89" s="2"/>
      <c r="M89" s="23"/>
      <c r="N89" s="31"/>
      <c r="O89" s="23"/>
      <c r="P89" s="30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</row>
    <row r="90" spans="1:28" x14ac:dyDescent="0.25">
      <c r="A90" s="2"/>
      <c r="B90" s="2"/>
      <c r="C90" s="2"/>
      <c r="D90" s="22"/>
      <c r="E90" s="2"/>
      <c r="F90" s="2"/>
      <c r="G90" s="2"/>
      <c r="H90" s="2"/>
      <c r="I90" s="2"/>
      <c r="J90" s="2"/>
      <c r="K90" s="2"/>
      <c r="L90" s="2"/>
      <c r="M90" s="23"/>
      <c r="N90" s="31"/>
      <c r="O90" s="23"/>
      <c r="P90" s="30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</row>
    <row r="91" spans="1:28" x14ac:dyDescent="0.25">
      <c r="A91" s="2"/>
      <c r="B91" s="2"/>
      <c r="C91" s="2"/>
      <c r="D91" s="22"/>
      <c r="E91" s="2"/>
      <c r="F91" s="2"/>
      <c r="G91" s="2"/>
      <c r="H91" s="2"/>
      <c r="I91" s="2"/>
      <c r="J91" s="2"/>
      <c r="K91" s="2"/>
      <c r="L91" s="2"/>
      <c r="M91" s="23"/>
      <c r="N91" s="31"/>
      <c r="O91" s="23"/>
      <c r="P91" s="30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</row>
    <row r="92" spans="1:28" x14ac:dyDescent="0.25">
      <c r="A92" s="2"/>
      <c r="B92" s="2"/>
      <c r="C92" s="2"/>
      <c r="D92" s="22"/>
      <c r="E92" s="2"/>
      <c r="F92" s="2"/>
      <c r="G92" s="2"/>
      <c r="H92" s="2"/>
      <c r="I92" s="2"/>
      <c r="J92" s="2"/>
      <c r="K92" s="2"/>
      <c r="L92" s="2"/>
      <c r="M92" s="23"/>
      <c r="N92" s="31"/>
      <c r="O92" s="23"/>
      <c r="P92" s="30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</row>
    <row r="93" spans="1:28" x14ac:dyDescent="0.25">
      <c r="A93" s="2"/>
      <c r="B93" s="2"/>
      <c r="C93" s="2"/>
      <c r="D93" s="22"/>
      <c r="E93" s="2"/>
      <c r="F93" s="2"/>
      <c r="G93" s="2"/>
      <c r="H93" s="2"/>
      <c r="I93" s="2"/>
      <c r="J93" s="2"/>
      <c r="K93" s="2"/>
      <c r="L93" s="2"/>
      <c r="M93" s="23"/>
      <c r="N93" s="31"/>
      <c r="O93" s="23"/>
      <c r="P93" s="30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</row>
    <row r="94" spans="1:28" x14ac:dyDescent="0.25">
      <c r="A94" s="2"/>
      <c r="B94" s="2"/>
      <c r="C94" s="2"/>
      <c r="D94" s="22"/>
      <c r="E94" s="2"/>
      <c r="F94" s="2"/>
      <c r="G94" s="2"/>
      <c r="H94" s="2"/>
      <c r="I94" s="2"/>
      <c r="J94" s="2"/>
      <c r="K94" s="2"/>
      <c r="L94" s="2"/>
      <c r="M94" s="23"/>
      <c r="N94" s="29"/>
      <c r="O94" s="23"/>
      <c r="P94" s="30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</row>
    <row r="95" spans="1:28" x14ac:dyDescent="0.25">
      <c r="A95" s="2"/>
      <c r="B95" s="2"/>
      <c r="C95" s="2"/>
      <c r="D95" s="22"/>
      <c r="E95" s="2"/>
      <c r="F95" s="2"/>
      <c r="G95" s="2"/>
      <c r="H95" s="2"/>
      <c r="I95" s="2"/>
      <c r="J95" s="2"/>
      <c r="K95" s="2"/>
      <c r="L95" s="2"/>
      <c r="M95" s="23"/>
      <c r="N95" s="29"/>
      <c r="O95" s="23"/>
      <c r="P95" s="30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</row>
    <row r="96" spans="1:28" x14ac:dyDescent="0.25">
      <c r="A96" s="2"/>
      <c r="B96" s="2"/>
      <c r="C96" s="2"/>
      <c r="D96" s="22"/>
      <c r="E96" s="2"/>
      <c r="F96" s="2"/>
      <c r="G96" s="2"/>
      <c r="H96" s="2"/>
      <c r="I96" s="2"/>
      <c r="J96" s="2"/>
      <c r="K96" s="2"/>
      <c r="L96" s="2"/>
      <c r="M96" s="23"/>
      <c r="N96" s="31"/>
      <c r="O96" s="23"/>
      <c r="P96" s="30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</row>
    <row r="97" spans="1:28" x14ac:dyDescent="0.25">
      <c r="A97" s="2"/>
      <c r="B97" s="2"/>
      <c r="C97" s="2"/>
      <c r="D97" s="22"/>
      <c r="E97" s="2"/>
      <c r="F97" s="2"/>
      <c r="G97" s="2"/>
      <c r="H97" s="2"/>
      <c r="I97" s="2"/>
      <c r="J97" s="2"/>
      <c r="K97" s="2"/>
      <c r="L97" s="2"/>
      <c r="M97" s="23"/>
      <c r="N97" s="29"/>
      <c r="O97" s="23"/>
      <c r="P97" s="30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</row>
    <row r="98" spans="1:28" x14ac:dyDescent="0.25">
      <c r="A98" s="2"/>
      <c r="B98" s="2"/>
      <c r="C98" s="2"/>
      <c r="D98" s="22"/>
      <c r="E98" s="2"/>
      <c r="F98" s="2"/>
      <c r="G98" s="2"/>
      <c r="H98" s="2"/>
      <c r="I98" s="2"/>
      <c r="J98" s="2"/>
      <c r="K98" s="2"/>
      <c r="L98" s="2"/>
      <c r="M98" s="23"/>
      <c r="N98" s="31"/>
      <c r="O98" s="23"/>
      <c r="P98" s="30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</row>
    <row r="99" spans="1:28" x14ac:dyDescent="0.25">
      <c r="A99" s="2"/>
      <c r="B99" s="2"/>
      <c r="C99" s="2"/>
      <c r="D99" s="22"/>
      <c r="E99" s="2"/>
      <c r="F99" s="2"/>
      <c r="G99" s="2"/>
      <c r="H99" s="2"/>
      <c r="I99" s="2"/>
      <c r="J99" s="2"/>
      <c r="K99" s="2"/>
      <c r="L99" s="2"/>
      <c r="M99" s="23"/>
      <c r="N99" s="31"/>
      <c r="O99" s="23"/>
      <c r="P99" s="30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</row>
    <row r="100" spans="1:28" x14ac:dyDescent="0.25">
      <c r="A100" s="2"/>
      <c r="B100" s="2"/>
      <c r="C100" s="2"/>
      <c r="D100" s="22"/>
      <c r="E100" s="2"/>
      <c r="F100" s="2"/>
      <c r="G100" s="2"/>
      <c r="H100" s="2"/>
      <c r="I100" s="2"/>
      <c r="J100" s="2"/>
      <c r="K100" s="2"/>
      <c r="L100" s="2"/>
      <c r="M100" s="23"/>
      <c r="N100" s="31"/>
      <c r="O100" s="23"/>
      <c r="P100" s="30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</row>
    <row r="101" spans="1:28" x14ac:dyDescent="0.25">
      <c r="A101" s="2"/>
      <c r="B101" s="2"/>
      <c r="C101" s="2"/>
      <c r="D101" s="22"/>
      <c r="E101" s="2"/>
      <c r="F101" s="2"/>
      <c r="G101" s="2"/>
      <c r="H101" s="2"/>
      <c r="I101" s="2"/>
      <c r="J101" s="2"/>
      <c r="K101" s="2"/>
      <c r="L101" s="2"/>
      <c r="M101" s="23"/>
      <c r="N101" s="31"/>
      <c r="O101" s="23"/>
      <c r="P101" s="30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</row>
    <row r="102" spans="1:28" x14ac:dyDescent="0.25">
      <c r="A102" s="2"/>
      <c r="B102" s="2"/>
      <c r="C102" s="2"/>
      <c r="D102" s="22"/>
      <c r="E102" s="2"/>
      <c r="F102" s="2"/>
      <c r="G102" s="2"/>
      <c r="H102" s="2"/>
      <c r="I102" s="2"/>
      <c r="J102" s="2"/>
      <c r="K102" s="2"/>
      <c r="L102" s="2"/>
      <c r="M102" s="23"/>
      <c r="N102" s="31"/>
      <c r="O102" s="23"/>
      <c r="P102" s="30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</row>
    <row r="103" spans="1:28" x14ac:dyDescent="0.25">
      <c r="A103" s="2"/>
      <c r="B103" s="2"/>
      <c r="C103" s="2"/>
      <c r="D103" s="22"/>
      <c r="E103" s="2"/>
      <c r="F103" s="2"/>
      <c r="G103" s="2"/>
      <c r="H103" s="2"/>
      <c r="I103" s="2"/>
      <c r="J103" s="2"/>
      <c r="K103" s="2"/>
      <c r="L103" s="2"/>
      <c r="M103" s="23"/>
      <c r="N103" s="31"/>
      <c r="O103" s="23"/>
      <c r="P103" s="30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</row>
    <row r="104" spans="1:28" x14ac:dyDescent="0.25">
      <c r="A104" s="2"/>
      <c r="B104" s="2"/>
      <c r="C104" s="2"/>
      <c r="D104" s="22"/>
      <c r="E104" s="2"/>
      <c r="F104" s="2"/>
      <c r="G104" s="2"/>
      <c r="H104" s="2"/>
      <c r="I104" s="2"/>
      <c r="J104" s="2"/>
      <c r="K104" s="2"/>
      <c r="L104" s="2"/>
      <c r="M104" s="23"/>
      <c r="N104" s="31"/>
      <c r="O104" s="23"/>
      <c r="P104" s="30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</row>
    <row r="105" spans="1:28" x14ac:dyDescent="0.25">
      <c r="A105" s="2"/>
      <c r="B105" s="2"/>
      <c r="C105" s="2"/>
      <c r="D105" s="22"/>
      <c r="E105" s="2"/>
      <c r="F105" s="2"/>
      <c r="G105" s="2"/>
      <c r="H105" s="2"/>
      <c r="I105" s="2"/>
      <c r="J105" s="2"/>
      <c r="K105" s="2"/>
      <c r="L105" s="2"/>
      <c r="M105" s="23"/>
      <c r="N105" s="31"/>
      <c r="O105" s="23"/>
      <c r="P105" s="30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</row>
    <row r="106" spans="1:28" x14ac:dyDescent="0.25">
      <c r="A106" s="2"/>
      <c r="B106" s="2"/>
      <c r="C106" s="2"/>
      <c r="D106" s="22"/>
      <c r="E106" s="2"/>
      <c r="F106" s="2"/>
      <c r="G106" s="2"/>
      <c r="H106" s="2"/>
      <c r="I106" s="2"/>
      <c r="J106" s="2"/>
      <c r="K106" s="2"/>
      <c r="L106" s="2"/>
      <c r="M106" s="23"/>
      <c r="N106" s="31"/>
      <c r="O106" s="23"/>
      <c r="P106" s="30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</row>
    <row r="107" spans="1:28" x14ac:dyDescent="0.25">
      <c r="A107" s="2"/>
      <c r="B107" s="2"/>
      <c r="C107" s="2"/>
      <c r="D107" s="22"/>
      <c r="E107" s="2"/>
      <c r="F107" s="2"/>
      <c r="G107" s="2"/>
      <c r="H107" s="2"/>
      <c r="I107" s="2"/>
      <c r="J107" s="2"/>
      <c r="K107" s="2"/>
      <c r="L107" s="2"/>
      <c r="M107" s="23"/>
      <c r="N107" s="31"/>
      <c r="O107" s="23"/>
      <c r="P107" s="30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</row>
    <row r="108" spans="1:28" x14ac:dyDescent="0.25">
      <c r="A108" s="2"/>
      <c r="B108" s="2"/>
      <c r="C108" s="2"/>
      <c r="D108" s="22"/>
      <c r="E108" s="2"/>
      <c r="F108" s="2"/>
      <c r="G108" s="2"/>
      <c r="H108" s="2"/>
      <c r="I108" s="2"/>
      <c r="J108" s="2"/>
      <c r="K108" s="2"/>
      <c r="L108" s="2"/>
      <c r="M108" s="23"/>
      <c r="N108" s="31"/>
      <c r="O108" s="23"/>
      <c r="P108" s="30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</row>
    <row r="109" spans="1:28" x14ac:dyDescent="0.25">
      <c r="A109" s="2"/>
      <c r="B109" s="2"/>
      <c r="C109" s="2"/>
      <c r="D109" s="22"/>
      <c r="E109" s="2"/>
      <c r="F109" s="2"/>
      <c r="G109" s="2"/>
      <c r="H109" s="2"/>
      <c r="I109" s="2"/>
      <c r="J109" s="2"/>
      <c r="K109" s="2"/>
      <c r="L109" s="2"/>
      <c r="M109" s="23"/>
      <c r="N109" s="31"/>
      <c r="O109" s="23"/>
      <c r="P109" s="30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</row>
    <row r="110" spans="1:28" x14ac:dyDescent="0.25">
      <c r="A110" s="2"/>
      <c r="B110" s="2"/>
      <c r="C110" s="2"/>
      <c r="D110" s="22"/>
      <c r="E110" s="2"/>
      <c r="F110" s="2"/>
      <c r="G110" s="2"/>
      <c r="H110" s="2"/>
      <c r="I110" s="2"/>
      <c r="J110" s="2"/>
      <c r="K110" s="2"/>
      <c r="L110" s="2"/>
      <c r="M110" s="23"/>
      <c r="N110" s="31"/>
      <c r="O110" s="23"/>
      <c r="P110" s="30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</row>
    <row r="111" spans="1:28" x14ac:dyDescent="0.25">
      <c r="A111" s="2"/>
      <c r="B111" s="2"/>
      <c r="C111" s="2"/>
      <c r="D111" s="22"/>
      <c r="E111" s="2"/>
      <c r="F111" s="2"/>
      <c r="G111" s="2"/>
      <c r="H111" s="2"/>
      <c r="I111" s="2"/>
      <c r="J111" s="2"/>
      <c r="K111" s="2"/>
      <c r="L111" s="2"/>
      <c r="M111" s="23"/>
      <c r="N111" s="31"/>
      <c r="O111" s="23"/>
      <c r="P111" s="30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</row>
    <row r="112" spans="1:28" x14ac:dyDescent="0.25">
      <c r="A112" s="2"/>
      <c r="B112" s="2"/>
      <c r="C112" s="2"/>
      <c r="D112" s="22"/>
      <c r="E112" s="2"/>
      <c r="F112" s="2"/>
      <c r="G112" s="2"/>
      <c r="H112" s="2"/>
      <c r="I112" s="2"/>
      <c r="J112" s="2"/>
      <c r="K112" s="2"/>
      <c r="L112" s="2"/>
      <c r="M112" s="23"/>
      <c r="N112" s="31"/>
      <c r="O112" s="23"/>
      <c r="P112" s="30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</row>
    <row r="113" spans="1:28" x14ac:dyDescent="0.25">
      <c r="A113" s="2"/>
      <c r="B113" s="2"/>
      <c r="C113" s="2"/>
      <c r="D113" s="22"/>
      <c r="E113" s="2"/>
      <c r="F113" s="2"/>
      <c r="G113" s="2"/>
      <c r="H113" s="2"/>
      <c r="I113" s="2"/>
      <c r="J113" s="2"/>
      <c r="K113" s="2"/>
      <c r="L113" s="2"/>
      <c r="M113" s="23"/>
      <c r="N113" s="31"/>
      <c r="O113" s="23"/>
      <c r="P113" s="30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</row>
    <row r="114" spans="1:28" x14ac:dyDescent="0.25">
      <c r="A114" s="2"/>
      <c r="B114" s="2"/>
      <c r="C114" s="2"/>
      <c r="D114" s="22"/>
      <c r="E114" s="2"/>
      <c r="F114" s="2"/>
      <c r="G114" s="2"/>
      <c r="H114" s="2"/>
      <c r="I114" s="2"/>
      <c r="J114" s="2"/>
      <c r="K114" s="2"/>
      <c r="L114" s="2"/>
      <c r="M114" s="23"/>
      <c r="N114" s="31"/>
      <c r="O114" s="23"/>
      <c r="P114" s="30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</row>
    <row r="115" spans="1:28" x14ac:dyDescent="0.25">
      <c r="A115" s="2"/>
      <c r="B115" s="2"/>
      <c r="C115" s="2"/>
      <c r="D115" s="22"/>
      <c r="E115" s="2"/>
      <c r="F115" s="2"/>
      <c r="G115" s="2"/>
      <c r="H115" s="2"/>
      <c r="I115" s="2"/>
      <c r="J115" s="2"/>
      <c r="K115" s="2"/>
      <c r="L115" s="2"/>
      <c r="M115" s="23"/>
      <c r="N115" s="31"/>
      <c r="O115" s="23"/>
      <c r="P115" s="30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</row>
    <row r="116" spans="1:28" x14ac:dyDescent="0.25">
      <c r="A116" s="2"/>
      <c r="B116" s="2"/>
      <c r="C116" s="2"/>
      <c r="D116" s="22"/>
      <c r="E116" s="2"/>
      <c r="F116" s="2"/>
      <c r="G116" s="2"/>
      <c r="H116" s="2"/>
      <c r="I116" s="2"/>
      <c r="J116" s="2"/>
      <c r="K116" s="2"/>
      <c r="L116" s="2"/>
      <c r="M116" s="23"/>
      <c r="N116" s="31"/>
      <c r="O116" s="23"/>
      <c r="P116" s="30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</row>
    <row r="117" spans="1:28" x14ac:dyDescent="0.25">
      <c r="A117" s="2"/>
      <c r="B117" s="2"/>
      <c r="C117" s="2"/>
      <c r="D117" s="22"/>
      <c r="E117" s="2"/>
      <c r="F117" s="2"/>
      <c r="G117" s="2"/>
      <c r="H117" s="2"/>
      <c r="I117" s="2"/>
      <c r="J117" s="2"/>
      <c r="K117" s="2"/>
      <c r="L117" s="2"/>
      <c r="M117" s="23"/>
      <c r="N117" s="31"/>
      <c r="O117" s="23"/>
      <c r="P117" s="30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</row>
    <row r="118" spans="1:28" x14ac:dyDescent="0.25">
      <c r="A118" s="2"/>
      <c r="B118" s="2"/>
      <c r="C118" s="2"/>
      <c r="D118" s="22"/>
      <c r="E118" s="2"/>
      <c r="F118" s="2"/>
      <c r="G118" s="2"/>
      <c r="H118" s="2"/>
      <c r="I118" s="2"/>
      <c r="J118" s="2"/>
      <c r="K118" s="2"/>
      <c r="L118" s="2"/>
      <c r="M118" s="23"/>
      <c r="N118" s="31"/>
      <c r="O118" s="23"/>
      <c r="P118" s="30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</row>
    <row r="119" spans="1:28" x14ac:dyDescent="0.25">
      <c r="A119" s="2"/>
      <c r="B119" s="2"/>
      <c r="C119" s="2"/>
      <c r="D119" s="22"/>
      <c r="E119" s="2"/>
      <c r="F119" s="2"/>
      <c r="G119" s="2"/>
      <c r="H119" s="2"/>
      <c r="I119" s="2"/>
      <c r="J119" s="2"/>
      <c r="K119" s="2"/>
      <c r="L119" s="2"/>
      <c r="M119" s="23"/>
      <c r="N119" s="31"/>
      <c r="O119" s="23"/>
      <c r="P119" s="30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</row>
    <row r="120" spans="1:28" x14ac:dyDescent="0.25">
      <c r="A120" s="2"/>
      <c r="B120" s="2"/>
      <c r="C120" s="2"/>
      <c r="D120" s="22"/>
      <c r="E120" s="2"/>
      <c r="F120" s="2"/>
      <c r="G120" s="2"/>
      <c r="H120" s="2"/>
      <c r="I120" s="2"/>
      <c r="J120" s="2"/>
      <c r="K120" s="2"/>
      <c r="L120" s="2"/>
      <c r="M120" s="23"/>
      <c r="N120" s="31"/>
      <c r="O120" s="23"/>
      <c r="P120" s="30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</row>
    <row r="121" spans="1:28" x14ac:dyDescent="0.25">
      <c r="A121" s="2"/>
      <c r="B121" s="2"/>
      <c r="C121" s="2"/>
      <c r="D121" s="22"/>
      <c r="E121" s="2"/>
      <c r="F121" s="2"/>
      <c r="G121" s="2"/>
      <c r="H121" s="2"/>
      <c r="I121" s="2"/>
      <c r="J121" s="2"/>
      <c r="K121" s="2"/>
      <c r="L121" s="2"/>
      <c r="M121" s="23"/>
      <c r="N121" s="31"/>
      <c r="O121" s="23"/>
      <c r="P121" s="30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</row>
    <row r="122" spans="1:28" x14ac:dyDescent="0.25">
      <c r="A122" s="2"/>
      <c r="B122" s="2"/>
      <c r="C122" s="2"/>
      <c r="D122" s="22"/>
      <c r="E122" s="2"/>
      <c r="F122" s="2"/>
      <c r="G122" s="2"/>
      <c r="H122" s="2"/>
      <c r="I122" s="2"/>
      <c r="J122" s="2"/>
      <c r="K122" s="2"/>
      <c r="L122" s="2"/>
      <c r="M122" s="23"/>
      <c r="N122" s="31"/>
      <c r="O122" s="23"/>
      <c r="P122" s="30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</row>
    <row r="123" spans="1:28" x14ac:dyDescent="0.25">
      <c r="A123" s="2"/>
      <c r="B123" s="2"/>
      <c r="C123" s="2"/>
      <c r="D123" s="22"/>
      <c r="E123" s="2"/>
      <c r="F123" s="2"/>
      <c r="G123" s="2"/>
      <c r="H123" s="2"/>
      <c r="I123" s="2"/>
      <c r="J123" s="2"/>
      <c r="K123" s="2"/>
      <c r="L123" s="2"/>
      <c r="M123" s="23"/>
      <c r="N123" s="31"/>
      <c r="O123" s="23"/>
      <c r="P123" s="30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</row>
    <row r="124" spans="1:28" x14ac:dyDescent="0.25">
      <c r="A124" s="2"/>
      <c r="B124" s="2"/>
      <c r="C124" s="2"/>
      <c r="D124" s="22"/>
      <c r="E124" s="2"/>
      <c r="F124" s="2"/>
      <c r="G124" s="2"/>
      <c r="H124" s="2"/>
      <c r="I124" s="2"/>
      <c r="J124" s="2"/>
      <c r="K124" s="2"/>
      <c r="L124" s="2"/>
      <c r="M124" s="23"/>
      <c r="N124" s="31"/>
      <c r="O124" s="23"/>
      <c r="P124" s="30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</row>
    <row r="125" spans="1:28" x14ac:dyDescent="0.25">
      <c r="A125" s="2"/>
      <c r="B125" s="2"/>
      <c r="C125" s="2"/>
      <c r="D125" s="22"/>
      <c r="E125" s="2"/>
      <c r="F125" s="2"/>
      <c r="G125" s="2"/>
      <c r="H125" s="2"/>
      <c r="I125" s="2"/>
      <c r="J125" s="2"/>
      <c r="K125" s="2"/>
      <c r="L125" s="2"/>
      <c r="M125" s="23"/>
      <c r="N125" s="31"/>
      <c r="O125" s="23"/>
      <c r="P125" s="30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</row>
    <row r="126" spans="1:28" x14ac:dyDescent="0.25">
      <c r="A126" s="2"/>
      <c r="B126" s="2"/>
      <c r="C126" s="2"/>
      <c r="D126" s="22"/>
      <c r="E126" s="2"/>
      <c r="F126" s="2"/>
      <c r="G126" s="2"/>
      <c r="H126" s="2"/>
      <c r="I126" s="2"/>
      <c r="J126" s="2"/>
      <c r="K126" s="2"/>
      <c r="L126" s="2"/>
      <c r="M126" s="23"/>
      <c r="N126" s="31"/>
      <c r="O126" s="23"/>
      <c r="P126" s="30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</row>
    <row r="127" spans="1:28" x14ac:dyDescent="0.25">
      <c r="A127" s="2"/>
      <c r="B127" s="2"/>
      <c r="C127" s="2"/>
      <c r="D127" s="22"/>
      <c r="E127" s="2"/>
      <c r="F127" s="2"/>
      <c r="G127" s="2"/>
      <c r="H127" s="2"/>
      <c r="I127" s="2"/>
      <c r="J127" s="2"/>
      <c r="K127" s="2"/>
      <c r="L127" s="2"/>
      <c r="M127" s="23"/>
      <c r="N127" s="31"/>
      <c r="O127" s="23"/>
      <c r="P127" s="30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</row>
    <row r="128" spans="1:28" x14ac:dyDescent="0.25">
      <c r="A128" s="2"/>
      <c r="B128" s="2"/>
      <c r="C128" s="2"/>
      <c r="D128" s="22"/>
      <c r="E128" s="2"/>
      <c r="F128" s="2"/>
      <c r="G128" s="2"/>
      <c r="H128" s="2"/>
      <c r="I128" s="2"/>
      <c r="J128" s="2"/>
      <c r="K128" s="2"/>
      <c r="L128" s="2"/>
      <c r="M128" s="23"/>
      <c r="N128" s="31"/>
      <c r="O128" s="23"/>
      <c r="P128" s="30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</row>
    <row r="129" spans="1:28" x14ac:dyDescent="0.25">
      <c r="A129" s="2"/>
      <c r="B129" s="2"/>
      <c r="C129" s="2"/>
      <c r="D129" s="22"/>
      <c r="E129" s="2"/>
      <c r="F129" s="2"/>
      <c r="G129" s="2"/>
      <c r="H129" s="2"/>
      <c r="I129" s="2"/>
      <c r="J129" s="2"/>
      <c r="K129" s="2"/>
      <c r="L129" s="2"/>
      <c r="M129" s="23"/>
      <c r="N129" s="31"/>
      <c r="O129" s="23"/>
      <c r="P129" s="30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</row>
    <row r="130" spans="1:28" x14ac:dyDescent="0.25">
      <c r="A130" s="2"/>
      <c r="B130" s="2"/>
      <c r="C130" s="2"/>
      <c r="D130" s="22"/>
      <c r="E130" s="2"/>
      <c r="F130" s="2"/>
      <c r="G130" s="2"/>
      <c r="H130" s="2"/>
      <c r="I130" s="2"/>
      <c r="J130" s="2"/>
      <c r="K130" s="2"/>
      <c r="L130" s="2"/>
      <c r="M130" s="23"/>
      <c r="N130" s="31"/>
      <c r="O130" s="23"/>
      <c r="P130" s="30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</row>
    <row r="131" spans="1:28" x14ac:dyDescent="0.25">
      <c r="A131" s="2"/>
      <c r="B131" s="2"/>
      <c r="C131" s="2"/>
      <c r="D131" s="22"/>
      <c r="E131" s="2"/>
      <c r="F131" s="2"/>
      <c r="G131" s="2"/>
      <c r="H131" s="2"/>
      <c r="I131" s="2"/>
      <c r="J131" s="2"/>
      <c r="K131" s="2"/>
      <c r="L131" s="2"/>
      <c r="M131" s="23"/>
      <c r="N131" s="31"/>
      <c r="O131" s="23"/>
      <c r="P131" s="30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</row>
    <row r="132" spans="1:28" x14ac:dyDescent="0.25">
      <c r="A132" s="2"/>
      <c r="B132" s="2"/>
      <c r="C132" s="2"/>
      <c r="D132" s="22"/>
      <c r="E132" s="2"/>
      <c r="F132" s="2"/>
      <c r="G132" s="2"/>
      <c r="H132" s="2"/>
      <c r="I132" s="2"/>
      <c r="J132" s="2"/>
      <c r="K132" s="2"/>
      <c r="L132" s="2"/>
      <c r="M132" s="23"/>
      <c r="N132" s="31"/>
      <c r="O132" s="23"/>
      <c r="P132" s="30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</row>
    <row r="133" spans="1:28" x14ac:dyDescent="0.25">
      <c r="A133" s="2"/>
      <c r="B133" s="2"/>
      <c r="C133" s="2"/>
      <c r="D133" s="22"/>
      <c r="E133" s="2"/>
      <c r="F133" s="2"/>
      <c r="G133" s="2"/>
      <c r="H133" s="2"/>
      <c r="I133" s="2"/>
      <c r="J133" s="2"/>
      <c r="K133" s="2"/>
      <c r="L133" s="2"/>
      <c r="M133" s="23"/>
      <c r="N133" s="31"/>
      <c r="O133" s="23"/>
      <c r="P133" s="30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</row>
    <row r="134" spans="1:28" x14ac:dyDescent="0.25">
      <c r="A134" s="2"/>
      <c r="B134" s="2"/>
      <c r="C134" s="2"/>
      <c r="D134" s="22"/>
      <c r="E134" s="2"/>
      <c r="F134" s="2"/>
      <c r="G134" s="2"/>
      <c r="H134" s="2"/>
      <c r="I134" s="2"/>
      <c r="J134" s="2"/>
      <c r="K134" s="2"/>
      <c r="L134" s="2"/>
      <c r="M134" s="23"/>
      <c r="N134" s="31"/>
      <c r="O134" s="23"/>
      <c r="P134" s="30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</row>
    <row r="135" spans="1:28" x14ac:dyDescent="0.25">
      <c r="A135" s="2"/>
      <c r="B135" s="2"/>
      <c r="C135" s="2"/>
      <c r="D135" s="22"/>
      <c r="E135" s="2"/>
      <c r="F135" s="2"/>
      <c r="G135" s="2"/>
      <c r="H135" s="2"/>
      <c r="I135" s="2"/>
      <c r="J135" s="2"/>
      <c r="K135" s="2"/>
      <c r="L135" s="2"/>
      <c r="M135" s="23"/>
      <c r="N135" s="31"/>
      <c r="O135" s="23"/>
      <c r="P135" s="30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</row>
    <row r="136" spans="1:28" x14ac:dyDescent="0.25">
      <c r="A136" s="2"/>
      <c r="B136" s="2"/>
      <c r="C136" s="2"/>
      <c r="D136" s="22"/>
      <c r="E136" s="2"/>
      <c r="F136" s="2"/>
      <c r="G136" s="2"/>
      <c r="H136" s="2"/>
      <c r="I136" s="2"/>
      <c r="J136" s="2"/>
      <c r="K136" s="2"/>
      <c r="L136" s="2"/>
      <c r="M136" s="23"/>
      <c r="N136" s="31"/>
      <c r="O136" s="23"/>
      <c r="P136" s="30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</row>
    <row r="137" spans="1:28" x14ac:dyDescent="0.25">
      <c r="A137" s="2"/>
      <c r="B137" s="2"/>
      <c r="C137" s="2"/>
      <c r="D137" s="22"/>
      <c r="E137" s="2"/>
      <c r="F137" s="2"/>
      <c r="G137" s="2"/>
      <c r="H137" s="2"/>
      <c r="I137" s="2"/>
      <c r="J137" s="2"/>
      <c r="K137" s="2"/>
      <c r="L137" s="2"/>
      <c r="M137" s="23"/>
      <c r="N137" s="31"/>
      <c r="O137" s="23"/>
      <c r="P137" s="30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</row>
    <row r="138" spans="1:28" x14ac:dyDescent="0.25">
      <c r="A138" s="2"/>
      <c r="B138" s="2"/>
      <c r="C138" s="2"/>
      <c r="D138" s="22"/>
      <c r="E138" s="2"/>
      <c r="F138" s="2"/>
      <c r="G138" s="2"/>
      <c r="H138" s="2"/>
      <c r="I138" s="2"/>
      <c r="J138" s="2"/>
      <c r="K138" s="2"/>
      <c r="L138" s="2"/>
      <c r="M138" s="23"/>
      <c r="N138" s="31"/>
      <c r="O138" s="23"/>
      <c r="P138" s="30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</row>
    <row r="139" spans="1:28" x14ac:dyDescent="0.25">
      <c r="A139" s="2"/>
      <c r="B139" s="2"/>
      <c r="C139" s="2"/>
      <c r="D139" s="22"/>
      <c r="E139" s="2"/>
      <c r="F139" s="2"/>
      <c r="G139" s="2"/>
      <c r="H139" s="2"/>
      <c r="I139" s="2"/>
      <c r="J139" s="2"/>
      <c r="K139" s="2"/>
      <c r="L139" s="2"/>
      <c r="M139" s="23"/>
      <c r="N139" s="31"/>
      <c r="O139" s="23"/>
      <c r="P139" s="30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</row>
    <row r="140" spans="1:28" x14ac:dyDescent="0.25">
      <c r="A140" s="2"/>
      <c r="B140" s="2"/>
      <c r="C140" s="2"/>
      <c r="D140" s="22"/>
      <c r="E140" s="2"/>
      <c r="F140" s="2"/>
      <c r="G140" s="2"/>
      <c r="H140" s="2"/>
      <c r="I140" s="2"/>
      <c r="J140" s="2"/>
      <c r="K140" s="2"/>
      <c r="L140" s="2"/>
      <c r="M140" s="23"/>
      <c r="N140" s="31"/>
      <c r="O140" s="23"/>
      <c r="P140" s="30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</row>
    <row r="141" spans="1:28" x14ac:dyDescent="0.25">
      <c r="A141" s="2"/>
      <c r="B141" s="2"/>
      <c r="C141" s="2"/>
      <c r="D141" s="22"/>
      <c r="E141" s="2"/>
      <c r="F141" s="2"/>
      <c r="G141" s="2"/>
      <c r="H141" s="2"/>
      <c r="I141" s="2"/>
      <c r="J141" s="2"/>
      <c r="K141" s="2"/>
      <c r="L141" s="2"/>
      <c r="M141" s="23"/>
      <c r="N141" s="31"/>
      <c r="O141" s="23"/>
      <c r="P141" s="30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</row>
    <row r="142" spans="1:28" x14ac:dyDescent="0.25">
      <c r="A142" s="2"/>
      <c r="B142" s="2"/>
      <c r="C142" s="2"/>
      <c r="D142" s="22"/>
      <c r="E142" s="2"/>
      <c r="F142" s="2"/>
      <c r="G142" s="2"/>
      <c r="H142" s="2"/>
      <c r="I142" s="2"/>
      <c r="J142" s="2"/>
      <c r="K142" s="2"/>
      <c r="L142" s="2"/>
      <c r="M142" s="23"/>
      <c r="N142" s="31"/>
      <c r="O142" s="23"/>
      <c r="P142" s="30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</row>
    <row r="143" spans="1:28" x14ac:dyDescent="0.25">
      <c r="A143" s="2"/>
      <c r="B143" s="2"/>
      <c r="C143" s="2"/>
      <c r="D143" s="22"/>
      <c r="E143" s="2"/>
      <c r="F143" s="2"/>
      <c r="G143" s="2"/>
      <c r="H143" s="2"/>
      <c r="I143" s="2"/>
      <c r="J143" s="2"/>
      <c r="K143" s="2"/>
      <c r="L143" s="2"/>
      <c r="M143" s="23"/>
      <c r="N143" s="31"/>
      <c r="O143" s="23"/>
      <c r="P143" s="30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</row>
    <row r="144" spans="1:28" x14ac:dyDescent="0.25">
      <c r="A144" s="2"/>
      <c r="B144" s="2"/>
      <c r="C144" s="2"/>
      <c r="D144" s="22"/>
      <c r="E144" s="2"/>
      <c r="F144" s="2"/>
      <c r="G144" s="2"/>
      <c r="H144" s="2"/>
      <c r="I144" s="2"/>
      <c r="J144" s="2"/>
      <c r="K144" s="2"/>
      <c r="L144" s="2"/>
      <c r="M144" s="23"/>
      <c r="N144" s="31"/>
      <c r="O144" s="23"/>
      <c r="P144" s="30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</row>
    <row r="145" spans="1:28" x14ac:dyDescent="0.25">
      <c r="A145" s="2"/>
      <c r="B145" s="2"/>
      <c r="C145" s="2"/>
      <c r="D145" s="22"/>
      <c r="E145" s="2"/>
      <c r="F145" s="2"/>
      <c r="G145" s="2"/>
      <c r="H145" s="2"/>
      <c r="I145" s="2"/>
      <c r="J145" s="2"/>
      <c r="K145" s="2"/>
      <c r="L145" s="2"/>
      <c r="M145" s="23"/>
      <c r="N145" s="31"/>
      <c r="O145" s="23"/>
      <c r="P145" s="30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</row>
    <row r="146" spans="1:28" x14ac:dyDescent="0.25">
      <c r="A146" s="2"/>
      <c r="B146" s="2"/>
      <c r="C146" s="2"/>
      <c r="D146" s="22"/>
      <c r="E146" s="2"/>
      <c r="F146" s="2"/>
      <c r="G146" s="2"/>
      <c r="H146" s="2"/>
      <c r="I146" s="2"/>
      <c r="J146" s="2"/>
      <c r="K146" s="2"/>
      <c r="L146" s="2"/>
      <c r="M146" s="23"/>
      <c r="N146" s="31"/>
      <c r="O146" s="23"/>
      <c r="P146" s="30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</row>
    <row r="147" spans="1:28" x14ac:dyDescent="0.25">
      <c r="A147" s="2"/>
      <c r="B147" s="2"/>
      <c r="C147" s="2"/>
      <c r="D147" s="22"/>
      <c r="E147" s="2"/>
      <c r="F147" s="2"/>
      <c r="G147" s="2"/>
      <c r="H147" s="2"/>
      <c r="I147" s="2"/>
      <c r="J147" s="2"/>
      <c r="K147" s="2"/>
      <c r="L147" s="2"/>
      <c r="M147" s="23"/>
      <c r="N147" s="31"/>
      <c r="O147" s="23"/>
      <c r="P147" s="30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</row>
    <row r="148" spans="1:28" x14ac:dyDescent="0.25">
      <c r="A148" s="2"/>
      <c r="B148" s="2"/>
      <c r="C148" s="2"/>
      <c r="D148" s="22"/>
      <c r="E148" s="2"/>
      <c r="F148" s="2"/>
      <c r="G148" s="2"/>
      <c r="H148" s="2"/>
      <c r="I148" s="2"/>
      <c r="J148" s="2"/>
      <c r="K148" s="2"/>
      <c r="L148" s="2"/>
      <c r="M148" s="23"/>
      <c r="N148" s="31"/>
      <c r="O148" s="23"/>
      <c r="P148" s="30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</row>
    <row r="149" spans="1:28" x14ac:dyDescent="0.25">
      <c r="A149" s="2"/>
      <c r="B149" s="2"/>
      <c r="C149" s="2"/>
      <c r="D149" s="22"/>
      <c r="E149" s="2"/>
      <c r="F149" s="2"/>
      <c r="G149" s="2"/>
      <c r="H149" s="2"/>
      <c r="I149" s="2"/>
      <c r="J149" s="2"/>
      <c r="K149" s="2"/>
      <c r="L149" s="2"/>
      <c r="M149" s="23"/>
      <c r="N149" s="31"/>
      <c r="O149" s="23"/>
      <c r="P149" s="30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</row>
    <row r="150" spans="1:28" x14ac:dyDescent="0.25">
      <c r="A150" s="2"/>
      <c r="B150" s="2"/>
      <c r="C150" s="2"/>
      <c r="D150" s="22"/>
      <c r="E150" s="2"/>
      <c r="F150" s="2"/>
      <c r="G150" s="2"/>
      <c r="H150" s="2"/>
      <c r="I150" s="2"/>
      <c r="J150" s="2"/>
      <c r="K150" s="2"/>
      <c r="L150" s="2"/>
      <c r="M150" s="23"/>
      <c r="N150" s="31"/>
      <c r="O150" s="23"/>
      <c r="P150" s="30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</row>
    <row r="151" spans="1:28" x14ac:dyDescent="0.25">
      <c r="A151" s="2"/>
      <c r="B151" s="2"/>
      <c r="C151" s="2"/>
      <c r="D151" s="22"/>
      <c r="E151" s="2"/>
      <c r="F151" s="2"/>
      <c r="G151" s="2"/>
      <c r="H151" s="2"/>
      <c r="I151" s="2"/>
      <c r="J151" s="2"/>
      <c r="K151" s="2"/>
      <c r="L151" s="2"/>
      <c r="M151" s="23"/>
      <c r="N151" s="31"/>
      <c r="O151" s="23"/>
      <c r="P151" s="30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</row>
    <row r="152" spans="1:28" x14ac:dyDescent="0.25">
      <c r="A152" s="2"/>
      <c r="B152" s="2"/>
      <c r="C152" s="2"/>
      <c r="D152" s="22"/>
      <c r="E152" s="2"/>
      <c r="F152" s="2"/>
      <c r="G152" s="2"/>
      <c r="H152" s="2"/>
      <c r="I152" s="2"/>
      <c r="J152" s="2"/>
      <c r="K152" s="2"/>
      <c r="L152" s="2"/>
      <c r="M152" s="23"/>
      <c r="N152" s="31"/>
      <c r="O152" s="23"/>
      <c r="P152" s="30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</row>
    <row r="153" spans="1:28" x14ac:dyDescent="0.25">
      <c r="A153" s="2"/>
      <c r="B153" s="2"/>
      <c r="C153" s="2"/>
      <c r="D153" s="22"/>
      <c r="E153" s="2"/>
      <c r="F153" s="2"/>
      <c r="G153" s="2"/>
      <c r="H153" s="2"/>
      <c r="I153" s="2"/>
      <c r="J153" s="2"/>
      <c r="K153" s="2"/>
      <c r="L153" s="2"/>
      <c r="M153" s="23"/>
      <c r="N153" s="31"/>
      <c r="O153" s="23"/>
      <c r="P153" s="30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</row>
    <row r="154" spans="1:28" x14ac:dyDescent="0.25">
      <c r="A154" s="2"/>
      <c r="B154" s="2"/>
      <c r="C154" s="2"/>
      <c r="D154" s="22"/>
      <c r="E154" s="2"/>
      <c r="F154" s="2"/>
      <c r="G154" s="2"/>
      <c r="H154" s="2"/>
      <c r="I154" s="2"/>
      <c r="J154" s="2"/>
      <c r="K154" s="2"/>
      <c r="L154" s="2"/>
      <c r="M154" s="23"/>
      <c r="N154" s="31"/>
      <c r="O154" s="23"/>
      <c r="P154" s="30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</row>
    <row r="155" spans="1:28" x14ac:dyDescent="0.25">
      <c r="A155" s="2"/>
      <c r="B155" s="2"/>
      <c r="C155" s="2"/>
      <c r="D155" s="22"/>
      <c r="E155" s="2"/>
      <c r="F155" s="2"/>
      <c r="G155" s="2"/>
      <c r="H155" s="2"/>
      <c r="I155" s="2"/>
      <c r="J155" s="2"/>
      <c r="K155" s="2"/>
      <c r="L155" s="2"/>
      <c r="M155" s="23"/>
      <c r="N155" s="31"/>
      <c r="O155" s="23"/>
      <c r="P155" s="30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</row>
    <row r="156" spans="1:28" x14ac:dyDescent="0.25">
      <c r="A156" s="2"/>
      <c r="B156" s="2"/>
      <c r="C156" s="2"/>
      <c r="D156" s="22"/>
      <c r="E156" s="2"/>
      <c r="F156" s="2"/>
      <c r="G156" s="2"/>
      <c r="H156" s="2"/>
      <c r="I156" s="2"/>
      <c r="J156" s="2"/>
      <c r="K156" s="2"/>
      <c r="L156" s="2"/>
      <c r="M156" s="23"/>
      <c r="N156" s="31"/>
      <c r="O156" s="23"/>
      <c r="P156" s="30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</row>
    <row r="157" spans="1:28" x14ac:dyDescent="0.25">
      <c r="A157" s="2"/>
      <c r="B157" s="2"/>
      <c r="C157" s="2"/>
      <c r="D157" s="22"/>
      <c r="E157" s="2"/>
      <c r="F157" s="2"/>
      <c r="G157" s="2"/>
      <c r="H157" s="2"/>
      <c r="I157" s="2"/>
      <c r="J157" s="2"/>
      <c r="K157" s="2"/>
      <c r="L157" s="2"/>
      <c r="M157" s="23"/>
      <c r="N157" s="31"/>
      <c r="O157" s="23"/>
      <c r="P157" s="30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</row>
    <row r="158" spans="1:28" x14ac:dyDescent="0.25">
      <c r="A158" s="2"/>
      <c r="B158" s="2"/>
      <c r="C158" s="2"/>
      <c r="D158" s="22"/>
      <c r="E158" s="2"/>
      <c r="F158" s="2"/>
      <c r="G158" s="2"/>
      <c r="H158" s="2"/>
      <c r="I158" s="2"/>
      <c r="J158" s="2"/>
      <c r="K158" s="2"/>
      <c r="L158" s="2"/>
      <c r="M158" s="23"/>
      <c r="N158" s="31"/>
      <c r="O158" s="23"/>
      <c r="P158" s="30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</row>
    <row r="159" spans="1:28" x14ac:dyDescent="0.25">
      <c r="A159" s="2"/>
      <c r="B159" s="2"/>
      <c r="C159" s="2"/>
      <c r="D159" s="22"/>
      <c r="E159" s="2"/>
      <c r="F159" s="2"/>
      <c r="G159" s="2"/>
      <c r="H159" s="2"/>
      <c r="I159" s="2"/>
      <c r="J159" s="2"/>
      <c r="K159" s="2"/>
      <c r="L159" s="2"/>
      <c r="M159" s="23"/>
      <c r="N159" s="31"/>
      <c r="O159" s="23"/>
      <c r="P159" s="30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</row>
    <row r="160" spans="1:28" x14ac:dyDescent="0.25">
      <c r="A160" s="2"/>
      <c r="B160" s="2"/>
      <c r="C160" s="2"/>
      <c r="D160" s="22"/>
      <c r="E160" s="2"/>
      <c r="F160" s="2"/>
      <c r="G160" s="2"/>
      <c r="H160" s="2"/>
      <c r="I160" s="2"/>
      <c r="J160" s="2"/>
      <c r="K160" s="2"/>
      <c r="L160" s="2"/>
      <c r="M160" s="23"/>
      <c r="N160" s="31"/>
      <c r="O160" s="23"/>
      <c r="P160" s="30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</row>
    <row r="161" spans="1:28" x14ac:dyDescent="0.25">
      <c r="A161" s="2"/>
      <c r="B161" s="2"/>
      <c r="C161" s="2"/>
      <c r="D161" s="22"/>
      <c r="E161" s="2"/>
      <c r="F161" s="2"/>
      <c r="G161" s="2"/>
      <c r="H161" s="2"/>
      <c r="I161" s="2"/>
      <c r="J161" s="2"/>
      <c r="K161" s="2"/>
      <c r="L161" s="2"/>
      <c r="M161" s="23"/>
      <c r="N161" s="31"/>
      <c r="O161" s="23"/>
      <c r="P161" s="30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</row>
    <row r="162" spans="1:28" x14ac:dyDescent="0.25">
      <c r="A162" s="2"/>
      <c r="B162" s="2"/>
      <c r="C162" s="2"/>
      <c r="D162" s="22"/>
      <c r="E162" s="2"/>
      <c r="F162" s="2"/>
      <c r="G162" s="2"/>
      <c r="H162" s="2"/>
      <c r="I162" s="2"/>
      <c r="J162" s="2"/>
      <c r="K162" s="2"/>
      <c r="L162" s="2"/>
      <c r="M162" s="23"/>
      <c r="N162" s="31"/>
      <c r="O162" s="23"/>
      <c r="P162" s="30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</row>
    <row r="163" spans="1:28" x14ac:dyDescent="0.25">
      <c r="A163" s="2"/>
      <c r="B163" s="2"/>
      <c r="C163" s="2"/>
      <c r="D163" s="22"/>
      <c r="E163" s="2"/>
      <c r="F163" s="2"/>
      <c r="G163" s="2"/>
      <c r="H163" s="2"/>
      <c r="I163" s="2"/>
      <c r="J163" s="2"/>
      <c r="K163" s="2"/>
      <c r="L163" s="2"/>
      <c r="M163" s="23"/>
      <c r="N163" s="31"/>
      <c r="O163" s="23"/>
      <c r="P163" s="30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</row>
    <row r="164" spans="1:28" x14ac:dyDescent="0.25">
      <c r="A164" s="2"/>
      <c r="B164" s="2"/>
      <c r="C164" s="2"/>
      <c r="D164" s="22"/>
      <c r="E164" s="2"/>
      <c r="F164" s="2"/>
      <c r="G164" s="2"/>
      <c r="H164" s="2"/>
      <c r="I164" s="2"/>
      <c r="J164" s="2"/>
      <c r="K164" s="2"/>
      <c r="L164" s="2"/>
      <c r="M164" s="23"/>
      <c r="N164" s="31"/>
      <c r="O164" s="23"/>
      <c r="P164" s="30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</row>
    <row r="165" spans="1:28" x14ac:dyDescent="0.25">
      <c r="A165" s="2"/>
      <c r="B165" s="2"/>
      <c r="C165" s="2"/>
      <c r="D165" s="22"/>
      <c r="E165" s="2"/>
      <c r="F165" s="2"/>
      <c r="G165" s="2"/>
      <c r="H165" s="2"/>
      <c r="I165" s="2"/>
      <c r="J165" s="2"/>
      <c r="K165" s="2"/>
      <c r="L165" s="2"/>
      <c r="M165" s="23"/>
      <c r="N165" s="31"/>
      <c r="O165" s="23"/>
      <c r="P165" s="30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</row>
    <row r="166" spans="1:28" x14ac:dyDescent="0.25">
      <c r="A166" s="2"/>
      <c r="B166" s="2"/>
      <c r="C166" s="2"/>
      <c r="D166" s="22"/>
      <c r="E166" s="2"/>
      <c r="F166" s="2"/>
      <c r="G166" s="2"/>
      <c r="H166" s="2"/>
      <c r="I166" s="2"/>
      <c r="J166" s="2"/>
      <c r="K166" s="2"/>
      <c r="L166" s="2"/>
      <c r="M166" s="23"/>
      <c r="N166" s="31"/>
      <c r="O166" s="23"/>
      <c r="P166" s="30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</row>
    <row r="167" spans="1:28" x14ac:dyDescent="0.25">
      <c r="A167" s="2"/>
      <c r="B167" s="2"/>
      <c r="C167" s="2"/>
      <c r="D167" s="22"/>
      <c r="E167" s="2"/>
      <c r="F167" s="2"/>
      <c r="G167" s="2"/>
      <c r="H167" s="2"/>
      <c r="I167" s="2"/>
      <c r="J167" s="2"/>
      <c r="K167" s="2"/>
      <c r="L167" s="2"/>
      <c r="M167" s="23"/>
      <c r="N167" s="31"/>
      <c r="O167" s="23"/>
      <c r="P167" s="30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</row>
    <row r="168" spans="1:28" x14ac:dyDescent="0.25">
      <c r="A168" s="2"/>
      <c r="B168" s="2"/>
      <c r="C168" s="2"/>
      <c r="D168" s="22"/>
      <c r="E168" s="2"/>
      <c r="F168" s="2"/>
      <c r="G168" s="2"/>
      <c r="H168" s="2"/>
      <c r="I168" s="2"/>
      <c r="J168" s="2"/>
      <c r="K168" s="2"/>
      <c r="L168" s="2"/>
      <c r="M168" s="23"/>
      <c r="N168" s="31"/>
      <c r="O168" s="23"/>
      <c r="P168" s="30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</row>
    <row r="169" spans="1:28" x14ac:dyDescent="0.25">
      <c r="A169" s="2"/>
      <c r="B169" s="2"/>
      <c r="C169" s="2"/>
      <c r="D169" s="22"/>
      <c r="E169" s="2"/>
      <c r="F169" s="2"/>
      <c r="G169" s="2"/>
      <c r="H169" s="2"/>
      <c r="I169" s="2"/>
      <c r="J169" s="2"/>
      <c r="K169" s="2"/>
      <c r="L169" s="2"/>
      <c r="M169" s="23"/>
      <c r="N169" s="31"/>
      <c r="O169" s="23"/>
      <c r="P169" s="30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</row>
    <row r="170" spans="1:28" x14ac:dyDescent="0.25">
      <c r="A170" s="2"/>
      <c r="B170" s="2"/>
      <c r="C170" s="2"/>
      <c r="D170" s="22"/>
      <c r="E170" s="2"/>
      <c r="F170" s="2"/>
      <c r="G170" s="2"/>
      <c r="H170" s="2"/>
      <c r="I170" s="2"/>
      <c r="J170" s="2"/>
      <c r="K170" s="2"/>
      <c r="L170" s="2"/>
      <c r="M170" s="23"/>
      <c r="N170" s="31"/>
      <c r="O170" s="23"/>
      <c r="P170" s="30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</row>
    <row r="171" spans="1:28" x14ac:dyDescent="0.25">
      <c r="A171" s="2"/>
      <c r="B171" s="2"/>
      <c r="C171" s="2"/>
      <c r="D171" s="22"/>
      <c r="E171" s="2"/>
      <c r="F171" s="2"/>
      <c r="G171" s="2"/>
      <c r="H171" s="2"/>
      <c r="I171" s="2"/>
      <c r="J171" s="2"/>
      <c r="K171" s="2"/>
      <c r="L171" s="2"/>
      <c r="M171" s="23"/>
      <c r="N171" s="31"/>
      <c r="O171" s="23"/>
      <c r="P171" s="30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</row>
    <row r="172" spans="1:28" x14ac:dyDescent="0.25">
      <c r="A172" s="2"/>
      <c r="B172" s="2"/>
      <c r="C172" s="2"/>
      <c r="D172" s="22"/>
      <c r="E172" s="2"/>
      <c r="F172" s="2"/>
      <c r="G172" s="2"/>
      <c r="H172" s="2"/>
      <c r="I172" s="2"/>
      <c r="J172" s="2"/>
      <c r="K172" s="2"/>
      <c r="L172" s="2"/>
      <c r="M172" s="23"/>
      <c r="N172" s="31"/>
      <c r="O172" s="23"/>
      <c r="P172" s="30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</row>
    <row r="173" spans="1:28" x14ac:dyDescent="0.25">
      <c r="A173" s="2"/>
      <c r="B173" s="2"/>
      <c r="C173" s="2"/>
      <c r="D173" s="22"/>
      <c r="E173" s="2"/>
      <c r="F173" s="2"/>
      <c r="G173" s="2"/>
      <c r="H173" s="2"/>
      <c r="I173" s="2"/>
      <c r="J173" s="2"/>
      <c r="K173" s="2"/>
      <c r="L173" s="2"/>
      <c r="M173" s="23"/>
      <c r="N173" s="31"/>
      <c r="O173" s="23"/>
      <c r="P173" s="30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</row>
    <row r="174" spans="1:28" x14ac:dyDescent="0.25">
      <c r="A174" s="2"/>
      <c r="B174" s="2"/>
      <c r="C174" s="2"/>
      <c r="D174" s="22"/>
      <c r="E174" s="2"/>
      <c r="F174" s="2"/>
      <c r="G174" s="2"/>
      <c r="H174" s="2"/>
      <c r="I174" s="2"/>
      <c r="J174" s="2"/>
      <c r="K174" s="2"/>
      <c r="L174" s="2"/>
      <c r="M174" s="23"/>
      <c r="N174" s="31"/>
      <c r="O174" s="23"/>
      <c r="P174" s="30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</row>
    <row r="175" spans="1:28" x14ac:dyDescent="0.25">
      <c r="A175" s="2"/>
      <c r="B175" s="2"/>
      <c r="C175" s="2"/>
      <c r="D175" s="22"/>
      <c r="E175" s="2"/>
      <c r="F175" s="2"/>
      <c r="G175" s="2"/>
      <c r="H175" s="2"/>
      <c r="I175" s="2"/>
      <c r="J175" s="2"/>
      <c r="K175" s="2"/>
      <c r="L175" s="2"/>
      <c r="M175" s="23"/>
      <c r="N175" s="31"/>
      <c r="O175" s="23"/>
      <c r="P175" s="30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</row>
    <row r="176" spans="1:28" x14ac:dyDescent="0.25">
      <c r="A176" s="2"/>
      <c r="B176" s="2"/>
      <c r="C176" s="2"/>
      <c r="D176" s="22"/>
      <c r="E176" s="2"/>
      <c r="F176" s="2"/>
      <c r="G176" s="2"/>
      <c r="H176" s="2"/>
      <c r="I176" s="2"/>
      <c r="J176" s="2"/>
      <c r="K176" s="2"/>
      <c r="L176" s="2"/>
      <c r="M176" s="23"/>
      <c r="N176" s="31"/>
      <c r="O176" s="23"/>
      <c r="P176" s="30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</row>
    <row r="177" spans="1:28" x14ac:dyDescent="0.25">
      <c r="A177" s="2"/>
      <c r="B177" s="2"/>
      <c r="C177" s="2"/>
      <c r="D177" s="22"/>
      <c r="E177" s="2"/>
      <c r="F177" s="2"/>
      <c r="G177" s="2"/>
      <c r="H177" s="2"/>
      <c r="I177" s="2"/>
      <c r="J177" s="2"/>
      <c r="K177" s="2"/>
      <c r="L177" s="2"/>
      <c r="M177" s="23"/>
      <c r="N177" s="31"/>
      <c r="O177" s="23"/>
      <c r="P177" s="30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</row>
    <row r="178" spans="1:28" x14ac:dyDescent="0.25">
      <c r="A178" s="2"/>
      <c r="B178" s="2"/>
      <c r="C178" s="2"/>
      <c r="D178" s="22"/>
      <c r="E178" s="2"/>
      <c r="F178" s="2"/>
      <c r="G178" s="2"/>
      <c r="H178" s="2"/>
      <c r="I178" s="2"/>
      <c r="J178" s="2"/>
      <c r="K178" s="2"/>
      <c r="L178" s="2"/>
      <c r="M178" s="23"/>
      <c r="N178" s="31"/>
      <c r="O178" s="23"/>
      <c r="P178" s="30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</row>
    <row r="179" spans="1:28" x14ac:dyDescent="0.25">
      <c r="A179" s="2"/>
      <c r="B179" s="2"/>
      <c r="C179" s="2"/>
      <c r="D179" s="22"/>
      <c r="E179" s="2"/>
      <c r="F179" s="2"/>
      <c r="G179" s="2"/>
      <c r="H179" s="2"/>
      <c r="I179" s="2"/>
      <c r="J179" s="2"/>
      <c r="K179" s="2"/>
      <c r="L179" s="2"/>
      <c r="M179" s="23"/>
      <c r="N179" s="31"/>
      <c r="O179" s="23"/>
      <c r="P179" s="30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</row>
    <row r="180" spans="1:28" x14ac:dyDescent="0.25">
      <c r="A180" s="2"/>
      <c r="B180" s="2"/>
      <c r="C180" s="2"/>
      <c r="D180" s="22"/>
      <c r="E180" s="2"/>
      <c r="F180" s="2"/>
      <c r="G180" s="2"/>
      <c r="H180" s="2"/>
      <c r="I180" s="2"/>
      <c r="J180" s="2"/>
      <c r="K180" s="2"/>
      <c r="L180" s="2"/>
      <c r="M180" s="23"/>
      <c r="N180" s="31"/>
      <c r="O180" s="23"/>
      <c r="P180" s="30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</row>
    <row r="181" spans="1:28" x14ac:dyDescent="0.25">
      <c r="A181" s="2"/>
      <c r="B181" s="2"/>
      <c r="C181" s="2"/>
      <c r="D181" s="22"/>
      <c r="E181" s="2"/>
      <c r="F181" s="2"/>
      <c r="G181" s="2"/>
      <c r="H181" s="2"/>
      <c r="I181" s="2"/>
      <c r="J181" s="2"/>
      <c r="K181" s="2"/>
      <c r="L181" s="2"/>
      <c r="M181" s="23"/>
      <c r="N181" s="31"/>
      <c r="O181" s="23"/>
      <c r="P181" s="30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</row>
    <row r="182" spans="1:28" x14ac:dyDescent="0.25">
      <c r="A182" s="2"/>
      <c r="B182" s="2"/>
      <c r="C182" s="2"/>
      <c r="D182" s="22"/>
      <c r="E182" s="2"/>
      <c r="F182" s="2"/>
      <c r="G182" s="2"/>
      <c r="H182" s="2"/>
      <c r="I182" s="2"/>
      <c r="J182" s="2"/>
      <c r="K182" s="2"/>
      <c r="L182" s="2"/>
      <c r="M182" s="23"/>
      <c r="N182" s="31"/>
      <c r="O182" s="23"/>
      <c r="P182" s="30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</row>
    <row r="183" spans="1:28" x14ac:dyDescent="0.25">
      <c r="A183" s="2"/>
      <c r="B183" s="2"/>
      <c r="C183" s="2"/>
      <c r="D183" s="22"/>
      <c r="E183" s="2"/>
      <c r="F183" s="2"/>
      <c r="G183" s="2"/>
      <c r="H183" s="2"/>
      <c r="I183" s="2"/>
      <c r="J183" s="2"/>
      <c r="K183" s="2"/>
      <c r="L183" s="2"/>
      <c r="M183" s="23"/>
      <c r="N183" s="31"/>
      <c r="O183" s="23"/>
      <c r="P183" s="30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</row>
    <row r="184" spans="1:28" x14ac:dyDescent="0.25">
      <c r="A184" s="2"/>
      <c r="B184" s="2"/>
      <c r="C184" s="2"/>
      <c r="D184" s="22"/>
      <c r="E184" s="2"/>
      <c r="F184" s="2"/>
      <c r="G184" s="2"/>
      <c r="H184" s="2"/>
      <c r="I184" s="2"/>
      <c r="J184" s="2"/>
      <c r="K184" s="2"/>
      <c r="L184" s="2"/>
      <c r="M184" s="23"/>
      <c r="N184" s="31"/>
      <c r="O184" s="23"/>
      <c r="P184" s="30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</row>
    <row r="185" spans="1:28" x14ac:dyDescent="0.25">
      <c r="A185" s="2"/>
      <c r="B185" s="2"/>
      <c r="C185" s="2"/>
      <c r="D185" s="22"/>
      <c r="E185" s="2"/>
      <c r="F185" s="2"/>
      <c r="G185" s="2"/>
      <c r="H185" s="2"/>
      <c r="I185" s="2"/>
      <c r="J185" s="2"/>
      <c r="K185" s="2"/>
      <c r="L185" s="2"/>
      <c r="M185" s="23"/>
      <c r="N185" s="31"/>
      <c r="O185" s="23"/>
      <c r="P185" s="30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</row>
    <row r="186" spans="1:28" x14ac:dyDescent="0.25">
      <c r="A186" s="2"/>
      <c r="B186" s="2"/>
      <c r="C186" s="2"/>
      <c r="D186" s="22"/>
      <c r="E186" s="2"/>
      <c r="F186" s="2"/>
      <c r="G186" s="2"/>
      <c r="H186" s="2"/>
      <c r="I186" s="2"/>
      <c r="J186" s="2"/>
      <c r="K186" s="2"/>
      <c r="L186" s="2"/>
      <c r="M186" s="23"/>
      <c r="N186" s="31"/>
      <c r="O186" s="23"/>
      <c r="P186" s="30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</row>
    <row r="187" spans="1:28" x14ac:dyDescent="0.25">
      <c r="A187" s="2"/>
      <c r="B187" s="2"/>
      <c r="C187" s="2"/>
      <c r="D187" s="22"/>
      <c r="E187" s="2"/>
      <c r="F187" s="2"/>
      <c r="G187" s="2"/>
      <c r="H187" s="2"/>
      <c r="I187" s="2"/>
      <c r="J187" s="2"/>
      <c r="K187" s="2"/>
      <c r="L187" s="2"/>
      <c r="M187" s="23"/>
      <c r="N187" s="31"/>
      <c r="O187" s="23"/>
      <c r="P187" s="30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</row>
    <row r="188" spans="1:28" x14ac:dyDescent="0.25">
      <c r="A188" s="2"/>
      <c r="B188" s="2"/>
      <c r="C188" s="2"/>
      <c r="D188" s="22"/>
      <c r="E188" s="2"/>
      <c r="F188" s="2"/>
      <c r="G188" s="2"/>
      <c r="H188" s="2"/>
      <c r="I188" s="2"/>
      <c r="J188" s="2"/>
      <c r="K188" s="2"/>
      <c r="L188" s="2"/>
      <c r="M188" s="23"/>
      <c r="N188" s="31"/>
      <c r="O188" s="23"/>
      <c r="P188" s="30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</row>
    <row r="189" spans="1:28" x14ac:dyDescent="0.25">
      <c r="A189" s="2"/>
      <c r="B189" s="2"/>
      <c r="C189" s="2"/>
      <c r="D189" s="22"/>
      <c r="E189" s="2"/>
      <c r="F189" s="2"/>
      <c r="G189" s="2"/>
      <c r="H189" s="2"/>
      <c r="I189" s="2"/>
      <c r="J189" s="2"/>
      <c r="K189" s="2"/>
      <c r="L189" s="2"/>
      <c r="M189" s="23"/>
      <c r="N189" s="31"/>
      <c r="O189" s="23"/>
      <c r="P189" s="30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</row>
    <row r="190" spans="1:28" x14ac:dyDescent="0.25">
      <c r="A190" s="2"/>
      <c r="B190" s="2"/>
      <c r="C190" s="2"/>
      <c r="D190" s="22"/>
      <c r="E190" s="2"/>
      <c r="F190" s="2"/>
      <c r="G190" s="2"/>
      <c r="H190" s="2"/>
      <c r="I190" s="2"/>
      <c r="J190" s="2"/>
      <c r="K190" s="2"/>
      <c r="L190" s="2"/>
      <c r="M190" s="23"/>
      <c r="N190" s="31"/>
      <c r="O190" s="23"/>
      <c r="P190" s="30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</row>
    <row r="191" spans="1:28" x14ac:dyDescent="0.25">
      <c r="A191" s="2"/>
      <c r="B191" s="2"/>
      <c r="C191" s="2"/>
      <c r="D191" s="22"/>
      <c r="E191" s="2"/>
      <c r="F191" s="2"/>
      <c r="G191" s="2"/>
      <c r="H191" s="2"/>
      <c r="I191" s="2"/>
      <c r="J191" s="2"/>
      <c r="K191" s="2"/>
      <c r="L191" s="2"/>
      <c r="M191" s="23"/>
      <c r="N191" s="31"/>
      <c r="O191" s="23"/>
      <c r="P191" s="30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</row>
    <row r="192" spans="1:28" x14ac:dyDescent="0.25">
      <c r="A192" s="2"/>
      <c r="B192" s="2"/>
      <c r="C192" s="2"/>
      <c r="D192" s="22"/>
      <c r="E192" s="2"/>
      <c r="F192" s="2"/>
      <c r="G192" s="2"/>
      <c r="H192" s="2"/>
      <c r="I192" s="2"/>
      <c r="J192" s="2"/>
      <c r="K192" s="2"/>
      <c r="L192" s="2"/>
      <c r="M192" s="23"/>
      <c r="N192" s="31"/>
      <c r="O192" s="23"/>
      <c r="P192" s="30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</row>
    <row r="193" spans="1:28" x14ac:dyDescent="0.25">
      <c r="A193" s="2"/>
      <c r="B193" s="2"/>
      <c r="C193" s="2"/>
      <c r="D193" s="22"/>
      <c r="E193" s="2"/>
      <c r="F193" s="2"/>
      <c r="G193" s="2"/>
      <c r="H193" s="2"/>
      <c r="I193" s="2"/>
      <c r="J193" s="2"/>
      <c r="K193" s="2"/>
      <c r="L193" s="2"/>
      <c r="M193" s="23"/>
      <c r="N193" s="31"/>
      <c r="O193" s="23"/>
      <c r="P193" s="30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</row>
    <row r="194" spans="1:28" x14ac:dyDescent="0.25">
      <c r="A194" s="2"/>
      <c r="B194" s="2"/>
      <c r="C194" s="2"/>
      <c r="D194" s="22"/>
      <c r="E194" s="2"/>
      <c r="F194" s="2"/>
      <c r="G194" s="2"/>
      <c r="H194" s="2"/>
      <c r="I194" s="2"/>
      <c r="J194" s="2"/>
      <c r="K194" s="2"/>
      <c r="L194" s="2"/>
      <c r="M194" s="23"/>
      <c r="N194" s="31"/>
      <c r="O194" s="23"/>
      <c r="P194" s="30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</row>
    <row r="195" spans="1:28" x14ac:dyDescent="0.25">
      <c r="A195" s="2"/>
      <c r="B195" s="2"/>
      <c r="C195" s="2"/>
      <c r="D195" s="22"/>
      <c r="E195" s="2"/>
      <c r="F195" s="2"/>
      <c r="G195" s="2"/>
      <c r="H195" s="2"/>
      <c r="I195" s="2"/>
      <c r="J195" s="2"/>
      <c r="K195" s="2"/>
      <c r="L195" s="2"/>
      <c r="M195" s="23"/>
      <c r="N195" s="31"/>
      <c r="O195" s="23"/>
      <c r="P195" s="30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</row>
    <row r="196" spans="1:28" x14ac:dyDescent="0.25">
      <c r="A196" s="2"/>
      <c r="B196" s="2"/>
      <c r="C196" s="2"/>
      <c r="D196" s="22"/>
      <c r="E196" s="2"/>
      <c r="F196" s="2"/>
      <c r="G196" s="2"/>
      <c r="H196" s="2"/>
      <c r="I196" s="2"/>
      <c r="J196" s="2"/>
      <c r="K196" s="2"/>
      <c r="L196" s="2"/>
      <c r="M196" s="23"/>
      <c r="N196" s="31"/>
      <c r="O196" s="23"/>
      <c r="P196" s="30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</row>
    <row r="197" spans="1:28" x14ac:dyDescent="0.25">
      <c r="A197" s="2"/>
      <c r="B197" s="2"/>
      <c r="C197" s="2"/>
      <c r="D197" s="22"/>
      <c r="E197" s="2"/>
      <c r="F197" s="2"/>
      <c r="G197" s="2"/>
      <c r="H197" s="2"/>
      <c r="I197" s="2"/>
      <c r="J197" s="2"/>
      <c r="K197" s="2"/>
      <c r="L197" s="2"/>
      <c r="M197" s="23"/>
      <c r="N197" s="31"/>
      <c r="O197" s="23"/>
      <c r="P197" s="30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</row>
    <row r="198" spans="1:28" x14ac:dyDescent="0.25">
      <c r="A198" s="2"/>
      <c r="B198" s="2"/>
      <c r="C198" s="2"/>
      <c r="D198" s="22"/>
      <c r="E198" s="2"/>
      <c r="F198" s="2"/>
      <c r="G198" s="2"/>
      <c r="H198" s="2"/>
      <c r="I198" s="2"/>
      <c r="J198" s="2"/>
      <c r="K198" s="2"/>
      <c r="L198" s="2"/>
      <c r="M198" s="23"/>
      <c r="N198" s="31"/>
      <c r="O198" s="23"/>
      <c r="P198" s="30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</row>
    <row r="199" spans="1:28" x14ac:dyDescent="0.25">
      <c r="A199" s="2"/>
      <c r="B199" s="2"/>
      <c r="C199" s="2"/>
      <c r="D199" s="22"/>
      <c r="E199" s="2"/>
      <c r="F199" s="2"/>
      <c r="G199" s="2"/>
      <c r="H199" s="2"/>
      <c r="I199" s="2"/>
      <c r="J199" s="2"/>
      <c r="K199" s="2"/>
      <c r="L199" s="2"/>
      <c r="M199" s="23"/>
      <c r="N199" s="31"/>
      <c r="O199" s="23"/>
      <c r="P199" s="30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</row>
    <row r="200" spans="1:28" x14ac:dyDescent="0.25">
      <c r="A200" s="2"/>
      <c r="B200" s="2"/>
      <c r="C200" s="2"/>
      <c r="D200" s="22"/>
      <c r="E200" s="2"/>
      <c r="F200" s="2"/>
      <c r="G200" s="2"/>
      <c r="H200" s="2"/>
      <c r="I200" s="2"/>
      <c r="J200" s="2"/>
      <c r="K200" s="2"/>
      <c r="L200" s="2"/>
      <c r="M200" s="23"/>
      <c r="N200" s="31"/>
      <c r="O200" s="23"/>
      <c r="P200" s="30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</row>
    <row r="201" spans="1:28" x14ac:dyDescent="0.25">
      <c r="A201" s="2"/>
      <c r="B201" s="2"/>
      <c r="C201" s="2"/>
      <c r="D201" s="22"/>
      <c r="E201" s="2"/>
      <c r="F201" s="2"/>
      <c r="G201" s="2"/>
      <c r="H201" s="2"/>
      <c r="I201" s="2"/>
      <c r="J201" s="2"/>
      <c r="K201" s="2"/>
      <c r="L201" s="2"/>
      <c r="M201" s="23"/>
      <c r="N201" s="31"/>
      <c r="O201" s="23"/>
      <c r="P201" s="30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</row>
    <row r="202" spans="1:28" x14ac:dyDescent="0.25">
      <c r="A202" s="2"/>
      <c r="B202" s="2"/>
      <c r="C202" s="2"/>
      <c r="D202" s="22"/>
      <c r="E202" s="2"/>
      <c r="F202" s="2"/>
      <c r="G202" s="2"/>
      <c r="H202" s="2"/>
      <c r="I202" s="2"/>
      <c r="J202" s="2"/>
      <c r="K202" s="2"/>
      <c r="L202" s="2"/>
      <c r="M202" s="23"/>
      <c r="N202" s="31"/>
      <c r="O202" s="23"/>
      <c r="P202" s="30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</row>
    <row r="203" spans="1:28" x14ac:dyDescent="0.25">
      <c r="A203" s="2"/>
      <c r="B203" s="2"/>
      <c r="C203" s="2"/>
      <c r="D203" s="22"/>
      <c r="E203" s="2"/>
      <c r="F203" s="2"/>
      <c r="G203" s="2"/>
      <c r="H203" s="2"/>
      <c r="I203" s="2"/>
      <c r="J203" s="2"/>
      <c r="K203" s="2"/>
      <c r="L203" s="2"/>
      <c r="M203" s="23"/>
      <c r="N203" s="31"/>
      <c r="O203" s="23"/>
      <c r="P203" s="30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</row>
    <row r="204" spans="1:28" x14ac:dyDescent="0.25">
      <c r="A204" s="2"/>
      <c r="B204" s="2"/>
      <c r="C204" s="2"/>
      <c r="D204" s="22"/>
      <c r="E204" s="2"/>
      <c r="F204" s="2"/>
      <c r="G204" s="2"/>
      <c r="H204" s="2"/>
      <c r="I204" s="2"/>
      <c r="J204" s="2"/>
      <c r="K204" s="2"/>
      <c r="L204" s="2"/>
      <c r="M204" s="23"/>
      <c r="N204" s="31"/>
      <c r="O204" s="23"/>
      <c r="P204" s="30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</row>
    <row r="205" spans="1:28" x14ac:dyDescent="0.25">
      <c r="A205" s="2"/>
      <c r="B205" s="2"/>
      <c r="C205" s="2"/>
      <c r="D205" s="22"/>
      <c r="E205" s="2"/>
      <c r="F205" s="2"/>
      <c r="G205" s="2"/>
      <c r="H205" s="2"/>
      <c r="I205" s="2"/>
      <c r="J205" s="2"/>
      <c r="K205" s="2"/>
      <c r="L205" s="2"/>
      <c r="M205" s="23"/>
      <c r="N205" s="31"/>
      <c r="O205" s="23"/>
      <c r="P205" s="30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</row>
    <row r="206" spans="1:28" x14ac:dyDescent="0.25">
      <c r="A206" s="2"/>
      <c r="B206" s="2"/>
      <c r="C206" s="2"/>
      <c r="D206" s="22"/>
      <c r="E206" s="2"/>
      <c r="F206" s="2"/>
      <c r="G206" s="2"/>
      <c r="H206" s="2"/>
      <c r="I206" s="2"/>
      <c r="J206" s="2"/>
      <c r="K206" s="2"/>
      <c r="L206" s="2"/>
      <c r="M206" s="23"/>
      <c r="N206" s="31"/>
      <c r="O206" s="23"/>
      <c r="P206" s="30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</row>
    <row r="207" spans="1:28" x14ac:dyDescent="0.25">
      <c r="A207" s="2"/>
      <c r="B207" s="2"/>
      <c r="C207" s="2"/>
      <c r="D207" s="22"/>
      <c r="E207" s="2"/>
      <c r="F207" s="2"/>
      <c r="G207" s="2"/>
      <c r="H207" s="2"/>
      <c r="I207" s="2"/>
      <c r="J207" s="2"/>
      <c r="K207" s="2"/>
      <c r="L207" s="2"/>
      <c r="M207" s="23"/>
      <c r="N207" s="31"/>
      <c r="O207" s="23"/>
      <c r="P207" s="30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</row>
    <row r="208" spans="1:28" x14ac:dyDescent="0.25">
      <c r="A208" s="2"/>
      <c r="B208" s="2"/>
      <c r="C208" s="2"/>
      <c r="D208" s="22"/>
      <c r="E208" s="2"/>
      <c r="F208" s="2"/>
      <c r="G208" s="2"/>
      <c r="H208" s="2"/>
      <c r="I208" s="2"/>
      <c r="J208" s="2"/>
      <c r="K208" s="2"/>
      <c r="L208" s="2"/>
      <c r="M208" s="23"/>
      <c r="N208" s="31"/>
      <c r="O208" s="23"/>
      <c r="P208" s="30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</row>
    <row r="209" spans="1:28" x14ac:dyDescent="0.25">
      <c r="A209" s="2"/>
      <c r="B209" s="2"/>
      <c r="C209" s="2"/>
      <c r="D209" s="22"/>
      <c r="E209" s="2"/>
      <c r="F209" s="2"/>
      <c r="G209" s="2"/>
      <c r="H209" s="2"/>
      <c r="I209" s="2"/>
      <c r="J209" s="2"/>
      <c r="K209" s="2"/>
      <c r="L209" s="2"/>
      <c r="M209" s="23"/>
      <c r="N209" s="31"/>
      <c r="O209" s="23"/>
      <c r="P209" s="30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</row>
    <row r="210" spans="1:28" x14ac:dyDescent="0.25">
      <c r="A210" s="2"/>
      <c r="B210" s="2"/>
      <c r="C210" s="2"/>
      <c r="D210" s="22"/>
      <c r="E210" s="2"/>
      <c r="F210" s="2"/>
      <c r="G210" s="2"/>
      <c r="H210" s="2"/>
      <c r="I210" s="2"/>
      <c r="J210" s="2"/>
      <c r="K210" s="2"/>
      <c r="L210" s="2"/>
      <c r="M210" s="23"/>
      <c r="N210" s="31"/>
      <c r="O210" s="23"/>
      <c r="P210" s="30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</row>
    <row r="211" spans="1:28" x14ac:dyDescent="0.25">
      <c r="A211" s="2"/>
      <c r="B211" s="2"/>
      <c r="C211" s="2"/>
      <c r="D211" s="22"/>
      <c r="E211" s="2"/>
      <c r="F211" s="2"/>
      <c r="G211" s="2"/>
      <c r="H211" s="2"/>
      <c r="I211" s="2"/>
      <c r="J211" s="2"/>
      <c r="K211" s="2"/>
      <c r="L211" s="2"/>
      <c r="M211" s="23"/>
      <c r="N211" s="31"/>
      <c r="O211" s="23"/>
      <c r="P211" s="30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</row>
    <row r="212" spans="1:28" x14ac:dyDescent="0.25">
      <c r="A212" s="2"/>
      <c r="B212" s="2"/>
      <c r="C212" s="2"/>
      <c r="D212" s="22"/>
      <c r="E212" s="2"/>
      <c r="F212" s="2"/>
      <c r="G212" s="2"/>
      <c r="H212" s="2"/>
      <c r="I212" s="2"/>
      <c r="J212" s="2"/>
      <c r="K212" s="2"/>
      <c r="L212" s="2"/>
      <c r="M212" s="23"/>
      <c r="N212" s="31"/>
      <c r="O212" s="23"/>
      <c r="P212" s="30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</row>
    <row r="213" spans="1:28" x14ac:dyDescent="0.25">
      <c r="A213" s="2"/>
      <c r="B213" s="2"/>
      <c r="C213" s="2"/>
      <c r="D213" s="22"/>
      <c r="E213" s="2"/>
      <c r="F213" s="2"/>
      <c r="G213" s="2"/>
      <c r="H213" s="2"/>
      <c r="I213" s="2"/>
      <c r="J213" s="2"/>
      <c r="K213" s="2"/>
      <c r="L213" s="2"/>
      <c r="M213" s="23"/>
      <c r="N213" s="31"/>
      <c r="O213" s="23"/>
      <c r="P213" s="30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</row>
    <row r="214" spans="1:28" x14ac:dyDescent="0.25">
      <c r="A214" s="2"/>
      <c r="B214" s="2"/>
      <c r="C214" s="2"/>
      <c r="D214" s="22"/>
      <c r="E214" s="2"/>
      <c r="F214" s="2"/>
      <c r="G214" s="2"/>
      <c r="H214" s="2"/>
      <c r="I214" s="2"/>
      <c r="J214" s="2"/>
      <c r="K214" s="2"/>
      <c r="L214" s="2"/>
      <c r="M214" s="23"/>
      <c r="N214" s="31"/>
      <c r="O214" s="23"/>
      <c r="P214" s="30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</row>
    <row r="215" spans="1:28" x14ac:dyDescent="0.25">
      <c r="A215" s="2"/>
      <c r="B215" s="2"/>
      <c r="C215" s="2"/>
      <c r="D215" s="22"/>
      <c r="E215" s="2"/>
      <c r="F215" s="2"/>
      <c r="G215" s="2"/>
      <c r="H215" s="2"/>
      <c r="I215" s="2"/>
      <c r="J215" s="2"/>
      <c r="K215" s="2"/>
      <c r="L215" s="2"/>
      <c r="M215" s="23"/>
      <c r="N215" s="31"/>
      <c r="O215" s="23"/>
      <c r="P215" s="30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</row>
    <row r="216" spans="1:28" x14ac:dyDescent="0.25">
      <c r="A216" s="2"/>
      <c r="B216" s="2"/>
      <c r="C216" s="2"/>
      <c r="D216" s="22"/>
      <c r="E216" s="2"/>
      <c r="F216" s="2"/>
      <c r="G216" s="2"/>
      <c r="H216" s="2"/>
      <c r="I216" s="2"/>
      <c r="J216" s="2"/>
      <c r="K216" s="2"/>
      <c r="L216" s="2"/>
      <c r="M216" s="23"/>
      <c r="N216" s="31"/>
      <c r="O216" s="23"/>
      <c r="P216" s="30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</row>
    <row r="217" spans="1:28" x14ac:dyDescent="0.25">
      <c r="A217" s="2"/>
      <c r="B217" s="2"/>
      <c r="C217" s="2"/>
      <c r="D217" s="22"/>
      <c r="E217" s="2"/>
      <c r="F217" s="2"/>
      <c r="G217" s="2"/>
      <c r="H217" s="2"/>
      <c r="I217" s="2"/>
      <c r="J217" s="2"/>
      <c r="K217" s="2"/>
      <c r="L217" s="2"/>
      <c r="M217" s="23"/>
      <c r="N217" s="31"/>
      <c r="O217" s="23"/>
      <c r="P217" s="30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</row>
    <row r="218" spans="1:28" x14ac:dyDescent="0.25">
      <c r="A218" s="2"/>
      <c r="B218" s="2"/>
      <c r="C218" s="2"/>
      <c r="D218" s="22"/>
      <c r="E218" s="2"/>
      <c r="F218" s="2"/>
      <c r="G218" s="2"/>
      <c r="H218" s="2"/>
      <c r="I218" s="2"/>
      <c r="J218" s="2"/>
      <c r="K218" s="2"/>
      <c r="L218" s="2"/>
      <c r="M218" s="23"/>
      <c r="N218" s="31"/>
      <c r="O218" s="23"/>
      <c r="P218" s="30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</row>
    <row r="219" spans="1:28" x14ac:dyDescent="0.25">
      <c r="A219" s="2"/>
      <c r="B219" s="2"/>
      <c r="C219" s="2"/>
      <c r="D219" s="22"/>
      <c r="E219" s="2"/>
      <c r="F219" s="2"/>
      <c r="G219" s="2"/>
      <c r="H219" s="2"/>
      <c r="I219" s="2"/>
      <c r="J219" s="2"/>
      <c r="K219" s="2"/>
      <c r="L219" s="2"/>
      <c r="M219" s="23"/>
      <c r="N219" s="31"/>
      <c r="O219" s="23"/>
      <c r="P219" s="30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</row>
    <row r="220" spans="1:28" x14ac:dyDescent="0.25">
      <c r="A220" s="2"/>
      <c r="B220" s="2"/>
      <c r="C220" s="2"/>
      <c r="D220" s="22"/>
      <c r="E220" s="2"/>
      <c r="F220" s="2"/>
      <c r="G220" s="2"/>
      <c r="H220" s="2"/>
      <c r="I220" s="2"/>
      <c r="J220" s="2"/>
      <c r="K220" s="2"/>
      <c r="L220" s="2"/>
      <c r="M220" s="23"/>
      <c r="N220" s="31"/>
      <c r="O220" s="23"/>
      <c r="P220" s="30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</row>
    <row r="221" spans="1:28" x14ac:dyDescent="0.25">
      <c r="A221" s="2"/>
      <c r="B221" s="2"/>
      <c r="C221" s="2"/>
      <c r="D221" s="22"/>
      <c r="E221" s="2"/>
      <c r="F221" s="2"/>
      <c r="G221" s="2"/>
      <c r="H221" s="2"/>
      <c r="I221" s="2"/>
      <c r="J221" s="2"/>
      <c r="K221" s="2"/>
      <c r="L221" s="2"/>
      <c r="M221" s="23"/>
      <c r="N221" s="31"/>
      <c r="O221" s="23"/>
      <c r="P221" s="30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</row>
    <row r="222" spans="1:28" x14ac:dyDescent="0.25">
      <c r="A222" s="2"/>
      <c r="B222" s="2"/>
      <c r="C222" s="2"/>
      <c r="D222" s="22"/>
      <c r="E222" s="2"/>
      <c r="F222" s="2"/>
      <c r="G222" s="2"/>
      <c r="H222" s="2"/>
      <c r="I222" s="2"/>
      <c r="J222" s="2"/>
      <c r="K222" s="2"/>
      <c r="L222" s="2"/>
      <c r="M222" s="23"/>
      <c r="N222" s="31"/>
      <c r="O222" s="23"/>
      <c r="P222" s="30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</row>
    <row r="223" spans="1:28" x14ac:dyDescent="0.25">
      <c r="A223" s="2"/>
      <c r="B223" s="2"/>
      <c r="C223" s="2"/>
      <c r="D223" s="22"/>
      <c r="E223" s="2"/>
      <c r="F223" s="2"/>
      <c r="G223" s="2"/>
      <c r="H223" s="2"/>
      <c r="I223" s="2"/>
      <c r="J223" s="2"/>
      <c r="K223" s="2"/>
      <c r="L223" s="2"/>
      <c r="M223" s="23"/>
      <c r="N223" s="31"/>
      <c r="O223" s="23"/>
      <c r="P223" s="30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</row>
    <row r="224" spans="1:28" x14ac:dyDescent="0.25">
      <c r="A224" s="2"/>
      <c r="B224" s="2"/>
      <c r="C224" s="2"/>
      <c r="D224" s="22"/>
      <c r="E224" s="2"/>
      <c r="F224" s="2"/>
      <c r="G224" s="2"/>
      <c r="H224" s="2"/>
      <c r="I224" s="2"/>
      <c r="J224" s="2"/>
      <c r="K224" s="2"/>
      <c r="L224" s="2"/>
      <c r="M224" s="23"/>
      <c r="N224" s="31"/>
      <c r="O224" s="23"/>
      <c r="P224" s="30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</row>
    <row r="225" spans="1:28" x14ac:dyDescent="0.25">
      <c r="A225" s="2"/>
      <c r="B225" s="2"/>
      <c r="C225" s="2"/>
      <c r="D225" s="22"/>
      <c r="E225" s="2"/>
      <c r="F225" s="2"/>
      <c r="G225" s="2"/>
      <c r="H225" s="2"/>
      <c r="I225" s="2"/>
      <c r="J225" s="2"/>
      <c r="K225" s="2"/>
      <c r="L225" s="2"/>
      <c r="M225" s="23"/>
      <c r="N225" s="31"/>
      <c r="O225" s="23"/>
      <c r="P225" s="30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</row>
    <row r="226" spans="1:28" x14ac:dyDescent="0.25">
      <c r="A226" s="2"/>
      <c r="B226" s="2"/>
      <c r="C226" s="2"/>
      <c r="D226" s="22"/>
      <c r="E226" s="2"/>
      <c r="F226" s="2"/>
      <c r="G226" s="2"/>
      <c r="H226" s="2"/>
      <c r="I226" s="2"/>
      <c r="J226" s="2"/>
      <c r="K226" s="2"/>
      <c r="L226" s="2"/>
      <c r="M226" s="23"/>
      <c r="N226" s="31"/>
      <c r="O226" s="23"/>
      <c r="P226" s="30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</row>
    <row r="227" spans="1:28" x14ac:dyDescent="0.25">
      <c r="A227" s="2"/>
      <c r="B227" s="2"/>
      <c r="C227" s="2"/>
      <c r="D227" s="22"/>
      <c r="E227" s="2"/>
      <c r="F227" s="2"/>
      <c r="G227" s="2"/>
      <c r="H227" s="2"/>
      <c r="I227" s="2"/>
      <c r="J227" s="2"/>
      <c r="K227" s="2"/>
      <c r="L227" s="2"/>
      <c r="M227" s="23"/>
      <c r="N227" s="31"/>
      <c r="O227" s="23"/>
      <c r="P227" s="30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</row>
    <row r="228" spans="1:28" x14ac:dyDescent="0.25">
      <c r="A228" s="2"/>
      <c r="B228" s="2"/>
      <c r="C228" s="2"/>
      <c r="D228" s="22"/>
      <c r="E228" s="2"/>
      <c r="F228" s="2"/>
      <c r="G228" s="2"/>
      <c r="H228" s="2"/>
      <c r="I228" s="2"/>
      <c r="J228" s="2"/>
      <c r="K228" s="2"/>
      <c r="L228" s="2"/>
      <c r="M228" s="23"/>
      <c r="N228" s="31"/>
      <c r="O228" s="23"/>
      <c r="P228" s="30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</row>
    <row r="229" spans="1:28" x14ac:dyDescent="0.25">
      <c r="A229" s="2"/>
      <c r="B229" s="2"/>
      <c r="C229" s="2"/>
      <c r="D229" s="22"/>
      <c r="E229" s="2"/>
      <c r="F229" s="2"/>
      <c r="G229" s="2"/>
      <c r="H229" s="2"/>
      <c r="I229" s="2"/>
      <c r="J229" s="2"/>
      <c r="K229" s="2"/>
      <c r="L229" s="2"/>
      <c r="M229" s="23"/>
      <c r="N229" s="31"/>
      <c r="O229" s="23"/>
      <c r="P229" s="30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</row>
    <row r="230" spans="1:28" x14ac:dyDescent="0.25">
      <c r="A230" s="2"/>
      <c r="B230" s="2"/>
      <c r="C230" s="2"/>
      <c r="D230" s="22"/>
      <c r="E230" s="2"/>
      <c r="F230" s="2"/>
      <c r="G230" s="2"/>
      <c r="H230" s="2"/>
      <c r="I230" s="2"/>
      <c r="J230" s="2"/>
      <c r="K230" s="2"/>
      <c r="L230" s="2"/>
      <c r="M230" s="23"/>
      <c r="N230" s="31"/>
      <c r="O230" s="23"/>
      <c r="P230" s="30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</row>
    <row r="231" spans="1:28" x14ac:dyDescent="0.25">
      <c r="A231" s="2"/>
      <c r="B231" s="2"/>
      <c r="C231" s="2"/>
      <c r="D231" s="22"/>
      <c r="E231" s="2"/>
      <c r="F231" s="2"/>
      <c r="G231" s="2"/>
      <c r="H231" s="2"/>
      <c r="I231" s="2"/>
      <c r="J231" s="2"/>
      <c r="K231" s="2"/>
      <c r="L231" s="2"/>
      <c r="M231" s="23"/>
      <c r="N231" s="31"/>
      <c r="O231" s="23"/>
      <c r="P231" s="30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</row>
    <row r="232" spans="1:28" x14ac:dyDescent="0.25">
      <c r="A232" s="2"/>
      <c r="B232" s="2"/>
      <c r="C232" s="2"/>
      <c r="D232" s="22"/>
      <c r="E232" s="2"/>
      <c r="F232" s="2"/>
      <c r="G232" s="2"/>
      <c r="H232" s="2"/>
      <c r="I232" s="2"/>
      <c r="J232" s="2"/>
      <c r="K232" s="2"/>
      <c r="L232" s="2"/>
      <c r="M232" s="23"/>
      <c r="N232" s="31"/>
      <c r="O232" s="23"/>
      <c r="P232" s="30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</row>
    <row r="233" spans="1:28" x14ac:dyDescent="0.25">
      <c r="A233" s="2"/>
      <c r="B233" s="2"/>
      <c r="C233" s="2"/>
      <c r="D233" s="22"/>
      <c r="E233" s="2"/>
      <c r="F233" s="2"/>
      <c r="G233" s="2"/>
      <c r="H233" s="2"/>
      <c r="I233" s="2"/>
      <c r="J233" s="2"/>
      <c r="K233" s="2"/>
      <c r="L233" s="2"/>
      <c r="M233" s="23"/>
      <c r="N233" s="31"/>
      <c r="O233" s="23"/>
      <c r="P233" s="30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</row>
    <row r="234" spans="1:28" x14ac:dyDescent="0.25">
      <c r="A234" s="2"/>
      <c r="B234" s="2"/>
      <c r="C234" s="2"/>
      <c r="D234" s="22"/>
      <c r="E234" s="2"/>
      <c r="F234" s="2"/>
      <c r="G234" s="2"/>
      <c r="H234" s="2"/>
      <c r="I234" s="2"/>
      <c r="J234" s="2"/>
      <c r="K234" s="2"/>
      <c r="L234" s="2"/>
      <c r="M234" s="23"/>
      <c r="N234" s="31"/>
      <c r="O234" s="23"/>
      <c r="P234" s="30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</row>
    <row r="235" spans="1:28" x14ac:dyDescent="0.25">
      <c r="A235" s="2"/>
      <c r="B235" s="2"/>
      <c r="C235" s="2"/>
      <c r="D235" s="22"/>
      <c r="E235" s="2"/>
      <c r="F235" s="2"/>
      <c r="G235" s="2"/>
      <c r="H235" s="2"/>
      <c r="I235" s="2"/>
      <c r="J235" s="2"/>
      <c r="K235" s="2"/>
      <c r="L235" s="2"/>
      <c r="M235" s="23"/>
      <c r="N235" s="31"/>
      <c r="O235" s="23"/>
      <c r="P235" s="30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</row>
    <row r="236" spans="1:28" x14ac:dyDescent="0.25">
      <c r="A236" s="2"/>
      <c r="B236" s="2"/>
      <c r="C236" s="2"/>
      <c r="D236" s="22"/>
      <c r="E236" s="2"/>
      <c r="F236" s="2"/>
      <c r="G236" s="2"/>
      <c r="H236" s="2"/>
      <c r="I236" s="2"/>
      <c r="J236" s="2"/>
      <c r="K236" s="2"/>
      <c r="L236" s="2"/>
      <c r="M236" s="23"/>
      <c r="N236" s="31"/>
      <c r="O236" s="23"/>
      <c r="P236" s="30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</row>
    <row r="237" spans="1:28" x14ac:dyDescent="0.25">
      <c r="A237" s="2"/>
      <c r="B237" s="2"/>
      <c r="C237" s="2"/>
      <c r="D237" s="22"/>
      <c r="E237" s="2"/>
      <c r="F237" s="2"/>
      <c r="G237" s="2"/>
      <c r="H237" s="2"/>
      <c r="I237" s="2"/>
      <c r="J237" s="2"/>
      <c r="K237" s="2"/>
      <c r="L237" s="2"/>
      <c r="M237" s="23"/>
      <c r="N237" s="31"/>
      <c r="O237" s="23"/>
      <c r="P237" s="30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</row>
    <row r="238" spans="1:28" x14ac:dyDescent="0.25">
      <c r="A238" s="2"/>
      <c r="B238" s="2"/>
      <c r="C238" s="2"/>
      <c r="D238" s="22"/>
      <c r="E238" s="2"/>
      <c r="F238" s="2"/>
      <c r="G238" s="2"/>
      <c r="H238" s="2"/>
      <c r="I238" s="2"/>
      <c r="J238" s="2"/>
      <c r="K238" s="2"/>
      <c r="L238" s="2"/>
      <c r="M238" s="23"/>
      <c r="N238" s="31"/>
      <c r="O238" s="23"/>
      <c r="P238" s="30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</row>
    <row r="239" spans="1:28" x14ac:dyDescent="0.25">
      <c r="A239" s="2"/>
      <c r="B239" s="2"/>
      <c r="C239" s="2"/>
      <c r="D239" s="22"/>
      <c r="E239" s="2"/>
      <c r="F239" s="2"/>
      <c r="G239" s="2"/>
      <c r="H239" s="2"/>
      <c r="I239" s="2"/>
      <c r="J239" s="2"/>
      <c r="K239" s="2"/>
      <c r="L239" s="2"/>
      <c r="M239" s="23"/>
      <c r="N239" s="31"/>
      <c r="O239" s="23"/>
      <c r="P239" s="30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</row>
    <row r="240" spans="1:28" x14ac:dyDescent="0.25">
      <c r="A240" s="2"/>
      <c r="B240" s="2"/>
      <c r="C240" s="2"/>
      <c r="D240" s="22"/>
      <c r="E240" s="2"/>
      <c r="F240" s="2"/>
      <c r="G240" s="2"/>
      <c r="H240" s="2"/>
      <c r="I240" s="2"/>
      <c r="J240" s="2"/>
      <c r="K240" s="2"/>
      <c r="L240" s="2"/>
      <c r="M240" s="23"/>
      <c r="N240" s="31"/>
      <c r="O240" s="23"/>
      <c r="P240" s="30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</row>
    <row r="241" spans="1:28" x14ac:dyDescent="0.25">
      <c r="A241" s="2"/>
      <c r="B241" s="2"/>
      <c r="C241" s="2"/>
      <c r="D241" s="22"/>
      <c r="E241" s="2"/>
      <c r="F241" s="2"/>
      <c r="G241" s="2"/>
      <c r="H241" s="2"/>
      <c r="I241" s="2"/>
      <c r="J241" s="2"/>
      <c r="K241" s="2"/>
      <c r="L241" s="2"/>
      <c r="M241" s="23"/>
      <c r="N241" s="31"/>
      <c r="O241" s="23"/>
      <c r="P241" s="30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</row>
    <row r="242" spans="1:28" x14ac:dyDescent="0.25">
      <c r="A242" s="2"/>
      <c r="B242" s="2"/>
      <c r="C242" s="2"/>
      <c r="D242" s="22"/>
      <c r="E242" s="2"/>
      <c r="F242" s="2"/>
      <c r="G242" s="2"/>
      <c r="H242" s="2"/>
      <c r="I242" s="2"/>
      <c r="J242" s="2"/>
      <c r="K242" s="2"/>
      <c r="L242" s="2"/>
      <c r="M242" s="23"/>
      <c r="N242" s="31"/>
      <c r="O242" s="23"/>
      <c r="P242" s="30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</row>
    <row r="243" spans="1:28" x14ac:dyDescent="0.25">
      <c r="A243" s="2"/>
      <c r="B243" s="2"/>
      <c r="C243" s="2"/>
      <c r="D243" s="22"/>
      <c r="E243" s="2"/>
      <c r="F243" s="2"/>
      <c r="G243" s="2"/>
      <c r="H243" s="2"/>
      <c r="I243" s="2"/>
      <c r="J243" s="2"/>
      <c r="K243" s="2"/>
      <c r="L243" s="2"/>
      <c r="M243" s="23"/>
      <c r="N243" s="31"/>
      <c r="O243" s="23"/>
      <c r="P243" s="30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</row>
    <row r="244" spans="1:28" x14ac:dyDescent="0.25">
      <c r="A244" s="2"/>
      <c r="B244" s="2"/>
      <c r="C244" s="2"/>
      <c r="D244" s="22"/>
      <c r="E244" s="2"/>
      <c r="F244" s="2"/>
      <c r="G244" s="2"/>
      <c r="H244" s="2"/>
      <c r="I244" s="2"/>
      <c r="J244" s="2"/>
      <c r="K244" s="2"/>
      <c r="L244" s="2"/>
      <c r="M244" s="23"/>
      <c r="N244" s="31"/>
      <c r="O244" s="23"/>
      <c r="P244" s="30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</row>
    <row r="245" spans="1:28" x14ac:dyDescent="0.25">
      <c r="A245" s="2"/>
      <c r="B245" s="2"/>
      <c r="C245" s="2"/>
      <c r="D245" s="22"/>
      <c r="E245" s="2"/>
      <c r="F245" s="2"/>
      <c r="G245" s="2"/>
      <c r="H245" s="2"/>
      <c r="I245" s="2"/>
      <c r="J245" s="2"/>
      <c r="K245" s="2"/>
      <c r="L245" s="2"/>
      <c r="M245" s="23"/>
      <c r="N245" s="31"/>
      <c r="O245" s="23"/>
      <c r="P245" s="30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</row>
    <row r="246" spans="1:28" x14ac:dyDescent="0.25">
      <c r="A246" s="2"/>
      <c r="B246" s="2"/>
      <c r="C246" s="2"/>
      <c r="D246" s="22"/>
      <c r="E246" s="2"/>
      <c r="F246" s="2"/>
      <c r="G246" s="2"/>
      <c r="H246" s="2"/>
      <c r="I246" s="2"/>
      <c r="J246" s="2"/>
      <c r="K246" s="2"/>
      <c r="L246" s="2"/>
      <c r="M246" s="23"/>
      <c r="N246" s="31"/>
      <c r="O246" s="23"/>
      <c r="P246" s="30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</row>
    <row r="247" spans="1:28" x14ac:dyDescent="0.25">
      <c r="A247" s="2"/>
      <c r="B247" s="2"/>
      <c r="C247" s="2"/>
      <c r="D247" s="22"/>
      <c r="E247" s="2"/>
      <c r="F247" s="2"/>
      <c r="G247" s="2"/>
      <c r="H247" s="2"/>
      <c r="I247" s="2"/>
      <c r="J247" s="2"/>
      <c r="K247" s="2"/>
      <c r="L247" s="2"/>
      <c r="M247" s="23"/>
      <c r="N247" s="31"/>
      <c r="O247" s="23"/>
      <c r="P247" s="30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</row>
    <row r="248" spans="1:28" x14ac:dyDescent="0.25">
      <c r="A248" s="2"/>
      <c r="B248" s="2"/>
      <c r="C248" s="2"/>
      <c r="D248" s="22"/>
      <c r="E248" s="2"/>
      <c r="F248" s="2"/>
      <c r="G248" s="2"/>
      <c r="H248" s="2"/>
      <c r="I248" s="2"/>
      <c r="J248" s="2"/>
      <c r="K248" s="2"/>
      <c r="L248" s="2"/>
      <c r="M248" s="23"/>
      <c r="N248" s="31"/>
      <c r="O248" s="23"/>
      <c r="P248" s="30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</row>
    <row r="249" spans="1:28" x14ac:dyDescent="0.25">
      <c r="A249" s="2"/>
      <c r="B249" s="2"/>
      <c r="C249" s="2"/>
      <c r="D249" s="22"/>
      <c r="E249" s="2"/>
      <c r="F249" s="2"/>
      <c r="G249" s="2"/>
      <c r="H249" s="2"/>
      <c r="I249" s="2"/>
      <c r="J249" s="2"/>
      <c r="K249" s="2"/>
      <c r="L249" s="2"/>
      <c r="M249" s="23"/>
      <c r="N249" s="31"/>
      <c r="O249" s="23"/>
      <c r="P249" s="30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</row>
    <row r="250" spans="1:28" x14ac:dyDescent="0.25">
      <c r="A250" s="2"/>
      <c r="B250" s="2"/>
      <c r="C250" s="2"/>
      <c r="D250" s="22"/>
      <c r="E250" s="2"/>
      <c r="F250" s="2"/>
      <c r="G250" s="2"/>
      <c r="H250" s="2"/>
      <c r="I250" s="2"/>
      <c r="J250" s="2"/>
      <c r="K250" s="2"/>
      <c r="L250" s="2"/>
      <c r="M250" s="23"/>
      <c r="N250" s="31"/>
      <c r="O250" s="23"/>
      <c r="P250" s="30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</row>
    <row r="251" spans="1:28" x14ac:dyDescent="0.25">
      <c r="A251" s="2"/>
      <c r="B251" s="2"/>
      <c r="C251" s="2"/>
      <c r="D251" s="22"/>
      <c r="E251" s="2"/>
      <c r="F251" s="2"/>
      <c r="G251" s="2"/>
      <c r="H251" s="2"/>
      <c r="I251" s="2"/>
      <c r="J251" s="2"/>
      <c r="K251" s="2"/>
      <c r="L251" s="2"/>
      <c r="M251" s="23"/>
      <c r="N251" s="31"/>
      <c r="O251" s="23"/>
      <c r="P251" s="30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</row>
    <row r="252" spans="1:28" x14ac:dyDescent="0.25">
      <c r="A252" s="2"/>
      <c r="B252" s="2"/>
      <c r="C252" s="2"/>
      <c r="D252" s="22"/>
      <c r="E252" s="2"/>
      <c r="F252" s="2"/>
      <c r="G252" s="2"/>
      <c r="H252" s="2"/>
      <c r="I252" s="2"/>
      <c r="J252" s="2"/>
      <c r="K252" s="2"/>
      <c r="L252" s="2"/>
      <c r="M252" s="23"/>
      <c r="N252" s="31"/>
      <c r="O252" s="23"/>
      <c r="P252" s="30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</row>
    <row r="253" spans="1:28" x14ac:dyDescent="0.25">
      <c r="A253" s="2"/>
      <c r="B253" s="2"/>
      <c r="C253" s="2"/>
      <c r="D253" s="22"/>
      <c r="E253" s="2"/>
      <c r="F253" s="2"/>
      <c r="G253" s="2"/>
      <c r="H253" s="2"/>
      <c r="I253" s="2"/>
      <c r="J253" s="2"/>
      <c r="K253" s="2"/>
      <c r="L253" s="2"/>
      <c r="M253" s="23"/>
      <c r="N253" s="31"/>
      <c r="O253" s="23"/>
      <c r="P253" s="30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</row>
    <row r="254" spans="1:28" x14ac:dyDescent="0.25">
      <c r="A254" s="2"/>
      <c r="B254" s="2"/>
      <c r="C254" s="2"/>
      <c r="D254" s="22"/>
      <c r="E254" s="2"/>
      <c r="F254" s="2"/>
      <c r="G254" s="2"/>
      <c r="H254" s="2"/>
      <c r="I254" s="2"/>
      <c r="J254" s="2"/>
      <c r="K254" s="2"/>
      <c r="L254" s="2"/>
      <c r="M254" s="23"/>
      <c r="N254" s="31"/>
      <c r="O254" s="23"/>
      <c r="P254" s="30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</row>
    <row r="255" spans="1:28" x14ac:dyDescent="0.25">
      <c r="A255" s="2"/>
      <c r="B255" s="2"/>
      <c r="C255" s="2"/>
      <c r="D255" s="22"/>
      <c r="E255" s="2"/>
      <c r="F255" s="2"/>
      <c r="G255" s="2"/>
      <c r="H255" s="2"/>
      <c r="I255" s="2"/>
      <c r="J255" s="2"/>
      <c r="K255" s="2"/>
      <c r="L255" s="2"/>
      <c r="M255" s="23"/>
      <c r="N255" s="31"/>
      <c r="O255" s="23"/>
      <c r="P255" s="30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</row>
    <row r="256" spans="1:28" x14ac:dyDescent="0.25">
      <c r="A256" s="2"/>
      <c r="B256" s="2"/>
      <c r="C256" s="2"/>
      <c r="D256" s="22"/>
      <c r="E256" s="2"/>
      <c r="F256" s="2"/>
      <c r="G256" s="2"/>
      <c r="H256" s="2"/>
      <c r="I256" s="2"/>
      <c r="J256" s="2"/>
      <c r="K256" s="2"/>
      <c r="L256" s="2"/>
      <c r="M256" s="23"/>
      <c r="N256" s="31"/>
      <c r="O256" s="23"/>
      <c r="P256" s="30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</row>
    <row r="257" spans="1:28" x14ac:dyDescent="0.25">
      <c r="A257" s="2"/>
      <c r="B257" s="2"/>
      <c r="C257" s="2"/>
      <c r="D257" s="22"/>
      <c r="E257" s="2"/>
      <c r="F257" s="2"/>
      <c r="G257" s="2"/>
      <c r="H257" s="2"/>
      <c r="I257" s="2"/>
      <c r="J257" s="2"/>
      <c r="K257" s="2"/>
      <c r="L257" s="2"/>
      <c r="M257" s="23"/>
      <c r="N257" s="31"/>
      <c r="O257" s="23"/>
      <c r="P257" s="30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</row>
    <row r="258" spans="1:28" x14ac:dyDescent="0.25">
      <c r="A258" s="2"/>
      <c r="B258" s="2"/>
      <c r="C258" s="2"/>
      <c r="D258" s="22"/>
      <c r="E258" s="2"/>
      <c r="F258" s="2"/>
      <c r="G258" s="2"/>
      <c r="H258" s="2"/>
      <c r="I258" s="2"/>
      <c r="J258" s="2"/>
      <c r="K258" s="2"/>
      <c r="L258" s="2"/>
      <c r="M258" s="23"/>
      <c r="N258" s="31"/>
      <c r="O258" s="23"/>
      <c r="P258" s="30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</row>
    <row r="259" spans="1:28" x14ac:dyDescent="0.25">
      <c r="A259" s="2"/>
      <c r="B259" s="2"/>
      <c r="C259" s="2"/>
      <c r="D259" s="22"/>
      <c r="E259" s="2"/>
      <c r="F259" s="2"/>
      <c r="G259" s="2"/>
      <c r="H259" s="2"/>
      <c r="I259" s="2"/>
      <c r="J259" s="2"/>
      <c r="K259" s="2"/>
      <c r="L259" s="2"/>
      <c r="M259" s="23"/>
      <c r="N259" s="31"/>
      <c r="O259" s="23"/>
      <c r="P259" s="30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</row>
    <row r="260" spans="1:28" x14ac:dyDescent="0.25">
      <c r="A260" s="2"/>
      <c r="B260" s="2"/>
      <c r="C260" s="2"/>
      <c r="D260" s="22"/>
      <c r="E260" s="2"/>
      <c r="F260" s="2"/>
      <c r="G260" s="2"/>
      <c r="H260" s="2"/>
      <c r="I260" s="2"/>
      <c r="J260" s="2"/>
      <c r="K260" s="2"/>
      <c r="L260" s="2"/>
      <c r="M260" s="23"/>
      <c r="N260" s="31"/>
      <c r="O260" s="23"/>
      <c r="P260" s="30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</row>
    <row r="261" spans="1:28" x14ac:dyDescent="0.25">
      <c r="A261" s="2"/>
      <c r="B261" s="2"/>
      <c r="C261" s="2"/>
      <c r="D261" s="22"/>
      <c r="E261" s="2"/>
      <c r="F261" s="2"/>
      <c r="G261" s="2"/>
      <c r="H261" s="2"/>
      <c r="I261" s="2"/>
      <c r="J261" s="2"/>
      <c r="K261" s="2"/>
      <c r="L261" s="2"/>
      <c r="M261" s="23"/>
      <c r="N261" s="31"/>
      <c r="O261" s="23"/>
      <c r="P261" s="30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</row>
    <row r="262" spans="1:28" x14ac:dyDescent="0.25">
      <c r="A262" s="2"/>
      <c r="B262" s="2"/>
      <c r="C262" s="2"/>
      <c r="D262" s="22"/>
      <c r="E262" s="2"/>
      <c r="F262" s="2"/>
      <c r="G262" s="2"/>
      <c r="H262" s="2"/>
      <c r="I262" s="2"/>
      <c r="J262" s="2"/>
      <c r="K262" s="2"/>
      <c r="L262" s="2"/>
      <c r="M262" s="23"/>
      <c r="N262" s="31"/>
      <c r="O262" s="23"/>
      <c r="P262" s="30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</row>
    <row r="263" spans="1:28" x14ac:dyDescent="0.25">
      <c r="A263" s="2"/>
      <c r="B263" s="2"/>
      <c r="C263" s="2"/>
      <c r="D263" s="22"/>
      <c r="E263" s="2"/>
      <c r="F263" s="2"/>
      <c r="G263" s="2"/>
      <c r="H263" s="2"/>
      <c r="I263" s="2"/>
      <c r="J263" s="2"/>
      <c r="K263" s="2"/>
      <c r="L263" s="2"/>
      <c r="M263" s="23"/>
      <c r="N263" s="31"/>
      <c r="O263" s="23"/>
      <c r="P263" s="30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</row>
    <row r="264" spans="1:28" x14ac:dyDescent="0.25">
      <c r="A264" s="2"/>
      <c r="B264" s="2"/>
      <c r="C264" s="2"/>
      <c r="D264" s="22"/>
      <c r="E264" s="2"/>
      <c r="F264" s="2"/>
      <c r="G264" s="2"/>
      <c r="H264" s="2"/>
      <c r="I264" s="2"/>
      <c r="J264" s="2"/>
      <c r="K264" s="2"/>
      <c r="L264" s="2"/>
      <c r="M264" s="23"/>
      <c r="N264" s="31"/>
      <c r="O264" s="23"/>
      <c r="P264" s="30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</row>
    <row r="265" spans="1:28" x14ac:dyDescent="0.25">
      <c r="A265" s="2"/>
      <c r="B265" s="2"/>
      <c r="C265" s="2"/>
      <c r="D265" s="22"/>
      <c r="E265" s="2"/>
      <c r="F265" s="2"/>
      <c r="G265" s="2"/>
      <c r="H265" s="2"/>
      <c r="I265" s="2"/>
      <c r="J265" s="2"/>
      <c r="K265" s="2"/>
      <c r="L265" s="2"/>
      <c r="M265" s="23"/>
      <c r="N265" s="31"/>
      <c r="O265" s="23"/>
      <c r="P265" s="30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</row>
    <row r="266" spans="1:28" x14ac:dyDescent="0.25">
      <c r="A266" s="2"/>
      <c r="B266" s="2"/>
      <c r="C266" s="2"/>
      <c r="D266" s="22"/>
      <c r="E266" s="2"/>
      <c r="F266" s="2"/>
      <c r="G266" s="2"/>
      <c r="H266" s="2"/>
      <c r="I266" s="2"/>
      <c r="J266" s="2"/>
      <c r="K266" s="2"/>
      <c r="L266" s="2"/>
      <c r="M266" s="23"/>
      <c r="N266" s="31"/>
      <c r="O266" s="23"/>
      <c r="P266" s="30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</row>
    <row r="267" spans="1:28" x14ac:dyDescent="0.25">
      <c r="A267" s="2"/>
      <c r="B267" s="2"/>
      <c r="C267" s="2"/>
      <c r="D267" s="22"/>
      <c r="E267" s="2"/>
      <c r="F267" s="2"/>
      <c r="G267" s="2"/>
      <c r="H267" s="2"/>
      <c r="I267" s="2"/>
      <c r="J267" s="2"/>
      <c r="K267" s="2"/>
      <c r="L267" s="2"/>
      <c r="M267" s="23"/>
      <c r="N267" s="31"/>
      <c r="O267" s="23"/>
      <c r="P267" s="30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</row>
    <row r="268" spans="1:28" x14ac:dyDescent="0.25">
      <c r="A268" s="2"/>
      <c r="B268" s="2"/>
      <c r="C268" s="2"/>
      <c r="D268" s="22"/>
      <c r="E268" s="2"/>
      <c r="F268" s="2"/>
      <c r="G268" s="2"/>
      <c r="H268" s="2"/>
      <c r="I268" s="2"/>
      <c r="J268" s="2"/>
      <c r="K268" s="2"/>
      <c r="L268" s="2"/>
      <c r="M268" s="23"/>
      <c r="N268" s="31"/>
      <c r="O268" s="23"/>
      <c r="P268" s="30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</row>
    <row r="269" spans="1:28" x14ac:dyDescent="0.25">
      <c r="A269" s="2"/>
      <c r="B269" s="2"/>
      <c r="C269" s="2"/>
      <c r="D269" s="22"/>
      <c r="E269" s="2"/>
      <c r="F269" s="2"/>
      <c r="G269" s="2"/>
      <c r="H269" s="2"/>
      <c r="I269" s="2"/>
      <c r="J269" s="2"/>
      <c r="K269" s="2"/>
      <c r="L269" s="2"/>
      <c r="M269" s="23"/>
      <c r="N269" s="31"/>
      <c r="O269" s="23"/>
      <c r="P269" s="30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</row>
    <row r="270" spans="1:28" x14ac:dyDescent="0.25">
      <c r="A270" s="2"/>
      <c r="B270" s="2"/>
      <c r="C270" s="2"/>
      <c r="D270" s="22"/>
      <c r="E270" s="2"/>
      <c r="F270" s="2"/>
      <c r="G270" s="2"/>
      <c r="H270" s="2"/>
      <c r="I270" s="2"/>
      <c r="J270" s="2"/>
      <c r="K270" s="2"/>
      <c r="L270" s="2"/>
      <c r="M270" s="23"/>
      <c r="N270" s="31"/>
      <c r="O270" s="23"/>
      <c r="P270" s="30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</row>
    <row r="271" spans="1:28" x14ac:dyDescent="0.25">
      <c r="A271" s="2"/>
      <c r="B271" s="2"/>
      <c r="C271" s="2"/>
      <c r="D271" s="22"/>
      <c r="E271" s="2"/>
      <c r="F271" s="2"/>
      <c r="G271" s="2"/>
      <c r="H271" s="2"/>
      <c r="I271" s="2"/>
      <c r="J271" s="2"/>
      <c r="K271" s="2"/>
      <c r="L271" s="2"/>
      <c r="M271" s="23"/>
      <c r="N271" s="31"/>
      <c r="O271" s="23"/>
      <c r="P271" s="30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</row>
    <row r="272" spans="1:28" x14ac:dyDescent="0.25">
      <c r="A272" s="2"/>
      <c r="B272" s="2"/>
      <c r="C272" s="2"/>
      <c r="D272" s="22"/>
      <c r="E272" s="2"/>
      <c r="F272" s="2"/>
      <c r="G272" s="2"/>
      <c r="H272" s="2"/>
      <c r="I272" s="2"/>
      <c r="J272" s="2"/>
      <c r="K272" s="2"/>
      <c r="L272" s="2"/>
      <c r="M272" s="23"/>
      <c r="N272" s="31"/>
      <c r="O272" s="23"/>
      <c r="P272" s="30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</row>
    <row r="273" spans="1:28" x14ac:dyDescent="0.25">
      <c r="A273" s="2"/>
      <c r="B273" s="2"/>
      <c r="C273" s="2"/>
      <c r="D273" s="22"/>
      <c r="E273" s="2"/>
      <c r="F273" s="2"/>
      <c r="G273" s="2"/>
      <c r="H273" s="2"/>
      <c r="I273" s="2"/>
      <c r="J273" s="2"/>
      <c r="K273" s="2"/>
      <c r="L273" s="2"/>
      <c r="M273" s="23"/>
      <c r="N273" s="31"/>
      <c r="O273" s="23"/>
      <c r="P273" s="30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</row>
    <row r="274" spans="1:28" x14ac:dyDescent="0.25">
      <c r="A274" s="2"/>
      <c r="B274" s="2"/>
      <c r="C274" s="2"/>
      <c r="D274" s="22"/>
      <c r="E274" s="2"/>
      <c r="F274" s="2"/>
      <c r="G274" s="2"/>
      <c r="H274" s="2"/>
      <c r="I274" s="2"/>
      <c r="J274" s="2"/>
      <c r="K274" s="2"/>
      <c r="L274" s="2"/>
      <c r="M274" s="23"/>
      <c r="N274" s="31"/>
      <c r="O274" s="23"/>
      <c r="P274" s="30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</row>
    <row r="275" spans="1:28" x14ac:dyDescent="0.25">
      <c r="A275" s="2"/>
      <c r="B275" s="2"/>
      <c r="C275" s="2"/>
      <c r="D275" s="22"/>
      <c r="E275" s="2"/>
      <c r="F275" s="2"/>
      <c r="G275" s="2"/>
      <c r="H275" s="2"/>
      <c r="I275" s="2"/>
      <c r="J275" s="2"/>
      <c r="K275" s="2"/>
      <c r="L275" s="2"/>
      <c r="M275" s="23"/>
      <c r="N275" s="31"/>
      <c r="O275" s="23"/>
      <c r="P275" s="30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</row>
    <row r="276" spans="1:28" x14ac:dyDescent="0.25">
      <c r="A276" s="2"/>
      <c r="B276" s="2"/>
      <c r="C276" s="2"/>
      <c r="D276" s="22"/>
      <c r="E276" s="2"/>
      <c r="F276" s="2"/>
      <c r="G276" s="2"/>
      <c r="H276" s="2"/>
      <c r="I276" s="2"/>
      <c r="J276" s="2"/>
      <c r="K276" s="2"/>
      <c r="L276" s="2"/>
      <c r="M276" s="23"/>
      <c r="N276" s="31"/>
      <c r="O276" s="23"/>
      <c r="P276" s="30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</row>
    <row r="277" spans="1:28" x14ac:dyDescent="0.25">
      <c r="A277" s="2"/>
      <c r="B277" s="2"/>
      <c r="C277" s="2"/>
      <c r="D277" s="22"/>
      <c r="E277" s="2"/>
      <c r="F277" s="2"/>
      <c r="G277" s="2"/>
      <c r="H277" s="2"/>
      <c r="I277" s="2"/>
      <c r="J277" s="2"/>
      <c r="K277" s="2"/>
      <c r="L277" s="2"/>
      <c r="M277" s="23"/>
      <c r="N277" s="31"/>
      <c r="O277" s="23"/>
      <c r="P277" s="30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</row>
    <row r="278" spans="1:28" x14ac:dyDescent="0.25">
      <c r="A278" s="2"/>
      <c r="B278" s="2"/>
      <c r="C278" s="2"/>
      <c r="D278" s="22"/>
      <c r="E278" s="2"/>
      <c r="F278" s="2"/>
      <c r="G278" s="2"/>
      <c r="H278" s="2"/>
      <c r="I278" s="2"/>
      <c r="J278" s="2"/>
      <c r="K278" s="2"/>
      <c r="L278" s="2"/>
      <c r="M278" s="23"/>
      <c r="N278" s="31"/>
      <c r="O278" s="23"/>
      <c r="P278" s="30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</row>
    <row r="279" spans="1:28" x14ac:dyDescent="0.25">
      <c r="A279" s="2"/>
      <c r="B279" s="2"/>
      <c r="C279" s="2"/>
      <c r="D279" s="22"/>
      <c r="E279" s="2"/>
      <c r="F279" s="2"/>
      <c r="G279" s="2"/>
      <c r="H279" s="2"/>
      <c r="I279" s="2"/>
      <c r="J279" s="2"/>
      <c r="K279" s="2"/>
      <c r="L279" s="2"/>
      <c r="M279" s="23"/>
      <c r="N279" s="31"/>
      <c r="O279" s="23"/>
      <c r="P279" s="30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</row>
    <row r="280" spans="1:28" x14ac:dyDescent="0.25">
      <c r="A280" s="2"/>
      <c r="B280" s="2"/>
      <c r="C280" s="2"/>
      <c r="D280" s="22"/>
      <c r="E280" s="2"/>
      <c r="F280" s="2"/>
      <c r="G280" s="2"/>
      <c r="H280" s="2"/>
      <c r="I280" s="2"/>
      <c r="J280" s="2"/>
      <c r="K280" s="2"/>
      <c r="L280" s="2"/>
      <c r="M280" s="23"/>
      <c r="N280" s="31"/>
      <c r="O280" s="23"/>
      <c r="P280" s="30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</row>
    <row r="281" spans="1:28" x14ac:dyDescent="0.25">
      <c r="A281" s="2"/>
      <c r="B281" s="2"/>
      <c r="C281" s="2"/>
      <c r="D281" s="22"/>
      <c r="E281" s="2"/>
      <c r="F281" s="2"/>
      <c r="G281" s="2"/>
      <c r="H281" s="2"/>
      <c r="I281" s="2"/>
      <c r="J281" s="2"/>
      <c r="K281" s="2"/>
      <c r="L281" s="2"/>
      <c r="M281" s="23"/>
      <c r="N281" s="31"/>
      <c r="O281" s="23"/>
      <c r="P281" s="30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</row>
    <row r="282" spans="1:28" x14ac:dyDescent="0.25">
      <c r="A282" s="2"/>
      <c r="B282" s="2"/>
      <c r="C282" s="2"/>
      <c r="D282" s="22"/>
      <c r="E282" s="2"/>
      <c r="F282" s="2"/>
      <c r="G282" s="2"/>
      <c r="H282" s="2"/>
      <c r="I282" s="2"/>
      <c r="J282" s="2"/>
      <c r="K282" s="2"/>
      <c r="L282" s="2"/>
      <c r="M282" s="23"/>
      <c r="N282" s="31"/>
      <c r="O282" s="23"/>
      <c r="P282" s="30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</row>
    <row r="283" spans="1:28" x14ac:dyDescent="0.25">
      <c r="A283" s="2"/>
      <c r="B283" s="2"/>
      <c r="C283" s="2"/>
      <c r="D283" s="22"/>
      <c r="E283" s="2"/>
      <c r="F283" s="2"/>
      <c r="G283" s="2"/>
      <c r="H283" s="2"/>
      <c r="I283" s="2"/>
      <c r="J283" s="2"/>
      <c r="K283" s="2"/>
      <c r="L283" s="2"/>
      <c r="M283" s="23"/>
      <c r="N283" s="31"/>
      <c r="O283" s="23"/>
      <c r="P283" s="30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</row>
    <row r="284" spans="1:28" x14ac:dyDescent="0.25">
      <c r="A284" s="2"/>
      <c r="B284" s="2"/>
      <c r="C284" s="2"/>
      <c r="D284" s="22"/>
      <c r="E284" s="2"/>
      <c r="F284" s="2"/>
      <c r="G284" s="2"/>
      <c r="H284" s="2"/>
      <c r="I284" s="2"/>
      <c r="J284" s="2"/>
      <c r="K284" s="2"/>
      <c r="L284" s="2"/>
      <c r="M284" s="23"/>
      <c r="N284" s="31"/>
      <c r="O284" s="23"/>
      <c r="P284" s="30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</row>
    <row r="285" spans="1:28" x14ac:dyDescent="0.25">
      <c r="A285" s="2"/>
      <c r="B285" s="2"/>
      <c r="C285" s="2"/>
      <c r="D285" s="22"/>
      <c r="E285" s="2"/>
      <c r="F285" s="2"/>
      <c r="G285" s="2"/>
      <c r="H285" s="2"/>
      <c r="I285" s="2"/>
      <c r="J285" s="2"/>
      <c r="K285" s="2"/>
      <c r="L285" s="2"/>
      <c r="M285" s="23"/>
      <c r="N285" s="31"/>
      <c r="O285" s="23"/>
      <c r="P285" s="30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</row>
    <row r="286" spans="1:28" x14ac:dyDescent="0.25">
      <c r="A286" s="2"/>
      <c r="B286" s="2"/>
      <c r="C286" s="2"/>
      <c r="D286" s="22"/>
      <c r="E286" s="2"/>
      <c r="F286" s="2"/>
      <c r="G286" s="2"/>
      <c r="H286" s="2"/>
      <c r="I286" s="2"/>
      <c r="J286" s="2"/>
      <c r="K286" s="2"/>
      <c r="L286" s="2"/>
      <c r="M286" s="23"/>
      <c r="N286" s="31"/>
      <c r="O286" s="23"/>
      <c r="P286" s="30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</row>
    <row r="287" spans="1:28" x14ac:dyDescent="0.25">
      <c r="A287" s="2"/>
      <c r="B287" s="2"/>
      <c r="C287" s="2"/>
      <c r="D287" s="22"/>
      <c r="E287" s="2"/>
      <c r="F287" s="2"/>
      <c r="G287" s="2"/>
      <c r="H287" s="2"/>
      <c r="I287" s="2"/>
      <c r="J287" s="2"/>
      <c r="K287" s="2"/>
      <c r="L287" s="2"/>
      <c r="M287" s="23"/>
      <c r="N287" s="31"/>
      <c r="O287" s="23"/>
      <c r="P287" s="30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</row>
    <row r="288" spans="1:28" x14ac:dyDescent="0.25">
      <c r="A288" s="2"/>
      <c r="B288" s="2"/>
      <c r="C288" s="2"/>
      <c r="D288" s="22"/>
      <c r="E288" s="2"/>
      <c r="F288" s="2"/>
      <c r="G288" s="2"/>
      <c r="H288" s="2"/>
      <c r="I288" s="2"/>
      <c r="J288" s="2"/>
      <c r="K288" s="2"/>
      <c r="L288" s="2"/>
      <c r="M288" s="23"/>
      <c r="N288" s="31"/>
      <c r="O288" s="23"/>
      <c r="P288" s="30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</row>
    <row r="289" spans="1:28" x14ac:dyDescent="0.25">
      <c r="A289" s="2"/>
      <c r="B289" s="2"/>
      <c r="C289" s="2"/>
      <c r="D289" s="22"/>
      <c r="E289" s="2"/>
      <c r="F289" s="2"/>
      <c r="G289" s="2"/>
      <c r="H289" s="2"/>
      <c r="I289" s="2"/>
      <c r="J289" s="2"/>
      <c r="K289" s="2"/>
      <c r="L289" s="2"/>
      <c r="M289" s="23"/>
      <c r="N289" s="31"/>
      <c r="O289" s="23"/>
      <c r="P289" s="30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</row>
    <row r="290" spans="1:28" x14ac:dyDescent="0.25">
      <c r="A290" s="2"/>
      <c r="B290" s="2"/>
      <c r="C290" s="2"/>
      <c r="D290" s="22"/>
      <c r="E290" s="2"/>
      <c r="F290" s="2"/>
      <c r="G290" s="2"/>
      <c r="H290" s="2"/>
      <c r="I290" s="2"/>
      <c r="J290" s="2"/>
      <c r="K290" s="2"/>
      <c r="L290" s="2"/>
      <c r="M290" s="23"/>
      <c r="N290" s="31"/>
      <c r="O290" s="23"/>
      <c r="P290" s="30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</row>
    <row r="291" spans="1:28" x14ac:dyDescent="0.25">
      <c r="A291" s="2"/>
      <c r="B291" s="2"/>
      <c r="C291" s="2"/>
      <c r="D291" s="22"/>
      <c r="E291" s="2"/>
      <c r="F291" s="2"/>
      <c r="G291" s="2"/>
      <c r="H291" s="2"/>
      <c r="I291" s="2"/>
      <c r="J291" s="2"/>
      <c r="K291" s="2"/>
      <c r="L291" s="2"/>
      <c r="M291" s="23"/>
      <c r="N291" s="31"/>
      <c r="O291" s="23"/>
      <c r="P291" s="30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</row>
    <row r="292" spans="1:28" x14ac:dyDescent="0.25">
      <c r="A292" s="2"/>
      <c r="B292" s="2"/>
      <c r="C292" s="2"/>
      <c r="D292" s="22"/>
      <c r="E292" s="2"/>
      <c r="F292" s="2"/>
      <c r="G292" s="2"/>
      <c r="H292" s="2"/>
      <c r="I292" s="2"/>
      <c r="J292" s="2"/>
      <c r="K292" s="2"/>
      <c r="L292" s="2"/>
      <c r="M292" s="23"/>
      <c r="N292" s="31"/>
      <c r="O292" s="23"/>
      <c r="P292" s="30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</row>
    <row r="293" spans="1:28" x14ac:dyDescent="0.25">
      <c r="A293" s="2"/>
      <c r="B293" s="2"/>
      <c r="C293" s="2"/>
      <c r="D293" s="22"/>
      <c r="E293" s="2"/>
      <c r="F293" s="2"/>
      <c r="G293" s="2"/>
      <c r="H293" s="2"/>
      <c r="I293" s="2"/>
      <c r="J293" s="2"/>
      <c r="K293" s="2"/>
      <c r="L293" s="2"/>
      <c r="M293" s="23"/>
      <c r="N293" s="31"/>
      <c r="O293" s="23"/>
      <c r="P293" s="30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</row>
    <row r="294" spans="1:28" x14ac:dyDescent="0.25">
      <c r="A294" s="2"/>
      <c r="B294" s="2"/>
      <c r="C294" s="2"/>
      <c r="D294" s="22"/>
      <c r="E294" s="2"/>
      <c r="F294" s="2"/>
      <c r="G294" s="2"/>
      <c r="H294" s="2"/>
      <c r="I294" s="2"/>
      <c r="J294" s="2"/>
      <c r="K294" s="2"/>
      <c r="L294" s="2"/>
      <c r="M294" s="23"/>
      <c r="N294" s="31"/>
      <c r="O294" s="23"/>
      <c r="P294" s="30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</row>
    <row r="295" spans="1:28" x14ac:dyDescent="0.25">
      <c r="A295" s="2"/>
      <c r="B295" s="2"/>
      <c r="C295" s="2"/>
      <c r="D295" s="22"/>
      <c r="E295" s="2"/>
      <c r="F295" s="2"/>
      <c r="G295" s="2"/>
      <c r="H295" s="2"/>
      <c r="I295" s="2"/>
      <c r="J295" s="2"/>
      <c r="K295" s="2"/>
      <c r="L295" s="2"/>
      <c r="M295" s="23"/>
      <c r="N295" s="31"/>
      <c r="O295" s="23"/>
      <c r="P295" s="30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</row>
    <row r="296" spans="1:28" x14ac:dyDescent="0.25">
      <c r="A296" s="2"/>
      <c r="B296" s="2"/>
      <c r="C296" s="2"/>
      <c r="D296" s="22"/>
      <c r="E296" s="2"/>
      <c r="F296" s="2"/>
      <c r="G296" s="2"/>
      <c r="H296" s="2"/>
      <c r="I296" s="2"/>
      <c r="J296" s="2"/>
      <c r="K296" s="2"/>
      <c r="L296" s="2"/>
      <c r="M296" s="23"/>
      <c r="N296" s="31"/>
      <c r="O296" s="23"/>
      <c r="P296" s="30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</row>
    <row r="297" spans="1:28" x14ac:dyDescent="0.25">
      <c r="A297" s="2"/>
      <c r="B297" s="2"/>
      <c r="C297" s="2"/>
      <c r="D297" s="22"/>
      <c r="E297" s="2"/>
      <c r="F297" s="2"/>
      <c r="G297" s="2"/>
      <c r="H297" s="2"/>
      <c r="I297" s="2"/>
      <c r="J297" s="2"/>
      <c r="K297" s="2"/>
      <c r="L297" s="2"/>
      <c r="M297" s="23"/>
      <c r="N297" s="31"/>
      <c r="O297" s="23"/>
      <c r="P297" s="30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</row>
    <row r="298" spans="1:28" x14ac:dyDescent="0.25">
      <c r="A298" s="2"/>
      <c r="B298" s="2"/>
      <c r="C298" s="2"/>
      <c r="D298" s="22"/>
      <c r="E298" s="2"/>
      <c r="F298" s="2"/>
      <c r="G298" s="2"/>
      <c r="H298" s="2"/>
      <c r="I298" s="2"/>
      <c r="J298" s="2"/>
      <c r="K298" s="2"/>
      <c r="L298" s="2"/>
      <c r="M298" s="23"/>
      <c r="N298" s="31"/>
      <c r="O298" s="23"/>
      <c r="P298" s="30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</row>
    <row r="299" spans="1:28" x14ac:dyDescent="0.25">
      <c r="A299" s="2"/>
      <c r="B299" s="2"/>
      <c r="C299" s="2"/>
      <c r="D299" s="22"/>
      <c r="E299" s="2"/>
      <c r="F299" s="2"/>
      <c r="G299" s="2"/>
      <c r="H299" s="2"/>
      <c r="I299" s="2"/>
      <c r="J299" s="2"/>
      <c r="K299" s="2"/>
      <c r="L299" s="2"/>
      <c r="M299" s="23"/>
      <c r="N299" s="31"/>
      <c r="O299" s="23"/>
      <c r="P299" s="30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</row>
    <row r="300" spans="1:28" x14ac:dyDescent="0.25">
      <c r="A300" s="2"/>
      <c r="B300" s="2"/>
      <c r="C300" s="2"/>
      <c r="D300" s="22"/>
      <c r="E300" s="2"/>
      <c r="F300" s="2"/>
      <c r="G300" s="2"/>
      <c r="H300" s="2"/>
      <c r="I300" s="2"/>
      <c r="J300" s="2"/>
      <c r="K300" s="2"/>
      <c r="L300" s="2"/>
      <c r="M300" s="23"/>
      <c r="N300" s="31"/>
      <c r="O300" s="23"/>
      <c r="P300" s="30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</row>
    <row r="301" spans="1:28" x14ac:dyDescent="0.25">
      <c r="A301" s="2"/>
      <c r="B301" s="2"/>
      <c r="C301" s="2"/>
      <c r="D301" s="22"/>
      <c r="E301" s="2"/>
      <c r="F301" s="2"/>
      <c r="G301" s="2"/>
      <c r="H301" s="2"/>
      <c r="I301" s="2"/>
      <c r="J301" s="2"/>
      <c r="K301" s="2"/>
      <c r="L301" s="2"/>
      <c r="M301" s="23"/>
      <c r="N301" s="31"/>
      <c r="O301" s="23"/>
      <c r="P301" s="30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</row>
    <row r="302" spans="1:28" x14ac:dyDescent="0.25">
      <c r="A302" s="2"/>
      <c r="B302" s="2"/>
      <c r="C302" s="2"/>
      <c r="D302" s="22"/>
      <c r="E302" s="2"/>
      <c r="F302" s="2"/>
      <c r="G302" s="2"/>
      <c r="H302" s="2"/>
      <c r="I302" s="2"/>
      <c r="J302" s="2"/>
      <c r="K302" s="2"/>
      <c r="L302" s="2"/>
      <c r="M302" s="23"/>
      <c r="N302" s="31"/>
      <c r="O302" s="23"/>
      <c r="P302" s="30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</row>
    <row r="303" spans="1:28" x14ac:dyDescent="0.25">
      <c r="A303" s="2"/>
      <c r="B303" s="2"/>
      <c r="C303" s="2"/>
      <c r="D303" s="22"/>
      <c r="E303" s="2"/>
      <c r="F303" s="2"/>
      <c r="G303" s="2"/>
      <c r="H303" s="2"/>
      <c r="I303" s="2"/>
      <c r="J303" s="2"/>
      <c r="K303" s="2"/>
      <c r="L303" s="2"/>
      <c r="M303" s="23"/>
      <c r="N303" s="31"/>
      <c r="O303" s="23"/>
      <c r="P303" s="30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</row>
    <row r="304" spans="1:28" x14ac:dyDescent="0.25">
      <c r="A304" s="2"/>
      <c r="B304" s="2"/>
      <c r="C304" s="2"/>
      <c r="D304" s="22"/>
      <c r="E304" s="2"/>
      <c r="F304" s="2"/>
      <c r="G304" s="2"/>
      <c r="H304" s="2"/>
      <c r="I304" s="2"/>
      <c r="J304" s="2"/>
      <c r="K304" s="2"/>
      <c r="L304" s="2"/>
      <c r="M304" s="23"/>
      <c r="N304" s="31"/>
      <c r="O304" s="23"/>
      <c r="P304" s="30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</row>
    <row r="305" spans="1:28" x14ac:dyDescent="0.25">
      <c r="A305" s="2"/>
      <c r="B305" s="2"/>
      <c r="C305" s="2"/>
      <c r="D305" s="22"/>
      <c r="E305" s="2"/>
      <c r="F305" s="2"/>
      <c r="G305" s="2"/>
      <c r="H305" s="2"/>
      <c r="I305" s="2"/>
      <c r="J305" s="2"/>
      <c r="K305" s="2"/>
      <c r="L305" s="2"/>
      <c r="M305" s="23"/>
      <c r="N305" s="31"/>
      <c r="O305" s="23"/>
      <c r="P305" s="30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</row>
    <row r="306" spans="1:28" x14ac:dyDescent="0.25">
      <c r="A306" s="2"/>
      <c r="B306" s="2"/>
      <c r="C306" s="2"/>
      <c r="D306" s="22"/>
      <c r="E306" s="2"/>
      <c r="F306" s="2"/>
      <c r="G306" s="2"/>
      <c r="H306" s="2"/>
      <c r="I306" s="2"/>
      <c r="J306" s="2"/>
      <c r="K306" s="2"/>
      <c r="L306" s="2"/>
      <c r="M306" s="23"/>
      <c r="N306" s="31"/>
      <c r="O306" s="23"/>
      <c r="P306" s="30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</row>
    <row r="307" spans="1:28" x14ac:dyDescent="0.25">
      <c r="A307" s="2"/>
      <c r="B307" s="2"/>
      <c r="C307" s="2"/>
      <c r="D307" s="22"/>
      <c r="E307" s="2"/>
      <c r="F307" s="2"/>
      <c r="G307" s="2"/>
      <c r="H307" s="2"/>
      <c r="I307" s="2"/>
      <c r="J307" s="2"/>
      <c r="K307" s="2"/>
      <c r="L307" s="2"/>
      <c r="M307" s="23"/>
      <c r="N307" s="31"/>
      <c r="O307" s="23"/>
      <c r="P307" s="30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</row>
    <row r="308" spans="1:28" x14ac:dyDescent="0.25">
      <c r="A308" s="2"/>
      <c r="B308" s="2"/>
      <c r="C308" s="2"/>
      <c r="D308" s="22"/>
      <c r="E308" s="2"/>
      <c r="F308" s="2"/>
      <c r="G308" s="2"/>
      <c r="H308" s="2"/>
      <c r="I308" s="2"/>
      <c r="J308" s="2"/>
      <c r="K308" s="2"/>
      <c r="L308" s="2"/>
      <c r="M308" s="23"/>
      <c r="N308" s="31"/>
      <c r="O308" s="23"/>
      <c r="P308" s="30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</row>
    <row r="309" spans="1:28" x14ac:dyDescent="0.25">
      <c r="A309" s="2"/>
      <c r="B309" s="2"/>
      <c r="C309" s="2"/>
      <c r="D309" s="22"/>
      <c r="E309" s="2"/>
      <c r="F309" s="2"/>
      <c r="G309" s="2"/>
      <c r="H309" s="2"/>
      <c r="I309" s="2"/>
      <c r="J309" s="2"/>
      <c r="K309" s="2"/>
      <c r="L309" s="2"/>
      <c r="M309" s="23"/>
      <c r="N309" s="31"/>
      <c r="O309" s="23"/>
      <c r="P309" s="30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</row>
    <row r="310" spans="1:28" x14ac:dyDescent="0.25">
      <c r="A310" s="2"/>
      <c r="B310" s="2"/>
      <c r="C310" s="2"/>
      <c r="D310" s="22"/>
      <c r="E310" s="2"/>
      <c r="F310" s="2"/>
      <c r="G310" s="2"/>
      <c r="H310" s="2"/>
      <c r="I310" s="2"/>
      <c r="J310" s="2"/>
      <c r="K310" s="2"/>
      <c r="L310" s="2"/>
      <c r="M310" s="23"/>
      <c r="N310" s="31"/>
      <c r="O310" s="23"/>
      <c r="P310" s="30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</row>
    <row r="311" spans="1:28" x14ac:dyDescent="0.25">
      <c r="A311" s="2"/>
      <c r="B311" s="2"/>
      <c r="C311" s="2"/>
      <c r="D311" s="22"/>
      <c r="E311" s="2"/>
      <c r="F311" s="2"/>
      <c r="G311" s="2"/>
      <c r="H311" s="2"/>
      <c r="I311" s="2"/>
      <c r="J311" s="2"/>
      <c r="K311" s="2"/>
      <c r="L311" s="2"/>
      <c r="M311" s="23"/>
      <c r="N311" s="31"/>
      <c r="O311" s="23"/>
      <c r="P311" s="30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</row>
    <row r="312" spans="1:28" x14ac:dyDescent="0.25">
      <c r="A312" s="2"/>
      <c r="B312" s="2"/>
      <c r="C312" s="2"/>
      <c r="D312" s="22"/>
      <c r="E312" s="2"/>
      <c r="F312" s="2"/>
      <c r="G312" s="2"/>
      <c r="H312" s="2"/>
      <c r="I312" s="2"/>
      <c r="J312" s="2"/>
      <c r="K312" s="2"/>
      <c r="L312" s="2"/>
      <c r="M312" s="23"/>
      <c r="N312" s="31"/>
      <c r="O312" s="23"/>
      <c r="P312" s="30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</row>
    <row r="313" spans="1:28" x14ac:dyDescent="0.25">
      <c r="A313" s="2"/>
      <c r="B313" s="2"/>
      <c r="C313" s="2"/>
      <c r="D313" s="22"/>
      <c r="E313" s="2"/>
      <c r="F313" s="2"/>
      <c r="G313" s="2"/>
      <c r="H313" s="2"/>
      <c r="I313" s="2"/>
      <c r="J313" s="2"/>
      <c r="K313" s="2"/>
      <c r="L313" s="2"/>
      <c r="M313" s="23"/>
      <c r="N313" s="31"/>
      <c r="O313" s="23"/>
      <c r="P313" s="30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</row>
    <row r="314" spans="1:28" x14ac:dyDescent="0.25">
      <c r="A314" s="2"/>
      <c r="B314" s="2"/>
      <c r="C314" s="2"/>
      <c r="D314" s="22"/>
      <c r="E314" s="2"/>
      <c r="F314" s="2"/>
      <c r="G314" s="2"/>
      <c r="H314" s="2"/>
      <c r="I314" s="2"/>
      <c r="J314" s="2"/>
      <c r="K314" s="2"/>
      <c r="L314" s="2"/>
      <c r="M314" s="23"/>
      <c r="N314" s="31"/>
      <c r="O314" s="23"/>
      <c r="P314" s="30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</row>
    <row r="315" spans="1:28" x14ac:dyDescent="0.25">
      <c r="A315" s="2"/>
      <c r="B315" s="2"/>
      <c r="C315" s="2"/>
      <c r="D315" s="22"/>
      <c r="E315" s="2"/>
      <c r="F315" s="2"/>
      <c r="G315" s="2"/>
      <c r="H315" s="2"/>
      <c r="I315" s="2"/>
      <c r="J315" s="2"/>
      <c r="K315" s="2"/>
      <c r="L315" s="2"/>
      <c r="M315" s="23"/>
      <c r="N315" s="31"/>
      <c r="O315" s="23"/>
      <c r="P315" s="30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</row>
    <row r="316" spans="1:28" x14ac:dyDescent="0.25">
      <c r="A316" s="2"/>
      <c r="B316" s="2"/>
      <c r="C316" s="2"/>
      <c r="D316" s="22"/>
      <c r="E316" s="2"/>
      <c r="F316" s="2"/>
      <c r="G316" s="2"/>
      <c r="H316" s="2"/>
      <c r="I316" s="2"/>
      <c r="J316" s="2"/>
      <c r="K316" s="2"/>
      <c r="L316" s="2"/>
      <c r="M316" s="23"/>
      <c r="N316" s="31"/>
      <c r="O316" s="23"/>
      <c r="P316" s="30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</row>
    <row r="317" spans="1:28" x14ac:dyDescent="0.25">
      <c r="A317" s="2"/>
      <c r="B317" s="2"/>
      <c r="C317" s="2"/>
      <c r="D317" s="22"/>
      <c r="E317" s="2"/>
      <c r="F317" s="2"/>
      <c r="G317" s="2"/>
      <c r="H317" s="2"/>
      <c r="I317" s="2"/>
      <c r="J317" s="2"/>
      <c r="K317" s="2"/>
      <c r="L317" s="2"/>
      <c r="M317" s="23"/>
      <c r="N317" s="31"/>
      <c r="O317" s="23"/>
      <c r="P317" s="30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</row>
    <row r="318" spans="1:28" x14ac:dyDescent="0.25">
      <c r="A318" s="2"/>
      <c r="B318" s="2"/>
      <c r="C318" s="2"/>
      <c r="D318" s="22"/>
      <c r="E318" s="2"/>
      <c r="F318" s="2"/>
      <c r="G318" s="2"/>
      <c r="H318" s="2"/>
      <c r="I318" s="2"/>
      <c r="J318" s="2"/>
      <c r="K318" s="2"/>
      <c r="L318" s="2"/>
      <c r="M318" s="23"/>
      <c r="N318" s="31"/>
      <c r="O318" s="23"/>
      <c r="P318" s="30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</row>
    <row r="319" spans="1:28" x14ac:dyDescent="0.25">
      <c r="A319" s="2"/>
      <c r="B319" s="2"/>
      <c r="C319" s="2"/>
      <c r="D319" s="22"/>
      <c r="E319" s="2"/>
      <c r="F319" s="2"/>
      <c r="G319" s="2"/>
      <c r="H319" s="2"/>
      <c r="I319" s="2"/>
      <c r="J319" s="2"/>
      <c r="K319" s="2"/>
      <c r="L319" s="2"/>
      <c r="M319" s="23"/>
      <c r="N319" s="31"/>
      <c r="O319" s="23"/>
      <c r="P319" s="30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</row>
    <row r="320" spans="1:28" x14ac:dyDescent="0.25">
      <c r="A320" s="2"/>
      <c r="B320" s="2"/>
      <c r="C320" s="2"/>
      <c r="D320" s="22"/>
      <c r="E320" s="2"/>
      <c r="F320" s="2"/>
      <c r="G320" s="2"/>
      <c r="H320" s="2"/>
      <c r="I320" s="2"/>
      <c r="J320" s="2"/>
      <c r="K320" s="2"/>
      <c r="L320" s="2"/>
      <c r="M320" s="23"/>
      <c r="N320" s="31"/>
      <c r="O320" s="23"/>
      <c r="P320" s="30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</row>
    <row r="321" spans="1:28" x14ac:dyDescent="0.25">
      <c r="A321" s="2"/>
      <c r="B321" s="2"/>
      <c r="C321" s="2"/>
      <c r="D321" s="22"/>
      <c r="E321" s="2"/>
      <c r="F321" s="2"/>
      <c r="G321" s="2"/>
      <c r="H321" s="2"/>
      <c r="I321" s="2"/>
      <c r="J321" s="2"/>
      <c r="K321" s="2"/>
      <c r="L321" s="2"/>
      <c r="M321" s="23"/>
      <c r="N321" s="31"/>
      <c r="O321" s="23"/>
      <c r="P321" s="30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</row>
    <row r="322" spans="1:28" x14ac:dyDescent="0.25">
      <c r="A322" s="2"/>
      <c r="B322" s="2"/>
      <c r="C322" s="2"/>
      <c r="D322" s="22"/>
      <c r="E322" s="2"/>
      <c r="F322" s="2"/>
      <c r="G322" s="2"/>
      <c r="H322" s="2"/>
      <c r="I322" s="2"/>
      <c r="J322" s="2"/>
      <c r="K322" s="2"/>
      <c r="L322" s="2"/>
      <c r="M322" s="23"/>
      <c r="N322" s="31"/>
      <c r="O322" s="23"/>
      <c r="P322" s="30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</row>
    <row r="323" spans="1:28" x14ac:dyDescent="0.25">
      <c r="A323" s="2"/>
      <c r="B323" s="2"/>
      <c r="C323" s="2"/>
      <c r="D323" s="22"/>
      <c r="E323" s="2"/>
      <c r="F323" s="2"/>
      <c r="G323" s="2"/>
      <c r="H323" s="2"/>
      <c r="I323" s="2"/>
      <c r="J323" s="2"/>
      <c r="K323" s="2"/>
      <c r="L323" s="2"/>
      <c r="M323" s="23"/>
      <c r="N323" s="31"/>
      <c r="O323" s="23"/>
      <c r="P323" s="30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</row>
    <row r="324" spans="1:28" x14ac:dyDescent="0.25">
      <c r="A324" s="2"/>
      <c r="B324" s="2"/>
      <c r="C324" s="2"/>
      <c r="D324" s="22"/>
      <c r="E324" s="2"/>
      <c r="F324" s="2"/>
      <c r="G324" s="2"/>
      <c r="H324" s="2"/>
      <c r="I324" s="2"/>
      <c r="J324" s="2"/>
      <c r="K324" s="2"/>
      <c r="L324" s="2"/>
      <c r="M324" s="23"/>
      <c r="N324" s="31"/>
      <c r="O324" s="23"/>
      <c r="P324" s="30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</row>
    <row r="325" spans="1:28" x14ac:dyDescent="0.25">
      <c r="A325" s="2"/>
      <c r="B325" s="2"/>
      <c r="C325" s="2"/>
      <c r="D325" s="22"/>
      <c r="E325" s="2"/>
      <c r="F325" s="2"/>
      <c r="G325" s="2"/>
      <c r="H325" s="2"/>
      <c r="I325" s="2"/>
      <c r="J325" s="2"/>
      <c r="K325" s="2"/>
      <c r="L325" s="2"/>
      <c r="M325" s="23"/>
      <c r="N325" s="31"/>
      <c r="O325" s="23"/>
      <c r="P325" s="30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</row>
    <row r="326" spans="1:28" x14ac:dyDescent="0.25">
      <c r="A326" s="2"/>
      <c r="B326" s="2"/>
      <c r="C326" s="2"/>
      <c r="D326" s="22"/>
      <c r="E326" s="2"/>
      <c r="F326" s="2"/>
      <c r="G326" s="2"/>
      <c r="H326" s="2"/>
      <c r="I326" s="2"/>
      <c r="J326" s="2"/>
      <c r="K326" s="2"/>
      <c r="L326" s="2"/>
      <c r="M326" s="23"/>
      <c r="N326" s="31"/>
      <c r="O326" s="23"/>
      <c r="P326" s="30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</row>
    <row r="327" spans="1:28" x14ac:dyDescent="0.25">
      <c r="A327" s="2"/>
      <c r="B327" s="2"/>
      <c r="C327" s="2"/>
      <c r="D327" s="22"/>
      <c r="E327" s="2"/>
      <c r="F327" s="2"/>
      <c r="G327" s="2"/>
      <c r="H327" s="2"/>
      <c r="I327" s="2"/>
      <c r="J327" s="2"/>
      <c r="K327" s="2"/>
      <c r="L327" s="2"/>
      <c r="M327" s="23"/>
      <c r="N327" s="31"/>
      <c r="O327" s="23"/>
      <c r="P327" s="30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</row>
    <row r="328" spans="1:28" x14ac:dyDescent="0.25">
      <c r="A328" s="2"/>
      <c r="B328" s="2"/>
      <c r="C328" s="2"/>
      <c r="D328" s="22"/>
      <c r="E328" s="2"/>
      <c r="F328" s="2"/>
      <c r="G328" s="2"/>
      <c r="H328" s="2"/>
      <c r="I328" s="2"/>
      <c r="J328" s="2"/>
      <c r="K328" s="2"/>
      <c r="L328" s="2"/>
      <c r="M328" s="23"/>
      <c r="N328" s="31"/>
      <c r="O328" s="23"/>
      <c r="P328" s="30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</row>
    <row r="329" spans="1:28" x14ac:dyDescent="0.25">
      <c r="A329" s="2"/>
      <c r="B329" s="2"/>
      <c r="C329" s="2"/>
      <c r="D329" s="22"/>
      <c r="E329" s="2"/>
      <c r="F329" s="2"/>
      <c r="G329" s="2"/>
      <c r="H329" s="2"/>
      <c r="I329" s="2"/>
      <c r="J329" s="2"/>
      <c r="K329" s="2"/>
      <c r="L329" s="2"/>
      <c r="M329" s="23"/>
      <c r="N329" s="31"/>
      <c r="O329" s="23"/>
      <c r="P329" s="30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</row>
    <row r="330" spans="1:28" x14ac:dyDescent="0.25">
      <c r="A330" s="2"/>
      <c r="B330" s="2"/>
      <c r="C330" s="2"/>
      <c r="D330" s="22"/>
      <c r="E330" s="2"/>
      <c r="F330" s="2"/>
      <c r="G330" s="2"/>
      <c r="H330" s="2"/>
      <c r="I330" s="2"/>
      <c r="J330" s="2"/>
      <c r="K330" s="2"/>
      <c r="L330" s="2"/>
      <c r="M330" s="23"/>
      <c r="N330" s="31"/>
      <c r="O330" s="23"/>
      <c r="P330" s="30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</row>
    <row r="331" spans="1:28" x14ac:dyDescent="0.25">
      <c r="A331" s="2"/>
      <c r="B331" s="2"/>
      <c r="C331" s="2"/>
      <c r="D331" s="22"/>
      <c r="E331" s="2"/>
      <c r="F331" s="2"/>
      <c r="G331" s="2"/>
      <c r="H331" s="2"/>
      <c r="I331" s="2"/>
      <c r="J331" s="2"/>
      <c r="K331" s="2"/>
      <c r="L331" s="2"/>
      <c r="M331" s="23"/>
      <c r="N331" s="31"/>
      <c r="O331" s="23"/>
      <c r="P331" s="30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</row>
    <row r="332" spans="1:28" x14ac:dyDescent="0.25">
      <c r="A332" s="2"/>
      <c r="B332" s="2"/>
      <c r="C332" s="2"/>
      <c r="D332" s="22"/>
      <c r="E332" s="2"/>
      <c r="F332" s="2"/>
      <c r="G332" s="2"/>
      <c r="H332" s="2"/>
      <c r="I332" s="2"/>
      <c r="J332" s="2"/>
      <c r="K332" s="2"/>
      <c r="L332" s="2"/>
      <c r="M332" s="23"/>
      <c r="N332" s="31"/>
      <c r="O332" s="23"/>
      <c r="P332" s="30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</row>
    <row r="333" spans="1:28" x14ac:dyDescent="0.25">
      <c r="A333" s="2"/>
      <c r="B333" s="2"/>
      <c r="C333" s="2"/>
      <c r="D333" s="22"/>
      <c r="E333" s="2"/>
      <c r="F333" s="2"/>
      <c r="G333" s="2"/>
      <c r="H333" s="2"/>
      <c r="I333" s="2"/>
      <c r="J333" s="2"/>
      <c r="K333" s="2"/>
      <c r="L333" s="2"/>
      <c r="M333" s="23"/>
      <c r="N333" s="31"/>
      <c r="O333" s="23"/>
      <c r="P333" s="30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</row>
    <row r="334" spans="1:28" x14ac:dyDescent="0.25">
      <c r="A334" s="2"/>
      <c r="B334" s="2"/>
      <c r="C334" s="2"/>
      <c r="D334" s="22"/>
      <c r="E334" s="2"/>
      <c r="F334" s="2"/>
      <c r="G334" s="2"/>
      <c r="H334" s="2"/>
      <c r="I334" s="2"/>
      <c r="J334" s="2"/>
      <c r="K334" s="2"/>
      <c r="L334" s="2"/>
      <c r="M334" s="23"/>
      <c r="N334" s="31"/>
      <c r="O334" s="23"/>
      <c r="P334" s="30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</row>
    <row r="335" spans="1:28" x14ac:dyDescent="0.25">
      <c r="A335" s="2"/>
      <c r="B335" s="2"/>
      <c r="C335" s="2"/>
      <c r="D335" s="22"/>
      <c r="E335" s="2"/>
      <c r="F335" s="2"/>
      <c r="G335" s="2"/>
      <c r="H335" s="2"/>
      <c r="I335" s="2"/>
      <c r="J335" s="2"/>
      <c r="K335" s="2"/>
      <c r="L335" s="2"/>
      <c r="M335" s="23"/>
      <c r="N335" s="31"/>
      <c r="O335" s="23"/>
      <c r="P335" s="30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</row>
    <row r="336" spans="1:28" x14ac:dyDescent="0.25">
      <c r="A336" s="2"/>
      <c r="B336" s="2"/>
      <c r="C336" s="2"/>
      <c r="D336" s="22"/>
      <c r="E336" s="2"/>
      <c r="F336" s="2"/>
      <c r="G336" s="2"/>
      <c r="H336" s="2"/>
      <c r="I336" s="2"/>
      <c r="J336" s="2"/>
      <c r="K336" s="2"/>
      <c r="L336" s="2"/>
      <c r="M336" s="23"/>
      <c r="N336" s="31"/>
      <c r="O336" s="23"/>
      <c r="P336" s="30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</row>
    <row r="337" spans="1:28" x14ac:dyDescent="0.25">
      <c r="A337" s="2"/>
      <c r="B337" s="2"/>
      <c r="C337" s="2"/>
      <c r="D337" s="22"/>
      <c r="E337" s="2"/>
      <c r="F337" s="2"/>
      <c r="G337" s="2"/>
      <c r="H337" s="2"/>
      <c r="I337" s="2"/>
      <c r="J337" s="2"/>
      <c r="K337" s="2"/>
      <c r="L337" s="2"/>
      <c r="M337" s="23"/>
      <c r="N337" s="31"/>
      <c r="O337" s="23"/>
      <c r="P337" s="30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</row>
    <row r="338" spans="1:28" x14ac:dyDescent="0.25">
      <c r="A338" s="2"/>
      <c r="B338" s="2"/>
      <c r="C338" s="2"/>
      <c r="D338" s="22"/>
      <c r="E338" s="2"/>
      <c r="F338" s="2"/>
      <c r="G338" s="2"/>
      <c r="H338" s="2"/>
      <c r="I338" s="2"/>
      <c r="J338" s="2"/>
      <c r="K338" s="2"/>
      <c r="L338" s="2"/>
      <c r="M338" s="23"/>
      <c r="N338" s="31"/>
      <c r="O338" s="23"/>
      <c r="P338" s="30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</row>
    <row r="339" spans="1:28" x14ac:dyDescent="0.25">
      <c r="A339" s="2"/>
      <c r="B339" s="2"/>
      <c r="C339" s="2"/>
      <c r="D339" s="22"/>
      <c r="E339" s="2"/>
      <c r="F339" s="2"/>
      <c r="G339" s="2"/>
      <c r="H339" s="2"/>
      <c r="I339" s="2"/>
      <c r="J339" s="2"/>
      <c r="K339" s="2"/>
      <c r="L339" s="2"/>
      <c r="M339" s="23"/>
      <c r="N339" s="31"/>
      <c r="O339" s="23"/>
      <c r="P339" s="30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</row>
    <row r="340" spans="1:28" x14ac:dyDescent="0.25">
      <c r="A340" s="2"/>
      <c r="B340" s="2"/>
      <c r="C340" s="2"/>
      <c r="D340" s="22"/>
      <c r="E340" s="2"/>
      <c r="F340" s="2"/>
      <c r="G340" s="2"/>
      <c r="H340" s="2"/>
      <c r="I340" s="2"/>
      <c r="J340" s="2"/>
      <c r="K340" s="2"/>
      <c r="L340" s="2"/>
      <c r="M340" s="23"/>
      <c r="N340" s="31"/>
      <c r="O340" s="23"/>
      <c r="P340" s="30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</row>
    <row r="341" spans="1:28" x14ac:dyDescent="0.25">
      <c r="A341" s="2"/>
      <c r="B341" s="2"/>
      <c r="C341" s="2"/>
      <c r="D341" s="22"/>
      <c r="E341" s="2"/>
      <c r="F341" s="2"/>
      <c r="G341" s="2"/>
      <c r="H341" s="2"/>
      <c r="I341" s="2"/>
      <c r="J341" s="2"/>
      <c r="K341" s="2"/>
      <c r="L341" s="2"/>
      <c r="M341" s="23"/>
      <c r="N341" s="31"/>
      <c r="O341" s="23"/>
      <c r="P341" s="30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</row>
    <row r="342" spans="1:28" x14ac:dyDescent="0.25">
      <c r="A342" s="2"/>
      <c r="B342" s="2"/>
      <c r="C342" s="2"/>
      <c r="D342" s="22"/>
      <c r="E342" s="2"/>
      <c r="F342" s="2"/>
      <c r="G342" s="2"/>
      <c r="H342" s="2"/>
      <c r="I342" s="2"/>
      <c r="J342" s="2"/>
      <c r="K342" s="2"/>
      <c r="L342" s="2"/>
      <c r="M342" s="23"/>
      <c r="N342" s="31"/>
      <c r="O342" s="23"/>
      <c r="P342" s="30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</row>
    <row r="343" spans="1:28" x14ac:dyDescent="0.25">
      <c r="A343" s="2"/>
      <c r="B343" s="2"/>
      <c r="C343" s="2"/>
      <c r="D343" s="22"/>
      <c r="E343" s="2"/>
      <c r="F343" s="2"/>
      <c r="G343" s="2"/>
      <c r="H343" s="2"/>
      <c r="I343" s="2"/>
      <c r="J343" s="2"/>
      <c r="K343" s="2"/>
      <c r="L343" s="2"/>
      <c r="M343" s="23"/>
      <c r="N343" s="31"/>
      <c r="O343" s="23"/>
      <c r="P343" s="30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</row>
    <row r="344" spans="1:28" x14ac:dyDescent="0.25">
      <c r="A344" s="2"/>
      <c r="B344" s="2"/>
      <c r="C344" s="2"/>
      <c r="D344" s="22"/>
      <c r="E344" s="2"/>
      <c r="F344" s="2"/>
      <c r="G344" s="2"/>
      <c r="H344" s="2"/>
      <c r="I344" s="2"/>
      <c r="J344" s="2"/>
      <c r="K344" s="2"/>
      <c r="L344" s="2"/>
      <c r="M344" s="23"/>
      <c r="N344" s="31"/>
      <c r="O344" s="23"/>
      <c r="P344" s="30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</row>
    <row r="345" spans="1:28" x14ac:dyDescent="0.25">
      <c r="A345" s="2"/>
      <c r="B345" s="2"/>
      <c r="C345" s="2"/>
      <c r="D345" s="22"/>
      <c r="E345" s="2"/>
      <c r="F345" s="2"/>
      <c r="G345" s="2"/>
      <c r="H345" s="2"/>
      <c r="I345" s="2"/>
      <c r="J345" s="2"/>
      <c r="K345" s="2"/>
      <c r="L345" s="2"/>
      <c r="M345" s="23"/>
      <c r="N345" s="31"/>
      <c r="O345" s="23"/>
      <c r="P345" s="30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</row>
    <row r="346" spans="1:28" x14ac:dyDescent="0.25">
      <c r="A346" s="2"/>
      <c r="B346" s="2"/>
      <c r="C346" s="2"/>
      <c r="D346" s="22"/>
      <c r="E346" s="2"/>
      <c r="F346" s="2"/>
      <c r="G346" s="2"/>
      <c r="H346" s="2"/>
      <c r="I346" s="2"/>
      <c r="J346" s="2"/>
      <c r="K346" s="2"/>
      <c r="L346" s="2"/>
      <c r="M346" s="23"/>
      <c r="N346" s="31"/>
      <c r="O346" s="23"/>
      <c r="P346" s="30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</row>
    <row r="347" spans="1:28" x14ac:dyDescent="0.25">
      <c r="A347" s="2"/>
      <c r="B347" s="2"/>
      <c r="C347" s="2"/>
      <c r="D347" s="22"/>
      <c r="E347" s="2"/>
      <c r="F347" s="2"/>
      <c r="G347" s="2"/>
      <c r="H347" s="2"/>
      <c r="I347" s="2"/>
      <c r="J347" s="2"/>
      <c r="K347" s="2"/>
      <c r="L347" s="2"/>
      <c r="M347" s="23"/>
      <c r="N347" s="31"/>
      <c r="O347" s="23"/>
      <c r="P347" s="30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</row>
    <row r="348" spans="1:28" x14ac:dyDescent="0.25">
      <c r="A348" s="2"/>
      <c r="B348" s="2"/>
      <c r="C348" s="2"/>
      <c r="D348" s="22"/>
      <c r="E348" s="2"/>
      <c r="F348" s="2"/>
      <c r="G348" s="2"/>
      <c r="H348" s="2"/>
      <c r="I348" s="2"/>
      <c r="J348" s="2"/>
      <c r="K348" s="2"/>
      <c r="L348" s="2"/>
      <c r="M348" s="23"/>
      <c r="N348" s="31"/>
      <c r="O348" s="23"/>
      <c r="P348" s="30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</row>
    <row r="349" spans="1:28" x14ac:dyDescent="0.25">
      <c r="A349" s="2"/>
      <c r="B349" s="2"/>
      <c r="C349" s="2"/>
      <c r="D349" s="22"/>
      <c r="E349" s="2"/>
      <c r="F349" s="2"/>
      <c r="G349" s="2"/>
      <c r="H349" s="2"/>
      <c r="I349" s="2"/>
      <c r="J349" s="2"/>
      <c r="K349" s="2"/>
      <c r="L349" s="2"/>
      <c r="M349" s="23"/>
      <c r="N349" s="31"/>
      <c r="O349" s="23"/>
      <c r="P349" s="30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</row>
    <row r="350" spans="1:28" x14ac:dyDescent="0.25">
      <c r="A350" s="2"/>
      <c r="B350" s="2"/>
      <c r="C350" s="2"/>
      <c r="D350" s="22"/>
      <c r="E350" s="2"/>
      <c r="F350" s="2"/>
      <c r="G350" s="2"/>
      <c r="H350" s="2"/>
      <c r="I350" s="2"/>
      <c r="J350" s="2"/>
      <c r="K350" s="2"/>
      <c r="L350" s="2"/>
      <c r="M350" s="23"/>
      <c r="N350" s="31"/>
      <c r="O350" s="23"/>
      <c r="P350" s="30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</row>
    <row r="351" spans="1:28" x14ac:dyDescent="0.25">
      <c r="A351" s="2"/>
      <c r="B351" s="2"/>
      <c r="C351" s="2"/>
      <c r="D351" s="22"/>
      <c r="E351" s="2"/>
      <c r="F351" s="2"/>
      <c r="G351" s="2"/>
      <c r="H351" s="2"/>
      <c r="I351" s="2"/>
      <c r="J351" s="2"/>
      <c r="K351" s="2"/>
      <c r="L351" s="2"/>
      <c r="M351" s="23"/>
      <c r="N351" s="31"/>
      <c r="O351" s="23"/>
      <c r="P351" s="30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</row>
    <row r="352" spans="1:28" x14ac:dyDescent="0.25">
      <c r="A352" s="2"/>
      <c r="B352" s="2"/>
      <c r="C352" s="2"/>
      <c r="D352" s="22"/>
      <c r="E352" s="2"/>
      <c r="F352" s="2"/>
      <c r="G352" s="2"/>
      <c r="H352" s="2"/>
      <c r="I352" s="2"/>
      <c r="J352" s="2"/>
      <c r="K352" s="2"/>
      <c r="L352" s="2"/>
      <c r="M352" s="23"/>
      <c r="N352" s="31"/>
      <c r="O352" s="23"/>
      <c r="P352" s="30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</row>
    <row r="353" spans="1:28" x14ac:dyDescent="0.25">
      <c r="A353" s="2"/>
      <c r="B353" s="2"/>
      <c r="C353" s="2"/>
      <c r="D353" s="22"/>
      <c r="E353" s="2"/>
      <c r="F353" s="2"/>
      <c r="G353" s="2"/>
      <c r="H353" s="2"/>
      <c r="I353" s="2"/>
      <c r="J353" s="2"/>
      <c r="K353" s="2"/>
      <c r="L353" s="2"/>
      <c r="M353" s="23"/>
      <c r="N353" s="31"/>
      <c r="O353" s="23"/>
      <c r="P353" s="30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</row>
    <row r="354" spans="1:28" x14ac:dyDescent="0.25">
      <c r="A354" s="2"/>
      <c r="B354" s="2"/>
      <c r="C354" s="2"/>
      <c r="D354" s="22"/>
      <c r="E354" s="2"/>
      <c r="F354" s="2"/>
      <c r="G354" s="2"/>
      <c r="H354" s="2"/>
      <c r="I354" s="2"/>
      <c r="J354" s="2"/>
      <c r="K354" s="2"/>
      <c r="L354" s="2"/>
      <c r="M354" s="23"/>
      <c r="N354" s="31"/>
      <c r="O354" s="23"/>
      <c r="P354" s="30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</row>
    <row r="355" spans="1:28" x14ac:dyDescent="0.25">
      <c r="A355" s="2"/>
      <c r="B355" s="2"/>
      <c r="C355" s="2"/>
      <c r="D355" s="22"/>
      <c r="E355" s="2"/>
      <c r="F355" s="2"/>
      <c r="G355" s="2"/>
      <c r="H355" s="2"/>
      <c r="I355" s="2"/>
      <c r="J355" s="2"/>
      <c r="K355" s="2"/>
      <c r="L355" s="2"/>
      <c r="M355" s="23"/>
      <c r="N355" s="31"/>
      <c r="O355" s="23"/>
      <c r="P355" s="30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</row>
    <row r="356" spans="1:28" x14ac:dyDescent="0.25">
      <c r="A356" s="2"/>
      <c r="B356" s="2"/>
      <c r="C356" s="2"/>
      <c r="D356" s="22"/>
      <c r="E356" s="2"/>
      <c r="F356" s="2"/>
      <c r="G356" s="2"/>
      <c r="H356" s="2"/>
      <c r="I356" s="2"/>
      <c r="J356" s="2"/>
      <c r="K356" s="2"/>
      <c r="L356" s="2"/>
      <c r="M356" s="23"/>
      <c r="N356" s="31"/>
      <c r="O356" s="23"/>
      <c r="P356" s="30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</row>
    <row r="357" spans="1:28" x14ac:dyDescent="0.25">
      <c r="A357" s="2"/>
      <c r="B357" s="2"/>
      <c r="C357" s="2"/>
      <c r="D357" s="22"/>
      <c r="E357" s="2"/>
      <c r="F357" s="2"/>
      <c r="G357" s="2"/>
      <c r="H357" s="2"/>
      <c r="I357" s="2"/>
      <c r="J357" s="2"/>
      <c r="K357" s="2"/>
      <c r="L357" s="2"/>
      <c r="M357" s="23"/>
      <c r="N357" s="31"/>
      <c r="O357" s="23"/>
      <c r="P357" s="30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</row>
    <row r="358" spans="1:28" x14ac:dyDescent="0.25">
      <c r="A358" s="2"/>
      <c r="B358" s="2"/>
      <c r="C358" s="2"/>
      <c r="D358" s="22"/>
      <c r="E358" s="2"/>
      <c r="F358" s="2"/>
      <c r="G358" s="2"/>
      <c r="H358" s="2"/>
      <c r="I358" s="2"/>
      <c r="J358" s="2"/>
      <c r="K358" s="2"/>
      <c r="L358" s="2"/>
      <c r="M358" s="23"/>
      <c r="N358" s="31"/>
      <c r="O358" s="23"/>
      <c r="P358" s="30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</row>
    <row r="359" spans="1:28" x14ac:dyDescent="0.25">
      <c r="A359" s="2"/>
      <c r="B359" s="2"/>
      <c r="C359" s="2"/>
      <c r="D359" s="22"/>
      <c r="E359" s="2"/>
      <c r="F359" s="2"/>
      <c r="G359" s="2"/>
      <c r="H359" s="2"/>
      <c r="I359" s="2"/>
      <c r="J359" s="2"/>
      <c r="K359" s="2"/>
      <c r="L359" s="2"/>
      <c r="M359" s="23"/>
      <c r="N359" s="31"/>
      <c r="O359" s="23"/>
      <c r="P359" s="30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</row>
    <row r="360" spans="1:28" x14ac:dyDescent="0.25">
      <c r="A360" s="2"/>
      <c r="B360" s="2"/>
      <c r="C360" s="2"/>
      <c r="D360" s="22"/>
      <c r="E360" s="2"/>
      <c r="F360" s="2"/>
      <c r="G360" s="2"/>
      <c r="H360" s="2"/>
      <c r="I360" s="2"/>
      <c r="J360" s="2"/>
      <c r="K360" s="2"/>
      <c r="L360" s="2"/>
      <c r="M360" s="23"/>
      <c r="N360" s="31"/>
      <c r="O360" s="23"/>
      <c r="P360" s="30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</row>
    <row r="361" spans="1:28" x14ac:dyDescent="0.25">
      <c r="A361" s="2"/>
      <c r="B361" s="2"/>
      <c r="C361" s="2"/>
      <c r="D361" s="22"/>
      <c r="E361" s="2"/>
      <c r="F361" s="2"/>
      <c r="G361" s="2"/>
      <c r="H361" s="2"/>
      <c r="I361" s="2"/>
      <c r="J361" s="2"/>
      <c r="K361" s="2"/>
      <c r="L361" s="2"/>
      <c r="M361" s="23"/>
      <c r="N361" s="31"/>
      <c r="O361" s="23"/>
      <c r="P361" s="30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</row>
    <row r="362" spans="1:28" x14ac:dyDescent="0.25">
      <c r="A362" s="2"/>
      <c r="B362" s="2"/>
      <c r="C362" s="2"/>
      <c r="D362" s="22"/>
      <c r="E362" s="2"/>
      <c r="F362" s="2"/>
      <c r="G362" s="2"/>
      <c r="H362" s="2"/>
      <c r="I362" s="2"/>
      <c r="J362" s="2"/>
      <c r="K362" s="2"/>
      <c r="L362" s="2"/>
      <c r="M362" s="23"/>
      <c r="N362" s="31"/>
      <c r="O362" s="23"/>
      <c r="P362" s="30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</row>
    <row r="363" spans="1:28" x14ac:dyDescent="0.25">
      <c r="A363" s="2"/>
      <c r="B363" s="2"/>
      <c r="C363" s="2"/>
      <c r="D363" s="22"/>
      <c r="E363" s="2"/>
      <c r="F363" s="2"/>
      <c r="G363" s="2"/>
      <c r="H363" s="2"/>
      <c r="I363" s="2"/>
      <c r="J363" s="2"/>
      <c r="K363" s="2"/>
      <c r="L363" s="2"/>
      <c r="M363" s="23"/>
      <c r="N363" s="31"/>
      <c r="O363" s="23"/>
      <c r="P363" s="30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</row>
    <row r="364" spans="1:28" x14ac:dyDescent="0.25">
      <c r="A364" s="2"/>
      <c r="B364" s="2"/>
      <c r="C364" s="2"/>
      <c r="D364" s="22"/>
      <c r="E364" s="2"/>
      <c r="F364" s="2"/>
      <c r="G364" s="2"/>
      <c r="H364" s="2"/>
      <c r="I364" s="2"/>
      <c r="J364" s="2"/>
      <c r="K364" s="2"/>
      <c r="L364" s="2"/>
      <c r="M364" s="23"/>
      <c r="N364" s="31"/>
      <c r="O364" s="23"/>
      <c r="P364" s="30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</row>
    <row r="365" spans="1:28" x14ac:dyDescent="0.25">
      <c r="A365" s="2"/>
      <c r="B365" s="2"/>
      <c r="C365" s="2"/>
      <c r="D365" s="22"/>
      <c r="E365" s="2"/>
      <c r="F365" s="2"/>
      <c r="G365" s="2"/>
      <c r="H365" s="2"/>
      <c r="I365" s="2"/>
      <c r="J365" s="2"/>
      <c r="K365" s="2"/>
      <c r="L365" s="2"/>
      <c r="M365" s="23"/>
      <c r="N365" s="31"/>
      <c r="O365" s="23"/>
      <c r="P365" s="30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</row>
    <row r="366" spans="1:28" x14ac:dyDescent="0.25">
      <c r="A366" s="2"/>
      <c r="B366" s="2"/>
      <c r="C366" s="2"/>
      <c r="D366" s="22"/>
      <c r="E366" s="2"/>
      <c r="F366" s="2"/>
      <c r="G366" s="2"/>
      <c r="H366" s="2"/>
      <c r="I366" s="2"/>
      <c r="J366" s="2"/>
      <c r="K366" s="2"/>
      <c r="L366" s="2"/>
      <c r="M366" s="23"/>
      <c r="N366" s="31"/>
      <c r="O366" s="23"/>
      <c r="P366" s="30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</row>
    <row r="367" spans="1:28" x14ac:dyDescent="0.25">
      <c r="A367" s="2"/>
      <c r="B367" s="2"/>
      <c r="C367" s="2"/>
      <c r="D367" s="22"/>
      <c r="E367" s="2"/>
      <c r="F367" s="2"/>
      <c r="G367" s="2"/>
      <c r="H367" s="2"/>
      <c r="I367" s="2"/>
      <c r="J367" s="2"/>
      <c r="K367" s="2"/>
      <c r="L367" s="2"/>
      <c r="M367" s="23"/>
      <c r="N367" s="31"/>
      <c r="O367" s="23"/>
      <c r="P367" s="30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</row>
    <row r="368" spans="1:28" x14ac:dyDescent="0.25">
      <c r="A368" s="2"/>
      <c r="B368" s="2"/>
      <c r="C368" s="2"/>
      <c r="D368" s="22"/>
      <c r="E368" s="2"/>
      <c r="F368" s="2"/>
      <c r="G368" s="2"/>
      <c r="H368" s="2"/>
      <c r="I368" s="2"/>
      <c r="J368" s="2"/>
      <c r="K368" s="2"/>
      <c r="L368" s="2"/>
      <c r="M368" s="23"/>
      <c r="N368" s="31"/>
      <c r="O368" s="23"/>
      <c r="P368" s="30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</row>
    <row r="369" spans="1:28" x14ac:dyDescent="0.25">
      <c r="A369" s="2"/>
      <c r="B369" s="2"/>
      <c r="C369" s="2"/>
      <c r="D369" s="22"/>
      <c r="E369" s="2"/>
      <c r="F369" s="2"/>
      <c r="G369" s="2"/>
      <c r="H369" s="2"/>
      <c r="I369" s="2"/>
      <c r="J369" s="2"/>
      <c r="K369" s="2"/>
      <c r="L369" s="2"/>
      <c r="M369" s="23"/>
      <c r="N369" s="31"/>
      <c r="O369" s="23"/>
      <c r="P369" s="30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</row>
    <row r="370" spans="1:28" x14ac:dyDescent="0.25">
      <c r="A370" s="2"/>
      <c r="B370" s="2"/>
      <c r="C370" s="2"/>
      <c r="D370" s="22"/>
      <c r="E370" s="2"/>
      <c r="F370" s="2"/>
      <c r="G370" s="2"/>
      <c r="H370" s="2"/>
      <c r="I370" s="2"/>
      <c r="J370" s="2"/>
      <c r="K370" s="2"/>
      <c r="L370" s="2"/>
      <c r="M370" s="23"/>
      <c r="N370" s="31"/>
      <c r="O370" s="23"/>
      <c r="P370" s="30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</row>
    <row r="371" spans="1:28" x14ac:dyDescent="0.25">
      <c r="A371" s="2"/>
      <c r="B371" s="2"/>
      <c r="C371" s="2"/>
      <c r="D371" s="22"/>
      <c r="E371" s="2"/>
      <c r="F371" s="2"/>
      <c r="G371" s="2"/>
      <c r="H371" s="2"/>
      <c r="I371" s="2"/>
      <c r="J371" s="2"/>
      <c r="K371" s="2"/>
      <c r="L371" s="2"/>
      <c r="M371" s="23"/>
      <c r="N371" s="31"/>
      <c r="O371" s="23"/>
      <c r="P371" s="30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</row>
    <row r="372" spans="1:28" x14ac:dyDescent="0.25">
      <c r="A372" s="2"/>
      <c r="B372" s="2"/>
      <c r="C372" s="2"/>
      <c r="D372" s="22"/>
      <c r="E372" s="2"/>
      <c r="F372" s="2"/>
      <c r="G372" s="2"/>
      <c r="H372" s="2"/>
      <c r="I372" s="2"/>
      <c r="J372" s="2"/>
      <c r="K372" s="2"/>
      <c r="L372" s="2"/>
      <c r="M372" s="23"/>
      <c r="N372" s="31"/>
      <c r="O372" s="23"/>
      <c r="P372" s="30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</row>
    <row r="373" spans="1:28" x14ac:dyDescent="0.25">
      <c r="A373" s="2"/>
      <c r="B373" s="2"/>
      <c r="C373" s="2"/>
      <c r="D373" s="22"/>
      <c r="E373" s="2"/>
      <c r="F373" s="2"/>
      <c r="G373" s="2"/>
      <c r="H373" s="2"/>
      <c r="I373" s="2"/>
      <c r="J373" s="2"/>
      <c r="K373" s="2"/>
      <c r="L373" s="2"/>
      <c r="M373" s="23"/>
      <c r="N373" s="31"/>
      <c r="O373" s="23"/>
      <c r="P373" s="30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</row>
    <row r="374" spans="1:28" x14ac:dyDescent="0.25">
      <c r="A374" s="2"/>
      <c r="B374" s="2"/>
      <c r="C374" s="2"/>
      <c r="D374" s="22"/>
      <c r="E374" s="2"/>
      <c r="F374" s="2"/>
      <c r="G374" s="2"/>
      <c r="H374" s="2"/>
      <c r="I374" s="2"/>
      <c r="J374" s="2"/>
      <c r="K374" s="2"/>
      <c r="L374" s="2"/>
      <c r="M374" s="23"/>
      <c r="N374" s="31"/>
      <c r="O374" s="23"/>
      <c r="P374" s="30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</row>
    <row r="375" spans="1:28" x14ac:dyDescent="0.25">
      <c r="A375" s="2"/>
      <c r="B375" s="2"/>
      <c r="C375" s="2"/>
      <c r="D375" s="22"/>
      <c r="E375" s="2"/>
      <c r="F375" s="2"/>
      <c r="G375" s="2"/>
      <c r="H375" s="2"/>
      <c r="I375" s="2"/>
      <c r="J375" s="2"/>
      <c r="K375" s="2"/>
      <c r="L375" s="2"/>
      <c r="M375" s="23"/>
      <c r="N375" s="31"/>
      <c r="O375" s="23"/>
      <c r="P375" s="30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</row>
    <row r="376" spans="1:28" x14ac:dyDescent="0.25">
      <c r="A376" s="2"/>
      <c r="B376" s="2"/>
      <c r="C376" s="2"/>
      <c r="D376" s="22"/>
      <c r="E376" s="2"/>
      <c r="F376" s="2"/>
      <c r="G376" s="2"/>
      <c r="H376" s="2"/>
      <c r="I376" s="2"/>
      <c r="J376" s="2"/>
      <c r="K376" s="2"/>
      <c r="L376" s="2"/>
      <c r="M376" s="23"/>
      <c r="N376" s="31"/>
      <c r="O376" s="23"/>
      <c r="P376" s="30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</row>
    <row r="377" spans="1:28" x14ac:dyDescent="0.25">
      <c r="A377" s="2"/>
      <c r="B377" s="2"/>
      <c r="C377" s="2"/>
      <c r="D377" s="22"/>
      <c r="E377" s="2"/>
      <c r="F377" s="2"/>
      <c r="G377" s="2"/>
      <c r="H377" s="2"/>
      <c r="I377" s="2"/>
      <c r="J377" s="2"/>
      <c r="K377" s="2"/>
      <c r="L377" s="2"/>
      <c r="M377" s="23"/>
      <c r="N377" s="31"/>
      <c r="O377" s="23"/>
      <c r="P377" s="30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</row>
    <row r="378" spans="1:28" x14ac:dyDescent="0.25">
      <c r="A378" s="2"/>
      <c r="B378" s="2"/>
      <c r="C378" s="2"/>
      <c r="D378" s="22"/>
      <c r="E378" s="2"/>
      <c r="F378" s="2"/>
      <c r="G378" s="2"/>
      <c r="H378" s="2"/>
      <c r="I378" s="2"/>
      <c r="J378" s="2"/>
      <c r="K378" s="2"/>
      <c r="L378" s="2"/>
      <c r="M378" s="23"/>
      <c r="N378" s="31"/>
      <c r="O378" s="23"/>
      <c r="P378" s="30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</row>
    <row r="379" spans="1:28" x14ac:dyDescent="0.25">
      <c r="A379" s="2"/>
      <c r="B379" s="2"/>
      <c r="C379" s="2"/>
      <c r="D379" s="22"/>
      <c r="E379" s="2"/>
      <c r="F379" s="2"/>
      <c r="G379" s="2"/>
      <c r="H379" s="2"/>
      <c r="I379" s="2"/>
      <c r="J379" s="2"/>
      <c r="K379" s="2"/>
      <c r="L379" s="2"/>
      <c r="M379" s="23"/>
      <c r="N379" s="31"/>
      <c r="O379" s="23"/>
      <c r="P379" s="30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</row>
    <row r="380" spans="1:28" x14ac:dyDescent="0.25">
      <c r="A380" s="2"/>
      <c r="B380" s="2"/>
      <c r="C380" s="2"/>
      <c r="D380" s="22"/>
      <c r="E380" s="2"/>
      <c r="F380" s="2"/>
      <c r="G380" s="2"/>
      <c r="H380" s="2"/>
      <c r="I380" s="2"/>
      <c r="J380" s="2"/>
      <c r="K380" s="2"/>
      <c r="L380" s="2"/>
      <c r="M380" s="23"/>
      <c r="N380" s="31"/>
      <c r="O380" s="23"/>
      <c r="P380" s="30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</row>
    <row r="381" spans="1:28" x14ac:dyDescent="0.25">
      <c r="A381" s="2"/>
      <c r="B381" s="2"/>
      <c r="C381" s="2"/>
      <c r="D381" s="22"/>
      <c r="E381" s="2"/>
      <c r="F381" s="2"/>
      <c r="G381" s="2"/>
      <c r="H381" s="2"/>
      <c r="I381" s="2"/>
      <c r="J381" s="2"/>
      <c r="K381" s="2"/>
      <c r="L381" s="2"/>
      <c r="M381" s="23"/>
      <c r="N381" s="31"/>
      <c r="O381" s="23"/>
      <c r="P381" s="30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</row>
    <row r="382" spans="1:28" x14ac:dyDescent="0.25">
      <c r="A382" s="2"/>
      <c r="B382" s="2"/>
      <c r="C382" s="2"/>
      <c r="D382" s="22"/>
      <c r="E382" s="2"/>
      <c r="F382" s="2"/>
      <c r="G382" s="2"/>
      <c r="H382" s="2"/>
      <c r="I382" s="2"/>
      <c r="J382" s="2"/>
      <c r="K382" s="2"/>
      <c r="L382" s="2"/>
      <c r="M382" s="23"/>
      <c r="N382" s="31"/>
      <c r="O382" s="23"/>
      <c r="P382" s="30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</row>
    <row r="383" spans="1:28" x14ac:dyDescent="0.25">
      <c r="A383" s="2"/>
      <c r="B383" s="2"/>
      <c r="C383" s="2"/>
      <c r="D383" s="22"/>
      <c r="E383" s="2"/>
      <c r="F383" s="2"/>
      <c r="G383" s="2"/>
      <c r="H383" s="2"/>
      <c r="I383" s="2"/>
      <c r="J383" s="2"/>
      <c r="K383" s="2"/>
      <c r="L383" s="2"/>
      <c r="M383" s="23"/>
      <c r="N383" s="31"/>
      <c r="O383" s="23"/>
      <c r="P383" s="30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</row>
    <row r="384" spans="1:28" x14ac:dyDescent="0.25">
      <c r="A384" s="2"/>
      <c r="B384" s="2"/>
      <c r="C384" s="2"/>
      <c r="D384" s="22"/>
      <c r="E384" s="2"/>
      <c r="F384" s="2"/>
      <c r="G384" s="2"/>
      <c r="H384" s="2"/>
      <c r="I384" s="2"/>
      <c r="J384" s="2"/>
      <c r="K384" s="2"/>
      <c r="L384" s="2"/>
      <c r="M384" s="23"/>
      <c r="N384" s="31"/>
      <c r="O384" s="23"/>
      <c r="P384" s="30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</row>
    <row r="385" spans="1:28" x14ac:dyDescent="0.25">
      <c r="A385" s="2"/>
      <c r="B385" s="2"/>
      <c r="C385" s="2"/>
      <c r="D385" s="22"/>
      <c r="E385" s="2"/>
      <c r="F385" s="2"/>
      <c r="G385" s="2"/>
      <c r="H385" s="2"/>
      <c r="I385" s="2"/>
      <c r="J385" s="2"/>
      <c r="K385" s="2"/>
      <c r="L385" s="2"/>
      <c r="M385" s="23"/>
      <c r="N385" s="31"/>
      <c r="O385" s="23"/>
      <c r="P385" s="30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</row>
    <row r="386" spans="1:28" x14ac:dyDescent="0.25">
      <c r="A386" s="2"/>
      <c r="B386" s="2"/>
      <c r="C386" s="2"/>
      <c r="D386" s="22"/>
      <c r="E386" s="2"/>
      <c r="F386" s="2"/>
      <c r="G386" s="2"/>
      <c r="H386" s="2"/>
      <c r="I386" s="2"/>
      <c r="J386" s="2"/>
      <c r="K386" s="2"/>
      <c r="L386" s="2"/>
      <c r="M386" s="23"/>
      <c r="N386" s="31"/>
      <c r="O386" s="23"/>
      <c r="P386" s="30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</row>
    <row r="387" spans="1:28" x14ac:dyDescent="0.25">
      <c r="A387" s="2"/>
      <c r="B387" s="2"/>
      <c r="C387" s="2"/>
      <c r="D387" s="22"/>
      <c r="E387" s="2"/>
      <c r="F387" s="2"/>
      <c r="G387" s="2"/>
      <c r="H387" s="2"/>
      <c r="I387" s="2"/>
      <c r="J387" s="2"/>
      <c r="K387" s="2"/>
      <c r="L387" s="2"/>
      <c r="M387" s="23"/>
      <c r="N387" s="31"/>
      <c r="O387" s="23"/>
      <c r="P387" s="30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</row>
    <row r="388" spans="1:28" x14ac:dyDescent="0.25">
      <c r="A388" s="2"/>
      <c r="B388" s="2"/>
      <c r="C388" s="2"/>
      <c r="D388" s="22"/>
      <c r="E388" s="2"/>
      <c r="F388" s="2"/>
      <c r="G388" s="2"/>
      <c r="H388" s="2"/>
      <c r="I388" s="2"/>
      <c r="J388" s="2"/>
      <c r="K388" s="2"/>
      <c r="L388" s="2"/>
      <c r="M388" s="23"/>
      <c r="N388" s="31"/>
      <c r="O388" s="23"/>
      <c r="P388" s="30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</row>
    <row r="389" spans="1:28" x14ac:dyDescent="0.25">
      <c r="A389" s="2"/>
      <c r="B389" s="2"/>
      <c r="C389" s="2"/>
      <c r="D389" s="22"/>
      <c r="E389" s="2"/>
      <c r="F389" s="2"/>
      <c r="G389" s="2"/>
      <c r="H389" s="2"/>
      <c r="I389" s="2"/>
      <c r="J389" s="2"/>
      <c r="K389" s="2"/>
      <c r="L389" s="2"/>
      <c r="M389" s="23"/>
      <c r="N389" s="31"/>
      <c r="O389" s="23"/>
      <c r="P389" s="30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</row>
    <row r="390" spans="1:28" x14ac:dyDescent="0.25">
      <c r="A390" s="2"/>
      <c r="B390" s="2"/>
      <c r="C390" s="2"/>
      <c r="D390" s="22"/>
      <c r="E390" s="2"/>
      <c r="F390" s="2"/>
      <c r="G390" s="2"/>
      <c r="H390" s="2"/>
      <c r="I390" s="2"/>
      <c r="J390" s="2"/>
      <c r="K390" s="2"/>
      <c r="L390" s="2"/>
      <c r="M390" s="23"/>
      <c r="N390" s="31"/>
      <c r="O390" s="23"/>
      <c r="P390" s="30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</row>
    <row r="391" spans="1:28" x14ac:dyDescent="0.25">
      <c r="A391" s="2"/>
      <c r="B391" s="2"/>
      <c r="C391" s="2"/>
      <c r="D391" s="22"/>
      <c r="E391" s="2"/>
      <c r="F391" s="2"/>
      <c r="G391" s="2"/>
      <c r="H391" s="2"/>
      <c r="I391" s="2"/>
      <c r="J391" s="2"/>
      <c r="K391" s="2"/>
      <c r="L391" s="2"/>
      <c r="M391" s="23"/>
      <c r="N391" s="31"/>
      <c r="O391" s="23"/>
      <c r="P391" s="30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</row>
    <row r="392" spans="1:28" x14ac:dyDescent="0.25">
      <c r="A392" s="2"/>
      <c r="B392" s="2"/>
      <c r="C392" s="2"/>
      <c r="D392" s="22"/>
      <c r="E392" s="2"/>
      <c r="F392" s="2"/>
      <c r="G392" s="2"/>
      <c r="H392" s="2"/>
      <c r="I392" s="2"/>
      <c r="J392" s="2"/>
      <c r="K392" s="2"/>
      <c r="L392" s="2"/>
      <c r="M392" s="23"/>
      <c r="N392" s="31"/>
      <c r="O392" s="23"/>
      <c r="P392" s="30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</row>
    <row r="393" spans="1:28" x14ac:dyDescent="0.25">
      <c r="A393" s="2"/>
      <c r="B393" s="2"/>
      <c r="C393" s="2"/>
      <c r="D393" s="22"/>
      <c r="E393" s="2"/>
      <c r="F393" s="2"/>
      <c r="G393" s="2"/>
      <c r="H393" s="2"/>
      <c r="I393" s="2"/>
      <c r="J393" s="2"/>
      <c r="K393" s="2"/>
      <c r="L393" s="2"/>
      <c r="M393" s="23"/>
      <c r="N393" s="31"/>
      <c r="O393" s="23"/>
      <c r="P393" s="30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</row>
    <row r="394" spans="1:28" x14ac:dyDescent="0.25">
      <c r="A394" s="2"/>
      <c r="B394" s="2"/>
      <c r="C394" s="2"/>
      <c r="D394" s="22"/>
      <c r="E394" s="2"/>
      <c r="F394" s="2"/>
      <c r="G394" s="2"/>
      <c r="H394" s="2"/>
      <c r="I394" s="2"/>
      <c r="J394" s="2"/>
      <c r="K394" s="2"/>
      <c r="L394" s="2"/>
      <c r="M394" s="23"/>
      <c r="N394" s="31"/>
      <c r="O394" s="23"/>
      <c r="P394" s="30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</row>
    <row r="395" spans="1:28" x14ac:dyDescent="0.25">
      <c r="A395" s="2"/>
      <c r="B395" s="2"/>
      <c r="C395" s="2"/>
      <c r="D395" s="22"/>
      <c r="E395" s="2"/>
      <c r="F395" s="2"/>
      <c r="G395" s="2"/>
      <c r="H395" s="2"/>
      <c r="I395" s="2"/>
      <c r="J395" s="2"/>
      <c r="K395" s="2"/>
      <c r="L395" s="2"/>
      <c r="M395" s="23"/>
      <c r="N395" s="31"/>
      <c r="O395" s="23"/>
      <c r="P395" s="30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</row>
    <row r="396" spans="1:28" x14ac:dyDescent="0.25">
      <c r="A396" s="2"/>
      <c r="B396" s="2"/>
      <c r="C396" s="2"/>
      <c r="D396" s="22"/>
      <c r="E396" s="2"/>
      <c r="F396" s="2"/>
      <c r="G396" s="2"/>
      <c r="H396" s="2"/>
      <c r="I396" s="2"/>
      <c r="J396" s="2"/>
      <c r="K396" s="2"/>
      <c r="L396" s="2"/>
      <c r="M396" s="23"/>
      <c r="N396" s="31"/>
      <c r="O396" s="23"/>
      <c r="P396" s="30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</row>
    <row r="397" spans="1:28" x14ac:dyDescent="0.25">
      <c r="A397" s="2"/>
      <c r="B397" s="2"/>
      <c r="C397" s="2"/>
      <c r="D397" s="22"/>
      <c r="E397" s="2"/>
      <c r="F397" s="2"/>
      <c r="G397" s="2"/>
      <c r="H397" s="2"/>
      <c r="I397" s="2"/>
      <c r="J397" s="2"/>
      <c r="K397" s="2"/>
      <c r="L397" s="2"/>
      <c r="M397" s="23"/>
      <c r="N397" s="31"/>
      <c r="O397" s="23"/>
      <c r="P397" s="30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</row>
    <row r="398" spans="1:28" x14ac:dyDescent="0.25">
      <c r="A398" s="2"/>
      <c r="B398" s="2"/>
      <c r="C398" s="2"/>
      <c r="D398" s="22"/>
      <c r="E398" s="2"/>
      <c r="F398" s="2"/>
      <c r="G398" s="2"/>
      <c r="H398" s="2"/>
      <c r="I398" s="2"/>
      <c r="J398" s="2"/>
      <c r="K398" s="2"/>
      <c r="L398" s="2"/>
      <c r="M398" s="23"/>
      <c r="N398" s="31"/>
      <c r="O398" s="23"/>
      <c r="P398" s="30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</row>
    <row r="399" spans="1:28" x14ac:dyDescent="0.25">
      <c r="A399" s="2"/>
      <c r="B399" s="2"/>
      <c r="C399" s="2"/>
      <c r="D399" s="22"/>
      <c r="E399" s="2"/>
      <c r="F399" s="2"/>
      <c r="G399" s="2"/>
      <c r="H399" s="2"/>
      <c r="I399" s="2"/>
      <c r="J399" s="2"/>
      <c r="K399" s="2"/>
      <c r="L399" s="2"/>
      <c r="M399" s="23"/>
      <c r="N399" s="31"/>
      <c r="O399" s="23"/>
      <c r="P399" s="30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</row>
    <row r="400" spans="1:28" x14ac:dyDescent="0.25">
      <c r="A400" s="2"/>
      <c r="B400" s="2"/>
      <c r="C400" s="2"/>
      <c r="D400" s="22"/>
      <c r="E400" s="2"/>
      <c r="F400" s="2"/>
      <c r="G400" s="2"/>
      <c r="H400" s="2"/>
      <c r="I400" s="2"/>
      <c r="J400" s="2"/>
      <c r="K400" s="2"/>
      <c r="L400" s="2"/>
      <c r="M400" s="23"/>
      <c r="N400" s="31"/>
      <c r="O400" s="23"/>
      <c r="P400" s="30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</row>
    <row r="401" spans="1:28" x14ac:dyDescent="0.25">
      <c r="A401" s="2"/>
      <c r="B401" s="2"/>
      <c r="C401" s="2"/>
      <c r="D401" s="22"/>
      <c r="E401" s="2"/>
      <c r="F401" s="2"/>
      <c r="G401" s="2"/>
      <c r="H401" s="2"/>
      <c r="I401" s="2"/>
      <c r="J401" s="2"/>
      <c r="K401" s="2"/>
      <c r="L401" s="2"/>
      <c r="M401" s="23"/>
      <c r="N401" s="31"/>
      <c r="O401" s="23"/>
      <c r="P401" s="30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</row>
    <row r="402" spans="1:28" x14ac:dyDescent="0.25">
      <c r="A402" s="2"/>
      <c r="B402" s="2"/>
      <c r="C402" s="2"/>
      <c r="D402" s="22"/>
      <c r="E402" s="2"/>
      <c r="F402" s="2"/>
      <c r="G402" s="2"/>
      <c r="H402" s="2"/>
      <c r="I402" s="2"/>
      <c r="J402" s="2"/>
      <c r="K402" s="2"/>
      <c r="L402" s="2"/>
      <c r="M402" s="23"/>
      <c r="N402" s="31"/>
      <c r="O402" s="23"/>
      <c r="P402" s="30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</row>
    <row r="403" spans="1:28" x14ac:dyDescent="0.25">
      <c r="A403" s="2"/>
      <c r="B403" s="2"/>
      <c r="C403" s="2"/>
      <c r="D403" s="22"/>
      <c r="E403" s="2"/>
      <c r="F403" s="2"/>
      <c r="G403" s="2"/>
      <c r="H403" s="2"/>
      <c r="I403" s="2"/>
      <c r="J403" s="2"/>
      <c r="K403" s="2"/>
      <c r="L403" s="2"/>
      <c r="M403" s="23"/>
      <c r="N403" s="31"/>
      <c r="O403" s="23"/>
      <c r="P403" s="30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</row>
    <row r="404" spans="1:28" x14ac:dyDescent="0.25">
      <c r="A404" s="2"/>
      <c r="B404" s="2"/>
      <c r="C404" s="2"/>
      <c r="D404" s="22"/>
      <c r="E404" s="2"/>
      <c r="F404" s="2"/>
      <c r="G404" s="2"/>
      <c r="H404" s="2"/>
      <c r="I404" s="2"/>
      <c r="J404" s="2"/>
      <c r="K404" s="2"/>
      <c r="L404" s="2"/>
      <c r="M404" s="23"/>
      <c r="N404" s="31"/>
      <c r="O404" s="23"/>
      <c r="P404" s="30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</row>
    <row r="405" spans="1:28" x14ac:dyDescent="0.25">
      <c r="A405" s="2"/>
      <c r="B405" s="2"/>
      <c r="C405" s="2"/>
      <c r="D405" s="22"/>
      <c r="E405" s="2"/>
      <c r="F405" s="2"/>
      <c r="G405" s="2"/>
      <c r="H405" s="2"/>
      <c r="I405" s="2"/>
      <c r="J405" s="2"/>
      <c r="K405" s="2"/>
      <c r="L405" s="2"/>
      <c r="M405" s="23"/>
      <c r="N405" s="31"/>
      <c r="O405" s="23"/>
      <c r="P405" s="30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</row>
    <row r="406" spans="1:28" x14ac:dyDescent="0.25">
      <c r="A406" s="2"/>
      <c r="B406" s="2"/>
      <c r="C406" s="2"/>
      <c r="D406" s="22"/>
      <c r="E406" s="2"/>
      <c r="F406" s="2"/>
      <c r="G406" s="2"/>
      <c r="H406" s="2"/>
      <c r="I406" s="2"/>
      <c r="J406" s="2"/>
      <c r="K406" s="2"/>
      <c r="L406" s="2"/>
      <c r="M406" s="23"/>
      <c r="N406" s="31"/>
      <c r="O406" s="23"/>
      <c r="P406" s="30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</row>
    <row r="407" spans="1:28" x14ac:dyDescent="0.25">
      <c r="A407" s="2"/>
      <c r="B407" s="2"/>
      <c r="C407" s="2"/>
      <c r="D407" s="22"/>
      <c r="E407" s="2"/>
      <c r="F407" s="2"/>
      <c r="G407" s="2"/>
      <c r="H407" s="2"/>
      <c r="I407" s="2"/>
      <c r="J407" s="2"/>
      <c r="K407" s="2"/>
      <c r="L407" s="2"/>
      <c r="M407" s="23"/>
      <c r="N407" s="31"/>
      <c r="O407" s="23"/>
      <c r="P407" s="30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</row>
    <row r="408" spans="1:28" x14ac:dyDescent="0.25">
      <c r="A408" s="2"/>
      <c r="B408" s="2"/>
      <c r="C408" s="2"/>
      <c r="D408" s="22"/>
      <c r="E408" s="2"/>
      <c r="F408" s="2"/>
      <c r="G408" s="2"/>
      <c r="H408" s="2"/>
      <c r="I408" s="2"/>
      <c r="J408" s="2"/>
      <c r="K408" s="2"/>
      <c r="L408" s="2"/>
      <c r="M408" s="23"/>
      <c r="N408" s="31"/>
      <c r="O408" s="23"/>
      <c r="P408" s="30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</row>
    <row r="409" spans="1:28" x14ac:dyDescent="0.25">
      <c r="A409" s="2"/>
      <c r="B409" s="2"/>
      <c r="C409" s="2"/>
      <c r="D409" s="22"/>
      <c r="E409" s="2"/>
      <c r="F409" s="2"/>
      <c r="G409" s="2"/>
      <c r="H409" s="2"/>
      <c r="I409" s="2"/>
      <c r="J409" s="2"/>
      <c r="K409" s="2"/>
      <c r="L409" s="2"/>
      <c r="M409" s="23"/>
      <c r="N409" s="31"/>
      <c r="O409" s="23"/>
      <c r="P409" s="30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</row>
    <row r="410" spans="1:28" x14ac:dyDescent="0.25">
      <c r="A410" s="2"/>
      <c r="B410" s="2"/>
      <c r="C410" s="2"/>
      <c r="D410" s="22"/>
      <c r="E410" s="2"/>
      <c r="F410" s="2"/>
      <c r="G410" s="2"/>
      <c r="H410" s="2"/>
      <c r="I410" s="2"/>
      <c r="J410" s="2"/>
      <c r="K410" s="2"/>
      <c r="L410" s="2"/>
      <c r="M410" s="23"/>
      <c r="N410" s="31"/>
      <c r="O410" s="23"/>
      <c r="P410" s="30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</row>
    <row r="411" spans="1:28" x14ac:dyDescent="0.25">
      <c r="A411" s="2"/>
      <c r="B411" s="2"/>
      <c r="C411" s="2"/>
      <c r="D411" s="22"/>
      <c r="E411" s="2"/>
      <c r="F411" s="2"/>
      <c r="G411" s="2"/>
      <c r="H411" s="2"/>
      <c r="I411" s="2"/>
      <c r="J411" s="2"/>
      <c r="K411" s="2"/>
      <c r="L411" s="2"/>
      <c r="M411" s="23"/>
      <c r="N411" s="31"/>
      <c r="O411" s="23"/>
      <c r="P411" s="30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</row>
    <row r="412" spans="1:28" x14ac:dyDescent="0.25">
      <c r="A412" s="2"/>
      <c r="B412" s="2"/>
      <c r="C412" s="2"/>
      <c r="D412" s="22"/>
      <c r="E412" s="2"/>
      <c r="F412" s="2"/>
      <c r="G412" s="2"/>
      <c r="H412" s="2"/>
      <c r="I412" s="2"/>
      <c r="J412" s="2"/>
      <c r="K412" s="2"/>
      <c r="L412" s="2"/>
      <c r="M412" s="23"/>
      <c r="N412" s="31"/>
      <c r="O412" s="23"/>
      <c r="P412" s="30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</row>
    <row r="413" spans="1:28" x14ac:dyDescent="0.25">
      <c r="A413" s="2"/>
      <c r="B413" s="2"/>
      <c r="C413" s="2"/>
      <c r="D413" s="22"/>
      <c r="E413" s="2"/>
      <c r="F413" s="2"/>
      <c r="G413" s="2"/>
      <c r="H413" s="2"/>
      <c r="I413" s="2"/>
      <c r="J413" s="2"/>
      <c r="K413" s="2"/>
      <c r="L413" s="2"/>
      <c r="M413" s="23"/>
      <c r="N413" s="31"/>
      <c r="O413" s="23"/>
      <c r="P413" s="30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</row>
    <row r="414" spans="1:28" x14ac:dyDescent="0.25">
      <c r="A414" s="2"/>
      <c r="B414" s="2"/>
      <c r="C414" s="2"/>
      <c r="D414" s="22"/>
      <c r="E414" s="2"/>
      <c r="F414" s="2"/>
      <c r="G414" s="2"/>
      <c r="H414" s="2"/>
      <c r="I414" s="2"/>
      <c r="J414" s="2"/>
      <c r="K414" s="2"/>
      <c r="L414" s="2"/>
      <c r="M414" s="23"/>
      <c r="N414" s="31"/>
      <c r="O414" s="23"/>
      <c r="P414" s="30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</row>
    <row r="415" spans="1:28" x14ac:dyDescent="0.25">
      <c r="A415" s="2"/>
      <c r="B415" s="2"/>
      <c r="C415" s="2"/>
      <c r="D415" s="22"/>
      <c r="E415" s="2"/>
      <c r="F415" s="2"/>
      <c r="G415" s="2"/>
      <c r="H415" s="2"/>
      <c r="I415" s="2"/>
      <c r="J415" s="2"/>
      <c r="K415" s="2"/>
      <c r="L415" s="2"/>
      <c r="M415" s="23"/>
      <c r="N415" s="31"/>
      <c r="O415" s="23"/>
      <c r="P415" s="30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</row>
    <row r="416" spans="1:28" x14ac:dyDescent="0.25">
      <c r="A416" s="2"/>
      <c r="B416" s="2"/>
      <c r="C416" s="2"/>
      <c r="D416" s="22"/>
      <c r="E416" s="2"/>
      <c r="F416" s="2"/>
      <c r="G416" s="2"/>
      <c r="H416" s="2"/>
      <c r="I416" s="2"/>
      <c r="J416" s="2"/>
      <c r="K416" s="2"/>
      <c r="L416" s="2"/>
      <c r="M416" s="23"/>
      <c r="N416" s="31"/>
      <c r="O416" s="23"/>
      <c r="P416" s="30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</row>
    <row r="417" spans="1:28" x14ac:dyDescent="0.25">
      <c r="A417" s="2"/>
      <c r="B417" s="2"/>
      <c r="C417" s="2"/>
      <c r="D417" s="22"/>
      <c r="E417" s="2"/>
      <c r="F417" s="2"/>
      <c r="G417" s="2"/>
      <c r="H417" s="2"/>
      <c r="I417" s="2"/>
      <c r="J417" s="2"/>
      <c r="K417" s="2"/>
      <c r="L417" s="2"/>
      <c r="M417" s="23"/>
      <c r="N417" s="31"/>
      <c r="O417" s="23"/>
      <c r="P417" s="30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</row>
    <row r="418" spans="1:28" x14ac:dyDescent="0.25">
      <c r="A418" s="2"/>
      <c r="B418" s="2"/>
      <c r="C418" s="2"/>
      <c r="D418" s="22"/>
      <c r="E418" s="2"/>
      <c r="F418" s="2"/>
      <c r="G418" s="2"/>
      <c r="H418" s="2"/>
      <c r="I418" s="2"/>
      <c r="J418" s="2"/>
      <c r="K418" s="2"/>
      <c r="L418" s="2"/>
      <c r="M418" s="23"/>
      <c r="N418" s="31"/>
      <c r="O418" s="23"/>
      <c r="P418" s="30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</row>
    <row r="419" spans="1:28" x14ac:dyDescent="0.25">
      <c r="A419" s="2"/>
      <c r="B419" s="2"/>
      <c r="C419" s="2"/>
      <c r="D419" s="22"/>
      <c r="E419" s="2"/>
      <c r="F419" s="2"/>
      <c r="G419" s="2"/>
      <c r="H419" s="2"/>
      <c r="I419" s="2"/>
      <c r="J419" s="2"/>
      <c r="K419" s="2"/>
      <c r="L419" s="2"/>
      <c r="M419" s="23"/>
      <c r="N419" s="31"/>
      <c r="O419" s="23"/>
      <c r="P419" s="30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</row>
    <row r="420" spans="1:28" x14ac:dyDescent="0.25">
      <c r="A420" s="2"/>
      <c r="B420" s="2"/>
      <c r="C420" s="2"/>
      <c r="D420" s="22"/>
      <c r="E420" s="2"/>
      <c r="F420" s="2"/>
      <c r="G420" s="2"/>
      <c r="H420" s="2"/>
      <c r="I420" s="2"/>
      <c r="J420" s="2"/>
      <c r="K420" s="2"/>
      <c r="L420" s="2"/>
      <c r="M420" s="23"/>
      <c r="N420" s="31"/>
      <c r="O420" s="23"/>
      <c r="P420" s="30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</row>
    <row r="421" spans="1:28" x14ac:dyDescent="0.25">
      <c r="A421" s="2"/>
      <c r="B421" s="2"/>
      <c r="C421" s="2"/>
      <c r="D421" s="22"/>
      <c r="E421" s="2"/>
      <c r="F421" s="2"/>
      <c r="G421" s="2"/>
      <c r="H421" s="2"/>
      <c r="I421" s="2"/>
      <c r="J421" s="2"/>
      <c r="K421" s="2"/>
      <c r="L421" s="2"/>
      <c r="M421" s="23"/>
      <c r="N421" s="31"/>
      <c r="O421" s="23"/>
      <c r="P421" s="30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</row>
    <row r="422" spans="1:28" x14ac:dyDescent="0.25">
      <c r="A422" s="2"/>
      <c r="B422" s="2"/>
      <c r="C422" s="2"/>
      <c r="D422" s="22"/>
      <c r="E422" s="2"/>
      <c r="F422" s="2"/>
      <c r="G422" s="2"/>
      <c r="H422" s="2"/>
      <c r="I422" s="2"/>
      <c r="J422" s="2"/>
      <c r="K422" s="2"/>
      <c r="L422" s="2"/>
      <c r="M422" s="23"/>
      <c r="N422" s="31"/>
      <c r="O422" s="23"/>
      <c r="P422" s="30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</row>
    <row r="423" spans="1:28" x14ac:dyDescent="0.25">
      <c r="A423" s="2"/>
      <c r="B423" s="2"/>
      <c r="C423" s="2"/>
      <c r="D423" s="22"/>
      <c r="E423" s="2"/>
      <c r="F423" s="2"/>
      <c r="G423" s="2"/>
      <c r="H423" s="2"/>
      <c r="I423" s="2"/>
      <c r="J423" s="2"/>
      <c r="K423" s="2"/>
      <c r="L423" s="2"/>
      <c r="M423" s="23"/>
      <c r="N423" s="31"/>
      <c r="O423" s="23"/>
      <c r="P423" s="30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</row>
    <row r="424" spans="1:28" x14ac:dyDescent="0.25">
      <c r="A424" s="2"/>
      <c r="B424" s="2"/>
      <c r="C424" s="2"/>
      <c r="D424" s="22"/>
      <c r="E424" s="2"/>
      <c r="F424" s="2"/>
      <c r="G424" s="2"/>
      <c r="H424" s="2"/>
      <c r="I424" s="2"/>
      <c r="J424" s="2"/>
      <c r="K424" s="2"/>
      <c r="L424" s="2"/>
      <c r="M424" s="23"/>
      <c r="N424" s="31"/>
      <c r="O424" s="23"/>
      <c r="P424" s="30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</row>
    <row r="425" spans="1:28" x14ac:dyDescent="0.25">
      <c r="A425" s="2"/>
      <c r="B425" s="2"/>
      <c r="C425" s="2"/>
      <c r="D425" s="22"/>
      <c r="E425" s="2"/>
      <c r="F425" s="2"/>
      <c r="G425" s="2"/>
      <c r="H425" s="2"/>
      <c r="I425" s="2"/>
      <c r="J425" s="2"/>
      <c r="K425" s="2"/>
      <c r="L425" s="2"/>
      <c r="M425" s="23"/>
      <c r="N425" s="31"/>
      <c r="O425" s="23"/>
      <c r="P425" s="30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</row>
    <row r="426" spans="1:28" x14ac:dyDescent="0.25">
      <c r="A426" s="2"/>
      <c r="B426" s="2"/>
      <c r="C426" s="2"/>
      <c r="D426" s="22"/>
      <c r="E426" s="2"/>
      <c r="F426" s="2"/>
      <c r="G426" s="2"/>
      <c r="H426" s="2"/>
      <c r="I426" s="2"/>
      <c r="J426" s="2"/>
      <c r="K426" s="2"/>
      <c r="L426" s="2"/>
      <c r="M426" s="23"/>
      <c r="N426" s="31"/>
      <c r="O426" s="23"/>
      <c r="P426" s="30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</row>
    <row r="427" spans="1:28" x14ac:dyDescent="0.25">
      <c r="A427" s="2"/>
      <c r="B427" s="2"/>
      <c r="C427" s="2"/>
      <c r="D427" s="22"/>
      <c r="E427" s="2"/>
      <c r="F427" s="2"/>
      <c r="G427" s="2"/>
      <c r="H427" s="2"/>
      <c r="I427" s="2"/>
      <c r="J427" s="2"/>
      <c r="K427" s="2"/>
      <c r="L427" s="2"/>
      <c r="M427" s="23"/>
      <c r="N427" s="31"/>
      <c r="O427" s="23"/>
      <c r="P427" s="30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</row>
    <row r="428" spans="1:28" x14ac:dyDescent="0.25">
      <c r="A428" s="2"/>
      <c r="B428" s="2"/>
      <c r="C428" s="2"/>
      <c r="D428" s="22"/>
      <c r="E428" s="2"/>
      <c r="F428" s="2"/>
      <c r="G428" s="2"/>
      <c r="H428" s="2"/>
      <c r="I428" s="2"/>
      <c r="J428" s="2"/>
      <c r="K428" s="2"/>
      <c r="L428" s="2"/>
      <c r="M428" s="23"/>
      <c r="N428" s="31"/>
      <c r="O428" s="23"/>
      <c r="P428" s="30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</row>
    <row r="429" spans="1:28" x14ac:dyDescent="0.25">
      <c r="A429" s="2"/>
      <c r="B429" s="2"/>
      <c r="C429" s="2"/>
      <c r="D429" s="22"/>
      <c r="E429" s="2"/>
      <c r="F429" s="2"/>
      <c r="G429" s="2"/>
      <c r="H429" s="2"/>
      <c r="I429" s="2"/>
      <c r="J429" s="2"/>
      <c r="K429" s="2"/>
      <c r="L429" s="2"/>
      <c r="M429" s="23"/>
      <c r="N429" s="31"/>
      <c r="O429" s="23"/>
      <c r="P429" s="30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</row>
    <row r="430" spans="1:28" x14ac:dyDescent="0.25">
      <c r="A430" s="2"/>
      <c r="B430" s="2"/>
      <c r="C430" s="2"/>
      <c r="D430" s="22"/>
      <c r="E430" s="2"/>
      <c r="F430" s="2"/>
      <c r="G430" s="2"/>
      <c r="H430" s="2"/>
      <c r="I430" s="2"/>
      <c r="J430" s="2"/>
      <c r="K430" s="2"/>
      <c r="L430" s="2"/>
      <c r="M430" s="23"/>
      <c r="N430" s="31"/>
      <c r="O430" s="23"/>
      <c r="P430" s="30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</row>
    <row r="431" spans="1:28" x14ac:dyDescent="0.25">
      <c r="A431" s="2"/>
      <c r="B431" s="2"/>
      <c r="C431" s="2"/>
      <c r="D431" s="22"/>
      <c r="E431" s="2"/>
      <c r="F431" s="2"/>
      <c r="G431" s="2"/>
      <c r="H431" s="2"/>
      <c r="I431" s="2"/>
      <c r="J431" s="2"/>
      <c r="K431" s="2"/>
      <c r="L431" s="2"/>
      <c r="M431" s="23"/>
      <c r="N431" s="31"/>
      <c r="O431" s="23"/>
      <c r="P431" s="30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</row>
    <row r="432" spans="1:28" x14ac:dyDescent="0.25">
      <c r="A432" s="2"/>
      <c r="B432" s="2"/>
      <c r="C432" s="2"/>
      <c r="D432" s="22"/>
      <c r="E432" s="2"/>
      <c r="F432" s="2"/>
      <c r="G432" s="2"/>
      <c r="H432" s="2"/>
      <c r="I432" s="2"/>
      <c r="J432" s="2"/>
      <c r="K432" s="2"/>
      <c r="L432" s="2"/>
      <c r="M432" s="23"/>
      <c r="N432" s="31"/>
      <c r="O432" s="23"/>
      <c r="P432" s="30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</row>
    <row r="433" spans="1:28" x14ac:dyDescent="0.25">
      <c r="A433" s="2"/>
      <c r="B433" s="2"/>
      <c r="C433" s="2"/>
      <c r="D433" s="22"/>
      <c r="E433" s="2"/>
      <c r="F433" s="2"/>
      <c r="G433" s="2"/>
      <c r="H433" s="2"/>
      <c r="I433" s="2"/>
      <c r="J433" s="2"/>
      <c r="K433" s="2"/>
      <c r="L433" s="2"/>
      <c r="M433" s="23"/>
      <c r="N433" s="31"/>
      <c r="O433" s="23"/>
      <c r="P433" s="30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</row>
    <row r="434" spans="1:28" x14ac:dyDescent="0.25">
      <c r="A434" s="2"/>
      <c r="B434" s="2"/>
      <c r="C434" s="2"/>
      <c r="D434" s="22"/>
      <c r="E434" s="2"/>
      <c r="F434" s="2"/>
      <c r="G434" s="2"/>
      <c r="H434" s="2"/>
      <c r="I434" s="2"/>
      <c r="J434" s="2"/>
      <c r="K434" s="2"/>
      <c r="L434" s="2"/>
      <c r="M434" s="23"/>
      <c r="N434" s="31"/>
      <c r="O434" s="23"/>
      <c r="P434" s="30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</row>
    <row r="435" spans="1:28" x14ac:dyDescent="0.25">
      <c r="A435" s="2"/>
      <c r="B435" s="2"/>
      <c r="C435" s="2"/>
      <c r="D435" s="22"/>
      <c r="E435" s="2"/>
      <c r="F435" s="2"/>
      <c r="G435" s="2"/>
      <c r="H435" s="2"/>
      <c r="I435" s="2"/>
      <c r="J435" s="2"/>
      <c r="K435" s="2"/>
      <c r="L435" s="2"/>
      <c r="M435" s="23"/>
      <c r="N435" s="31"/>
      <c r="O435" s="23"/>
      <c r="P435" s="30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</row>
    <row r="436" spans="1:28" x14ac:dyDescent="0.25">
      <c r="A436" s="2"/>
      <c r="B436" s="2"/>
      <c r="C436" s="2"/>
      <c r="D436" s="22"/>
      <c r="E436" s="2"/>
      <c r="F436" s="2"/>
      <c r="G436" s="2"/>
      <c r="H436" s="2"/>
      <c r="I436" s="2"/>
      <c r="J436" s="2"/>
      <c r="K436" s="2"/>
      <c r="L436" s="2"/>
      <c r="M436" s="23"/>
      <c r="N436" s="31"/>
      <c r="O436" s="23"/>
      <c r="P436" s="30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</row>
    <row r="437" spans="1:28" x14ac:dyDescent="0.25">
      <c r="A437" s="2"/>
      <c r="B437" s="2"/>
      <c r="C437" s="2"/>
      <c r="D437" s="22"/>
      <c r="E437" s="2"/>
      <c r="F437" s="2"/>
      <c r="G437" s="2"/>
      <c r="H437" s="2"/>
      <c r="I437" s="2"/>
      <c r="J437" s="2"/>
      <c r="K437" s="2"/>
      <c r="L437" s="2"/>
      <c r="M437" s="23"/>
      <c r="N437" s="31"/>
      <c r="O437" s="23"/>
      <c r="P437" s="30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</row>
    <row r="438" spans="1:28" x14ac:dyDescent="0.25">
      <c r="A438" s="2"/>
      <c r="B438" s="2"/>
      <c r="C438" s="2"/>
      <c r="D438" s="22"/>
      <c r="E438" s="2"/>
      <c r="F438" s="2"/>
      <c r="G438" s="2"/>
      <c r="H438" s="2"/>
      <c r="I438" s="2"/>
      <c r="J438" s="2"/>
      <c r="K438" s="2"/>
      <c r="L438" s="2"/>
      <c r="M438" s="23"/>
      <c r="N438" s="31"/>
      <c r="O438" s="23"/>
      <c r="P438" s="30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</row>
    <row r="439" spans="1:28" x14ac:dyDescent="0.25">
      <c r="A439" s="2"/>
      <c r="B439" s="2"/>
      <c r="C439" s="2"/>
      <c r="D439" s="22"/>
      <c r="E439" s="2"/>
      <c r="F439" s="2"/>
      <c r="G439" s="2"/>
      <c r="H439" s="2"/>
      <c r="I439" s="2"/>
      <c r="J439" s="2"/>
      <c r="K439" s="2"/>
      <c r="L439" s="2"/>
      <c r="M439" s="23"/>
      <c r="N439" s="31"/>
      <c r="O439" s="23"/>
      <c r="P439" s="30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</row>
    <row r="440" spans="1:28" x14ac:dyDescent="0.25">
      <c r="A440" s="2"/>
      <c r="B440" s="2"/>
      <c r="C440" s="2"/>
      <c r="D440" s="22"/>
      <c r="E440" s="2"/>
      <c r="F440" s="2"/>
      <c r="G440" s="2"/>
      <c r="H440" s="2"/>
      <c r="I440" s="2"/>
      <c r="J440" s="2"/>
      <c r="K440" s="2"/>
      <c r="L440" s="2"/>
      <c r="M440" s="23"/>
      <c r="N440" s="31"/>
      <c r="O440" s="23"/>
      <c r="P440" s="30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</row>
    <row r="441" spans="1:28" x14ac:dyDescent="0.25">
      <c r="A441" s="2"/>
      <c r="B441" s="2"/>
      <c r="C441" s="2"/>
      <c r="D441" s="22"/>
      <c r="E441" s="2"/>
      <c r="F441" s="2"/>
      <c r="G441" s="2"/>
      <c r="H441" s="2"/>
      <c r="I441" s="2"/>
      <c r="J441" s="2"/>
      <c r="K441" s="2"/>
      <c r="L441" s="2"/>
      <c r="M441" s="23"/>
      <c r="N441" s="31"/>
      <c r="O441" s="23"/>
      <c r="P441" s="30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</row>
    <row r="442" spans="1:28" x14ac:dyDescent="0.25">
      <c r="A442" s="2"/>
      <c r="B442" s="2"/>
      <c r="C442" s="2"/>
      <c r="D442" s="22"/>
      <c r="E442" s="2"/>
      <c r="F442" s="2"/>
      <c r="G442" s="2"/>
      <c r="H442" s="2"/>
      <c r="I442" s="2"/>
      <c r="J442" s="2"/>
      <c r="K442" s="2"/>
      <c r="L442" s="2"/>
      <c r="M442" s="23"/>
      <c r="N442" s="31"/>
      <c r="O442" s="23"/>
      <c r="P442" s="30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</row>
    <row r="443" spans="1:28" x14ac:dyDescent="0.25">
      <c r="A443" s="2"/>
      <c r="B443" s="2"/>
      <c r="C443" s="2"/>
      <c r="D443" s="22"/>
      <c r="E443" s="2"/>
      <c r="F443" s="2"/>
      <c r="G443" s="2"/>
      <c r="H443" s="2"/>
      <c r="I443" s="2"/>
      <c r="J443" s="2"/>
      <c r="K443" s="2"/>
      <c r="L443" s="2"/>
      <c r="M443" s="23"/>
      <c r="N443" s="31"/>
      <c r="O443" s="23"/>
      <c r="P443" s="30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</row>
    <row r="444" spans="1:28" x14ac:dyDescent="0.25">
      <c r="A444" s="2"/>
      <c r="B444" s="2"/>
      <c r="C444" s="2"/>
      <c r="D444" s="22"/>
      <c r="E444" s="2"/>
      <c r="F444" s="2"/>
      <c r="G444" s="2"/>
      <c r="H444" s="2"/>
      <c r="I444" s="2"/>
      <c r="J444" s="2"/>
      <c r="K444" s="2"/>
      <c r="L444" s="2"/>
      <c r="M444" s="23"/>
      <c r="N444" s="31"/>
      <c r="O444" s="23"/>
      <c r="P444" s="30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</row>
    <row r="445" spans="1:28" x14ac:dyDescent="0.25">
      <c r="A445" s="2"/>
      <c r="B445" s="2"/>
      <c r="C445" s="2"/>
      <c r="D445" s="22"/>
      <c r="E445" s="2"/>
      <c r="F445" s="2"/>
      <c r="G445" s="2"/>
      <c r="H445" s="2"/>
      <c r="I445" s="2"/>
      <c r="J445" s="2"/>
      <c r="K445" s="2"/>
      <c r="L445" s="2"/>
      <c r="M445" s="23"/>
      <c r="N445" s="31"/>
      <c r="O445" s="23"/>
      <c r="P445" s="30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</row>
    <row r="446" spans="1:28" x14ac:dyDescent="0.25">
      <c r="A446" s="2"/>
      <c r="B446" s="2"/>
      <c r="C446" s="2"/>
      <c r="D446" s="22"/>
      <c r="E446" s="2"/>
      <c r="F446" s="2"/>
      <c r="G446" s="2"/>
      <c r="H446" s="2"/>
      <c r="I446" s="2"/>
      <c r="J446" s="2"/>
      <c r="K446" s="2"/>
      <c r="L446" s="2"/>
      <c r="M446" s="23"/>
      <c r="N446" s="31"/>
      <c r="O446" s="23"/>
      <c r="P446" s="30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</row>
    <row r="447" spans="1:28" x14ac:dyDescent="0.25">
      <c r="A447" s="2"/>
      <c r="B447" s="2"/>
      <c r="C447" s="2"/>
      <c r="D447" s="22"/>
      <c r="E447" s="2"/>
      <c r="F447" s="2"/>
      <c r="G447" s="2"/>
      <c r="H447" s="2"/>
      <c r="I447" s="2"/>
      <c r="J447" s="2"/>
      <c r="K447" s="2"/>
      <c r="L447" s="2"/>
      <c r="M447" s="23"/>
      <c r="N447" s="31"/>
      <c r="O447" s="23"/>
      <c r="P447" s="30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</row>
    <row r="448" spans="1:28" x14ac:dyDescent="0.25">
      <c r="A448" s="2"/>
      <c r="B448" s="2"/>
      <c r="C448" s="2"/>
      <c r="D448" s="22"/>
      <c r="E448" s="2"/>
      <c r="F448" s="2"/>
      <c r="G448" s="2"/>
      <c r="H448" s="2"/>
      <c r="I448" s="2"/>
      <c r="J448" s="2"/>
      <c r="K448" s="2"/>
      <c r="L448" s="2"/>
      <c r="M448" s="23"/>
      <c r="N448" s="31"/>
      <c r="O448" s="23"/>
      <c r="P448" s="30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</row>
    <row r="449" spans="1:28" x14ac:dyDescent="0.25">
      <c r="A449" s="2"/>
      <c r="B449" s="2"/>
      <c r="C449" s="2"/>
      <c r="D449" s="22"/>
      <c r="E449" s="2"/>
      <c r="F449" s="2"/>
      <c r="G449" s="2"/>
      <c r="H449" s="2"/>
      <c r="I449" s="2"/>
      <c r="J449" s="2"/>
      <c r="K449" s="2"/>
      <c r="L449" s="2"/>
      <c r="M449" s="23"/>
      <c r="N449" s="31"/>
      <c r="O449" s="23"/>
      <c r="P449" s="30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</row>
    <row r="450" spans="1:28" x14ac:dyDescent="0.25">
      <c r="A450" s="2"/>
      <c r="B450" s="2"/>
      <c r="C450" s="2"/>
      <c r="D450" s="22"/>
      <c r="E450" s="2"/>
      <c r="F450" s="2"/>
      <c r="G450" s="2"/>
      <c r="H450" s="2"/>
      <c r="I450" s="2"/>
      <c r="J450" s="2"/>
      <c r="K450" s="2"/>
      <c r="L450" s="2"/>
      <c r="M450" s="23"/>
      <c r="N450" s="31"/>
      <c r="O450" s="23"/>
      <c r="P450" s="30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</row>
    <row r="451" spans="1:28" x14ac:dyDescent="0.25">
      <c r="A451" s="2"/>
      <c r="B451" s="2"/>
      <c r="C451" s="2"/>
      <c r="D451" s="22"/>
      <c r="E451" s="2"/>
      <c r="F451" s="2"/>
      <c r="G451" s="2"/>
      <c r="H451" s="2"/>
      <c r="I451" s="2"/>
      <c r="J451" s="2"/>
      <c r="K451" s="2"/>
      <c r="L451" s="2"/>
      <c r="M451" s="23"/>
      <c r="N451" s="31"/>
      <c r="O451" s="23"/>
      <c r="P451" s="30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</row>
    <row r="452" spans="1:28" x14ac:dyDescent="0.25">
      <c r="A452" s="2"/>
      <c r="B452" s="2"/>
      <c r="C452" s="2"/>
      <c r="D452" s="22"/>
      <c r="E452" s="2"/>
      <c r="F452" s="2"/>
      <c r="G452" s="2"/>
      <c r="H452" s="2"/>
      <c r="I452" s="2"/>
      <c r="J452" s="2"/>
      <c r="K452" s="2"/>
      <c r="L452" s="2"/>
      <c r="M452" s="23"/>
      <c r="N452" s="31"/>
      <c r="O452" s="23"/>
      <c r="P452" s="30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</row>
    <row r="453" spans="1:28" x14ac:dyDescent="0.25">
      <c r="A453" s="2"/>
      <c r="B453" s="2"/>
      <c r="C453" s="2"/>
      <c r="D453" s="22"/>
      <c r="E453" s="2"/>
      <c r="F453" s="2"/>
      <c r="G453" s="2"/>
      <c r="H453" s="2"/>
      <c r="I453" s="2"/>
      <c r="J453" s="2"/>
      <c r="K453" s="2"/>
      <c r="L453" s="2"/>
      <c r="M453" s="23"/>
      <c r="N453" s="31"/>
      <c r="O453" s="23"/>
      <c r="P453" s="30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</row>
    <row r="454" spans="1:28" x14ac:dyDescent="0.25">
      <c r="A454" s="2"/>
      <c r="B454" s="2"/>
      <c r="C454" s="2"/>
      <c r="D454" s="22"/>
      <c r="E454" s="2"/>
      <c r="F454" s="2"/>
      <c r="G454" s="2"/>
      <c r="H454" s="2"/>
      <c r="I454" s="2"/>
      <c r="J454" s="2"/>
      <c r="K454" s="2"/>
      <c r="L454" s="2"/>
      <c r="M454" s="23"/>
      <c r="N454" s="31"/>
      <c r="O454" s="23"/>
      <c r="P454" s="30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</row>
    <row r="455" spans="1:28" x14ac:dyDescent="0.25">
      <c r="A455" s="2"/>
      <c r="B455" s="2"/>
      <c r="C455" s="2"/>
      <c r="D455" s="22"/>
      <c r="E455" s="2"/>
      <c r="F455" s="2"/>
      <c r="G455" s="2"/>
      <c r="H455" s="2"/>
      <c r="I455" s="2"/>
      <c r="J455" s="2"/>
      <c r="K455" s="2"/>
      <c r="L455" s="2"/>
      <c r="M455" s="23"/>
      <c r="N455" s="31"/>
      <c r="O455" s="23"/>
      <c r="P455" s="30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</row>
    <row r="456" spans="1:28" x14ac:dyDescent="0.25">
      <c r="A456" s="2"/>
      <c r="B456" s="2"/>
      <c r="C456" s="2"/>
      <c r="D456" s="22"/>
      <c r="E456" s="2"/>
      <c r="F456" s="2"/>
      <c r="G456" s="2"/>
      <c r="H456" s="2"/>
      <c r="I456" s="2"/>
      <c r="J456" s="2"/>
      <c r="K456" s="2"/>
      <c r="L456" s="2"/>
      <c r="M456" s="23"/>
      <c r="N456" s="31"/>
      <c r="O456" s="23"/>
      <c r="P456" s="30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</row>
    <row r="457" spans="1:28" x14ac:dyDescent="0.25">
      <c r="A457" s="2"/>
      <c r="B457" s="2"/>
      <c r="C457" s="2"/>
      <c r="D457" s="22"/>
      <c r="E457" s="2"/>
      <c r="F457" s="2"/>
      <c r="G457" s="2"/>
      <c r="H457" s="2"/>
      <c r="I457" s="2"/>
      <c r="J457" s="2"/>
      <c r="K457" s="2"/>
      <c r="L457" s="2"/>
      <c r="M457" s="23"/>
      <c r="N457" s="31"/>
      <c r="O457" s="23"/>
      <c r="P457" s="30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</row>
    <row r="458" spans="1:28" x14ac:dyDescent="0.25">
      <c r="A458" s="2"/>
      <c r="B458" s="2"/>
      <c r="C458" s="2"/>
      <c r="D458" s="22"/>
      <c r="E458" s="2"/>
      <c r="F458" s="2"/>
      <c r="G458" s="2"/>
      <c r="H458" s="2"/>
      <c r="I458" s="2"/>
      <c r="J458" s="2"/>
      <c r="K458" s="2"/>
      <c r="L458" s="2"/>
      <c r="M458" s="23"/>
      <c r="N458" s="31"/>
      <c r="O458" s="23"/>
      <c r="P458" s="30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</row>
    <row r="459" spans="1:28" x14ac:dyDescent="0.25">
      <c r="A459" s="2"/>
      <c r="B459" s="2"/>
      <c r="C459" s="2"/>
      <c r="D459" s="22"/>
      <c r="E459" s="2"/>
      <c r="F459" s="2"/>
      <c r="G459" s="2"/>
      <c r="H459" s="2"/>
      <c r="I459" s="2"/>
      <c r="J459" s="2"/>
      <c r="K459" s="2"/>
      <c r="L459" s="2"/>
      <c r="M459" s="23"/>
      <c r="N459" s="31"/>
      <c r="O459" s="23"/>
      <c r="P459" s="30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</row>
    <row r="460" spans="1:28" x14ac:dyDescent="0.25">
      <c r="A460" s="2"/>
      <c r="B460" s="2"/>
      <c r="C460" s="2"/>
      <c r="D460" s="22"/>
      <c r="E460" s="2"/>
      <c r="F460" s="2"/>
      <c r="G460" s="2"/>
      <c r="H460" s="2"/>
      <c r="I460" s="2"/>
      <c r="J460" s="2"/>
      <c r="K460" s="2"/>
      <c r="L460" s="2"/>
      <c r="M460" s="23"/>
      <c r="N460" s="31"/>
      <c r="O460" s="23"/>
      <c r="P460" s="30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</row>
    <row r="461" spans="1:28" x14ac:dyDescent="0.25">
      <c r="A461" s="2"/>
      <c r="B461" s="2"/>
      <c r="C461" s="2"/>
      <c r="D461" s="22"/>
      <c r="E461" s="2"/>
      <c r="F461" s="2"/>
      <c r="G461" s="2"/>
      <c r="H461" s="2"/>
      <c r="I461" s="2"/>
      <c r="J461" s="2"/>
      <c r="K461" s="2"/>
      <c r="L461" s="2"/>
      <c r="M461" s="23"/>
      <c r="N461" s="31"/>
      <c r="O461" s="23"/>
      <c r="P461" s="30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</row>
    <row r="462" spans="1:28" x14ac:dyDescent="0.25">
      <c r="A462" s="2"/>
      <c r="B462" s="2"/>
      <c r="C462" s="2"/>
      <c r="D462" s="22"/>
      <c r="E462" s="2"/>
      <c r="F462" s="2"/>
      <c r="G462" s="2"/>
      <c r="H462" s="2"/>
      <c r="I462" s="2"/>
      <c r="J462" s="2"/>
      <c r="K462" s="2"/>
      <c r="L462" s="2"/>
      <c r="M462" s="23"/>
      <c r="N462" s="31"/>
      <c r="O462" s="23"/>
      <c r="P462" s="30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</row>
    <row r="463" spans="1:28" x14ac:dyDescent="0.25">
      <c r="A463" s="2"/>
      <c r="B463" s="2"/>
      <c r="C463" s="2"/>
      <c r="D463" s="22"/>
      <c r="E463" s="2"/>
      <c r="F463" s="2"/>
      <c r="G463" s="2"/>
      <c r="H463" s="2"/>
      <c r="I463" s="2"/>
      <c r="J463" s="2"/>
      <c r="K463" s="2"/>
      <c r="L463" s="2"/>
      <c r="M463" s="23"/>
      <c r="N463" s="31"/>
      <c r="O463" s="23"/>
      <c r="P463" s="30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</row>
    <row r="464" spans="1:28" x14ac:dyDescent="0.25">
      <c r="A464" s="2"/>
      <c r="B464" s="2"/>
      <c r="C464" s="2"/>
      <c r="D464" s="22"/>
      <c r="E464" s="2"/>
      <c r="F464" s="2"/>
      <c r="G464" s="2"/>
      <c r="H464" s="2"/>
      <c r="I464" s="2"/>
      <c r="J464" s="2"/>
      <c r="K464" s="2"/>
      <c r="L464" s="2"/>
      <c r="M464" s="23"/>
      <c r="N464" s="31"/>
      <c r="O464" s="23"/>
      <c r="P464" s="30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</row>
    <row r="465" spans="1:28" x14ac:dyDescent="0.25">
      <c r="A465" s="2"/>
      <c r="B465" s="2"/>
      <c r="C465" s="2"/>
      <c r="D465" s="22"/>
      <c r="E465" s="2"/>
      <c r="F465" s="2"/>
      <c r="G465" s="2"/>
      <c r="H465" s="2"/>
      <c r="I465" s="2"/>
      <c r="J465" s="2"/>
      <c r="K465" s="2"/>
      <c r="L465" s="2"/>
      <c r="M465" s="23"/>
      <c r="N465" s="31"/>
      <c r="O465" s="23"/>
      <c r="P465" s="30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</row>
    <row r="466" spans="1:28" x14ac:dyDescent="0.25">
      <c r="A466" s="2"/>
      <c r="B466" s="2"/>
      <c r="C466" s="2"/>
      <c r="D466" s="22"/>
      <c r="E466" s="2"/>
      <c r="F466" s="2"/>
      <c r="G466" s="2"/>
      <c r="H466" s="2"/>
      <c r="I466" s="2"/>
      <c r="J466" s="2"/>
      <c r="K466" s="2"/>
      <c r="L466" s="2"/>
      <c r="M466" s="23"/>
      <c r="N466" s="31"/>
      <c r="O466" s="23"/>
      <c r="P466" s="30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</row>
    <row r="467" spans="1:28" x14ac:dyDescent="0.25">
      <c r="A467" s="2"/>
      <c r="B467" s="2"/>
      <c r="C467" s="2"/>
      <c r="D467" s="22"/>
      <c r="E467" s="2"/>
      <c r="F467" s="2"/>
      <c r="G467" s="2"/>
      <c r="H467" s="2"/>
      <c r="I467" s="2"/>
      <c r="J467" s="2"/>
      <c r="K467" s="2"/>
      <c r="L467" s="2"/>
      <c r="M467" s="23"/>
      <c r="N467" s="31"/>
      <c r="O467" s="23"/>
      <c r="P467" s="30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</row>
    <row r="468" spans="1:28" x14ac:dyDescent="0.25">
      <c r="A468" s="2"/>
      <c r="B468" s="2"/>
      <c r="C468" s="2"/>
      <c r="D468" s="22"/>
      <c r="E468" s="2"/>
      <c r="F468" s="2"/>
      <c r="G468" s="2"/>
      <c r="H468" s="2"/>
      <c r="I468" s="2"/>
      <c r="J468" s="2"/>
      <c r="K468" s="2"/>
      <c r="L468" s="2"/>
      <c r="M468" s="23"/>
      <c r="N468" s="31"/>
      <c r="O468" s="23"/>
      <c r="P468" s="30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</row>
    <row r="469" spans="1:28" x14ac:dyDescent="0.25">
      <c r="A469" s="2"/>
      <c r="B469" s="2"/>
      <c r="C469" s="2"/>
      <c r="D469" s="22"/>
      <c r="E469" s="2"/>
      <c r="F469" s="2"/>
      <c r="G469" s="2"/>
      <c r="H469" s="2"/>
      <c r="I469" s="2"/>
      <c r="J469" s="2"/>
      <c r="K469" s="2"/>
      <c r="L469" s="2"/>
      <c r="M469" s="23"/>
      <c r="N469" s="31"/>
      <c r="O469" s="23"/>
      <c r="P469" s="30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</row>
    <row r="470" spans="1:28" x14ac:dyDescent="0.25">
      <c r="A470" s="2"/>
      <c r="B470" s="2"/>
      <c r="C470" s="2"/>
      <c r="D470" s="22"/>
      <c r="E470" s="2"/>
      <c r="F470" s="2"/>
      <c r="G470" s="2"/>
      <c r="H470" s="2"/>
      <c r="I470" s="2"/>
      <c r="J470" s="2"/>
      <c r="K470" s="2"/>
      <c r="L470" s="2"/>
      <c r="M470" s="23"/>
      <c r="N470" s="31"/>
      <c r="O470" s="23"/>
      <c r="P470" s="30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</row>
    <row r="471" spans="1:28" x14ac:dyDescent="0.25">
      <c r="A471" s="2"/>
      <c r="B471" s="2"/>
      <c r="C471" s="2"/>
      <c r="D471" s="22"/>
      <c r="E471" s="2"/>
      <c r="F471" s="2"/>
      <c r="G471" s="2"/>
      <c r="H471" s="2"/>
      <c r="I471" s="2"/>
      <c r="J471" s="2"/>
      <c r="K471" s="2"/>
      <c r="L471" s="2"/>
      <c r="M471" s="23"/>
      <c r="N471" s="31"/>
      <c r="O471" s="23"/>
      <c r="P471" s="30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</row>
    <row r="472" spans="1:28" x14ac:dyDescent="0.25">
      <c r="A472" s="2"/>
      <c r="B472" s="2"/>
      <c r="C472" s="2"/>
      <c r="D472" s="22"/>
      <c r="E472" s="2"/>
      <c r="F472" s="2"/>
      <c r="G472" s="2"/>
      <c r="H472" s="2"/>
      <c r="I472" s="2"/>
      <c r="J472" s="2"/>
      <c r="K472" s="2"/>
      <c r="L472" s="2"/>
      <c r="M472" s="23"/>
      <c r="N472" s="31"/>
      <c r="O472" s="23"/>
      <c r="P472" s="30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</row>
    <row r="473" spans="1:28" x14ac:dyDescent="0.25">
      <c r="A473" s="2"/>
      <c r="B473" s="2"/>
      <c r="C473" s="2"/>
      <c r="D473" s="22"/>
      <c r="E473" s="2"/>
      <c r="F473" s="2"/>
      <c r="G473" s="2"/>
      <c r="H473" s="2"/>
      <c r="I473" s="2"/>
      <c r="J473" s="2"/>
      <c r="K473" s="2"/>
      <c r="L473" s="2"/>
      <c r="M473" s="23"/>
      <c r="N473" s="31"/>
      <c r="O473" s="23"/>
      <c r="P473" s="30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</row>
    <row r="474" spans="1:28" x14ac:dyDescent="0.25">
      <c r="A474" s="2"/>
      <c r="B474" s="2"/>
      <c r="C474" s="2"/>
      <c r="D474" s="22"/>
      <c r="E474" s="2"/>
      <c r="F474" s="2"/>
      <c r="G474" s="2"/>
      <c r="H474" s="2"/>
      <c r="I474" s="2"/>
      <c r="J474" s="2"/>
      <c r="K474" s="2"/>
      <c r="L474" s="2"/>
      <c r="M474" s="23"/>
      <c r="N474" s="31"/>
      <c r="O474" s="23"/>
      <c r="P474" s="30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</row>
    <row r="475" spans="1:28" x14ac:dyDescent="0.25">
      <c r="A475" s="2"/>
      <c r="B475" s="2"/>
      <c r="C475" s="2"/>
      <c r="D475" s="22"/>
      <c r="E475" s="2"/>
      <c r="F475" s="2"/>
      <c r="G475" s="2"/>
      <c r="H475" s="2"/>
      <c r="I475" s="2"/>
      <c r="J475" s="2"/>
      <c r="K475" s="2"/>
      <c r="L475" s="2"/>
      <c r="M475" s="23"/>
      <c r="N475" s="31"/>
      <c r="O475" s="23"/>
      <c r="P475" s="30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</row>
    <row r="476" spans="1:28" x14ac:dyDescent="0.25">
      <c r="A476" s="2"/>
      <c r="B476" s="2"/>
      <c r="C476" s="2"/>
      <c r="D476" s="22"/>
      <c r="E476" s="2"/>
      <c r="F476" s="2"/>
      <c r="G476" s="2"/>
      <c r="H476" s="2"/>
      <c r="I476" s="2"/>
      <c r="J476" s="2"/>
      <c r="K476" s="2"/>
      <c r="L476" s="2"/>
      <c r="M476" s="23"/>
      <c r="N476" s="31"/>
      <c r="O476" s="23"/>
      <c r="P476" s="30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</row>
    <row r="477" spans="1:28" x14ac:dyDescent="0.25">
      <c r="A477" s="2"/>
      <c r="B477" s="2"/>
      <c r="C477" s="2"/>
      <c r="D477" s="22"/>
      <c r="E477" s="2"/>
      <c r="F477" s="2"/>
      <c r="G477" s="2"/>
      <c r="H477" s="2"/>
      <c r="I477" s="2"/>
      <c r="J477" s="2"/>
      <c r="K477" s="2"/>
      <c r="L477" s="2"/>
      <c r="M477" s="23"/>
      <c r="N477" s="31"/>
      <c r="O477" s="23"/>
      <c r="P477" s="30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</row>
    <row r="478" spans="1:28" x14ac:dyDescent="0.25">
      <c r="A478" s="2"/>
      <c r="B478" s="2"/>
      <c r="C478" s="2"/>
      <c r="D478" s="22"/>
      <c r="E478" s="2"/>
      <c r="F478" s="2"/>
      <c r="G478" s="2"/>
      <c r="H478" s="2"/>
      <c r="I478" s="2"/>
      <c r="J478" s="2"/>
      <c r="K478" s="2"/>
      <c r="L478" s="2"/>
      <c r="M478" s="23"/>
      <c r="N478" s="31"/>
      <c r="O478" s="23"/>
      <c r="P478" s="30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</row>
    <row r="479" spans="1:28" x14ac:dyDescent="0.25">
      <c r="A479" s="2"/>
      <c r="B479" s="2"/>
      <c r="C479" s="2"/>
      <c r="D479" s="22"/>
      <c r="E479" s="2"/>
      <c r="F479" s="2"/>
      <c r="G479" s="2"/>
      <c r="H479" s="2"/>
      <c r="I479" s="2"/>
      <c r="J479" s="2"/>
      <c r="K479" s="2"/>
      <c r="L479" s="2"/>
      <c r="M479" s="23"/>
      <c r="N479" s="31"/>
      <c r="O479" s="23"/>
      <c r="P479" s="30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</row>
    <row r="480" spans="1:28" x14ac:dyDescent="0.25">
      <c r="A480" s="2"/>
      <c r="B480" s="2"/>
      <c r="C480" s="2"/>
      <c r="D480" s="22"/>
      <c r="E480" s="2"/>
      <c r="F480" s="2"/>
      <c r="G480" s="2"/>
      <c r="H480" s="2"/>
      <c r="I480" s="2"/>
      <c r="J480" s="2"/>
      <c r="K480" s="2"/>
      <c r="L480" s="2"/>
      <c r="M480" s="23"/>
      <c r="N480" s="31"/>
      <c r="O480" s="23"/>
      <c r="P480" s="30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</row>
    <row r="481" spans="1:28" x14ac:dyDescent="0.25">
      <c r="A481" s="2"/>
      <c r="B481" s="2"/>
      <c r="C481" s="2"/>
      <c r="D481" s="22"/>
      <c r="E481" s="2"/>
      <c r="F481" s="2"/>
      <c r="G481" s="2"/>
      <c r="H481" s="2"/>
      <c r="I481" s="2"/>
      <c r="J481" s="2"/>
      <c r="K481" s="2"/>
      <c r="L481" s="2"/>
      <c r="M481" s="23"/>
      <c r="N481" s="31"/>
      <c r="O481" s="23"/>
      <c r="P481" s="30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</row>
    <row r="482" spans="1:28" x14ac:dyDescent="0.25">
      <c r="A482" s="2"/>
      <c r="B482" s="2"/>
      <c r="C482" s="2"/>
      <c r="D482" s="22"/>
      <c r="E482" s="2"/>
      <c r="F482" s="2"/>
      <c r="G482" s="2"/>
      <c r="H482" s="2"/>
      <c r="I482" s="2"/>
      <c r="J482" s="2"/>
      <c r="K482" s="2"/>
      <c r="L482" s="2"/>
      <c r="M482" s="23"/>
      <c r="N482" s="31"/>
      <c r="O482" s="23"/>
      <c r="P482" s="30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</row>
    <row r="483" spans="1:28" x14ac:dyDescent="0.25">
      <c r="A483" s="2"/>
      <c r="B483" s="2"/>
      <c r="C483" s="2"/>
      <c r="D483" s="22"/>
      <c r="E483" s="2"/>
      <c r="F483" s="2"/>
      <c r="G483" s="2"/>
      <c r="H483" s="2"/>
      <c r="I483" s="2"/>
      <c r="J483" s="2"/>
      <c r="K483" s="2"/>
      <c r="L483" s="2"/>
      <c r="M483" s="23"/>
      <c r="N483" s="31"/>
      <c r="O483" s="23"/>
      <c r="P483" s="30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</row>
    <row r="484" spans="1:28" x14ac:dyDescent="0.25">
      <c r="A484" s="2"/>
      <c r="B484" s="2"/>
      <c r="C484" s="2"/>
      <c r="D484" s="22"/>
      <c r="E484" s="2"/>
      <c r="F484" s="2"/>
      <c r="G484" s="2"/>
      <c r="H484" s="2"/>
      <c r="I484" s="2"/>
      <c r="J484" s="2"/>
      <c r="K484" s="2"/>
      <c r="L484" s="2"/>
      <c r="M484" s="23"/>
      <c r="N484" s="31"/>
      <c r="O484" s="23"/>
      <c r="P484" s="30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</row>
    <row r="485" spans="1:28" x14ac:dyDescent="0.25">
      <c r="A485" s="2"/>
      <c r="B485" s="2"/>
      <c r="C485" s="2"/>
      <c r="D485" s="22"/>
      <c r="E485" s="2"/>
      <c r="F485" s="2"/>
      <c r="G485" s="2"/>
      <c r="H485" s="2"/>
      <c r="I485" s="2"/>
      <c r="J485" s="2"/>
      <c r="K485" s="2"/>
      <c r="L485" s="2"/>
      <c r="M485" s="23"/>
      <c r="N485" s="31"/>
      <c r="O485" s="23"/>
      <c r="P485" s="30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</row>
    <row r="486" spans="1:28" x14ac:dyDescent="0.25">
      <c r="A486" s="2"/>
      <c r="B486" s="2"/>
      <c r="C486" s="2"/>
      <c r="D486" s="22"/>
      <c r="E486" s="2"/>
      <c r="F486" s="2"/>
      <c r="G486" s="2"/>
      <c r="H486" s="2"/>
      <c r="I486" s="2"/>
      <c r="J486" s="2"/>
      <c r="K486" s="2"/>
      <c r="L486" s="2"/>
      <c r="M486" s="23"/>
      <c r="N486" s="31"/>
      <c r="O486" s="23"/>
      <c r="P486" s="30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</row>
    <row r="487" spans="1:28" x14ac:dyDescent="0.25">
      <c r="A487" s="2"/>
      <c r="B487" s="2"/>
      <c r="C487" s="2"/>
      <c r="D487" s="22"/>
      <c r="E487" s="2"/>
      <c r="F487" s="2"/>
      <c r="G487" s="2"/>
      <c r="H487" s="2"/>
      <c r="I487" s="2"/>
      <c r="J487" s="2"/>
      <c r="K487" s="2"/>
      <c r="L487" s="2"/>
      <c r="M487" s="23"/>
      <c r="N487" s="31"/>
      <c r="O487" s="23"/>
      <c r="P487" s="30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</row>
    <row r="488" spans="1:28" x14ac:dyDescent="0.25">
      <c r="A488" s="2"/>
      <c r="B488" s="2"/>
      <c r="C488" s="2"/>
      <c r="D488" s="22"/>
      <c r="E488" s="2"/>
      <c r="F488" s="2"/>
      <c r="G488" s="2"/>
      <c r="H488" s="2"/>
      <c r="I488" s="2"/>
      <c r="J488" s="2"/>
      <c r="K488" s="2"/>
      <c r="L488" s="2"/>
      <c r="M488" s="23"/>
      <c r="N488" s="31"/>
      <c r="O488" s="23"/>
      <c r="P488" s="30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</row>
    <row r="489" spans="1:28" x14ac:dyDescent="0.25">
      <c r="A489" s="2"/>
      <c r="B489" s="2"/>
      <c r="C489" s="2"/>
      <c r="D489" s="22"/>
      <c r="E489" s="2"/>
      <c r="F489" s="2"/>
      <c r="G489" s="2"/>
      <c r="H489" s="2"/>
      <c r="I489" s="2"/>
      <c r="J489" s="2"/>
      <c r="K489" s="2"/>
      <c r="L489" s="2"/>
      <c r="M489" s="23"/>
      <c r="N489" s="31"/>
      <c r="O489" s="23"/>
      <c r="P489" s="30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</row>
    <row r="490" spans="1:28" x14ac:dyDescent="0.25">
      <c r="A490" s="2"/>
      <c r="B490" s="2"/>
      <c r="C490" s="2"/>
      <c r="D490" s="22"/>
      <c r="E490" s="2"/>
      <c r="F490" s="2"/>
      <c r="G490" s="2"/>
      <c r="H490" s="2"/>
      <c r="I490" s="2"/>
      <c r="J490" s="2"/>
      <c r="K490" s="2"/>
      <c r="L490" s="2"/>
      <c r="M490" s="23"/>
      <c r="N490" s="31"/>
      <c r="O490" s="23"/>
      <c r="P490" s="30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</row>
    <row r="491" spans="1:28" x14ac:dyDescent="0.25">
      <c r="A491" s="2"/>
      <c r="B491" s="2"/>
      <c r="C491" s="2"/>
      <c r="D491" s="22"/>
      <c r="E491" s="2"/>
      <c r="F491" s="2"/>
      <c r="G491" s="2"/>
      <c r="H491" s="2"/>
      <c r="I491" s="2"/>
      <c r="J491" s="2"/>
      <c r="K491" s="2"/>
      <c r="L491" s="2"/>
      <c r="M491" s="23"/>
      <c r="N491" s="31"/>
      <c r="O491" s="23"/>
      <c r="P491" s="30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</row>
    <row r="492" spans="1:28" x14ac:dyDescent="0.25">
      <c r="A492" s="2"/>
      <c r="B492" s="2"/>
      <c r="C492" s="2"/>
      <c r="D492" s="22"/>
      <c r="E492" s="2"/>
      <c r="F492" s="2"/>
      <c r="G492" s="2"/>
      <c r="H492" s="2"/>
      <c r="I492" s="2"/>
      <c r="J492" s="2"/>
      <c r="K492" s="2"/>
      <c r="L492" s="2"/>
      <c r="M492" s="23"/>
      <c r="N492" s="31"/>
      <c r="O492" s="23"/>
      <c r="P492" s="30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</row>
    <row r="493" spans="1:28" x14ac:dyDescent="0.25">
      <c r="A493" s="2"/>
      <c r="B493" s="2"/>
      <c r="C493" s="2"/>
      <c r="D493" s="22"/>
      <c r="E493" s="2"/>
      <c r="F493" s="2"/>
      <c r="G493" s="2"/>
      <c r="H493" s="2"/>
      <c r="I493" s="2"/>
      <c r="J493" s="2"/>
      <c r="K493" s="2"/>
      <c r="L493" s="2"/>
      <c r="M493" s="23"/>
      <c r="N493" s="31"/>
      <c r="O493" s="23"/>
      <c r="P493" s="30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</row>
    <row r="494" spans="1:28" x14ac:dyDescent="0.25">
      <c r="A494" s="2"/>
      <c r="B494" s="2"/>
      <c r="C494" s="2"/>
      <c r="D494" s="22"/>
      <c r="E494" s="2"/>
      <c r="F494" s="2"/>
      <c r="G494" s="2"/>
      <c r="H494" s="2"/>
      <c r="I494" s="2"/>
      <c r="J494" s="2"/>
      <c r="K494" s="2"/>
      <c r="L494" s="2"/>
      <c r="M494" s="23"/>
      <c r="N494" s="31"/>
      <c r="O494" s="23"/>
      <c r="P494" s="30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</row>
    <row r="495" spans="1:28" x14ac:dyDescent="0.25">
      <c r="A495" s="2"/>
      <c r="B495" s="2"/>
      <c r="C495" s="2"/>
      <c r="D495" s="22"/>
      <c r="E495" s="2"/>
      <c r="F495" s="2"/>
      <c r="G495" s="2"/>
      <c r="H495" s="2"/>
      <c r="I495" s="2"/>
      <c r="J495" s="2"/>
      <c r="K495" s="2"/>
      <c r="L495" s="2"/>
      <c r="M495" s="23"/>
      <c r="N495" s="31"/>
      <c r="O495" s="23"/>
      <c r="P495" s="30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</row>
    <row r="496" spans="1:28" x14ac:dyDescent="0.25">
      <c r="A496" s="2"/>
      <c r="B496" s="2"/>
      <c r="C496" s="2"/>
      <c r="D496" s="22"/>
      <c r="E496" s="2"/>
      <c r="F496" s="2"/>
      <c r="G496" s="2"/>
      <c r="H496" s="2"/>
      <c r="I496" s="2"/>
      <c r="J496" s="2"/>
      <c r="K496" s="2"/>
      <c r="L496" s="2"/>
      <c r="M496" s="23"/>
      <c r="N496" s="31"/>
      <c r="O496" s="23"/>
      <c r="P496" s="30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</row>
    <row r="497" spans="1:28" x14ac:dyDescent="0.25">
      <c r="A497" s="2"/>
      <c r="B497" s="2"/>
      <c r="C497" s="2"/>
      <c r="D497" s="22"/>
      <c r="E497" s="2"/>
      <c r="F497" s="2"/>
      <c r="G497" s="2"/>
      <c r="H497" s="2"/>
      <c r="I497" s="2"/>
      <c r="J497" s="2"/>
      <c r="K497" s="2"/>
      <c r="L497" s="2"/>
      <c r="M497" s="23"/>
      <c r="N497" s="31"/>
      <c r="O497" s="23"/>
      <c r="P497" s="30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</row>
    <row r="498" spans="1:28" x14ac:dyDescent="0.25">
      <c r="A498" s="2"/>
      <c r="B498" s="2"/>
      <c r="C498" s="2"/>
      <c r="D498" s="22"/>
      <c r="E498" s="2"/>
      <c r="F498" s="2"/>
      <c r="G498" s="2"/>
      <c r="H498" s="2"/>
      <c r="I498" s="2"/>
      <c r="J498" s="2"/>
      <c r="K498" s="2"/>
      <c r="L498" s="2"/>
      <c r="M498" s="23"/>
      <c r="N498" s="31"/>
      <c r="O498" s="23"/>
      <c r="P498" s="30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</row>
    <row r="499" spans="1:28" x14ac:dyDescent="0.25">
      <c r="A499" s="2"/>
      <c r="B499" s="2"/>
      <c r="C499" s="2"/>
      <c r="D499" s="22"/>
      <c r="E499" s="2"/>
      <c r="F499" s="2"/>
      <c r="G499" s="2"/>
      <c r="H499" s="2"/>
      <c r="I499" s="2"/>
      <c r="J499" s="2"/>
      <c r="K499" s="2"/>
      <c r="L499" s="2"/>
      <c r="M499" s="23"/>
      <c r="N499" s="31"/>
      <c r="O499" s="23"/>
      <c r="P499" s="30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</row>
    <row r="500" spans="1:28" x14ac:dyDescent="0.25">
      <c r="A500" s="2"/>
      <c r="B500" s="2"/>
      <c r="C500" s="2"/>
      <c r="D500" s="22"/>
      <c r="E500" s="2"/>
      <c r="F500" s="2"/>
      <c r="G500" s="2"/>
      <c r="H500" s="2"/>
      <c r="I500" s="2"/>
      <c r="J500" s="2"/>
      <c r="K500" s="2"/>
      <c r="L500" s="2"/>
      <c r="M500" s="23"/>
      <c r="N500" s="31"/>
      <c r="O500" s="23"/>
      <c r="P500" s="30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</row>
    <row r="501" spans="1:28" x14ac:dyDescent="0.25">
      <c r="A501" s="2"/>
      <c r="B501" s="2"/>
      <c r="C501" s="2"/>
      <c r="D501" s="22"/>
      <c r="E501" s="2"/>
      <c r="F501" s="2"/>
      <c r="G501" s="2"/>
      <c r="H501" s="2"/>
      <c r="I501" s="2"/>
      <c r="J501" s="2"/>
      <c r="K501" s="2"/>
      <c r="L501" s="2"/>
      <c r="M501" s="23"/>
      <c r="N501" s="31"/>
      <c r="O501" s="23"/>
      <c r="P501" s="30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</row>
    <row r="502" spans="1:28" x14ac:dyDescent="0.25">
      <c r="A502" s="2"/>
      <c r="B502" s="2"/>
      <c r="C502" s="2"/>
      <c r="D502" s="22"/>
      <c r="E502" s="2"/>
      <c r="F502" s="2"/>
      <c r="G502" s="2"/>
      <c r="H502" s="2"/>
      <c r="I502" s="2"/>
      <c r="J502" s="2"/>
      <c r="K502" s="2"/>
      <c r="L502" s="2"/>
      <c r="M502" s="23"/>
      <c r="N502" s="31"/>
      <c r="O502" s="23"/>
      <c r="P502" s="30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</row>
    <row r="503" spans="1:28" x14ac:dyDescent="0.25">
      <c r="A503" s="2"/>
      <c r="B503" s="2"/>
      <c r="C503" s="2"/>
      <c r="D503" s="22"/>
      <c r="E503" s="2"/>
      <c r="F503" s="2"/>
      <c r="G503" s="2"/>
      <c r="H503" s="2"/>
      <c r="I503" s="2"/>
      <c r="J503" s="2"/>
      <c r="K503" s="2"/>
      <c r="L503" s="2"/>
      <c r="M503" s="23"/>
      <c r="N503" s="31"/>
      <c r="O503" s="23"/>
      <c r="P503" s="30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</row>
    <row r="504" spans="1:28" x14ac:dyDescent="0.25">
      <c r="A504" s="2"/>
      <c r="B504" s="2"/>
      <c r="C504" s="2"/>
      <c r="D504" s="22"/>
      <c r="E504" s="2"/>
      <c r="F504" s="2"/>
      <c r="G504" s="2"/>
      <c r="H504" s="2"/>
      <c r="I504" s="2"/>
      <c r="J504" s="2"/>
      <c r="K504" s="2"/>
      <c r="L504" s="2"/>
      <c r="M504" s="23"/>
      <c r="N504" s="31"/>
      <c r="O504" s="23"/>
      <c r="P504" s="30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</row>
    <row r="505" spans="1:28" x14ac:dyDescent="0.25">
      <c r="A505" s="2"/>
      <c r="B505" s="2"/>
      <c r="C505" s="2"/>
      <c r="D505" s="22"/>
      <c r="E505" s="2"/>
      <c r="F505" s="2"/>
      <c r="G505" s="2"/>
      <c r="H505" s="2"/>
      <c r="I505" s="2"/>
      <c r="J505" s="2"/>
      <c r="K505" s="2"/>
      <c r="L505" s="2"/>
      <c r="M505" s="23"/>
      <c r="N505" s="31"/>
      <c r="O505" s="23"/>
      <c r="P505" s="30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</row>
    <row r="506" spans="1:28" x14ac:dyDescent="0.25">
      <c r="A506" s="2"/>
      <c r="B506" s="2"/>
      <c r="C506" s="2"/>
      <c r="D506" s="22"/>
      <c r="E506" s="2"/>
      <c r="F506" s="2"/>
      <c r="G506" s="2"/>
      <c r="H506" s="2"/>
      <c r="I506" s="2"/>
      <c r="J506" s="2"/>
      <c r="K506" s="2"/>
      <c r="L506" s="2"/>
      <c r="M506" s="23"/>
      <c r="N506" s="31"/>
      <c r="O506" s="23"/>
      <c r="P506" s="30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</row>
    <row r="507" spans="1:28" x14ac:dyDescent="0.25">
      <c r="A507" s="2"/>
      <c r="B507" s="2"/>
      <c r="C507" s="2"/>
      <c r="D507" s="22"/>
      <c r="E507" s="2"/>
      <c r="F507" s="2"/>
      <c r="G507" s="2"/>
      <c r="H507" s="2"/>
      <c r="I507" s="2"/>
      <c r="J507" s="2"/>
      <c r="K507" s="2"/>
      <c r="L507" s="2"/>
      <c r="M507" s="23"/>
      <c r="N507" s="31"/>
      <c r="O507" s="23"/>
      <c r="P507" s="30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</row>
    <row r="508" spans="1:28" x14ac:dyDescent="0.25">
      <c r="A508" s="2"/>
      <c r="B508" s="2"/>
      <c r="C508" s="2"/>
      <c r="D508" s="22"/>
      <c r="E508" s="2"/>
      <c r="F508" s="2"/>
      <c r="G508" s="2"/>
      <c r="H508" s="2"/>
      <c r="I508" s="2"/>
      <c r="J508" s="2"/>
      <c r="K508" s="2"/>
      <c r="L508" s="2"/>
      <c r="M508" s="23"/>
      <c r="N508" s="31"/>
      <c r="O508" s="23"/>
      <c r="P508" s="30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</row>
    <row r="509" spans="1:28" x14ac:dyDescent="0.25">
      <c r="A509" s="2"/>
      <c r="B509" s="2"/>
      <c r="C509" s="2"/>
      <c r="D509" s="22"/>
      <c r="E509" s="2"/>
      <c r="F509" s="2"/>
      <c r="G509" s="2"/>
      <c r="H509" s="2"/>
      <c r="I509" s="2"/>
      <c r="J509" s="2"/>
      <c r="K509" s="2"/>
      <c r="L509" s="2"/>
      <c r="M509" s="23"/>
      <c r="N509" s="31"/>
      <c r="O509" s="23"/>
      <c r="P509" s="30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</row>
    <row r="510" spans="1:28" x14ac:dyDescent="0.25">
      <c r="A510" s="2"/>
      <c r="B510" s="2"/>
      <c r="C510" s="2"/>
      <c r="D510" s="22"/>
      <c r="E510" s="2"/>
      <c r="F510" s="2"/>
      <c r="G510" s="2"/>
      <c r="H510" s="2"/>
      <c r="I510" s="2"/>
      <c r="J510" s="2"/>
      <c r="K510" s="2"/>
      <c r="L510" s="2"/>
      <c r="M510" s="23"/>
      <c r="N510" s="31"/>
      <c r="O510" s="23"/>
      <c r="P510" s="30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</row>
    <row r="511" spans="1:28" x14ac:dyDescent="0.25">
      <c r="A511" s="2"/>
      <c r="B511" s="2"/>
      <c r="C511" s="2"/>
      <c r="D511" s="22"/>
      <c r="E511" s="2"/>
      <c r="F511" s="2"/>
      <c r="G511" s="2"/>
      <c r="H511" s="2"/>
      <c r="I511" s="2"/>
      <c r="J511" s="2"/>
      <c r="K511" s="2"/>
      <c r="L511" s="2"/>
      <c r="M511" s="23"/>
      <c r="N511" s="31"/>
      <c r="O511" s="23"/>
      <c r="P511" s="30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</row>
    <row r="512" spans="1:28" x14ac:dyDescent="0.25">
      <c r="A512" s="2"/>
      <c r="B512" s="2"/>
      <c r="C512" s="2"/>
      <c r="D512" s="22"/>
      <c r="E512" s="2"/>
      <c r="F512" s="2"/>
      <c r="G512" s="2"/>
      <c r="H512" s="2"/>
      <c r="I512" s="2"/>
      <c r="J512" s="2"/>
      <c r="K512" s="2"/>
      <c r="L512" s="2"/>
      <c r="M512" s="23"/>
      <c r="N512" s="31"/>
      <c r="O512" s="23"/>
      <c r="P512" s="30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</row>
    <row r="513" spans="1:28" x14ac:dyDescent="0.25">
      <c r="A513" s="2"/>
      <c r="B513" s="2"/>
      <c r="C513" s="2"/>
      <c r="D513" s="22"/>
      <c r="E513" s="2"/>
      <c r="F513" s="2"/>
      <c r="G513" s="2"/>
      <c r="H513" s="2"/>
      <c r="I513" s="2"/>
      <c r="J513" s="2"/>
      <c r="K513" s="2"/>
      <c r="L513" s="2"/>
      <c r="M513" s="23"/>
      <c r="N513" s="31"/>
      <c r="O513" s="23"/>
      <c r="P513" s="30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</row>
    <row r="514" spans="1:28" x14ac:dyDescent="0.25">
      <c r="A514" s="2"/>
      <c r="B514" s="2"/>
      <c r="C514" s="2"/>
      <c r="D514" s="22"/>
      <c r="E514" s="2"/>
      <c r="F514" s="2"/>
      <c r="G514" s="2"/>
      <c r="H514" s="2"/>
      <c r="I514" s="2"/>
      <c r="J514" s="2"/>
      <c r="K514" s="2"/>
      <c r="L514" s="2"/>
      <c r="M514" s="23"/>
      <c r="N514" s="31"/>
      <c r="O514" s="23"/>
      <c r="P514" s="30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</row>
    <row r="515" spans="1:28" x14ac:dyDescent="0.25">
      <c r="A515" s="2"/>
      <c r="B515" s="2"/>
      <c r="C515" s="2"/>
      <c r="D515" s="22"/>
      <c r="E515" s="2"/>
      <c r="F515" s="2"/>
      <c r="G515" s="2"/>
      <c r="H515" s="2"/>
      <c r="I515" s="2"/>
      <c r="J515" s="2"/>
      <c r="K515" s="2"/>
      <c r="L515" s="2"/>
      <c r="M515" s="23"/>
      <c r="N515" s="31"/>
      <c r="O515" s="23"/>
      <c r="P515" s="30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</row>
    <row r="516" spans="1:28" x14ac:dyDescent="0.25">
      <c r="A516" s="2"/>
      <c r="B516" s="2"/>
      <c r="C516" s="2"/>
      <c r="D516" s="22"/>
      <c r="E516" s="2"/>
      <c r="F516" s="2"/>
      <c r="G516" s="2"/>
      <c r="H516" s="2"/>
      <c r="I516" s="2"/>
      <c r="J516" s="2"/>
      <c r="K516" s="2"/>
      <c r="L516" s="2"/>
      <c r="M516" s="23"/>
      <c r="N516" s="31"/>
      <c r="O516" s="23"/>
      <c r="P516" s="30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</row>
    <row r="517" spans="1:28" x14ac:dyDescent="0.25">
      <c r="A517" s="2"/>
      <c r="B517" s="2"/>
      <c r="C517" s="2"/>
      <c r="D517" s="22"/>
      <c r="E517" s="2"/>
      <c r="F517" s="2"/>
      <c r="G517" s="2"/>
      <c r="H517" s="2"/>
      <c r="I517" s="2"/>
      <c r="J517" s="2"/>
      <c r="K517" s="2"/>
      <c r="L517" s="2"/>
      <c r="M517" s="23"/>
      <c r="N517" s="31"/>
      <c r="O517" s="23"/>
      <c r="P517" s="30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</row>
    <row r="518" spans="1:28" x14ac:dyDescent="0.25">
      <c r="A518" s="2"/>
      <c r="B518" s="2"/>
      <c r="C518" s="2"/>
      <c r="D518" s="22"/>
      <c r="E518" s="2"/>
      <c r="F518" s="2"/>
      <c r="G518" s="2"/>
      <c r="H518" s="2"/>
      <c r="I518" s="2"/>
      <c r="J518" s="2"/>
      <c r="K518" s="2"/>
      <c r="L518" s="2"/>
      <c r="M518" s="23"/>
      <c r="N518" s="31"/>
      <c r="O518" s="23"/>
      <c r="P518" s="30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</row>
    <row r="519" spans="1:28" x14ac:dyDescent="0.25">
      <c r="A519" s="2"/>
      <c r="B519" s="2"/>
      <c r="C519" s="2"/>
      <c r="D519" s="22"/>
      <c r="E519" s="2"/>
      <c r="F519" s="2"/>
      <c r="G519" s="2"/>
      <c r="H519" s="2"/>
      <c r="I519" s="2"/>
      <c r="J519" s="2"/>
      <c r="K519" s="2"/>
      <c r="L519" s="2"/>
      <c r="M519" s="23"/>
      <c r="N519" s="31"/>
      <c r="O519" s="23"/>
      <c r="P519" s="30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</row>
    <row r="520" spans="1:28" x14ac:dyDescent="0.25">
      <c r="A520" s="2"/>
      <c r="B520" s="2"/>
      <c r="C520" s="2"/>
      <c r="D520" s="22"/>
      <c r="E520" s="2"/>
      <c r="F520" s="2"/>
      <c r="G520" s="2"/>
      <c r="H520" s="2"/>
      <c r="I520" s="2"/>
      <c r="J520" s="2"/>
      <c r="K520" s="2"/>
      <c r="L520" s="2"/>
      <c r="M520" s="23"/>
      <c r="N520" s="31"/>
      <c r="O520" s="23"/>
      <c r="P520" s="30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</row>
    <row r="521" spans="1:28" x14ac:dyDescent="0.25">
      <c r="A521" s="2"/>
      <c r="B521" s="2"/>
      <c r="C521" s="2"/>
      <c r="D521" s="22"/>
      <c r="E521" s="2"/>
      <c r="F521" s="2"/>
      <c r="G521" s="2"/>
      <c r="H521" s="2"/>
      <c r="I521" s="2"/>
      <c r="J521" s="2"/>
      <c r="K521" s="2"/>
      <c r="L521" s="2"/>
      <c r="M521" s="23"/>
      <c r="N521" s="31"/>
      <c r="O521" s="23"/>
      <c r="P521" s="30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</row>
    <row r="522" spans="1:28" x14ac:dyDescent="0.25">
      <c r="A522" s="2"/>
      <c r="B522" s="2"/>
      <c r="C522" s="2"/>
      <c r="D522" s="22"/>
      <c r="E522" s="2"/>
      <c r="F522" s="2"/>
      <c r="G522" s="2"/>
      <c r="H522" s="2"/>
      <c r="I522" s="2"/>
      <c r="J522" s="2"/>
      <c r="K522" s="2"/>
      <c r="L522" s="2"/>
      <c r="M522" s="23"/>
      <c r="N522" s="31"/>
      <c r="O522" s="23"/>
      <c r="P522" s="30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</row>
    <row r="523" spans="1:28" x14ac:dyDescent="0.25">
      <c r="A523" s="2"/>
      <c r="B523" s="2"/>
      <c r="C523" s="2"/>
      <c r="D523" s="22"/>
      <c r="E523" s="2"/>
      <c r="F523" s="2"/>
      <c r="G523" s="2"/>
      <c r="H523" s="2"/>
      <c r="I523" s="2"/>
      <c r="J523" s="2"/>
      <c r="K523" s="2"/>
      <c r="L523" s="2"/>
      <c r="M523" s="23"/>
      <c r="N523" s="31"/>
      <c r="O523" s="23"/>
      <c r="P523" s="30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</row>
    <row r="524" spans="1:28" x14ac:dyDescent="0.25">
      <c r="A524" s="2"/>
      <c r="B524" s="2"/>
      <c r="C524" s="2"/>
      <c r="D524" s="22"/>
      <c r="E524" s="2"/>
      <c r="F524" s="2"/>
      <c r="G524" s="2"/>
      <c r="H524" s="2"/>
      <c r="I524" s="2"/>
      <c r="J524" s="2"/>
      <c r="K524" s="2"/>
      <c r="L524" s="2"/>
      <c r="M524" s="23"/>
      <c r="N524" s="31"/>
      <c r="O524" s="23"/>
      <c r="P524" s="30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</row>
    <row r="525" spans="1:28" x14ac:dyDescent="0.25">
      <c r="A525" s="2"/>
      <c r="B525" s="2"/>
      <c r="C525" s="2"/>
      <c r="D525" s="22"/>
      <c r="E525" s="2"/>
      <c r="F525" s="2"/>
      <c r="G525" s="2"/>
      <c r="H525" s="2"/>
      <c r="I525" s="2"/>
      <c r="J525" s="2"/>
      <c r="K525" s="2"/>
      <c r="L525" s="2"/>
      <c r="M525" s="23"/>
      <c r="N525" s="31"/>
      <c r="O525" s="23"/>
      <c r="P525" s="30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</row>
    <row r="526" spans="1:28" x14ac:dyDescent="0.25">
      <c r="A526" s="2"/>
      <c r="B526" s="2"/>
      <c r="C526" s="2"/>
      <c r="D526" s="22"/>
      <c r="E526" s="2"/>
      <c r="F526" s="2"/>
      <c r="G526" s="2"/>
      <c r="H526" s="2"/>
      <c r="I526" s="2"/>
      <c r="J526" s="2"/>
      <c r="K526" s="2"/>
      <c r="L526" s="2"/>
      <c r="M526" s="23"/>
      <c r="N526" s="31"/>
      <c r="O526" s="23"/>
      <c r="P526" s="30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</row>
    <row r="527" spans="1:28" x14ac:dyDescent="0.25">
      <c r="A527" s="2"/>
      <c r="B527" s="2"/>
      <c r="C527" s="2"/>
      <c r="D527" s="22"/>
      <c r="E527" s="2"/>
      <c r="F527" s="2"/>
      <c r="G527" s="2"/>
      <c r="H527" s="2"/>
      <c r="I527" s="2"/>
      <c r="J527" s="2"/>
      <c r="K527" s="2"/>
      <c r="L527" s="2"/>
      <c r="M527" s="23"/>
      <c r="N527" s="31"/>
      <c r="O527" s="23"/>
      <c r="P527" s="30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</row>
    <row r="528" spans="1:28" x14ac:dyDescent="0.25">
      <c r="A528" s="2"/>
      <c r="B528" s="2"/>
      <c r="C528" s="2"/>
      <c r="D528" s="22"/>
      <c r="E528" s="2"/>
      <c r="F528" s="2"/>
      <c r="G528" s="2"/>
      <c r="H528" s="2"/>
      <c r="I528" s="2"/>
      <c r="J528" s="2"/>
      <c r="K528" s="2"/>
      <c r="L528" s="2"/>
      <c r="M528" s="23"/>
      <c r="N528" s="31"/>
      <c r="O528" s="23"/>
      <c r="P528" s="30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</row>
    <row r="529" spans="1:28" x14ac:dyDescent="0.25">
      <c r="A529" s="2"/>
      <c r="B529" s="2"/>
      <c r="C529" s="2"/>
      <c r="D529" s="22"/>
      <c r="E529" s="2"/>
      <c r="F529" s="2"/>
      <c r="G529" s="2"/>
      <c r="H529" s="2"/>
      <c r="I529" s="2"/>
      <c r="J529" s="2"/>
      <c r="K529" s="2"/>
      <c r="L529" s="2"/>
      <c r="M529" s="23"/>
      <c r="N529" s="31"/>
      <c r="O529" s="23"/>
      <c r="P529" s="30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</row>
    <row r="530" spans="1:28" x14ac:dyDescent="0.25">
      <c r="A530" s="2"/>
      <c r="B530" s="2"/>
      <c r="C530" s="2"/>
      <c r="D530" s="22"/>
      <c r="E530" s="2"/>
      <c r="F530" s="2"/>
      <c r="G530" s="2"/>
      <c r="H530" s="2"/>
      <c r="I530" s="2"/>
      <c r="J530" s="2"/>
      <c r="K530" s="2"/>
      <c r="L530" s="2"/>
      <c r="M530" s="23"/>
      <c r="N530" s="31"/>
      <c r="O530" s="23"/>
      <c r="P530" s="30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</row>
    <row r="531" spans="1:28" x14ac:dyDescent="0.25">
      <c r="A531" s="2"/>
      <c r="B531" s="2"/>
      <c r="C531" s="2"/>
      <c r="D531" s="22"/>
      <c r="E531" s="2"/>
      <c r="F531" s="2"/>
      <c r="G531" s="2"/>
      <c r="H531" s="2"/>
      <c r="I531" s="2"/>
      <c r="J531" s="2"/>
      <c r="K531" s="2"/>
      <c r="L531" s="2"/>
      <c r="M531" s="23"/>
      <c r="N531" s="31"/>
      <c r="O531" s="23"/>
      <c r="P531" s="30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</row>
    <row r="532" spans="1:28" x14ac:dyDescent="0.25">
      <c r="A532" s="2"/>
      <c r="B532" s="2"/>
      <c r="C532" s="2"/>
      <c r="D532" s="22"/>
      <c r="E532" s="2"/>
      <c r="F532" s="2"/>
      <c r="G532" s="2"/>
      <c r="H532" s="2"/>
      <c r="I532" s="2"/>
      <c r="J532" s="2"/>
      <c r="K532" s="2"/>
      <c r="L532" s="2"/>
      <c r="M532" s="23"/>
      <c r="N532" s="31"/>
      <c r="O532" s="23"/>
      <c r="P532" s="30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</row>
    <row r="533" spans="1:28" x14ac:dyDescent="0.25">
      <c r="A533" s="2"/>
      <c r="B533" s="2"/>
      <c r="C533" s="2"/>
      <c r="D533" s="22"/>
      <c r="E533" s="2"/>
      <c r="F533" s="2"/>
      <c r="G533" s="2"/>
      <c r="H533" s="2"/>
      <c r="I533" s="2"/>
      <c r="J533" s="2"/>
      <c r="K533" s="2"/>
      <c r="L533" s="2"/>
      <c r="M533" s="23"/>
      <c r="N533" s="31"/>
      <c r="O533" s="23"/>
      <c r="P533" s="30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</row>
    <row r="534" spans="1:28" x14ac:dyDescent="0.25">
      <c r="A534" s="2"/>
      <c r="B534" s="2"/>
      <c r="C534" s="2"/>
      <c r="D534" s="22"/>
      <c r="E534" s="2"/>
      <c r="F534" s="2"/>
      <c r="G534" s="2"/>
      <c r="H534" s="2"/>
      <c r="I534" s="2"/>
      <c r="J534" s="2"/>
      <c r="K534" s="2"/>
      <c r="L534" s="2"/>
      <c r="M534" s="23"/>
      <c r="N534" s="31"/>
      <c r="O534" s="23"/>
      <c r="P534" s="30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</row>
    <row r="535" spans="1:28" x14ac:dyDescent="0.25">
      <c r="A535" s="2"/>
      <c r="B535" s="2"/>
      <c r="C535" s="2"/>
      <c r="D535" s="22"/>
      <c r="E535" s="2"/>
      <c r="F535" s="2"/>
      <c r="G535" s="2"/>
      <c r="H535" s="2"/>
      <c r="I535" s="2"/>
      <c r="J535" s="2"/>
      <c r="K535" s="2"/>
      <c r="L535" s="2"/>
      <c r="M535" s="23"/>
      <c r="N535" s="31"/>
      <c r="O535" s="23"/>
      <c r="P535" s="30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</row>
    <row r="536" spans="1:28" x14ac:dyDescent="0.25">
      <c r="A536" s="2"/>
      <c r="B536" s="2"/>
      <c r="C536" s="2"/>
      <c r="D536" s="22"/>
      <c r="E536" s="2"/>
      <c r="F536" s="2"/>
      <c r="G536" s="2"/>
      <c r="H536" s="2"/>
      <c r="I536" s="2"/>
      <c r="J536" s="2"/>
      <c r="K536" s="2"/>
      <c r="L536" s="2"/>
      <c r="M536" s="23"/>
      <c r="N536" s="31"/>
      <c r="O536" s="23"/>
      <c r="P536" s="30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</row>
    <row r="537" spans="1:28" x14ac:dyDescent="0.25">
      <c r="A537" s="2"/>
      <c r="B537" s="2"/>
      <c r="C537" s="2"/>
      <c r="D537" s="22"/>
      <c r="E537" s="2"/>
      <c r="F537" s="2"/>
      <c r="G537" s="2"/>
      <c r="H537" s="2"/>
      <c r="I537" s="2"/>
      <c r="J537" s="2"/>
      <c r="K537" s="2"/>
      <c r="L537" s="2"/>
      <c r="M537" s="23"/>
      <c r="N537" s="31"/>
      <c r="O537" s="23"/>
      <c r="P537" s="30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</row>
    <row r="538" spans="1:28" x14ac:dyDescent="0.25">
      <c r="A538" s="2"/>
      <c r="B538" s="2"/>
      <c r="C538" s="2"/>
      <c r="D538" s="22"/>
      <c r="E538" s="2"/>
      <c r="F538" s="2"/>
      <c r="G538" s="2"/>
      <c r="H538" s="2"/>
      <c r="I538" s="2"/>
      <c r="J538" s="2"/>
      <c r="K538" s="2"/>
      <c r="L538" s="2"/>
      <c r="M538" s="23"/>
      <c r="N538" s="31"/>
      <c r="O538" s="23"/>
      <c r="P538" s="30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</row>
    <row r="539" spans="1:28" x14ac:dyDescent="0.25">
      <c r="A539" s="2"/>
      <c r="B539" s="2"/>
      <c r="C539" s="2"/>
      <c r="D539" s="22"/>
      <c r="E539" s="2"/>
      <c r="F539" s="2"/>
      <c r="G539" s="2"/>
      <c r="H539" s="2"/>
      <c r="I539" s="2"/>
      <c r="J539" s="2"/>
      <c r="K539" s="2"/>
      <c r="L539" s="2"/>
      <c r="M539" s="23"/>
      <c r="N539" s="31"/>
      <c r="O539" s="23"/>
      <c r="P539" s="30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</row>
    <row r="540" spans="1:28" x14ac:dyDescent="0.25">
      <c r="A540" s="2"/>
      <c r="B540" s="2"/>
      <c r="C540" s="2"/>
      <c r="D540" s="22"/>
      <c r="E540" s="2"/>
      <c r="F540" s="2"/>
      <c r="G540" s="2"/>
      <c r="H540" s="2"/>
      <c r="I540" s="2"/>
      <c r="J540" s="2"/>
      <c r="K540" s="2"/>
      <c r="L540" s="2"/>
      <c r="M540" s="23"/>
      <c r="N540" s="31"/>
      <c r="O540" s="23"/>
      <c r="P540" s="30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</row>
    <row r="541" spans="1:28" x14ac:dyDescent="0.25">
      <c r="A541" s="2"/>
      <c r="B541" s="2"/>
      <c r="C541" s="2"/>
      <c r="D541" s="22"/>
      <c r="E541" s="2"/>
      <c r="F541" s="2"/>
      <c r="G541" s="2"/>
      <c r="H541" s="2"/>
      <c r="I541" s="2"/>
      <c r="J541" s="2"/>
      <c r="K541" s="2"/>
      <c r="L541" s="2"/>
      <c r="M541" s="23"/>
      <c r="N541" s="31"/>
      <c r="O541" s="23"/>
      <c r="P541" s="30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</row>
    <row r="542" spans="1:28" x14ac:dyDescent="0.25">
      <c r="A542" s="2"/>
      <c r="B542" s="2"/>
      <c r="C542" s="2"/>
      <c r="D542" s="22"/>
      <c r="E542" s="2"/>
      <c r="F542" s="2"/>
      <c r="G542" s="2"/>
      <c r="H542" s="2"/>
      <c r="I542" s="2"/>
      <c r="J542" s="2"/>
      <c r="K542" s="2"/>
      <c r="L542" s="2"/>
      <c r="M542" s="23"/>
      <c r="N542" s="31"/>
      <c r="O542" s="23"/>
      <c r="P542" s="30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</row>
    <row r="543" spans="1:28" x14ac:dyDescent="0.25">
      <c r="A543" s="2"/>
      <c r="B543" s="2"/>
      <c r="C543" s="2"/>
      <c r="D543" s="22"/>
      <c r="E543" s="2"/>
      <c r="F543" s="2"/>
      <c r="G543" s="2"/>
      <c r="H543" s="2"/>
      <c r="I543" s="2"/>
      <c r="J543" s="2"/>
      <c r="K543" s="2"/>
      <c r="L543" s="2"/>
      <c r="M543" s="23"/>
      <c r="N543" s="31"/>
      <c r="O543" s="23"/>
      <c r="P543" s="30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</row>
    <row r="544" spans="1:28" x14ac:dyDescent="0.25">
      <c r="A544" s="2"/>
      <c r="B544" s="2"/>
      <c r="C544" s="2"/>
      <c r="D544" s="22"/>
      <c r="E544" s="2"/>
      <c r="F544" s="2"/>
      <c r="G544" s="2"/>
      <c r="H544" s="2"/>
      <c r="I544" s="2"/>
      <c r="J544" s="2"/>
      <c r="K544" s="2"/>
      <c r="L544" s="2"/>
      <c r="M544" s="23"/>
      <c r="N544" s="31"/>
      <c r="O544" s="23"/>
      <c r="P544" s="30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</row>
    <row r="545" spans="1:28" x14ac:dyDescent="0.25">
      <c r="A545" s="2"/>
      <c r="B545" s="2"/>
      <c r="C545" s="2"/>
      <c r="D545" s="22"/>
      <c r="E545" s="2"/>
      <c r="F545" s="2"/>
      <c r="G545" s="2"/>
      <c r="H545" s="2"/>
      <c r="I545" s="2"/>
      <c r="J545" s="2"/>
      <c r="K545" s="2"/>
      <c r="L545" s="2"/>
      <c r="M545" s="23"/>
      <c r="N545" s="31"/>
      <c r="O545" s="23"/>
      <c r="P545" s="30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</row>
    <row r="546" spans="1:28" x14ac:dyDescent="0.25">
      <c r="A546" s="2"/>
      <c r="B546" s="2"/>
      <c r="C546" s="2"/>
      <c r="D546" s="22"/>
      <c r="E546" s="2"/>
      <c r="F546" s="2"/>
      <c r="G546" s="2"/>
      <c r="H546" s="2"/>
      <c r="I546" s="2"/>
      <c r="J546" s="2"/>
      <c r="K546" s="2"/>
      <c r="L546" s="2"/>
      <c r="M546" s="23"/>
      <c r="N546" s="31"/>
      <c r="O546" s="23"/>
      <c r="P546" s="30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</row>
    <row r="547" spans="1:28" x14ac:dyDescent="0.25">
      <c r="A547" s="2"/>
      <c r="B547" s="2"/>
      <c r="C547" s="2"/>
      <c r="D547" s="22"/>
      <c r="E547" s="2"/>
      <c r="F547" s="2"/>
      <c r="G547" s="2"/>
      <c r="H547" s="2"/>
      <c r="I547" s="2"/>
      <c r="J547" s="2"/>
      <c r="K547" s="2"/>
      <c r="L547" s="2"/>
      <c r="M547" s="23"/>
      <c r="N547" s="31"/>
      <c r="O547" s="23"/>
      <c r="P547" s="30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</row>
    <row r="548" spans="1:28" x14ac:dyDescent="0.25">
      <c r="A548" s="2"/>
      <c r="B548" s="2"/>
      <c r="C548" s="2"/>
      <c r="D548" s="22"/>
      <c r="E548" s="2"/>
      <c r="F548" s="2"/>
      <c r="G548" s="2"/>
      <c r="H548" s="2"/>
      <c r="I548" s="2"/>
      <c r="J548" s="2"/>
      <c r="K548" s="2"/>
      <c r="L548" s="2"/>
      <c r="M548" s="23"/>
      <c r="N548" s="31"/>
      <c r="O548" s="23"/>
      <c r="P548" s="30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</row>
    <row r="549" spans="1:28" x14ac:dyDescent="0.25">
      <c r="A549" s="2"/>
      <c r="B549" s="2"/>
      <c r="C549" s="2"/>
      <c r="D549" s="22"/>
      <c r="E549" s="2"/>
      <c r="F549" s="2"/>
      <c r="G549" s="2"/>
      <c r="H549" s="2"/>
      <c r="I549" s="2"/>
      <c r="J549" s="2"/>
      <c r="K549" s="2"/>
      <c r="L549" s="2"/>
      <c r="M549" s="23"/>
      <c r="N549" s="31"/>
      <c r="O549" s="23"/>
      <c r="P549" s="30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</row>
    <row r="550" spans="1:28" x14ac:dyDescent="0.25">
      <c r="A550" s="2"/>
      <c r="B550" s="2"/>
      <c r="C550" s="2"/>
      <c r="D550" s="22"/>
      <c r="E550" s="2"/>
      <c r="F550" s="2"/>
      <c r="G550" s="2"/>
      <c r="H550" s="2"/>
      <c r="I550" s="2"/>
      <c r="J550" s="2"/>
      <c r="K550" s="2"/>
      <c r="L550" s="2"/>
      <c r="M550" s="23"/>
      <c r="N550" s="31"/>
      <c r="O550" s="23"/>
      <c r="P550" s="30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</row>
    <row r="551" spans="1:28" x14ac:dyDescent="0.25">
      <c r="A551" s="2"/>
      <c r="B551" s="2"/>
      <c r="C551" s="2"/>
      <c r="D551" s="22"/>
      <c r="E551" s="2"/>
      <c r="F551" s="2"/>
      <c r="G551" s="2"/>
      <c r="H551" s="2"/>
      <c r="I551" s="2"/>
      <c r="J551" s="2"/>
      <c r="K551" s="2"/>
      <c r="L551" s="2"/>
      <c r="M551" s="23"/>
      <c r="N551" s="31"/>
      <c r="O551" s="23"/>
      <c r="P551" s="30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</row>
    <row r="552" spans="1:28" x14ac:dyDescent="0.25">
      <c r="A552" s="2"/>
      <c r="B552" s="2"/>
      <c r="C552" s="2"/>
      <c r="D552" s="22"/>
      <c r="E552" s="2"/>
      <c r="F552" s="2"/>
      <c r="G552" s="2"/>
      <c r="H552" s="2"/>
      <c r="I552" s="2"/>
      <c r="J552" s="2"/>
      <c r="K552" s="2"/>
      <c r="L552" s="2"/>
      <c r="M552" s="23"/>
      <c r="N552" s="31"/>
      <c r="O552" s="23"/>
      <c r="P552" s="30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</row>
    <row r="553" spans="1:28" x14ac:dyDescent="0.25">
      <c r="A553" s="2"/>
      <c r="B553" s="2"/>
      <c r="C553" s="2"/>
      <c r="D553" s="22"/>
      <c r="E553" s="2"/>
      <c r="F553" s="2"/>
      <c r="G553" s="2"/>
      <c r="H553" s="2"/>
      <c r="I553" s="2"/>
      <c r="J553" s="2"/>
      <c r="K553" s="2"/>
      <c r="L553" s="2"/>
      <c r="M553" s="23"/>
      <c r="N553" s="31"/>
      <c r="O553" s="23"/>
      <c r="P553" s="30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</row>
    <row r="554" spans="1:28" x14ac:dyDescent="0.25">
      <c r="A554" s="2"/>
      <c r="B554" s="2"/>
      <c r="C554" s="2"/>
      <c r="D554" s="22"/>
      <c r="E554" s="2"/>
      <c r="F554" s="2"/>
      <c r="G554" s="2"/>
      <c r="H554" s="2"/>
      <c r="I554" s="2"/>
      <c r="J554" s="2"/>
      <c r="K554" s="2"/>
      <c r="L554" s="2"/>
      <c r="M554" s="23"/>
      <c r="N554" s="31"/>
      <c r="O554" s="23"/>
      <c r="P554" s="30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</row>
    <row r="555" spans="1:28" x14ac:dyDescent="0.25">
      <c r="A555" s="2"/>
      <c r="B555" s="2"/>
      <c r="C555" s="2"/>
      <c r="D555" s="22"/>
      <c r="E555" s="2"/>
      <c r="F555" s="2"/>
      <c r="G555" s="2"/>
      <c r="H555" s="2"/>
      <c r="I555" s="2"/>
      <c r="J555" s="2"/>
      <c r="K555" s="2"/>
      <c r="L555" s="2"/>
      <c r="M555" s="23"/>
      <c r="N555" s="31"/>
      <c r="O555" s="23"/>
      <c r="P555" s="30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</row>
    <row r="556" spans="1:28" x14ac:dyDescent="0.25">
      <c r="A556" s="2"/>
      <c r="B556" s="2"/>
      <c r="C556" s="2"/>
      <c r="D556" s="22"/>
      <c r="E556" s="2"/>
      <c r="F556" s="2"/>
      <c r="G556" s="2"/>
      <c r="H556" s="2"/>
      <c r="I556" s="2"/>
      <c r="J556" s="2"/>
      <c r="K556" s="2"/>
      <c r="L556" s="2"/>
      <c r="M556" s="23"/>
      <c r="N556" s="31"/>
      <c r="O556" s="23"/>
      <c r="P556" s="30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</row>
    <row r="557" spans="1:28" x14ac:dyDescent="0.25">
      <c r="A557" s="2"/>
      <c r="B557" s="2"/>
      <c r="C557" s="2"/>
      <c r="D557" s="22"/>
      <c r="E557" s="2"/>
      <c r="F557" s="2"/>
      <c r="G557" s="2"/>
      <c r="H557" s="2"/>
      <c r="I557" s="2"/>
      <c r="J557" s="2"/>
      <c r="K557" s="2"/>
      <c r="L557" s="2"/>
      <c r="M557" s="23"/>
      <c r="N557" s="31"/>
      <c r="O557" s="23"/>
      <c r="P557" s="30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</row>
    <row r="558" spans="1:28" x14ac:dyDescent="0.25">
      <c r="A558" s="2"/>
      <c r="B558" s="2"/>
      <c r="C558" s="2"/>
      <c r="D558" s="22"/>
      <c r="E558" s="2"/>
      <c r="F558" s="2"/>
      <c r="G558" s="2"/>
      <c r="H558" s="2"/>
      <c r="I558" s="2"/>
      <c r="J558" s="2"/>
      <c r="K558" s="2"/>
      <c r="L558" s="2"/>
      <c r="M558" s="23"/>
      <c r="N558" s="31"/>
      <c r="O558" s="23"/>
      <c r="P558" s="30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</row>
    <row r="559" spans="1:28" x14ac:dyDescent="0.25">
      <c r="A559" s="2"/>
      <c r="B559" s="2"/>
      <c r="C559" s="2"/>
      <c r="D559" s="22"/>
      <c r="E559" s="2"/>
      <c r="F559" s="2"/>
      <c r="G559" s="2"/>
      <c r="H559" s="2"/>
      <c r="I559" s="2"/>
      <c r="J559" s="2"/>
      <c r="K559" s="2"/>
      <c r="L559" s="2"/>
      <c r="M559" s="23"/>
      <c r="N559" s="31"/>
      <c r="O559" s="23"/>
      <c r="P559" s="30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</row>
    <row r="560" spans="1:28" x14ac:dyDescent="0.25">
      <c r="A560" s="2"/>
      <c r="B560" s="2"/>
      <c r="C560" s="2"/>
      <c r="D560" s="22"/>
      <c r="E560" s="2"/>
      <c r="F560" s="2"/>
      <c r="G560" s="2"/>
      <c r="H560" s="2"/>
      <c r="I560" s="2"/>
      <c r="J560" s="2"/>
      <c r="K560" s="2"/>
      <c r="L560" s="2"/>
      <c r="M560" s="23"/>
      <c r="N560" s="31"/>
      <c r="O560" s="23"/>
      <c r="P560" s="30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</row>
    <row r="561" spans="1:28" x14ac:dyDescent="0.25">
      <c r="A561" s="2"/>
      <c r="B561" s="2"/>
      <c r="C561" s="2"/>
      <c r="D561" s="22"/>
      <c r="E561" s="2"/>
      <c r="F561" s="2"/>
      <c r="G561" s="2"/>
      <c r="H561" s="2"/>
      <c r="I561" s="2"/>
      <c r="J561" s="2"/>
      <c r="K561" s="2"/>
      <c r="L561" s="2"/>
      <c r="M561" s="23"/>
      <c r="N561" s="31"/>
      <c r="O561" s="23"/>
      <c r="P561" s="30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</row>
    <row r="562" spans="1:28" x14ac:dyDescent="0.25">
      <c r="A562" s="2"/>
      <c r="B562" s="2"/>
      <c r="C562" s="2"/>
      <c r="D562" s="22"/>
      <c r="E562" s="2"/>
      <c r="F562" s="2"/>
      <c r="G562" s="2"/>
      <c r="H562" s="2"/>
      <c r="I562" s="2"/>
      <c r="J562" s="2"/>
      <c r="K562" s="2"/>
      <c r="L562" s="2"/>
      <c r="M562" s="23"/>
      <c r="N562" s="31"/>
      <c r="O562" s="23"/>
      <c r="P562" s="30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</row>
    <row r="563" spans="1:28" x14ac:dyDescent="0.25">
      <c r="A563" s="2"/>
      <c r="B563" s="2"/>
      <c r="C563" s="2"/>
      <c r="D563" s="22"/>
      <c r="E563" s="2"/>
      <c r="F563" s="2"/>
      <c r="G563" s="2"/>
      <c r="H563" s="2"/>
      <c r="I563" s="2"/>
      <c r="J563" s="2"/>
      <c r="K563" s="2"/>
      <c r="L563" s="2"/>
      <c r="M563" s="23"/>
      <c r="N563" s="31"/>
      <c r="O563" s="23"/>
      <c r="P563" s="30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</row>
    <row r="564" spans="1:28" x14ac:dyDescent="0.25">
      <c r="A564" s="2"/>
      <c r="B564" s="2"/>
      <c r="C564" s="2"/>
      <c r="D564" s="22"/>
      <c r="E564" s="2"/>
      <c r="F564" s="2"/>
      <c r="G564" s="2"/>
      <c r="H564" s="2"/>
      <c r="I564" s="2"/>
      <c r="J564" s="2"/>
      <c r="K564" s="2"/>
      <c r="L564" s="2"/>
      <c r="M564" s="23"/>
      <c r="N564" s="31"/>
      <c r="O564" s="23"/>
      <c r="P564" s="30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</row>
    <row r="565" spans="1:28" x14ac:dyDescent="0.25">
      <c r="A565" s="2"/>
      <c r="B565" s="2"/>
      <c r="C565" s="2"/>
      <c r="D565" s="22"/>
      <c r="E565" s="2"/>
      <c r="F565" s="2"/>
      <c r="G565" s="2"/>
      <c r="H565" s="2"/>
      <c r="I565" s="2"/>
      <c r="J565" s="2"/>
      <c r="K565" s="2"/>
      <c r="L565" s="2"/>
      <c r="M565" s="23"/>
      <c r="N565" s="31"/>
      <c r="O565" s="23"/>
      <c r="P565" s="30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</row>
    <row r="566" spans="1:28" x14ac:dyDescent="0.25">
      <c r="A566" s="2"/>
      <c r="B566" s="2"/>
      <c r="C566" s="2"/>
      <c r="D566" s="22"/>
      <c r="E566" s="2"/>
      <c r="F566" s="2"/>
      <c r="G566" s="2"/>
      <c r="H566" s="2"/>
      <c r="I566" s="2"/>
      <c r="J566" s="2"/>
      <c r="K566" s="2"/>
      <c r="L566" s="2"/>
      <c r="M566" s="23"/>
      <c r="N566" s="31"/>
      <c r="O566" s="23"/>
      <c r="P566" s="30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</row>
    <row r="567" spans="1:28" x14ac:dyDescent="0.25">
      <c r="A567" s="2"/>
      <c r="B567" s="2"/>
      <c r="C567" s="2"/>
      <c r="D567" s="22"/>
      <c r="E567" s="2"/>
      <c r="F567" s="2"/>
      <c r="G567" s="2"/>
      <c r="H567" s="2"/>
      <c r="I567" s="2"/>
      <c r="J567" s="2"/>
      <c r="K567" s="2"/>
      <c r="L567" s="2"/>
      <c r="M567" s="23"/>
      <c r="N567" s="31"/>
      <c r="O567" s="23"/>
      <c r="P567" s="30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</row>
    <row r="568" spans="1:28" x14ac:dyDescent="0.25">
      <c r="A568" s="2"/>
      <c r="B568" s="2"/>
      <c r="C568" s="2"/>
      <c r="D568" s="22"/>
      <c r="E568" s="2"/>
      <c r="F568" s="2"/>
      <c r="G568" s="2"/>
      <c r="H568" s="2"/>
      <c r="I568" s="2"/>
      <c r="J568" s="2"/>
      <c r="K568" s="2"/>
      <c r="L568" s="2"/>
      <c r="M568" s="23"/>
      <c r="N568" s="31"/>
      <c r="O568" s="23"/>
      <c r="P568" s="30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</row>
    <row r="569" spans="1:28" x14ac:dyDescent="0.25">
      <c r="A569" s="2"/>
      <c r="B569" s="2"/>
      <c r="C569" s="2"/>
      <c r="D569" s="22"/>
      <c r="E569" s="2"/>
      <c r="F569" s="2"/>
      <c r="G569" s="2"/>
      <c r="H569" s="2"/>
      <c r="I569" s="2"/>
      <c r="J569" s="2"/>
      <c r="K569" s="2"/>
      <c r="L569" s="2"/>
      <c r="M569" s="23"/>
      <c r="N569" s="31"/>
      <c r="O569" s="23"/>
      <c r="P569" s="30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</row>
    <row r="570" spans="1:28" x14ac:dyDescent="0.25">
      <c r="A570" s="2"/>
      <c r="B570" s="2"/>
      <c r="C570" s="2"/>
      <c r="D570" s="22"/>
      <c r="E570" s="2"/>
      <c r="F570" s="2"/>
      <c r="G570" s="2"/>
      <c r="H570" s="2"/>
      <c r="I570" s="2"/>
      <c r="J570" s="2"/>
      <c r="K570" s="2"/>
      <c r="L570" s="2"/>
      <c r="M570" s="23"/>
      <c r="N570" s="31"/>
      <c r="O570" s="23"/>
      <c r="P570" s="30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</row>
    <row r="571" spans="1:28" x14ac:dyDescent="0.25">
      <c r="A571" s="2"/>
      <c r="B571" s="2"/>
      <c r="C571" s="2"/>
      <c r="D571" s="22"/>
      <c r="E571" s="2"/>
      <c r="F571" s="2"/>
      <c r="G571" s="2"/>
      <c r="H571" s="2"/>
      <c r="I571" s="2"/>
      <c r="J571" s="2"/>
      <c r="K571" s="2"/>
      <c r="L571" s="2"/>
      <c r="M571" s="23"/>
      <c r="N571" s="31"/>
      <c r="O571" s="23"/>
      <c r="P571" s="30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</row>
    <row r="572" spans="1:28" x14ac:dyDescent="0.25">
      <c r="A572" s="2"/>
      <c r="B572" s="2"/>
      <c r="C572" s="2"/>
      <c r="D572" s="22"/>
      <c r="E572" s="2"/>
      <c r="F572" s="2"/>
      <c r="G572" s="2"/>
      <c r="H572" s="2"/>
      <c r="I572" s="2"/>
      <c r="J572" s="2"/>
      <c r="K572" s="2"/>
      <c r="L572" s="2"/>
      <c r="M572" s="23"/>
      <c r="N572" s="31"/>
      <c r="O572" s="23"/>
      <c r="P572" s="30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</row>
    <row r="573" spans="1:28" x14ac:dyDescent="0.25">
      <c r="A573" s="2"/>
      <c r="B573" s="2"/>
      <c r="C573" s="2"/>
      <c r="D573" s="22"/>
      <c r="E573" s="2"/>
      <c r="F573" s="2"/>
      <c r="G573" s="2"/>
      <c r="H573" s="2"/>
      <c r="I573" s="2"/>
      <c r="J573" s="2"/>
      <c r="K573" s="2"/>
      <c r="L573" s="2"/>
      <c r="M573" s="23"/>
      <c r="N573" s="31"/>
      <c r="O573" s="23"/>
      <c r="P573" s="30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</row>
    <row r="574" spans="1:28" x14ac:dyDescent="0.25">
      <c r="A574" s="2"/>
      <c r="B574" s="2"/>
      <c r="C574" s="2"/>
      <c r="D574" s="22"/>
      <c r="E574" s="2"/>
      <c r="F574" s="2"/>
      <c r="G574" s="2"/>
      <c r="H574" s="2"/>
      <c r="I574" s="2"/>
      <c r="J574" s="2"/>
      <c r="K574" s="2"/>
      <c r="L574" s="2"/>
      <c r="M574" s="23"/>
      <c r="N574" s="31"/>
      <c r="O574" s="23"/>
      <c r="P574" s="30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</row>
    <row r="575" spans="1:28" x14ac:dyDescent="0.25">
      <c r="A575" s="2"/>
      <c r="B575" s="2"/>
      <c r="C575" s="2"/>
      <c r="D575" s="22"/>
      <c r="E575" s="2"/>
      <c r="F575" s="2"/>
      <c r="G575" s="2"/>
      <c r="H575" s="2"/>
      <c r="I575" s="2"/>
      <c r="J575" s="2"/>
      <c r="K575" s="2"/>
      <c r="L575" s="2"/>
      <c r="M575" s="23"/>
      <c r="N575" s="31"/>
      <c r="O575" s="23"/>
      <c r="P575" s="30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</row>
    <row r="576" spans="1:28" x14ac:dyDescent="0.25">
      <c r="A576" s="2"/>
      <c r="B576" s="2"/>
      <c r="C576" s="2"/>
      <c r="D576" s="22"/>
      <c r="E576" s="2"/>
      <c r="F576" s="2"/>
      <c r="G576" s="2"/>
      <c r="H576" s="2"/>
      <c r="I576" s="2"/>
      <c r="J576" s="2"/>
      <c r="K576" s="2"/>
      <c r="L576" s="2"/>
      <c r="M576" s="23"/>
      <c r="N576" s="31"/>
      <c r="O576" s="23"/>
      <c r="P576" s="30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</row>
    <row r="577" spans="1:28" x14ac:dyDescent="0.25">
      <c r="A577" s="2"/>
      <c r="B577" s="2"/>
      <c r="C577" s="2"/>
      <c r="D577" s="22"/>
      <c r="E577" s="2"/>
      <c r="F577" s="2"/>
      <c r="G577" s="2"/>
      <c r="H577" s="2"/>
      <c r="I577" s="2"/>
      <c r="J577" s="2"/>
      <c r="K577" s="2"/>
      <c r="L577" s="2"/>
      <c r="M577" s="23"/>
      <c r="N577" s="31"/>
      <c r="O577" s="23"/>
      <c r="P577" s="30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</row>
    <row r="578" spans="1:28" x14ac:dyDescent="0.25">
      <c r="A578" s="2"/>
      <c r="B578" s="2"/>
      <c r="C578" s="2"/>
      <c r="D578" s="22"/>
      <c r="E578" s="2"/>
      <c r="F578" s="2"/>
      <c r="G578" s="2"/>
      <c r="H578" s="2"/>
      <c r="I578" s="2"/>
      <c r="J578" s="2"/>
      <c r="K578" s="2"/>
      <c r="L578" s="2"/>
      <c r="M578" s="23"/>
      <c r="N578" s="31"/>
      <c r="O578" s="23"/>
      <c r="P578" s="30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</row>
    <row r="579" spans="1:28" x14ac:dyDescent="0.25">
      <c r="A579" s="2"/>
      <c r="B579" s="2"/>
      <c r="C579" s="2"/>
      <c r="D579" s="22"/>
      <c r="E579" s="2"/>
      <c r="F579" s="2"/>
      <c r="G579" s="2"/>
      <c r="H579" s="2"/>
      <c r="I579" s="2"/>
      <c r="J579" s="2"/>
      <c r="K579" s="2"/>
      <c r="L579" s="2"/>
      <c r="M579" s="23"/>
      <c r="N579" s="31"/>
      <c r="O579" s="23"/>
      <c r="P579" s="30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</row>
    <row r="580" spans="1:28" x14ac:dyDescent="0.25">
      <c r="A580" s="2"/>
      <c r="B580" s="2"/>
      <c r="C580" s="2"/>
      <c r="D580" s="22"/>
      <c r="E580" s="2"/>
      <c r="F580" s="2"/>
      <c r="G580" s="2"/>
      <c r="H580" s="2"/>
      <c r="I580" s="2"/>
      <c r="J580" s="2"/>
      <c r="K580" s="2"/>
      <c r="L580" s="2"/>
      <c r="M580" s="23"/>
      <c r="N580" s="31"/>
      <c r="O580" s="23"/>
      <c r="P580" s="30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</row>
    <row r="581" spans="1:28" x14ac:dyDescent="0.25">
      <c r="A581" s="2"/>
      <c r="B581" s="2"/>
      <c r="C581" s="2"/>
      <c r="D581" s="22"/>
      <c r="E581" s="2"/>
      <c r="F581" s="2"/>
      <c r="G581" s="2"/>
      <c r="H581" s="2"/>
      <c r="I581" s="2"/>
      <c r="J581" s="2"/>
      <c r="K581" s="2"/>
      <c r="L581" s="2"/>
      <c r="M581" s="23"/>
      <c r="N581" s="31"/>
      <c r="O581" s="23"/>
      <c r="P581" s="30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</row>
    <row r="582" spans="1:28" x14ac:dyDescent="0.25">
      <c r="A582" s="2"/>
      <c r="B582" s="2"/>
      <c r="C582" s="2"/>
      <c r="D582" s="22"/>
      <c r="E582" s="2"/>
      <c r="F582" s="2"/>
      <c r="G582" s="2"/>
      <c r="H582" s="2"/>
      <c r="I582" s="2"/>
      <c r="J582" s="2"/>
      <c r="K582" s="2"/>
      <c r="L582" s="2"/>
      <c r="M582" s="23"/>
      <c r="N582" s="31"/>
      <c r="O582" s="23"/>
      <c r="P582" s="30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</row>
    <row r="583" spans="1:28" x14ac:dyDescent="0.25">
      <c r="A583" s="2"/>
      <c r="B583" s="2"/>
      <c r="C583" s="2"/>
      <c r="D583" s="22"/>
      <c r="E583" s="2"/>
      <c r="F583" s="2"/>
      <c r="G583" s="2"/>
      <c r="H583" s="2"/>
      <c r="I583" s="2"/>
      <c r="J583" s="2"/>
      <c r="K583" s="2"/>
      <c r="L583" s="2"/>
      <c r="M583" s="23"/>
      <c r="N583" s="31"/>
      <c r="O583" s="23"/>
      <c r="P583" s="30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</row>
    <row r="584" spans="1:28" x14ac:dyDescent="0.25">
      <c r="A584" s="2"/>
      <c r="B584" s="2"/>
      <c r="C584" s="2"/>
      <c r="D584" s="22"/>
      <c r="E584" s="2"/>
      <c r="F584" s="2"/>
      <c r="G584" s="2"/>
      <c r="H584" s="2"/>
      <c r="I584" s="2"/>
      <c r="J584" s="2"/>
      <c r="K584" s="2"/>
      <c r="L584" s="2"/>
      <c r="M584" s="23"/>
      <c r="N584" s="31"/>
      <c r="O584" s="23"/>
      <c r="P584" s="30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</row>
    <row r="585" spans="1:28" x14ac:dyDescent="0.25">
      <c r="A585" s="2"/>
      <c r="B585" s="2"/>
      <c r="C585" s="2"/>
      <c r="D585" s="22"/>
      <c r="E585" s="2"/>
      <c r="F585" s="2"/>
      <c r="G585" s="2"/>
      <c r="H585" s="2"/>
      <c r="I585" s="2"/>
      <c r="J585" s="2"/>
      <c r="K585" s="2"/>
      <c r="L585" s="2"/>
      <c r="M585" s="23"/>
      <c r="N585" s="31"/>
      <c r="O585" s="23"/>
      <c r="P585" s="30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</row>
    <row r="586" spans="1:28" x14ac:dyDescent="0.25">
      <c r="A586" s="2"/>
      <c r="B586" s="2"/>
      <c r="C586" s="2"/>
      <c r="D586" s="22"/>
      <c r="E586" s="2"/>
      <c r="F586" s="2"/>
      <c r="G586" s="2"/>
      <c r="H586" s="2"/>
      <c r="I586" s="2"/>
      <c r="J586" s="2"/>
      <c r="K586" s="2"/>
      <c r="L586" s="2"/>
      <c r="M586" s="23"/>
      <c r="N586" s="31"/>
      <c r="O586" s="23"/>
      <c r="P586" s="30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</row>
    <row r="587" spans="1:28" x14ac:dyDescent="0.25">
      <c r="A587" s="2"/>
      <c r="B587" s="2"/>
      <c r="C587" s="2"/>
      <c r="D587" s="22"/>
      <c r="E587" s="2"/>
      <c r="F587" s="2"/>
      <c r="G587" s="2"/>
      <c r="H587" s="2"/>
      <c r="I587" s="2"/>
      <c r="J587" s="2"/>
      <c r="K587" s="2"/>
      <c r="L587" s="2"/>
      <c r="M587" s="23"/>
      <c r="N587" s="31"/>
      <c r="O587" s="23"/>
      <c r="P587" s="30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</row>
    <row r="588" spans="1:28" x14ac:dyDescent="0.25">
      <c r="A588" s="2"/>
      <c r="B588" s="2"/>
      <c r="C588" s="2"/>
      <c r="D588" s="22"/>
      <c r="E588" s="2"/>
      <c r="F588" s="2"/>
      <c r="G588" s="2"/>
      <c r="H588" s="2"/>
      <c r="I588" s="2"/>
      <c r="J588" s="2"/>
      <c r="K588" s="2"/>
      <c r="L588" s="2"/>
      <c r="M588" s="23"/>
      <c r="N588" s="31"/>
      <c r="O588" s="23"/>
      <c r="P588" s="30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</row>
    <row r="589" spans="1:28" x14ac:dyDescent="0.25">
      <c r="A589" s="2"/>
      <c r="B589" s="2"/>
      <c r="C589" s="2"/>
      <c r="D589" s="22"/>
      <c r="E589" s="2"/>
      <c r="F589" s="2"/>
      <c r="G589" s="2"/>
      <c r="H589" s="2"/>
      <c r="I589" s="2"/>
      <c r="J589" s="2"/>
      <c r="K589" s="2"/>
      <c r="L589" s="2"/>
      <c r="M589" s="23"/>
      <c r="N589" s="31"/>
      <c r="O589" s="23"/>
      <c r="P589" s="30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</row>
    <row r="590" spans="1:28" x14ac:dyDescent="0.25">
      <c r="A590" s="2"/>
      <c r="B590" s="2"/>
      <c r="C590" s="2"/>
      <c r="D590" s="22"/>
      <c r="E590" s="2"/>
      <c r="F590" s="2"/>
      <c r="G590" s="2"/>
      <c r="H590" s="2"/>
      <c r="I590" s="2"/>
      <c r="J590" s="2"/>
      <c r="K590" s="2"/>
      <c r="L590" s="2"/>
      <c r="M590" s="23"/>
      <c r="N590" s="31"/>
      <c r="O590" s="23"/>
      <c r="P590" s="30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</row>
    <row r="591" spans="1:28" x14ac:dyDescent="0.25">
      <c r="A591" s="2"/>
      <c r="B591" s="2"/>
      <c r="C591" s="2"/>
      <c r="D591" s="22"/>
      <c r="E591" s="2"/>
      <c r="F591" s="2"/>
      <c r="G591" s="2"/>
      <c r="H591" s="2"/>
      <c r="I591" s="2"/>
      <c r="J591" s="2"/>
      <c r="K591" s="2"/>
      <c r="L591" s="2"/>
      <c r="M591" s="23"/>
      <c r="N591" s="31"/>
      <c r="O591" s="23"/>
      <c r="P591" s="30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</row>
    <row r="592" spans="1:28" x14ac:dyDescent="0.25">
      <c r="A592" s="2"/>
      <c r="B592" s="2"/>
      <c r="C592" s="2"/>
      <c r="D592" s="22"/>
      <c r="E592" s="2"/>
      <c r="F592" s="2"/>
      <c r="G592" s="2"/>
      <c r="H592" s="2"/>
      <c r="I592" s="2"/>
      <c r="J592" s="2"/>
      <c r="K592" s="2"/>
      <c r="L592" s="2"/>
      <c r="M592" s="23"/>
      <c r="N592" s="31"/>
      <c r="O592" s="23"/>
      <c r="P592" s="30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</row>
    <row r="593" spans="1:28" x14ac:dyDescent="0.25">
      <c r="A593" s="2"/>
      <c r="B593" s="2"/>
      <c r="C593" s="2"/>
      <c r="D593" s="22"/>
      <c r="E593" s="2"/>
      <c r="F593" s="2"/>
      <c r="G593" s="2"/>
      <c r="H593" s="2"/>
      <c r="I593" s="2"/>
      <c r="J593" s="2"/>
      <c r="K593" s="2"/>
      <c r="L593" s="2"/>
      <c r="M593" s="23"/>
      <c r="N593" s="31"/>
      <c r="O593" s="23"/>
      <c r="P593" s="30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</row>
    <row r="594" spans="1:28" x14ac:dyDescent="0.25">
      <c r="A594" s="2"/>
      <c r="B594" s="2"/>
      <c r="C594" s="2"/>
      <c r="D594" s="22"/>
      <c r="E594" s="2"/>
      <c r="F594" s="2"/>
      <c r="G594" s="2"/>
      <c r="H594" s="2"/>
      <c r="I594" s="2"/>
      <c r="J594" s="2"/>
      <c r="K594" s="2"/>
      <c r="L594" s="2"/>
      <c r="M594" s="23"/>
      <c r="N594" s="31"/>
      <c r="O594" s="23"/>
      <c r="P594" s="30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</row>
    <row r="595" spans="1:28" x14ac:dyDescent="0.25">
      <c r="A595" s="2"/>
      <c r="B595" s="2"/>
      <c r="C595" s="2"/>
      <c r="D595" s="22"/>
      <c r="E595" s="2"/>
      <c r="F595" s="2"/>
      <c r="G595" s="2"/>
      <c r="H595" s="2"/>
      <c r="I595" s="2"/>
      <c r="J595" s="2"/>
      <c r="K595" s="2"/>
      <c r="L595" s="2"/>
      <c r="M595" s="23"/>
      <c r="N595" s="31"/>
      <c r="O595" s="23"/>
      <c r="P595" s="30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</row>
    <row r="596" spans="1:28" x14ac:dyDescent="0.25">
      <c r="A596" s="2"/>
      <c r="B596" s="2"/>
      <c r="C596" s="2"/>
      <c r="D596" s="22"/>
      <c r="E596" s="2"/>
      <c r="F596" s="2"/>
      <c r="G596" s="2"/>
      <c r="H596" s="2"/>
      <c r="I596" s="2"/>
      <c r="J596" s="2"/>
      <c r="K596" s="2"/>
      <c r="L596" s="2"/>
      <c r="M596" s="23"/>
      <c r="N596" s="31"/>
      <c r="O596" s="23"/>
      <c r="P596" s="30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</row>
    <row r="597" spans="1:28" x14ac:dyDescent="0.25">
      <c r="A597" s="2"/>
      <c r="B597" s="2"/>
      <c r="C597" s="2"/>
      <c r="D597" s="22"/>
      <c r="E597" s="2"/>
      <c r="F597" s="2"/>
      <c r="G597" s="2"/>
      <c r="H597" s="2"/>
      <c r="I597" s="2"/>
      <c r="J597" s="2"/>
      <c r="K597" s="2"/>
      <c r="L597" s="2"/>
      <c r="M597" s="23"/>
      <c r="N597" s="31"/>
      <c r="O597" s="23"/>
      <c r="P597" s="30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</row>
    <row r="598" spans="1:28" x14ac:dyDescent="0.25">
      <c r="A598" s="2"/>
      <c r="B598" s="2"/>
      <c r="C598" s="2"/>
      <c r="D598" s="22"/>
      <c r="E598" s="2"/>
      <c r="F598" s="2"/>
      <c r="G598" s="2"/>
      <c r="H598" s="2"/>
      <c r="I598" s="2"/>
      <c r="J598" s="2"/>
      <c r="K598" s="2"/>
      <c r="L598" s="2"/>
      <c r="M598" s="23"/>
      <c r="N598" s="31"/>
      <c r="O598" s="23"/>
      <c r="P598" s="30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</row>
    <row r="599" spans="1:28" x14ac:dyDescent="0.25">
      <c r="A599" s="2"/>
      <c r="B599" s="2"/>
      <c r="C599" s="2"/>
      <c r="D599" s="22"/>
      <c r="E599" s="2"/>
      <c r="F599" s="2"/>
      <c r="G599" s="2"/>
      <c r="H599" s="2"/>
      <c r="I599" s="2"/>
      <c r="J599" s="2"/>
      <c r="K599" s="2"/>
      <c r="L599" s="2"/>
      <c r="M599" s="23"/>
      <c r="N599" s="31"/>
      <c r="O599" s="23"/>
      <c r="P599" s="30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</row>
    <row r="600" spans="1:28" x14ac:dyDescent="0.25">
      <c r="A600" s="2"/>
      <c r="B600" s="2"/>
      <c r="C600" s="2"/>
      <c r="D600" s="22"/>
      <c r="E600" s="2"/>
      <c r="F600" s="2"/>
      <c r="G600" s="2"/>
      <c r="H600" s="2"/>
      <c r="I600" s="2"/>
      <c r="J600" s="2"/>
      <c r="K600" s="2"/>
      <c r="L600" s="2"/>
      <c r="M600" s="23"/>
      <c r="N600" s="31"/>
      <c r="O600" s="23"/>
      <c r="P600" s="30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</row>
    <row r="601" spans="1:28" x14ac:dyDescent="0.25">
      <c r="A601" s="2"/>
      <c r="B601" s="2"/>
      <c r="C601" s="2"/>
      <c r="D601" s="22"/>
      <c r="E601" s="2"/>
      <c r="F601" s="2"/>
      <c r="G601" s="2"/>
      <c r="H601" s="2"/>
      <c r="I601" s="2"/>
      <c r="J601" s="2"/>
      <c r="K601" s="2"/>
      <c r="L601" s="2"/>
      <c r="M601" s="23"/>
      <c r="N601" s="31"/>
      <c r="O601" s="23"/>
      <c r="P601" s="30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</row>
    <row r="602" spans="1:28" x14ac:dyDescent="0.25">
      <c r="A602" s="2"/>
      <c r="B602" s="2"/>
      <c r="C602" s="2"/>
      <c r="D602" s="22"/>
      <c r="E602" s="2"/>
      <c r="F602" s="2"/>
      <c r="G602" s="2"/>
      <c r="H602" s="2"/>
      <c r="I602" s="2"/>
      <c r="J602" s="2"/>
      <c r="K602" s="2"/>
      <c r="L602" s="2"/>
      <c r="M602" s="23"/>
      <c r="N602" s="31"/>
      <c r="O602" s="23"/>
      <c r="P602" s="30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</row>
    <row r="603" spans="1:28" x14ac:dyDescent="0.25">
      <c r="A603" s="2"/>
      <c r="B603" s="2"/>
      <c r="C603" s="2"/>
      <c r="D603" s="22"/>
      <c r="E603" s="2"/>
      <c r="F603" s="2"/>
      <c r="G603" s="2"/>
      <c r="H603" s="2"/>
      <c r="I603" s="2"/>
      <c r="J603" s="2"/>
      <c r="K603" s="2"/>
      <c r="L603" s="2"/>
      <c r="M603" s="23"/>
      <c r="N603" s="31"/>
      <c r="O603" s="23"/>
      <c r="P603" s="30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</row>
    <row r="604" spans="1:28" x14ac:dyDescent="0.25">
      <c r="A604" s="2"/>
      <c r="B604" s="2"/>
      <c r="C604" s="2"/>
      <c r="D604" s="22"/>
      <c r="E604" s="2"/>
      <c r="F604" s="2"/>
      <c r="G604" s="2"/>
      <c r="H604" s="2"/>
      <c r="I604" s="2"/>
      <c r="J604" s="2"/>
      <c r="K604" s="2"/>
      <c r="L604" s="2"/>
      <c r="M604" s="23"/>
      <c r="N604" s="31"/>
      <c r="O604" s="23"/>
      <c r="P604" s="30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</row>
    <row r="605" spans="1:28" x14ac:dyDescent="0.25">
      <c r="A605" s="2"/>
      <c r="B605" s="2"/>
      <c r="C605" s="2"/>
      <c r="D605" s="22"/>
      <c r="E605" s="2"/>
      <c r="F605" s="2"/>
      <c r="G605" s="2"/>
      <c r="H605" s="2"/>
      <c r="I605" s="2"/>
      <c r="J605" s="2"/>
      <c r="K605" s="2"/>
      <c r="L605" s="2"/>
      <c r="M605" s="23"/>
      <c r="N605" s="31"/>
      <c r="O605" s="23"/>
      <c r="P605" s="30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</row>
    <row r="606" spans="1:28" x14ac:dyDescent="0.25">
      <c r="A606" s="2"/>
      <c r="B606" s="2"/>
      <c r="C606" s="2"/>
      <c r="D606" s="22"/>
      <c r="E606" s="2"/>
      <c r="F606" s="2"/>
      <c r="G606" s="2"/>
      <c r="H606" s="2"/>
      <c r="I606" s="2"/>
      <c r="J606" s="2"/>
      <c r="K606" s="2"/>
      <c r="L606" s="2"/>
      <c r="M606" s="23"/>
      <c r="N606" s="31"/>
      <c r="O606" s="23"/>
      <c r="P606" s="30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</row>
    <row r="607" spans="1:28" x14ac:dyDescent="0.25">
      <c r="A607" s="2"/>
      <c r="B607" s="2"/>
      <c r="C607" s="2"/>
      <c r="D607" s="22"/>
      <c r="E607" s="2"/>
      <c r="F607" s="2"/>
      <c r="G607" s="2"/>
      <c r="H607" s="2"/>
      <c r="I607" s="2"/>
      <c r="J607" s="2"/>
      <c r="K607" s="2"/>
      <c r="L607" s="2"/>
      <c r="M607" s="23"/>
      <c r="N607" s="31"/>
      <c r="O607" s="23"/>
      <c r="P607" s="30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</row>
    <row r="608" spans="1:28" x14ac:dyDescent="0.25">
      <c r="A608" s="2"/>
      <c r="B608" s="2"/>
      <c r="C608" s="2"/>
      <c r="D608" s="22"/>
      <c r="E608" s="2"/>
      <c r="F608" s="2"/>
      <c r="G608" s="2"/>
      <c r="H608" s="2"/>
      <c r="I608" s="2"/>
      <c r="J608" s="2"/>
      <c r="K608" s="2"/>
      <c r="L608" s="2"/>
      <c r="M608" s="23"/>
      <c r="N608" s="31"/>
      <c r="O608" s="23"/>
      <c r="P608" s="30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</row>
    <row r="609" spans="1:28" x14ac:dyDescent="0.25">
      <c r="A609" s="2"/>
      <c r="B609" s="2"/>
      <c r="C609" s="2"/>
      <c r="D609" s="22"/>
      <c r="E609" s="2"/>
      <c r="F609" s="2"/>
      <c r="G609" s="2"/>
      <c r="H609" s="2"/>
      <c r="I609" s="2"/>
      <c r="J609" s="2"/>
      <c r="K609" s="2"/>
      <c r="L609" s="2"/>
      <c r="M609" s="23"/>
      <c r="N609" s="31"/>
      <c r="O609" s="23"/>
      <c r="P609" s="30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</row>
    <row r="610" spans="1:28" x14ac:dyDescent="0.25">
      <c r="A610" s="2"/>
      <c r="B610" s="2"/>
      <c r="C610" s="2"/>
      <c r="D610" s="22"/>
      <c r="E610" s="2"/>
      <c r="F610" s="2"/>
      <c r="G610" s="2"/>
      <c r="H610" s="2"/>
      <c r="I610" s="2"/>
      <c r="J610" s="2"/>
      <c r="K610" s="2"/>
      <c r="L610" s="2"/>
      <c r="M610" s="23"/>
      <c r="N610" s="31"/>
      <c r="O610" s="23"/>
      <c r="P610" s="30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</row>
    <row r="611" spans="1:28" x14ac:dyDescent="0.25">
      <c r="A611" s="2"/>
      <c r="B611" s="2"/>
      <c r="C611" s="2"/>
      <c r="D611" s="22"/>
      <c r="E611" s="2"/>
      <c r="F611" s="2"/>
      <c r="G611" s="2"/>
      <c r="H611" s="2"/>
      <c r="I611" s="2"/>
      <c r="J611" s="2"/>
      <c r="K611" s="2"/>
      <c r="L611" s="2"/>
      <c r="M611" s="23"/>
      <c r="N611" s="31"/>
      <c r="O611" s="23"/>
      <c r="P611" s="30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</row>
    <row r="612" spans="1:28" x14ac:dyDescent="0.25">
      <c r="A612" s="2"/>
      <c r="B612" s="2"/>
      <c r="C612" s="2"/>
      <c r="D612" s="22"/>
      <c r="E612" s="2"/>
      <c r="F612" s="2"/>
      <c r="G612" s="2"/>
      <c r="H612" s="2"/>
      <c r="I612" s="2"/>
      <c r="J612" s="2"/>
      <c r="K612" s="2"/>
      <c r="L612" s="2"/>
      <c r="M612" s="23"/>
      <c r="N612" s="31"/>
      <c r="O612" s="23"/>
      <c r="P612" s="30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</row>
    <row r="613" spans="1:28" x14ac:dyDescent="0.25">
      <c r="A613" s="2"/>
      <c r="B613" s="2"/>
      <c r="C613" s="2"/>
      <c r="D613" s="22"/>
      <c r="E613" s="2"/>
      <c r="F613" s="2"/>
      <c r="G613" s="2"/>
      <c r="H613" s="2"/>
      <c r="I613" s="2"/>
      <c r="J613" s="2"/>
      <c r="K613" s="2"/>
      <c r="L613" s="2"/>
      <c r="M613" s="23"/>
      <c r="N613" s="31"/>
      <c r="O613" s="23"/>
      <c r="P613" s="30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</row>
    <row r="614" spans="1:28" x14ac:dyDescent="0.25">
      <c r="A614" s="2"/>
      <c r="B614" s="2"/>
      <c r="C614" s="2"/>
      <c r="D614" s="22"/>
      <c r="E614" s="2"/>
      <c r="F614" s="2"/>
      <c r="G614" s="2"/>
      <c r="H614" s="2"/>
      <c r="I614" s="2"/>
      <c r="J614" s="2"/>
      <c r="K614" s="2"/>
      <c r="L614" s="2"/>
      <c r="M614" s="23"/>
      <c r="N614" s="31"/>
      <c r="O614" s="23"/>
      <c r="P614" s="30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</row>
    <row r="615" spans="1:28" x14ac:dyDescent="0.25">
      <c r="A615" s="2"/>
      <c r="B615" s="2"/>
      <c r="C615" s="2"/>
      <c r="D615" s="22"/>
      <c r="E615" s="2"/>
      <c r="F615" s="2"/>
      <c r="G615" s="2"/>
      <c r="H615" s="2"/>
      <c r="I615" s="2"/>
      <c r="J615" s="2"/>
      <c r="K615" s="2"/>
      <c r="L615" s="2"/>
      <c r="M615" s="23"/>
      <c r="N615" s="31"/>
      <c r="O615" s="23"/>
      <c r="P615" s="30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</row>
    <row r="616" spans="1:28" x14ac:dyDescent="0.25">
      <c r="A616" s="2"/>
      <c r="B616" s="2"/>
      <c r="C616" s="2"/>
      <c r="D616" s="22"/>
      <c r="E616" s="2"/>
      <c r="F616" s="2"/>
      <c r="G616" s="2"/>
      <c r="H616" s="2"/>
      <c r="I616" s="2"/>
      <c r="J616" s="2"/>
      <c r="K616" s="2"/>
      <c r="L616" s="2"/>
      <c r="M616" s="23"/>
      <c r="N616" s="31"/>
      <c r="O616" s="23"/>
      <c r="P616" s="30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</row>
    <row r="617" spans="1:28" x14ac:dyDescent="0.25">
      <c r="A617" s="2"/>
      <c r="B617" s="2"/>
      <c r="C617" s="2"/>
      <c r="D617" s="22"/>
      <c r="E617" s="2"/>
      <c r="F617" s="2"/>
      <c r="G617" s="2"/>
      <c r="H617" s="2"/>
      <c r="I617" s="2"/>
      <c r="J617" s="2"/>
      <c r="K617" s="2"/>
      <c r="L617" s="2"/>
      <c r="M617" s="23"/>
      <c r="N617" s="31"/>
      <c r="O617" s="23"/>
      <c r="P617" s="30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</row>
    <row r="618" spans="1:28" x14ac:dyDescent="0.25">
      <c r="A618" s="2"/>
      <c r="B618" s="2"/>
      <c r="C618" s="2"/>
      <c r="D618" s="22"/>
      <c r="E618" s="2"/>
      <c r="F618" s="2"/>
      <c r="G618" s="2"/>
      <c r="H618" s="2"/>
      <c r="I618" s="2"/>
      <c r="J618" s="2"/>
      <c r="K618" s="2"/>
      <c r="L618" s="2"/>
      <c r="M618" s="23"/>
      <c r="N618" s="31"/>
      <c r="O618" s="23"/>
      <c r="P618" s="30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</row>
    <row r="619" spans="1:28" x14ac:dyDescent="0.25">
      <c r="A619" s="2"/>
      <c r="B619" s="2"/>
      <c r="C619" s="2"/>
      <c r="D619" s="22"/>
      <c r="E619" s="2"/>
      <c r="F619" s="2"/>
      <c r="G619" s="2"/>
      <c r="H619" s="2"/>
      <c r="I619" s="2"/>
      <c r="J619" s="2"/>
      <c r="K619" s="2"/>
      <c r="L619" s="2"/>
      <c r="M619" s="23"/>
      <c r="N619" s="31"/>
      <c r="O619" s="23"/>
      <c r="P619" s="30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</row>
    <row r="620" spans="1:28" x14ac:dyDescent="0.25">
      <c r="A620" s="2"/>
      <c r="B620" s="2"/>
      <c r="C620" s="2"/>
      <c r="D620" s="22"/>
      <c r="E620" s="2"/>
      <c r="F620" s="2"/>
      <c r="G620" s="2"/>
      <c r="H620" s="2"/>
      <c r="I620" s="2"/>
      <c r="J620" s="2"/>
      <c r="K620" s="2"/>
      <c r="L620" s="2"/>
      <c r="M620" s="23"/>
      <c r="N620" s="31"/>
      <c r="O620" s="23"/>
      <c r="P620" s="30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</row>
    <row r="621" spans="1:28" x14ac:dyDescent="0.25">
      <c r="A621" s="2"/>
      <c r="B621" s="2"/>
      <c r="C621" s="2"/>
      <c r="D621" s="22"/>
      <c r="E621" s="2"/>
      <c r="F621" s="2"/>
      <c r="G621" s="2"/>
      <c r="H621" s="2"/>
      <c r="I621" s="2"/>
      <c r="J621" s="2"/>
      <c r="K621" s="2"/>
      <c r="L621" s="2"/>
      <c r="M621" s="23"/>
      <c r="N621" s="31"/>
      <c r="O621" s="23"/>
      <c r="P621" s="30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</row>
    <row r="622" spans="1:28" x14ac:dyDescent="0.25">
      <c r="A622" s="2"/>
      <c r="B622" s="2"/>
      <c r="C622" s="2"/>
      <c r="D622" s="22"/>
      <c r="E622" s="2"/>
      <c r="F622" s="2"/>
      <c r="G622" s="2"/>
      <c r="H622" s="2"/>
      <c r="I622" s="2"/>
      <c r="J622" s="2"/>
      <c r="K622" s="2"/>
      <c r="L622" s="2"/>
      <c r="M622" s="23"/>
      <c r="N622" s="31"/>
      <c r="O622" s="23"/>
      <c r="P622" s="30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</row>
    <row r="623" spans="1:28" x14ac:dyDescent="0.25">
      <c r="A623" s="2"/>
      <c r="B623" s="2"/>
      <c r="C623" s="2"/>
      <c r="D623" s="22"/>
      <c r="E623" s="2"/>
      <c r="F623" s="2"/>
      <c r="G623" s="2"/>
      <c r="H623" s="2"/>
      <c r="I623" s="2"/>
      <c r="J623" s="2"/>
      <c r="K623" s="2"/>
      <c r="L623" s="2"/>
      <c r="M623" s="23"/>
      <c r="N623" s="31"/>
      <c r="O623" s="23"/>
      <c r="P623" s="30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</row>
    <row r="624" spans="1:28" x14ac:dyDescent="0.25">
      <c r="A624" s="2"/>
      <c r="B624" s="2"/>
      <c r="C624" s="2"/>
      <c r="D624" s="22"/>
      <c r="E624" s="2"/>
      <c r="F624" s="2"/>
      <c r="G624" s="2"/>
      <c r="H624" s="2"/>
      <c r="I624" s="2"/>
      <c r="J624" s="2"/>
      <c r="K624" s="2"/>
      <c r="L624" s="2"/>
      <c r="M624" s="23"/>
      <c r="N624" s="31"/>
      <c r="O624" s="23"/>
      <c r="P624" s="30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</row>
    <row r="625" spans="1:28" x14ac:dyDescent="0.25">
      <c r="A625" s="2"/>
      <c r="B625" s="2"/>
      <c r="C625" s="2"/>
      <c r="D625" s="22"/>
      <c r="E625" s="2"/>
      <c r="F625" s="2"/>
      <c r="G625" s="2"/>
      <c r="H625" s="2"/>
      <c r="I625" s="2"/>
      <c r="J625" s="2"/>
      <c r="K625" s="2"/>
      <c r="L625" s="2"/>
      <c r="M625" s="23"/>
      <c r="N625" s="31"/>
      <c r="O625" s="23"/>
      <c r="P625" s="30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</row>
    <row r="626" spans="1:28" x14ac:dyDescent="0.25">
      <c r="A626" s="2"/>
      <c r="B626" s="2"/>
      <c r="C626" s="2"/>
      <c r="D626" s="22"/>
      <c r="E626" s="2"/>
      <c r="F626" s="2"/>
      <c r="G626" s="2"/>
      <c r="H626" s="2"/>
      <c r="I626" s="2"/>
      <c r="J626" s="2"/>
      <c r="K626" s="2"/>
      <c r="L626" s="2"/>
      <c r="M626" s="23"/>
      <c r="N626" s="31"/>
      <c r="O626" s="23"/>
      <c r="P626" s="30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</row>
    <row r="627" spans="1:28" x14ac:dyDescent="0.25">
      <c r="A627" s="2"/>
      <c r="B627" s="2"/>
      <c r="C627" s="2"/>
      <c r="D627" s="22"/>
      <c r="E627" s="2"/>
      <c r="F627" s="2"/>
      <c r="G627" s="2"/>
      <c r="H627" s="2"/>
      <c r="I627" s="2"/>
      <c r="J627" s="2"/>
      <c r="K627" s="2"/>
      <c r="L627" s="2"/>
      <c r="M627" s="23"/>
      <c r="N627" s="31"/>
      <c r="O627" s="23"/>
      <c r="P627" s="30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</row>
    <row r="628" spans="1:28" x14ac:dyDescent="0.25">
      <c r="A628" s="2"/>
      <c r="B628" s="2"/>
      <c r="C628" s="2"/>
      <c r="D628" s="22"/>
      <c r="E628" s="2"/>
      <c r="F628" s="2"/>
      <c r="G628" s="2"/>
      <c r="H628" s="2"/>
      <c r="I628" s="2"/>
      <c r="J628" s="2"/>
      <c r="K628" s="2"/>
      <c r="L628" s="2"/>
      <c r="M628" s="23"/>
      <c r="N628" s="31"/>
      <c r="O628" s="23"/>
      <c r="P628" s="30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</row>
    <row r="629" spans="1:28" x14ac:dyDescent="0.25">
      <c r="A629" s="2"/>
      <c r="B629" s="2"/>
      <c r="C629" s="2"/>
      <c r="D629" s="22"/>
      <c r="E629" s="2"/>
      <c r="F629" s="2"/>
      <c r="G629" s="2"/>
      <c r="H629" s="2"/>
      <c r="I629" s="2"/>
      <c r="J629" s="2"/>
      <c r="K629" s="2"/>
      <c r="L629" s="2"/>
      <c r="M629" s="23"/>
      <c r="N629" s="31"/>
      <c r="O629" s="23"/>
      <c r="P629" s="30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</row>
    <row r="630" spans="1:28" x14ac:dyDescent="0.25">
      <c r="A630" s="2"/>
      <c r="B630" s="2"/>
      <c r="C630" s="2"/>
      <c r="D630" s="22"/>
      <c r="E630" s="2"/>
      <c r="F630" s="2"/>
      <c r="G630" s="2"/>
      <c r="H630" s="2"/>
      <c r="I630" s="2"/>
      <c r="J630" s="2"/>
      <c r="K630" s="2"/>
      <c r="L630" s="2"/>
      <c r="M630" s="23"/>
      <c r="N630" s="31"/>
      <c r="O630" s="23"/>
      <c r="P630" s="30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</row>
    <row r="631" spans="1:28" x14ac:dyDescent="0.25">
      <c r="A631" s="2"/>
      <c r="B631" s="2"/>
      <c r="C631" s="2"/>
      <c r="D631" s="22"/>
      <c r="E631" s="2"/>
      <c r="F631" s="2"/>
      <c r="G631" s="2"/>
      <c r="H631" s="2"/>
      <c r="I631" s="2"/>
      <c r="J631" s="2"/>
      <c r="K631" s="2"/>
      <c r="L631" s="2"/>
      <c r="M631" s="23"/>
      <c r="N631" s="31"/>
      <c r="O631" s="23"/>
      <c r="P631" s="30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</row>
    <row r="632" spans="1:28" x14ac:dyDescent="0.25">
      <c r="A632" s="2"/>
      <c r="B632" s="2"/>
      <c r="C632" s="2"/>
      <c r="D632" s="22"/>
      <c r="E632" s="2"/>
      <c r="F632" s="2"/>
      <c r="G632" s="2"/>
      <c r="H632" s="2"/>
      <c r="I632" s="2"/>
      <c r="J632" s="2"/>
      <c r="K632" s="2"/>
      <c r="L632" s="2"/>
      <c r="M632" s="23"/>
      <c r="N632" s="31"/>
      <c r="O632" s="23"/>
      <c r="P632" s="30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</row>
    <row r="633" spans="1:28" x14ac:dyDescent="0.25">
      <c r="A633" s="2"/>
      <c r="B633" s="2"/>
      <c r="C633" s="2"/>
      <c r="D633" s="22"/>
      <c r="E633" s="2"/>
      <c r="F633" s="2"/>
      <c r="G633" s="2"/>
      <c r="H633" s="2"/>
      <c r="I633" s="2"/>
      <c r="J633" s="2"/>
      <c r="K633" s="2"/>
      <c r="L633" s="2"/>
      <c r="M633" s="23"/>
      <c r="N633" s="31"/>
      <c r="O633" s="23"/>
      <c r="P633" s="30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</row>
    <row r="634" spans="1:28" x14ac:dyDescent="0.25">
      <c r="A634" s="2"/>
      <c r="B634" s="2"/>
      <c r="C634" s="2"/>
      <c r="D634" s="22"/>
      <c r="E634" s="2"/>
      <c r="F634" s="2"/>
      <c r="G634" s="2"/>
      <c r="H634" s="2"/>
      <c r="I634" s="2"/>
      <c r="J634" s="2"/>
      <c r="K634" s="2"/>
      <c r="L634" s="2"/>
      <c r="M634" s="23"/>
      <c r="N634" s="31"/>
      <c r="O634" s="23"/>
      <c r="P634" s="30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</row>
    <row r="635" spans="1:28" x14ac:dyDescent="0.25">
      <c r="A635" s="2"/>
      <c r="B635" s="2"/>
      <c r="C635" s="2"/>
      <c r="D635" s="22"/>
      <c r="E635" s="2"/>
      <c r="F635" s="2"/>
      <c r="G635" s="2"/>
      <c r="H635" s="2"/>
      <c r="I635" s="2"/>
      <c r="J635" s="2"/>
      <c r="K635" s="2"/>
      <c r="L635" s="2"/>
      <c r="M635" s="23"/>
      <c r="N635" s="31"/>
      <c r="O635" s="23"/>
      <c r="P635" s="30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</row>
    <row r="636" spans="1:28" x14ac:dyDescent="0.25">
      <c r="A636" s="2"/>
      <c r="B636" s="2"/>
      <c r="C636" s="2"/>
      <c r="D636" s="22"/>
      <c r="E636" s="2"/>
      <c r="F636" s="2"/>
      <c r="G636" s="2"/>
      <c r="H636" s="2"/>
      <c r="I636" s="2"/>
      <c r="J636" s="2"/>
      <c r="K636" s="2"/>
      <c r="L636" s="2"/>
      <c r="M636" s="23"/>
      <c r="N636" s="31"/>
      <c r="O636" s="23"/>
      <c r="P636" s="30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</row>
    <row r="637" spans="1:28" x14ac:dyDescent="0.25">
      <c r="A637" s="2"/>
      <c r="B637" s="2"/>
      <c r="C637" s="2"/>
      <c r="D637" s="22"/>
      <c r="E637" s="2"/>
      <c r="F637" s="2"/>
      <c r="G637" s="2"/>
      <c r="H637" s="2"/>
      <c r="I637" s="2"/>
      <c r="J637" s="2"/>
      <c r="K637" s="2"/>
      <c r="L637" s="2"/>
      <c r="M637" s="23"/>
      <c r="N637" s="31"/>
      <c r="O637" s="23"/>
      <c r="P637" s="30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</row>
    <row r="638" spans="1:28" x14ac:dyDescent="0.25">
      <c r="A638" s="2"/>
      <c r="B638" s="2"/>
      <c r="C638" s="2"/>
      <c r="D638" s="22"/>
      <c r="E638" s="2"/>
      <c r="F638" s="2"/>
      <c r="G638" s="2"/>
      <c r="H638" s="2"/>
      <c r="I638" s="2"/>
      <c r="J638" s="2"/>
      <c r="K638" s="2"/>
      <c r="L638" s="2"/>
      <c r="M638" s="23"/>
      <c r="N638" s="31"/>
      <c r="O638" s="23"/>
      <c r="P638" s="30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</row>
    <row r="639" spans="1:28" x14ac:dyDescent="0.25">
      <c r="A639" s="2"/>
      <c r="B639" s="2"/>
      <c r="C639" s="2"/>
      <c r="D639" s="22"/>
      <c r="E639" s="2"/>
      <c r="F639" s="2"/>
      <c r="G639" s="2"/>
      <c r="H639" s="2"/>
      <c r="I639" s="2"/>
      <c r="J639" s="2"/>
      <c r="K639" s="2"/>
      <c r="L639" s="2"/>
      <c r="M639" s="23"/>
      <c r="N639" s="31"/>
      <c r="O639" s="23"/>
      <c r="P639" s="30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</row>
    <row r="640" spans="1:28" x14ac:dyDescent="0.25">
      <c r="A640" s="2"/>
      <c r="B640" s="2"/>
      <c r="C640" s="2"/>
      <c r="D640" s="22"/>
      <c r="E640" s="2"/>
      <c r="F640" s="2"/>
      <c r="G640" s="2"/>
      <c r="H640" s="2"/>
      <c r="I640" s="2"/>
      <c r="J640" s="2"/>
      <c r="K640" s="2"/>
      <c r="L640" s="2"/>
      <c r="M640" s="23"/>
      <c r="N640" s="31"/>
      <c r="O640" s="23"/>
      <c r="P640" s="30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</row>
    <row r="641" spans="1:28" x14ac:dyDescent="0.25">
      <c r="A641" s="2"/>
      <c r="B641" s="2"/>
      <c r="C641" s="2"/>
      <c r="D641" s="22"/>
      <c r="E641" s="2"/>
      <c r="F641" s="2"/>
      <c r="G641" s="2"/>
      <c r="H641" s="2"/>
      <c r="I641" s="2"/>
      <c r="J641" s="2"/>
      <c r="K641" s="2"/>
      <c r="L641" s="2"/>
      <c r="M641" s="23"/>
      <c r="N641" s="31"/>
      <c r="O641" s="23"/>
      <c r="P641" s="30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</row>
    <row r="642" spans="1:28" x14ac:dyDescent="0.25">
      <c r="A642" s="2"/>
      <c r="B642" s="2"/>
      <c r="C642" s="2"/>
      <c r="D642" s="22"/>
      <c r="E642" s="2"/>
      <c r="F642" s="2"/>
      <c r="G642" s="2"/>
      <c r="H642" s="2"/>
      <c r="I642" s="2"/>
      <c r="J642" s="2"/>
      <c r="K642" s="2"/>
      <c r="L642" s="2"/>
      <c r="M642" s="23"/>
      <c r="N642" s="31"/>
      <c r="O642" s="23"/>
      <c r="P642" s="30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</row>
    <row r="643" spans="1:28" x14ac:dyDescent="0.25">
      <c r="A643" s="2"/>
      <c r="B643" s="2"/>
      <c r="C643" s="2"/>
      <c r="D643" s="22"/>
      <c r="E643" s="2"/>
      <c r="F643" s="2"/>
      <c r="G643" s="2"/>
      <c r="H643" s="2"/>
      <c r="I643" s="2"/>
      <c r="J643" s="2"/>
      <c r="K643" s="2"/>
      <c r="L643" s="2"/>
      <c r="M643" s="23"/>
      <c r="N643" s="31"/>
      <c r="O643" s="23"/>
      <c r="P643" s="30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</row>
    <row r="644" spans="1:28" x14ac:dyDescent="0.25">
      <c r="A644" s="2"/>
      <c r="B644" s="2"/>
      <c r="C644" s="2"/>
      <c r="D644" s="22"/>
      <c r="E644" s="2"/>
      <c r="F644" s="2"/>
      <c r="G644" s="2"/>
      <c r="H644" s="2"/>
      <c r="I644" s="2"/>
      <c r="J644" s="2"/>
      <c r="K644" s="2"/>
      <c r="L644" s="2"/>
      <c r="M644" s="23"/>
      <c r="N644" s="31"/>
      <c r="O644" s="23"/>
      <c r="P644" s="30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</row>
    <row r="645" spans="1:28" x14ac:dyDescent="0.25">
      <c r="A645" s="2"/>
      <c r="B645" s="2"/>
      <c r="C645" s="2"/>
      <c r="D645" s="22"/>
      <c r="E645" s="2"/>
      <c r="F645" s="2"/>
      <c r="G645" s="2"/>
      <c r="H645" s="2"/>
      <c r="I645" s="2"/>
      <c r="J645" s="2"/>
      <c r="K645" s="2"/>
      <c r="L645" s="2"/>
      <c r="M645" s="23"/>
      <c r="N645" s="31"/>
      <c r="O645" s="23"/>
      <c r="P645" s="30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</row>
    <row r="646" spans="1:28" x14ac:dyDescent="0.25">
      <c r="A646" s="2"/>
      <c r="B646" s="2"/>
      <c r="C646" s="2"/>
      <c r="D646" s="22"/>
      <c r="E646" s="2"/>
      <c r="F646" s="2"/>
      <c r="G646" s="2"/>
      <c r="H646" s="2"/>
      <c r="I646" s="2"/>
      <c r="J646" s="2"/>
      <c r="K646" s="2"/>
      <c r="L646" s="2"/>
      <c r="M646" s="23"/>
      <c r="N646" s="31"/>
      <c r="O646" s="23"/>
      <c r="P646" s="30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</row>
    <row r="647" spans="1:28" x14ac:dyDescent="0.25">
      <c r="A647" s="2"/>
      <c r="B647" s="2"/>
      <c r="C647" s="2"/>
      <c r="D647" s="22"/>
      <c r="E647" s="2"/>
      <c r="F647" s="2"/>
      <c r="G647" s="2"/>
      <c r="H647" s="2"/>
      <c r="I647" s="2"/>
      <c r="J647" s="2"/>
      <c r="K647" s="2"/>
      <c r="L647" s="2"/>
      <c r="M647" s="23"/>
      <c r="N647" s="31"/>
      <c r="O647" s="23"/>
      <c r="P647" s="30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</row>
    <row r="648" spans="1:28" x14ac:dyDescent="0.25">
      <c r="A648" s="2"/>
      <c r="B648" s="2"/>
      <c r="C648" s="2"/>
      <c r="D648" s="22"/>
      <c r="E648" s="2"/>
      <c r="F648" s="2"/>
      <c r="G648" s="2"/>
      <c r="H648" s="2"/>
      <c r="I648" s="2"/>
      <c r="J648" s="2"/>
      <c r="K648" s="2"/>
      <c r="L648" s="2"/>
      <c r="M648" s="23"/>
      <c r="N648" s="31"/>
      <c r="O648" s="23"/>
      <c r="P648" s="30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</row>
    <row r="649" spans="1:28" x14ac:dyDescent="0.25">
      <c r="A649" s="2"/>
      <c r="B649" s="2"/>
      <c r="C649" s="2"/>
      <c r="D649" s="22"/>
      <c r="E649" s="2"/>
      <c r="F649" s="2"/>
      <c r="G649" s="2"/>
      <c r="H649" s="2"/>
      <c r="I649" s="2"/>
      <c r="J649" s="2"/>
      <c r="K649" s="2"/>
      <c r="L649" s="2"/>
      <c r="M649" s="23"/>
      <c r="N649" s="31"/>
      <c r="O649" s="23"/>
      <c r="P649" s="30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</row>
    <row r="650" spans="1:28" x14ac:dyDescent="0.25">
      <c r="A650" s="2"/>
      <c r="B650" s="2"/>
      <c r="C650" s="2"/>
      <c r="D650" s="22"/>
      <c r="E650" s="2"/>
      <c r="F650" s="2"/>
      <c r="G650" s="2"/>
      <c r="H650" s="2"/>
      <c r="I650" s="2"/>
      <c r="J650" s="2"/>
      <c r="K650" s="2"/>
      <c r="L650" s="2"/>
      <c r="M650" s="23"/>
      <c r="N650" s="31"/>
      <c r="O650" s="23"/>
      <c r="P650" s="30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</row>
    <row r="651" spans="1:28" x14ac:dyDescent="0.25">
      <c r="A651" s="2"/>
      <c r="B651" s="2"/>
      <c r="C651" s="2"/>
      <c r="D651" s="22"/>
      <c r="E651" s="2"/>
      <c r="F651" s="2"/>
      <c r="G651" s="2"/>
      <c r="H651" s="2"/>
      <c r="I651" s="2"/>
      <c r="J651" s="2"/>
      <c r="K651" s="2"/>
      <c r="L651" s="2"/>
      <c r="M651" s="23"/>
      <c r="N651" s="31"/>
      <c r="O651" s="23"/>
      <c r="P651" s="30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</row>
    <row r="652" spans="1:28" x14ac:dyDescent="0.25">
      <c r="A652" s="2"/>
      <c r="B652" s="2"/>
      <c r="C652" s="2"/>
      <c r="D652" s="22"/>
      <c r="E652" s="2"/>
      <c r="F652" s="2"/>
      <c r="G652" s="2"/>
      <c r="H652" s="2"/>
      <c r="I652" s="2"/>
      <c r="J652" s="2"/>
      <c r="K652" s="2"/>
      <c r="L652" s="2"/>
      <c r="M652" s="23"/>
      <c r="N652" s="31"/>
      <c r="O652" s="23"/>
      <c r="P652" s="30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</row>
    <row r="653" spans="1:28" x14ac:dyDescent="0.25">
      <c r="A653" s="2"/>
      <c r="B653" s="2"/>
      <c r="C653" s="2"/>
      <c r="D653" s="22"/>
      <c r="E653" s="2"/>
      <c r="F653" s="2"/>
      <c r="G653" s="2"/>
      <c r="H653" s="2"/>
      <c r="I653" s="2"/>
      <c r="J653" s="2"/>
      <c r="K653" s="2"/>
      <c r="L653" s="2"/>
      <c r="M653" s="23"/>
      <c r="N653" s="31"/>
      <c r="O653" s="23"/>
      <c r="P653" s="30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</row>
    <row r="654" spans="1:28" x14ac:dyDescent="0.25">
      <c r="A654" s="2"/>
      <c r="B654" s="2"/>
      <c r="C654" s="2"/>
      <c r="D654" s="22"/>
      <c r="E654" s="2"/>
      <c r="F654" s="2"/>
      <c r="G654" s="2"/>
      <c r="H654" s="2"/>
      <c r="I654" s="2"/>
      <c r="J654" s="2"/>
      <c r="K654" s="2"/>
      <c r="L654" s="2"/>
      <c r="M654" s="23"/>
      <c r="N654" s="31"/>
      <c r="O654" s="23"/>
      <c r="P654" s="30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</row>
    <row r="655" spans="1:28" x14ac:dyDescent="0.25">
      <c r="A655" s="2"/>
      <c r="B655" s="2"/>
      <c r="C655" s="2"/>
      <c r="D655" s="22"/>
      <c r="E655" s="2"/>
      <c r="F655" s="2"/>
      <c r="G655" s="2"/>
      <c r="H655" s="2"/>
      <c r="I655" s="2"/>
      <c r="J655" s="2"/>
      <c r="K655" s="2"/>
      <c r="L655" s="2"/>
      <c r="M655" s="23"/>
      <c r="N655" s="31"/>
      <c r="O655" s="23"/>
      <c r="P655" s="30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</row>
    <row r="656" spans="1:28" x14ac:dyDescent="0.25">
      <c r="A656" s="2"/>
      <c r="B656" s="2"/>
      <c r="C656" s="2"/>
      <c r="D656" s="22"/>
      <c r="E656" s="2"/>
      <c r="F656" s="2"/>
      <c r="G656" s="2"/>
      <c r="H656" s="2"/>
      <c r="I656" s="2"/>
      <c r="J656" s="2"/>
      <c r="K656" s="2"/>
      <c r="L656" s="2"/>
      <c r="M656" s="23"/>
      <c r="N656" s="31"/>
      <c r="O656" s="23"/>
      <c r="P656" s="30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</row>
    <row r="657" spans="1:28" x14ac:dyDescent="0.25">
      <c r="A657" s="2"/>
      <c r="B657" s="2"/>
      <c r="C657" s="2"/>
      <c r="D657" s="22"/>
      <c r="E657" s="2"/>
      <c r="F657" s="2"/>
      <c r="G657" s="2"/>
      <c r="H657" s="2"/>
      <c r="I657" s="2"/>
      <c r="J657" s="2"/>
      <c r="K657" s="2"/>
      <c r="L657" s="2"/>
      <c r="M657" s="23"/>
      <c r="N657" s="31"/>
      <c r="O657" s="23"/>
      <c r="P657" s="30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</row>
    <row r="658" spans="1:28" x14ac:dyDescent="0.25">
      <c r="A658" s="2"/>
      <c r="B658" s="2"/>
      <c r="C658" s="2"/>
      <c r="D658" s="22"/>
      <c r="E658" s="2"/>
      <c r="F658" s="2"/>
      <c r="G658" s="2"/>
      <c r="H658" s="2"/>
      <c r="I658" s="2"/>
      <c r="J658" s="2"/>
      <c r="K658" s="2"/>
      <c r="L658" s="2"/>
      <c r="M658" s="23"/>
      <c r="N658" s="31"/>
      <c r="O658" s="23"/>
      <c r="P658" s="30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</row>
    <row r="659" spans="1:28" x14ac:dyDescent="0.25">
      <c r="A659" s="2"/>
      <c r="B659" s="2"/>
      <c r="C659" s="2"/>
      <c r="D659" s="22"/>
      <c r="E659" s="2"/>
      <c r="F659" s="2"/>
      <c r="G659" s="2"/>
      <c r="H659" s="2"/>
      <c r="I659" s="2"/>
      <c r="J659" s="2"/>
      <c r="K659" s="2"/>
      <c r="L659" s="2"/>
      <c r="M659" s="23"/>
      <c r="N659" s="31"/>
      <c r="O659" s="23"/>
      <c r="P659" s="30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</row>
    <row r="660" spans="1:28" x14ac:dyDescent="0.25">
      <c r="A660" s="2"/>
      <c r="B660" s="2"/>
      <c r="C660" s="2"/>
      <c r="D660" s="22"/>
      <c r="E660" s="2"/>
      <c r="F660" s="2"/>
      <c r="G660" s="2"/>
      <c r="H660" s="2"/>
      <c r="I660" s="2"/>
      <c r="J660" s="2"/>
      <c r="K660" s="2"/>
      <c r="L660" s="2"/>
      <c r="M660" s="23"/>
      <c r="N660" s="31"/>
      <c r="O660" s="23"/>
      <c r="P660" s="30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</row>
    <row r="661" spans="1:28" x14ac:dyDescent="0.25">
      <c r="A661" s="2"/>
      <c r="B661" s="2"/>
      <c r="C661" s="2"/>
      <c r="D661" s="22"/>
      <c r="E661" s="2"/>
      <c r="F661" s="2"/>
      <c r="G661" s="2"/>
      <c r="H661" s="2"/>
      <c r="I661" s="2"/>
      <c r="J661" s="2"/>
      <c r="K661" s="2"/>
      <c r="L661" s="2"/>
      <c r="M661" s="23"/>
      <c r="N661" s="31"/>
      <c r="O661" s="23"/>
      <c r="P661" s="30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</row>
    <row r="662" spans="1:28" x14ac:dyDescent="0.25">
      <c r="A662" s="2"/>
      <c r="B662" s="2"/>
      <c r="C662" s="2"/>
      <c r="D662" s="22"/>
      <c r="E662" s="2"/>
      <c r="F662" s="2"/>
      <c r="G662" s="2"/>
      <c r="H662" s="2"/>
      <c r="I662" s="2"/>
      <c r="J662" s="2"/>
      <c r="K662" s="2"/>
      <c r="L662" s="2"/>
      <c r="M662" s="23"/>
      <c r="N662" s="31"/>
      <c r="O662" s="23"/>
      <c r="P662" s="30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</row>
    <row r="663" spans="1:28" x14ac:dyDescent="0.25">
      <c r="A663" s="2"/>
      <c r="B663" s="2"/>
      <c r="C663" s="2"/>
      <c r="D663" s="22"/>
      <c r="E663" s="2"/>
      <c r="F663" s="2"/>
      <c r="G663" s="2"/>
      <c r="H663" s="2"/>
      <c r="I663" s="2"/>
      <c r="J663" s="2"/>
      <c r="K663" s="2"/>
      <c r="L663" s="2"/>
      <c r="M663" s="23"/>
      <c r="N663" s="31"/>
      <c r="O663" s="23"/>
      <c r="P663" s="30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</row>
    <row r="664" spans="1:28" x14ac:dyDescent="0.25">
      <c r="A664" s="2"/>
      <c r="B664" s="2"/>
      <c r="C664" s="2"/>
      <c r="D664" s="22"/>
      <c r="E664" s="2"/>
      <c r="F664" s="2"/>
      <c r="G664" s="2"/>
      <c r="H664" s="2"/>
      <c r="I664" s="2"/>
      <c r="J664" s="2"/>
      <c r="K664" s="2"/>
      <c r="L664" s="2"/>
      <c r="M664" s="23"/>
      <c r="N664" s="31"/>
      <c r="O664" s="23"/>
      <c r="P664" s="30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</row>
    <row r="665" spans="1:28" x14ac:dyDescent="0.25">
      <c r="A665" s="2"/>
      <c r="B665" s="2"/>
      <c r="C665" s="2"/>
      <c r="D665" s="22"/>
      <c r="E665" s="2"/>
      <c r="F665" s="2"/>
      <c r="G665" s="2"/>
      <c r="H665" s="2"/>
      <c r="I665" s="2"/>
      <c r="J665" s="2"/>
      <c r="K665" s="2"/>
      <c r="L665" s="2"/>
      <c r="M665" s="23"/>
      <c r="N665" s="31"/>
      <c r="O665" s="23"/>
      <c r="P665" s="30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</row>
    <row r="666" spans="1:28" x14ac:dyDescent="0.25">
      <c r="A666" s="2"/>
      <c r="B666" s="2"/>
      <c r="C666" s="2"/>
      <c r="D666" s="22"/>
      <c r="E666" s="2"/>
      <c r="F666" s="2"/>
      <c r="G666" s="2"/>
      <c r="H666" s="2"/>
      <c r="I666" s="2"/>
      <c r="J666" s="2"/>
      <c r="K666" s="2"/>
      <c r="L666" s="2"/>
      <c r="M666" s="23"/>
      <c r="N666" s="31"/>
      <c r="O666" s="23"/>
      <c r="P666" s="30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</row>
    <row r="667" spans="1:28" x14ac:dyDescent="0.25">
      <c r="A667" s="2"/>
      <c r="B667" s="2"/>
      <c r="C667" s="2"/>
      <c r="D667" s="22"/>
      <c r="E667" s="2"/>
      <c r="F667" s="2"/>
      <c r="G667" s="2"/>
      <c r="H667" s="2"/>
      <c r="I667" s="2"/>
      <c r="J667" s="2"/>
      <c r="K667" s="2"/>
      <c r="L667" s="2"/>
      <c r="M667" s="23"/>
      <c r="N667" s="31"/>
      <c r="O667" s="23"/>
      <c r="P667" s="30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</row>
    <row r="668" spans="1:28" x14ac:dyDescent="0.25">
      <c r="A668" s="2"/>
      <c r="B668" s="2"/>
      <c r="C668" s="2"/>
      <c r="D668" s="22"/>
      <c r="E668" s="2"/>
      <c r="F668" s="2"/>
      <c r="G668" s="2"/>
      <c r="H668" s="2"/>
      <c r="I668" s="2"/>
      <c r="J668" s="2"/>
      <c r="K668" s="2"/>
      <c r="L668" s="2"/>
      <c r="M668" s="23"/>
      <c r="N668" s="31"/>
      <c r="O668" s="23"/>
      <c r="P668" s="30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</row>
    <row r="669" spans="1:28" x14ac:dyDescent="0.25">
      <c r="A669" s="2"/>
      <c r="B669" s="2"/>
      <c r="C669" s="2"/>
      <c r="D669" s="22"/>
      <c r="E669" s="2"/>
      <c r="F669" s="2"/>
      <c r="G669" s="2"/>
      <c r="H669" s="2"/>
      <c r="I669" s="2"/>
      <c r="J669" s="2"/>
      <c r="K669" s="2"/>
      <c r="L669" s="2"/>
      <c r="M669" s="23"/>
      <c r="N669" s="31"/>
      <c r="O669" s="23"/>
      <c r="P669" s="30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</row>
    <row r="670" spans="1:28" x14ac:dyDescent="0.25">
      <c r="A670" s="2"/>
      <c r="B670" s="2"/>
      <c r="C670" s="2"/>
      <c r="D670" s="22"/>
      <c r="E670" s="2"/>
      <c r="F670" s="2"/>
      <c r="G670" s="2"/>
      <c r="H670" s="2"/>
      <c r="I670" s="2"/>
      <c r="J670" s="2"/>
      <c r="K670" s="2"/>
      <c r="L670" s="2"/>
      <c r="M670" s="23"/>
      <c r="N670" s="31"/>
      <c r="O670" s="23"/>
      <c r="P670" s="30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</row>
    <row r="671" spans="1:28" x14ac:dyDescent="0.25">
      <c r="A671" s="2"/>
      <c r="B671" s="2"/>
      <c r="C671" s="2"/>
      <c r="D671" s="22"/>
      <c r="E671" s="2"/>
      <c r="F671" s="2"/>
      <c r="G671" s="2"/>
      <c r="H671" s="2"/>
      <c r="I671" s="2"/>
      <c r="J671" s="2"/>
      <c r="K671" s="2"/>
      <c r="L671" s="2"/>
      <c r="M671" s="23"/>
      <c r="N671" s="31"/>
      <c r="O671" s="23"/>
      <c r="P671" s="30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</row>
    <row r="672" spans="1:28" x14ac:dyDescent="0.25">
      <c r="A672" s="2"/>
      <c r="B672" s="2"/>
      <c r="C672" s="2"/>
      <c r="D672" s="22"/>
      <c r="E672" s="2"/>
      <c r="F672" s="2"/>
      <c r="G672" s="2"/>
      <c r="H672" s="2"/>
      <c r="I672" s="2"/>
      <c r="J672" s="2"/>
      <c r="K672" s="2"/>
      <c r="L672" s="2"/>
      <c r="M672" s="23"/>
      <c r="N672" s="31"/>
      <c r="O672" s="23"/>
      <c r="P672" s="30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</row>
    <row r="673" spans="1:28" x14ac:dyDescent="0.25">
      <c r="A673" s="2"/>
      <c r="B673" s="2"/>
      <c r="C673" s="2"/>
      <c r="D673" s="22"/>
      <c r="E673" s="2"/>
      <c r="F673" s="2"/>
      <c r="G673" s="2"/>
      <c r="H673" s="2"/>
      <c r="I673" s="2"/>
      <c r="J673" s="2"/>
      <c r="K673" s="2"/>
      <c r="L673" s="2"/>
      <c r="M673" s="23"/>
      <c r="N673" s="31"/>
      <c r="O673" s="23"/>
      <c r="P673" s="30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</row>
    <row r="674" spans="1:28" x14ac:dyDescent="0.25">
      <c r="A674" s="2"/>
      <c r="B674" s="2"/>
      <c r="C674" s="2"/>
      <c r="D674" s="22"/>
      <c r="E674" s="2"/>
      <c r="F674" s="2"/>
      <c r="G674" s="2"/>
      <c r="H674" s="2"/>
      <c r="I674" s="2"/>
      <c r="J674" s="2"/>
      <c r="K674" s="2"/>
      <c r="L674" s="2"/>
      <c r="M674" s="23"/>
      <c r="N674" s="31"/>
      <c r="O674" s="23"/>
      <c r="P674" s="30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</row>
    <row r="675" spans="1:28" x14ac:dyDescent="0.25">
      <c r="A675" s="2"/>
      <c r="B675" s="2"/>
      <c r="C675" s="2"/>
      <c r="D675" s="22"/>
      <c r="E675" s="2"/>
      <c r="F675" s="2"/>
      <c r="G675" s="2"/>
      <c r="H675" s="2"/>
      <c r="I675" s="2"/>
      <c r="J675" s="2"/>
      <c r="K675" s="2"/>
      <c r="L675" s="2"/>
      <c r="M675" s="23"/>
      <c r="N675" s="31"/>
      <c r="O675" s="23"/>
      <c r="P675" s="30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</row>
    <row r="676" spans="1:28" x14ac:dyDescent="0.25">
      <c r="A676" s="2"/>
      <c r="B676" s="2"/>
      <c r="C676" s="2"/>
      <c r="D676" s="22"/>
      <c r="E676" s="2"/>
      <c r="F676" s="2"/>
      <c r="G676" s="2"/>
      <c r="H676" s="2"/>
      <c r="I676" s="2"/>
      <c r="J676" s="2"/>
      <c r="K676" s="2"/>
      <c r="L676" s="2"/>
      <c r="M676" s="23"/>
      <c r="N676" s="31"/>
      <c r="O676" s="23"/>
      <c r="P676" s="30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</row>
    <row r="677" spans="1:28" x14ac:dyDescent="0.25">
      <c r="A677" s="2"/>
      <c r="B677" s="2"/>
      <c r="C677" s="2"/>
      <c r="D677" s="22"/>
      <c r="E677" s="2"/>
      <c r="F677" s="2"/>
      <c r="G677" s="2"/>
      <c r="H677" s="2"/>
      <c r="I677" s="2"/>
      <c r="J677" s="2"/>
      <c r="K677" s="2"/>
      <c r="L677" s="2"/>
      <c r="M677" s="23"/>
      <c r="N677" s="31"/>
      <c r="O677" s="23"/>
      <c r="P677" s="30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</row>
    <row r="678" spans="1:28" x14ac:dyDescent="0.25">
      <c r="A678" s="2"/>
      <c r="B678" s="2"/>
      <c r="C678" s="2"/>
      <c r="D678" s="22"/>
      <c r="E678" s="2"/>
      <c r="F678" s="2"/>
      <c r="G678" s="2"/>
      <c r="H678" s="2"/>
      <c r="I678" s="2"/>
      <c r="J678" s="2"/>
      <c r="K678" s="2"/>
      <c r="L678" s="2"/>
      <c r="M678" s="23"/>
      <c r="N678" s="31"/>
      <c r="O678" s="23"/>
      <c r="P678" s="30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</row>
    <row r="679" spans="1:28" x14ac:dyDescent="0.25">
      <c r="A679" s="2"/>
      <c r="B679" s="2"/>
      <c r="C679" s="2"/>
      <c r="D679" s="22"/>
      <c r="E679" s="2"/>
      <c r="F679" s="2"/>
      <c r="G679" s="2"/>
      <c r="H679" s="2"/>
      <c r="I679" s="2"/>
      <c r="J679" s="2"/>
      <c r="K679" s="2"/>
      <c r="L679" s="2"/>
      <c r="M679" s="23"/>
      <c r="N679" s="31"/>
      <c r="O679" s="23"/>
      <c r="P679" s="30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</row>
    <row r="680" spans="1:28" x14ac:dyDescent="0.25">
      <c r="A680" s="2"/>
      <c r="B680" s="2"/>
      <c r="C680" s="2"/>
      <c r="D680" s="22"/>
      <c r="E680" s="2"/>
      <c r="F680" s="2"/>
      <c r="G680" s="2"/>
      <c r="H680" s="2"/>
      <c r="I680" s="2"/>
      <c r="J680" s="2"/>
      <c r="K680" s="2"/>
      <c r="L680" s="2"/>
      <c r="M680" s="23"/>
      <c r="N680" s="31"/>
      <c r="O680" s="23"/>
      <c r="P680" s="30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</row>
    <row r="681" spans="1:28" x14ac:dyDescent="0.25">
      <c r="A681" s="2"/>
      <c r="B681" s="2"/>
      <c r="C681" s="2"/>
      <c r="D681" s="22"/>
      <c r="E681" s="2"/>
      <c r="F681" s="2"/>
      <c r="G681" s="2"/>
      <c r="H681" s="2"/>
      <c r="I681" s="2"/>
      <c r="J681" s="2"/>
      <c r="K681" s="2"/>
      <c r="L681" s="2"/>
      <c r="M681" s="23"/>
      <c r="N681" s="31"/>
      <c r="O681" s="23"/>
      <c r="P681" s="30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</row>
    <row r="682" spans="1:28" x14ac:dyDescent="0.25">
      <c r="A682" s="2"/>
      <c r="B682" s="2"/>
      <c r="C682" s="2"/>
      <c r="D682" s="22"/>
      <c r="E682" s="2"/>
      <c r="F682" s="2"/>
      <c r="G682" s="2"/>
      <c r="H682" s="2"/>
      <c r="I682" s="2"/>
      <c r="J682" s="2"/>
      <c r="K682" s="2"/>
      <c r="L682" s="2"/>
      <c r="M682" s="23"/>
      <c r="N682" s="31"/>
      <c r="O682" s="23"/>
      <c r="P682" s="30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</row>
    <row r="683" spans="1:28" x14ac:dyDescent="0.25">
      <c r="A683" s="2"/>
      <c r="B683" s="2"/>
      <c r="C683" s="2"/>
      <c r="D683" s="22"/>
      <c r="E683" s="2"/>
      <c r="F683" s="2"/>
      <c r="G683" s="2"/>
      <c r="H683" s="2"/>
      <c r="I683" s="2"/>
      <c r="J683" s="2"/>
      <c r="K683" s="2"/>
      <c r="L683" s="2"/>
      <c r="M683" s="23"/>
      <c r="N683" s="31"/>
      <c r="O683" s="23"/>
      <c r="P683" s="30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</row>
    <row r="684" spans="1:28" x14ac:dyDescent="0.25">
      <c r="A684" s="2"/>
      <c r="B684" s="2"/>
      <c r="C684" s="2"/>
      <c r="D684" s="22"/>
      <c r="E684" s="2"/>
      <c r="F684" s="2"/>
      <c r="G684" s="2"/>
      <c r="H684" s="2"/>
      <c r="I684" s="2"/>
      <c r="J684" s="2"/>
      <c r="K684" s="2"/>
      <c r="L684" s="2"/>
      <c r="M684" s="23"/>
      <c r="N684" s="31"/>
      <c r="O684" s="23"/>
      <c r="P684" s="30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</row>
    <row r="685" spans="1:28" x14ac:dyDescent="0.25">
      <c r="A685" s="2"/>
      <c r="B685" s="2"/>
      <c r="C685" s="2"/>
      <c r="D685" s="22"/>
      <c r="E685" s="2"/>
      <c r="F685" s="2"/>
      <c r="G685" s="2"/>
      <c r="H685" s="2"/>
      <c r="I685" s="2"/>
      <c r="J685" s="2"/>
      <c r="K685" s="2"/>
      <c r="L685" s="2"/>
      <c r="M685" s="23"/>
      <c r="N685" s="31"/>
      <c r="O685" s="23"/>
      <c r="P685" s="30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</row>
    <row r="686" spans="1:28" x14ac:dyDescent="0.25">
      <c r="A686" s="2"/>
      <c r="B686" s="2"/>
      <c r="C686" s="2"/>
      <c r="D686" s="22"/>
      <c r="E686" s="2"/>
      <c r="F686" s="2"/>
      <c r="G686" s="2"/>
      <c r="H686" s="2"/>
      <c r="I686" s="2"/>
      <c r="J686" s="2"/>
      <c r="K686" s="2"/>
      <c r="L686" s="2"/>
      <c r="M686" s="23"/>
      <c r="N686" s="31"/>
      <c r="O686" s="23"/>
      <c r="P686" s="30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</row>
    <row r="687" spans="1:28" x14ac:dyDescent="0.25">
      <c r="A687" s="2"/>
      <c r="B687" s="2"/>
      <c r="C687" s="2"/>
      <c r="D687" s="22"/>
      <c r="E687" s="2"/>
      <c r="F687" s="2"/>
      <c r="G687" s="2"/>
      <c r="H687" s="2"/>
      <c r="I687" s="2"/>
      <c r="J687" s="2"/>
      <c r="K687" s="2"/>
      <c r="L687" s="2"/>
      <c r="M687" s="23"/>
      <c r="N687" s="31"/>
      <c r="O687" s="23"/>
      <c r="P687" s="30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</row>
    <row r="688" spans="1:28" x14ac:dyDescent="0.25">
      <c r="A688" s="2"/>
      <c r="B688" s="2"/>
      <c r="C688" s="2"/>
      <c r="D688" s="22"/>
      <c r="E688" s="2"/>
      <c r="F688" s="2"/>
      <c r="G688" s="2"/>
      <c r="H688" s="2"/>
      <c r="I688" s="2"/>
      <c r="J688" s="2"/>
      <c r="K688" s="2"/>
      <c r="L688" s="2"/>
      <c r="M688" s="23"/>
      <c r="N688" s="31"/>
      <c r="O688" s="23"/>
      <c r="P688" s="30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</row>
    <row r="689" spans="1:28" x14ac:dyDescent="0.25">
      <c r="A689" s="2"/>
      <c r="B689" s="2"/>
      <c r="C689" s="2"/>
      <c r="D689" s="22"/>
      <c r="E689" s="2"/>
      <c r="F689" s="2"/>
      <c r="G689" s="2"/>
      <c r="H689" s="2"/>
      <c r="I689" s="2"/>
      <c r="J689" s="2"/>
      <c r="K689" s="2"/>
      <c r="L689" s="2"/>
      <c r="M689" s="23"/>
      <c r="N689" s="31"/>
      <c r="O689" s="23"/>
      <c r="P689" s="30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</row>
    <row r="690" spans="1:28" x14ac:dyDescent="0.25">
      <c r="A690" s="2"/>
      <c r="B690" s="2"/>
      <c r="C690" s="2"/>
      <c r="D690" s="22"/>
      <c r="E690" s="2"/>
      <c r="F690" s="2"/>
      <c r="G690" s="2"/>
      <c r="H690" s="2"/>
      <c r="I690" s="2"/>
      <c r="J690" s="2"/>
      <c r="K690" s="2"/>
      <c r="L690" s="2"/>
      <c r="M690" s="23"/>
      <c r="N690" s="31"/>
      <c r="O690" s="23"/>
      <c r="P690" s="30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</row>
    <row r="691" spans="1:28" x14ac:dyDescent="0.25">
      <c r="A691" s="2"/>
      <c r="B691" s="2"/>
      <c r="C691" s="2"/>
      <c r="D691" s="22"/>
      <c r="E691" s="2"/>
      <c r="F691" s="2"/>
      <c r="G691" s="2"/>
      <c r="H691" s="2"/>
      <c r="I691" s="2"/>
      <c r="J691" s="2"/>
      <c r="K691" s="2"/>
      <c r="L691" s="2"/>
      <c r="M691" s="23"/>
      <c r="N691" s="31"/>
      <c r="O691" s="23"/>
      <c r="P691" s="30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</row>
    <row r="692" spans="1:28" x14ac:dyDescent="0.25">
      <c r="A692" s="2"/>
      <c r="B692" s="2"/>
      <c r="C692" s="2"/>
      <c r="D692" s="22"/>
      <c r="E692" s="2"/>
      <c r="F692" s="2"/>
      <c r="G692" s="2"/>
      <c r="H692" s="2"/>
      <c r="I692" s="2"/>
      <c r="J692" s="2"/>
      <c r="K692" s="2"/>
      <c r="L692" s="2"/>
      <c r="M692" s="23"/>
      <c r="N692" s="31"/>
      <c r="O692" s="23"/>
      <c r="P692" s="30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</row>
    <row r="693" spans="1:28" x14ac:dyDescent="0.25">
      <c r="A693" s="2"/>
      <c r="B693" s="2"/>
      <c r="C693" s="2"/>
      <c r="D693" s="22"/>
      <c r="E693" s="2"/>
      <c r="F693" s="2"/>
      <c r="G693" s="2"/>
      <c r="H693" s="2"/>
      <c r="I693" s="2"/>
      <c r="J693" s="2"/>
      <c r="K693" s="2"/>
      <c r="L693" s="2"/>
      <c r="M693" s="23"/>
      <c r="N693" s="31"/>
      <c r="O693" s="23"/>
      <c r="P693" s="30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</row>
    <row r="694" spans="1:28" x14ac:dyDescent="0.25">
      <c r="A694" s="2"/>
      <c r="B694" s="2"/>
      <c r="C694" s="2"/>
      <c r="D694" s="22"/>
      <c r="E694" s="2"/>
      <c r="F694" s="2"/>
      <c r="G694" s="2"/>
      <c r="H694" s="2"/>
      <c r="I694" s="2"/>
      <c r="J694" s="2"/>
      <c r="K694" s="2"/>
      <c r="L694" s="2"/>
      <c r="M694" s="23"/>
      <c r="N694" s="31"/>
      <c r="O694" s="23"/>
      <c r="P694" s="30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</row>
    <row r="695" spans="1:28" x14ac:dyDescent="0.25">
      <c r="A695" s="2"/>
      <c r="B695" s="2"/>
      <c r="C695" s="2"/>
      <c r="D695" s="22"/>
      <c r="E695" s="2"/>
      <c r="F695" s="2"/>
      <c r="G695" s="2"/>
      <c r="H695" s="2"/>
      <c r="I695" s="2"/>
      <c r="J695" s="2"/>
      <c r="K695" s="2"/>
      <c r="L695" s="2"/>
      <c r="M695" s="23"/>
      <c r="N695" s="31"/>
      <c r="O695" s="23"/>
      <c r="P695" s="30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</row>
    <row r="696" spans="1:28" x14ac:dyDescent="0.25">
      <c r="A696" s="2"/>
      <c r="B696" s="2"/>
      <c r="C696" s="2"/>
      <c r="D696" s="22"/>
      <c r="E696" s="2"/>
      <c r="F696" s="2"/>
      <c r="G696" s="2"/>
      <c r="H696" s="2"/>
      <c r="I696" s="2"/>
      <c r="J696" s="2"/>
      <c r="K696" s="2"/>
      <c r="L696" s="2"/>
      <c r="M696" s="23"/>
      <c r="N696" s="31"/>
      <c r="O696" s="23"/>
      <c r="P696" s="30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</row>
    <row r="697" spans="1:28" x14ac:dyDescent="0.25">
      <c r="A697" s="2"/>
      <c r="B697" s="2"/>
      <c r="C697" s="2"/>
      <c r="D697" s="22"/>
      <c r="E697" s="2"/>
      <c r="F697" s="2"/>
      <c r="G697" s="2"/>
      <c r="H697" s="2"/>
      <c r="I697" s="2"/>
      <c r="J697" s="2"/>
      <c r="K697" s="2"/>
      <c r="L697" s="2"/>
      <c r="M697" s="23"/>
      <c r="N697" s="31"/>
      <c r="O697" s="23"/>
      <c r="P697" s="30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</row>
    <row r="698" spans="1:28" x14ac:dyDescent="0.25">
      <c r="A698" s="2"/>
      <c r="B698" s="2"/>
      <c r="C698" s="2"/>
      <c r="D698" s="22"/>
      <c r="E698" s="2"/>
      <c r="F698" s="2"/>
      <c r="G698" s="2"/>
      <c r="H698" s="2"/>
      <c r="I698" s="2"/>
      <c r="J698" s="2"/>
      <c r="K698" s="2"/>
      <c r="L698" s="2"/>
      <c r="M698" s="23"/>
      <c r="N698" s="31"/>
      <c r="O698" s="23"/>
      <c r="P698" s="30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</row>
    <row r="699" spans="1:28" x14ac:dyDescent="0.25">
      <c r="A699" s="2"/>
      <c r="B699" s="2"/>
      <c r="C699" s="2"/>
      <c r="D699" s="22"/>
      <c r="E699" s="2"/>
      <c r="F699" s="2"/>
      <c r="G699" s="2"/>
      <c r="H699" s="2"/>
      <c r="I699" s="2"/>
      <c r="J699" s="2"/>
      <c r="K699" s="2"/>
      <c r="L699" s="2"/>
      <c r="M699" s="23"/>
      <c r="N699" s="31"/>
      <c r="O699" s="23"/>
      <c r="P699" s="30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</row>
    <row r="700" spans="1:28" x14ac:dyDescent="0.25">
      <c r="A700" s="2"/>
      <c r="B700" s="2"/>
      <c r="C700" s="2"/>
      <c r="D700" s="22"/>
      <c r="E700" s="2"/>
      <c r="F700" s="2"/>
      <c r="G700" s="2"/>
      <c r="H700" s="2"/>
      <c r="I700" s="2"/>
      <c r="J700" s="2"/>
      <c r="K700" s="2"/>
      <c r="L700" s="2"/>
      <c r="M700" s="23"/>
      <c r="N700" s="31"/>
      <c r="O700" s="23"/>
      <c r="P700" s="30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</row>
    <row r="701" spans="1:28" x14ac:dyDescent="0.25">
      <c r="A701" s="2"/>
      <c r="B701" s="2"/>
      <c r="C701" s="2"/>
      <c r="D701" s="22"/>
      <c r="E701" s="2"/>
      <c r="F701" s="2"/>
      <c r="G701" s="2"/>
      <c r="H701" s="2"/>
      <c r="I701" s="2"/>
      <c r="J701" s="2"/>
      <c r="K701" s="2"/>
      <c r="L701" s="2"/>
      <c r="M701" s="23"/>
      <c r="N701" s="31"/>
      <c r="O701" s="23"/>
      <c r="P701" s="30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</row>
    <row r="702" spans="1:28" x14ac:dyDescent="0.25">
      <c r="A702" s="2"/>
      <c r="B702" s="2"/>
      <c r="C702" s="2"/>
      <c r="D702" s="22"/>
      <c r="E702" s="2"/>
      <c r="F702" s="2"/>
      <c r="G702" s="2"/>
      <c r="H702" s="2"/>
      <c r="I702" s="2"/>
      <c r="J702" s="2"/>
      <c r="K702" s="2"/>
      <c r="L702" s="2"/>
      <c r="M702" s="23"/>
      <c r="N702" s="31"/>
      <c r="O702" s="23"/>
      <c r="P702" s="30"/>
      <c r="Q702" s="23"/>
      <c r="R702" s="23"/>
      <c r="S702" s="23"/>
      <c r="T702" s="23"/>
      <c r="U702" s="23"/>
      <c r="V702" s="23"/>
      <c r="W702" s="23"/>
      <c r="X702" s="23"/>
      <c r="Y702" s="23"/>
      <c r="Z702" s="23"/>
      <c r="AA702" s="23"/>
      <c r="AB702" s="23"/>
    </row>
    <row r="703" spans="1:28" x14ac:dyDescent="0.25">
      <c r="A703" s="2"/>
      <c r="B703" s="2"/>
      <c r="C703" s="2"/>
      <c r="D703" s="22"/>
      <c r="E703" s="2"/>
      <c r="F703" s="2"/>
      <c r="G703" s="2"/>
      <c r="H703" s="2"/>
      <c r="I703" s="2"/>
      <c r="J703" s="2"/>
      <c r="K703" s="2"/>
      <c r="L703" s="2"/>
      <c r="M703" s="23"/>
      <c r="N703" s="31"/>
      <c r="O703" s="23"/>
      <c r="P703" s="30"/>
      <c r="Q703" s="23"/>
      <c r="R703" s="23"/>
      <c r="S703" s="23"/>
      <c r="T703" s="23"/>
      <c r="U703" s="23"/>
      <c r="V703" s="23"/>
      <c r="W703" s="23"/>
      <c r="X703" s="23"/>
      <c r="Y703" s="23"/>
      <c r="Z703" s="23"/>
      <c r="AA703" s="23"/>
      <c r="AB703" s="23"/>
    </row>
    <row r="704" spans="1:28" x14ac:dyDescent="0.25">
      <c r="A704" s="2"/>
      <c r="B704" s="2"/>
      <c r="C704" s="2"/>
      <c r="D704" s="22"/>
      <c r="E704" s="2"/>
      <c r="F704" s="2"/>
      <c r="G704" s="2"/>
      <c r="H704" s="2"/>
      <c r="I704" s="2"/>
      <c r="J704" s="2"/>
      <c r="K704" s="2"/>
      <c r="L704" s="2"/>
      <c r="M704" s="23"/>
      <c r="N704" s="31"/>
      <c r="O704" s="23"/>
      <c r="P704" s="30"/>
      <c r="Q704" s="23"/>
      <c r="R704" s="23"/>
      <c r="S704" s="23"/>
      <c r="T704" s="23"/>
      <c r="U704" s="23"/>
      <c r="V704" s="23"/>
      <c r="W704" s="23"/>
      <c r="X704" s="23"/>
      <c r="Y704" s="23"/>
      <c r="Z704" s="23"/>
      <c r="AA704" s="23"/>
      <c r="AB704" s="23"/>
    </row>
    <row r="705" spans="1:28" x14ac:dyDescent="0.25">
      <c r="A705" s="2"/>
      <c r="B705" s="2"/>
      <c r="C705" s="2"/>
      <c r="D705" s="22"/>
      <c r="E705" s="2"/>
      <c r="F705" s="2"/>
      <c r="G705" s="2"/>
      <c r="H705" s="2"/>
      <c r="I705" s="2"/>
      <c r="J705" s="2"/>
      <c r="K705" s="2"/>
      <c r="L705" s="2"/>
      <c r="M705" s="23"/>
      <c r="N705" s="31"/>
      <c r="O705" s="23"/>
      <c r="P705" s="30"/>
      <c r="Q705" s="23"/>
      <c r="R705" s="23"/>
      <c r="S705" s="23"/>
      <c r="T705" s="23"/>
      <c r="U705" s="23"/>
      <c r="V705" s="23"/>
      <c r="W705" s="23"/>
      <c r="X705" s="23"/>
      <c r="Y705" s="23"/>
      <c r="Z705" s="23"/>
      <c r="AA705" s="23"/>
      <c r="AB705" s="23"/>
    </row>
    <row r="706" spans="1:28" x14ac:dyDescent="0.25">
      <c r="A706" s="2"/>
      <c r="B706" s="2"/>
      <c r="C706" s="2"/>
      <c r="D706" s="22"/>
      <c r="E706" s="2"/>
      <c r="F706" s="2"/>
      <c r="G706" s="2"/>
      <c r="H706" s="2"/>
      <c r="I706" s="2"/>
      <c r="J706" s="2"/>
      <c r="K706" s="2"/>
      <c r="L706" s="2"/>
      <c r="M706" s="23"/>
      <c r="N706" s="31"/>
      <c r="O706" s="23"/>
      <c r="P706" s="30"/>
      <c r="Q706" s="23"/>
      <c r="R706" s="23"/>
      <c r="S706" s="23"/>
      <c r="T706" s="23"/>
      <c r="U706" s="23"/>
      <c r="V706" s="23"/>
      <c r="W706" s="23"/>
      <c r="X706" s="23"/>
      <c r="Y706" s="23"/>
      <c r="Z706" s="23"/>
      <c r="AA706" s="23"/>
      <c r="AB706" s="23"/>
    </row>
    <row r="707" spans="1:28" x14ac:dyDescent="0.25">
      <c r="A707" s="2"/>
      <c r="B707" s="2"/>
      <c r="C707" s="2"/>
      <c r="D707" s="22"/>
      <c r="E707" s="2"/>
      <c r="F707" s="2"/>
      <c r="G707" s="2"/>
      <c r="H707" s="2"/>
      <c r="I707" s="2"/>
      <c r="J707" s="2"/>
      <c r="K707" s="2"/>
      <c r="L707" s="2"/>
      <c r="M707" s="23"/>
      <c r="N707" s="31"/>
      <c r="O707" s="23"/>
      <c r="P707" s="30"/>
      <c r="Q707" s="23"/>
      <c r="R707" s="23"/>
      <c r="S707" s="23"/>
      <c r="T707" s="23"/>
      <c r="U707" s="23"/>
      <c r="V707" s="23"/>
      <c r="W707" s="23"/>
      <c r="X707" s="23"/>
      <c r="Y707" s="23"/>
      <c r="Z707" s="23"/>
      <c r="AA707" s="23"/>
      <c r="AB707" s="23"/>
    </row>
    <row r="708" spans="1:28" x14ac:dyDescent="0.25">
      <c r="A708" s="2"/>
      <c r="B708" s="2"/>
      <c r="C708" s="2"/>
      <c r="D708" s="22"/>
      <c r="E708" s="2"/>
      <c r="F708" s="2"/>
      <c r="G708" s="2"/>
      <c r="H708" s="2"/>
      <c r="I708" s="2"/>
      <c r="J708" s="2"/>
      <c r="K708" s="2"/>
      <c r="L708" s="2"/>
      <c r="M708" s="23"/>
      <c r="N708" s="31"/>
      <c r="O708" s="23"/>
      <c r="P708" s="30"/>
      <c r="Q708" s="23"/>
      <c r="R708" s="23"/>
      <c r="S708" s="23"/>
      <c r="T708" s="23"/>
      <c r="U708" s="23"/>
      <c r="V708" s="23"/>
      <c r="W708" s="23"/>
      <c r="X708" s="23"/>
      <c r="Y708" s="23"/>
      <c r="Z708" s="23"/>
      <c r="AA708" s="23"/>
      <c r="AB708" s="23"/>
    </row>
    <row r="709" spans="1:28" x14ac:dyDescent="0.25">
      <c r="A709" s="2"/>
      <c r="B709" s="2"/>
      <c r="C709" s="2"/>
      <c r="D709" s="22"/>
      <c r="E709" s="2"/>
      <c r="F709" s="2"/>
      <c r="G709" s="2"/>
      <c r="H709" s="2"/>
      <c r="I709" s="2"/>
      <c r="J709" s="2"/>
      <c r="K709" s="2"/>
      <c r="L709" s="2"/>
      <c r="M709" s="23"/>
      <c r="N709" s="31"/>
      <c r="O709" s="23"/>
      <c r="P709" s="30"/>
      <c r="Q709" s="23"/>
      <c r="R709" s="23"/>
      <c r="S709" s="23"/>
      <c r="T709" s="23"/>
      <c r="U709" s="23"/>
      <c r="V709" s="23"/>
      <c r="W709" s="23"/>
      <c r="X709" s="23"/>
      <c r="Y709" s="23"/>
      <c r="Z709" s="23"/>
      <c r="AA709" s="23"/>
      <c r="AB709" s="23"/>
    </row>
    <row r="710" spans="1:28" x14ac:dyDescent="0.25">
      <c r="A710" s="2"/>
      <c r="B710" s="2"/>
      <c r="C710" s="2"/>
      <c r="D710" s="22"/>
      <c r="E710" s="2"/>
      <c r="F710" s="2"/>
      <c r="G710" s="2"/>
      <c r="H710" s="2"/>
      <c r="I710" s="2"/>
      <c r="J710" s="2"/>
      <c r="K710" s="2"/>
      <c r="L710" s="2"/>
      <c r="M710" s="23"/>
      <c r="N710" s="31"/>
      <c r="O710" s="23"/>
      <c r="P710" s="30"/>
      <c r="Q710" s="23"/>
      <c r="R710" s="23"/>
      <c r="S710" s="23"/>
      <c r="T710" s="23"/>
      <c r="U710" s="23"/>
      <c r="V710" s="23"/>
      <c r="W710" s="23"/>
      <c r="X710" s="23"/>
      <c r="Y710" s="23"/>
      <c r="Z710" s="23"/>
      <c r="AA710" s="23"/>
      <c r="AB710" s="23"/>
    </row>
    <row r="711" spans="1:28" x14ac:dyDescent="0.25">
      <c r="A711" s="2"/>
      <c r="B711" s="2"/>
      <c r="C711" s="2"/>
      <c r="D711" s="22"/>
      <c r="E711" s="2"/>
      <c r="F711" s="2"/>
      <c r="G711" s="2"/>
      <c r="H711" s="2"/>
      <c r="I711" s="2"/>
      <c r="J711" s="2"/>
      <c r="K711" s="2"/>
      <c r="L711" s="2"/>
      <c r="M711" s="23"/>
      <c r="N711" s="31"/>
      <c r="O711" s="23"/>
      <c r="P711" s="30"/>
      <c r="Q711" s="23"/>
      <c r="R711" s="23"/>
      <c r="S711" s="23"/>
      <c r="T711" s="23"/>
      <c r="U711" s="23"/>
      <c r="V711" s="23"/>
      <c r="W711" s="23"/>
      <c r="X711" s="23"/>
      <c r="Y711" s="23"/>
      <c r="Z711" s="23"/>
      <c r="AA711" s="23"/>
      <c r="AB711" s="23"/>
    </row>
    <row r="712" spans="1:28" x14ac:dyDescent="0.25">
      <c r="A712" s="2"/>
      <c r="B712" s="2"/>
      <c r="C712" s="2"/>
      <c r="D712" s="22"/>
      <c r="E712" s="2"/>
      <c r="F712" s="2"/>
      <c r="G712" s="2"/>
      <c r="H712" s="2"/>
      <c r="I712" s="2"/>
      <c r="J712" s="2"/>
      <c r="K712" s="2"/>
      <c r="L712" s="2"/>
      <c r="M712" s="23"/>
      <c r="N712" s="31"/>
      <c r="O712" s="23"/>
      <c r="P712" s="30"/>
      <c r="Q712" s="23"/>
      <c r="R712" s="23"/>
      <c r="S712" s="23"/>
      <c r="T712" s="23"/>
      <c r="U712" s="23"/>
      <c r="V712" s="23"/>
      <c r="W712" s="23"/>
      <c r="X712" s="23"/>
      <c r="Y712" s="23"/>
      <c r="Z712" s="23"/>
      <c r="AA712" s="23"/>
      <c r="AB712" s="23"/>
    </row>
    <row r="713" spans="1:28" x14ac:dyDescent="0.25">
      <c r="A713" s="2"/>
      <c r="B713" s="2"/>
      <c r="C713" s="2"/>
      <c r="D713" s="22"/>
      <c r="E713" s="2"/>
      <c r="F713" s="2"/>
      <c r="G713" s="2"/>
      <c r="H713" s="2"/>
      <c r="I713" s="2"/>
      <c r="J713" s="2"/>
      <c r="K713" s="2"/>
      <c r="L713" s="2"/>
      <c r="M713" s="23"/>
      <c r="N713" s="31"/>
      <c r="O713" s="23"/>
      <c r="P713" s="30"/>
      <c r="Q713" s="23"/>
      <c r="R713" s="23"/>
      <c r="S713" s="23"/>
      <c r="T713" s="23"/>
      <c r="U713" s="23"/>
      <c r="V713" s="23"/>
      <c r="W713" s="23"/>
      <c r="X713" s="23"/>
      <c r="Y713" s="23"/>
      <c r="Z713" s="23"/>
      <c r="AA713" s="23"/>
      <c r="AB713" s="23"/>
    </row>
    <row r="714" spans="1:28" x14ac:dyDescent="0.25">
      <c r="A714" s="2"/>
      <c r="B714" s="2"/>
      <c r="C714" s="2"/>
      <c r="D714" s="22"/>
      <c r="E714" s="2"/>
      <c r="F714" s="2"/>
      <c r="G714" s="2"/>
      <c r="H714" s="2"/>
      <c r="I714" s="2"/>
      <c r="J714" s="2"/>
      <c r="K714" s="2"/>
      <c r="L714" s="2"/>
      <c r="M714" s="23"/>
      <c r="N714" s="31"/>
      <c r="O714" s="23"/>
      <c r="P714" s="30"/>
      <c r="Q714" s="23"/>
      <c r="R714" s="23"/>
      <c r="S714" s="23"/>
      <c r="T714" s="23"/>
      <c r="U714" s="23"/>
      <c r="V714" s="23"/>
      <c r="W714" s="23"/>
      <c r="X714" s="23"/>
      <c r="Y714" s="23"/>
      <c r="Z714" s="23"/>
      <c r="AA714" s="23"/>
      <c r="AB714" s="23"/>
    </row>
    <row r="715" spans="1:28" x14ac:dyDescent="0.25">
      <c r="A715" s="2"/>
      <c r="B715" s="2"/>
      <c r="C715" s="2"/>
      <c r="D715" s="22"/>
      <c r="E715" s="2"/>
      <c r="F715" s="2"/>
      <c r="G715" s="2"/>
      <c r="H715" s="2"/>
      <c r="I715" s="2"/>
      <c r="J715" s="2"/>
      <c r="K715" s="2"/>
      <c r="L715" s="2"/>
      <c r="M715" s="23"/>
      <c r="N715" s="31"/>
      <c r="O715" s="23"/>
      <c r="P715" s="30"/>
      <c r="Q715" s="23"/>
      <c r="R715" s="23"/>
      <c r="S715" s="23"/>
      <c r="T715" s="23"/>
      <c r="U715" s="23"/>
      <c r="V715" s="23"/>
      <c r="W715" s="23"/>
      <c r="X715" s="23"/>
      <c r="Y715" s="23"/>
      <c r="Z715" s="23"/>
      <c r="AA715" s="23"/>
      <c r="AB715" s="23"/>
    </row>
    <row r="716" spans="1:28" x14ac:dyDescent="0.25">
      <c r="A716" s="2"/>
      <c r="B716" s="2"/>
      <c r="C716" s="2"/>
      <c r="D716" s="22"/>
      <c r="E716" s="2"/>
      <c r="F716" s="2"/>
      <c r="G716" s="2"/>
      <c r="H716" s="2"/>
      <c r="I716" s="2"/>
      <c r="J716" s="2"/>
      <c r="K716" s="2"/>
      <c r="L716" s="2"/>
      <c r="M716" s="23"/>
      <c r="N716" s="31"/>
      <c r="O716" s="23"/>
      <c r="P716" s="30"/>
      <c r="Q716" s="23"/>
      <c r="R716" s="23"/>
      <c r="S716" s="23"/>
      <c r="T716" s="23"/>
      <c r="U716" s="23"/>
      <c r="V716" s="23"/>
      <c r="W716" s="23"/>
      <c r="X716" s="23"/>
      <c r="Y716" s="23"/>
      <c r="Z716" s="23"/>
      <c r="AA716" s="23"/>
      <c r="AB716" s="23"/>
    </row>
    <row r="717" spans="1:28" x14ac:dyDescent="0.25">
      <c r="A717" s="2"/>
      <c r="B717" s="2"/>
      <c r="C717" s="2"/>
      <c r="D717" s="22"/>
      <c r="E717" s="2"/>
      <c r="F717" s="2"/>
      <c r="G717" s="2"/>
      <c r="H717" s="2"/>
      <c r="I717" s="2"/>
      <c r="J717" s="2"/>
      <c r="K717" s="2"/>
      <c r="L717" s="2"/>
      <c r="M717" s="23"/>
      <c r="N717" s="31"/>
      <c r="O717" s="23"/>
      <c r="P717" s="30"/>
      <c r="Q717" s="23"/>
      <c r="R717" s="23"/>
      <c r="S717" s="23"/>
      <c r="T717" s="23"/>
      <c r="U717" s="23"/>
      <c r="V717" s="23"/>
      <c r="W717" s="23"/>
      <c r="X717" s="23"/>
      <c r="Y717" s="23"/>
      <c r="Z717" s="23"/>
      <c r="AA717" s="23"/>
      <c r="AB717" s="23"/>
    </row>
    <row r="718" spans="1:28" x14ac:dyDescent="0.25">
      <c r="A718" s="2"/>
      <c r="B718" s="2"/>
      <c r="C718" s="2"/>
      <c r="D718" s="22"/>
      <c r="E718" s="2"/>
      <c r="F718" s="2"/>
      <c r="G718" s="2"/>
      <c r="H718" s="2"/>
      <c r="I718" s="2"/>
      <c r="J718" s="2"/>
      <c r="K718" s="2"/>
      <c r="L718" s="2"/>
      <c r="M718" s="23"/>
      <c r="N718" s="31"/>
      <c r="O718" s="23"/>
      <c r="P718" s="30"/>
      <c r="Q718" s="23"/>
      <c r="R718" s="23"/>
      <c r="S718" s="23"/>
      <c r="T718" s="23"/>
      <c r="U718" s="23"/>
      <c r="V718" s="23"/>
      <c r="W718" s="23"/>
      <c r="X718" s="23"/>
      <c r="Y718" s="23"/>
      <c r="Z718" s="23"/>
      <c r="AA718" s="23"/>
      <c r="AB718" s="23"/>
    </row>
    <row r="719" spans="1:28" x14ac:dyDescent="0.25">
      <c r="A719" s="2"/>
      <c r="B719" s="2"/>
      <c r="C719" s="2"/>
      <c r="D719" s="22"/>
      <c r="E719" s="2"/>
      <c r="F719" s="2"/>
      <c r="G719" s="2"/>
      <c r="H719" s="2"/>
      <c r="I719" s="2"/>
      <c r="J719" s="2"/>
      <c r="K719" s="2"/>
      <c r="L719" s="2"/>
      <c r="M719" s="23"/>
      <c r="N719" s="31"/>
      <c r="O719" s="23"/>
      <c r="P719" s="30"/>
      <c r="Q719" s="23"/>
      <c r="R719" s="23"/>
      <c r="S719" s="23"/>
      <c r="T719" s="23"/>
      <c r="U719" s="23"/>
      <c r="V719" s="23"/>
      <c r="W719" s="23"/>
      <c r="X719" s="23"/>
      <c r="Y719" s="23"/>
      <c r="Z719" s="23"/>
      <c r="AA719" s="23"/>
      <c r="AB719" s="23"/>
    </row>
    <row r="720" spans="1:28" x14ac:dyDescent="0.25">
      <c r="A720" s="2"/>
      <c r="B720" s="2"/>
      <c r="C720" s="2"/>
      <c r="D720" s="22"/>
      <c r="E720" s="2"/>
      <c r="F720" s="2"/>
      <c r="G720" s="2"/>
      <c r="H720" s="2"/>
      <c r="I720" s="2"/>
      <c r="J720" s="2"/>
      <c r="K720" s="2"/>
      <c r="L720" s="2"/>
      <c r="M720" s="23"/>
      <c r="N720" s="31"/>
      <c r="O720" s="23"/>
      <c r="P720" s="30"/>
      <c r="Q720" s="23"/>
      <c r="R720" s="23"/>
      <c r="S720" s="23"/>
      <c r="T720" s="23"/>
      <c r="U720" s="23"/>
      <c r="V720" s="23"/>
      <c r="W720" s="23"/>
      <c r="X720" s="23"/>
      <c r="Y720" s="23"/>
      <c r="Z720" s="23"/>
      <c r="AA720" s="23"/>
      <c r="AB720" s="23"/>
    </row>
    <row r="721" spans="1:28" x14ac:dyDescent="0.25">
      <c r="A721" s="2"/>
      <c r="B721" s="2"/>
      <c r="C721" s="2"/>
      <c r="D721" s="22"/>
      <c r="E721" s="2"/>
      <c r="F721" s="2"/>
      <c r="G721" s="2"/>
      <c r="H721" s="2"/>
      <c r="I721" s="2"/>
      <c r="J721" s="2"/>
      <c r="K721" s="2"/>
      <c r="L721" s="2"/>
      <c r="M721" s="23"/>
      <c r="N721" s="31"/>
      <c r="O721" s="23"/>
      <c r="P721" s="30"/>
      <c r="Q721" s="23"/>
      <c r="R721" s="23"/>
      <c r="S721" s="23"/>
      <c r="T721" s="23"/>
      <c r="U721" s="23"/>
      <c r="V721" s="23"/>
      <c r="W721" s="23"/>
      <c r="X721" s="23"/>
      <c r="Y721" s="23"/>
      <c r="Z721" s="23"/>
      <c r="AA721" s="23"/>
      <c r="AB721" s="23"/>
    </row>
    <row r="722" spans="1:28" x14ac:dyDescent="0.25">
      <c r="A722" s="2"/>
      <c r="B722" s="2"/>
      <c r="C722" s="2"/>
      <c r="D722" s="22"/>
      <c r="E722" s="2"/>
      <c r="F722" s="2"/>
      <c r="G722" s="2"/>
      <c r="H722" s="2"/>
      <c r="I722" s="2"/>
      <c r="J722" s="2"/>
      <c r="K722" s="2"/>
      <c r="L722" s="2"/>
      <c r="M722" s="23"/>
      <c r="N722" s="31"/>
      <c r="O722" s="23"/>
      <c r="P722" s="30"/>
      <c r="Q722" s="23"/>
      <c r="R722" s="23"/>
      <c r="S722" s="23"/>
      <c r="T722" s="23"/>
      <c r="U722" s="23"/>
      <c r="V722" s="23"/>
      <c r="W722" s="23"/>
      <c r="X722" s="23"/>
      <c r="Y722" s="23"/>
      <c r="Z722" s="23"/>
      <c r="AA722" s="23"/>
      <c r="AB722" s="23"/>
    </row>
    <row r="723" spans="1:28" x14ac:dyDescent="0.25">
      <c r="A723" s="2"/>
      <c r="B723" s="2"/>
      <c r="C723" s="2"/>
      <c r="D723" s="22"/>
      <c r="E723" s="2"/>
      <c r="F723" s="2"/>
      <c r="G723" s="2"/>
      <c r="H723" s="2"/>
      <c r="I723" s="2"/>
      <c r="J723" s="2"/>
      <c r="K723" s="2"/>
      <c r="L723" s="2"/>
      <c r="M723" s="23"/>
      <c r="N723" s="31"/>
      <c r="O723" s="23"/>
      <c r="P723" s="30"/>
      <c r="Q723" s="23"/>
      <c r="R723" s="23"/>
      <c r="S723" s="23"/>
      <c r="T723" s="23"/>
      <c r="U723" s="23"/>
      <c r="V723" s="23"/>
      <c r="W723" s="23"/>
      <c r="X723" s="23"/>
      <c r="Y723" s="23"/>
      <c r="Z723" s="23"/>
      <c r="AA723" s="23"/>
      <c r="AB723" s="23"/>
    </row>
    <row r="724" spans="1:28" x14ac:dyDescent="0.25">
      <c r="A724" s="2"/>
      <c r="B724" s="2"/>
      <c r="C724" s="2"/>
      <c r="D724" s="22"/>
      <c r="E724" s="2"/>
      <c r="F724" s="2"/>
      <c r="G724" s="2"/>
      <c r="H724" s="2"/>
      <c r="I724" s="2"/>
      <c r="J724" s="2"/>
      <c r="K724" s="2"/>
      <c r="L724" s="2"/>
      <c r="M724" s="23"/>
      <c r="N724" s="31"/>
      <c r="O724" s="23"/>
      <c r="P724" s="30"/>
      <c r="Q724" s="23"/>
      <c r="R724" s="23"/>
      <c r="S724" s="23"/>
      <c r="T724" s="23"/>
      <c r="U724" s="23"/>
      <c r="V724" s="23"/>
      <c r="W724" s="23"/>
      <c r="X724" s="23"/>
      <c r="Y724" s="23"/>
      <c r="Z724" s="23"/>
      <c r="AA724" s="23"/>
      <c r="AB724" s="23"/>
    </row>
    <row r="725" spans="1:28" x14ac:dyDescent="0.25">
      <c r="A725" s="2"/>
      <c r="B725" s="2"/>
      <c r="C725" s="2"/>
      <c r="D725" s="22"/>
      <c r="E725" s="2"/>
      <c r="F725" s="2"/>
      <c r="G725" s="2"/>
      <c r="H725" s="2"/>
      <c r="I725" s="2"/>
      <c r="J725" s="2"/>
      <c r="K725" s="2"/>
      <c r="L725" s="2"/>
      <c r="M725" s="23"/>
      <c r="N725" s="31"/>
      <c r="O725" s="23"/>
      <c r="P725" s="30"/>
      <c r="Q725" s="23"/>
      <c r="R725" s="23"/>
      <c r="S725" s="23"/>
      <c r="T725" s="23"/>
      <c r="U725" s="23"/>
      <c r="V725" s="23"/>
      <c r="W725" s="23"/>
      <c r="X725" s="23"/>
      <c r="Y725" s="23"/>
      <c r="Z725" s="23"/>
      <c r="AA725" s="23"/>
      <c r="AB725" s="23"/>
    </row>
    <row r="726" spans="1:28" x14ac:dyDescent="0.25">
      <c r="A726" s="2"/>
      <c r="B726" s="2"/>
      <c r="C726" s="2"/>
      <c r="D726" s="22"/>
      <c r="E726" s="2"/>
      <c r="F726" s="2"/>
      <c r="G726" s="2"/>
      <c r="H726" s="2"/>
      <c r="I726" s="2"/>
      <c r="J726" s="2"/>
      <c r="K726" s="2"/>
      <c r="L726" s="2"/>
      <c r="M726" s="23"/>
      <c r="N726" s="31"/>
      <c r="O726" s="23"/>
      <c r="P726" s="30"/>
      <c r="Q726" s="23"/>
      <c r="R726" s="23"/>
      <c r="S726" s="23"/>
      <c r="T726" s="23"/>
      <c r="U726" s="23"/>
      <c r="V726" s="23"/>
      <c r="W726" s="23"/>
      <c r="X726" s="23"/>
      <c r="Y726" s="23"/>
      <c r="Z726" s="23"/>
      <c r="AA726" s="23"/>
      <c r="AB726" s="23"/>
    </row>
    <row r="727" spans="1:28" x14ac:dyDescent="0.25">
      <c r="A727" s="2"/>
      <c r="B727" s="2"/>
      <c r="C727" s="2"/>
      <c r="D727" s="22"/>
      <c r="E727" s="2"/>
      <c r="F727" s="2"/>
      <c r="G727" s="2"/>
      <c r="H727" s="2"/>
      <c r="I727" s="2"/>
      <c r="J727" s="2"/>
      <c r="K727" s="2"/>
      <c r="L727" s="2"/>
      <c r="M727" s="23"/>
      <c r="N727" s="31"/>
      <c r="O727" s="23"/>
      <c r="P727" s="30"/>
      <c r="Q727" s="23"/>
      <c r="R727" s="23"/>
      <c r="S727" s="23"/>
      <c r="T727" s="23"/>
      <c r="U727" s="23"/>
      <c r="V727" s="23"/>
      <c r="W727" s="23"/>
      <c r="X727" s="23"/>
      <c r="Y727" s="23"/>
      <c r="Z727" s="23"/>
      <c r="AA727" s="23"/>
      <c r="AB727" s="23"/>
    </row>
    <row r="728" spans="1:28" x14ac:dyDescent="0.25">
      <c r="A728" s="2"/>
      <c r="B728" s="2"/>
      <c r="C728" s="2"/>
      <c r="D728" s="22"/>
      <c r="E728" s="2"/>
      <c r="F728" s="2"/>
      <c r="G728" s="2"/>
      <c r="H728" s="2"/>
      <c r="I728" s="2"/>
      <c r="J728" s="2"/>
      <c r="K728" s="2"/>
      <c r="L728" s="2"/>
      <c r="M728" s="23"/>
      <c r="N728" s="31"/>
      <c r="O728" s="23"/>
      <c r="P728" s="30"/>
      <c r="Q728" s="23"/>
      <c r="R728" s="23"/>
      <c r="S728" s="23"/>
      <c r="T728" s="23"/>
      <c r="U728" s="23"/>
      <c r="V728" s="23"/>
      <c r="W728" s="23"/>
      <c r="X728" s="23"/>
      <c r="Y728" s="23"/>
      <c r="Z728" s="23"/>
      <c r="AA728" s="23"/>
      <c r="AB728" s="23"/>
    </row>
    <row r="729" spans="1:28" x14ac:dyDescent="0.25">
      <c r="A729" s="2"/>
      <c r="B729" s="2"/>
      <c r="C729" s="2"/>
      <c r="D729" s="22"/>
      <c r="E729" s="2"/>
      <c r="F729" s="2"/>
      <c r="G729" s="2"/>
      <c r="H729" s="2"/>
      <c r="I729" s="2"/>
      <c r="J729" s="2"/>
      <c r="K729" s="2"/>
      <c r="L729" s="2"/>
      <c r="M729" s="23"/>
      <c r="N729" s="31"/>
      <c r="O729" s="23"/>
      <c r="P729" s="30"/>
      <c r="Q729" s="23"/>
      <c r="R729" s="23"/>
      <c r="S729" s="23"/>
      <c r="T729" s="23"/>
      <c r="U729" s="23"/>
      <c r="V729" s="23"/>
      <c r="W729" s="23"/>
      <c r="X729" s="23"/>
      <c r="Y729" s="23"/>
      <c r="Z729" s="23"/>
      <c r="AA729" s="23"/>
      <c r="AB729" s="23"/>
    </row>
    <row r="730" spans="1:28" x14ac:dyDescent="0.25">
      <c r="A730" s="2"/>
      <c r="B730" s="2"/>
      <c r="C730" s="2"/>
      <c r="D730" s="22"/>
      <c r="E730" s="2"/>
      <c r="F730" s="2"/>
      <c r="G730" s="2"/>
      <c r="H730" s="2"/>
      <c r="I730" s="2"/>
      <c r="J730" s="2"/>
      <c r="K730" s="2"/>
      <c r="L730" s="2"/>
      <c r="M730" s="23"/>
      <c r="N730" s="31"/>
      <c r="O730" s="23"/>
      <c r="P730" s="30"/>
      <c r="Q730" s="23"/>
      <c r="R730" s="23"/>
      <c r="S730" s="23"/>
      <c r="T730" s="23"/>
      <c r="U730" s="23"/>
      <c r="V730" s="23"/>
      <c r="W730" s="23"/>
      <c r="X730" s="23"/>
      <c r="Y730" s="23"/>
      <c r="Z730" s="23"/>
      <c r="AA730" s="23"/>
      <c r="AB730" s="23"/>
    </row>
    <row r="731" spans="1:28" x14ac:dyDescent="0.25">
      <c r="A731" s="2"/>
      <c r="B731" s="2"/>
      <c r="C731" s="2"/>
      <c r="D731" s="22"/>
      <c r="E731" s="2"/>
      <c r="F731" s="2"/>
      <c r="G731" s="2"/>
      <c r="H731" s="2"/>
      <c r="I731" s="2"/>
      <c r="J731" s="2"/>
      <c r="K731" s="2"/>
      <c r="L731" s="2"/>
      <c r="M731" s="23"/>
      <c r="N731" s="31"/>
      <c r="O731" s="23"/>
      <c r="P731" s="30"/>
      <c r="Q731" s="23"/>
      <c r="R731" s="23"/>
      <c r="S731" s="23"/>
      <c r="T731" s="23"/>
      <c r="U731" s="23"/>
      <c r="V731" s="23"/>
      <c r="W731" s="23"/>
      <c r="X731" s="23"/>
      <c r="Y731" s="23"/>
      <c r="Z731" s="23"/>
      <c r="AA731" s="23"/>
      <c r="AB731" s="23"/>
    </row>
    <row r="732" spans="1:28" x14ac:dyDescent="0.25">
      <c r="A732" s="2"/>
      <c r="B732" s="2"/>
      <c r="C732" s="2"/>
      <c r="D732" s="22"/>
      <c r="E732" s="2"/>
      <c r="F732" s="2"/>
      <c r="G732" s="2"/>
      <c r="H732" s="2"/>
      <c r="I732" s="2"/>
      <c r="J732" s="2"/>
      <c r="K732" s="2"/>
      <c r="L732" s="2"/>
      <c r="M732" s="23"/>
      <c r="N732" s="31"/>
      <c r="O732" s="23"/>
      <c r="P732" s="30"/>
      <c r="Q732" s="23"/>
      <c r="R732" s="23"/>
      <c r="S732" s="23"/>
      <c r="T732" s="23"/>
      <c r="U732" s="23"/>
      <c r="V732" s="23"/>
      <c r="W732" s="23"/>
      <c r="X732" s="23"/>
      <c r="Y732" s="23"/>
      <c r="Z732" s="23"/>
      <c r="AA732" s="23"/>
      <c r="AB732" s="23"/>
    </row>
    <row r="733" spans="1:28" x14ac:dyDescent="0.25">
      <c r="A733" s="2"/>
      <c r="B733" s="2"/>
      <c r="C733" s="2"/>
      <c r="D733" s="22"/>
      <c r="E733" s="2"/>
      <c r="F733" s="2"/>
      <c r="G733" s="2"/>
      <c r="H733" s="2"/>
      <c r="I733" s="2"/>
      <c r="J733" s="2"/>
      <c r="K733" s="2"/>
      <c r="L733" s="2"/>
      <c r="M733" s="23"/>
      <c r="N733" s="31"/>
      <c r="O733" s="23"/>
      <c r="P733" s="30"/>
      <c r="Q733" s="23"/>
      <c r="R733" s="23"/>
      <c r="S733" s="23"/>
      <c r="T733" s="23"/>
      <c r="U733" s="23"/>
      <c r="V733" s="23"/>
      <c r="W733" s="23"/>
      <c r="X733" s="23"/>
      <c r="Y733" s="23"/>
      <c r="Z733" s="23"/>
      <c r="AA733" s="23"/>
      <c r="AB733" s="23"/>
    </row>
    <row r="734" spans="1:28" x14ac:dyDescent="0.25">
      <c r="A734" s="2"/>
      <c r="B734" s="2"/>
      <c r="C734" s="2"/>
      <c r="D734" s="22"/>
      <c r="E734" s="2"/>
      <c r="F734" s="2"/>
      <c r="G734" s="2"/>
      <c r="H734" s="2"/>
      <c r="I734" s="2"/>
      <c r="J734" s="2"/>
      <c r="K734" s="2"/>
      <c r="L734" s="2"/>
      <c r="M734" s="23"/>
      <c r="N734" s="31"/>
      <c r="O734" s="23"/>
      <c r="P734" s="30"/>
      <c r="Q734" s="23"/>
      <c r="R734" s="23"/>
      <c r="S734" s="23"/>
      <c r="T734" s="23"/>
      <c r="U734" s="23"/>
      <c r="V734" s="23"/>
      <c r="W734" s="23"/>
      <c r="X734" s="23"/>
      <c r="Y734" s="23"/>
      <c r="Z734" s="23"/>
      <c r="AA734" s="23"/>
      <c r="AB734" s="23"/>
    </row>
    <row r="735" spans="1:28" x14ac:dyDescent="0.25">
      <c r="A735" s="2"/>
      <c r="B735" s="2"/>
      <c r="C735" s="2"/>
      <c r="D735" s="22"/>
      <c r="E735" s="2"/>
      <c r="F735" s="2"/>
      <c r="G735" s="2"/>
      <c r="H735" s="2"/>
      <c r="I735" s="2"/>
      <c r="J735" s="2"/>
      <c r="K735" s="2"/>
      <c r="L735" s="2"/>
      <c r="M735" s="23"/>
      <c r="N735" s="31"/>
      <c r="O735" s="23"/>
      <c r="P735" s="30"/>
      <c r="Q735" s="23"/>
      <c r="R735" s="23"/>
      <c r="S735" s="23"/>
      <c r="T735" s="23"/>
      <c r="U735" s="23"/>
      <c r="V735" s="23"/>
      <c r="W735" s="23"/>
      <c r="X735" s="23"/>
      <c r="Y735" s="23"/>
      <c r="Z735" s="23"/>
      <c r="AA735" s="23"/>
      <c r="AB735" s="23"/>
    </row>
    <row r="736" spans="1:28" x14ac:dyDescent="0.25">
      <c r="A736" s="2"/>
      <c r="B736" s="2"/>
      <c r="C736" s="2"/>
      <c r="D736" s="22"/>
      <c r="E736" s="2"/>
      <c r="F736" s="2"/>
      <c r="G736" s="2"/>
      <c r="H736" s="2"/>
      <c r="I736" s="2"/>
      <c r="J736" s="2"/>
      <c r="K736" s="2"/>
      <c r="L736" s="2"/>
      <c r="M736" s="23"/>
      <c r="N736" s="31"/>
      <c r="O736" s="23"/>
      <c r="P736" s="30"/>
      <c r="Q736" s="23"/>
      <c r="R736" s="23"/>
      <c r="S736" s="23"/>
      <c r="T736" s="23"/>
      <c r="U736" s="23"/>
      <c r="V736" s="23"/>
      <c r="W736" s="23"/>
      <c r="X736" s="23"/>
      <c r="Y736" s="23"/>
      <c r="Z736" s="23"/>
      <c r="AA736" s="23"/>
      <c r="AB736" s="23"/>
    </row>
    <row r="737" spans="1:28" x14ac:dyDescent="0.25">
      <c r="A737" s="2"/>
      <c r="B737" s="2"/>
      <c r="C737" s="2"/>
      <c r="D737" s="22"/>
      <c r="E737" s="2"/>
      <c r="F737" s="2"/>
      <c r="G737" s="2"/>
      <c r="H737" s="2"/>
      <c r="I737" s="2"/>
      <c r="J737" s="2"/>
      <c r="K737" s="2"/>
      <c r="L737" s="2"/>
      <c r="M737" s="23"/>
      <c r="N737" s="31"/>
      <c r="O737" s="23"/>
      <c r="P737" s="30"/>
      <c r="Q737" s="23"/>
      <c r="R737" s="23"/>
      <c r="S737" s="23"/>
      <c r="T737" s="23"/>
      <c r="U737" s="23"/>
      <c r="V737" s="23"/>
      <c r="W737" s="23"/>
      <c r="X737" s="23"/>
      <c r="Y737" s="23"/>
      <c r="Z737" s="23"/>
      <c r="AA737" s="23"/>
      <c r="AB737" s="23"/>
    </row>
    <row r="738" spans="1:28" x14ac:dyDescent="0.25">
      <c r="A738" s="2"/>
      <c r="B738" s="2"/>
      <c r="C738" s="2"/>
      <c r="D738" s="22"/>
      <c r="E738" s="2"/>
      <c r="F738" s="2"/>
      <c r="G738" s="2"/>
      <c r="H738" s="2"/>
      <c r="I738" s="2"/>
      <c r="J738" s="2"/>
      <c r="K738" s="2"/>
      <c r="L738" s="2"/>
      <c r="M738" s="23"/>
      <c r="N738" s="31"/>
      <c r="O738" s="23"/>
      <c r="P738" s="30"/>
      <c r="Q738" s="23"/>
      <c r="R738" s="23"/>
      <c r="S738" s="23"/>
      <c r="T738" s="23"/>
      <c r="U738" s="23"/>
      <c r="V738" s="23"/>
      <c r="W738" s="23"/>
      <c r="X738" s="23"/>
      <c r="Y738" s="23"/>
      <c r="Z738" s="23"/>
      <c r="AA738" s="23"/>
      <c r="AB738" s="23"/>
    </row>
    <row r="739" spans="1:28" x14ac:dyDescent="0.25">
      <c r="A739" s="2"/>
      <c r="B739" s="2"/>
      <c r="C739" s="2"/>
      <c r="D739" s="22"/>
      <c r="E739" s="2"/>
      <c r="F739" s="2"/>
      <c r="G739" s="2"/>
      <c r="H739" s="2"/>
      <c r="I739" s="2"/>
      <c r="J739" s="2"/>
      <c r="K739" s="2"/>
      <c r="L739" s="2"/>
      <c r="M739" s="23"/>
      <c r="N739" s="31"/>
      <c r="O739" s="23"/>
      <c r="P739" s="30"/>
      <c r="Q739" s="23"/>
      <c r="R739" s="23"/>
      <c r="S739" s="23"/>
      <c r="T739" s="23"/>
      <c r="U739" s="23"/>
      <c r="V739" s="23"/>
      <c r="W739" s="23"/>
      <c r="X739" s="23"/>
      <c r="Y739" s="23"/>
      <c r="Z739" s="23"/>
      <c r="AA739" s="23"/>
      <c r="AB739" s="23"/>
    </row>
    <row r="740" spans="1:28" x14ac:dyDescent="0.25">
      <c r="A740" s="2"/>
      <c r="B740" s="2"/>
      <c r="C740" s="2"/>
      <c r="D740" s="22"/>
      <c r="E740" s="2"/>
      <c r="F740" s="2"/>
      <c r="G740" s="2"/>
      <c r="H740" s="2"/>
      <c r="I740" s="2"/>
      <c r="J740" s="2"/>
      <c r="K740" s="2"/>
      <c r="L740" s="2"/>
      <c r="M740" s="23"/>
      <c r="N740" s="31"/>
      <c r="O740" s="23"/>
      <c r="P740" s="30"/>
      <c r="Q740" s="23"/>
      <c r="R740" s="23"/>
      <c r="S740" s="23"/>
      <c r="T740" s="23"/>
      <c r="U740" s="23"/>
      <c r="V740" s="23"/>
      <c r="W740" s="23"/>
      <c r="X740" s="23"/>
      <c r="Y740" s="23"/>
      <c r="Z740" s="23"/>
      <c r="AA740" s="23"/>
      <c r="AB740" s="23"/>
    </row>
    <row r="741" spans="1:28" x14ac:dyDescent="0.25">
      <c r="A741" s="2"/>
      <c r="B741" s="2"/>
      <c r="C741" s="2"/>
      <c r="D741" s="22"/>
      <c r="E741" s="2"/>
      <c r="F741" s="2"/>
      <c r="G741" s="2"/>
      <c r="H741" s="2"/>
      <c r="I741" s="2"/>
      <c r="J741" s="2"/>
      <c r="K741" s="2"/>
      <c r="L741" s="2"/>
      <c r="M741" s="23"/>
      <c r="N741" s="31"/>
      <c r="O741" s="23"/>
      <c r="P741" s="30"/>
      <c r="Q741" s="23"/>
      <c r="R741" s="23"/>
      <c r="S741" s="23"/>
      <c r="T741" s="23"/>
      <c r="U741" s="23"/>
      <c r="V741" s="23"/>
      <c r="W741" s="23"/>
      <c r="X741" s="23"/>
      <c r="Y741" s="23"/>
      <c r="Z741" s="23"/>
      <c r="AA741" s="23"/>
      <c r="AB741" s="23"/>
    </row>
    <row r="742" spans="1:28" x14ac:dyDescent="0.25">
      <c r="A742" s="2"/>
      <c r="B742" s="2"/>
      <c r="C742" s="2"/>
      <c r="D742" s="22"/>
      <c r="E742" s="2"/>
      <c r="F742" s="2"/>
      <c r="G742" s="2"/>
      <c r="H742" s="2"/>
      <c r="I742" s="2"/>
      <c r="J742" s="2"/>
      <c r="K742" s="2"/>
      <c r="L742" s="2"/>
      <c r="M742" s="23"/>
      <c r="N742" s="31"/>
      <c r="O742" s="23"/>
      <c r="P742" s="30"/>
      <c r="Q742" s="23"/>
      <c r="R742" s="23"/>
      <c r="S742" s="23"/>
      <c r="T742" s="23"/>
      <c r="U742" s="23"/>
      <c r="V742" s="23"/>
      <c r="W742" s="23"/>
      <c r="X742" s="23"/>
      <c r="Y742" s="23"/>
      <c r="Z742" s="23"/>
      <c r="AA742" s="23"/>
      <c r="AB742" s="23"/>
    </row>
    <row r="743" spans="1:28" x14ac:dyDescent="0.25">
      <c r="A743" s="2"/>
      <c r="B743" s="2"/>
      <c r="C743" s="2"/>
      <c r="D743" s="22"/>
      <c r="E743" s="2"/>
      <c r="F743" s="2"/>
      <c r="G743" s="2"/>
      <c r="H743" s="2"/>
      <c r="I743" s="2"/>
      <c r="J743" s="2"/>
      <c r="K743" s="2"/>
      <c r="L743" s="2"/>
      <c r="M743" s="23"/>
      <c r="N743" s="31"/>
      <c r="O743" s="23"/>
      <c r="P743" s="30"/>
      <c r="Q743" s="23"/>
      <c r="R743" s="23"/>
      <c r="S743" s="23"/>
      <c r="T743" s="23"/>
      <c r="U743" s="23"/>
      <c r="V743" s="23"/>
      <c r="W743" s="23"/>
      <c r="X743" s="23"/>
      <c r="Y743" s="23"/>
      <c r="Z743" s="23"/>
      <c r="AA743" s="23"/>
      <c r="AB743" s="23"/>
    </row>
    <row r="744" spans="1:28" x14ac:dyDescent="0.25">
      <c r="A744" s="2"/>
      <c r="B744" s="2"/>
      <c r="C744" s="2"/>
      <c r="D744" s="22"/>
      <c r="E744" s="2"/>
      <c r="F744" s="2"/>
      <c r="G744" s="2"/>
      <c r="H744" s="2"/>
      <c r="I744" s="2"/>
      <c r="J744" s="2"/>
      <c r="K744" s="2"/>
      <c r="L744" s="2"/>
      <c r="M744" s="23"/>
      <c r="N744" s="31"/>
      <c r="O744" s="23"/>
      <c r="P744" s="30"/>
      <c r="Q744" s="23"/>
      <c r="R744" s="23"/>
      <c r="S744" s="23"/>
      <c r="T744" s="23"/>
      <c r="U744" s="23"/>
      <c r="V744" s="23"/>
      <c r="W744" s="23"/>
      <c r="X744" s="23"/>
      <c r="Y744" s="23"/>
      <c r="Z744" s="23"/>
      <c r="AA744" s="23"/>
      <c r="AB744" s="23"/>
    </row>
    <row r="745" spans="1:28" x14ac:dyDescent="0.25">
      <c r="A745" s="2"/>
      <c r="B745" s="2"/>
      <c r="C745" s="2"/>
      <c r="D745" s="22"/>
      <c r="E745" s="2"/>
      <c r="F745" s="2"/>
      <c r="G745" s="2"/>
      <c r="H745" s="2"/>
      <c r="I745" s="2"/>
      <c r="J745" s="2"/>
      <c r="K745" s="2"/>
      <c r="L745" s="2"/>
      <c r="M745" s="23"/>
      <c r="N745" s="31"/>
      <c r="O745" s="23"/>
      <c r="P745" s="30"/>
      <c r="Q745" s="23"/>
      <c r="R745" s="23"/>
      <c r="S745" s="23"/>
      <c r="T745" s="23"/>
      <c r="U745" s="23"/>
      <c r="V745" s="23"/>
      <c r="W745" s="23"/>
      <c r="X745" s="23"/>
      <c r="Y745" s="23"/>
      <c r="Z745" s="23"/>
      <c r="AA745" s="23"/>
      <c r="AB745" s="23"/>
    </row>
    <row r="746" spans="1:28" x14ac:dyDescent="0.25">
      <c r="A746" s="2"/>
      <c r="B746" s="2"/>
      <c r="C746" s="2"/>
      <c r="D746" s="22"/>
      <c r="E746" s="2"/>
      <c r="F746" s="2"/>
      <c r="G746" s="2"/>
      <c r="H746" s="2"/>
      <c r="I746" s="2"/>
      <c r="J746" s="2"/>
      <c r="K746" s="2"/>
      <c r="L746" s="2"/>
      <c r="M746" s="23"/>
      <c r="N746" s="31"/>
      <c r="O746" s="23"/>
      <c r="P746" s="30"/>
      <c r="Q746" s="23"/>
      <c r="R746" s="23"/>
      <c r="S746" s="23"/>
      <c r="T746" s="23"/>
      <c r="U746" s="23"/>
      <c r="V746" s="23"/>
      <c r="W746" s="23"/>
      <c r="X746" s="23"/>
      <c r="Y746" s="23"/>
      <c r="Z746" s="23"/>
      <c r="AA746" s="23"/>
      <c r="AB746" s="23"/>
    </row>
    <row r="747" spans="1:28" x14ac:dyDescent="0.25">
      <c r="A747" s="2"/>
      <c r="B747" s="2"/>
      <c r="C747" s="2"/>
      <c r="D747" s="22"/>
      <c r="E747" s="2"/>
      <c r="F747" s="2"/>
      <c r="G747" s="2"/>
      <c r="H747" s="2"/>
      <c r="I747" s="2"/>
      <c r="J747" s="2"/>
      <c r="K747" s="2"/>
      <c r="L747" s="2"/>
      <c r="M747" s="23"/>
      <c r="N747" s="31"/>
      <c r="O747" s="23"/>
      <c r="P747" s="30"/>
      <c r="Q747" s="23"/>
      <c r="R747" s="23"/>
      <c r="S747" s="23"/>
      <c r="T747" s="23"/>
      <c r="U747" s="23"/>
      <c r="V747" s="23"/>
      <c r="W747" s="23"/>
      <c r="X747" s="23"/>
      <c r="Y747" s="23"/>
      <c r="Z747" s="23"/>
      <c r="AA747" s="23"/>
      <c r="AB747" s="23"/>
    </row>
    <row r="748" spans="1:28" x14ac:dyDescent="0.25">
      <c r="A748" s="2"/>
      <c r="B748" s="2"/>
      <c r="C748" s="2"/>
      <c r="D748" s="22"/>
      <c r="E748" s="2"/>
      <c r="F748" s="2"/>
      <c r="G748" s="2"/>
      <c r="H748" s="2"/>
      <c r="I748" s="2"/>
      <c r="J748" s="2"/>
      <c r="K748" s="2"/>
      <c r="L748" s="2"/>
      <c r="M748" s="23"/>
      <c r="N748" s="31"/>
      <c r="O748" s="23"/>
      <c r="P748" s="30"/>
      <c r="Q748" s="23"/>
      <c r="R748" s="23"/>
      <c r="S748" s="23"/>
      <c r="T748" s="23"/>
      <c r="U748" s="23"/>
      <c r="V748" s="23"/>
      <c r="W748" s="23"/>
      <c r="X748" s="23"/>
      <c r="Y748" s="23"/>
      <c r="Z748" s="23"/>
      <c r="AA748" s="23"/>
      <c r="AB748" s="23"/>
    </row>
    <row r="749" spans="1:28" x14ac:dyDescent="0.25">
      <c r="A749" s="2"/>
      <c r="B749" s="2"/>
      <c r="C749" s="2"/>
      <c r="D749" s="22"/>
      <c r="E749" s="2"/>
      <c r="F749" s="2"/>
      <c r="G749" s="2"/>
      <c r="H749" s="2"/>
      <c r="I749" s="2"/>
      <c r="J749" s="2"/>
      <c r="K749" s="2"/>
      <c r="L749" s="2"/>
      <c r="M749" s="23"/>
      <c r="N749" s="31"/>
      <c r="O749" s="23"/>
      <c r="P749" s="30"/>
      <c r="Q749" s="23"/>
      <c r="R749" s="23"/>
      <c r="S749" s="23"/>
      <c r="T749" s="23"/>
      <c r="U749" s="23"/>
      <c r="V749" s="23"/>
      <c r="W749" s="23"/>
      <c r="X749" s="23"/>
      <c r="Y749" s="23"/>
      <c r="Z749" s="23"/>
      <c r="AA749" s="23"/>
      <c r="AB749" s="23"/>
    </row>
    <row r="750" spans="1:28" x14ac:dyDescent="0.25">
      <c r="A750" s="2"/>
      <c r="B750" s="2"/>
      <c r="C750" s="2"/>
      <c r="D750" s="22"/>
      <c r="E750" s="2"/>
      <c r="F750" s="2"/>
      <c r="G750" s="2"/>
      <c r="H750" s="2"/>
      <c r="I750" s="2"/>
      <c r="J750" s="2"/>
      <c r="K750" s="2"/>
      <c r="L750" s="2"/>
      <c r="M750" s="23"/>
      <c r="N750" s="31"/>
      <c r="O750" s="23"/>
      <c r="P750" s="30"/>
      <c r="Q750" s="23"/>
      <c r="R750" s="23"/>
      <c r="S750" s="23"/>
      <c r="T750" s="23"/>
      <c r="U750" s="23"/>
      <c r="V750" s="23"/>
      <c r="W750" s="23"/>
      <c r="X750" s="23"/>
      <c r="Y750" s="23"/>
      <c r="Z750" s="23"/>
      <c r="AA750" s="23"/>
      <c r="AB750" s="23"/>
    </row>
    <row r="751" spans="1:28" x14ac:dyDescent="0.25">
      <c r="A751" s="2"/>
      <c r="B751" s="2"/>
      <c r="C751" s="2"/>
      <c r="D751" s="22"/>
      <c r="E751" s="2"/>
      <c r="F751" s="2"/>
      <c r="G751" s="2"/>
      <c r="H751" s="2"/>
      <c r="I751" s="2"/>
      <c r="J751" s="2"/>
      <c r="K751" s="2"/>
      <c r="L751" s="2"/>
      <c r="M751" s="23"/>
      <c r="N751" s="31"/>
      <c r="O751" s="23"/>
      <c r="P751" s="30"/>
      <c r="Q751" s="23"/>
      <c r="R751" s="23"/>
      <c r="S751" s="23"/>
      <c r="T751" s="23"/>
      <c r="U751" s="23"/>
      <c r="V751" s="23"/>
      <c r="W751" s="23"/>
      <c r="X751" s="23"/>
      <c r="Y751" s="23"/>
      <c r="Z751" s="23"/>
      <c r="AA751" s="23"/>
      <c r="AB751" s="23"/>
    </row>
    <row r="752" spans="1:28" x14ac:dyDescent="0.25">
      <c r="A752" s="2"/>
      <c r="B752" s="2"/>
      <c r="C752" s="2"/>
      <c r="D752" s="22"/>
      <c r="E752" s="2"/>
      <c r="F752" s="2"/>
      <c r="G752" s="2"/>
      <c r="H752" s="2"/>
      <c r="I752" s="2"/>
      <c r="J752" s="2"/>
      <c r="K752" s="2"/>
      <c r="L752" s="2"/>
      <c r="M752" s="23"/>
      <c r="N752" s="31"/>
      <c r="O752" s="23"/>
      <c r="P752" s="30"/>
      <c r="Q752" s="23"/>
      <c r="R752" s="23"/>
      <c r="S752" s="23"/>
      <c r="T752" s="23"/>
      <c r="U752" s="23"/>
      <c r="V752" s="23"/>
      <c r="W752" s="23"/>
      <c r="X752" s="23"/>
      <c r="Y752" s="23"/>
      <c r="Z752" s="23"/>
      <c r="AA752" s="23"/>
      <c r="AB752" s="23"/>
    </row>
    <row r="753" spans="1:28" x14ac:dyDescent="0.25">
      <c r="A753" s="2"/>
      <c r="B753" s="2"/>
      <c r="C753" s="2"/>
      <c r="D753" s="22"/>
      <c r="E753" s="2"/>
      <c r="F753" s="2"/>
      <c r="G753" s="2"/>
      <c r="H753" s="2"/>
      <c r="I753" s="2"/>
      <c r="J753" s="2"/>
      <c r="K753" s="2"/>
      <c r="L753" s="2"/>
      <c r="M753" s="23"/>
      <c r="N753" s="31"/>
      <c r="O753" s="23"/>
      <c r="P753" s="30"/>
      <c r="Q753" s="23"/>
      <c r="R753" s="23"/>
      <c r="S753" s="23"/>
      <c r="T753" s="23"/>
      <c r="U753" s="23"/>
      <c r="V753" s="23"/>
      <c r="W753" s="23"/>
      <c r="X753" s="23"/>
      <c r="Y753" s="23"/>
      <c r="Z753" s="23"/>
      <c r="AA753" s="23"/>
      <c r="AB753" s="23"/>
    </row>
    <row r="754" spans="1:28" x14ac:dyDescent="0.25">
      <c r="A754" s="2"/>
      <c r="B754" s="2"/>
      <c r="C754" s="2"/>
      <c r="D754" s="22"/>
      <c r="E754" s="2"/>
      <c r="F754" s="2"/>
      <c r="G754" s="2"/>
      <c r="H754" s="2"/>
      <c r="I754" s="2"/>
      <c r="J754" s="2"/>
      <c r="K754" s="2"/>
      <c r="L754" s="2"/>
      <c r="M754" s="23"/>
      <c r="N754" s="31"/>
      <c r="O754" s="23"/>
      <c r="P754" s="30"/>
      <c r="Q754" s="23"/>
      <c r="R754" s="23"/>
      <c r="S754" s="23"/>
      <c r="T754" s="23"/>
      <c r="U754" s="23"/>
      <c r="V754" s="23"/>
      <c r="W754" s="23"/>
      <c r="X754" s="23"/>
      <c r="Y754" s="23"/>
      <c r="Z754" s="23"/>
      <c r="AA754" s="23"/>
      <c r="AB754" s="23"/>
    </row>
    <row r="755" spans="1:28" x14ac:dyDescent="0.25">
      <c r="A755" s="2"/>
      <c r="B755" s="2"/>
      <c r="C755" s="2"/>
      <c r="D755" s="22"/>
      <c r="E755" s="2"/>
      <c r="F755" s="2"/>
      <c r="G755" s="2"/>
      <c r="H755" s="2"/>
      <c r="I755" s="2"/>
      <c r="J755" s="2"/>
      <c r="K755" s="2"/>
      <c r="L755" s="2"/>
      <c r="M755" s="23"/>
      <c r="N755" s="31"/>
      <c r="O755" s="23"/>
      <c r="P755" s="30"/>
      <c r="Q755" s="23"/>
      <c r="R755" s="23"/>
      <c r="S755" s="23"/>
      <c r="T755" s="23"/>
      <c r="U755" s="23"/>
      <c r="V755" s="23"/>
      <c r="W755" s="23"/>
      <c r="X755" s="23"/>
      <c r="Y755" s="23"/>
      <c r="Z755" s="23"/>
      <c r="AA755" s="23"/>
      <c r="AB755" s="23"/>
    </row>
    <row r="756" spans="1:28" x14ac:dyDescent="0.25">
      <c r="A756" s="2"/>
      <c r="B756" s="2"/>
      <c r="C756" s="2"/>
      <c r="D756" s="22"/>
      <c r="E756" s="2"/>
      <c r="F756" s="2"/>
      <c r="G756" s="2"/>
      <c r="H756" s="2"/>
      <c r="I756" s="2"/>
      <c r="J756" s="2"/>
      <c r="K756" s="2"/>
      <c r="L756" s="2"/>
      <c r="M756" s="23"/>
      <c r="N756" s="31"/>
      <c r="O756" s="23"/>
      <c r="P756" s="30"/>
      <c r="Q756" s="23"/>
      <c r="R756" s="23"/>
      <c r="S756" s="23"/>
      <c r="T756" s="23"/>
      <c r="U756" s="23"/>
      <c r="V756" s="23"/>
      <c r="W756" s="23"/>
      <c r="X756" s="23"/>
      <c r="Y756" s="23"/>
      <c r="Z756" s="23"/>
      <c r="AA756" s="23"/>
      <c r="AB756" s="23"/>
    </row>
    <row r="757" spans="1:28" x14ac:dyDescent="0.25">
      <c r="A757" s="2"/>
      <c r="B757" s="2"/>
      <c r="C757" s="2"/>
      <c r="D757" s="22"/>
      <c r="E757" s="2"/>
      <c r="F757" s="2"/>
      <c r="G757" s="2"/>
      <c r="H757" s="2"/>
      <c r="I757" s="2"/>
      <c r="J757" s="2"/>
      <c r="K757" s="2"/>
      <c r="L757" s="2"/>
      <c r="M757" s="23"/>
      <c r="N757" s="31"/>
      <c r="O757" s="23"/>
      <c r="P757" s="30"/>
      <c r="Q757" s="23"/>
      <c r="R757" s="23"/>
      <c r="S757" s="23"/>
      <c r="T757" s="23"/>
      <c r="U757" s="23"/>
      <c r="V757" s="23"/>
      <c r="W757" s="23"/>
      <c r="X757" s="23"/>
      <c r="Y757" s="23"/>
      <c r="Z757" s="23"/>
      <c r="AA757" s="23"/>
      <c r="AB757" s="23"/>
    </row>
    <row r="758" spans="1:28" x14ac:dyDescent="0.25">
      <c r="A758" s="2"/>
      <c r="B758" s="2"/>
      <c r="C758" s="2"/>
      <c r="D758" s="22"/>
      <c r="E758" s="2"/>
      <c r="F758" s="2"/>
      <c r="G758" s="2"/>
      <c r="H758" s="2"/>
      <c r="I758" s="2"/>
      <c r="J758" s="2"/>
      <c r="K758" s="2"/>
      <c r="L758" s="2"/>
      <c r="M758" s="23"/>
      <c r="N758" s="31"/>
      <c r="O758" s="23"/>
      <c r="P758" s="30"/>
      <c r="Q758" s="23"/>
      <c r="R758" s="23"/>
      <c r="S758" s="23"/>
      <c r="T758" s="23"/>
      <c r="U758" s="23"/>
      <c r="V758" s="23"/>
      <c r="W758" s="23"/>
      <c r="X758" s="23"/>
      <c r="Y758" s="23"/>
      <c r="Z758" s="23"/>
      <c r="AA758" s="23"/>
      <c r="AB758" s="23"/>
    </row>
    <row r="759" spans="1:28" x14ac:dyDescent="0.25">
      <c r="A759" s="2"/>
      <c r="B759" s="2"/>
      <c r="C759" s="2"/>
      <c r="D759" s="22"/>
      <c r="E759" s="2"/>
      <c r="F759" s="2"/>
      <c r="G759" s="2"/>
      <c r="H759" s="2"/>
      <c r="I759" s="2"/>
      <c r="J759" s="2"/>
      <c r="K759" s="2"/>
      <c r="L759" s="2"/>
      <c r="M759" s="23"/>
      <c r="N759" s="31"/>
      <c r="O759" s="23"/>
      <c r="P759" s="30"/>
      <c r="Q759" s="23"/>
      <c r="R759" s="23"/>
      <c r="S759" s="23"/>
      <c r="T759" s="23"/>
      <c r="U759" s="23"/>
      <c r="V759" s="23"/>
      <c r="W759" s="23"/>
      <c r="X759" s="23"/>
      <c r="Y759" s="23"/>
      <c r="Z759" s="23"/>
      <c r="AA759" s="23"/>
      <c r="AB759" s="23"/>
    </row>
    <row r="760" spans="1:28" x14ac:dyDescent="0.25">
      <c r="A760" s="2"/>
      <c r="B760" s="2"/>
      <c r="C760" s="2"/>
      <c r="D760" s="22"/>
      <c r="E760" s="2"/>
      <c r="F760" s="2"/>
      <c r="G760" s="2"/>
      <c r="H760" s="2"/>
      <c r="I760" s="2"/>
      <c r="J760" s="2"/>
      <c r="K760" s="2"/>
      <c r="L760" s="2"/>
      <c r="M760" s="23"/>
      <c r="N760" s="31"/>
      <c r="O760" s="23"/>
      <c r="P760" s="30"/>
      <c r="Q760" s="23"/>
      <c r="R760" s="23"/>
      <c r="S760" s="23"/>
      <c r="T760" s="23"/>
      <c r="U760" s="23"/>
      <c r="V760" s="23"/>
      <c r="W760" s="23"/>
      <c r="X760" s="23"/>
      <c r="Y760" s="23"/>
      <c r="Z760" s="23"/>
      <c r="AA760" s="23"/>
      <c r="AB760" s="23"/>
    </row>
    <row r="761" spans="1:28" x14ac:dyDescent="0.25">
      <c r="A761" s="2"/>
      <c r="B761" s="2"/>
      <c r="C761" s="2"/>
      <c r="D761" s="22"/>
      <c r="E761" s="2"/>
      <c r="F761" s="2"/>
      <c r="G761" s="2"/>
      <c r="H761" s="2"/>
      <c r="I761" s="2"/>
      <c r="J761" s="2"/>
      <c r="K761" s="2"/>
      <c r="L761" s="2"/>
      <c r="M761" s="23"/>
      <c r="N761" s="31"/>
      <c r="O761" s="23"/>
      <c r="P761" s="30"/>
      <c r="Q761" s="23"/>
      <c r="R761" s="23"/>
      <c r="S761" s="23"/>
      <c r="T761" s="23"/>
      <c r="U761" s="23"/>
      <c r="V761" s="23"/>
      <c r="W761" s="23"/>
      <c r="X761" s="23"/>
      <c r="Y761" s="23"/>
      <c r="Z761" s="23"/>
      <c r="AA761" s="23"/>
      <c r="AB761" s="23"/>
    </row>
    <row r="762" spans="1:28" x14ac:dyDescent="0.25">
      <c r="A762" s="2"/>
      <c r="B762" s="2"/>
      <c r="C762" s="2"/>
      <c r="D762" s="22"/>
      <c r="E762" s="2"/>
      <c r="F762" s="2"/>
      <c r="G762" s="2"/>
      <c r="H762" s="2"/>
      <c r="I762" s="2"/>
      <c r="J762" s="2"/>
      <c r="K762" s="2"/>
      <c r="L762" s="2"/>
      <c r="M762" s="23"/>
      <c r="N762" s="31"/>
      <c r="O762" s="23"/>
      <c r="P762" s="30"/>
      <c r="Q762" s="23"/>
      <c r="R762" s="23"/>
      <c r="S762" s="23"/>
      <c r="T762" s="23"/>
      <c r="U762" s="23"/>
      <c r="V762" s="23"/>
      <c r="W762" s="23"/>
      <c r="X762" s="23"/>
      <c r="Y762" s="23"/>
      <c r="Z762" s="23"/>
      <c r="AA762" s="23"/>
      <c r="AB762" s="23"/>
    </row>
    <row r="763" spans="1:28" x14ac:dyDescent="0.25">
      <c r="A763" s="2"/>
      <c r="B763" s="2"/>
      <c r="C763" s="2"/>
      <c r="D763" s="22"/>
      <c r="E763" s="2"/>
      <c r="F763" s="2"/>
      <c r="G763" s="2"/>
      <c r="H763" s="2"/>
      <c r="I763" s="2"/>
      <c r="J763" s="2"/>
      <c r="K763" s="2"/>
      <c r="L763" s="2"/>
      <c r="M763" s="23"/>
      <c r="N763" s="31"/>
      <c r="O763" s="23"/>
      <c r="P763" s="30"/>
      <c r="Q763" s="23"/>
      <c r="R763" s="23"/>
      <c r="S763" s="23"/>
      <c r="T763" s="23"/>
      <c r="U763" s="23"/>
      <c r="V763" s="23"/>
      <c r="W763" s="23"/>
      <c r="X763" s="23"/>
      <c r="Y763" s="23"/>
      <c r="Z763" s="23"/>
      <c r="AA763" s="23"/>
      <c r="AB763" s="23"/>
    </row>
    <row r="764" spans="1:28" x14ac:dyDescent="0.25">
      <c r="A764" s="2"/>
      <c r="B764" s="2"/>
      <c r="C764" s="2"/>
      <c r="D764" s="22"/>
      <c r="E764" s="2"/>
      <c r="F764" s="2"/>
      <c r="G764" s="2"/>
      <c r="H764" s="2"/>
      <c r="I764" s="2"/>
      <c r="J764" s="2"/>
      <c r="K764" s="2"/>
      <c r="L764" s="2"/>
      <c r="M764" s="23"/>
      <c r="N764" s="31"/>
      <c r="O764" s="23"/>
      <c r="P764" s="30"/>
      <c r="Q764" s="23"/>
      <c r="R764" s="23"/>
      <c r="S764" s="23"/>
      <c r="T764" s="23"/>
      <c r="U764" s="23"/>
      <c r="V764" s="23"/>
      <c r="W764" s="23"/>
      <c r="X764" s="23"/>
      <c r="Y764" s="23"/>
      <c r="Z764" s="23"/>
      <c r="AA764" s="23"/>
      <c r="AB764" s="23"/>
    </row>
    <row r="765" spans="1:28" x14ac:dyDescent="0.25">
      <c r="A765" s="2"/>
      <c r="B765" s="2"/>
      <c r="C765" s="2"/>
      <c r="D765" s="22"/>
      <c r="E765" s="2"/>
      <c r="F765" s="2"/>
      <c r="G765" s="2"/>
      <c r="H765" s="2"/>
      <c r="I765" s="2"/>
      <c r="J765" s="2"/>
      <c r="K765" s="2"/>
      <c r="L765" s="2"/>
      <c r="M765" s="23"/>
      <c r="N765" s="31"/>
      <c r="O765" s="23"/>
      <c r="P765" s="30"/>
      <c r="Q765" s="23"/>
      <c r="R765" s="23"/>
      <c r="S765" s="23"/>
      <c r="T765" s="23"/>
      <c r="U765" s="23"/>
      <c r="V765" s="23"/>
      <c r="W765" s="23"/>
      <c r="X765" s="23"/>
      <c r="Y765" s="23"/>
      <c r="Z765" s="23"/>
      <c r="AA765" s="23"/>
      <c r="AB765" s="23"/>
    </row>
    <row r="766" spans="1:28" x14ac:dyDescent="0.25">
      <c r="A766" s="2"/>
      <c r="B766" s="2"/>
      <c r="C766" s="2"/>
      <c r="D766" s="22"/>
      <c r="E766" s="2"/>
      <c r="F766" s="2"/>
      <c r="G766" s="2"/>
      <c r="H766" s="2"/>
      <c r="I766" s="2"/>
      <c r="J766" s="2"/>
      <c r="K766" s="2"/>
      <c r="L766" s="2"/>
      <c r="M766" s="23"/>
      <c r="N766" s="31"/>
      <c r="O766" s="23"/>
      <c r="P766" s="30"/>
      <c r="Q766" s="23"/>
      <c r="R766" s="23"/>
      <c r="S766" s="23"/>
      <c r="T766" s="23"/>
      <c r="U766" s="23"/>
      <c r="V766" s="23"/>
      <c r="W766" s="23"/>
      <c r="X766" s="23"/>
      <c r="Y766" s="23"/>
      <c r="Z766" s="23"/>
      <c r="AA766" s="23"/>
      <c r="AB766" s="23"/>
    </row>
    <row r="767" spans="1:28" x14ac:dyDescent="0.25">
      <c r="A767" s="2"/>
      <c r="B767" s="2"/>
      <c r="C767" s="2"/>
      <c r="D767" s="22"/>
      <c r="E767" s="2"/>
      <c r="F767" s="2"/>
      <c r="G767" s="2"/>
      <c r="H767" s="2"/>
      <c r="I767" s="2"/>
      <c r="J767" s="2"/>
      <c r="K767" s="2"/>
      <c r="L767" s="2"/>
      <c r="M767" s="23"/>
      <c r="N767" s="31"/>
      <c r="O767" s="23"/>
      <c r="P767" s="30"/>
      <c r="Q767" s="23"/>
      <c r="R767" s="23"/>
      <c r="S767" s="23"/>
      <c r="T767" s="23"/>
      <c r="U767" s="23"/>
      <c r="V767" s="23"/>
      <c r="W767" s="23"/>
      <c r="X767" s="23"/>
      <c r="Y767" s="23"/>
      <c r="Z767" s="23"/>
      <c r="AA767" s="23"/>
      <c r="AB767" s="23"/>
    </row>
    <row r="768" spans="1:28" x14ac:dyDescent="0.25">
      <c r="A768" s="2"/>
      <c r="B768" s="2"/>
      <c r="C768" s="2"/>
      <c r="D768" s="22"/>
      <c r="E768" s="2"/>
      <c r="F768" s="2"/>
      <c r="G768" s="2"/>
      <c r="H768" s="2"/>
      <c r="I768" s="2"/>
      <c r="J768" s="2"/>
      <c r="K768" s="2"/>
      <c r="L768" s="2"/>
      <c r="M768" s="23"/>
      <c r="N768" s="31"/>
      <c r="O768" s="23"/>
      <c r="P768" s="30"/>
      <c r="Q768" s="23"/>
      <c r="R768" s="23"/>
      <c r="S768" s="23"/>
      <c r="T768" s="23"/>
      <c r="U768" s="23"/>
      <c r="V768" s="23"/>
      <c r="W768" s="23"/>
      <c r="X768" s="23"/>
      <c r="Y768" s="23"/>
      <c r="Z768" s="23"/>
      <c r="AA768" s="23"/>
      <c r="AB768" s="23"/>
    </row>
    <row r="769" spans="1:28" x14ac:dyDescent="0.25">
      <c r="A769" s="2"/>
      <c r="B769" s="2"/>
      <c r="C769" s="2"/>
      <c r="D769" s="22"/>
      <c r="E769" s="2"/>
      <c r="F769" s="2"/>
      <c r="G769" s="2"/>
      <c r="H769" s="2"/>
      <c r="I769" s="2"/>
      <c r="J769" s="2"/>
      <c r="K769" s="2"/>
      <c r="L769" s="2"/>
      <c r="M769" s="23"/>
      <c r="N769" s="31"/>
      <c r="O769" s="23"/>
      <c r="P769" s="30"/>
      <c r="Q769" s="23"/>
      <c r="R769" s="23"/>
      <c r="S769" s="23"/>
      <c r="T769" s="23"/>
      <c r="U769" s="23"/>
      <c r="V769" s="23"/>
      <c r="W769" s="23"/>
      <c r="X769" s="23"/>
      <c r="Y769" s="23"/>
      <c r="Z769" s="23"/>
      <c r="AA769" s="23"/>
      <c r="AB769" s="23"/>
    </row>
    <row r="770" spans="1:28" x14ac:dyDescent="0.25">
      <c r="A770" s="2"/>
      <c r="B770" s="2"/>
      <c r="C770" s="2"/>
      <c r="D770" s="22"/>
      <c r="E770" s="2"/>
      <c r="F770" s="2"/>
      <c r="G770" s="2"/>
      <c r="H770" s="2"/>
      <c r="I770" s="2"/>
      <c r="J770" s="2"/>
      <c r="K770" s="2"/>
      <c r="L770" s="2"/>
      <c r="M770" s="23"/>
      <c r="N770" s="31"/>
      <c r="O770" s="23"/>
      <c r="P770" s="30"/>
      <c r="Q770" s="23"/>
      <c r="R770" s="23"/>
      <c r="S770" s="23"/>
      <c r="T770" s="23"/>
      <c r="U770" s="23"/>
      <c r="V770" s="23"/>
      <c r="W770" s="23"/>
      <c r="X770" s="23"/>
      <c r="Y770" s="23"/>
      <c r="Z770" s="23"/>
      <c r="AA770" s="23"/>
      <c r="AB770" s="23"/>
    </row>
    <row r="771" spans="1:28" x14ac:dyDescent="0.25">
      <c r="A771" s="2"/>
      <c r="B771" s="2"/>
      <c r="C771" s="2"/>
      <c r="D771" s="22"/>
      <c r="E771" s="2"/>
      <c r="F771" s="2"/>
      <c r="G771" s="2"/>
      <c r="H771" s="2"/>
      <c r="I771" s="2"/>
      <c r="J771" s="2"/>
      <c r="K771" s="2"/>
      <c r="L771" s="2"/>
      <c r="M771" s="23"/>
      <c r="N771" s="31"/>
      <c r="O771" s="23"/>
      <c r="P771" s="30"/>
      <c r="Q771" s="23"/>
      <c r="R771" s="23"/>
      <c r="S771" s="23"/>
      <c r="T771" s="23"/>
      <c r="U771" s="23"/>
      <c r="V771" s="23"/>
      <c r="W771" s="23"/>
      <c r="X771" s="23"/>
      <c r="Y771" s="23"/>
      <c r="Z771" s="23"/>
      <c r="AA771" s="23"/>
      <c r="AB771" s="23"/>
    </row>
    <row r="772" spans="1:28" x14ac:dyDescent="0.25">
      <c r="A772" s="2"/>
      <c r="B772" s="2"/>
      <c r="C772" s="2"/>
      <c r="D772" s="22"/>
      <c r="E772" s="2"/>
      <c r="F772" s="2"/>
      <c r="G772" s="2"/>
      <c r="H772" s="2"/>
      <c r="I772" s="2"/>
      <c r="J772" s="2"/>
      <c r="K772" s="2"/>
      <c r="L772" s="2"/>
      <c r="M772" s="23"/>
      <c r="N772" s="31"/>
      <c r="O772" s="23"/>
      <c r="P772" s="30"/>
      <c r="Q772" s="23"/>
      <c r="R772" s="23"/>
      <c r="S772" s="23"/>
      <c r="T772" s="23"/>
      <c r="U772" s="23"/>
      <c r="V772" s="23"/>
      <c r="W772" s="23"/>
      <c r="X772" s="23"/>
      <c r="Y772" s="23"/>
      <c r="Z772" s="23"/>
      <c r="AA772" s="23"/>
      <c r="AB772" s="23"/>
    </row>
    <row r="773" spans="1:28" x14ac:dyDescent="0.25">
      <c r="A773" s="2"/>
      <c r="B773" s="2"/>
      <c r="C773" s="2"/>
      <c r="D773" s="22"/>
      <c r="E773" s="2"/>
      <c r="F773" s="2"/>
      <c r="G773" s="2"/>
      <c r="H773" s="2"/>
      <c r="I773" s="2"/>
      <c r="J773" s="2"/>
      <c r="K773" s="2"/>
      <c r="L773" s="2"/>
      <c r="M773" s="23"/>
      <c r="N773" s="31"/>
      <c r="O773" s="23"/>
      <c r="P773" s="30"/>
      <c r="Q773" s="23"/>
      <c r="R773" s="23"/>
      <c r="S773" s="23"/>
      <c r="T773" s="23"/>
      <c r="U773" s="23"/>
      <c r="V773" s="23"/>
      <c r="W773" s="23"/>
      <c r="X773" s="23"/>
      <c r="Y773" s="23"/>
      <c r="Z773" s="23"/>
      <c r="AA773" s="23"/>
      <c r="AB773" s="23"/>
    </row>
    <row r="774" spans="1:28" x14ac:dyDescent="0.25">
      <c r="A774" s="2"/>
      <c r="B774" s="2"/>
      <c r="C774" s="2"/>
      <c r="D774" s="22"/>
      <c r="E774" s="2"/>
      <c r="F774" s="2"/>
      <c r="G774" s="2"/>
      <c r="H774" s="2"/>
      <c r="I774" s="2"/>
      <c r="J774" s="2"/>
      <c r="K774" s="2"/>
      <c r="L774" s="2"/>
      <c r="M774" s="23"/>
      <c r="N774" s="31"/>
      <c r="O774" s="23"/>
      <c r="P774" s="30"/>
      <c r="Q774" s="23"/>
      <c r="R774" s="23"/>
      <c r="S774" s="23"/>
      <c r="T774" s="23"/>
      <c r="U774" s="23"/>
      <c r="V774" s="23"/>
      <c r="W774" s="23"/>
      <c r="X774" s="23"/>
      <c r="Y774" s="23"/>
      <c r="Z774" s="23"/>
      <c r="AA774" s="23"/>
      <c r="AB774" s="23"/>
    </row>
    <row r="775" spans="1:28" x14ac:dyDescent="0.25">
      <c r="A775" s="2"/>
      <c r="B775" s="2"/>
      <c r="C775" s="2"/>
      <c r="D775" s="22"/>
      <c r="E775" s="2"/>
      <c r="F775" s="2"/>
      <c r="G775" s="2"/>
      <c r="H775" s="2"/>
      <c r="I775" s="2"/>
      <c r="J775" s="2"/>
      <c r="K775" s="2"/>
      <c r="L775" s="2"/>
      <c r="M775" s="23"/>
      <c r="N775" s="31"/>
      <c r="O775" s="23"/>
      <c r="P775" s="30"/>
      <c r="Q775" s="23"/>
      <c r="R775" s="23"/>
      <c r="S775" s="23"/>
      <c r="T775" s="23"/>
      <c r="U775" s="23"/>
      <c r="V775" s="23"/>
      <c r="W775" s="23"/>
      <c r="X775" s="23"/>
      <c r="Y775" s="23"/>
      <c r="Z775" s="23"/>
      <c r="AA775" s="23"/>
      <c r="AB775" s="23"/>
    </row>
    <row r="776" spans="1:28" x14ac:dyDescent="0.25">
      <c r="A776" s="2"/>
      <c r="B776" s="2"/>
      <c r="C776" s="2"/>
      <c r="D776" s="22"/>
      <c r="E776" s="2"/>
      <c r="F776" s="2"/>
      <c r="G776" s="2"/>
      <c r="H776" s="2"/>
      <c r="I776" s="2"/>
      <c r="J776" s="2"/>
      <c r="K776" s="2"/>
      <c r="L776" s="2"/>
      <c r="M776" s="23"/>
      <c r="N776" s="31"/>
      <c r="O776" s="23"/>
      <c r="P776" s="30"/>
      <c r="Q776" s="23"/>
      <c r="R776" s="23"/>
      <c r="S776" s="23"/>
      <c r="T776" s="23"/>
      <c r="U776" s="23"/>
      <c r="V776" s="23"/>
      <c r="W776" s="23"/>
      <c r="X776" s="23"/>
      <c r="Y776" s="23"/>
      <c r="Z776" s="23"/>
      <c r="AA776" s="23"/>
      <c r="AB776" s="23"/>
    </row>
    <row r="777" spans="1:28" x14ac:dyDescent="0.25">
      <c r="A777" s="2"/>
      <c r="B777" s="2"/>
      <c r="C777" s="2"/>
      <c r="D777" s="22"/>
      <c r="E777" s="2"/>
      <c r="F777" s="2"/>
      <c r="G777" s="2"/>
      <c r="H777" s="2"/>
      <c r="I777" s="2"/>
      <c r="J777" s="2"/>
      <c r="K777" s="2"/>
      <c r="L777" s="2"/>
      <c r="M777" s="23"/>
      <c r="N777" s="31"/>
      <c r="O777" s="23"/>
      <c r="P777" s="30"/>
      <c r="Q777" s="23"/>
      <c r="R777" s="23"/>
      <c r="S777" s="23"/>
      <c r="T777" s="23"/>
      <c r="U777" s="23"/>
      <c r="V777" s="23"/>
      <c r="W777" s="23"/>
      <c r="X777" s="23"/>
      <c r="Y777" s="23"/>
      <c r="Z777" s="23"/>
      <c r="AA777" s="23"/>
      <c r="AB777" s="23"/>
    </row>
    <row r="778" spans="1:28" x14ac:dyDescent="0.25">
      <c r="A778" s="2"/>
      <c r="B778" s="2"/>
      <c r="C778" s="2"/>
      <c r="D778" s="22"/>
      <c r="E778" s="2"/>
      <c r="F778" s="2"/>
      <c r="G778" s="2"/>
      <c r="H778" s="2"/>
      <c r="I778" s="2"/>
      <c r="J778" s="2"/>
      <c r="K778" s="2"/>
      <c r="L778" s="2"/>
      <c r="M778" s="23"/>
      <c r="N778" s="31"/>
      <c r="O778" s="23"/>
      <c r="P778" s="30"/>
      <c r="Q778" s="23"/>
      <c r="R778" s="23"/>
      <c r="S778" s="23"/>
      <c r="T778" s="23"/>
      <c r="U778" s="23"/>
      <c r="V778" s="23"/>
      <c r="W778" s="23"/>
      <c r="X778" s="23"/>
      <c r="Y778" s="23"/>
      <c r="Z778" s="23"/>
      <c r="AA778" s="23"/>
      <c r="AB778" s="23"/>
    </row>
    <row r="779" spans="1:28" x14ac:dyDescent="0.25">
      <c r="A779" s="2"/>
      <c r="B779" s="2"/>
      <c r="C779" s="2"/>
      <c r="D779" s="22"/>
      <c r="E779" s="2"/>
      <c r="F779" s="2"/>
      <c r="G779" s="2"/>
      <c r="H779" s="2"/>
      <c r="I779" s="2"/>
      <c r="J779" s="2"/>
      <c r="K779" s="2"/>
      <c r="L779" s="2"/>
      <c r="M779" s="23"/>
      <c r="N779" s="31"/>
      <c r="O779" s="23"/>
      <c r="P779" s="30"/>
      <c r="Q779" s="23"/>
      <c r="R779" s="23"/>
      <c r="S779" s="23"/>
      <c r="T779" s="23"/>
      <c r="U779" s="23"/>
      <c r="V779" s="23"/>
      <c r="W779" s="23"/>
      <c r="X779" s="23"/>
      <c r="Y779" s="23"/>
      <c r="Z779" s="23"/>
      <c r="AA779" s="23"/>
      <c r="AB779" s="23"/>
    </row>
    <row r="780" spans="1:28" x14ac:dyDescent="0.25">
      <c r="A780" s="2"/>
      <c r="B780" s="2"/>
      <c r="C780" s="2"/>
      <c r="D780" s="22"/>
      <c r="E780" s="2"/>
      <c r="F780" s="2"/>
      <c r="G780" s="2"/>
      <c r="H780" s="2"/>
      <c r="I780" s="2"/>
      <c r="J780" s="2"/>
      <c r="K780" s="2"/>
      <c r="L780" s="2"/>
      <c r="M780" s="23"/>
      <c r="N780" s="31"/>
      <c r="O780" s="23"/>
      <c r="P780" s="30"/>
      <c r="Q780" s="23"/>
      <c r="R780" s="23"/>
      <c r="S780" s="23"/>
      <c r="T780" s="23"/>
      <c r="U780" s="23"/>
      <c r="V780" s="23"/>
      <c r="W780" s="23"/>
      <c r="X780" s="23"/>
      <c r="Y780" s="23"/>
      <c r="Z780" s="23"/>
      <c r="AA780" s="23"/>
      <c r="AB780" s="23"/>
    </row>
    <row r="781" spans="1:28" x14ac:dyDescent="0.25">
      <c r="A781" s="2"/>
      <c r="B781" s="2"/>
      <c r="C781" s="2"/>
      <c r="D781" s="22"/>
      <c r="E781" s="2"/>
      <c r="F781" s="2"/>
      <c r="G781" s="2"/>
      <c r="H781" s="2"/>
      <c r="I781" s="2"/>
      <c r="J781" s="2"/>
      <c r="K781" s="2"/>
      <c r="L781" s="2"/>
      <c r="M781" s="23"/>
      <c r="N781" s="31"/>
      <c r="O781" s="23"/>
      <c r="P781" s="30"/>
      <c r="Q781" s="23"/>
      <c r="R781" s="23"/>
      <c r="S781" s="23"/>
      <c r="T781" s="23"/>
      <c r="U781" s="23"/>
      <c r="V781" s="23"/>
      <c r="W781" s="23"/>
      <c r="X781" s="23"/>
      <c r="Y781" s="23"/>
      <c r="Z781" s="23"/>
      <c r="AA781" s="23"/>
      <c r="AB781" s="23"/>
    </row>
    <row r="782" spans="1:28" x14ac:dyDescent="0.25">
      <c r="A782" s="2"/>
      <c r="B782" s="2"/>
      <c r="C782" s="2"/>
      <c r="D782" s="22"/>
      <c r="E782" s="2"/>
      <c r="F782" s="2"/>
      <c r="G782" s="2"/>
      <c r="H782" s="2"/>
      <c r="I782" s="2"/>
      <c r="J782" s="2"/>
      <c r="K782" s="2"/>
      <c r="L782" s="2"/>
      <c r="M782" s="23"/>
      <c r="N782" s="31"/>
      <c r="O782" s="23"/>
      <c r="P782" s="30"/>
      <c r="Q782" s="23"/>
      <c r="R782" s="23"/>
      <c r="S782" s="23"/>
      <c r="T782" s="23"/>
      <c r="U782" s="23"/>
      <c r="V782" s="23"/>
      <c r="W782" s="23"/>
      <c r="X782" s="23"/>
      <c r="Y782" s="23"/>
      <c r="Z782" s="23"/>
      <c r="AA782" s="23"/>
      <c r="AB782" s="23"/>
    </row>
    <row r="783" spans="1:28" x14ac:dyDescent="0.25">
      <c r="A783" s="2"/>
      <c r="B783" s="2"/>
      <c r="C783" s="2"/>
      <c r="D783" s="22"/>
      <c r="E783" s="2"/>
      <c r="F783" s="2"/>
      <c r="G783" s="2"/>
      <c r="H783" s="2"/>
      <c r="I783" s="2"/>
      <c r="J783" s="2"/>
      <c r="K783" s="2"/>
      <c r="L783" s="2"/>
      <c r="M783" s="23"/>
      <c r="N783" s="31"/>
      <c r="O783" s="23"/>
      <c r="P783" s="30"/>
      <c r="Q783" s="23"/>
      <c r="R783" s="23"/>
      <c r="S783" s="23"/>
      <c r="T783" s="23"/>
      <c r="U783" s="23"/>
      <c r="V783" s="23"/>
      <c r="W783" s="23"/>
      <c r="X783" s="23"/>
      <c r="Y783" s="23"/>
      <c r="Z783" s="23"/>
      <c r="AA783" s="23"/>
      <c r="AB783" s="23"/>
    </row>
    <row r="784" spans="1:28" x14ac:dyDescent="0.25">
      <c r="A784" s="2"/>
      <c r="B784" s="2"/>
      <c r="C784" s="2"/>
      <c r="D784" s="22"/>
      <c r="E784" s="2"/>
      <c r="F784" s="2"/>
      <c r="G784" s="2"/>
      <c r="H784" s="2"/>
      <c r="I784" s="2"/>
      <c r="J784" s="2"/>
      <c r="K784" s="2"/>
      <c r="L784" s="2"/>
      <c r="M784" s="23"/>
      <c r="N784" s="31"/>
      <c r="O784" s="23"/>
      <c r="P784" s="30"/>
      <c r="Q784" s="23"/>
      <c r="R784" s="23"/>
      <c r="S784" s="23"/>
      <c r="T784" s="23"/>
      <c r="U784" s="23"/>
      <c r="V784" s="23"/>
      <c r="W784" s="23"/>
      <c r="X784" s="23"/>
      <c r="Y784" s="23"/>
      <c r="Z784" s="23"/>
      <c r="AA784" s="23"/>
      <c r="AB784" s="23"/>
    </row>
    <row r="785" spans="1:28" x14ac:dyDescent="0.25">
      <c r="A785" s="2"/>
      <c r="B785" s="2"/>
      <c r="C785" s="2"/>
      <c r="D785" s="22"/>
      <c r="E785" s="2"/>
      <c r="F785" s="2"/>
      <c r="G785" s="2"/>
      <c r="H785" s="2"/>
      <c r="I785" s="2"/>
      <c r="J785" s="2"/>
      <c r="K785" s="2"/>
      <c r="L785" s="2"/>
      <c r="M785" s="23"/>
      <c r="N785" s="31"/>
      <c r="O785" s="23"/>
      <c r="P785" s="30"/>
      <c r="Q785" s="23"/>
      <c r="R785" s="23"/>
      <c r="S785" s="23"/>
      <c r="T785" s="23"/>
      <c r="U785" s="23"/>
      <c r="V785" s="23"/>
      <c r="W785" s="23"/>
      <c r="X785" s="23"/>
      <c r="Y785" s="23"/>
      <c r="Z785" s="23"/>
      <c r="AA785" s="23"/>
      <c r="AB785" s="23"/>
    </row>
    <row r="786" spans="1:28" x14ac:dyDescent="0.25">
      <c r="A786" s="2"/>
      <c r="B786" s="2"/>
      <c r="C786" s="2"/>
      <c r="D786" s="22"/>
      <c r="E786" s="2"/>
      <c r="F786" s="2"/>
      <c r="G786" s="2"/>
      <c r="H786" s="2"/>
      <c r="I786" s="2"/>
      <c r="J786" s="2"/>
      <c r="K786" s="2"/>
      <c r="L786" s="2"/>
      <c r="M786" s="23"/>
      <c r="N786" s="31"/>
      <c r="O786" s="23"/>
      <c r="P786" s="30"/>
      <c r="Q786" s="23"/>
      <c r="R786" s="23"/>
      <c r="S786" s="23"/>
      <c r="T786" s="23"/>
      <c r="U786" s="23"/>
      <c r="V786" s="23"/>
      <c r="W786" s="23"/>
      <c r="X786" s="23"/>
      <c r="Y786" s="23"/>
      <c r="Z786" s="23"/>
      <c r="AA786" s="23"/>
      <c r="AB786" s="23"/>
    </row>
    <row r="787" spans="1:28" x14ac:dyDescent="0.25">
      <c r="A787" s="2"/>
      <c r="B787" s="2"/>
      <c r="C787" s="2"/>
      <c r="D787" s="22"/>
      <c r="E787" s="2"/>
      <c r="F787" s="2"/>
      <c r="G787" s="2"/>
      <c r="H787" s="2"/>
      <c r="I787" s="2"/>
      <c r="J787" s="2"/>
      <c r="K787" s="2"/>
      <c r="L787" s="2"/>
      <c r="M787" s="23"/>
      <c r="N787" s="31"/>
      <c r="O787" s="23"/>
      <c r="P787" s="30"/>
      <c r="Q787" s="23"/>
      <c r="R787" s="23"/>
      <c r="S787" s="23"/>
      <c r="T787" s="23"/>
      <c r="U787" s="23"/>
      <c r="V787" s="23"/>
      <c r="W787" s="23"/>
      <c r="X787" s="23"/>
      <c r="Y787" s="23"/>
      <c r="Z787" s="23"/>
      <c r="AA787" s="23"/>
      <c r="AB787" s="23"/>
    </row>
    <row r="788" spans="1:28" x14ac:dyDescent="0.25">
      <c r="A788" s="2"/>
      <c r="B788" s="2"/>
      <c r="C788" s="2"/>
      <c r="D788" s="22"/>
      <c r="E788" s="2"/>
      <c r="F788" s="2"/>
      <c r="G788" s="2"/>
      <c r="H788" s="2"/>
      <c r="I788" s="2"/>
      <c r="J788" s="2"/>
      <c r="K788" s="2"/>
      <c r="L788" s="2"/>
      <c r="M788" s="23"/>
      <c r="N788" s="31"/>
      <c r="O788" s="23"/>
      <c r="P788" s="30"/>
      <c r="Q788" s="23"/>
      <c r="R788" s="23"/>
      <c r="S788" s="23"/>
      <c r="T788" s="23"/>
      <c r="U788" s="23"/>
      <c r="V788" s="23"/>
      <c r="W788" s="23"/>
      <c r="X788" s="23"/>
      <c r="Y788" s="23"/>
      <c r="Z788" s="23"/>
      <c r="AA788" s="23"/>
      <c r="AB788" s="23"/>
    </row>
    <row r="789" spans="1:28" x14ac:dyDescent="0.25">
      <c r="A789" s="2"/>
      <c r="B789" s="2"/>
      <c r="C789" s="2"/>
      <c r="D789" s="22"/>
      <c r="E789" s="2"/>
      <c r="F789" s="2"/>
      <c r="G789" s="2"/>
      <c r="H789" s="2"/>
      <c r="I789" s="2"/>
      <c r="J789" s="2"/>
      <c r="K789" s="2"/>
      <c r="L789" s="2"/>
      <c r="M789" s="23"/>
      <c r="N789" s="31"/>
      <c r="O789" s="23"/>
      <c r="P789" s="30"/>
      <c r="Q789" s="23"/>
      <c r="R789" s="23"/>
      <c r="S789" s="23"/>
      <c r="T789" s="23"/>
      <c r="U789" s="23"/>
      <c r="V789" s="23"/>
      <c r="W789" s="23"/>
      <c r="X789" s="23"/>
      <c r="Y789" s="23"/>
      <c r="Z789" s="23"/>
      <c r="AA789" s="23"/>
      <c r="AB789" s="23"/>
    </row>
    <row r="790" spans="1:28" x14ac:dyDescent="0.25">
      <c r="A790" s="2"/>
      <c r="B790" s="2"/>
      <c r="C790" s="2"/>
      <c r="D790" s="22"/>
      <c r="E790" s="2"/>
      <c r="F790" s="2"/>
      <c r="G790" s="2"/>
      <c r="H790" s="2"/>
      <c r="I790" s="2"/>
      <c r="J790" s="2"/>
      <c r="K790" s="2"/>
      <c r="L790" s="2"/>
      <c r="M790" s="23"/>
      <c r="N790" s="31"/>
      <c r="O790" s="23"/>
      <c r="P790" s="30"/>
      <c r="Q790" s="23"/>
      <c r="R790" s="23"/>
      <c r="S790" s="23"/>
      <c r="T790" s="23"/>
      <c r="U790" s="23"/>
      <c r="V790" s="23"/>
      <c r="W790" s="23"/>
      <c r="X790" s="23"/>
      <c r="Y790" s="23"/>
      <c r="Z790" s="23"/>
      <c r="AA790" s="23"/>
      <c r="AB790" s="23"/>
    </row>
    <row r="791" spans="1:28" x14ac:dyDescent="0.25">
      <c r="A791" s="2"/>
      <c r="B791" s="2"/>
      <c r="C791" s="2"/>
      <c r="D791" s="22"/>
      <c r="E791" s="2"/>
      <c r="F791" s="2"/>
      <c r="G791" s="2"/>
      <c r="H791" s="2"/>
      <c r="I791" s="2"/>
      <c r="J791" s="2"/>
      <c r="K791" s="2"/>
      <c r="L791" s="2"/>
      <c r="M791" s="23"/>
      <c r="N791" s="31"/>
      <c r="O791" s="23"/>
      <c r="P791" s="30"/>
      <c r="Q791" s="23"/>
      <c r="R791" s="23"/>
      <c r="S791" s="23"/>
      <c r="T791" s="23"/>
      <c r="U791" s="23"/>
      <c r="V791" s="23"/>
      <c r="W791" s="23"/>
      <c r="X791" s="23"/>
      <c r="Y791" s="23"/>
      <c r="Z791" s="23"/>
      <c r="AA791" s="23"/>
      <c r="AB791" s="23"/>
    </row>
    <row r="792" spans="1:28" x14ac:dyDescent="0.25">
      <c r="A792" s="2"/>
      <c r="B792" s="2"/>
      <c r="C792" s="2"/>
      <c r="D792" s="22"/>
      <c r="E792" s="2"/>
      <c r="F792" s="2"/>
      <c r="G792" s="2"/>
      <c r="H792" s="2"/>
      <c r="I792" s="2"/>
      <c r="J792" s="2"/>
      <c r="K792" s="2"/>
      <c r="L792" s="2"/>
      <c r="M792" s="23"/>
      <c r="N792" s="31"/>
      <c r="O792" s="23"/>
      <c r="P792" s="30"/>
      <c r="Q792" s="23"/>
      <c r="R792" s="23"/>
      <c r="S792" s="23"/>
      <c r="T792" s="23"/>
      <c r="U792" s="23"/>
      <c r="V792" s="23"/>
      <c r="W792" s="23"/>
      <c r="X792" s="23"/>
      <c r="Y792" s="23"/>
      <c r="Z792" s="23"/>
      <c r="AA792" s="23"/>
      <c r="AB792" s="23"/>
    </row>
    <row r="793" spans="1:28" x14ac:dyDescent="0.25">
      <c r="A793" s="2"/>
      <c r="B793" s="2"/>
      <c r="C793" s="2"/>
      <c r="D793" s="22"/>
      <c r="E793" s="2"/>
      <c r="F793" s="2"/>
      <c r="G793" s="2"/>
      <c r="H793" s="2"/>
      <c r="I793" s="2"/>
      <c r="J793" s="2"/>
      <c r="K793" s="2"/>
      <c r="L793" s="2"/>
      <c r="M793" s="23"/>
      <c r="N793" s="31"/>
      <c r="O793" s="23"/>
      <c r="P793" s="30"/>
      <c r="Q793" s="23"/>
      <c r="R793" s="23"/>
      <c r="S793" s="23"/>
      <c r="T793" s="23"/>
      <c r="U793" s="23"/>
      <c r="V793" s="23"/>
      <c r="W793" s="23"/>
      <c r="X793" s="23"/>
      <c r="Y793" s="23"/>
      <c r="Z793" s="23"/>
      <c r="AA793" s="23"/>
      <c r="AB793" s="23"/>
    </row>
    <row r="794" spans="1:28" x14ac:dyDescent="0.25">
      <c r="A794" s="2"/>
      <c r="B794" s="2"/>
      <c r="C794" s="2"/>
      <c r="D794" s="22"/>
      <c r="E794" s="2"/>
      <c r="F794" s="2"/>
      <c r="G794" s="2"/>
      <c r="H794" s="2"/>
      <c r="I794" s="2"/>
      <c r="J794" s="2"/>
      <c r="K794" s="2"/>
      <c r="L794" s="2"/>
      <c r="M794" s="23"/>
      <c r="N794" s="31"/>
      <c r="O794" s="23"/>
      <c r="P794" s="30"/>
      <c r="Q794" s="23"/>
      <c r="R794" s="23"/>
      <c r="S794" s="23"/>
      <c r="T794" s="23"/>
      <c r="U794" s="23"/>
      <c r="V794" s="23"/>
      <c r="W794" s="23"/>
      <c r="X794" s="23"/>
      <c r="Y794" s="23"/>
      <c r="Z794" s="23"/>
      <c r="AA794" s="23"/>
      <c r="AB794" s="23"/>
    </row>
    <row r="795" spans="1:28" x14ac:dyDescent="0.25">
      <c r="A795" s="2"/>
      <c r="B795" s="2"/>
      <c r="C795" s="2"/>
      <c r="D795" s="22"/>
      <c r="E795" s="2"/>
      <c r="F795" s="2"/>
      <c r="G795" s="2"/>
      <c r="H795" s="2"/>
      <c r="I795" s="2"/>
      <c r="J795" s="2"/>
      <c r="K795" s="2"/>
      <c r="L795" s="2"/>
      <c r="M795" s="23"/>
      <c r="N795" s="31"/>
      <c r="O795" s="23"/>
      <c r="P795" s="30"/>
      <c r="Q795" s="23"/>
      <c r="R795" s="23"/>
      <c r="S795" s="23"/>
      <c r="T795" s="23"/>
      <c r="U795" s="23"/>
      <c r="V795" s="23"/>
      <c r="W795" s="23"/>
      <c r="X795" s="23"/>
      <c r="Y795" s="23"/>
      <c r="Z795" s="23"/>
      <c r="AA795" s="23"/>
      <c r="AB795" s="23"/>
    </row>
    <row r="796" spans="1:28" x14ac:dyDescent="0.25">
      <c r="A796" s="2"/>
      <c r="B796" s="2"/>
      <c r="C796" s="2"/>
      <c r="D796" s="22"/>
      <c r="E796" s="2"/>
      <c r="F796" s="2"/>
      <c r="G796" s="2"/>
      <c r="H796" s="2"/>
      <c r="I796" s="2"/>
      <c r="J796" s="2"/>
      <c r="K796" s="2"/>
      <c r="L796" s="2"/>
      <c r="M796" s="23"/>
      <c r="N796" s="31"/>
      <c r="O796" s="23"/>
      <c r="P796" s="30"/>
      <c r="Q796" s="23"/>
      <c r="R796" s="23"/>
      <c r="S796" s="23"/>
      <c r="T796" s="23"/>
      <c r="U796" s="23"/>
      <c r="V796" s="23"/>
      <c r="W796" s="23"/>
      <c r="X796" s="23"/>
      <c r="Y796" s="23"/>
      <c r="Z796" s="23"/>
      <c r="AA796" s="23"/>
      <c r="AB796" s="23"/>
    </row>
    <row r="797" spans="1:28" x14ac:dyDescent="0.25">
      <c r="A797" s="2"/>
      <c r="B797" s="2"/>
      <c r="C797" s="2"/>
      <c r="D797" s="22"/>
      <c r="E797" s="2"/>
      <c r="F797" s="2"/>
      <c r="G797" s="2"/>
      <c r="H797" s="2"/>
      <c r="I797" s="2"/>
      <c r="J797" s="2"/>
      <c r="K797" s="2"/>
      <c r="L797" s="2"/>
      <c r="M797" s="23"/>
      <c r="N797" s="31"/>
      <c r="O797" s="23"/>
      <c r="P797" s="30"/>
      <c r="Q797" s="23"/>
      <c r="R797" s="23"/>
      <c r="S797" s="23"/>
      <c r="T797" s="23"/>
      <c r="U797" s="23"/>
      <c r="V797" s="23"/>
      <c r="W797" s="23"/>
      <c r="X797" s="23"/>
      <c r="Y797" s="23"/>
      <c r="Z797" s="23"/>
      <c r="AA797" s="23"/>
      <c r="AB797" s="23"/>
    </row>
    <row r="798" spans="1:28" x14ac:dyDescent="0.25">
      <c r="A798" s="2"/>
      <c r="B798" s="2"/>
      <c r="C798" s="2"/>
      <c r="D798" s="22"/>
      <c r="E798" s="2"/>
      <c r="F798" s="2"/>
      <c r="G798" s="2"/>
      <c r="H798" s="2"/>
      <c r="I798" s="2"/>
      <c r="J798" s="2"/>
      <c r="K798" s="2"/>
      <c r="L798" s="2"/>
      <c r="M798" s="23"/>
      <c r="N798" s="31"/>
      <c r="O798" s="23"/>
      <c r="P798" s="30"/>
      <c r="Q798" s="23"/>
      <c r="R798" s="23"/>
      <c r="S798" s="23"/>
      <c r="T798" s="23"/>
      <c r="U798" s="23"/>
      <c r="V798" s="23"/>
      <c r="W798" s="23"/>
      <c r="X798" s="23"/>
      <c r="Y798" s="23"/>
      <c r="Z798" s="23"/>
      <c r="AA798" s="23"/>
      <c r="AB798" s="23"/>
    </row>
    <row r="799" spans="1:28" x14ac:dyDescent="0.25">
      <c r="A799" s="2"/>
      <c r="B799" s="2"/>
      <c r="C799" s="2"/>
      <c r="D799" s="22"/>
      <c r="E799" s="2"/>
      <c r="F799" s="2"/>
      <c r="G799" s="2"/>
      <c r="H799" s="2"/>
      <c r="I799" s="2"/>
      <c r="J799" s="2"/>
      <c r="K799" s="2"/>
      <c r="L799" s="2"/>
      <c r="M799" s="23"/>
      <c r="N799" s="31"/>
      <c r="O799" s="23"/>
      <c r="P799" s="30"/>
      <c r="Q799" s="23"/>
      <c r="R799" s="23"/>
      <c r="S799" s="23"/>
      <c r="T799" s="23"/>
      <c r="U799" s="23"/>
      <c r="V799" s="23"/>
      <c r="W799" s="23"/>
      <c r="X799" s="23"/>
      <c r="Y799" s="23"/>
      <c r="Z799" s="23"/>
      <c r="AA799" s="23"/>
      <c r="AB799" s="23"/>
    </row>
    <row r="800" spans="1:28" x14ac:dyDescent="0.25">
      <c r="A800" s="2"/>
      <c r="B800" s="2"/>
      <c r="C800" s="2"/>
      <c r="D800" s="22"/>
      <c r="E800" s="2"/>
      <c r="F800" s="2"/>
      <c r="G800" s="2"/>
      <c r="H800" s="2"/>
      <c r="I800" s="2"/>
      <c r="J800" s="2"/>
      <c r="K800" s="2"/>
      <c r="L800" s="2"/>
      <c r="M800" s="23"/>
      <c r="N800" s="31"/>
      <c r="O800" s="23"/>
      <c r="P800" s="30"/>
      <c r="Q800" s="23"/>
      <c r="R800" s="23"/>
      <c r="S800" s="23"/>
      <c r="T800" s="23"/>
      <c r="U800" s="23"/>
      <c r="V800" s="23"/>
      <c r="W800" s="23"/>
      <c r="X800" s="23"/>
      <c r="Y800" s="23"/>
      <c r="Z800" s="23"/>
      <c r="AA800" s="23"/>
      <c r="AB800" s="23"/>
    </row>
    <row r="801" spans="1:28" x14ac:dyDescent="0.25">
      <c r="A801" s="2"/>
      <c r="B801" s="2"/>
      <c r="C801" s="2"/>
      <c r="D801" s="22"/>
      <c r="E801" s="2"/>
      <c r="F801" s="2"/>
      <c r="G801" s="2"/>
      <c r="H801" s="2"/>
      <c r="I801" s="2"/>
      <c r="J801" s="2"/>
      <c r="K801" s="2"/>
      <c r="L801" s="2"/>
      <c r="M801" s="23"/>
      <c r="N801" s="31"/>
      <c r="O801" s="23"/>
      <c r="P801" s="30"/>
      <c r="Q801" s="23"/>
      <c r="R801" s="23"/>
      <c r="S801" s="23"/>
      <c r="T801" s="23"/>
      <c r="U801" s="23"/>
      <c r="V801" s="23"/>
      <c r="W801" s="23"/>
      <c r="X801" s="23"/>
      <c r="Y801" s="23"/>
      <c r="Z801" s="23"/>
      <c r="AA801" s="23"/>
      <c r="AB801" s="23"/>
    </row>
    <row r="802" spans="1:28" x14ac:dyDescent="0.25">
      <c r="A802" s="2"/>
      <c r="B802" s="2"/>
      <c r="C802" s="2"/>
      <c r="D802" s="22"/>
      <c r="E802" s="2"/>
      <c r="F802" s="2"/>
      <c r="G802" s="2"/>
      <c r="H802" s="2"/>
      <c r="I802" s="2"/>
      <c r="J802" s="2"/>
      <c r="K802" s="2"/>
      <c r="L802" s="2"/>
      <c r="M802" s="23"/>
      <c r="N802" s="31"/>
      <c r="O802" s="23"/>
      <c r="P802" s="30"/>
      <c r="Q802" s="23"/>
      <c r="R802" s="23"/>
      <c r="S802" s="23"/>
      <c r="T802" s="23"/>
      <c r="U802" s="23"/>
      <c r="V802" s="23"/>
      <c r="W802" s="23"/>
      <c r="X802" s="23"/>
      <c r="Y802" s="23"/>
      <c r="Z802" s="23"/>
      <c r="AA802" s="23"/>
      <c r="AB802" s="23"/>
    </row>
    <row r="803" spans="1:28" x14ac:dyDescent="0.25">
      <c r="A803" s="2"/>
      <c r="B803" s="2"/>
      <c r="C803" s="2"/>
      <c r="D803" s="22"/>
      <c r="E803" s="2"/>
      <c r="F803" s="2"/>
      <c r="G803" s="2"/>
      <c r="H803" s="2"/>
      <c r="I803" s="2"/>
      <c r="J803" s="2"/>
      <c r="K803" s="2"/>
      <c r="L803" s="2"/>
      <c r="M803" s="23"/>
      <c r="N803" s="31"/>
      <c r="O803" s="23"/>
      <c r="P803" s="30"/>
      <c r="Q803" s="23"/>
      <c r="R803" s="23"/>
      <c r="S803" s="23"/>
      <c r="T803" s="23"/>
      <c r="U803" s="23"/>
      <c r="V803" s="23"/>
      <c r="W803" s="23"/>
      <c r="X803" s="23"/>
      <c r="Y803" s="23"/>
      <c r="Z803" s="23"/>
      <c r="AA803" s="23"/>
      <c r="AB803" s="23"/>
    </row>
    <row r="804" spans="1:28" x14ac:dyDescent="0.25">
      <c r="A804" s="2"/>
      <c r="B804" s="2"/>
      <c r="C804" s="2"/>
      <c r="D804" s="22"/>
      <c r="E804" s="2"/>
      <c r="F804" s="2"/>
      <c r="G804" s="2"/>
      <c r="H804" s="2"/>
      <c r="I804" s="2"/>
      <c r="J804" s="2"/>
      <c r="K804" s="2"/>
      <c r="L804" s="2"/>
      <c r="M804" s="23"/>
      <c r="N804" s="31"/>
      <c r="O804" s="23"/>
      <c r="P804" s="30"/>
      <c r="Q804" s="23"/>
      <c r="R804" s="23"/>
      <c r="S804" s="23"/>
      <c r="T804" s="23"/>
      <c r="U804" s="23"/>
      <c r="V804" s="23"/>
      <c r="W804" s="23"/>
      <c r="X804" s="23"/>
      <c r="Y804" s="23"/>
      <c r="Z804" s="23"/>
      <c r="AA804" s="23"/>
      <c r="AB804" s="23"/>
    </row>
    <row r="805" spans="1:28" x14ac:dyDescent="0.25">
      <c r="A805" s="2"/>
      <c r="B805" s="2"/>
      <c r="C805" s="2"/>
      <c r="D805" s="22"/>
      <c r="E805" s="2"/>
      <c r="F805" s="2"/>
      <c r="G805" s="2"/>
      <c r="H805" s="2"/>
      <c r="I805" s="2"/>
      <c r="J805" s="2"/>
      <c r="K805" s="2"/>
      <c r="L805" s="2"/>
      <c r="M805" s="23"/>
      <c r="N805" s="31"/>
      <c r="O805" s="23"/>
      <c r="P805" s="30"/>
      <c r="Q805" s="23"/>
      <c r="R805" s="23"/>
      <c r="S805" s="23"/>
      <c r="T805" s="23"/>
      <c r="U805" s="23"/>
      <c r="V805" s="23"/>
      <c r="W805" s="23"/>
      <c r="X805" s="23"/>
      <c r="Y805" s="23"/>
      <c r="Z805" s="23"/>
      <c r="AA805" s="23"/>
      <c r="AB805" s="23"/>
    </row>
    <row r="806" spans="1:28" x14ac:dyDescent="0.25">
      <c r="A806" s="2"/>
      <c r="B806" s="2"/>
      <c r="C806" s="2"/>
      <c r="D806" s="22"/>
      <c r="E806" s="2"/>
      <c r="F806" s="2"/>
      <c r="G806" s="2"/>
      <c r="H806" s="2"/>
      <c r="I806" s="2"/>
      <c r="J806" s="2"/>
      <c r="K806" s="2"/>
      <c r="L806" s="2"/>
      <c r="M806" s="23"/>
      <c r="N806" s="31"/>
      <c r="O806" s="23"/>
      <c r="P806" s="30"/>
      <c r="Q806" s="23"/>
      <c r="R806" s="23"/>
      <c r="S806" s="23"/>
      <c r="T806" s="23"/>
      <c r="U806" s="23"/>
      <c r="V806" s="23"/>
      <c r="W806" s="23"/>
      <c r="X806" s="23"/>
      <c r="Y806" s="23"/>
      <c r="Z806" s="23"/>
      <c r="AA806" s="23"/>
      <c r="AB806" s="23"/>
    </row>
    <row r="807" spans="1:28" x14ac:dyDescent="0.25">
      <c r="A807" s="2"/>
      <c r="B807" s="2"/>
      <c r="C807" s="2"/>
      <c r="D807" s="22"/>
      <c r="E807" s="2"/>
      <c r="F807" s="2"/>
      <c r="G807" s="2"/>
      <c r="H807" s="2"/>
      <c r="I807" s="2"/>
      <c r="J807" s="2"/>
      <c r="K807" s="2"/>
      <c r="L807" s="2"/>
      <c r="M807" s="23"/>
      <c r="N807" s="31"/>
      <c r="O807" s="23"/>
      <c r="P807" s="30"/>
      <c r="Q807" s="23"/>
      <c r="R807" s="23"/>
      <c r="S807" s="23"/>
      <c r="T807" s="23"/>
      <c r="U807" s="23"/>
      <c r="V807" s="23"/>
      <c r="W807" s="23"/>
      <c r="X807" s="23"/>
      <c r="Y807" s="23"/>
      <c r="Z807" s="23"/>
      <c r="AA807" s="23"/>
      <c r="AB807" s="23"/>
    </row>
    <row r="808" spans="1:28" x14ac:dyDescent="0.25">
      <c r="A808" s="2"/>
      <c r="B808" s="2"/>
      <c r="C808" s="2"/>
      <c r="D808" s="22"/>
      <c r="E808" s="2"/>
      <c r="F808" s="2"/>
      <c r="G808" s="2"/>
      <c r="H808" s="2"/>
      <c r="I808" s="2"/>
      <c r="J808" s="2"/>
      <c r="K808" s="2"/>
      <c r="L808" s="2"/>
      <c r="M808" s="23"/>
      <c r="N808" s="31"/>
      <c r="O808" s="23"/>
      <c r="P808" s="30"/>
      <c r="Q808" s="23"/>
      <c r="R808" s="23"/>
      <c r="S808" s="23"/>
      <c r="T808" s="23"/>
      <c r="U808" s="23"/>
      <c r="V808" s="23"/>
      <c r="W808" s="23"/>
      <c r="X808" s="23"/>
      <c r="Y808" s="23"/>
      <c r="Z808" s="23"/>
      <c r="AA808" s="23"/>
      <c r="AB808" s="23"/>
    </row>
    <row r="809" spans="1:28" x14ac:dyDescent="0.25">
      <c r="A809" s="2"/>
      <c r="B809" s="2"/>
      <c r="C809" s="2"/>
      <c r="D809" s="22"/>
      <c r="E809" s="2"/>
      <c r="F809" s="2"/>
      <c r="G809" s="2"/>
      <c r="H809" s="2"/>
      <c r="I809" s="2"/>
      <c r="J809" s="2"/>
      <c r="K809" s="2"/>
      <c r="L809" s="2"/>
      <c r="M809" s="23"/>
      <c r="N809" s="31"/>
      <c r="O809" s="23"/>
      <c r="P809" s="30"/>
      <c r="Q809" s="23"/>
      <c r="R809" s="23"/>
      <c r="S809" s="23"/>
      <c r="T809" s="23"/>
      <c r="U809" s="23"/>
      <c r="V809" s="23"/>
      <c r="W809" s="23"/>
      <c r="X809" s="23"/>
      <c r="Y809" s="23"/>
      <c r="Z809" s="23"/>
      <c r="AA809" s="23"/>
      <c r="AB809" s="23"/>
    </row>
    <row r="810" spans="1:28" x14ac:dyDescent="0.25">
      <c r="A810" s="2"/>
      <c r="B810" s="2"/>
      <c r="C810" s="2"/>
      <c r="D810" s="22"/>
      <c r="E810" s="2"/>
      <c r="F810" s="2"/>
      <c r="G810" s="2"/>
      <c r="H810" s="2"/>
      <c r="I810" s="2"/>
      <c r="J810" s="2"/>
      <c r="K810" s="2"/>
      <c r="L810" s="2"/>
      <c r="M810" s="23"/>
      <c r="N810" s="31"/>
      <c r="O810" s="23"/>
      <c r="P810" s="30"/>
      <c r="Q810" s="23"/>
      <c r="R810" s="23"/>
      <c r="S810" s="23"/>
      <c r="T810" s="23"/>
      <c r="U810" s="23"/>
      <c r="V810" s="23"/>
      <c r="W810" s="23"/>
      <c r="X810" s="23"/>
      <c r="Y810" s="23"/>
      <c r="Z810" s="23"/>
      <c r="AA810" s="23"/>
      <c r="AB810" s="23"/>
    </row>
    <row r="811" spans="1:28" x14ac:dyDescent="0.25">
      <c r="A811" s="2"/>
      <c r="B811" s="2"/>
      <c r="C811" s="2"/>
      <c r="D811" s="22"/>
      <c r="E811" s="2"/>
      <c r="F811" s="2"/>
      <c r="G811" s="2"/>
      <c r="H811" s="2"/>
      <c r="I811" s="2"/>
      <c r="J811" s="2"/>
      <c r="K811" s="2"/>
      <c r="L811" s="2"/>
      <c r="M811" s="23"/>
      <c r="N811" s="31"/>
      <c r="O811" s="23"/>
      <c r="P811" s="30"/>
      <c r="Q811" s="23"/>
      <c r="R811" s="23"/>
      <c r="S811" s="23"/>
      <c r="T811" s="23"/>
      <c r="U811" s="23"/>
      <c r="V811" s="23"/>
      <c r="W811" s="23"/>
      <c r="X811" s="23"/>
      <c r="Y811" s="23"/>
      <c r="Z811" s="23"/>
      <c r="AA811" s="23"/>
      <c r="AB811" s="23"/>
    </row>
    <row r="812" spans="1:28" x14ac:dyDescent="0.25">
      <c r="A812" s="2"/>
      <c r="B812" s="2"/>
      <c r="C812" s="2"/>
      <c r="D812" s="22"/>
      <c r="E812" s="2"/>
      <c r="F812" s="2"/>
      <c r="G812" s="2"/>
      <c r="H812" s="2"/>
      <c r="I812" s="2"/>
      <c r="J812" s="2"/>
      <c r="K812" s="2"/>
      <c r="L812" s="2"/>
      <c r="M812" s="23"/>
      <c r="N812" s="31"/>
      <c r="O812" s="23"/>
      <c r="P812" s="30"/>
      <c r="Q812" s="23"/>
      <c r="R812" s="23"/>
      <c r="S812" s="23"/>
      <c r="T812" s="23"/>
      <c r="U812" s="23"/>
      <c r="V812" s="23"/>
      <c r="W812" s="23"/>
      <c r="X812" s="23"/>
      <c r="Y812" s="23"/>
      <c r="Z812" s="23"/>
      <c r="AA812" s="23"/>
      <c r="AB812" s="23"/>
    </row>
    <row r="813" spans="1:28" x14ac:dyDescent="0.25">
      <c r="A813" s="2"/>
      <c r="B813" s="2"/>
      <c r="C813" s="2"/>
      <c r="D813" s="22"/>
      <c r="E813" s="2"/>
      <c r="F813" s="2"/>
      <c r="G813" s="2"/>
      <c r="H813" s="2"/>
      <c r="I813" s="2"/>
      <c r="J813" s="2"/>
      <c r="K813" s="2"/>
      <c r="L813" s="2"/>
      <c r="M813" s="23"/>
      <c r="N813" s="31"/>
      <c r="O813" s="23"/>
      <c r="P813" s="30"/>
      <c r="Q813" s="23"/>
      <c r="R813" s="23"/>
      <c r="S813" s="23"/>
      <c r="T813" s="23"/>
      <c r="U813" s="23"/>
      <c r="V813" s="23"/>
      <c r="W813" s="23"/>
      <c r="X813" s="23"/>
      <c r="Y813" s="23"/>
      <c r="Z813" s="23"/>
      <c r="AA813" s="23"/>
      <c r="AB813" s="23"/>
    </row>
    <row r="814" spans="1:28" x14ac:dyDescent="0.25">
      <c r="A814" s="2"/>
      <c r="B814" s="2"/>
      <c r="C814" s="2"/>
      <c r="D814" s="22"/>
      <c r="E814" s="2"/>
      <c r="F814" s="2"/>
      <c r="G814" s="2"/>
      <c r="H814" s="2"/>
      <c r="I814" s="2"/>
      <c r="J814" s="2"/>
      <c r="K814" s="2"/>
      <c r="L814" s="2"/>
      <c r="M814" s="23"/>
      <c r="N814" s="31"/>
      <c r="O814" s="23"/>
      <c r="P814" s="30"/>
      <c r="Q814" s="23"/>
      <c r="R814" s="23"/>
      <c r="S814" s="23"/>
      <c r="T814" s="23"/>
      <c r="U814" s="23"/>
      <c r="V814" s="23"/>
      <c r="W814" s="23"/>
      <c r="X814" s="23"/>
      <c r="Y814" s="23"/>
      <c r="Z814" s="23"/>
      <c r="AA814" s="23"/>
      <c r="AB814" s="23"/>
    </row>
    <row r="815" spans="1:28" x14ac:dyDescent="0.25">
      <c r="A815" s="2"/>
      <c r="B815" s="2"/>
      <c r="C815" s="2"/>
      <c r="D815" s="22"/>
      <c r="E815" s="2"/>
      <c r="F815" s="2"/>
      <c r="G815" s="2"/>
      <c r="H815" s="2"/>
      <c r="I815" s="2"/>
      <c r="J815" s="2"/>
      <c r="K815" s="2"/>
      <c r="L815" s="2"/>
      <c r="M815" s="23"/>
      <c r="N815" s="31"/>
      <c r="O815" s="23"/>
      <c r="P815" s="30"/>
      <c r="Q815" s="23"/>
      <c r="R815" s="23"/>
      <c r="S815" s="23"/>
      <c r="T815" s="23"/>
      <c r="U815" s="23"/>
      <c r="V815" s="23"/>
      <c r="W815" s="23"/>
      <c r="X815" s="23"/>
      <c r="Y815" s="23"/>
      <c r="Z815" s="23"/>
      <c r="AA815" s="23"/>
      <c r="AB815" s="23"/>
    </row>
    <row r="816" spans="1:28" x14ac:dyDescent="0.25">
      <c r="A816" s="2"/>
      <c r="B816" s="2"/>
      <c r="C816" s="2"/>
      <c r="D816" s="22"/>
      <c r="E816" s="2"/>
      <c r="F816" s="2"/>
      <c r="G816" s="2"/>
      <c r="H816" s="2"/>
      <c r="I816" s="2"/>
      <c r="J816" s="2"/>
      <c r="K816" s="2"/>
      <c r="L816" s="2"/>
      <c r="M816" s="23"/>
      <c r="N816" s="31"/>
      <c r="O816" s="23"/>
      <c r="P816" s="30"/>
      <c r="Q816" s="23"/>
      <c r="R816" s="23"/>
      <c r="S816" s="23"/>
      <c r="T816" s="23"/>
      <c r="U816" s="23"/>
      <c r="V816" s="23"/>
      <c r="W816" s="23"/>
      <c r="X816" s="23"/>
      <c r="Y816" s="23"/>
      <c r="Z816" s="23"/>
      <c r="AA816" s="23"/>
      <c r="AB816" s="23"/>
    </row>
    <row r="817" spans="1:28" x14ac:dyDescent="0.25">
      <c r="A817" s="2"/>
      <c r="B817" s="2"/>
      <c r="C817" s="2"/>
      <c r="D817" s="22"/>
      <c r="E817" s="2"/>
      <c r="F817" s="2"/>
      <c r="G817" s="2"/>
      <c r="H817" s="2"/>
      <c r="I817" s="2"/>
      <c r="J817" s="2"/>
      <c r="K817" s="2"/>
      <c r="L817" s="2"/>
      <c r="M817" s="23"/>
      <c r="N817" s="31"/>
      <c r="O817" s="23"/>
      <c r="P817" s="30"/>
      <c r="Q817" s="23"/>
      <c r="R817" s="23"/>
      <c r="S817" s="23"/>
      <c r="T817" s="23"/>
      <c r="U817" s="23"/>
      <c r="V817" s="23"/>
      <c r="W817" s="23"/>
      <c r="X817" s="23"/>
      <c r="Y817" s="23"/>
      <c r="Z817" s="23"/>
      <c r="AA817" s="23"/>
      <c r="AB817" s="23"/>
    </row>
    <row r="818" spans="1:28" x14ac:dyDescent="0.25">
      <c r="A818" s="2"/>
      <c r="B818" s="2"/>
      <c r="C818" s="2"/>
      <c r="D818" s="22"/>
      <c r="E818" s="2"/>
      <c r="F818" s="2"/>
      <c r="G818" s="2"/>
      <c r="H818" s="2"/>
      <c r="I818" s="2"/>
      <c r="J818" s="2"/>
      <c r="K818" s="2"/>
      <c r="L818" s="2"/>
      <c r="M818" s="23"/>
      <c r="N818" s="31"/>
      <c r="O818" s="23"/>
      <c r="P818" s="30"/>
      <c r="Q818" s="23"/>
      <c r="R818" s="23"/>
      <c r="S818" s="23"/>
      <c r="T818" s="23"/>
      <c r="U818" s="23"/>
      <c r="V818" s="23"/>
      <c r="W818" s="23"/>
      <c r="X818" s="23"/>
      <c r="Y818" s="23"/>
      <c r="Z818" s="23"/>
      <c r="AA818" s="23"/>
      <c r="AB818" s="23"/>
    </row>
    <row r="819" spans="1:28" x14ac:dyDescent="0.25">
      <c r="A819" s="2"/>
      <c r="B819" s="2"/>
      <c r="C819" s="2"/>
      <c r="D819" s="22"/>
      <c r="E819" s="2"/>
      <c r="F819" s="2"/>
      <c r="G819" s="2"/>
      <c r="H819" s="2"/>
      <c r="I819" s="2"/>
      <c r="J819" s="2"/>
      <c r="K819" s="2"/>
      <c r="L819" s="2"/>
      <c r="M819" s="23"/>
      <c r="N819" s="31"/>
      <c r="O819" s="23"/>
      <c r="P819" s="30"/>
      <c r="Q819" s="23"/>
      <c r="R819" s="23"/>
      <c r="S819" s="23"/>
      <c r="T819" s="23"/>
      <c r="U819" s="23"/>
      <c r="V819" s="23"/>
      <c r="W819" s="23"/>
      <c r="X819" s="23"/>
      <c r="Y819" s="23"/>
      <c r="Z819" s="23"/>
      <c r="AA819" s="23"/>
      <c r="AB819" s="23"/>
    </row>
    <row r="820" spans="1:28" x14ac:dyDescent="0.25">
      <c r="A820" s="2"/>
      <c r="B820" s="2"/>
      <c r="C820" s="2"/>
      <c r="D820" s="22"/>
      <c r="E820" s="2"/>
      <c r="F820" s="2"/>
      <c r="G820" s="2"/>
      <c r="H820" s="2"/>
      <c r="I820" s="2"/>
      <c r="J820" s="2"/>
      <c r="K820" s="2"/>
      <c r="L820" s="2"/>
      <c r="M820" s="23"/>
      <c r="N820" s="31"/>
      <c r="O820" s="23"/>
      <c r="P820" s="30"/>
      <c r="Q820" s="23"/>
      <c r="R820" s="23"/>
      <c r="S820" s="23"/>
      <c r="T820" s="23"/>
      <c r="U820" s="23"/>
      <c r="V820" s="23"/>
      <c r="W820" s="23"/>
      <c r="X820" s="23"/>
      <c r="Y820" s="23"/>
      <c r="Z820" s="23"/>
      <c r="AA820" s="23"/>
      <c r="AB820" s="23"/>
    </row>
    <row r="821" spans="1:28" x14ac:dyDescent="0.25">
      <c r="A821" s="2"/>
      <c r="B821" s="2"/>
      <c r="C821" s="2"/>
      <c r="D821" s="22"/>
      <c r="E821" s="2"/>
      <c r="F821" s="2"/>
      <c r="G821" s="2"/>
      <c r="H821" s="2"/>
      <c r="I821" s="2"/>
      <c r="J821" s="2"/>
      <c r="K821" s="2"/>
      <c r="L821" s="2"/>
      <c r="M821" s="23"/>
      <c r="N821" s="31"/>
      <c r="O821" s="23"/>
      <c r="P821" s="30"/>
      <c r="Q821" s="23"/>
      <c r="R821" s="23"/>
      <c r="S821" s="23"/>
      <c r="T821" s="23"/>
      <c r="U821" s="23"/>
      <c r="V821" s="23"/>
      <c r="W821" s="23"/>
      <c r="X821" s="23"/>
      <c r="Y821" s="23"/>
      <c r="Z821" s="23"/>
      <c r="AA821" s="23"/>
      <c r="AB821" s="23"/>
    </row>
    <row r="822" spans="1:28" x14ac:dyDescent="0.25">
      <c r="A822" s="2"/>
      <c r="B822" s="2"/>
      <c r="C822" s="2"/>
      <c r="D822" s="22"/>
      <c r="E822" s="2"/>
      <c r="F822" s="2"/>
      <c r="G822" s="2"/>
      <c r="H822" s="2"/>
      <c r="I822" s="2"/>
      <c r="J822" s="2"/>
      <c r="K822" s="2"/>
      <c r="L822" s="2"/>
      <c r="M822" s="23"/>
      <c r="N822" s="31"/>
      <c r="O822" s="23"/>
      <c r="P822" s="30"/>
      <c r="Q822" s="23"/>
      <c r="R822" s="23"/>
      <c r="S822" s="23"/>
      <c r="T822" s="23"/>
      <c r="U822" s="23"/>
      <c r="V822" s="23"/>
      <c r="W822" s="23"/>
      <c r="X822" s="23"/>
      <c r="Y822" s="23"/>
      <c r="Z822" s="23"/>
      <c r="AA822" s="23"/>
      <c r="AB822" s="23"/>
    </row>
    <row r="823" spans="1:28" x14ac:dyDescent="0.25">
      <c r="A823" s="2"/>
      <c r="B823" s="2"/>
      <c r="C823" s="2"/>
      <c r="D823" s="22"/>
      <c r="E823" s="2"/>
      <c r="F823" s="2"/>
      <c r="G823" s="2"/>
      <c r="H823" s="2"/>
      <c r="I823" s="2"/>
      <c r="J823" s="2"/>
      <c r="K823" s="2"/>
      <c r="L823" s="2"/>
      <c r="M823" s="23"/>
      <c r="N823" s="31"/>
      <c r="O823" s="23"/>
      <c r="P823" s="30"/>
      <c r="Q823" s="23"/>
      <c r="R823" s="23"/>
      <c r="S823" s="23"/>
      <c r="T823" s="23"/>
      <c r="U823" s="23"/>
      <c r="V823" s="23"/>
      <c r="W823" s="23"/>
      <c r="X823" s="23"/>
      <c r="Y823" s="23"/>
      <c r="Z823" s="23"/>
      <c r="AA823" s="23"/>
      <c r="AB823" s="23"/>
    </row>
    <row r="824" spans="1:28" x14ac:dyDescent="0.25">
      <c r="A824" s="2"/>
      <c r="B824" s="2"/>
      <c r="C824" s="2"/>
      <c r="D824" s="22"/>
      <c r="E824" s="2"/>
      <c r="F824" s="2"/>
      <c r="G824" s="2"/>
      <c r="H824" s="2"/>
      <c r="I824" s="2"/>
      <c r="J824" s="2"/>
      <c r="K824" s="2"/>
      <c r="L824" s="2"/>
      <c r="M824" s="23"/>
      <c r="N824" s="31"/>
      <c r="O824" s="23"/>
      <c r="P824" s="30"/>
      <c r="Q824" s="23"/>
      <c r="R824" s="23"/>
      <c r="S824" s="23"/>
      <c r="T824" s="23"/>
      <c r="U824" s="23"/>
      <c r="V824" s="23"/>
      <c r="W824" s="23"/>
      <c r="X824" s="23"/>
      <c r="Y824" s="23"/>
      <c r="Z824" s="23"/>
      <c r="AA824" s="23"/>
      <c r="AB824" s="23"/>
    </row>
    <row r="825" spans="1:28" x14ac:dyDescent="0.25">
      <c r="A825" s="2"/>
      <c r="B825" s="2"/>
      <c r="C825" s="2"/>
      <c r="D825" s="22"/>
      <c r="E825" s="2"/>
      <c r="F825" s="2"/>
      <c r="G825" s="2"/>
      <c r="H825" s="2"/>
      <c r="I825" s="2"/>
      <c r="J825" s="2"/>
      <c r="K825" s="2"/>
      <c r="L825" s="2"/>
      <c r="M825" s="23"/>
      <c r="N825" s="31"/>
      <c r="O825" s="23"/>
      <c r="P825" s="30"/>
      <c r="Q825" s="23"/>
      <c r="R825" s="23"/>
      <c r="S825" s="23"/>
      <c r="T825" s="23"/>
      <c r="U825" s="23"/>
      <c r="V825" s="23"/>
      <c r="W825" s="23"/>
      <c r="X825" s="23"/>
      <c r="Y825" s="23"/>
      <c r="Z825" s="23"/>
      <c r="AA825" s="23"/>
      <c r="AB825" s="23"/>
    </row>
    <row r="826" spans="1:28" x14ac:dyDescent="0.25">
      <c r="A826" s="2"/>
      <c r="B826" s="2"/>
      <c r="C826" s="2"/>
      <c r="D826" s="22"/>
      <c r="E826" s="2"/>
      <c r="F826" s="2"/>
      <c r="G826" s="2"/>
      <c r="H826" s="2"/>
      <c r="I826" s="2"/>
      <c r="J826" s="2"/>
      <c r="K826" s="2"/>
      <c r="L826" s="2"/>
      <c r="M826" s="23"/>
      <c r="N826" s="31"/>
      <c r="O826" s="23"/>
      <c r="P826" s="30"/>
      <c r="Q826" s="23"/>
      <c r="R826" s="23"/>
      <c r="S826" s="23"/>
      <c r="T826" s="23"/>
      <c r="U826" s="23"/>
      <c r="V826" s="23"/>
      <c r="W826" s="23"/>
      <c r="X826" s="23"/>
      <c r="Y826" s="23"/>
      <c r="Z826" s="23"/>
      <c r="AA826" s="23"/>
      <c r="AB826" s="23"/>
    </row>
    <row r="827" spans="1:28" x14ac:dyDescent="0.25">
      <c r="A827" s="2"/>
      <c r="B827" s="2"/>
      <c r="C827" s="2"/>
      <c r="D827" s="22"/>
      <c r="E827" s="2"/>
      <c r="F827" s="2"/>
      <c r="G827" s="2"/>
      <c r="H827" s="2"/>
      <c r="I827" s="2"/>
      <c r="J827" s="2"/>
      <c r="K827" s="2"/>
      <c r="L827" s="2"/>
      <c r="M827" s="23"/>
      <c r="N827" s="31"/>
      <c r="O827" s="23"/>
      <c r="P827" s="30"/>
      <c r="Q827" s="23"/>
      <c r="R827" s="23"/>
      <c r="S827" s="23"/>
      <c r="T827" s="23"/>
      <c r="U827" s="23"/>
      <c r="V827" s="23"/>
      <c r="W827" s="23"/>
      <c r="X827" s="23"/>
      <c r="Y827" s="23"/>
      <c r="Z827" s="23"/>
      <c r="AA827" s="23"/>
      <c r="AB827" s="23"/>
    </row>
    <row r="828" spans="1:28" x14ac:dyDescent="0.25">
      <c r="A828" s="2"/>
      <c r="B828" s="2"/>
      <c r="C828" s="2"/>
      <c r="D828" s="22"/>
      <c r="E828" s="2"/>
      <c r="F828" s="2"/>
      <c r="G828" s="2"/>
      <c r="H828" s="2"/>
      <c r="I828" s="2"/>
      <c r="J828" s="2"/>
      <c r="K828" s="2"/>
      <c r="L828" s="2"/>
      <c r="M828" s="23"/>
      <c r="N828" s="31"/>
      <c r="O828" s="23"/>
      <c r="P828" s="30"/>
      <c r="Q828" s="23"/>
      <c r="R828" s="23"/>
      <c r="S828" s="23"/>
      <c r="T828" s="23"/>
      <c r="U828" s="23"/>
      <c r="V828" s="23"/>
      <c r="W828" s="23"/>
      <c r="X828" s="23"/>
      <c r="Y828" s="23"/>
      <c r="Z828" s="23"/>
      <c r="AA828" s="23"/>
      <c r="AB828" s="23"/>
    </row>
    <row r="829" spans="1:28" x14ac:dyDescent="0.25">
      <c r="A829" s="2"/>
      <c r="B829" s="2"/>
      <c r="C829" s="2"/>
      <c r="D829" s="22"/>
      <c r="E829" s="2"/>
      <c r="F829" s="2"/>
      <c r="G829" s="2"/>
      <c r="H829" s="2"/>
      <c r="I829" s="2"/>
      <c r="J829" s="2"/>
      <c r="K829" s="2"/>
      <c r="L829" s="2"/>
      <c r="M829" s="23"/>
      <c r="N829" s="31"/>
      <c r="O829" s="23"/>
      <c r="P829" s="30"/>
      <c r="Q829" s="23"/>
      <c r="R829" s="23"/>
      <c r="S829" s="23"/>
      <c r="T829" s="23"/>
      <c r="U829" s="23"/>
      <c r="V829" s="23"/>
      <c r="W829" s="23"/>
      <c r="X829" s="23"/>
      <c r="Y829" s="23"/>
      <c r="Z829" s="23"/>
      <c r="AA829" s="23"/>
      <c r="AB829" s="23"/>
    </row>
    <row r="830" spans="1:28" x14ac:dyDescent="0.25">
      <c r="A830" s="2"/>
      <c r="B830" s="2"/>
      <c r="C830" s="2"/>
      <c r="D830" s="22"/>
      <c r="E830" s="2"/>
      <c r="F830" s="2"/>
      <c r="G830" s="2"/>
      <c r="H830" s="2"/>
      <c r="I830" s="2"/>
      <c r="J830" s="2"/>
      <c r="K830" s="2"/>
      <c r="L830" s="2"/>
      <c r="M830" s="23"/>
      <c r="N830" s="31"/>
      <c r="O830" s="23"/>
      <c r="P830" s="30"/>
      <c r="Q830" s="23"/>
      <c r="R830" s="23"/>
      <c r="S830" s="23"/>
      <c r="T830" s="23"/>
      <c r="U830" s="23"/>
      <c r="V830" s="23"/>
      <c r="W830" s="23"/>
      <c r="X830" s="23"/>
      <c r="Y830" s="23"/>
      <c r="Z830" s="23"/>
      <c r="AA830" s="23"/>
      <c r="AB830" s="23"/>
    </row>
    <row r="831" spans="1:28" x14ac:dyDescent="0.25">
      <c r="A831" s="2"/>
      <c r="B831" s="2"/>
      <c r="C831" s="2"/>
      <c r="D831" s="22"/>
      <c r="E831" s="2"/>
      <c r="F831" s="2"/>
      <c r="G831" s="2"/>
      <c r="H831" s="2"/>
      <c r="I831" s="2"/>
      <c r="J831" s="2"/>
      <c r="K831" s="2"/>
      <c r="L831" s="2"/>
      <c r="M831" s="23"/>
      <c r="N831" s="31"/>
      <c r="O831" s="23"/>
      <c r="P831" s="30"/>
      <c r="Q831" s="23"/>
      <c r="R831" s="23"/>
      <c r="S831" s="23"/>
      <c r="T831" s="23"/>
      <c r="U831" s="23"/>
      <c r="V831" s="23"/>
      <c r="W831" s="23"/>
      <c r="X831" s="23"/>
      <c r="Y831" s="23"/>
      <c r="Z831" s="23"/>
      <c r="AA831" s="23"/>
      <c r="AB831" s="23"/>
    </row>
    <row r="832" spans="1:28" x14ac:dyDescent="0.25">
      <c r="A832" s="2"/>
      <c r="B832" s="2"/>
      <c r="C832" s="2"/>
      <c r="D832" s="22"/>
      <c r="E832" s="2"/>
      <c r="F832" s="2"/>
      <c r="G832" s="2"/>
      <c r="H832" s="2"/>
      <c r="I832" s="2"/>
      <c r="J832" s="2"/>
      <c r="K832" s="2"/>
      <c r="L832" s="2"/>
      <c r="M832" s="23"/>
      <c r="N832" s="31"/>
      <c r="O832" s="23"/>
      <c r="P832" s="30"/>
      <c r="Q832" s="23"/>
      <c r="R832" s="23"/>
      <c r="S832" s="23"/>
      <c r="T832" s="23"/>
      <c r="U832" s="23"/>
      <c r="V832" s="23"/>
      <c r="W832" s="23"/>
      <c r="X832" s="23"/>
      <c r="Y832" s="23"/>
      <c r="Z832" s="23"/>
      <c r="AA832" s="23"/>
      <c r="AB832" s="23"/>
    </row>
    <row r="833" spans="1:28" x14ac:dyDescent="0.25">
      <c r="A833" s="2"/>
      <c r="B833" s="2"/>
      <c r="C833" s="2"/>
      <c r="D833" s="22"/>
      <c r="E833" s="2"/>
      <c r="F833" s="2"/>
      <c r="G833" s="2"/>
      <c r="H833" s="2"/>
      <c r="I833" s="2"/>
      <c r="J833" s="2"/>
      <c r="K833" s="2"/>
      <c r="L833" s="2"/>
      <c r="M833" s="23"/>
      <c r="N833" s="31"/>
      <c r="O833" s="23"/>
      <c r="P833" s="30"/>
      <c r="Q833" s="23"/>
      <c r="R833" s="23"/>
      <c r="S833" s="23"/>
      <c r="T833" s="23"/>
      <c r="U833" s="23"/>
      <c r="V833" s="23"/>
      <c r="W833" s="23"/>
      <c r="X833" s="23"/>
      <c r="Y833" s="23"/>
      <c r="Z833" s="23"/>
      <c r="AA833" s="23"/>
      <c r="AB833" s="23"/>
    </row>
    <row r="834" spans="1:28" x14ac:dyDescent="0.25">
      <c r="A834" s="2"/>
      <c r="B834" s="2"/>
      <c r="C834" s="2"/>
      <c r="D834" s="22"/>
      <c r="E834" s="2"/>
      <c r="F834" s="2"/>
      <c r="G834" s="2"/>
      <c r="H834" s="2"/>
      <c r="I834" s="2"/>
      <c r="J834" s="2"/>
      <c r="K834" s="2"/>
      <c r="L834" s="2"/>
      <c r="M834" s="23"/>
      <c r="N834" s="31"/>
      <c r="O834" s="23"/>
      <c r="P834" s="30"/>
      <c r="Q834" s="23"/>
      <c r="R834" s="23"/>
      <c r="S834" s="23"/>
      <c r="T834" s="23"/>
      <c r="U834" s="23"/>
      <c r="V834" s="23"/>
      <c r="W834" s="23"/>
      <c r="X834" s="23"/>
      <c r="Y834" s="23"/>
      <c r="Z834" s="23"/>
      <c r="AA834" s="23"/>
      <c r="AB834" s="23"/>
    </row>
    <row r="835" spans="1:28" x14ac:dyDescent="0.25">
      <c r="A835" s="2"/>
      <c r="B835" s="2"/>
      <c r="C835" s="2"/>
      <c r="D835" s="22"/>
      <c r="E835" s="2"/>
      <c r="F835" s="2"/>
      <c r="G835" s="2"/>
      <c r="H835" s="2"/>
      <c r="I835" s="2"/>
      <c r="J835" s="2"/>
      <c r="K835" s="2"/>
      <c r="L835" s="2"/>
      <c r="M835" s="23"/>
      <c r="N835" s="31"/>
      <c r="O835" s="23"/>
      <c r="P835" s="30"/>
      <c r="Q835" s="23"/>
      <c r="R835" s="23"/>
      <c r="S835" s="23"/>
      <c r="T835" s="23"/>
      <c r="U835" s="23"/>
      <c r="V835" s="23"/>
      <c r="W835" s="23"/>
      <c r="X835" s="23"/>
      <c r="Y835" s="23"/>
      <c r="Z835" s="23"/>
      <c r="AA835" s="23"/>
      <c r="AB835" s="23"/>
    </row>
    <row r="836" spans="1:28" x14ac:dyDescent="0.25">
      <c r="A836" s="2"/>
      <c r="B836" s="2"/>
      <c r="C836" s="2"/>
      <c r="D836" s="22"/>
      <c r="E836" s="2"/>
      <c r="F836" s="2"/>
      <c r="G836" s="2"/>
      <c r="H836" s="2"/>
      <c r="I836" s="2"/>
      <c r="J836" s="2"/>
      <c r="K836" s="2"/>
      <c r="L836" s="2"/>
      <c r="M836" s="23"/>
      <c r="N836" s="31"/>
      <c r="O836" s="23"/>
      <c r="P836" s="30"/>
      <c r="Q836" s="23"/>
      <c r="R836" s="23"/>
      <c r="S836" s="23"/>
      <c r="T836" s="23"/>
      <c r="U836" s="23"/>
      <c r="V836" s="23"/>
      <c r="W836" s="23"/>
      <c r="X836" s="23"/>
      <c r="Y836" s="23"/>
      <c r="Z836" s="23"/>
      <c r="AA836" s="23"/>
      <c r="AB836" s="23"/>
    </row>
    <row r="837" spans="1:28" x14ac:dyDescent="0.25">
      <c r="A837" s="2"/>
      <c r="B837" s="2"/>
      <c r="C837" s="2"/>
      <c r="D837" s="22"/>
      <c r="E837" s="2"/>
      <c r="F837" s="2"/>
      <c r="G837" s="2"/>
      <c r="H837" s="2"/>
      <c r="I837" s="2"/>
      <c r="J837" s="2"/>
      <c r="K837" s="2"/>
      <c r="L837" s="2"/>
      <c r="M837" s="23"/>
      <c r="N837" s="31"/>
      <c r="O837" s="23"/>
      <c r="P837" s="30"/>
      <c r="Q837" s="23"/>
      <c r="R837" s="23"/>
      <c r="S837" s="23"/>
      <c r="T837" s="23"/>
      <c r="U837" s="23"/>
      <c r="V837" s="23"/>
      <c r="W837" s="23"/>
      <c r="X837" s="23"/>
      <c r="Y837" s="23"/>
      <c r="Z837" s="23"/>
      <c r="AA837" s="23"/>
      <c r="AB837" s="23"/>
    </row>
    <row r="838" spans="1:28" x14ac:dyDescent="0.25">
      <c r="A838" s="2"/>
      <c r="B838" s="2"/>
      <c r="C838" s="2"/>
      <c r="D838" s="22"/>
      <c r="E838" s="2"/>
      <c r="F838" s="2"/>
      <c r="G838" s="2"/>
      <c r="H838" s="2"/>
      <c r="I838" s="2"/>
      <c r="J838" s="2"/>
      <c r="K838" s="2"/>
      <c r="L838" s="2"/>
      <c r="M838" s="23"/>
      <c r="N838" s="31"/>
      <c r="O838" s="23"/>
      <c r="P838" s="30"/>
      <c r="Q838" s="23"/>
      <c r="R838" s="23"/>
      <c r="S838" s="23"/>
      <c r="T838" s="23"/>
      <c r="U838" s="23"/>
      <c r="V838" s="23"/>
      <c r="W838" s="23"/>
      <c r="X838" s="23"/>
      <c r="Y838" s="23"/>
      <c r="Z838" s="23"/>
      <c r="AA838" s="23"/>
      <c r="AB838" s="23"/>
    </row>
    <row r="839" spans="1:28" x14ac:dyDescent="0.25">
      <c r="A839" s="2"/>
      <c r="B839" s="2"/>
      <c r="C839" s="2"/>
      <c r="D839" s="22"/>
      <c r="E839" s="2"/>
      <c r="F839" s="2"/>
      <c r="G839" s="2"/>
      <c r="H839" s="2"/>
      <c r="I839" s="2"/>
      <c r="J839" s="2"/>
      <c r="K839" s="2"/>
      <c r="L839" s="2"/>
      <c r="M839" s="23"/>
      <c r="N839" s="31"/>
      <c r="O839" s="23"/>
      <c r="P839" s="30"/>
      <c r="Q839" s="23"/>
      <c r="R839" s="23"/>
      <c r="S839" s="23"/>
      <c r="T839" s="23"/>
      <c r="U839" s="23"/>
      <c r="V839" s="23"/>
      <c r="W839" s="23"/>
      <c r="X839" s="23"/>
      <c r="Y839" s="23"/>
      <c r="Z839" s="23"/>
      <c r="AA839" s="23"/>
      <c r="AB839" s="23"/>
    </row>
    <row r="840" spans="1:28" x14ac:dyDescent="0.25">
      <c r="A840" s="2"/>
      <c r="B840" s="2"/>
      <c r="C840" s="2"/>
      <c r="D840" s="22"/>
      <c r="E840" s="2"/>
      <c r="F840" s="2"/>
      <c r="G840" s="2"/>
      <c r="H840" s="2"/>
      <c r="I840" s="2"/>
      <c r="J840" s="2"/>
      <c r="K840" s="2"/>
      <c r="L840" s="2"/>
      <c r="M840" s="23"/>
      <c r="N840" s="31"/>
      <c r="O840" s="23"/>
      <c r="P840" s="30"/>
      <c r="Q840" s="23"/>
      <c r="R840" s="23"/>
      <c r="S840" s="23"/>
      <c r="T840" s="23"/>
      <c r="U840" s="23"/>
      <c r="V840" s="23"/>
      <c r="W840" s="23"/>
      <c r="X840" s="23"/>
      <c r="Y840" s="23"/>
      <c r="Z840" s="23"/>
      <c r="AA840" s="23"/>
      <c r="AB840" s="23"/>
    </row>
    <row r="841" spans="1:28" x14ac:dyDescent="0.25">
      <c r="A841" s="2"/>
      <c r="B841" s="2"/>
      <c r="C841" s="2"/>
      <c r="D841" s="22"/>
      <c r="E841" s="2"/>
      <c r="F841" s="2"/>
      <c r="G841" s="2"/>
      <c r="H841" s="2"/>
      <c r="I841" s="2"/>
      <c r="J841" s="2"/>
      <c r="K841" s="2"/>
      <c r="L841" s="2"/>
      <c r="M841" s="23"/>
      <c r="N841" s="31"/>
      <c r="O841" s="23"/>
      <c r="P841" s="30"/>
      <c r="Q841" s="23"/>
      <c r="R841" s="23"/>
      <c r="S841" s="23"/>
      <c r="T841" s="23"/>
      <c r="U841" s="23"/>
      <c r="V841" s="23"/>
      <c r="W841" s="23"/>
      <c r="X841" s="23"/>
      <c r="Y841" s="23"/>
      <c r="Z841" s="23"/>
      <c r="AA841" s="23"/>
      <c r="AB841" s="23"/>
    </row>
    <row r="842" spans="1:28" x14ac:dyDescent="0.25">
      <c r="A842" s="2"/>
      <c r="B842" s="2"/>
      <c r="C842" s="2"/>
      <c r="D842" s="22"/>
      <c r="E842" s="2"/>
      <c r="F842" s="2"/>
      <c r="G842" s="2"/>
      <c r="H842" s="2"/>
      <c r="I842" s="2"/>
      <c r="J842" s="2"/>
      <c r="K842" s="2"/>
      <c r="L842" s="2"/>
      <c r="M842" s="23"/>
      <c r="N842" s="31"/>
      <c r="O842" s="23"/>
      <c r="P842" s="30"/>
      <c r="Q842" s="23"/>
      <c r="R842" s="23"/>
      <c r="S842" s="23"/>
      <c r="T842" s="23"/>
      <c r="U842" s="23"/>
      <c r="V842" s="23"/>
      <c r="W842" s="23"/>
      <c r="X842" s="23"/>
      <c r="Y842" s="23"/>
      <c r="Z842" s="23"/>
      <c r="AA842" s="23"/>
      <c r="AB842" s="23"/>
    </row>
    <row r="843" spans="1:28" x14ac:dyDescent="0.25">
      <c r="A843" s="2"/>
      <c r="B843" s="2"/>
      <c r="C843" s="2"/>
      <c r="D843" s="22"/>
      <c r="E843" s="2"/>
      <c r="F843" s="2"/>
      <c r="G843" s="2"/>
      <c r="H843" s="2"/>
      <c r="I843" s="2"/>
      <c r="J843" s="2"/>
      <c r="K843" s="2"/>
      <c r="L843" s="2"/>
      <c r="M843" s="23"/>
      <c r="N843" s="31"/>
      <c r="O843" s="23"/>
      <c r="P843" s="30"/>
      <c r="Q843" s="23"/>
      <c r="R843" s="23"/>
      <c r="S843" s="23"/>
      <c r="T843" s="23"/>
      <c r="U843" s="23"/>
      <c r="V843" s="23"/>
      <c r="W843" s="23"/>
      <c r="X843" s="23"/>
      <c r="Y843" s="23"/>
      <c r="Z843" s="23"/>
      <c r="AA843" s="23"/>
      <c r="AB843" s="23"/>
    </row>
    <row r="844" spans="1:28" x14ac:dyDescent="0.25">
      <c r="A844" s="2"/>
      <c r="B844" s="2"/>
      <c r="C844" s="2"/>
      <c r="D844" s="22"/>
      <c r="E844" s="2"/>
      <c r="F844" s="2"/>
      <c r="G844" s="2"/>
      <c r="H844" s="2"/>
      <c r="I844" s="2"/>
      <c r="J844" s="2"/>
      <c r="K844" s="2"/>
      <c r="L844" s="2"/>
      <c r="M844" s="23"/>
      <c r="N844" s="31"/>
      <c r="O844" s="23"/>
      <c r="P844" s="30"/>
      <c r="Q844" s="23"/>
      <c r="R844" s="23"/>
      <c r="S844" s="23"/>
      <c r="T844" s="23"/>
      <c r="U844" s="23"/>
      <c r="V844" s="23"/>
      <c r="W844" s="23"/>
      <c r="X844" s="23"/>
      <c r="Y844" s="23"/>
      <c r="Z844" s="23"/>
      <c r="AA844" s="23"/>
      <c r="AB844" s="23"/>
    </row>
    <row r="845" spans="1:28" x14ac:dyDescent="0.25">
      <c r="A845" s="2"/>
      <c r="B845" s="2"/>
      <c r="C845" s="2"/>
      <c r="D845" s="22"/>
      <c r="E845" s="2"/>
      <c r="F845" s="2"/>
      <c r="G845" s="2"/>
      <c r="H845" s="2"/>
      <c r="I845" s="2"/>
      <c r="J845" s="2"/>
      <c r="K845" s="2"/>
      <c r="L845" s="2"/>
      <c r="M845" s="23"/>
      <c r="N845" s="31"/>
      <c r="O845" s="23"/>
      <c r="P845" s="30"/>
      <c r="Q845" s="23"/>
      <c r="R845" s="23"/>
      <c r="S845" s="23"/>
      <c r="T845" s="23"/>
      <c r="U845" s="23"/>
      <c r="V845" s="23"/>
      <c r="W845" s="23"/>
      <c r="X845" s="23"/>
      <c r="Y845" s="23"/>
      <c r="Z845" s="23"/>
      <c r="AA845" s="23"/>
      <c r="AB845" s="23"/>
    </row>
    <row r="846" spans="1:28" x14ac:dyDescent="0.25">
      <c r="A846" s="2"/>
      <c r="B846" s="2"/>
      <c r="C846" s="2"/>
      <c r="D846" s="22"/>
      <c r="E846" s="2"/>
      <c r="F846" s="2"/>
      <c r="G846" s="2"/>
      <c r="H846" s="2"/>
      <c r="I846" s="2"/>
      <c r="J846" s="2"/>
      <c r="K846" s="2"/>
      <c r="L846" s="2"/>
      <c r="M846" s="23"/>
      <c r="N846" s="31"/>
      <c r="O846" s="23"/>
      <c r="P846" s="30"/>
      <c r="Q846" s="23"/>
      <c r="R846" s="23"/>
      <c r="S846" s="23"/>
      <c r="T846" s="23"/>
      <c r="U846" s="23"/>
      <c r="V846" s="23"/>
      <c r="W846" s="23"/>
      <c r="X846" s="23"/>
      <c r="Y846" s="23"/>
      <c r="Z846" s="23"/>
      <c r="AA846" s="23"/>
      <c r="AB846" s="23"/>
    </row>
    <row r="847" spans="1:28" x14ac:dyDescent="0.25">
      <c r="A847" s="2"/>
      <c r="B847" s="2"/>
      <c r="C847" s="2"/>
      <c r="D847" s="22"/>
      <c r="E847" s="2"/>
      <c r="F847" s="2"/>
      <c r="G847" s="2"/>
      <c r="H847" s="2"/>
      <c r="I847" s="2"/>
      <c r="J847" s="2"/>
      <c r="K847" s="2"/>
      <c r="L847" s="2"/>
      <c r="M847" s="23"/>
      <c r="N847" s="31"/>
      <c r="O847" s="23"/>
      <c r="P847" s="30"/>
      <c r="Q847" s="23"/>
      <c r="R847" s="23"/>
      <c r="S847" s="23"/>
      <c r="T847" s="23"/>
      <c r="U847" s="23"/>
      <c r="V847" s="23"/>
      <c r="W847" s="23"/>
      <c r="X847" s="23"/>
      <c r="Y847" s="23"/>
      <c r="Z847" s="23"/>
      <c r="AA847" s="23"/>
      <c r="AB847" s="23"/>
    </row>
    <row r="848" spans="1:28" x14ac:dyDescent="0.25">
      <c r="A848" s="2"/>
      <c r="B848" s="2"/>
      <c r="C848" s="2"/>
      <c r="D848" s="22"/>
      <c r="E848" s="2"/>
      <c r="F848" s="2"/>
      <c r="G848" s="2"/>
      <c r="H848" s="2"/>
      <c r="I848" s="2"/>
      <c r="J848" s="2"/>
      <c r="K848" s="2"/>
      <c r="L848" s="2"/>
      <c r="M848" s="23"/>
      <c r="N848" s="31"/>
      <c r="O848" s="23"/>
      <c r="P848" s="30"/>
      <c r="Q848" s="23"/>
      <c r="R848" s="23"/>
      <c r="S848" s="23"/>
      <c r="T848" s="23"/>
      <c r="U848" s="23"/>
      <c r="V848" s="23"/>
      <c r="W848" s="23"/>
      <c r="X848" s="23"/>
      <c r="Y848" s="23"/>
      <c r="Z848" s="23"/>
      <c r="AA848" s="23"/>
      <c r="AB848" s="23"/>
    </row>
    <row r="849" spans="1:28" x14ac:dyDescent="0.25">
      <c r="A849" s="2"/>
      <c r="B849" s="2"/>
      <c r="C849" s="2"/>
      <c r="D849" s="22"/>
      <c r="E849" s="2"/>
      <c r="F849" s="2"/>
      <c r="G849" s="2"/>
      <c r="H849" s="2"/>
      <c r="I849" s="2"/>
      <c r="J849" s="2"/>
      <c r="K849" s="2"/>
      <c r="L849" s="2"/>
      <c r="M849" s="23"/>
      <c r="N849" s="31"/>
      <c r="O849" s="23"/>
      <c r="P849" s="30"/>
      <c r="Q849" s="23"/>
      <c r="R849" s="23"/>
      <c r="S849" s="23"/>
      <c r="T849" s="23"/>
      <c r="U849" s="23"/>
      <c r="V849" s="23"/>
      <c r="W849" s="23"/>
      <c r="X849" s="23"/>
      <c r="Y849" s="23"/>
      <c r="Z849" s="23"/>
      <c r="AA849" s="23"/>
      <c r="AB849" s="23"/>
    </row>
    <row r="850" spans="1:28" x14ac:dyDescent="0.25">
      <c r="A850" s="2"/>
      <c r="B850" s="2"/>
      <c r="C850" s="2"/>
      <c r="D850" s="22"/>
      <c r="E850" s="2"/>
      <c r="F850" s="2"/>
      <c r="G850" s="2"/>
      <c r="H850" s="2"/>
      <c r="I850" s="2"/>
      <c r="J850" s="2"/>
      <c r="K850" s="2"/>
      <c r="L850" s="2"/>
      <c r="M850" s="23"/>
      <c r="N850" s="31"/>
      <c r="O850" s="23"/>
      <c r="P850" s="30"/>
      <c r="Q850" s="23"/>
      <c r="R850" s="23"/>
      <c r="S850" s="23"/>
      <c r="T850" s="23"/>
      <c r="U850" s="23"/>
      <c r="V850" s="23"/>
      <c r="W850" s="23"/>
      <c r="X850" s="23"/>
      <c r="Y850" s="23"/>
      <c r="Z850" s="23"/>
      <c r="AA850" s="23"/>
      <c r="AB850" s="23"/>
    </row>
    <row r="851" spans="1:28" x14ac:dyDescent="0.25">
      <c r="A851" s="2"/>
      <c r="B851" s="2"/>
      <c r="C851" s="2"/>
      <c r="D851" s="22"/>
      <c r="E851" s="2"/>
      <c r="F851" s="2"/>
      <c r="G851" s="2"/>
      <c r="H851" s="2"/>
      <c r="I851" s="2"/>
      <c r="J851" s="2"/>
      <c r="K851" s="2"/>
      <c r="L851" s="2"/>
      <c r="M851" s="23"/>
      <c r="N851" s="31"/>
      <c r="O851" s="23"/>
      <c r="P851" s="30"/>
      <c r="Q851" s="23"/>
      <c r="R851" s="23"/>
      <c r="S851" s="23"/>
      <c r="T851" s="23"/>
      <c r="U851" s="23"/>
      <c r="V851" s="23"/>
      <c r="W851" s="23"/>
      <c r="X851" s="23"/>
      <c r="Y851" s="23"/>
      <c r="Z851" s="23"/>
      <c r="AA851" s="23"/>
      <c r="AB851" s="23"/>
    </row>
    <row r="852" spans="1:28" x14ac:dyDescent="0.25">
      <c r="A852" s="2"/>
      <c r="B852" s="2"/>
      <c r="C852" s="2"/>
      <c r="D852" s="22"/>
      <c r="E852" s="2"/>
      <c r="F852" s="2"/>
      <c r="G852" s="2"/>
      <c r="H852" s="2"/>
      <c r="I852" s="2"/>
      <c r="J852" s="2"/>
      <c r="K852" s="2"/>
      <c r="L852" s="2"/>
      <c r="M852" s="23"/>
      <c r="N852" s="31"/>
      <c r="O852" s="23"/>
      <c r="P852" s="30"/>
      <c r="Q852" s="23"/>
      <c r="R852" s="23"/>
      <c r="S852" s="23"/>
      <c r="T852" s="23"/>
      <c r="U852" s="23"/>
      <c r="V852" s="23"/>
      <c r="W852" s="23"/>
      <c r="X852" s="23"/>
      <c r="Y852" s="23"/>
      <c r="Z852" s="23"/>
      <c r="AA852" s="23"/>
      <c r="AB852" s="23"/>
    </row>
    <row r="853" spans="1:28" x14ac:dyDescent="0.25">
      <c r="A853" s="2"/>
      <c r="B853" s="2"/>
      <c r="C853" s="2"/>
      <c r="D853" s="22"/>
      <c r="E853" s="2"/>
      <c r="F853" s="2"/>
      <c r="G853" s="2"/>
      <c r="H853" s="2"/>
      <c r="I853" s="2"/>
      <c r="J853" s="2"/>
      <c r="K853" s="2"/>
      <c r="L853" s="2"/>
      <c r="M853" s="23"/>
      <c r="N853" s="31"/>
      <c r="O853" s="23"/>
      <c r="P853" s="30"/>
      <c r="Q853" s="23"/>
      <c r="R853" s="23"/>
      <c r="S853" s="23"/>
      <c r="T853" s="23"/>
      <c r="U853" s="23"/>
      <c r="V853" s="23"/>
      <c r="W853" s="23"/>
      <c r="X853" s="23"/>
      <c r="Y853" s="23"/>
      <c r="Z853" s="23"/>
      <c r="AA853" s="23"/>
      <c r="AB853" s="23"/>
    </row>
    <row r="854" spans="1:28" x14ac:dyDescent="0.25">
      <c r="A854" s="2"/>
      <c r="B854" s="2"/>
      <c r="C854" s="2"/>
      <c r="D854" s="22"/>
      <c r="E854" s="2"/>
      <c r="F854" s="2"/>
      <c r="G854" s="2"/>
      <c r="H854" s="2"/>
      <c r="I854" s="2"/>
      <c r="J854" s="2"/>
      <c r="K854" s="2"/>
      <c r="L854" s="2"/>
      <c r="M854" s="23"/>
      <c r="N854" s="31"/>
      <c r="O854" s="23"/>
      <c r="P854" s="30"/>
      <c r="Q854" s="23"/>
      <c r="R854" s="23"/>
      <c r="S854" s="23"/>
      <c r="T854" s="23"/>
      <c r="U854" s="23"/>
      <c r="V854" s="23"/>
      <c r="W854" s="23"/>
      <c r="X854" s="23"/>
      <c r="Y854" s="23"/>
      <c r="Z854" s="23"/>
      <c r="AA854" s="23"/>
      <c r="AB854" s="23"/>
    </row>
    <row r="855" spans="1:28" x14ac:dyDescent="0.25">
      <c r="A855" s="2"/>
      <c r="B855" s="2"/>
      <c r="C855" s="2"/>
      <c r="D855" s="22"/>
      <c r="E855" s="2"/>
      <c r="F855" s="2"/>
      <c r="G855" s="2"/>
      <c r="H855" s="2"/>
      <c r="I855" s="2"/>
      <c r="J855" s="2"/>
      <c r="K855" s="2"/>
      <c r="L855" s="2"/>
      <c r="M855" s="23"/>
      <c r="N855" s="31"/>
      <c r="O855" s="23"/>
      <c r="P855" s="30"/>
      <c r="Q855" s="23"/>
      <c r="R855" s="23"/>
      <c r="S855" s="23"/>
      <c r="T855" s="23"/>
      <c r="U855" s="23"/>
      <c r="V855" s="23"/>
      <c r="W855" s="23"/>
      <c r="X855" s="23"/>
      <c r="Y855" s="23"/>
      <c r="Z855" s="23"/>
      <c r="AA855" s="23"/>
      <c r="AB855" s="23"/>
    </row>
    <row r="856" spans="1:28" x14ac:dyDescent="0.25">
      <c r="A856" s="2"/>
      <c r="B856" s="2"/>
      <c r="C856" s="2"/>
      <c r="D856" s="22"/>
      <c r="E856" s="2"/>
      <c r="F856" s="2"/>
      <c r="G856" s="2"/>
      <c r="H856" s="2"/>
      <c r="I856" s="2"/>
      <c r="J856" s="2"/>
      <c r="K856" s="2"/>
      <c r="L856" s="2"/>
      <c r="M856" s="23"/>
      <c r="N856" s="31"/>
      <c r="O856" s="23"/>
      <c r="P856" s="30"/>
      <c r="Q856" s="23"/>
      <c r="R856" s="23"/>
      <c r="S856" s="23"/>
      <c r="T856" s="23"/>
      <c r="U856" s="23"/>
      <c r="V856" s="23"/>
      <c r="W856" s="23"/>
      <c r="X856" s="23"/>
      <c r="Y856" s="23"/>
      <c r="Z856" s="23"/>
      <c r="AA856" s="23"/>
      <c r="AB856" s="23"/>
    </row>
    <row r="857" spans="1:28" x14ac:dyDescent="0.25">
      <c r="A857" s="2"/>
      <c r="B857" s="2"/>
      <c r="C857" s="2"/>
      <c r="D857" s="22"/>
      <c r="E857" s="2"/>
      <c r="F857" s="2"/>
      <c r="G857" s="2"/>
      <c r="H857" s="2"/>
      <c r="I857" s="2"/>
      <c r="J857" s="2"/>
      <c r="K857" s="2"/>
      <c r="L857" s="2"/>
      <c r="M857" s="23"/>
      <c r="N857" s="31"/>
      <c r="O857" s="23"/>
      <c r="P857" s="30"/>
      <c r="Q857" s="23"/>
      <c r="R857" s="23"/>
      <c r="S857" s="23"/>
      <c r="T857" s="23"/>
      <c r="U857" s="23"/>
      <c r="V857" s="23"/>
      <c r="W857" s="23"/>
      <c r="X857" s="23"/>
      <c r="Y857" s="23"/>
      <c r="Z857" s="23"/>
      <c r="AA857" s="23"/>
      <c r="AB857" s="23"/>
    </row>
    <row r="858" spans="1:28" x14ac:dyDescent="0.25">
      <c r="A858" s="2"/>
      <c r="B858" s="2"/>
      <c r="C858" s="2"/>
      <c r="D858" s="22"/>
      <c r="E858" s="2"/>
      <c r="F858" s="2"/>
      <c r="G858" s="2"/>
      <c r="H858" s="2"/>
      <c r="I858" s="2"/>
      <c r="J858" s="2"/>
      <c r="K858" s="2"/>
      <c r="L858" s="2"/>
      <c r="M858" s="23"/>
      <c r="N858" s="31"/>
      <c r="O858" s="23"/>
      <c r="P858" s="30"/>
      <c r="Q858" s="23"/>
      <c r="R858" s="23"/>
      <c r="S858" s="23"/>
      <c r="T858" s="23"/>
      <c r="U858" s="23"/>
      <c r="V858" s="23"/>
      <c r="W858" s="23"/>
      <c r="X858" s="23"/>
      <c r="Y858" s="23"/>
      <c r="Z858" s="23"/>
      <c r="AA858" s="23"/>
      <c r="AB858" s="23"/>
    </row>
    <row r="859" spans="1:28" x14ac:dyDescent="0.25">
      <c r="A859" s="2"/>
      <c r="B859" s="2"/>
      <c r="C859" s="2"/>
      <c r="D859" s="22"/>
      <c r="E859" s="2"/>
      <c r="F859" s="2"/>
      <c r="G859" s="2"/>
      <c r="H859" s="2"/>
      <c r="I859" s="2"/>
      <c r="J859" s="2"/>
      <c r="K859" s="2"/>
      <c r="L859" s="2"/>
      <c r="M859" s="23"/>
      <c r="N859" s="31"/>
      <c r="O859" s="23"/>
      <c r="P859" s="30"/>
      <c r="Q859" s="23"/>
      <c r="R859" s="23"/>
      <c r="S859" s="23"/>
      <c r="T859" s="23"/>
      <c r="U859" s="23"/>
      <c r="V859" s="23"/>
      <c r="W859" s="23"/>
      <c r="X859" s="23"/>
      <c r="Y859" s="23"/>
      <c r="Z859" s="23"/>
      <c r="AA859" s="23"/>
      <c r="AB859" s="23"/>
    </row>
    <row r="860" spans="1:28" x14ac:dyDescent="0.25">
      <c r="A860" s="2"/>
      <c r="B860" s="2"/>
      <c r="C860" s="2"/>
      <c r="D860" s="22"/>
      <c r="E860" s="2"/>
      <c r="F860" s="2"/>
      <c r="G860" s="2"/>
      <c r="H860" s="2"/>
      <c r="I860" s="2"/>
      <c r="J860" s="2"/>
      <c r="K860" s="2"/>
      <c r="L860" s="2"/>
      <c r="M860" s="23"/>
      <c r="N860" s="31"/>
      <c r="O860" s="23"/>
      <c r="P860" s="30"/>
      <c r="Q860" s="23"/>
      <c r="R860" s="23"/>
      <c r="S860" s="23"/>
      <c r="T860" s="23"/>
      <c r="U860" s="23"/>
      <c r="V860" s="23"/>
      <c r="W860" s="23"/>
      <c r="X860" s="23"/>
      <c r="Y860" s="23"/>
      <c r="Z860" s="23"/>
      <c r="AA860" s="23"/>
      <c r="AB860" s="23"/>
    </row>
    <row r="861" spans="1:28" x14ac:dyDescent="0.25">
      <c r="A861" s="2"/>
      <c r="B861" s="2"/>
      <c r="C861" s="2"/>
      <c r="D861" s="22"/>
      <c r="E861" s="2"/>
      <c r="F861" s="2"/>
      <c r="G861" s="2"/>
      <c r="H861" s="2"/>
      <c r="I861" s="2"/>
      <c r="J861" s="2"/>
      <c r="K861" s="2"/>
      <c r="L861" s="2"/>
      <c r="M861" s="23"/>
      <c r="N861" s="31"/>
      <c r="O861" s="23"/>
      <c r="P861" s="30"/>
      <c r="Q861" s="23"/>
      <c r="R861" s="23"/>
      <c r="S861" s="23"/>
      <c r="T861" s="23"/>
      <c r="U861" s="23"/>
      <c r="V861" s="23"/>
      <c r="W861" s="23"/>
      <c r="X861" s="23"/>
      <c r="Y861" s="23"/>
      <c r="Z861" s="23"/>
      <c r="AA861" s="23"/>
      <c r="AB861" s="23"/>
    </row>
    <row r="862" spans="1:28" x14ac:dyDescent="0.25">
      <c r="A862" s="2"/>
      <c r="B862" s="2"/>
      <c r="C862" s="2"/>
      <c r="D862" s="22"/>
      <c r="E862" s="2"/>
      <c r="F862" s="2"/>
      <c r="G862" s="2"/>
      <c r="H862" s="2"/>
      <c r="I862" s="2"/>
      <c r="J862" s="2"/>
      <c r="K862" s="2"/>
      <c r="L862" s="2"/>
      <c r="M862" s="23"/>
      <c r="N862" s="31"/>
      <c r="O862" s="23"/>
      <c r="P862" s="30"/>
      <c r="Q862" s="23"/>
      <c r="R862" s="23"/>
      <c r="S862" s="23"/>
      <c r="T862" s="23"/>
      <c r="U862" s="23"/>
      <c r="V862" s="23"/>
      <c r="W862" s="23"/>
      <c r="X862" s="23"/>
      <c r="Y862" s="23"/>
      <c r="Z862" s="23"/>
      <c r="AA862" s="23"/>
      <c r="AB862" s="23"/>
    </row>
    <row r="863" spans="1:28" x14ac:dyDescent="0.25">
      <c r="A863" s="2"/>
      <c r="B863" s="2"/>
      <c r="C863" s="2"/>
      <c r="D863" s="22"/>
      <c r="E863" s="2"/>
      <c r="F863" s="2"/>
      <c r="G863" s="2"/>
      <c r="H863" s="2"/>
      <c r="I863" s="2"/>
      <c r="J863" s="2"/>
      <c r="K863" s="2"/>
      <c r="L863" s="2"/>
      <c r="M863" s="23"/>
      <c r="N863" s="31"/>
      <c r="O863" s="23"/>
      <c r="P863" s="30"/>
      <c r="Q863" s="23"/>
      <c r="R863" s="23"/>
      <c r="S863" s="23"/>
      <c r="T863" s="23"/>
      <c r="U863" s="23"/>
      <c r="V863" s="23"/>
      <c r="W863" s="23"/>
      <c r="X863" s="23"/>
      <c r="Y863" s="23"/>
      <c r="Z863" s="23"/>
      <c r="AA863" s="23"/>
      <c r="AB863" s="23"/>
    </row>
    <row r="864" spans="1:28" x14ac:dyDescent="0.25">
      <c r="A864" s="2"/>
      <c r="B864" s="2"/>
      <c r="C864" s="2"/>
      <c r="D864" s="22"/>
      <c r="E864" s="2"/>
      <c r="F864" s="2"/>
      <c r="G864" s="2"/>
      <c r="H864" s="2"/>
      <c r="I864" s="2"/>
      <c r="J864" s="2"/>
      <c r="K864" s="2"/>
      <c r="L864" s="2"/>
      <c r="M864" s="23"/>
      <c r="N864" s="31"/>
      <c r="O864" s="23"/>
      <c r="P864" s="30"/>
      <c r="Q864" s="23"/>
      <c r="R864" s="23"/>
      <c r="S864" s="23"/>
      <c r="T864" s="23"/>
      <c r="U864" s="23"/>
      <c r="V864" s="23"/>
      <c r="W864" s="23"/>
      <c r="X864" s="23"/>
      <c r="Y864" s="23"/>
      <c r="Z864" s="23"/>
      <c r="AA864" s="23"/>
      <c r="AB864" s="23"/>
    </row>
    <row r="865" spans="1:28" x14ac:dyDescent="0.25">
      <c r="A865" s="2"/>
      <c r="B865" s="2"/>
      <c r="C865" s="2"/>
      <c r="D865" s="22"/>
      <c r="E865" s="2"/>
      <c r="F865" s="2"/>
      <c r="G865" s="2"/>
      <c r="H865" s="2"/>
      <c r="I865" s="2"/>
      <c r="J865" s="2"/>
      <c r="K865" s="2"/>
      <c r="L865" s="2"/>
      <c r="M865" s="23"/>
      <c r="N865" s="31"/>
      <c r="O865" s="23"/>
      <c r="P865" s="30"/>
      <c r="Q865" s="23"/>
      <c r="R865" s="23"/>
      <c r="S865" s="23"/>
      <c r="T865" s="23"/>
      <c r="U865" s="23"/>
      <c r="V865" s="23"/>
      <c r="W865" s="23"/>
      <c r="X865" s="23"/>
      <c r="Y865" s="23"/>
      <c r="Z865" s="23"/>
      <c r="AA865" s="23"/>
      <c r="AB865" s="23"/>
    </row>
    <row r="866" spans="1:28" x14ac:dyDescent="0.25">
      <c r="A866" s="2"/>
      <c r="B866" s="2"/>
      <c r="C866" s="2"/>
      <c r="D866" s="22"/>
      <c r="E866" s="2"/>
      <c r="F866" s="2"/>
      <c r="G866" s="2"/>
      <c r="H866" s="2"/>
      <c r="I866" s="2"/>
      <c r="J866" s="2"/>
      <c r="K866" s="2"/>
      <c r="L866" s="2"/>
      <c r="M866" s="23"/>
      <c r="N866" s="31"/>
      <c r="O866" s="23"/>
      <c r="P866" s="30"/>
      <c r="Q866" s="23"/>
      <c r="R866" s="23"/>
      <c r="S866" s="23"/>
      <c r="T866" s="23"/>
      <c r="U866" s="23"/>
      <c r="V866" s="23"/>
      <c r="W866" s="23"/>
      <c r="X866" s="23"/>
      <c r="Y866" s="23"/>
      <c r="Z866" s="23"/>
      <c r="AA866" s="23"/>
      <c r="AB866" s="23"/>
    </row>
    <row r="867" spans="1:28" x14ac:dyDescent="0.25">
      <c r="A867" s="2"/>
      <c r="B867" s="2"/>
      <c r="C867" s="2"/>
      <c r="D867" s="22"/>
      <c r="E867" s="2"/>
      <c r="F867" s="2"/>
      <c r="G867" s="2"/>
      <c r="H867" s="2"/>
      <c r="I867" s="2"/>
      <c r="J867" s="2"/>
      <c r="K867" s="2"/>
      <c r="L867" s="2"/>
      <c r="M867" s="23"/>
      <c r="N867" s="31"/>
      <c r="O867" s="23"/>
      <c r="P867" s="30"/>
      <c r="Q867" s="23"/>
      <c r="R867" s="23"/>
      <c r="S867" s="23"/>
      <c r="T867" s="23"/>
      <c r="U867" s="23"/>
      <c r="V867" s="23"/>
      <c r="W867" s="23"/>
      <c r="X867" s="23"/>
      <c r="Y867" s="23"/>
      <c r="Z867" s="23"/>
      <c r="AA867" s="23"/>
      <c r="AB867" s="23"/>
    </row>
    <row r="868" spans="1:28" x14ac:dyDescent="0.25">
      <c r="A868" s="2"/>
      <c r="B868" s="2"/>
      <c r="C868" s="2"/>
      <c r="D868" s="22"/>
      <c r="E868" s="2"/>
      <c r="F868" s="2"/>
      <c r="G868" s="2"/>
      <c r="H868" s="2"/>
      <c r="I868" s="2"/>
      <c r="J868" s="2"/>
      <c r="K868" s="2"/>
      <c r="L868" s="2"/>
      <c r="M868" s="23"/>
      <c r="N868" s="31"/>
      <c r="O868" s="23"/>
      <c r="P868" s="30"/>
      <c r="Q868" s="23"/>
      <c r="R868" s="23"/>
      <c r="S868" s="23"/>
      <c r="T868" s="23"/>
      <c r="U868" s="23"/>
      <c r="V868" s="23"/>
      <c r="W868" s="23"/>
      <c r="X868" s="23"/>
      <c r="Y868" s="23"/>
      <c r="Z868" s="23"/>
      <c r="AA868" s="23"/>
      <c r="AB868" s="23"/>
    </row>
    <row r="869" spans="1:28" x14ac:dyDescent="0.25">
      <c r="A869" s="2"/>
      <c r="B869" s="2"/>
      <c r="C869" s="2"/>
      <c r="D869" s="22"/>
      <c r="E869" s="2"/>
      <c r="F869" s="2"/>
      <c r="G869" s="2"/>
      <c r="H869" s="2"/>
      <c r="I869" s="2"/>
      <c r="J869" s="2"/>
      <c r="K869" s="2"/>
      <c r="L869" s="2"/>
      <c r="M869" s="23"/>
      <c r="N869" s="31"/>
      <c r="O869" s="23"/>
      <c r="P869" s="30"/>
      <c r="Q869" s="23"/>
      <c r="R869" s="23"/>
      <c r="S869" s="23"/>
      <c r="T869" s="23"/>
      <c r="U869" s="23"/>
      <c r="V869" s="23"/>
      <c r="W869" s="23"/>
      <c r="X869" s="23"/>
      <c r="Y869" s="23"/>
      <c r="Z869" s="23"/>
      <c r="AA869" s="23"/>
      <c r="AB869" s="23"/>
    </row>
    <row r="870" spans="1:28" x14ac:dyDescent="0.25">
      <c r="A870" s="2"/>
      <c r="B870" s="2"/>
      <c r="C870" s="2"/>
      <c r="D870" s="22"/>
      <c r="E870" s="2"/>
      <c r="F870" s="2"/>
      <c r="G870" s="2"/>
      <c r="H870" s="2"/>
      <c r="I870" s="2"/>
      <c r="J870" s="2"/>
      <c r="K870" s="2"/>
      <c r="L870" s="2"/>
      <c r="M870" s="23"/>
      <c r="N870" s="31"/>
      <c r="O870" s="23"/>
      <c r="P870" s="30"/>
      <c r="Q870" s="23"/>
      <c r="R870" s="23"/>
      <c r="S870" s="23"/>
      <c r="T870" s="23"/>
      <c r="U870" s="23"/>
      <c r="V870" s="23"/>
      <c r="W870" s="23"/>
      <c r="X870" s="23"/>
      <c r="Y870" s="23"/>
      <c r="Z870" s="23"/>
      <c r="AA870" s="23"/>
      <c r="AB870" s="23"/>
    </row>
    <row r="871" spans="1:28" x14ac:dyDescent="0.25">
      <c r="A871" s="2"/>
      <c r="B871" s="2"/>
      <c r="C871" s="2"/>
      <c r="D871" s="22"/>
      <c r="E871" s="2"/>
      <c r="F871" s="2"/>
      <c r="G871" s="2"/>
      <c r="H871" s="2"/>
      <c r="I871" s="2"/>
      <c r="J871" s="2"/>
      <c r="K871" s="2"/>
      <c r="L871" s="2"/>
      <c r="M871" s="23"/>
      <c r="N871" s="31"/>
      <c r="O871" s="23"/>
      <c r="P871" s="30"/>
      <c r="Q871" s="23"/>
      <c r="R871" s="23"/>
      <c r="S871" s="23"/>
      <c r="T871" s="23"/>
      <c r="U871" s="23"/>
      <c r="V871" s="23"/>
      <c r="W871" s="23"/>
      <c r="X871" s="23"/>
      <c r="Y871" s="23"/>
      <c r="Z871" s="23"/>
      <c r="AA871" s="23"/>
      <c r="AB871" s="23"/>
    </row>
    <row r="872" spans="1:28" x14ac:dyDescent="0.25">
      <c r="A872" s="2"/>
      <c r="B872" s="2"/>
      <c r="C872" s="2"/>
      <c r="D872" s="22"/>
      <c r="E872" s="2"/>
      <c r="F872" s="2"/>
      <c r="G872" s="2"/>
      <c r="H872" s="2"/>
      <c r="I872" s="2"/>
      <c r="J872" s="2"/>
      <c r="K872" s="2"/>
      <c r="L872" s="2"/>
      <c r="M872" s="23"/>
      <c r="N872" s="31"/>
      <c r="O872" s="23"/>
      <c r="P872" s="30"/>
      <c r="Q872" s="23"/>
      <c r="R872" s="23"/>
      <c r="S872" s="23"/>
      <c r="T872" s="23"/>
      <c r="U872" s="23"/>
      <c r="V872" s="23"/>
      <c r="W872" s="23"/>
      <c r="X872" s="23"/>
      <c r="Y872" s="23"/>
      <c r="Z872" s="23"/>
      <c r="AA872" s="23"/>
      <c r="AB872" s="23"/>
    </row>
    <row r="873" spans="1:28" x14ac:dyDescent="0.25">
      <c r="A873" s="2"/>
      <c r="B873" s="2"/>
      <c r="C873" s="2"/>
      <c r="D873" s="22"/>
      <c r="E873" s="2"/>
      <c r="F873" s="2"/>
      <c r="G873" s="2"/>
      <c r="H873" s="2"/>
      <c r="I873" s="2"/>
      <c r="J873" s="2"/>
      <c r="K873" s="2"/>
      <c r="L873" s="2"/>
      <c r="M873" s="23"/>
      <c r="N873" s="31"/>
      <c r="O873" s="23"/>
      <c r="P873" s="30"/>
      <c r="Q873" s="23"/>
      <c r="R873" s="23"/>
      <c r="S873" s="23"/>
      <c r="T873" s="23"/>
      <c r="U873" s="23"/>
      <c r="V873" s="23"/>
      <c r="W873" s="23"/>
      <c r="X873" s="23"/>
      <c r="Y873" s="23"/>
      <c r="Z873" s="23"/>
      <c r="AA873" s="23"/>
      <c r="AB873" s="23"/>
    </row>
    <row r="874" spans="1:28" x14ac:dyDescent="0.25">
      <c r="A874" s="2"/>
      <c r="B874" s="2"/>
      <c r="C874" s="2"/>
      <c r="D874" s="22"/>
      <c r="E874" s="2"/>
      <c r="F874" s="2"/>
      <c r="G874" s="2"/>
      <c r="H874" s="2"/>
      <c r="I874" s="2"/>
      <c r="J874" s="2"/>
      <c r="K874" s="2"/>
      <c r="L874" s="2"/>
      <c r="M874" s="23"/>
      <c r="N874" s="31"/>
      <c r="O874" s="23"/>
      <c r="P874" s="30"/>
      <c r="Q874" s="23"/>
      <c r="R874" s="23"/>
      <c r="S874" s="23"/>
      <c r="T874" s="23"/>
      <c r="U874" s="23"/>
      <c r="V874" s="23"/>
      <c r="W874" s="23"/>
      <c r="X874" s="23"/>
      <c r="Y874" s="23"/>
      <c r="Z874" s="23"/>
      <c r="AA874" s="23"/>
      <c r="AB874" s="23"/>
    </row>
    <row r="875" spans="1:28" x14ac:dyDescent="0.25">
      <c r="A875" s="2"/>
      <c r="B875" s="2"/>
      <c r="C875" s="2"/>
      <c r="D875" s="22"/>
      <c r="E875" s="2"/>
      <c r="F875" s="2"/>
      <c r="G875" s="2"/>
      <c r="H875" s="2"/>
      <c r="I875" s="2"/>
      <c r="J875" s="2"/>
      <c r="K875" s="2"/>
      <c r="L875" s="2"/>
      <c r="M875" s="23"/>
      <c r="N875" s="31"/>
      <c r="O875" s="23"/>
      <c r="P875" s="30"/>
      <c r="Q875" s="23"/>
      <c r="R875" s="23"/>
      <c r="S875" s="23"/>
      <c r="T875" s="23"/>
      <c r="U875" s="23"/>
      <c r="V875" s="23"/>
      <c r="W875" s="23"/>
      <c r="X875" s="23"/>
      <c r="Y875" s="23"/>
      <c r="Z875" s="23"/>
      <c r="AA875" s="23"/>
      <c r="AB875" s="23"/>
    </row>
    <row r="876" spans="1:28" x14ac:dyDescent="0.25">
      <c r="A876" s="2"/>
      <c r="B876" s="2"/>
      <c r="C876" s="2"/>
      <c r="D876" s="22"/>
      <c r="E876" s="2"/>
      <c r="F876" s="2"/>
      <c r="G876" s="2"/>
      <c r="H876" s="2"/>
      <c r="I876" s="2"/>
      <c r="J876" s="2"/>
      <c r="K876" s="2"/>
      <c r="L876" s="2"/>
      <c r="M876" s="23"/>
      <c r="N876" s="31"/>
      <c r="O876" s="23"/>
      <c r="P876" s="30"/>
      <c r="Q876" s="23"/>
      <c r="R876" s="23"/>
      <c r="S876" s="23"/>
      <c r="T876" s="23"/>
      <c r="U876" s="23"/>
      <c r="V876" s="23"/>
      <c r="W876" s="23"/>
      <c r="X876" s="23"/>
      <c r="Y876" s="23"/>
      <c r="Z876" s="23"/>
      <c r="AA876" s="23"/>
      <c r="AB876" s="23"/>
    </row>
    <row r="877" spans="1:28" x14ac:dyDescent="0.25">
      <c r="A877" s="2"/>
      <c r="B877" s="2"/>
      <c r="C877" s="2"/>
      <c r="D877" s="22"/>
      <c r="E877" s="2"/>
      <c r="F877" s="2"/>
      <c r="G877" s="2"/>
      <c r="H877" s="2"/>
      <c r="I877" s="2"/>
      <c r="J877" s="2"/>
      <c r="K877" s="2"/>
      <c r="L877" s="2"/>
      <c r="M877" s="23"/>
      <c r="N877" s="31"/>
      <c r="O877" s="23"/>
      <c r="P877" s="30"/>
      <c r="Q877" s="23"/>
      <c r="R877" s="23"/>
      <c r="S877" s="23"/>
      <c r="T877" s="23"/>
      <c r="U877" s="23"/>
      <c r="V877" s="23"/>
      <c r="W877" s="23"/>
      <c r="X877" s="23"/>
      <c r="Y877" s="23"/>
      <c r="Z877" s="23"/>
      <c r="AA877" s="23"/>
      <c r="AB877" s="23"/>
    </row>
    <row r="878" spans="1:28" x14ac:dyDescent="0.25">
      <c r="A878" s="2"/>
      <c r="B878" s="2"/>
      <c r="C878" s="2"/>
      <c r="D878" s="22"/>
      <c r="E878" s="2"/>
      <c r="F878" s="2"/>
      <c r="G878" s="2"/>
      <c r="H878" s="2"/>
      <c r="I878" s="2"/>
      <c r="J878" s="2"/>
      <c r="K878" s="2"/>
      <c r="L878" s="2"/>
      <c r="M878" s="23"/>
      <c r="N878" s="31"/>
      <c r="O878" s="23"/>
      <c r="P878" s="30"/>
      <c r="Q878" s="23"/>
      <c r="R878" s="23"/>
      <c r="S878" s="23"/>
      <c r="T878" s="23"/>
      <c r="U878" s="23"/>
      <c r="V878" s="23"/>
      <c r="W878" s="23"/>
      <c r="X878" s="23"/>
      <c r="Y878" s="23"/>
      <c r="Z878" s="23"/>
      <c r="AA878" s="23"/>
      <c r="AB878" s="23"/>
    </row>
    <row r="879" spans="1:28" x14ac:dyDescent="0.25">
      <c r="A879" s="2"/>
      <c r="B879" s="2"/>
      <c r="C879" s="2"/>
      <c r="D879" s="22"/>
      <c r="E879" s="2"/>
      <c r="F879" s="2"/>
      <c r="G879" s="2"/>
      <c r="H879" s="2"/>
      <c r="I879" s="2"/>
      <c r="J879" s="2"/>
      <c r="K879" s="2"/>
      <c r="L879" s="2"/>
      <c r="M879" s="23"/>
      <c r="N879" s="31"/>
      <c r="O879" s="23"/>
      <c r="P879" s="30"/>
      <c r="Q879" s="23"/>
      <c r="R879" s="23"/>
      <c r="S879" s="23"/>
      <c r="T879" s="23"/>
      <c r="U879" s="23"/>
      <c r="V879" s="23"/>
      <c r="W879" s="23"/>
      <c r="X879" s="23"/>
      <c r="Y879" s="23"/>
      <c r="Z879" s="23"/>
      <c r="AA879" s="23"/>
      <c r="AB879" s="23"/>
    </row>
    <row r="880" spans="1:28" x14ac:dyDescent="0.25">
      <c r="A880" s="2"/>
      <c r="B880" s="2"/>
      <c r="C880" s="2"/>
      <c r="D880" s="22"/>
      <c r="E880" s="2"/>
      <c r="F880" s="2"/>
      <c r="G880" s="2"/>
      <c r="H880" s="2"/>
      <c r="I880" s="2"/>
      <c r="J880" s="2"/>
      <c r="K880" s="2"/>
      <c r="L880" s="2"/>
      <c r="M880" s="23"/>
      <c r="N880" s="31"/>
      <c r="O880" s="23"/>
      <c r="P880" s="30"/>
      <c r="Q880" s="23"/>
      <c r="R880" s="23"/>
      <c r="S880" s="23"/>
      <c r="T880" s="23"/>
      <c r="U880" s="23"/>
      <c r="V880" s="23"/>
      <c r="W880" s="23"/>
      <c r="X880" s="23"/>
      <c r="Y880" s="23"/>
      <c r="Z880" s="23"/>
      <c r="AA880" s="23"/>
      <c r="AB880" s="23"/>
    </row>
    <row r="881" spans="1:28" x14ac:dyDescent="0.25">
      <c r="A881" s="2"/>
      <c r="B881" s="2"/>
      <c r="C881" s="2"/>
      <c r="D881" s="22"/>
      <c r="E881" s="2"/>
      <c r="F881" s="2"/>
      <c r="G881" s="2"/>
      <c r="H881" s="2"/>
      <c r="I881" s="2"/>
      <c r="J881" s="2"/>
      <c r="K881" s="2"/>
      <c r="L881" s="2"/>
      <c r="M881" s="23"/>
      <c r="N881" s="31"/>
      <c r="O881" s="23"/>
      <c r="P881" s="30"/>
      <c r="Q881" s="23"/>
      <c r="R881" s="23"/>
      <c r="S881" s="23"/>
      <c r="T881" s="23"/>
      <c r="U881" s="23"/>
      <c r="V881" s="23"/>
      <c r="W881" s="23"/>
      <c r="X881" s="23"/>
      <c r="Y881" s="23"/>
      <c r="Z881" s="23"/>
      <c r="AA881" s="23"/>
      <c r="AB881" s="23"/>
    </row>
    <row r="882" spans="1:28" x14ac:dyDescent="0.25">
      <c r="A882" s="2"/>
      <c r="B882" s="2"/>
      <c r="C882" s="2"/>
      <c r="D882" s="22"/>
      <c r="E882" s="2"/>
      <c r="F882" s="2"/>
      <c r="G882" s="2"/>
      <c r="H882" s="2"/>
      <c r="I882" s="2"/>
      <c r="J882" s="2"/>
      <c r="K882" s="2"/>
      <c r="L882" s="2"/>
      <c r="M882" s="23"/>
      <c r="N882" s="31"/>
      <c r="O882" s="23"/>
      <c r="P882" s="30"/>
      <c r="Q882" s="23"/>
      <c r="R882" s="23"/>
      <c r="S882" s="23"/>
      <c r="T882" s="23"/>
      <c r="U882" s="23"/>
      <c r="V882" s="23"/>
      <c r="W882" s="23"/>
      <c r="X882" s="23"/>
      <c r="Y882" s="23"/>
      <c r="Z882" s="23"/>
      <c r="AA882" s="23"/>
      <c r="AB882" s="23"/>
    </row>
    <row r="883" spans="1:28" x14ac:dyDescent="0.25">
      <c r="A883" s="2"/>
      <c r="B883" s="2"/>
      <c r="C883" s="2"/>
      <c r="D883" s="22"/>
      <c r="E883" s="2"/>
      <c r="F883" s="2"/>
      <c r="G883" s="2"/>
      <c r="H883" s="2"/>
      <c r="I883" s="2"/>
      <c r="J883" s="2"/>
      <c r="K883" s="2"/>
      <c r="L883" s="2"/>
      <c r="M883" s="23"/>
      <c r="N883" s="31"/>
      <c r="O883" s="23"/>
      <c r="P883" s="30"/>
      <c r="Q883" s="23"/>
      <c r="R883" s="23"/>
      <c r="S883" s="23"/>
      <c r="T883" s="23"/>
      <c r="U883" s="23"/>
      <c r="V883" s="23"/>
      <c r="W883" s="23"/>
      <c r="X883" s="23"/>
      <c r="Y883" s="23"/>
      <c r="Z883" s="23"/>
      <c r="AA883" s="23"/>
      <c r="AB883" s="23"/>
    </row>
    <row r="884" spans="1:28" x14ac:dyDescent="0.25">
      <c r="A884" s="2"/>
      <c r="B884" s="2"/>
      <c r="C884" s="2"/>
      <c r="D884" s="22"/>
      <c r="E884" s="2"/>
      <c r="F884" s="2"/>
      <c r="G884" s="2"/>
      <c r="H884" s="2"/>
      <c r="I884" s="2"/>
      <c r="J884" s="2"/>
      <c r="K884" s="2"/>
      <c r="L884" s="2"/>
      <c r="M884" s="23"/>
      <c r="N884" s="31"/>
      <c r="O884" s="23"/>
      <c r="P884" s="30"/>
      <c r="Q884" s="23"/>
      <c r="R884" s="23"/>
      <c r="S884" s="23"/>
      <c r="T884" s="23"/>
      <c r="U884" s="23"/>
      <c r="V884" s="23"/>
      <c r="W884" s="23"/>
      <c r="X884" s="23"/>
      <c r="Y884" s="23"/>
      <c r="Z884" s="23"/>
      <c r="AA884" s="23"/>
      <c r="AB884" s="23"/>
    </row>
    <row r="885" spans="1:28" x14ac:dyDescent="0.25">
      <c r="A885" s="2"/>
      <c r="B885" s="2"/>
      <c r="C885" s="2"/>
      <c r="D885" s="22"/>
      <c r="E885" s="2"/>
      <c r="F885" s="2"/>
      <c r="G885" s="2"/>
      <c r="H885" s="2"/>
      <c r="I885" s="2"/>
      <c r="J885" s="2"/>
      <c r="K885" s="2"/>
      <c r="L885" s="2"/>
      <c r="M885" s="23"/>
      <c r="N885" s="31"/>
      <c r="O885" s="23"/>
      <c r="P885" s="30"/>
      <c r="Q885" s="23"/>
      <c r="R885" s="23"/>
      <c r="S885" s="23"/>
      <c r="T885" s="23"/>
      <c r="U885" s="23"/>
      <c r="V885" s="23"/>
      <c r="W885" s="23"/>
      <c r="X885" s="23"/>
      <c r="Y885" s="23"/>
      <c r="Z885" s="23"/>
      <c r="AA885" s="23"/>
      <c r="AB885" s="23"/>
    </row>
    <row r="886" spans="1:28" x14ac:dyDescent="0.25">
      <c r="A886" s="2"/>
      <c r="B886" s="2"/>
      <c r="C886" s="2"/>
      <c r="D886" s="22"/>
      <c r="E886" s="2"/>
      <c r="F886" s="2"/>
      <c r="G886" s="2"/>
      <c r="H886" s="2"/>
      <c r="I886" s="2"/>
      <c r="J886" s="2"/>
      <c r="K886" s="2"/>
      <c r="L886" s="2"/>
      <c r="M886" s="23"/>
      <c r="N886" s="31"/>
      <c r="O886" s="23"/>
      <c r="P886" s="30"/>
      <c r="Q886" s="23"/>
      <c r="R886" s="23"/>
      <c r="S886" s="23"/>
      <c r="T886" s="23"/>
      <c r="U886" s="23"/>
      <c r="V886" s="23"/>
      <c r="W886" s="23"/>
      <c r="X886" s="23"/>
      <c r="Y886" s="23"/>
      <c r="Z886" s="23"/>
      <c r="AA886" s="23"/>
      <c r="AB886" s="23"/>
    </row>
    <row r="887" spans="1:28" x14ac:dyDescent="0.25">
      <c r="A887" s="2"/>
      <c r="B887" s="2"/>
      <c r="C887" s="2"/>
      <c r="D887" s="22"/>
      <c r="E887" s="2"/>
      <c r="F887" s="2"/>
      <c r="G887" s="2"/>
      <c r="H887" s="2"/>
      <c r="I887" s="2"/>
      <c r="J887" s="2"/>
      <c r="K887" s="2"/>
      <c r="L887" s="2"/>
      <c r="M887" s="23"/>
      <c r="N887" s="31"/>
      <c r="O887" s="23"/>
      <c r="P887" s="30"/>
      <c r="Q887" s="23"/>
      <c r="R887" s="23"/>
      <c r="S887" s="23"/>
      <c r="T887" s="23"/>
      <c r="U887" s="23"/>
      <c r="V887" s="23"/>
      <c r="W887" s="23"/>
      <c r="X887" s="23"/>
      <c r="Y887" s="23"/>
      <c r="Z887" s="23"/>
      <c r="AA887" s="23"/>
      <c r="AB887" s="23"/>
    </row>
    <row r="888" spans="1:28" x14ac:dyDescent="0.25">
      <c r="A888" s="2"/>
      <c r="B888" s="2"/>
      <c r="C888" s="2"/>
      <c r="D888" s="22"/>
      <c r="E888" s="2"/>
      <c r="F888" s="2"/>
      <c r="G888" s="2"/>
      <c r="H888" s="2"/>
      <c r="I888" s="2"/>
      <c r="J888" s="2"/>
      <c r="K888" s="2"/>
      <c r="L888" s="2"/>
      <c r="M888" s="23"/>
      <c r="N888" s="31"/>
      <c r="O888" s="23"/>
      <c r="P888" s="30"/>
      <c r="Q888" s="23"/>
      <c r="R888" s="23"/>
      <c r="S888" s="23"/>
      <c r="T888" s="23"/>
      <c r="U888" s="23"/>
      <c r="V888" s="23"/>
      <c r="W888" s="23"/>
      <c r="X888" s="23"/>
      <c r="Y888" s="23"/>
      <c r="Z888" s="23"/>
      <c r="AA888" s="23"/>
      <c r="AB888" s="23"/>
    </row>
    <row r="889" spans="1:28" x14ac:dyDescent="0.25">
      <c r="A889" s="2"/>
      <c r="B889" s="2"/>
      <c r="C889" s="2"/>
      <c r="D889" s="22"/>
      <c r="E889" s="2"/>
      <c r="F889" s="2"/>
      <c r="G889" s="2"/>
      <c r="H889" s="2"/>
      <c r="I889" s="2"/>
      <c r="J889" s="2"/>
      <c r="K889" s="2"/>
      <c r="L889" s="2"/>
      <c r="M889" s="23"/>
      <c r="N889" s="31"/>
      <c r="O889" s="23"/>
      <c r="P889" s="30"/>
      <c r="Q889" s="23"/>
      <c r="R889" s="23"/>
      <c r="S889" s="23"/>
      <c r="T889" s="23"/>
      <c r="U889" s="23"/>
      <c r="V889" s="23"/>
      <c r="W889" s="23"/>
      <c r="X889" s="23"/>
      <c r="Y889" s="23"/>
      <c r="Z889" s="23"/>
      <c r="AA889" s="23"/>
      <c r="AB889" s="23"/>
    </row>
    <row r="890" spans="1:28" x14ac:dyDescent="0.25">
      <c r="A890" s="2"/>
      <c r="B890" s="2"/>
      <c r="C890" s="2"/>
      <c r="D890" s="22"/>
      <c r="E890" s="2"/>
      <c r="F890" s="2"/>
      <c r="G890" s="2"/>
      <c r="H890" s="2"/>
      <c r="I890" s="2"/>
      <c r="J890" s="2"/>
      <c r="K890" s="2"/>
      <c r="L890" s="2"/>
      <c r="M890" s="23"/>
      <c r="N890" s="31"/>
      <c r="O890" s="23"/>
      <c r="P890" s="30"/>
      <c r="Q890" s="23"/>
      <c r="R890" s="23"/>
      <c r="S890" s="23"/>
      <c r="T890" s="23"/>
      <c r="U890" s="23"/>
      <c r="V890" s="23"/>
      <c r="W890" s="23"/>
      <c r="X890" s="23"/>
      <c r="Y890" s="23"/>
      <c r="Z890" s="23"/>
      <c r="AA890" s="23"/>
      <c r="AB890" s="23"/>
    </row>
    <row r="891" spans="1:28" x14ac:dyDescent="0.25">
      <c r="A891" s="2"/>
      <c r="B891" s="2"/>
      <c r="C891" s="2"/>
      <c r="D891" s="22"/>
      <c r="E891" s="2"/>
      <c r="F891" s="2"/>
      <c r="G891" s="2"/>
      <c r="H891" s="2"/>
      <c r="I891" s="2"/>
      <c r="J891" s="2"/>
      <c r="K891" s="2"/>
      <c r="L891" s="2"/>
      <c r="M891" s="23"/>
      <c r="N891" s="31"/>
      <c r="O891" s="23"/>
      <c r="P891" s="30"/>
      <c r="Q891" s="23"/>
      <c r="R891" s="23"/>
      <c r="S891" s="23"/>
      <c r="T891" s="23"/>
      <c r="U891" s="23"/>
      <c r="V891" s="23"/>
      <c r="W891" s="23"/>
      <c r="X891" s="23"/>
      <c r="Y891" s="23"/>
      <c r="Z891" s="23"/>
      <c r="AA891" s="23"/>
      <c r="AB891" s="23"/>
    </row>
    <row r="892" spans="1:28" x14ac:dyDescent="0.25">
      <c r="A892" s="2"/>
      <c r="B892" s="2"/>
      <c r="C892" s="2"/>
      <c r="D892" s="22"/>
      <c r="E892" s="2"/>
      <c r="F892" s="2"/>
      <c r="G892" s="2"/>
      <c r="H892" s="2"/>
      <c r="I892" s="2"/>
      <c r="J892" s="2"/>
      <c r="K892" s="2"/>
      <c r="L892" s="2"/>
      <c r="M892" s="23"/>
      <c r="N892" s="31"/>
      <c r="O892" s="23"/>
      <c r="P892" s="30"/>
      <c r="Q892" s="23"/>
      <c r="R892" s="23"/>
      <c r="S892" s="23"/>
      <c r="T892" s="23"/>
      <c r="U892" s="23"/>
      <c r="V892" s="23"/>
      <c r="W892" s="23"/>
      <c r="X892" s="23"/>
      <c r="Y892" s="23"/>
      <c r="Z892" s="23"/>
      <c r="AA892" s="23"/>
      <c r="AB892" s="23"/>
    </row>
    <row r="893" spans="1:28" x14ac:dyDescent="0.25">
      <c r="A893" s="2"/>
      <c r="B893" s="2"/>
      <c r="C893" s="2"/>
      <c r="D893" s="22"/>
      <c r="E893" s="2"/>
      <c r="F893" s="2"/>
      <c r="G893" s="2"/>
      <c r="H893" s="2"/>
      <c r="I893" s="2"/>
      <c r="J893" s="2"/>
      <c r="K893" s="2"/>
      <c r="L893" s="2"/>
      <c r="M893" s="23"/>
      <c r="N893" s="31"/>
      <c r="O893" s="23"/>
      <c r="P893" s="30"/>
      <c r="Q893" s="23"/>
      <c r="R893" s="23"/>
      <c r="S893" s="23"/>
      <c r="T893" s="23"/>
      <c r="U893" s="23"/>
      <c r="V893" s="23"/>
      <c r="W893" s="23"/>
      <c r="X893" s="23"/>
      <c r="Y893" s="23"/>
      <c r="Z893" s="23"/>
      <c r="AA893" s="23"/>
      <c r="AB893" s="23"/>
    </row>
    <row r="894" spans="1:28" x14ac:dyDescent="0.25">
      <c r="A894" s="2"/>
      <c r="B894" s="2"/>
      <c r="C894" s="2"/>
      <c r="D894" s="22"/>
      <c r="E894" s="2"/>
      <c r="F894" s="2"/>
      <c r="G894" s="2"/>
      <c r="H894" s="2"/>
      <c r="I894" s="2"/>
      <c r="J894" s="2"/>
      <c r="K894" s="2"/>
      <c r="L894" s="2"/>
      <c r="M894" s="23"/>
      <c r="N894" s="31"/>
      <c r="O894" s="23"/>
      <c r="P894" s="30"/>
      <c r="Q894" s="23"/>
      <c r="R894" s="23"/>
      <c r="S894" s="23"/>
      <c r="T894" s="23"/>
      <c r="U894" s="23"/>
      <c r="V894" s="23"/>
      <c r="W894" s="23"/>
      <c r="X894" s="23"/>
      <c r="Y894" s="23"/>
      <c r="Z894" s="23"/>
      <c r="AA894" s="23"/>
      <c r="AB894" s="23"/>
    </row>
    <row r="895" spans="1:28" x14ac:dyDescent="0.25">
      <c r="A895" s="2"/>
      <c r="B895" s="2"/>
      <c r="C895" s="2"/>
      <c r="D895" s="22"/>
      <c r="E895" s="2"/>
      <c r="F895" s="2"/>
      <c r="G895" s="2"/>
      <c r="H895" s="2"/>
      <c r="I895" s="2"/>
      <c r="J895" s="2"/>
      <c r="K895" s="2"/>
      <c r="L895" s="2"/>
      <c r="M895" s="23"/>
      <c r="N895" s="31"/>
      <c r="O895" s="23"/>
      <c r="P895" s="30"/>
      <c r="Q895" s="23"/>
      <c r="R895" s="23"/>
      <c r="S895" s="23"/>
      <c r="T895" s="23"/>
      <c r="U895" s="23"/>
      <c r="V895" s="23"/>
      <c r="W895" s="23"/>
      <c r="X895" s="23"/>
      <c r="Y895" s="23"/>
      <c r="Z895" s="23"/>
      <c r="AA895" s="23"/>
      <c r="AB895" s="23"/>
    </row>
    <row r="896" spans="1:28" x14ac:dyDescent="0.25">
      <c r="A896" s="2"/>
      <c r="B896" s="2"/>
      <c r="C896" s="2"/>
      <c r="D896" s="22"/>
      <c r="E896" s="2"/>
      <c r="F896" s="2"/>
      <c r="G896" s="2"/>
      <c r="H896" s="2"/>
      <c r="I896" s="2"/>
      <c r="J896" s="2"/>
      <c r="K896" s="2"/>
      <c r="L896" s="2"/>
      <c r="M896" s="23"/>
      <c r="N896" s="31"/>
      <c r="O896" s="23"/>
      <c r="P896" s="30"/>
      <c r="Q896" s="23"/>
      <c r="R896" s="23"/>
      <c r="S896" s="23"/>
      <c r="T896" s="23"/>
      <c r="U896" s="23"/>
      <c r="V896" s="23"/>
      <c r="W896" s="23"/>
      <c r="X896" s="23"/>
      <c r="Y896" s="23"/>
      <c r="Z896" s="23"/>
      <c r="AA896" s="23"/>
      <c r="AB896" s="23"/>
    </row>
    <row r="897" spans="1:28" x14ac:dyDescent="0.25">
      <c r="A897" s="2"/>
      <c r="B897" s="2"/>
      <c r="C897" s="2"/>
      <c r="D897" s="22"/>
      <c r="E897" s="2"/>
      <c r="F897" s="2"/>
      <c r="G897" s="2"/>
      <c r="H897" s="2"/>
      <c r="I897" s="2"/>
      <c r="J897" s="2"/>
      <c r="K897" s="2"/>
      <c r="L897" s="2"/>
      <c r="M897" s="23"/>
      <c r="N897" s="31"/>
      <c r="O897" s="23"/>
      <c r="P897" s="30"/>
      <c r="Q897" s="23"/>
      <c r="R897" s="23"/>
      <c r="S897" s="23"/>
      <c r="T897" s="23"/>
      <c r="U897" s="23"/>
      <c r="V897" s="23"/>
      <c r="W897" s="23"/>
      <c r="X897" s="23"/>
      <c r="Y897" s="23"/>
      <c r="Z897" s="23"/>
      <c r="AA897" s="23"/>
      <c r="AB897" s="23"/>
    </row>
    <row r="898" spans="1:28" x14ac:dyDescent="0.25">
      <c r="A898" s="2"/>
      <c r="B898" s="2"/>
      <c r="C898" s="2"/>
      <c r="D898" s="22"/>
      <c r="E898" s="2"/>
      <c r="F898" s="2"/>
      <c r="G898" s="2"/>
      <c r="H898" s="2"/>
      <c r="I898" s="2"/>
      <c r="J898" s="2"/>
      <c r="K898" s="2"/>
      <c r="L898" s="2"/>
      <c r="M898" s="23"/>
      <c r="N898" s="31"/>
      <c r="O898" s="23"/>
      <c r="P898" s="30"/>
      <c r="Q898" s="23"/>
      <c r="R898" s="23"/>
      <c r="S898" s="23"/>
      <c r="T898" s="23"/>
      <c r="U898" s="23"/>
      <c r="V898" s="23"/>
      <c r="W898" s="23"/>
      <c r="X898" s="23"/>
      <c r="Y898" s="23"/>
      <c r="Z898" s="23"/>
      <c r="AA898" s="23"/>
      <c r="AB898" s="23"/>
    </row>
    <row r="899" spans="1:28" x14ac:dyDescent="0.25">
      <c r="A899" s="2"/>
      <c r="B899" s="2"/>
      <c r="C899" s="2"/>
      <c r="D899" s="22"/>
      <c r="E899" s="2"/>
      <c r="F899" s="2"/>
      <c r="G899" s="2"/>
      <c r="H899" s="2"/>
      <c r="I899" s="2"/>
      <c r="J899" s="2"/>
      <c r="K899" s="2"/>
      <c r="L899" s="2"/>
      <c r="M899" s="23"/>
      <c r="N899" s="31"/>
      <c r="O899" s="23"/>
      <c r="P899" s="30"/>
      <c r="Q899" s="23"/>
      <c r="R899" s="23"/>
      <c r="S899" s="23"/>
      <c r="T899" s="23"/>
      <c r="U899" s="23"/>
      <c r="V899" s="23"/>
      <c r="W899" s="23"/>
      <c r="X899" s="23"/>
      <c r="Y899" s="23"/>
      <c r="Z899" s="23"/>
      <c r="AA899" s="23"/>
      <c r="AB899" s="23"/>
    </row>
    <row r="900" spans="1:28" x14ac:dyDescent="0.25">
      <c r="A900" s="2"/>
      <c r="B900" s="2"/>
      <c r="C900" s="2"/>
      <c r="D900" s="22"/>
      <c r="E900" s="2"/>
      <c r="F900" s="2"/>
      <c r="G900" s="2"/>
      <c r="H900" s="2"/>
      <c r="I900" s="2"/>
      <c r="J900" s="2"/>
      <c r="K900" s="2"/>
      <c r="L900" s="2"/>
      <c r="M900" s="23"/>
      <c r="N900" s="31"/>
      <c r="O900" s="23"/>
      <c r="P900" s="30"/>
      <c r="Q900" s="23"/>
      <c r="R900" s="23"/>
      <c r="S900" s="23"/>
      <c r="T900" s="23"/>
      <c r="U900" s="23"/>
      <c r="V900" s="23"/>
      <c r="W900" s="23"/>
      <c r="X900" s="23"/>
      <c r="Y900" s="23"/>
      <c r="Z900" s="23"/>
      <c r="AA900" s="23"/>
      <c r="AB900" s="23"/>
    </row>
    <row r="901" spans="1:28" x14ac:dyDescent="0.25">
      <c r="A901" s="2"/>
      <c r="B901" s="2"/>
      <c r="C901" s="2"/>
      <c r="D901" s="22"/>
      <c r="E901" s="2"/>
      <c r="F901" s="2"/>
      <c r="G901" s="2"/>
      <c r="H901" s="2"/>
      <c r="I901" s="2"/>
      <c r="J901" s="2"/>
      <c r="K901" s="2"/>
      <c r="L901" s="2"/>
      <c r="M901" s="23"/>
      <c r="N901" s="31"/>
      <c r="O901" s="23"/>
      <c r="P901" s="30"/>
      <c r="Q901" s="23"/>
      <c r="R901" s="23"/>
      <c r="S901" s="23"/>
      <c r="T901" s="23"/>
      <c r="U901" s="23"/>
      <c r="V901" s="23"/>
      <c r="W901" s="23"/>
      <c r="X901" s="23"/>
      <c r="Y901" s="23"/>
      <c r="Z901" s="23"/>
      <c r="AA901" s="23"/>
      <c r="AB901" s="23"/>
    </row>
    <row r="902" spans="1:28" x14ac:dyDescent="0.25">
      <c r="A902" s="2"/>
      <c r="B902" s="2"/>
      <c r="C902" s="2"/>
      <c r="D902" s="22"/>
      <c r="E902" s="2"/>
      <c r="F902" s="2"/>
      <c r="G902" s="2"/>
      <c r="H902" s="2"/>
      <c r="I902" s="2"/>
      <c r="J902" s="2"/>
      <c r="K902" s="2"/>
      <c r="L902" s="2"/>
      <c r="M902" s="23"/>
      <c r="N902" s="31"/>
      <c r="O902" s="23"/>
      <c r="P902" s="30"/>
      <c r="Q902" s="23"/>
      <c r="R902" s="23"/>
      <c r="S902" s="23"/>
      <c r="T902" s="23"/>
      <c r="U902" s="23"/>
      <c r="V902" s="23"/>
      <c r="W902" s="23"/>
      <c r="X902" s="23"/>
      <c r="Y902" s="23"/>
      <c r="Z902" s="23"/>
      <c r="AA902" s="23"/>
      <c r="AB902" s="23"/>
    </row>
    <row r="903" spans="1:28" x14ac:dyDescent="0.25">
      <c r="A903" s="2"/>
      <c r="B903" s="2"/>
      <c r="C903" s="2"/>
      <c r="D903" s="22"/>
      <c r="E903" s="2"/>
      <c r="F903" s="2"/>
      <c r="G903" s="2"/>
      <c r="H903" s="2"/>
      <c r="I903" s="2"/>
      <c r="J903" s="2"/>
      <c r="K903" s="2"/>
      <c r="L903" s="2"/>
      <c r="M903" s="23"/>
      <c r="N903" s="31"/>
      <c r="O903" s="23"/>
      <c r="P903" s="30"/>
      <c r="Q903" s="23"/>
      <c r="R903" s="23"/>
      <c r="S903" s="23"/>
      <c r="T903" s="23"/>
      <c r="U903" s="23"/>
      <c r="V903" s="23"/>
      <c r="W903" s="23"/>
      <c r="X903" s="23"/>
      <c r="Y903" s="23"/>
      <c r="Z903" s="23"/>
      <c r="AA903" s="23"/>
      <c r="AB903" s="23"/>
    </row>
    <row r="904" spans="1:28" x14ac:dyDescent="0.25">
      <c r="A904" s="2"/>
      <c r="B904" s="2"/>
      <c r="C904" s="2"/>
      <c r="D904" s="22"/>
      <c r="E904" s="2"/>
      <c r="F904" s="2"/>
      <c r="G904" s="2"/>
      <c r="H904" s="2"/>
      <c r="I904" s="2"/>
      <c r="J904" s="2"/>
      <c r="K904" s="2"/>
      <c r="L904" s="2"/>
      <c r="M904" s="23"/>
      <c r="N904" s="31"/>
      <c r="O904" s="23"/>
      <c r="P904" s="30"/>
      <c r="Q904" s="23"/>
      <c r="R904" s="23"/>
      <c r="S904" s="23"/>
      <c r="T904" s="23"/>
      <c r="U904" s="23"/>
      <c r="V904" s="23"/>
      <c r="W904" s="23"/>
      <c r="X904" s="23"/>
      <c r="Y904" s="23"/>
      <c r="Z904" s="23"/>
      <c r="AA904" s="23"/>
      <c r="AB904" s="23"/>
    </row>
    <row r="905" spans="1:28" x14ac:dyDescent="0.25">
      <c r="A905" s="2"/>
      <c r="B905" s="2"/>
      <c r="C905" s="2"/>
      <c r="D905" s="22"/>
      <c r="E905" s="2"/>
      <c r="F905" s="2"/>
      <c r="G905" s="2"/>
      <c r="H905" s="2"/>
      <c r="I905" s="2"/>
      <c r="J905" s="2"/>
      <c r="K905" s="2"/>
      <c r="L905" s="2"/>
      <c r="M905" s="23"/>
      <c r="N905" s="31"/>
      <c r="O905" s="23"/>
      <c r="P905" s="30"/>
      <c r="Q905" s="23"/>
      <c r="R905" s="23"/>
      <c r="S905" s="23"/>
      <c r="T905" s="23"/>
      <c r="U905" s="23"/>
      <c r="V905" s="23"/>
      <c r="W905" s="23"/>
      <c r="X905" s="23"/>
      <c r="Y905" s="23"/>
      <c r="Z905" s="23"/>
      <c r="AA905" s="23"/>
      <c r="AB905" s="23"/>
    </row>
    <row r="906" spans="1:28" x14ac:dyDescent="0.25">
      <c r="A906" s="2"/>
      <c r="B906" s="2"/>
      <c r="C906" s="2"/>
      <c r="D906" s="22"/>
      <c r="E906" s="2"/>
      <c r="F906" s="2"/>
      <c r="G906" s="2"/>
      <c r="H906" s="2"/>
      <c r="I906" s="2"/>
      <c r="J906" s="2"/>
      <c r="K906" s="2"/>
      <c r="L906" s="2"/>
      <c r="M906" s="23"/>
      <c r="N906" s="31"/>
      <c r="O906" s="23"/>
      <c r="P906" s="30"/>
      <c r="Q906" s="23"/>
      <c r="R906" s="23"/>
      <c r="S906" s="23"/>
      <c r="T906" s="23"/>
      <c r="U906" s="23"/>
      <c r="V906" s="23"/>
      <c r="W906" s="23"/>
      <c r="X906" s="23"/>
      <c r="Y906" s="23"/>
      <c r="Z906" s="23"/>
      <c r="AA906" s="23"/>
      <c r="AB906" s="23"/>
    </row>
    <row r="907" spans="1:28" x14ac:dyDescent="0.25">
      <c r="A907" s="2"/>
      <c r="B907" s="2"/>
      <c r="C907" s="2"/>
      <c r="D907" s="22"/>
      <c r="E907" s="2"/>
      <c r="F907" s="2"/>
      <c r="G907" s="2"/>
      <c r="H907" s="2"/>
      <c r="I907" s="2"/>
      <c r="J907" s="2"/>
      <c r="K907" s="2"/>
      <c r="L907" s="2"/>
      <c r="M907" s="23"/>
      <c r="N907" s="31"/>
      <c r="O907" s="23"/>
      <c r="P907" s="30"/>
      <c r="Q907" s="23"/>
      <c r="R907" s="23"/>
      <c r="S907" s="23"/>
      <c r="T907" s="23"/>
      <c r="U907" s="23"/>
      <c r="V907" s="23"/>
      <c r="W907" s="23"/>
      <c r="X907" s="23"/>
      <c r="Y907" s="23"/>
      <c r="Z907" s="23"/>
      <c r="AA907" s="23"/>
      <c r="AB907" s="23"/>
    </row>
    <row r="908" spans="1:28" x14ac:dyDescent="0.25">
      <c r="A908" s="2"/>
      <c r="B908" s="2"/>
      <c r="C908" s="2"/>
      <c r="D908" s="22"/>
      <c r="E908" s="2"/>
      <c r="F908" s="2"/>
      <c r="G908" s="2"/>
      <c r="H908" s="2"/>
      <c r="I908" s="2"/>
      <c r="J908" s="2"/>
      <c r="K908" s="2"/>
      <c r="L908" s="2"/>
      <c r="M908" s="23"/>
      <c r="N908" s="31"/>
      <c r="O908" s="23"/>
      <c r="P908" s="30"/>
      <c r="Q908" s="23"/>
      <c r="R908" s="23"/>
      <c r="S908" s="23"/>
      <c r="T908" s="23"/>
      <c r="U908" s="23"/>
      <c r="V908" s="23"/>
      <c r="W908" s="23"/>
      <c r="X908" s="23"/>
      <c r="Y908" s="23"/>
      <c r="Z908" s="23"/>
      <c r="AA908" s="23"/>
      <c r="AB908" s="23"/>
    </row>
    <row r="909" spans="1:28" x14ac:dyDescent="0.25">
      <c r="A909" s="2"/>
      <c r="B909" s="2"/>
      <c r="C909" s="2"/>
      <c r="D909" s="22"/>
      <c r="E909" s="2"/>
      <c r="F909" s="2"/>
      <c r="G909" s="2"/>
      <c r="H909" s="2"/>
      <c r="I909" s="2"/>
      <c r="J909" s="2"/>
      <c r="K909" s="2"/>
      <c r="L909" s="2"/>
      <c r="M909" s="23"/>
      <c r="N909" s="31"/>
      <c r="O909" s="23"/>
      <c r="P909" s="30"/>
      <c r="Q909" s="23"/>
      <c r="R909" s="23"/>
      <c r="S909" s="23"/>
      <c r="T909" s="23"/>
      <c r="U909" s="23"/>
      <c r="V909" s="23"/>
      <c r="W909" s="23"/>
      <c r="X909" s="23"/>
      <c r="Y909" s="23"/>
      <c r="Z909" s="23"/>
      <c r="AA909" s="23"/>
      <c r="AB909" s="23"/>
    </row>
    <row r="910" spans="1:28" x14ac:dyDescent="0.25">
      <c r="A910" s="2"/>
      <c r="B910" s="2"/>
      <c r="C910" s="2"/>
      <c r="D910" s="22"/>
      <c r="E910" s="2"/>
      <c r="F910" s="2"/>
      <c r="G910" s="2"/>
      <c r="H910" s="2"/>
      <c r="I910" s="2"/>
      <c r="J910" s="2"/>
      <c r="K910" s="2"/>
      <c r="L910" s="2"/>
      <c r="M910" s="23"/>
      <c r="N910" s="31"/>
      <c r="O910" s="23"/>
      <c r="P910" s="30"/>
      <c r="Q910" s="23"/>
      <c r="R910" s="23"/>
      <c r="S910" s="23"/>
      <c r="T910" s="23"/>
      <c r="U910" s="23"/>
      <c r="V910" s="23"/>
      <c r="W910" s="23"/>
      <c r="X910" s="23"/>
      <c r="Y910" s="23"/>
      <c r="Z910" s="23"/>
      <c r="AA910" s="23"/>
      <c r="AB910" s="23"/>
    </row>
    <row r="911" spans="1:28" x14ac:dyDescent="0.25">
      <c r="A911" s="2"/>
      <c r="B911" s="2"/>
      <c r="C911" s="2"/>
      <c r="D911" s="22"/>
      <c r="E911" s="2"/>
      <c r="F911" s="2"/>
      <c r="G911" s="2"/>
      <c r="H911" s="2"/>
      <c r="I911" s="2"/>
      <c r="J911" s="2"/>
      <c r="K911" s="2"/>
      <c r="L911" s="2"/>
      <c r="M911" s="23"/>
      <c r="N911" s="31"/>
      <c r="O911" s="23"/>
      <c r="P911" s="30"/>
      <c r="Q911" s="23"/>
      <c r="R911" s="23"/>
      <c r="S911" s="23"/>
      <c r="T911" s="23"/>
      <c r="U911" s="23"/>
      <c r="V911" s="23"/>
      <c r="W911" s="23"/>
      <c r="X911" s="23"/>
      <c r="Y911" s="23"/>
      <c r="Z911" s="23"/>
      <c r="AA911" s="23"/>
      <c r="AB911" s="23"/>
    </row>
    <row r="912" spans="1:28" x14ac:dyDescent="0.25">
      <c r="A912" s="2"/>
      <c r="B912" s="2"/>
      <c r="C912" s="2"/>
      <c r="D912" s="22"/>
      <c r="E912" s="2"/>
      <c r="F912" s="2"/>
      <c r="G912" s="2"/>
      <c r="H912" s="2"/>
      <c r="I912" s="2"/>
      <c r="J912" s="2"/>
      <c r="K912" s="2"/>
      <c r="L912" s="2"/>
      <c r="M912" s="23"/>
      <c r="N912" s="31"/>
      <c r="O912" s="23"/>
      <c r="P912" s="30"/>
      <c r="Q912" s="23"/>
      <c r="R912" s="23"/>
      <c r="S912" s="23"/>
      <c r="T912" s="23"/>
      <c r="U912" s="23"/>
      <c r="V912" s="23"/>
      <c r="W912" s="23"/>
      <c r="X912" s="23"/>
      <c r="Y912" s="23"/>
      <c r="Z912" s="23"/>
      <c r="AA912" s="23"/>
      <c r="AB912" s="23"/>
    </row>
    <row r="913" spans="1:28" x14ac:dyDescent="0.25">
      <c r="A913" s="2"/>
      <c r="B913" s="2"/>
      <c r="C913" s="2"/>
      <c r="D913" s="22"/>
      <c r="E913" s="2"/>
      <c r="F913" s="2"/>
      <c r="G913" s="2"/>
      <c r="H913" s="2"/>
      <c r="I913" s="2"/>
      <c r="J913" s="2"/>
      <c r="K913" s="2"/>
      <c r="L913" s="2"/>
      <c r="M913" s="23"/>
      <c r="N913" s="31"/>
      <c r="O913" s="23"/>
      <c r="P913" s="30"/>
      <c r="Q913" s="23"/>
      <c r="R913" s="23"/>
      <c r="S913" s="23"/>
      <c r="T913" s="23"/>
      <c r="U913" s="23"/>
      <c r="V913" s="23"/>
      <c r="W913" s="23"/>
      <c r="X913" s="23"/>
      <c r="Y913" s="23"/>
      <c r="Z913" s="23"/>
      <c r="AA913" s="23"/>
      <c r="AB913" s="23"/>
    </row>
    <row r="914" spans="1:28" x14ac:dyDescent="0.25">
      <c r="A914" s="2"/>
      <c r="B914" s="2"/>
      <c r="C914" s="2"/>
      <c r="D914" s="22"/>
      <c r="E914" s="2"/>
      <c r="F914" s="2"/>
      <c r="G914" s="2"/>
      <c r="H914" s="2"/>
      <c r="I914" s="2"/>
      <c r="J914" s="2"/>
      <c r="K914" s="2"/>
      <c r="L914" s="2"/>
      <c r="M914" s="23"/>
      <c r="N914" s="31"/>
      <c r="O914" s="23"/>
      <c r="P914" s="30"/>
      <c r="Q914" s="23"/>
      <c r="R914" s="23"/>
      <c r="S914" s="23"/>
      <c r="T914" s="23"/>
      <c r="U914" s="23"/>
      <c r="V914" s="23"/>
      <c r="W914" s="23"/>
      <c r="X914" s="23"/>
      <c r="Y914" s="23"/>
      <c r="Z914" s="23"/>
      <c r="AA914" s="23"/>
      <c r="AB914" s="23"/>
    </row>
    <row r="915" spans="1:28" x14ac:dyDescent="0.25">
      <c r="A915" s="2"/>
      <c r="B915" s="2"/>
      <c r="C915" s="2"/>
      <c r="D915" s="22"/>
      <c r="E915" s="2"/>
      <c r="F915" s="2"/>
      <c r="G915" s="2"/>
      <c r="H915" s="2"/>
      <c r="I915" s="2"/>
      <c r="J915" s="2"/>
      <c r="K915" s="2"/>
      <c r="L915" s="2"/>
      <c r="M915" s="23"/>
      <c r="N915" s="31"/>
      <c r="O915" s="23"/>
      <c r="P915" s="30"/>
      <c r="Q915" s="23"/>
      <c r="R915" s="23"/>
      <c r="S915" s="23"/>
      <c r="T915" s="23"/>
      <c r="U915" s="23"/>
      <c r="V915" s="23"/>
      <c r="W915" s="23"/>
      <c r="X915" s="23"/>
      <c r="Y915" s="23"/>
      <c r="Z915" s="23"/>
      <c r="AA915" s="23"/>
      <c r="AB915" s="23"/>
    </row>
    <row r="916" spans="1:28" x14ac:dyDescent="0.25">
      <c r="A916" s="2"/>
      <c r="B916" s="2"/>
      <c r="C916" s="2"/>
      <c r="D916" s="22"/>
      <c r="E916" s="2"/>
      <c r="F916" s="2"/>
      <c r="G916" s="2"/>
      <c r="H916" s="2"/>
      <c r="I916" s="2"/>
      <c r="J916" s="2"/>
      <c r="K916" s="2"/>
      <c r="L916" s="2"/>
      <c r="M916" s="23"/>
      <c r="N916" s="31"/>
      <c r="O916" s="23"/>
      <c r="P916" s="30"/>
      <c r="Q916" s="23"/>
      <c r="R916" s="23"/>
      <c r="S916" s="23"/>
      <c r="T916" s="23"/>
      <c r="U916" s="23"/>
      <c r="V916" s="23"/>
      <c r="W916" s="23"/>
      <c r="X916" s="23"/>
      <c r="Y916" s="23"/>
      <c r="Z916" s="23"/>
      <c r="AA916" s="23"/>
      <c r="AB916" s="23"/>
    </row>
    <row r="917" spans="1:28" x14ac:dyDescent="0.25">
      <c r="A917" s="2"/>
      <c r="B917" s="2"/>
      <c r="C917" s="2"/>
      <c r="D917" s="22"/>
      <c r="E917" s="2"/>
      <c r="F917" s="2"/>
      <c r="G917" s="2"/>
      <c r="H917" s="2"/>
      <c r="I917" s="2"/>
      <c r="J917" s="2"/>
      <c r="K917" s="2"/>
      <c r="L917" s="2"/>
      <c r="M917" s="23"/>
      <c r="N917" s="31"/>
      <c r="O917" s="23"/>
      <c r="P917" s="30"/>
      <c r="Q917" s="23"/>
      <c r="R917" s="23"/>
      <c r="S917" s="23"/>
      <c r="T917" s="23"/>
      <c r="U917" s="23"/>
      <c r="V917" s="23"/>
      <c r="W917" s="23"/>
      <c r="X917" s="23"/>
      <c r="Y917" s="23"/>
      <c r="Z917" s="23"/>
      <c r="AA917" s="23"/>
      <c r="AB917" s="23"/>
    </row>
    <row r="918" spans="1:28" x14ac:dyDescent="0.25">
      <c r="A918" s="2"/>
      <c r="B918" s="2"/>
      <c r="C918" s="2"/>
      <c r="D918" s="22"/>
      <c r="E918" s="2"/>
      <c r="F918" s="2"/>
      <c r="G918" s="2"/>
      <c r="H918" s="2"/>
      <c r="I918" s="2"/>
      <c r="J918" s="2"/>
      <c r="K918" s="2"/>
      <c r="L918" s="2"/>
      <c r="M918" s="23"/>
      <c r="N918" s="31"/>
      <c r="O918" s="23"/>
      <c r="P918" s="30"/>
      <c r="Q918" s="23"/>
      <c r="R918" s="23"/>
      <c r="S918" s="23"/>
      <c r="T918" s="23"/>
      <c r="U918" s="23"/>
      <c r="V918" s="23"/>
      <c r="W918" s="23"/>
      <c r="X918" s="23"/>
      <c r="Y918" s="23"/>
      <c r="Z918" s="23"/>
      <c r="AA918" s="23"/>
      <c r="AB918" s="23"/>
    </row>
    <row r="919" spans="1:28" x14ac:dyDescent="0.25">
      <c r="A919" s="2"/>
      <c r="B919" s="2"/>
      <c r="C919" s="2"/>
      <c r="D919" s="22"/>
      <c r="E919" s="2"/>
      <c r="F919" s="2"/>
      <c r="G919" s="2"/>
      <c r="H919" s="2"/>
      <c r="I919" s="2"/>
      <c r="J919" s="2"/>
      <c r="K919" s="2"/>
      <c r="L919" s="2"/>
      <c r="M919" s="23"/>
      <c r="N919" s="31"/>
      <c r="O919" s="23"/>
      <c r="P919" s="30"/>
      <c r="Q919" s="23"/>
      <c r="R919" s="23"/>
      <c r="S919" s="23"/>
      <c r="T919" s="23"/>
      <c r="U919" s="23"/>
      <c r="V919" s="23"/>
      <c r="W919" s="23"/>
      <c r="X919" s="23"/>
      <c r="Y919" s="23"/>
      <c r="Z919" s="23"/>
      <c r="AA919" s="23"/>
      <c r="AB919" s="23"/>
    </row>
    <row r="920" spans="1:28" x14ac:dyDescent="0.25">
      <c r="A920" s="2"/>
      <c r="B920" s="2"/>
      <c r="C920" s="2"/>
      <c r="D920" s="22"/>
      <c r="E920" s="2"/>
      <c r="F920" s="2"/>
      <c r="G920" s="2"/>
      <c r="H920" s="2"/>
      <c r="I920" s="2"/>
      <c r="J920" s="2"/>
      <c r="K920" s="2"/>
      <c r="L920" s="2"/>
      <c r="M920" s="23"/>
      <c r="N920" s="31"/>
      <c r="O920" s="23"/>
      <c r="P920" s="30"/>
      <c r="Q920" s="23"/>
      <c r="R920" s="23"/>
      <c r="S920" s="23"/>
      <c r="T920" s="23"/>
      <c r="U920" s="23"/>
      <c r="V920" s="23"/>
      <c r="W920" s="23"/>
      <c r="X920" s="23"/>
      <c r="Y920" s="23"/>
      <c r="Z920" s="23"/>
      <c r="AA920" s="23"/>
      <c r="AB920" s="23"/>
    </row>
    <row r="921" spans="1:28" x14ac:dyDescent="0.25">
      <c r="A921" s="2"/>
      <c r="B921" s="2"/>
      <c r="C921" s="2"/>
      <c r="D921" s="22"/>
      <c r="E921" s="2"/>
      <c r="F921" s="2"/>
      <c r="G921" s="2"/>
      <c r="H921" s="2"/>
      <c r="I921" s="2"/>
      <c r="J921" s="2"/>
      <c r="K921" s="2"/>
      <c r="L921" s="2"/>
      <c r="M921" s="23"/>
      <c r="N921" s="31"/>
      <c r="O921" s="23"/>
      <c r="P921" s="30"/>
      <c r="Q921" s="23"/>
      <c r="R921" s="23"/>
      <c r="S921" s="23"/>
      <c r="T921" s="23"/>
      <c r="U921" s="23"/>
      <c r="V921" s="23"/>
      <c r="W921" s="23"/>
      <c r="X921" s="23"/>
      <c r="Y921" s="23"/>
      <c r="Z921" s="23"/>
      <c r="AA921" s="23"/>
      <c r="AB921" s="23"/>
    </row>
    <row r="922" spans="1:28" x14ac:dyDescent="0.25">
      <c r="A922" s="2"/>
      <c r="B922" s="2"/>
      <c r="C922" s="2"/>
      <c r="D922" s="22"/>
      <c r="E922" s="2"/>
      <c r="F922" s="2"/>
      <c r="G922" s="2"/>
      <c r="H922" s="2"/>
      <c r="I922" s="2"/>
      <c r="J922" s="2"/>
      <c r="K922" s="2"/>
      <c r="L922" s="2"/>
      <c r="M922" s="23"/>
      <c r="N922" s="31"/>
      <c r="O922" s="23"/>
      <c r="P922" s="30"/>
      <c r="Q922" s="23"/>
      <c r="R922" s="23"/>
      <c r="S922" s="23"/>
      <c r="T922" s="23"/>
      <c r="U922" s="23"/>
      <c r="V922" s="23"/>
      <c r="W922" s="23"/>
      <c r="X922" s="23"/>
      <c r="Y922" s="23"/>
      <c r="Z922" s="23"/>
      <c r="AA922" s="23"/>
      <c r="AB922" s="23"/>
    </row>
    <row r="923" spans="1:28" x14ac:dyDescent="0.25">
      <c r="A923" s="2"/>
      <c r="B923" s="2"/>
      <c r="C923" s="2"/>
      <c r="D923" s="22"/>
      <c r="E923" s="2"/>
      <c r="F923" s="2"/>
      <c r="G923" s="2"/>
      <c r="H923" s="2"/>
      <c r="I923" s="2"/>
      <c r="J923" s="2"/>
      <c r="K923" s="2"/>
      <c r="L923" s="2"/>
      <c r="M923" s="23"/>
      <c r="N923" s="31"/>
      <c r="O923" s="23"/>
      <c r="P923" s="30"/>
      <c r="Q923" s="23"/>
      <c r="R923" s="23"/>
      <c r="S923" s="23"/>
      <c r="T923" s="23"/>
      <c r="U923" s="23"/>
      <c r="V923" s="23"/>
      <c r="W923" s="23"/>
      <c r="X923" s="23"/>
      <c r="Y923" s="23"/>
      <c r="Z923" s="23"/>
      <c r="AA923" s="23"/>
      <c r="AB923" s="23"/>
    </row>
    <row r="924" spans="1:28" x14ac:dyDescent="0.25">
      <c r="A924" s="2"/>
      <c r="B924" s="2"/>
      <c r="C924" s="2"/>
      <c r="D924" s="22"/>
      <c r="E924" s="2"/>
      <c r="F924" s="2"/>
      <c r="G924" s="2"/>
      <c r="H924" s="2"/>
      <c r="I924" s="2"/>
      <c r="J924" s="2"/>
      <c r="K924" s="2"/>
      <c r="L924" s="2"/>
      <c r="M924" s="23"/>
      <c r="N924" s="31"/>
      <c r="O924" s="23"/>
      <c r="P924" s="30"/>
      <c r="Q924" s="23"/>
      <c r="R924" s="23"/>
      <c r="S924" s="23"/>
      <c r="T924" s="23"/>
      <c r="U924" s="23"/>
      <c r="V924" s="23"/>
      <c r="W924" s="23"/>
      <c r="X924" s="23"/>
      <c r="Y924" s="23"/>
      <c r="Z924" s="23"/>
      <c r="AA924" s="23"/>
      <c r="AB924" s="23"/>
    </row>
    <row r="925" spans="1:28" x14ac:dyDescent="0.25">
      <c r="A925" s="2"/>
      <c r="B925" s="2"/>
      <c r="C925" s="2"/>
      <c r="D925" s="22"/>
      <c r="E925" s="2"/>
      <c r="F925" s="2"/>
      <c r="G925" s="2"/>
      <c r="H925" s="2"/>
      <c r="I925" s="2"/>
      <c r="J925" s="2"/>
      <c r="K925" s="2"/>
      <c r="L925" s="2"/>
      <c r="M925" s="23"/>
      <c r="N925" s="31"/>
      <c r="O925" s="23"/>
      <c r="P925" s="30"/>
      <c r="Q925" s="23"/>
      <c r="R925" s="23"/>
      <c r="S925" s="23"/>
      <c r="T925" s="23"/>
      <c r="U925" s="23"/>
      <c r="V925" s="23"/>
      <c r="W925" s="23"/>
      <c r="X925" s="23"/>
      <c r="Y925" s="23"/>
      <c r="Z925" s="23"/>
      <c r="AA925" s="23"/>
      <c r="AB925" s="23"/>
    </row>
    <row r="926" spans="1:28" x14ac:dyDescent="0.25">
      <c r="A926" s="2"/>
      <c r="B926" s="2"/>
      <c r="C926" s="2"/>
      <c r="D926" s="22"/>
      <c r="E926" s="2"/>
      <c r="F926" s="2"/>
      <c r="G926" s="2"/>
      <c r="H926" s="2"/>
      <c r="I926" s="2"/>
      <c r="J926" s="2"/>
      <c r="K926" s="2"/>
      <c r="L926" s="2"/>
      <c r="M926" s="23"/>
      <c r="N926" s="31"/>
      <c r="O926" s="23"/>
      <c r="P926" s="30"/>
      <c r="Q926" s="23"/>
      <c r="R926" s="23"/>
      <c r="S926" s="23"/>
      <c r="T926" s="23"/>
      <c r="U926" s="23"/>
      <c r="V926" s="23"/>
      <c r="W926" s="23"/>
      <c r="X926" s="23"/>
      <c r="Y926" s="23"/>
      <c r="Z926" s="23"/>
      <c r="AA926" s="23"/>
      <c r="AB926" s="23"/>
    </row>
    <row r="927" spans="1:28" x14ac:dyDescent="0.25">
      <c r="A927" s="2"/>
      <c r="B927" s="2"/>
      <c r="C927" s="2"/>
      <c r="D927" s="22"/>
      <c r="E927" s="2"/>
      <c r="F927" s="2"/>
      <c r="G927" s="2"/>
      <c r="H927" s="2"/>
      <c r="I927" s="2"/>
      <c r="J927" s="2"/>
      <c r="K927" s="2"/>
      <c r="L927" s="2"/>
      <c r="M927" s="23"/>
      <c r="N927" s="31"/>
      <c r="O927" s="23"/>
      <c r="P927" s="30"/>
      <c r="Q927" s="23"/>
      <c r="R927" s="23"/>
      <c r="S927" s="23"/>
      <c r="T927" s="23"/>
      <c r="U927" s="23"/>
      <c r="V927" s="23"/>
      <c r="W927" s="23"/>
      <c r="X927" s="23"/>
      <c r="Y927" s="23"/>
      <c r="Z927" s="23"/>
      <c r="AA927" s="23"/>
      <c r="AB927" s="23"/>
    </row>
    <row r="928" spans="1:28" x14ac:dyDescent="0.25">
      <c r="A928" s="2"/>
      <c r="B928" s="2"/>
      <c r="C928" s="2"/>
      <c r="D928" s="22"/>
      <c r="E928" s="2"/>
      <c r="F928" s="2"/>
      <c r="G928" s="2"/>
      <c r="H928" s="2"/>
      <c r="I928" s="2"/>
      <c r="J928" s="2"/>
      <c r="K928" s="2"/>
      <c r="L928" s="2"/>
      <c r="M928" s="23"/>
      <c r="N928" s="31"/>
      <c r="O928" s="23"/>
      <c r="P928" s="30"/>
      <c r="Q928" s="23"/>
      <c r="R928" s="23"/>
      <c r="S928" s="23"/>
      <c r="T928" s="23"/>
      <c r="U928" s="23"/>
      <c r="V928" s="23"/>
      <c r="W928" s="23"/>
      <c r="X928" s="23"/>
      <c r="Y928" s="23"/>
      <c r="Z928" s="23"/>
      <c r="AA928" s="23"/>
      <c r="AB928" s="23"/>
    </row>
    <row r="929" spans="1:28" x14ac:dyDescent="0.25">
      <c r="A929" s="2"/>
      <c r="B929" s="2"/>
      <c r="C929" s="2"/>
      <c r="D929" s="22"/>
      <c r="E929" s="2"/>
      <c r="F929" s="2"/>
      <c r="G929" s="2"/>
      <c r="H929" s="2"/>
      <c r="I929" s="2"/>
      <c r="J929" s="2"/>
      <c r="K929" s="2"/>
      <c r="L929" s="2"/>
      <c r="M929" s="23"/>
      <c r="N929" s="31"/>
      <c r="O929" s="23"/>
      <c r="P929" s="30"/>
      <c r="Q929" s="23"/>
      <c r="R929" s="23"/>
      <c r="S929" s="23"/>
      <c r="T929" s="23"/>
      <c r="U929" s="23"/>
      <c r="V929" s="23"/>
      <c r="W929" s="23"/>
      <c r="X929" s="23"/>
      <c r="Y929" s="23"/>
      <c r="Z929" s="23"/>
      <c r="AA929" s="23"/>
      <c r="AB929" s="23"/>
    </row>
    <row r="930" spans="1:28" x14ac:dyDescent="0.25">
      <c r="A930" s="2"/>
      <c r="B930" s="2"/>
      <c r="C930" s="2"/>
      <c r="D930" s="22"/>
      <c r="E930" s="2"/>
      <c r="F930" s="2"/>
      <c r="G930" s="2"/>
      <c r="H930" s="2"/>
      <c r="I930" s="2"/>
      <c r="J930" s="2"/>
      <c r="K930" s="2"/>
      <c r="L930" s="2"/>
      <c r="M930" s="23"/>
      <c r="N930" s="31"/>
      <c r="O930" s="23"/>
      <c r="P930" s="30"/>
      <c r="Q930" s="23"/>
      <c r="R930" s="23"/>
      <c r="S930" s="23"/>
      <c r="T930" s="23"/>
      <c r="U930" s="23"/>
      <c r="V930" s="23"/>
      <c r="W930" s="23"/>
      <c r="X930" s="23"/>
      <c r="Y930" s="23"/>
      <c r="Z930" s="23"/>
      <c r="AA930" s="23"/>
      <c r="AB930" s="23"/>
    </row>
    <row r="931" spans="1:28" x14ac:dyDescent="0.25">
      <c r="A931" s="2"/>
      <c r="B931" s="2"/>
      <c r="C931" s="2"/>
      <c r="D931" s="22"/>
      <c r="E931" s="2"/>
      <c r="F931" s="2"/>
      <c r="G931" s="2"/>
      <c r="H931" s="2"/>
      <c r="I931" s="2"/>
      <c r="J931" s="2"/>
      <c r="K931" s="2"/>
      <c r="L931" s="2"/>
      <c r="M931" s="23"/>
      <c r="N931" s="31"/>
      <c r="O931" s="23"/>
      <c r="P931" s="30"/>
      <c r="Q931" s="23"/>
      <c r="R931" s="23"/>
      <c r="S931" s="23"/>
      <c r="T931" s="23"/>
      <c r="U931" s="23"/>
      <c r="V931" s="23"/>
      <c r="W931" s="23"/>
      <c r="X931" s="23"/>
      <c r="Y931" s="23"/>
      <c r="Z931" s="23"/>
      <c r="AA931" s="23"/>
      <c r="AB931" s="23"/>
    </row>
    <row r="932" spans="1:28" x14ac:dyDescent="0.25">
      <c r="A932" s="2"/>
      <c r="B932" s="2"/>
      <c r="C932" s="2"/>
      <c r="D932" s="22"/>
      <c r="E932" s="2"/>
      <c r="F932" s="2"/>
      <c r="G932" s="2"/>
      <c r="H932" s="2"/>
      <c r="I932" s="2"/>
      <c r="J932" s="2"/>
      <c r="K932" s="2"/>
      <c r="L932" s="2"/>
      <c r="M932" s="23"/>
      <c r="N932" s="31"/>
      <c r="O932" s="23"/>
      <c r="P932" s="30"/>
      <c r="Q932" s="23"/>
      <c r="R932" s="23"/>
      <c r="S932" s="23"/>
      <c r="T932" s="23"/>
      <c r="U932" s="23"/>
      <c r="V932" s="23"/>
      <c r="W932" s="23"/>
      <c r="X932" s="23"/>
      <c r="Y932" s="23"/>
      <c r="Z932" s="23"/>
      <c r="AA932" s="23"/>
      <c r="AB932" s="23"/>
    </row>
    <row r="933" spans="1:28" x14ac:dyDescent="0.25">
      <c r="A933" s="2"/>
      <c r="B933" s="2"/>
      <c r="C933" s="2"/>
      <c r="D933" s="22"/>
      <c r="E933" s="2"/>
      <c r="F933" s="2"/>
      <c r="G933" s="2"/>
      <c r="H933" s="2"/>
      <c r="I933" s="2"/>
      <c r="J933" s="2"/>
      <c r="K933" s="2"/>
      <c r="L933" s="2"/>
      <c r="M933" s="23"/>
      <c r="N933" s="31"/>
      <c r="O933" s="23"/>
      <c r="P933" s="30"/>
      <c r="Q933" s="23"/>
      <c r="R933" s="23"/>
      <c r="S933" s="23"/>
      <c r="T933" s="23"/>
      <c r="U933" s="23"/>
      <c r="V933" s="23"/>
      <c r="W933" s="23"/>
      <c r="X933" s="23"/>
      <c r="Y933" s="23"/>
      <c r="Z933" s="23"/>
      <c r="AA933" s="23"/>
      <c r="AB933" s="23"/>
    </row>
    <row r="934" spans="1:28" x14ac:dyDescent="0.25">
      <c r="A934" s="2"/>
      <c r="B934" s="2"/>
      <c r="C934" s="2"/>
      <c r="D934" s="22"/>
      <c r="E934" s="2"/>
      <c r="F934" s="2"/>
      <c r="G934" s="2"/>
      <c r="H934" s="2"/>
      <c r="I934" s="2"/>
      <c r="J934" s="2"/>
      <c r="K934" s="2"/>
      <c r="L934" s="2"/>
      <c r="M934" s="23"/>
      <c r="N934" s="31"/>
      <c r="O934" s="23"/>
      <c r="P934" s="30"/>
      <c r="Q934" s="23"/>
      <c r="R934" s="23"/>
      <c r="S934" s="23"/>
      <c r="T934" s="23"/>
      <c r="U934" s="23"/>
      <c r="V934" s="23"/>
      <c r="W934" s="23"/>
      <c r="X934" s="23"/>
      <c r="Y934" s="23"/>
      <c r="Z934" s="23"/>
      <c r="AA934" s="23"/>
      <c r="AB934" s="23"/>
    </row>
    <row r="935" spans="1:28" x14ac:dyDescent="0.25">
      <c r="A935" s="2"/>
      <c r="B935" s="2"/>
      <c r="C935" s="2"/>
      <c r="D935" s="22"/>
      <c r="E935" s="2"/>
      <c r="F935" s="2"/>
      <c r="G935" s="2"/>
      <c r="H935" s="2"/>
      <c r="I935" s="2"/>
      <c r="J935" s="2"/>
      <c r="K935" s="2"/>
      <c r="L935" s="2"/>
      <c r="M935" s="23"/>
      <c r="N935" s="31"/>
      <c r="O935" s="23"/>
      <c r="P935" s="30"/>
      <c r="Q935" s="23"/>
      <c r="R935" s="23"/>
      <c r="S935" s="23"/>
      <c r="T935" s="23"/>
      <c r="U935" s="23"/>
      <c r="V935" s="23"/>
      <c r="W935" s="23"/>
      <c r="X935" s="23"/>
      <c r="Y935" s="23"/>
      <c r="Z935" s="23"/>
      <c r="AA935" s="23"/>
      <c r="AB935" s="23"/>
    </row>
    <row r="936" spans="1:28" x14ac:dyDescent="0.25">
      <c r="A936" s="2"/>
      <c r="B936" s="2"/>
      <c r="C936" s="2"/>
      <c r="D936" s="22"/>
      <c r="E936" s="2"/>
      <c r="F936" s="2"/>
      <c r="G936" s="2"/>
      <c r="H936" s="2"/>
      <c r="I936" s="2"/>
      <c r="J936" s="2"/>
      <c r="K936" s="2"/>
      <c r="L936" s="2"/>
      <c r="M936" s="23"/>
      <c r="N936" s="31"/>
      <c r="O936" s="23"/>
      <c r="P936" s="30"/>
      <c r="Q936" s="23"/>
      <c r="R936" s="23"/>
      <c r="S936" s="23"/>
      <c r="T936" s="23"/>
      <c r="U936" s="23"/>
      <c r="V936" s="23"/>
      <c r="W936" s="23"/>
      <c r="X936" s="23"/>
      <c r="Y936" s="23"/>
      <c r="Z936" s="23"/>
      <c r="AA936" s="23"/>
      <c r="AB936" s="23"/>
    </row>
    <row r="937" spans="1:28" x14ac:dyDescent="0.25">
      <c r="A937" s="2"/>
      <c r="B937" s="2"/>
      <c r="C937" s="2"/>
      <c r="D937" s="22"/>
      <c r="E937" s="2"/>
      <c r="F937" s="2"/>
      <c r="G937" s="2"/>
      <c r="H937" s="2"/>
      <c r="I937" s="2"/>
      <c r="J937" s="2"/>
      <c r="K937" s="2"/>
      <c r="L937" s="2"/>
      <c r="M937" s="23"/>
      <c r="N937" s="31"/>
      <c r="O937" s="23"/>
      <c r="P937" s="30"/>
      <c r="Q937" s="23"/>
      <c r="R937" s="23"/>
      <c r="S937" s="23"/>
      <c r="T937" s="23"/>
      <c r="U937" s="23"/>
      <c r="V937" s="23"/>
      <c r="W937" s="23"/>
      <c r="X937" s="23"/>
      <c r="Y937" s="23"/>
      <c r="Z937" s="23"/>
      <c r="AA937" s="23"/>
      <c r="AB937" s="23"/>
    </row>
    <row r="938" spans="1:28" x14ac:dyDescent="0.25">
      <c r="A938" s="2"/>
      <c r="B938" s="2"/>
      <c r="C938" s="2"/>
      <c r="D938" s="22"/>
      <c r="E938" s="2"/>
      <c r="F938" s="2"/>
      <c r="G938" s="2"/>
      <c r="H938" s="2"/>
      <c r="I938" s="2"/>
      <c r="J938" s="2"/>
      <c r="K938" s="2"/>
      <c r="L938" s="2"/>
      <c r="M938" s="23"/>
      <c r="N938" s="31"/>
      <c r="O938" s="23"/>
      <c r="P938" s="30"/>
      <c r="Q938" s="23"/>
      <c r="R938" s="23"/>
      <c r="S938" s="23"/>
      <c r="T938" s="23"/>
      <c r="U938" s="23"/>
      <c r="V938" s="23"/>
      <c r="W938" s="23"/>
      <c r="X938" s="23"/>
      <c r="Y938" s="23"/>
      <c r="Z938" s="23"/>
      <c r="AA938" s="23"/>
      <c r="AB938" s="23"/>
    </row>
    <row r="939" spans="1:28" x14ac:dyDescent="0.25">
      <c r="A939" s="2"/>
      <c r="B939" s="2"/>
      <c r="C939" s="2"/>
      <c r="D939" s="22"/>
      <c r="E939" s="2"/>
      <c r="F939" s="2"/>
      <c r="G939" s="2"/>
      <c r="H939" s="2"/>
      <c r="I939" s="2"/>
      <c r="J939" s="2"/>
      <c r="K939" s="2"/>
      <c r="L939" s="2"/>
      <c r="M939" s="23"/>
      <c r="N939" s="31"/>
      <c r="O939" s="23"/>
      <c r="P939" s="30"/>
      <c r="Q939" s="23"/>
      <c r="R939" s="23"/>
      <c r="S939" s="23"/>
      <c r="T939" s="23"/>
      <c r="U939" s="23"/>
      <c r="V939" s="23"/>
      <c r="W939" s="23"/>
      <c r="X939" s="23"/>
      <c r="Y939" s="23"/>
      <c r="Z939" s="23"/>
      <c r="AA939" s="23"/>
      <c r="AB939" s="23"/>
    </row>
    <row r="940" spans="1:28" x14ac:dyDescent="0.25">
      <c r="A940" s="2"/>
      <c r="B940" s="2"/>
      <c r="C940" s="2"/>
      <c r="D940" s="22"/>
      <c r="E940" s="2"/>
      <c r="F940" s="2"/>
      <c r="G940" s="2"/>
      <c r="H940" s="2"/>
      <c r="I940" s="2"/>
      <c r="J940" s="2"/>
      <c r="K940" s="2"/>
      <c r="L940" s="2"/>
      <c r="M940" s="23"/>
      <c r="N940" s="31"/>
      <c r="O940" s="23"/>
      <c r="P940" s="30"/>
      <c r="Q940" s="23"/>
      <c r="R940" s="23"/>
      <c r="S940" s="23"/>
      <c r="T940" s="23"/>
      <c r="U940" s="23"/>
      <c r="V940" s="23"/>
      <c r="W940" s="23"/>
      <c r="X940" s="23"/>
      <c r="Y940" s="23"/>
      <c r="Z940" s="23"/>
      <c r="AA940" s="23"/>
      <c r="AB940" s="23"/>
    </row>
    <row r="941" spans="1:28" x14ac:dyDescent="0.25">
      <c r="A941" s="2"/>
      <c r="B941" s="2"/>
      <c r="C941" s="2"/>
      <c r="D941" s="22"/>
      <c r="E941" s="2"/>
      <c r="F941" s="2"/>
      <c r="G941" s="2"/>
      <c r="H941" s="2"/>
      <c r="I941" s="2"/>
      <c r="J941" s="2"/>
      <c r="K941" s="2"/>
      <c r="L941" s="2"/>
      <c r="M941" s="23"/>
      <c r="N941" s="31"/>
      <c r="O941" s="23"/>
      <c r="P941" s="30"/>
      <c r="Q941" s="23"/>
      <c r="R941" s="23"/>
      <c r="S941" s="23"/>
      <c r="T941" s="23"/>
      <c r="U941" s="23"/>
      <c r="V941" s="23"/>
      <c r="W941" s="23"/>
      <c r="X941" s="23"/>
      <c r="Y941" s="23"/>
      <c r="Z941" s="23"/>
      <c r="AA941" s="23"/>
      <c r="AB941" s="23"/>
    </row>
    <row r="942" spans="1:28" x14ac:dyDescent="0.25">
      <c r="A942" s="2"/>
      <c r="B942" s="2"/>
      <c r="C942" s="2"/>
      <c r="D942" s="22"/>
      <c r="E942" s="2"/>
      <c r="F942" s="2"/>
      <c r="G942" s="2"/>
      <c r="H942" s="2"/>
      <c r="I942" s="2"/>
      <c r="J942" s="2"/>
      <c r="K942" s="2"/>
      <c r="L942" s="2"/>
      <c r="M942" s="23"/>
      <c r="N942" s="31"/>
      <c r="O942" s="23"/>
      <c r="P942" s="30"/>
      <c r="Q942" s="23"/>
      <c r="R942" s="23"/>
      <c r="S942" s="23"/>
      <c r="T942" s="23"/>
      <c r="U942" s="23"/>
      <c r="V942" s="23"/>
      <c r="W942" s="23"/>
      <c r="X942" s="23"/>
      <c r="Y942" s="23"/>
      <c r="Z942" s="23"/>
      <c r="AA942" s="23"/>
      <c r="AB942" s="23"/>
    </row>
    <row r="943" spans="1:28" x14ac:dyDescent="0.25">
      <c r="A943" s="2"/>
      <c r="B943" s="2"/>
      <c r="C943" s="2"/>
      <c r="D943" s="22"/>
      <c r="E943" s="2"/>
      <c r="F943" s="2"/>
      <c r="G943" s="2"/>
      <c r="H943" s="2"/>
      <c r="I943" s="2"/>
      <c r="J943" s="2"/>
      <c r="K943" s="2"/>
      <c r="L943" s="2"/>
      <c r="M943" s="23"/>
      <c r="N943" s="31"/>
      <c r="O943" s="23"/>
      <c r="P943" s="30"/>
      <c r="Q943" s="23"/>
      <c r="R943" s="23"/>
      <c r="S943" s="23"/>
      <c r="T943" s="23"/>
      <c r="U943" s="23"/>
      <c r="V943" s="23"/>
      <c r="W943" s="23"/>
      <c r="X943" s="23"/>
      <c r="Y943" s="23"/>
      <c r="Z943" s="23"/>
      <c r="AA943" s="23"/>
      <c r="AB943" s="23"/>
    </row>
    <row r="944" spans="1:28" x14ac:dyDescent="0.25">
      <c r="A944" s="2"/>
      <c r="B944" s="2"/>
      <c r="C944" s="2"/>
      <c r="D944" s="22"/>
      <c r="E944" s="2"/>
      <c r="F944" s="2"/>
      <c r="G944" s="2"/>
      <c r="H944" s="2"/>
      <c r="I944" s="2"/>
      <c r="J944" s="2"/>
      <c r="K944" s="2"/>
      <c r="L944" s="2"/>
      <c r="M944" s="23"/>
      <c r="N944" s="31"/>
      <c r="O944" s="23"/>
      <c r="P944" s="30"/>
      <c r="Q944" s="23"/>
      <c r="R944" s="23"/>
      <c r="S944" s="23"/>
      <c r="T944" s="23"/>
      <c r="U944" s="23"/>
      <c r="V944" s="23"/>
      <c r="W944" s="23"/>
      <c r="X944" s="23"/>
      <c r="Y944" s="23"/>
      <c r="Z944" s="23"/>
      <c r="AA944" s="23"/>
      <c r="AB944" s="23"/>
    </row>
    <row r="945" spans="1:28" x14ac:dyDescent="0.25">
      <c r="A945" s="2"/>
      <c r="B945" s="2"/>
      <c r="C945" s="2"/>
      <c r="D945" s="22"/>
      <c r="E945" s="2"/>
      <c r="F945" s="2"/>
      <c r="G945" s="2"/>
      <c r="H945" s="2"/>
      <c r="I945" s="2"/>
      <c r="J945" s="2"/>
      <c r="K945" s="2"/>
      <c r="L945" s="2"/>
      <c r="M945" s="23"/>
      <c r="N945" s="31"/>
      <c r="O945" s="23"/>
      <c r="P945" s="30"/>
      <c r="Q945" s="23"/>
      <c r="R945" s="23"/>
      <c r="S945" s="23"/>
      <c r="T945" s="23"/>
      <c r="U945" s="23"/>
      <c r="V945" s="23"/>
      <c r="W945" s="23"/>
      <c r="X945" s="23"/>
      <c r="Y945" s="23"/>
      <c r="Z945" s="23"/>
      <c r="AA945" s="23"/>
      <c r="AB945" s="23"/>
    </row>
    <row r="946" spans="1:28" x14ac:dyDescent="0.25">
      <c r="A946" s="2"/>
      <c r="B946" s="2"/>
      <c r="C946" s="2"/>
      <c r="D946" s="22"/>
      <c r="E946" s="2"/>
      <c r="F946" s="2"/>
      <c r="G946" s="2"/>
      <c r="H946" s="2"/>
      <c r="I946" s="2"/>
      <c r="J946" s="2"/>
      <c r="K946" s="2"/>
      <c r="L946" s="2"/>
      <c r="M946" s="23"/>
      <c r="N946" s="31"/>
      <c r="O946" s="23"/>
      <c r="P946" s="30"/>
      <c r="Q946" s="23"/>
      <c r="R946" s="23"/>
      <c r="S946" s="23"/>
      <c r="T946" s="23"/>
      <c r="U946" s="23"/>
      <c r="V946" s="23"/>
      <c r="W946" s="23"/>
      <c r="X946" s="23"/>
      <c r="Y946" s="23"/>
      <c r="Z946" s="23"/>
      <c r="AA946" s="23"/>
      <c r="AB946" s="23"/>
    </row>
    <row r="947" spans="1:28" x14ac:dyDescent="0.25">
      <c r="A947" s="2"/>
      <c r="B947" s="2"/>
      <c r="C947" s="2"/>
      <c r="D947" s="22"/>
      <c r="E947" s="2"/>
      <c r="F947" s="2"/>
      <c r="G947" s="2"/>
      <c r="H947" s="2"/>
      <c r="I947" s="2"/>
      <c r="J947" s="2"/>
      <c r="K947" s="2"/>
      <c r="L947" s="2"/>
      <c r="M947" s="23"/>
      <c r="N947" s="31"/>
      <c r="O947" s="23"/>
      <c r="P947" s="30"/>
      <c r="Q947" s="23"/>
      <c r="R947" s="23"/>
      <c r="S947" s="23"/>
      <c r="T947" s="23"/>
      <c r="U947" s="23"/>
      <c r="V947" s="23"/>
      <c r="W947" s="23"/>
      <c r="X947" s="23"/>
      <c r="Y947" s="23"/>
      <c r="Z947" s="23"/>
      <c r="AA947" s="23"/>
      <c r="AB947" s="23"/>
    </row>
    <row r="948" spans="1:28" x14ac:dyDescent="0.25">
      <c r="A948" s="2"/>
      <c r="B948" s="2"/>
      <c r="C948" s="2"/>
      <c r="D948" s="22"/>
      <c r="E948" s="2"/>
      <c r="F948" s="2"/>
      <c r="G948" s="2"/>
      <c r="H948" s="2"/>
      <c r="I948" s="2"/>
      <c r="J948" s="2"/>
      <c r="K948" s="2"/>
      <c r="L948" s="2"/>
      <c r="M948" s="23"/>
      <c r="N948" s="31"/>
      <c r="O948" s="23"/>
      <c r="P948" s="30"/>
      <c r="Q948" s="23"/>
      <c r="R948" s="23"/>
      <c r="S948" s="23"/>
      <c r="T948" s="23"/>
      <c r="U948" s="23"/>
      <c r="V948" s="23"/>
      <c r="W948" s="23"/>
      <c r="X948" s="23"/>
      <c r="Y948" s="23"/>
      <c r="Z948" s="23"/>
      <c r="AA948" s="23"/>
      <c r="AB948" s="23"/>
    </row>
    <row r="949" spans="1:28" x14ac:dyDescent="0.25">
      <c r="A949" s="2"/>
      <c r="B949" s="2"/>
      <c r="C949" s="2"/>
      <c r="D949" s="22"/>
      <c r="E949" s="2"/>
      <c r="F949" s="2"/>
      <c r="G949" s="2"/>
      <c r="H949" s="2"/>
      <c r="I949" s="2"/>
      <c r="J949" s="2"/>
      <c r="K949" s="2"/>
      <c r="L949" s="2"/>
      <c r="M949" s="23"/>
      <c r="N949" s="31"/>
      <c r="O949" s="23"/>
      <c r="P949" s="30"/>
      <c r="Q949" s="23"/>
      <c r="R949" s="23"/>
      <c r="S949" s="23"/>
      <c r="T949" s="23"/>
      <c r="U949" s="23"/>
      <c r="V949" s="23"/>
      <c r="W949" s="23"/>
      <c r="X949" s="23"/>
      <c r="Y949" s="23"/>
      <c r="Z949" s="23"/>
      <c r="AA949" s="23"/>
      <c r="AB949" s="23"/>
    </row>
    <row r="950" spans="1:28" x14ac:dyDescent="0.25">
      <c r="A950" s="2"/>
      <c r="B950" s="2"/>
      <c r="C950" s="2"/>
      <c r="D950" s="22"/>
      <c r="E950" s="2"/>
      <c r="F950" s="2"/>
      <c r="G950" s="2"/>
      <c r="H950" s="2"/>
      <c r="I950" s="2"/>
      <c r="J950" s="2"/>
      <c r="K950" s="2"/>
      <c r="L950" s="2"/>
      <c r="M950" s="23"/>
      <c r="N950" s="31"/>
      <c r="O950" s="23"/>
      <c r="P950" s="30"/>
      <c r="Q950" s="23"/>
      <c r="R950" s="23"/>
      <c r="S950" s="23"/>
      <c r="T950" s="23"/>
      <c r="U950" s="23"/>
      <c r="V950" s="23"/>
      <c r="W950" s="23"/>
      <c r="X950" s="23"/>
      <c r="Y950" s="23"/>
      <c r="Z950" s="23"/>
      <c r="AA950" s="23"/>
      <c r="AB950" s="23"/>
    </row>
    <row r="951" spans="1:28" x14ac:dyDescent="0.25">
      <c r="A951" s="2"/>
      <c r="B951" s="2"/>
      <c r="C951" s="2"/>
      <c r="D951" s="22"/>
      <c r="E951" s="2"/>
      <c r="F951" s="2"/>
      <c r="G951" s="2"/>
      <c r="H951" s="2"/>
      <c r="I951" s="2"/>
      <c r="J951" s="2"/>
      <c r="K951" s="2"/>
      <c r="L951" s="2"/>
      <c r="M951" s="23"/>
      <c r="N951" s="31"/>
      <c r="O951" s="23"/>
      <c r="P951" s="30"/>
      <c r="Q951" s="23"/>
      <c r="R951" s="23"/>
      <c r="S951" s="23"/>
      <c r="T951" s="23"/>
      <c r="U951" s="23"/>
      <c r="V951" s="23"/>
      <c r="W951" s="23"/>
      <c r="X951" s="23"/>
      <c r="Y951" s="23"/>
      <c r="Z951" s="23"/>
      <c r="AA951" s="23"/>
      <c r="AB951" s="23"/>
    </row>
    <row r="952" spans="1:28" x14ac:dyDescent="0.25">
      <c r="A952" s="2"/>
      <c r="B952" s="2"/>
      <c r="C952" s="2"/>
      <c r="D952" s="22"/>
      <c r="E952" s="2"/>
      <c r="F952" s="2"/>
      <c r="G952" s="2"/>
      <c r="H952" s="2"/>
      <c r="I952" s="2"/>
      <c r="J952" s="2"/>
      <c r="K952" s="2"/>
      <c r="L952" s="2"/>
      <c r="M952" s="23"/>
      <c r="N952" s="31"/>
      <c r="O952" s="23"/>
      <c r="P952" s="30"/>
      <c r="Q952" s="23"/>
      <c r="R952" s="23"/>
      <c r="S952" s="23"/>
      <c r="T952" s="23"/>
      <c r="U952" s="23"/>
      <c r="V952" s="23"/>
      <c r="W952" s="23"/>
      <c r="X952" s="23"/>
      <c r="Y952" s="23"/>
      <c r="Z952" s="23"/>
      <c r="AA952" s="23"/>
      <c r="AB952" s="23"/>
    </row>
    <row r="953" spans="1:28" x14ac:dyDescent="0.25">
      <c r="A953" s="2"/>
      <c r="B953" s="2"/>
      <c r="C953" s="2"/>
      <c r="D953" s="22"/>
      <c r="E953" s="2"/>
      <c r="F953" s="2"/>
      <c r="G953" s="2"/>
      <c r="H953" s="2"/>
      <c r="I953" s="2"/>
      <c r="J953" s="2"/>
      <c r="K953" s="2"/>
      <c r="L953" s="2"/>
      <c r="M953" s="23"/>
      <c r="N953" s="31"/>
      <c r="O953" s="23"/>
      <c r="P953" s="30"/>
      <c r="Q953" s="23"/>
      <c r="R953" s="23"/>
      <c r="S953" s="23"/>
      <c r="T953" s="23"/>
      <c r="U953" s="23"/>
      <c r="V953" s="23"/>
      <c r="W953" s="23"/>
      <c r="X953" s="23"/>
      <c r="Y953" s="23"/>
      <c r="Z953" s="23"/>
      <c r="AA953" s="23"/>
      <c r="AB953" s="23"/>
    </row>
    <row r="954" spans="1:28" x14ac:dyDescent="0.25">
      <c r="A954" s="2"/>
      <c r="B954" s="2"/>
      <c r="C954" s="2"/>
      <c r="D954" s="22"/>
      <c r="E954" s="2"/>
      <c r="F954" s="2"/>
      <c r="G954" s="2"/>
      <c r="H954" s="2"/>
      <c r="I954" s="2"/>
      <c r="J954" s="2"/>
      <c r="K954" s="2"/>
      <c r="L954" s="2"/>
      <c r="M954" s="23"/>
      <c r="N954" s="31"/>
      <c r="O954" s="23"/>
      <c r="P954" s="30"/>
      <c r="Q954" s="23"/>
      <c r="R954" s="23"/>
      <c r="S954" s="23"/>
      <c r="T954" s="23"/>
      <c r="U954" s="23"/>
      <c r="V954" s="23"/>
      <c r="W954" s="23"/>
      <c r="X954" s="23"/>
      <c r="Y954" s="23"/>
      <c r="Z954" s="23"/>
      <c r="AA954" s="23"/>
      <c r="AB954" s="23"/>
    </row>
    <row r="955" spans="1:28" x14ac:dyDescent="0.25">
      <c r="A955" s="2"/>
      <c r="B955" s="2"/>
      <c r="C955" s="2"/>
      <c r="D955" s="22"/>
      <c r="E955" s="2"/>
      <c r="F955" s="2"/>
      <c r="G955" s="2"/>
      <c r="H955" s="2"/>
      <c r="I955" s="2"/>
      <c r="J955" s="2"/>
      <c r="K955" s="2"/>
      <c r="L955" s="2"/>
      <c r="M955" s="23"/>
      <c r="N955" s="31"/>
      <c r="O955" s="23"/>
      <c r="P955" s="30"/>
      <c r="Q955" s="23"/>
      <c r="R955" s="23"/>
      <c r="S955" s="23"/>
      <c r="T955" s="23"/>
      <c r="U955" s="23"/>
      <c r="V955" s="23"/>
      <c r="W955" s="23"/>
      <c r="X955" s="23"/>
      <c r="Y955" s="23"/>
      <c r="Z955" s="23"/>
      <c r="AA955" s="23"/>
      <c r="AB955" s="23"/>
    </row>
    <row r="956" spans="1:28" x14ac:dyDescent="0.25">
      <c r="A956" s="2"/>
      <c r="B956" s="2"/>
      <c r="C956" s="2"/>
      <c r="D956" s="22"/>
      <c r="E956" s="2"/>
      <c r="F956" s="2"/>
      <c r="G956" s="2"/>
      <c r="H956" s="2"/>
      <c r="I956" s="2"/>
      <c r="J956" s="2"/>
      <c r="K956" s="2"/>
      <c r="L956" s="2"/>
      <c r="M956" s="23"/>
      <c r="N956" s="31"/>
      <c r="O956" s="23"/>
      <c r="P956" s="30"/>
      <c r="Q956" s="23"/>
      <c r="R956" s="23"/>
      <c r="S956" s="23"/>
      <c r="T956" s="23"/>
      <c r="U956" s="23"/>
      <c r="V956" s="23"/>
      <c r="W956" s="23"/>
      <c r="X956" s="23"/>
      <c r="Y956" s="23"/>
      <c r="Z956" s="23"/>
      <c r="AA956" s="23"/>
      <c r="AB956" s="23"/>
    </row>
    <row r="957" spans="1:28" x14ac:dyDescent="0.25">
      <c r="A957" s="2"/>
      <c r="B957" s="2"/>
      <c r="C957" s="2"/>
      <c r="D957" s="22"/>
      <c r="E957" s="2"/>
      <c r="F957" s="2"/>
      <c r="G957" s="2"/>
      <c r="H957" s="2"/>
      <c r="I957" s="2"/>
      <c r="J957" s="2"/>
      <c r="K957" s="2"/>
      <c r="L957" s="2"/>
      <c r="M957" s="23"/>
      <c r="N957" s="31"/>
      <c r="O957" s="23"/>
      <c r="P957" s="30"/>
      <c r="Q957" s="23"/>
      <c r="R957" s="23"/>
      <c r="S957" s="23"/>
      <c r="T957" s="23"/>
      <c r="U957" s="23"/>
      <c r="V957" s="23"/>
      <c r="W957" s="23"/>
      <c r="X957" s="23"/>
      <c r="Y957" s="23"/>
      <c r="Z957" s="23"/>
      <c r="AA957" s="23"/>
      <c r="AB957" s="23"/>
    </row>
    <row r="958" spans="1:28" x14ac:dyDescent="0.25">
      <c r="A958" s="2"/>
      <c r="B958" s="2"/>
      <c r="C958" s="2"/>
      <c r="D958" s="22"/>
      <c r="E958" s="2"/>
      <c r="F958" s="2"/>
      <c r="G958" s="2"/>
      <c r="H958" s="2"/>
      <c r="I958" s="2"/>
      <c r="J958" s="2"/>
      <c r="K958" s="2"/>
      <c r="L958" s="2"/>
      <c r="M958" s="23"/>
      <c r="N958" s="31"/>
      <c r="O958" s="23"/>
      <c r="P958" s="30"/>
      <c r="Q958" s="23"/>
      <c r="R958" s="23"/>
      <c r="S958" s="23"/>
      <c r="T958" s="23"/>
      <c r="U958" s="23"/>
      <c r="V958" s="23"/>
      <c r="W958" s="23"/>
      <c r="X958" s="23"/>
      <c r="Y958" s="23"/>
      <c r="Z958" s="23"/>
      <c r="AA958" s="23"/>
      <c r="AB958" s="23"/>
    </row>
    <row r="959" spans="1:28" x14ac:dyDescent="0.25">
      <c r="A959" s="2"/>
      <c r="B959" s="2"/>
      <c r="C959" s="2"/>
      <c r="D959" s="22"/>
      <c r="E959" s="2"/>
      <c r="F959" s="2"/>
      <c r="G959" s="2"/>
      <c r="H959" s="2"/>
      <c r="I959" s="2"/>
      <c r="J959" s="2"/>
      <c r="K959" s="2"/>
      <c r="L959" s="2"/>
      <c r="M959" s="23"/>
      <c r="N959" s="31"/>
      <c r="O959" s="23"/>
      <c r="P959" s="30"/>
      <c r="Q959" s="23"/>
      <c r="R959" s="23"/>
      <c r="S959" s="23"/>
      <c r="T959" s="23"/>
      <c r="U959" s="23"/>
      <c r="V959" s="23"/>
      <c r="W959" s="23"/>
      <c r="X959" s="23"/>
      <c r="Y959" s="23"/>
      <c r="Z959" s="23"/>
      <c r="AA959" s="23"/>
      <c r="AB959" s="23"/>
    </row>
    <row r="960" spans="1:28" x14ac:dyDescent="0.25">
      <c r="A960" s="2"/>
      <c r="B960" s="2"/>
      <c r="C960" s="2"/>
      <c r="D960" s="22"/>
      <c r="E960" s="2"/>
      <c r="F960" s="2"/>
      <c r="G960" s="2"/>
      <c r="H960" s="2"/>
      <c r="I960" s="2"/>
      <c r="J960" s="2"/>
      <c r="K960" s="2"/>
      <c r="L960" s="2"/>
      <c r="M960" s="23"/>
      <c r="N960" s="31"/>
      <c r="O960" s="23"/>
      <c r="P960" s="30"/>
      <c r="Q960" s="23"/>
      <c r="R960" s="23"/>
      <c r="S960" s="23"/>
      <c r="T960" s="23"/>
      <c r="U960" s="23"/>
      <c r="V960" s="23"/>
      <c r="W960" s="23"/>
      <c r="X960" s="23"/>
      <c r="Y960" s="23"/>
      <c r="Z960" s="23"/>
      <c r="AA960" s="23"/>
      <c r="AB960" s="23"/>
    </row>
    <row r="961" spans="1:28" x14ac:dyDescent="0.25">
      <c r="A961" s="2"/>
      <c r="B961" s="2"/>
      <c r="C961" s="2"/>
      <c r="D961" s="22"/>
      <c r="E961" s="2"/>
      <c r="F961" s="2"/>
      <c r="G961" s="2"/>
      <c r="H961" s="2"/>
      <c r="I961" s="2"/>
      <c r="J961" s="2"/>
      <c r="K961" s="2"/>
      <c r="L961" s="2"/>
      <c r="M961" s="23"/>
      <c r="N961" s="31"/>
      <c r="O961" s="23"/>
      <c r="P961" s="30"/>
      <c r="Q961" s="23"/>
      <c r="R961" s="23"/>
      <c r="S961" s="23"/>
      <c r="T961" s="23"/>
      <c r="U961" s="23"/>
      <c r="V961" s="23"/>
      <c r="W961" s="23"/>
      <c r="X961" s="23"/>
      <c r="Y961" s="23"/>
      <c r="Z961" s="23"/>
      <c r="AA961" s="23"/>
      <c r="AB961" s="23"/>
    </row>
    <row r="962" spans="1:28" x14ac:dyDescent="0.25">
      <c r="A962" s="2"/>
      <c r="B962" s="2"/>
      <c r="C962" s="2"/>
      <c r="D962" s="22"/>
      <c r="E962" s="2"/>
      <c r="F962" s="2"/>
      <c r="G962" s="2"/>
      <c r="H962" s="2"/>
      <c r="I962" s="2"/>
      <c r="J962" s="2"/>
      <c r="K962" s="2"/>
      <c r="L962" s="2"/>
      <c r="M962" s="23"/>
      <c r="N962" s="31"/>
      <c r="O962" s="23"/>
      <c r="P962" s="30"/>
      <c r="Q962" s="23"/>
      <c r="R962" s="23"/>
      <c r="S962" s="23"/>
      <c r="T962" s="23"/>
      <c r="U962" s="23"/>
      <c r="V962" s="23"/>
      <c r="W962" s="23"/>
      <c r="X962" s="23"/>
      <c r="Y962" s="23"/>
      <c r="Z962" s="23"/>
      <c r="AA962" s="23"/>
      <c r="AB962" s="23"/>
    </row>
    <row r="963" spans="1:28" x14ac:dyDescent="0.25">
      <c r="A963" s="2"/>
      <c r="B963" s="2"/>
      <c r="C963" s="2"/>
      <c r="D963" s="22"/>
      <c r="E963" s="2"/>
      <c r="F963" s="2"/>
      <c r="G963" s="2"/>
      <c r="H963" s="2"/>
      <c r="I963" s="2"/>
      <c r="J963" s="2"/>
      <c r="K963" s="2"/>
      <c r="L963" s="2"/>
      <c r="M963" s="23"/>
      <c r="N963" s="31"/>
      <c r="O963" s="23"/>
      <c r="P963" s="30"/>
      <c r="Q963" s="23"/>
      <c r="R963" s="23"/>
      <c r="S963" s="23"/>
      <c r="T963" s="23"/>
      <c r="U963" s="23"/>
      <c r="V963" s="23"/>
      <c r="W963" s="23"/>
      <c r="X963" s="23"/>
      <c r="Y963" s="23"/>
      <c r="Z963" s="23"/>
      <c r="AA963" s="23"/>
      <c r="AB963" s="23"/>
    </row>
    <row r="964" spans="1:28" x14ac:dyDescent="0.25">
      <c r="A964" s="2"/>
      <c r="B964" s="2"/>
      <c r="C964" s="2"/>
      <c r="D964" s="22"/>
      <c r="E964" s="2"/>
      <c r="F964" s="2"/>
      <c r="G964" s="2"/>
      <c r="H964" s="2"/>
      <c r="I964" s="2"/>
      <c r="J964" s="2"/>
      <c r="K964" s="2"/>
      <c r="L964" s="2"/>
      <c r="M964" s="23"/>
      <c r="N964" s="31"/>
      <c r="O964" s="23"/>
      <c r="P964" s="30"/>
      <c r="Q964" s="23"/>
      <c r="R964" s="23"/>
      <c r="S964" s="23"/>
      <c r="T964" s="23"/>
      <c r="U964" s="23"/>
      <c r="V964" s="23"/>
      <c r="W964" s="23"/>
      <c r="X964" s="23"/>
      <c r="Y964" s="23"/>
      <c r="Z964" s="23"/>
      <c r="AA964" s="23"/>
      <c r="AB964" s="23"/>
    </row>
    <row r="965" spans="1:28" x14ac:dyDescent="0.25">
      <c r="A965" s="2"/>
      <c r="B965" s="2"/>
      <c r="C965" s="2"/>
      <c r="D965" s="22"/>
      <c r="E965" s="2"/>
      <c r="F965" s="2"/>
      <c r="G965" s="2"/>
      <c r="H965" s="2"/>
      <c r="I965" s="2"/>
      <c r="J965" s="2"/>
      <c r="K965" s="2"/>
      <c r="L965" s="2"/>
      <c r="M965" s="23"/>
      <c r="N965" s="31"/>
      <c r="O965" s="23"/>
      <c r="P965" s="30"/>
      <c r="Q965" s="23"/>
      <c r="R965" s="23"/>
      <c r="S965" s="23"/>
      <c r="T965" s="23"/>
      <c r="U965" s="23"/>
      <c r="V965" s="23"/>
      <c r="W965" s="23"/>
      <c r="X965" s="23"/>
      <c r="Y965" s="23"/>
      <c r="Z965" s="23"/>
      <c r="AA965" s="23"/>
      <c r="AB965" s="23"/>
    </row>
    <row r="966" spans="1:28" x14ac:dyDescent="0.25">
      <c r="A966" s="2"/>
      <c r="B966" s="2"/>
      <c r="C966" s="2"/>
      <c r="D966" s="22"/>
      <c r="E966" s="2"/>
      <c r="F966" s="2"/>
      <c r="G966" s="2"/>
      <c r="H966" s="2"/>
      <c r="I966" s="2"/>
      <c r="J966" s="2"/>
      <c r="K966" s="2"/>
      <c r="L966" s="2"/>
      <c r="M966" s="23"/>
      <c r="N966" s="31"/>
      <c r="O966" s="23"/>
      <c r="P966" s="30"/>
      <c r="Q966" s="23"/>
      <c r="R966" s="23"/>
      <c r="S966" s="23"/>
      <c r="T966" s="23"/>
      <c r="U966" s="23"/>
      <c r="V966" s="23"/>
      <c r="W966" s="23"/>
      <c r="X966" s="23"/>
      <c r="Y966" s="23"/>
      <c r="Z966" s="23"/>
      <c r="AA966" s="23"/>
      <c r="AB966" s="23"/>
    </row>
    <row r="967" spans="1:28" x14ac:dyDescent="0.25">
      <c r="A967" s="2"/>
      <c r="B967" s="2"/>
      <c r="C967" s="2"/>
      <c r="D967" s="22"/>
      <c r="E967" s="2"/>
      <c r="F967" s="2"/>
      <c r="G967" s="2"/>
      <c r="H967" s="2"/>
      <c r="I967" s="2"/>
      <c r="J967" s="2"/>
      <c r="K967" s="2"/>
      <c r="L967" s="2"/>
      <c r="M967" s="23"/>
      <c r="N967" s="31"/>
      <c r="O967" s="23"/>
      <c r="P967" s="30"/>
      <c r="Q967" s="23"/>
      <c r="R967" s="23"/>
      <c r="S967" s="23"/>
      <c r="T967" s="23"/>
      <c r="U967" s="23"/>
      <c r="V967" s="23"/>
      <c r="W967" s="23"/>
      <c r="X967" s="23"/>
      <c r="Y967" s="23"/>
      <c r="Z967" s="23"/>
      <c r="AA967" s="23"/>
      <c r="AB967" s="23"/>
    </row>
    <row r="968" spans="1:28" x14ac:dyDescent="0.25">
      <c r="A968" s="2"/>
      <c r="B968" s="2"/>
      <c r="C968" s="2"/>
      <c r="D968" s="22"/>
      <c r="E968" s="2"/>
      <c r="F968" s="2"/>
      <c r="G968" s="2"/>
      <c r="H968" s="2"/>
      <c r="I968" s="2"/>
      <c r="J968" s="2"/>
      <c r="K968" s="2"/>
      <c r="L968" s="2"/>
      <c r="M968" s="23"/>
      <c r="N968" s="31"/>
      <c r="O968" s="23"/>
      <c r="P968" s="30"/>
      <c r="Q968" s="23"/>
      <c r="R968" s="23"/>
      <c r="S968" s="23"/>
      <c r="T968" s="23"/>
      <c r="U968" s="23"/>
      <c r="V968" s="23"/>
      <c r="W968" s="23"/>
      <c r="X968" s="23"/>
      <c r="Y968" s="23"/>
      <c r="Z968" s="23"/>
      <c r="AA968" s="23"/>
      <c r="AB968" s="23"/>
    </row>
    <row r="969" spans="1:28" x14ac:dyDescent="0.25">
      <c r="A969" s="2"/>
      <c r="B969" s="2"/>
      <c r="C969" s="2"/>
      <c r="D969" s="22"/>
      <c r="E969" s="2"/>
      <c r="F969" s="2"/>
      <c r="G969" s="2"/>
      <c r="H969" s="2"/>
      <c r="I969" s="2"/>
      <c r="J969" s="2"/>
      <c r="K969" s="2"/>
      <c r="L969" s="2"/>
      <c r="M969" s="23"/>
      <c r="N969" s="31"/>
      <c r="O969" s="23"/>
      <c r="P969" s="30"/>
      <c r="Q969" s="23"/>
      <c r="R969" s="23"/>
      <c r="S969" s="23"/>
      <c r="T969" s="23"/>
      <c r="U969" s="23"/>
      <c r="V969" s="23"/>
      <c r="W969" s="23"/>
      <c r="X969" s="23"/>
      <c r="Y969" s="23"/>
      <c r="Z969" s="23"/>
      <c r="AA969" s="23"/>
      <c r="AB969" s="23"/>
    </row>
    <row r="970" spans="1:28" x14ac:dyDescent="0.25">
      <c r="A970" s="2"/>
      <c r="B970" s="2"/>
      <c r="C970" s="2"/>
      <c r="D970" s="22"/>
      <c r="E970" s="2"/>
      <c r="F970" s="2"/>
      <c r="G970" s="2"/>
      <c r="H970" s="2"/>
      <c r="I970" s="2"/>
      <c r="J970" s="2"/>
      <c r="K970" s="2"/>
      <c r="L970" s="2"/>
      <c r="M970" s="23"/>
      <c r="N970" s="31"/>
      <c r="O970" s="23"/>
      <c r="P970" s="30"/>
      <c r="Q970" s="23"/>
      <c r="R970" s="23"/>
      <c r="S970" s="23"/>
      <c r="T970" s="23"/>
      <c r="U970" s="23"/>
      <c r="V970" s="23"/>
      <c r="W970" s="23"/>
      <c r="X970" s="23"/>
      <c r="Y970" s="23"/>
      <c r="Z970" s="23"/>
      <c r="AA970" s="23"/>
      <c r="AB970" s="23"/>
    </row>
    <row r="971" spans="1:28" x14ac:dyDescent="0.25">
      <c r="A971" s="2"/>
      <c r="B971" s="2"/>
      <c r="C971" s="2"/>
      <c r="D971" s="22"/>
      <c r="E971" s="2"/>
      <c r="F971" s="2"/>
      <c r="G971" s="2"/>
      <c r="H971" s="2"/>
      <c r="I971" s="2"/>
      <c r="J971" s="2"/>
      <c r="K971" s="2"/>
      <c r="L971" s="2"/>
      <c r="M971" s="23"/>
      <c r="N971" s="31"/>
      <c r="O971" s="23"/>
      <c r="P971" s="30"/>
      <c r="Q971" s="23"/>
      <c r="R971" s="23"/>
      <c r="S971" s="23"/>
      <c r="T971" s="23"/>
      <c r="U971" s="23"/>
      <c r="V971" s="23"/>
      <c r="W971" s="23"/>
      <c r="X971" s="23"/>
      <c r="Y971" s="23"/>
      <c r="Z971" s="23"/>
      <c r="AA971" s="23"/>
      <c r="AB971" s="23"/>
    </row>
    <row r="972" spans="1:28" x14ac:dyDescent="0.25">
      <c r="A972" s="2"/>
      <c r="B972" s="2"/>
      <c r="C972" s="2"/>
      <c r="D972" s="22"/>
      <c r="E972" s="2"/>
      <c r="F972" s="2"/>
      <c r="G972" s="2"/>
      <c r="H972" s="2"/>
      <c r="I972" s="2"/>
      <c r="J972" s="2"/>
      <c r="K972" s="2"/>
      <c r="L972" s="2"/>
      <c r="M972" s="23"/>
      <c r="N972" s="31"/>
      <c r="O972" s="23"/>
      <c r="P972" s="30"/>
      <c r="Q972" s="23"/>
      <c r="R972" s="23"/>
      <c r="S972" s="23"/>
      <c r="T972" s="23"/>
      <c r="U972" s="23"/>
      <c r="V972" s="23"/>
      <c r="W972" s="23"/>
      <c r="X972" s="23"/>
      <c r="Y972" s="23"/>
      <c r="Z972" s="23"/>
      <c r="AA972" s="23"/>
      <c r="AB972" s="23"/>
    </row>
    <row r="973" spans="1:28" x14ac:dyDescent="0.25">
      <c r="A973" s="2"/>
      <c r="B973" s="2"/>
      <c r="C973" s="2"/>
      <c r="D973" s="22"/>
      <c r="E973" s="2"/>
      <c r="F973" s="2"/>
      <c r="G973" s="2"/>
      <c r="H973" s="2"/>
      <c r="I973" s="2"/>
      <c r="J973" s="2"/>
      <c r="K973" s="2"/>
      <c r="L973" s="2"/>
      <c r="M973" s="23"/>
      <c r="N973" s="31"/>
      <c r="O973" s="23"/>
      <c r="P973" s="30"/>
      <c r="Q973" s="23"/>
      <c r="R973" s="23"/>
      <c r="S973" s="23"/>
      <c r="T973" s="23"/>
      <c r="U973" s="23"/>
      <c r="V973" s="23"/>
      <c r="W973" s="23"/>
      <c r="X973" s="23"/>
      <c r="Y973" s="23"/>
      <c r="Z973" s="23"/>
      <c r="AA973" s="23"/>
      <c r="AB973" s="23"/>
    </row>
    <row r="974" spans="1:28" x14ac:dyDescent="0.25">
      <c r="A974" s="2"/>
      <c r="B974" s="2"/>
      <c r="C974" s="2"/>
      <c r="D974" s="22"/>
      <c r="E974" s="2"/>
      <c r="F974" s="2"/>
      <c r="G974" s="2"/>
      <c r="H974" s="2"/>
      <c r="I974" s="2"/>
      <c r="J974" s="2"/>
      <c r="K974" s="2"/>
      <c r="L974" s="2"/>
      <c r="M974" s="23"/>
      <c r="N974" s="31"/>
      <c r="O974" s="23"/>
      <c r="P974" s="30"/>
      <c r="Q974" s="23"/>
      <c r="R974" s="23"/>
      <c r="S974" s="23"/>
      <c r="T974" s="23"/>
      <c r="U974" s="23"/>
      <c r="V974" s="23"/>
      <c r="W974" s="23"/>
      <c r="X974" s="23"/>
      <c r="Y974" s="23"/>
      <c r="Z974" s="23"/>
      <c r="AA974" s="23"/>
      <c r="AB974" s="23"/>
    </row>
    <row r="975" spans="1:28" x14ac:dyDescent="0.25">
      <c r="A975" s="2"/>
      <c r="B975" s="2"/>
      <c r="C975" s="2"/>
      <c r="D975" s="22"/>
      <c r="E975" s="2"/>
      <c r="F975" s="2"/>
      <c r="G975" s="2"/>
      <c r="H975" s="2"/>
      <c r="I975" s="2"/>
      <c r="J975" s="2"/>
      <c r="K975" s="2"/>
      <c r="L975" s="2"/>
      <c r="M975" s="23"/>
      <c r="N975" s="31"/>
      <c r="O975" s="23"/>
      <c r="P975" s="30"/>
      <c r="Q975" s="23"/>
      <c r="R975" s="23"/>
      <c r="S975" s="23"/>
      <c r="T975" s="23"/>
      <c r="U975" s="23"/>
      <c r="V975" s="23"/>
      <c r="W975" s="23"/>
      <c r="X975" s="23"/>
      <c r="Y975" s="23"/>
      <c r="Z975" s="23"/>
      <c r="AA975" s="23"/>
      <c r="AB975" s="23"/>
    </row>
    <row r="976" spans="1:28" x14ac:dyDescent="0.25">
      <c r="A976" s="2"/>
      <c r="B976" s="2"/>
      <c r="C976" s="2"/>
      <c r="D976" s="22"/>
      <c r="E976" s="2"/>
      <c r="F976" s="2"/>
      <c r="G976" s="2"/>
      <c r="H976" s="2"/>
      <c r="I976" s="2"/>
      <c r="J976" s="2"/>
      <c r="K976" s="2"/>
      <c r="L976" s="2"/>
      <c r="M976" s="23"/>
      <c r="N976" s="31"/>
      <c r="O976" s="23"/>
      <c r="P976" s="30"/>
      <c r="Q976" s="23"/>
      <c r="R976" s="23"/>
      <c r="S976" s="23"/>
      <c r="T976" s="23"/>
      <c r="U976" s="23"/>
      <c r="V976" s="23"/>
      <c r="W976" s="23"/>
      <c r="X976" s="23"/>
      <c r="Y976" s="23"/>
      <c r="Z976" s="23"/>
      <c r="AA976" s="23"/>
      <c r="AB976" s="23"/>
    </row>
    <row r="977" spans="1:28" x14ac:dyDescent="0.25">
      <c r="A977" s="2"/>
      <c r="B977" s="2"/>
      <c r="C977" s="2"/>
      <c r="D977" s="22"/>
      <c r="E977" s="2"/>
      <c r="F977" s="2"/>
      <c r="G977" s="2"/>
      <c r="H977" s="2"/>
      <c r="I977" s="2"/>
      <c r="J977" s="2"/>
      <c r="K977" s="2"/>
      <c r="L977" s="2"/>
      <c r="M977" s="23"/>
      <c r="N977" s="31"/>
      <c r="O977" s="23"/>
      <c r="P977" s="30"/>
      <c r="Q977" s="23"/>
      <c r="R977" s="23"/>
      <c r="S977" s="23"/>
      <c r="T977" s="23"/>
      <c r="U977" s="23"/>
      <c r="V977" s="23"/>
      <c r="W977" s="23"/>
      <c r="X977" s="23"/>
      <c r="Y977" s="23"/>
      <c r="Z977" s="23"/>
      <c r="AA977" s="23"/>
      <c r="AB977" s="23"/>
    </row>
    <row r="978" spans="1:28" x14ac:dyDescent="0.25">
      <c r="A978" s="2"/>
      <c r="B978" s="2"/>
      <c r="C978" s="2"/>
      <c r="D978" s="22"/>
      <c r="E978" s="2"/>
      <c r="F978" s="2"/>
      <c r="G978" s="2"/>
      <c r="H978" s="2"/>
      <c r="I978" s="2"/>
      <c r="J978" s="2"/>
      <c r="K978" s="2"/>
      <c r="L978" s="2"/>
      <c r="M978" s="23"/>
      <c r="N978" s="31"/>
      <c r="O978" s="23"/>
      <c r="P978" s="30"/>
      <c r="Q978" s="23"/>
      <c r="R978" s="23"/>
      <c r="S978" s="23"/>
      <c r="T978" s="23"/>
      <c r="U978" s="23"/>
      <c r="V978" s="23"/>
      <c r="W978" s="23"/>
      <c r="X978" s="23"/>
      <c r="Y978" s="23"/>
      <c r="Z978" s="23"/>
      <c r="AA978" s="23"/>
      <c r="AB978" s="23"/>
    </row>
    <row r="979" spans="1:28" x14ac:dyDescent="0.25">
      <c r="A979" s="2"/>
      <c r="B979" s="2"/>
      <c r="C979" s="2"/>
      <c r="D979" s="22"/>
      <c r="E979" s="2"/>
      <c r="F979" s="2"/>
      <c r="G979" s="2"/>
      <c r="H979" s="2"/>
      <c r="I979" s="2"/>
      <c r="J979" s="2"/>
      <c r="K979" s="2"/>
      <c r="L979" s="2"/>
      <c r="M979" s="23"/>
      <c r="N979" s="31"/>
      <c r="O979" s="23"/>
      <c r="P979" s="30"/>
      <c r="Q979" s="23"/>
      <c r="R979" s="23"/>
      <c r="S979" s="23"/>
      <c r="T979" s="23"/>
      <c r="U979" s="23"/>
      <c r="V979" s="23"/>
      <c r="W979" s="23"/>
      <c r="X979" s="23"/>
      <c r="Y979" s="23"/>
      <c r="Z979" s="23"/>
      <c r="AA979" s="23"/>
      <c r="AB979" s="23"/>
    </row>
    <row r="980" spans="1:28" x14ac:dyDescent="0.25">
      <c r="A980" s="2"/>
      <c r="B980" s="2"/>
      <c r="C980" s="2"/>
      <c r="D980" s="22"/>
      <c r="E980" s="2"/>
      <c r="F980" s="2"/>
      <c r="G980" s="2"/>
      <c r="H980" s="2"/>
      <c r="I980" s="2"/>
      <c r="J980" s="2"/>
      <c r="K980" s="2"/>
      <c r="L980" s="2"/>
      <c r="M980" s="23"/>
      <c r="N980" s="31"/>
      <c r="O980" s="23"/>
      <c r="P980" s="30"/>
      <c r="Q980" s="23"/>
      <c r="R980" s="23"/>
      <c r="S980" s="23"/>
      <c r="T980" s="23"/>
      <c r="U980" s="23"/>
      <c r="V980" s="23"/>
      <c r="W980" s="23"/>
      <c r="X980" s="23"/>
      <c r="Y980" s="23"/>
      <c r="Z980" s="23"/>
      <c r="AA980" s="23"/>
      <c r="AB980" s="23"/>
    </row>
    <row r="981" spans="1:28" x14ac:dyDescent="0.25">
      <c r="A981" s="2"/>
      <c r="B981" s="2"/>
      <c r="C981" s="2"/>
      <c r="D981" s="22"/>
      <c r="E981" s="2"/>
      <c r="F981" s="2"/>
      <c r="G981" s="2"/>
      <c r="H981" s="2"/>
      <c r="I981" s="2"/>
      <c r="J981" s="2"/>
      <c r="K981" s="2"/>
      <c r="L981" s="2"/>
      <c r="M981" s="23"/>
      <c r="N981" s="31"/>
      <c r="O981" s="23"/>
      <c r="P981" s="30"/>
      <c r="Q981" s="23"/>
      <c r="R981" s="23"/>
      <c r="S981" s="23"/>
      <c r="T981" s="23"/>
      <c r="U981" s="23"/>
      <c r="V981" s="23"/>
      <c r="W981" s="23"/>
      <c r="X981" s="23"/>
      <c r="Y981" s="23"/>
      <c r="Z981" s="23"/>
      <c r="AA981" s="23"/>
      <c r="AB981" s="23"/>
    </row>
    <row r="982" spans="1:28" x14ac:dyDescent="0.25">
      <c r="A982" s="2"/>
      <c r="B982" s="2"/>
      <c r="C982" s="2"/>
      <c r="D982" s="22"/>
      <c r="E982" s="2"/>
      <c r="F982" s="2"/>
      <c r="G982" s="2"/>
      <c r="H982" s="2"/>
      <c r="I982" s="2"/>
      <c r="J982" s="2"/>
      <c r="K982" s="2"/>
      <c r="L982" s="2"/>
      <c r="M982" s="23"/>
      <c r="N982" s="31"/>
      <c r="O982" s="23"/>
      <c r="P982" s="30"/>
      <c r="Q982" s="23"/>
      <c r="R982" s="23"/>
      <c r="S982" s="23"/>
      <c r="T982" s="23"/>
      <c r="U982" s="23"/>
      <c r="V982" s="23"/>
      <c r="W982" s="23"/>
      <c r="X982" s="23"/>
      <c r="Y982" s="23"/>
      <c r="Z982" s="23"/>
      <c r="AA982" s="23"/>
      <c r="AB982" s="23"/>
    </row>
    <row r="983" spans="1:28" x14ac:dyDescent="0.25">
      <c r="A983" s="2"/>
      <c r="B983" s="2"/>
      <c r="C983" s="2"/>
      <c r="D983" s="22"/>
      <c r="E983" s="2"/>
      <c r="F983" s="2"/>
      <c r="G983" s="2"/>
      <c r="H983" s="2"/>
      <c r="I983" s="2"/>
      <c r="J983" s="2"/>
      <c r="K983" s="2"/>
      <c r="L983" s="2"/>
      <c r="M983" s="23"/>
      <c r="N983" s="31"/>
      <c r="O983" s="23"/>
      <c r="P983" s="30"/>
      <c r="Q983" s="23"/>
      <c r="R983" s="23"/>
      <c r="S983" s="23"/>
      <c r="T983" s="23"/>
      <c r="U983" s="23"/>
      <c r="V983" s="23"/>
      <c r="W983" s="23"/>
      <c r="X983" s="23"/>
      <c r="Y983" s="23"/>
      <c r="Z983" s="23"/>
      <c r="AA983" s="23"/>
      <c r="AB983" s="23"/>
    </row>
    <row r="984" spans="1:28" x14ac:dyDescent="0.25">
      <c r="A984" s="2"/>
      <c r="B984" s="2"/>
      <c r="C984" s="2"/>
      <c r="D984" s="22"/>
      <c r="E984" s="2"/>
      <c r="F984" s="2"/>
      <c r="G984" s="2"/>
      <c r="H984" s="2"/>
      <c r="I984" s="2"/>
      <c r="J984" s="2"/>
      <c r="K984" s="2"/>
      <c r="L984" s="2"/>
      <c r="M984" s="23"/>
      <c r="N984" s="31"/>
      <c r="O984" s="23"/>
      <c r="P984" s="30"/>
      <c r="Q984" s="23"/>
      <c r="R984" s="23"/>
      <c r="S984" s="23"/>
      <c r="T984" s="23"/>
      <c r="U984" s="23"/>
      <c r="V984" s="23"/>
      <c r="W984" s="23"/>
      <c r="X984" s="23"/>
      <c r="Y984" s="23"/>
      <c r="Z984" s="23"/>
      <c r="AA984" s="23"/>
      <c r="AB984" s="23"/>
    </row>
    <row r="985" spans="1:28" x14ac:dyDescent="0.25">
      <c r="A985" s="2"/>
      <c r="B985" s="2"/>
      <c r="C985" s="2"/>
      <c r="D985" s="22"/>
      <c r="E985" s="2"/>
      <c r="F985" s="2"/>
      <c r="G985" s="2"/>
      <c r="H985" s="2"/>
      <c r="I985" s="2"/>
      <c r="J985" s="2"/>
      <c r="K985" s="2"/>
      <c r="L985" s="2"/>
      <c r="M985" s="23"/>
      <c r="N985" s="31"/>
      <c r="O985" s="23"/>
      <c r="P985" s="30"/>
      <c r="Q985" s="23"/>
      <c r="R985" s="23"/>
      <c r="S985" s="23"/>
      <c r="T985" s="23"/>
      <c r="U985" s="23"/>
      <c r="V985" s="23"/>
      <c r="W985" s="23"/>
      <c r="X985" s="23"/>
      <c r="Y985" s="23"/>
      <c r="Z985" s="23"/>
      <c r="AA985" s="23"/>
      <c r="AB985" s="23"/>
    </row>
    <row r="986" spans="1:28" x14ac:dyDescent="0.25">
      <c r="A986" s="2"/>
      <c r="B986" s="2"/>
      <c r="C986" s="2"/>
      <c r="D986" s="22"/>
      <c r="E986" s="2"/>
      <c r="F986" s="2"/>
      <c r="G986" s="2"/>
      <c r="H986" s="2"/>
      <c r="I986" s="2"/>
      <c r="J986" s="2"/>
      <c r="K986" s="2"/>
      <c r="L986" s="2"/>
      <c r="M986" s="23"/>
      <c r="N986" s="31"/>
      <c r="O986" s="23"/>
      <c r="P986" s="30"/>
      <c r="Q986" s="23"/>
      <c r="R986" s="23"/>
      <c r="S986" s="23"/>
      <c r="T986" s="23"/>
      <c r="U986" s="23"/>
      <c r="V986" s="23"/>
      <c r="W986" s="23"/>
      <c r="X986" s="23"/>
      <c r="Y986" s="23"/>
      <c r="Z986" s="23"/>
      <c r="AA986" s="23"/>
      <c r="AB986" s="23"/>
    </row>
    <row r="987" spans="1:28" x14ac:dyDescent="0.25">
      <c r="A987" s="2"/>
      <c r="B987" s="2"/>
      <c r="C987" s="2"/>
      <c r="D987" s="22"/>
      <c r="E987" s="2"/>
      <c r="F987" s="2"/>
      <c r="G987" s="2"/>
      <c r="H987" s="2"/>
      <c r="I987" s="2"/>
      <c r="J987" s="2"/>
      <c r="K987" s="2"/>
      <c r="L987" s="2"/>
      <c r="M987" s="23"/>
      <c r="N987" s="31"/>
      <c r="O987" s="23"/>
      <c r="P987" s="30"/>
      <c r="Q987" s="23"/>
      <c r="R987" s="23"/>
      <c r="S987" s="23"/>
      <c r="T987" s="23"/>
      <c r="U987" s="23"/>
      <c r="V987" s="23"/>
      <c r="W987" s="23"/>
      <c r="X987" s="23"/>
      <c r="Y987" s="23"/>
      <c r="Z987" s="23"/>
      <c r="AA987" s="23"/>
      <c r="AB987" s="23"/>
    </row>
    <row r="988" spans="1:28" x14ac:dyDescent="0.25">
      <c r="A988" s="2"/>
      <c r="B988" s="2"/>
      <c r="C988" s="2"/>
      <c r="D988" s="22"/>
      <c r="E988" s="2"/>
      <c r="F988" s="2"/>
      <c r="G988" s="2"/>
      <c r="H988" s="2"/>
      <c r="I988" s="2"/>
      <c r="J988" s="2"/>
      <c r="K988" s="2"/>
      <c r="L988" s="2"/>
      <c r="M988" s="23"/>
      <c r="N988" s="31"/>
      <c r="O988" s="23"/>
      <c r="P988" s="30"/>
      <c r="Q988" s="23"/>
      <c r="R988" s="23"/>
      <c r="S988" s="23"/>
      <c r="T988" s="23"/>
      <c r="U988" s="23"/>
      <c r="V988" s="23"/>
      <c r="W988" s="23"/>
      <c r="X988" s="23"/>
      <c r="Y988" s="23"/>
      <c r="Z988" s="23"/>
      <c r="AA988" s="23"/>
      <c r="AB988" s="23"/>
    </row>
    <row r="989" spans="1:28" x14ac:dyDescent="0.25">
      <c r="A989" s="2"/>
      <c r="B989" s="2"/>
      <c r="C989" s="2"/>
      <c r="D989" s="22"/>
      <c r="E989" s="2"/>
      <c r="F989" s="2"/>
      <c r="G989" s="2"/>
      <c r="H989" s="2"/>
      <c r="I989" s="2"/>
      <c r="J989" s="2"/>
      <c r="K989" s="2"/>
      <c r="L989" s="2"/>
      <c r="M989" s="23"/>
      <c r="N989" s="31"/>
      <c r="O989" s="23"/>
      <c r="P989" s="30"/>
      <c r="Q989" s="23"/>
      <c r="R989" s="23"/>
      <c r="S989" s="23"/>
      <c r="T989" s="23"/>
      <c r="U989" s="23"/>
      <c r="V989" s="23"/>
      <c r="W989" s="23"/>
      <c r="X989" s="23"/>
      <c r="Y989" s="23"/>
      <c r="Z989" s="23"/>
      <c r="AA989" s="23"/>
      <c r="AB989" s="23"/>
    </row>
    <row r="990" spans="1:28" x14ac:dyDescent="0.25">
      <c r="A990" s="2"/>
      <c r="B990" s="2"/>
      <c r="C990" s="2"/>
      <c r="D990" s="22"/>
      <c r="E990" s="2"/>
      <c r="F990" s="2"/>
      <c r="G990" s="2"/>
      <c r="H990" s="2"/>
      <c r="I990" s="2"/>
      <c r="J990" s="2"/>
      <c r="K990" s="2"/>
      <c r="L990" s="2"/>
      <c r="M990" s="23"/>
      <c r="N990" s="31"/>
      <c r="O990" s="23"/>
      <c r="P990" s="30"/>
      <c r="Q990" s="23"/>
      <c r="R990" s="23"/>
      <c r="S990" s="23"/>
      <c r="T990" s="23"/>
      <c r="U990" s="23"/>
      <c r="V990" s="23"/>
      <c r="W990" s="23"/>
      <c r="X990" s="23"/>
      <c r="Y990" s="23"/>
      <c r="Z990" s="23"/>
      <c r="AA990" s="23"/>
      <c r="AB990" s="23"/>
    </row>
    <row r="991" spans="1:28" x14ac:dyDescent="0.25">
      <c r="A991" s="2"/>
      <c r="B991" s="2"/>
      <c r="C991" s="2"/>
      <c r="D991" s="22"/>
      <c r="E991" s="2"/>
      <c r="F991" s="2"/>
      <c r="G991" s="2"/>
      <c r="H991" s="2"/>
      <c r="I991" s="2"/>
      <c r="J991" s="2"/>
      <c r="K991" s="2"/>
      <c r="L991" s="2"/>
      <c r="M991" s="23"/>
      <c r="N991" s="31"/>
      <c r="O991" s="23"/>
      <c r="P991" s="30"/>
      <c r="Q991" s="23"/>
      <c r="R991" s="23"/>
      <c r="S991" s="23"/>
      <c r="T991" s="23"/>
      <c r="U991" s="23"/>
      <c r="V991" s="23"/>
      <c r="W991" s="23"/>
      <c r="X991" s="23"/>
      <c r="Y991" s="23"/>
      <c r="Z991" s="23"/>
      <c r="AA991" s="23"/>
      <c r="AB991" s="23"/>
    </row>
    <row r="992" spans="1:28" x14ac:dyDescent="0.25">
      <c r="A992" s="2"/>
      <c r="B992" s="2"/>
      <c r="C992" s="2"/>
      <c r="D992" s="22"/>
      <c r="E992" s="2"/>
      <c r="F992" s="2"/>
      <c r="G992" s="2"/>
      <c r="H992" s="2"/>
      <c r="I992" s="2"/>
      <c r="J992" s="2"/>
      <c r="K992" s="2"/>
      <c r="L992" s="2"/>
      <c r="M992" s="23"/>
      <c r="N992" s="31"/>
      <c r="O992" s="23"/>
      <c r="P992" s="30"/>
      <c r="Q992" s="23"/>
      <c r="R992" s="23"/>
      <c r="S992" s="23"/>
      <c r="T992" s="23"/>
      <c r="U992" s="23"/>
      <c r="V992" s="23"/>
      <c r="W992" s="23"/>
      <c r="X992" s="23"/>
      <c r="Y992" s="23"/>
      <c r="Z992" s="23"/>
      <c r="AA992" s="23"/>
      <c r="AB992" s="23"/>
    </row>
    <row r="993" spans="1:28" x14ac:dyDescent="0.25">
      <c r="A993" s="2"/>
      <c r="B993" s="2"/>
      <c r="C993" s="2"/>
      <c r="D993" s="22"/>
      <c r="E993" s="2"/>
      <c r="F993" s="2"/>
      <c r="G993" s="2"/>
      <c r="H993" s="2"/>
      <c r="I993" s="2"/>
      <c r="J993" s="2"/>
      <c r="K993" s="2"/>
      <c r="L993" s="2"/>
      <c r="M993" s="23"/>
      <c r="N993" s="31"/>
      <c r="O993" s="23"/>
      <c r="P993" s="30"/>
      <c r="Q993" s="23"/>
      <c r="R993" s="23"/>
      <c r="S993" s="23"/>
      <c r="T993" s="23"/>
      <c r="U993" s="23"/>
      <c r="V993" s="23"/>
      <c r="W993" s="23"/>
      <c r="X993" s="23"/>
      <c r="Y993" s="23"/>
      <c r="Z993" s="23"/>
      <c r="AA993" s="23"/>
      <c r="AB993" s="23"/>
    </row>
    <row r="994" spans="1:28" x14ac:dyDescent="0.25">
      <c r="A994" s="2"/>
      <c r="B994" s="2"/>
      <c r="C994" s="2"/>
      <c r="D994" s="22"/>
      <c r="E994" s="2"/>
      <c r="F994" s="2"/>
      <c r="G994" s="2"/>
      <c r="H994" s="2"/>
      <c r="I994" s="2"/>
      <c r="J994" s="2"/>
      <c r="K994" s="2"/>
      <c r="L994" s="2"/>
      <c r="M994" s="23"/>
      <c r="N994" s="31"/>
      <c r="O994" s="23"/>
      <c r="P994" s="30"/>
      <c r="Q994" s="23"/>
      <c r="R994" s="23"/>
      <c r="S994" s="23"/>
      <c r="T994" s="23"/>
      <c r="U994" s="23"/>
      <c r="V994" s="23"/>
      <c r="W994" s="23"/>
      <c r="X994" s="23"/>
      <c r="Y994" s="23"/>
      <c r="Z994" s="23"/>
      <c r="AA994" s="23"/>
      <c r="AB994" s="23"/>
    </row>
    <row r="995" spans="1:28" x14ac:dyDescent="0.25">
      <c r="A995" s="2"/>
      <c r="B995" s="2"/>
      <c r="C995" s="2"/>
      <c r="D995" s="22"/>
      <c r="E995" s="2"/>
      <c r="F995" s="2"/>
      <c r="G995" s="2"/>
      <c r="H995" s="2"/>
      <c r="I995" s="2"/>
      <c r="J995" s="2"/>
      <c r="K995" s="2"/>
      <c r="L995" s="2"/>
      <c r="M995" s="23"/>
      <c r="N995" s="31"/>
      <c r="O995" s="23"/>
      <c r="P995" s="30"/>
      <c r="Q995" s="23"/>
      <c r="R995" s="23"/>
      <c r="S995" s="23"/>
      <c r="T995" s="23"/>
      <c r="U995" s="23"/>
      <c r="V995" s="23"/>
      <c r="W995" s="23"/>
      <c r="X995" s="23"/>
      <c r="Y995" s="23"/>
      <c r="Z995" s="23"/>
      <c r="AA995" s="23"/>
      <c r="AB995" s="23"/>
    </row>
    <row r="996" spans="1:28" x14ac:dyDescent="0.25">
      <c r="A996" s="2"/>
      <c r="B996" s="2"/>
      <c r="C996" s="2"/>
      <c r="D996" s="22"/>
      <c r="E996" s="2"/>
      <c r="F996" s="2"/>
      <c r="G996" s="2"/>
      <c r="H996" s="2"/>
      <c r="I996" s="2"/>
      <c r="J996" s="2"/>
      <c r="K996" s="2"/>
      <c r="L996" s="2"/>
      <c r="M996" s="23"/>
      <c r="N996" s="31"/>
      <c r="O996" s="23"/>
      <c r="P996" s="30"/>
      <c r="Q996" s="23"/>
      <c r="R996" s="23"/>
      <c r="S996" s="23"/>
      <c r="T996" s="23"/>
      <c r="U996" s="23"/>
      <c r="V996" s="23"/>
      <c r="W996" s="23"/>
      <c r="X996" s="23"/>
      <c r="Y996" s="23"/>
      <c r="Z996" s="23"/>
      <c r="AA996" s="23"/>
      <c r="AB996" s="23"/>
    </row>
    <row r="997" spans="1:28" x14ac:dyDescent="0.25">
      <c r="A997" s="2"/>
      <c r="B997" s="2"/>
      <c r="C997" s="2"/>
      <c r="D997" s="22"/>
      <c r="E997" s="2"/>
      <c r="F997" s="2"/>
      <c r="G997" s="2"/>
      <c r="H997" s="2"/>
      <c r="I997" s="2"/>
      <c r="J997" s="2"/>
      <c r="K997" s="2"/>
      <c r="L997" s="2"/>
      <c r="M997" s="23"/>
      <c r="N997" s="31"/>
      <c r="O997" s="23"/>
      <c r="P997" s="30"/>
      <c r="Q997" s="23"/>
      <c r="R997" s="23"/>
      <c r="S997" s="23"/>
      <c r="T997" s="23"/>
      <c r="U997" s="23"/>
      <c r="V997" s="23"/>
      <c r="W997" s="23"/>
      <c r="X997" s="23"/>
      <c r="Y997" s="23"/>
      <c r="Z997" s="23"/>
      <c r="AA997" s="23"/>
      <c r="AB997" s="23"/>
    </row>
    <row r="998" spans="1:28" x14ac:dyDescent="0.25">
      <c r="A998" s="2"/>
      <c r="B998" s="2"/>
      <c r="C998" s="2"/>
      <c r="D998" s="22"/>
      <c r="E998" s="2"/>
      <c r="F998" s="2"/>
      <c r="G998" s="2"/>
      <c r="H998" s="2"/>
      <c r="I998" s="2"/>
      <c r="J998" s="2"/>
      <c r="K998" s="2"/>
      <c r="L998" s="2"/>
      <c r="M998" s="23"/>
      <c r="N998" s="31"/>
      <c r="O998" s="23"/>
      <c r="P998" s="30"/>
      <c r="Q998" s="23"/>
      <c r="R998" s="23"/>
      <c r="S998" s="23"/>
      <c r="T998" s="23"/>
      <c r="U998" s="23"/>
      <c r="V998" s="23"/>
      <c r="W998" s="23"/>
      <c r="X998" s="23"/>
      <c r="Y998" s="23"/>
      <c r="Z998" s="23"/>
      <c r="AA998" s="23"/>
      <c r="AB998" s="23"/>
    </row>
    <row r="999" spans="1:28" x14ac:dyDescent="0.25">
      <c r="A999" s="2"/>
      <c r="B999" s="2"/>
      <c r="C999" s="2"/>
      <c r="D999" s="22"/>
      <c r="E999" s="2"/>
      <c r="F999" s="2"/>
      <c r="G999" s="2"/>
      <c r="H999" s="2"/>
      <c r="I999" s="2"/>
      <c r="J999" s="2"/>
      <c r="K999" s="2"/>
      <c r="L999" s="2"/>
      <c r="M999" s="23"/>
      <c r="N999" s="31"/>
      <c r="O999" s="23"/>
      <c r="P999" s="30"/>
      <c r="Q999" s="23"/>
      <c r="R999" s="23"/>
      <c r="S999" s="23"/>
      <c r="T999" s="23"/>
      <c r="U999" s="23"/>
      <c r="V999" s="23"/>
      <c r="W999" s="23"/>
      <c r="X999" s="23"/>
      <c r="Y999" s="23"/>
      <c r="Z999" s="23"/>
      <c r="AA999" s="23"/>
      <c r="AB999" s="23"/>
    </row>
    <row r="1000" spans="1:28" x14ac:dyDescent="0.25">
      <c r="A1000" s="2"/>
      <c r="B1000" s="2"/>
      <c r="C1000" s="2"/>
      <c r="D1000" s="22"/>
      <c r="E1000" s="2"/>
      <c r="F1000" s="2"/>
      <c r="G1000" s="2"/>
      <c r="H1000" s="2"/>
      <c r="I1000" s="2"/>
      <c r="J1000" s="2"/>
      <c r="K1000" s="2"/>
      <c r="L1000" s="2"/>
      <c r="M1000" s="23"/>
      <c r="N1000" s="31"/>
      <c r="O1000" s="23"/>
      <c r="P1000" s="30"/>
      <c r="Q1000" s="23"/>
      <c r="R1000" s="23"/>
      <c r="S1000" s="23"/>
      <c r="T1000" s="23"/>
      <c r="U1000" s="23"/>
      <c r="V1000" s="23"/>
      <c r="W1000" s="23"/>
      <c r="X1000" s="23"/>
      <c r="Y1000" s="23"/>
      <c r="Z1000" s="23"/>
      <c r="AA1000" s="23"/>
      <c r="AB1000" s="23"/>
    </row>
  </sheetData>
  <dataConsolidate link="1"/>
  <mergeCells count="62">
    <mergeCell ref="AE39:AG39"/>
    <mergeCell ref="X39:AD39"/>
    <mergeCell ref="O29:P29"/>
    <mergeCell ref="O30:P30"/>
    <mergeCell ref="O31:P31"/>
    <mergeCell ref="O32:P32"/>
    <mergeCell ref="Q32:R32"/>
    <mergeCell ref="U39:W39"/>
    <mergeCell ref="C32:D32"/>
    <mergeCell ref="E32:F32"/>
    <mergeCell ref="G32:H32"/>
    <mergeCell ref="I32:J32"/>
    <mergeCell ref="K32:L32"/>
    <mergeCell ref="K31:L31"/>
    <mergeCell ref="C29:D29"/>
    <mergeCell ref="G29:H29"/>
    <mergeCell ref="K29:L29"/>
    <mergeCell ref="C30:D30"/>
    <mergeCell ref="G30:H30"/>
    <mergeCell ref="K30:L30"/>
    <mergeCell ref="K6:L6"/>
    <mergeCell ref="K7:L7"/>
    <mergeCell ref="M6:N6"/>
    <mergeCell ref="M7:N7"/>
    <mergeCell ref="G6:H6"/>
    <mergeCell ref="I6:J6"/>
    <mergeCell ref="A6:B6"/>
    <mergeCell ref="C6:D6"/>
    <mergeCell ref="E6:F6"/>
    <mergeCell ref="A7:B7"/>
    <mergeCell ref="C7:D7"/>
    <mergeCell ref="E7:F7"/>
    <mergeCell ref="K12:L12"/>
    <mergeCell ref="M12:N12"/>
    <mergeCell ref="A12:B12"/>
    <mergeCell ref="G7:H7"/>
    <mergeCell ref="I7:J7"/>
    <mergeCell ref="G12:H12"/>
    <mergeCell ref="I12:J12"/>
    <mergeCell ref="C12:D12"/>
    <mergeCell ref="A19:W19"/>
    <mergeCell ref="S32:T32"/>
    <mergeCell ref="U32:V32"/>
    <mergeCell ref="A65:L65"/>
    <mergeCell ref="M65:AB65"/>
    <mergeCell ref="A64:AB64"/>
    <mergeCell ref="O35:Q35"/>
    <mergeCell ref="I35:M35"/>
    <mergeCell ref="A35:C35"/>
    <mergeCell ref="D35:G35"/>
    <mergeCell ref="A39:T39"/>
    <mergeCell ref="K21:L21"/>
    <mergeCell ref="E21:F21"/>
    <mergeCell ref="M32:N32"/>
    <mergeCell ref="C31:D31"/>
    <mergeCell ref="G31:H31"/>
    <mergeCell ref="O6:P6"/>
    <mergeCell ref="Q6:R6"/>
    <mergeCell ref="S6:T6"/>
    <mergeCell ref="O7:P7"/>
    <mergeCell ref="Q7:R7"/>
    <mergeCell ref="S7:T7"/>
  </mergeCells>
  <conditionalFormatting sqref="Y5">
    <cfRule type="expression" dxfId="3" priority="1">
      <formula>"&gt;.75"</formula>
    </cfRule>
    <cfRule type="expression" dxfId="2" priority="2">
      <formula>"&lt; -.05"</formula>
    </cfRule>
    <cfRule type="expression" dxfId="1" priority="3" stopIfTrue="1">
      <formula>"&gt; 0.5"</formula>
    </cfRule>
    <cfRule type="expression" dxfId="0" priority="4" stopIfTrue="1">
      <formula>"&lt;- .75"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6" r:id="rId4" name="cbPreserveContract">
          <controlPr defaultSize="0" autoLine="0" r:id="rId5">
            <anchor moveWithCells="1">
              <from>
                <xdr:col>0</xdr:col>
                <xdr:colOff>0</xdr:colOff>
                <xdr:row>24</xdr:row>
                <xdr:rowOff>0</xdr:rowOff>
              </from>
              <to>
                <xdr:col>2</xdr:col>
                <xdr:colOff>95250</xdr:colOff>
                <xdr:row>25</xdr:row>
                <xdr:rowOff>0</xdr:rowOff>
              </to>
            </anchor>
          </controlPr>
        </control>
      </mc:Choice>
      <mc:Fallback>
        <control shapeId="1036" r:id="rId4" name="cbPreserveContract"/>
      </mc:Fallback>
    </mc:AlternateContent>
    <mc:AlternateContent xmlns:mc="http://schemas.openxmlformats.org/markup-compatibility/2006">
      <mc:Choice Requires="x14">
        <control shapeId="1032" r:id="rId6" name="obNoRebalanceOnStartup">
          <controlPr defaultSize="0" autoLine="0" r:id="rId7">
            <anchor moveWithCells="1">
              <from>
                <xdr:col>14</xdr:col>
                <xdr:colOff>9525</xdr:colOff>
                <xdr:row>20</xdr:row>
                <xdr:rowOff>76200</xdr:rowOff>
              </from>
              <to>
                <xdr:col>15</xdr:col>
                <xdr:colOff>590550</xdr:colOff>
                <xdr:row>21</xdr:row>
                <xdr:rowOff>142875</xdr:rowOff>
              </to>
            </anchor>
          </controlPr>
        </control>
      </mc:Choice>
      <mc:Fallback>
        <control shapeId="1032" r:id="rId6" name="obNoRebalanceOnStartup"/>
      </mc:Fallback>
    </mc:AlternateContent>
    <mc:AlternateContent xmlns:mc="http://schemas.openxmlformats.org/markup-compatibility/2006">
      <mc:Choice Requires="x14">
        <control shapeId="1031" r:id="rId8" name="obRebalanceOnStartup">
          <controlPr defaultSize="0" autoLine="0" r:id="rId9">
            <anchor moveWithCells="1">
              <from>
                <xdr:col>14</xdr:col>
                <xdr:colOff>9525</xdr:colOff>
                <xdr:row>19</xdr:row>
                <xdr:rowOff>9525</xdr:rowOff>
              </from>
              <to>
                <xdr:col>15</xdr:col>
                <xdr:colOff>590550</xdr:colOff>
                <xdr:row>19</xdr:row>
                <xdr:rowOff>266700</xdr:rowOff>
              </to>
            </anchor>
          </controlPr>
        </control>
      </mc:Choice>
      <mc:Fallback>
        <control shapeId="1031" r:id="rId8" name="obRebalanceOnStartup"/>
      </mc:Fallback>
    </mc:AlternateContent>
    <mc:AlternateContent xmlns:mc="http://schemas.openxmlformats.org/markup-compatibility/2006">
      <mc:Choice Requires="x14">
        <control shapeId="1028" r:id="rId10" name="cmbSubscribePortfolio">
          <controlPr defaultSize="0" autoLine="0" r:id="rId11">
            <anchor moveWithCells="1">
              <from>
                <xdr:col>3</xdr:col>
                <xdr:colOff>66675</xdr:colOff>
                <xdr:row>0</xdr:row>
                <xdr:rowOff>47625</xdr:rowOff>
              </from>
              <to>
                <xdr:col>5</xdr:col>
                <xdr:colOff>419100</xdr:colOff>
                <xdr:row>1</xdr:row>
                <xdr:rowOff>161925</xdr:rowOff>
              </to>
            </anchor>
          </controlPr>
        </control>
      </mc:Choice>
      <mc:Fallback>
        <control shapeId="1028" r:id="rId10" name="cmbSubscribePortfolio"/>
      </mc:Fallback>
    </mc:AlternateContent>
    <mc:AlternateContent xmlns:mc="http://schemas.openxmlformats.org/markup-compatibility/2006">
      <mc:Choice Requires="x14">
        <control shapeId="1027" r:id="rId12" name="cmbSubscribeAccountInfo">
          <controlPr defaultSize="0" autoLine="0" r:id="rId13">
            <anchor moveWithCells="1">
              <from>
                <xdr:col>1</xdr:col>
                <xdr:colOff>238125</xdr:colOff>
                <xdr:row>0</xdr:row>
                <xdr:rowOff>47625</xdr:rowOff>
              </from>
              <to>
                <xdr:col>2</xdr:col>
                <xdr:colOff>742950</xdr:colOff>
                <xdr:row>1</xdr:row>
                <xdr:rowOff>161925</xdr:rowOff>
              </to>
            </anchor>
          </controlPr>
        </control>
      </mc:Choice>
      <mc:Fallback>
        <control shapeId="1027" r:id="rId12" name="cmbSubscribeAccountInfo"/>
      </mc:Fallback>
    </mc:AlternateContent>
    <mc:AlternateContent xmlns:mc="http://schemas.openxmlformats.org/markup-compatibility/2006">
      <mc:Choice Requires="x14">
        <control shapeId="1026" r:id="rId14" name="cmbConnect">
          <controlPr defaultSize="0" autoLine="0" r:id="rId15">
            <anchor moveWithCells="1">
              <from>
                <xdr:col>0</xdr:col>
                <xdr:colOff>9525</xdr:colOff>
                <xdr:row>0</xdr:row>
                <xdr:rowOff>47625</xdr:rowOff>
              </from>
              <to>
                <xdr:col>0</xdr:col>
                <xdr:colOff>790575</xdr:colOff>
                <xdr:row>1</xdr:row>
                <xdr:rowOff>66675</xdr:rowOff>
              </to>
            </anchor>
          </controlPr>
        </control>
      </mc:Choice>
      <mc:Fallback>
        <control shapeId="1026" r:id="rId14" name="cmbConnect"/>
      </mc:Fallback>
    </mc:AlternateContent>
    <mc:AlternateContent xmlns:mc="http://schemas.openxmlformats.org/markup-compatibility/2006">
      <mc:Choice Requires="x14">
        <control shapeId="1029" r:id="rId16" name="CommandButton1">
          <controlPr defaultSize="0" autoLine="0" r:id="rId17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1</xdr:col>
                <xdr:colOff>9525</xdr:colOff>
                <xdr:row>3</xdr:row>
                <xdr:rowOff>85725</xdr:rowOff>
              </to>
            </anchor>
          </controlPr>
        </control>
      </mc:Choice>
      <mc:Fallback>
        <control shapeId="1029" r:id="rId16" name="CommandButton1"/>
      </mc:Fallback>
    </mc:AlternateContent>
    <mc:AlternateContent xmlns:mc="http://schemas.openxmlformats.org/markup-compatibility/2006">
      <mc:Choice Requires="x14">
        <control shapeId="1033" r:id="rId18" name="cmbEnableAutoHedge">
          <controlPr defaultSize="0" autoLine="0" r:id="rId19">
            <anchor moveWithCells="1">
              <from>
                <xdr:col>5</xdr:col>
                <xdr:colOff>619125</xdr:colOff>
                <xdr:row>0</xdr:row>
                <xdr:rowOff>57150</xdr:rowOff>
              </from>
              <to>
                <xdr:col>8</xdr:col>
                <xdr:colOff>400050</xdr:colOff>
                <xdr:row>1</xdr:row>
                <xdr:rowOff>161925</xdr:rowOff>
              </to>
            </anchor>
          </controlPr>
        </control>
      </mc:Choice>
      <mc:Fallback>
        <control shapeId="1033" r:id="rId18" name="cmbEnableAutoHedge"/>
      </mc:Fallback>
    </mc:AlternateContent>
    <mc:AlternateContent xmlns:mc="http://schemas.openxmlformats.org/markup-compatibility/2006">
      <mc:Choice Requires="x14">
        <control shapeId="1035" r:id="rId20" name="cmbDumpContracts">
          <controlPr defaultSize="0" autoLine="0" r:id="rId21">
            <anchor moveWithCells="1">
              <from>
                <xdr:col>20</xdr:col>
                <xdr:colOff>828675</xdr:colOff>
                <xdr:row>0</xdr:row>
                <xdr:rowOff>19050</xdr:rowOff>
              </from>
              <to>
                <xdr:col>22</xdr:col>
                <xdr:colOff>590550</xdr:colOff>
                <xdr:row>1</xdr:row>
                <xdr:rowOff>152400</xdr:rowOff>
              </to>
            </anchor>
          </controlPr>
        </control>
      </mc:Choice>
      <mc:Fallback>
        <control shapeId="1035" r:id="rId20" name="cmbDumpContract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7665"/>
  <sheetViews>
    <sheetView workbookViewId="0">
      <selection sqref="A1:XFD1048576"/>
    </sheetView>
  </sheetViews>
  <sheetFormatPr defaultColWidth="13.7109375" defaultRowHeight="15" x14ac:dyDescent="0.25"/>
  <cols>
    <col min="1" max="1" width="15" customWidth="1"/>
    <col min="3" max="3" width="15.85546875" customWidth="1"/>
  </cols>
  <sheetData>
    <row r="1" spans="1:1" x14ac:dyDescent="0.25">
      <c r="A1" s="56" t="s">
        <v>8108</v>
      </c>
    </row>
    <row r="2" spans="1:1" x14ac:dyDescent="0.25">
      <c r="A2" s="56" t="s">
        <v>8109</v>
      </c>
    </row>
    <row r="3" spans="1:1" x14ac:dyDescent="0.25">
      <c r="A3" s="56" t="s">
        <v>443</v>
      </c>
    </row>
    <row r="4" spans="1:1" x14ac:dyDescent="0.25">
      <c r="A4" s="56" t="s">
        <v>444</v>
      </c>
    </row>
    <row r="5" spans="1:1" x14ac:dyDescent="0.25">
      <c r="A5" s="56" t="s">
        <v>445</v>
      </c>
    </row>
    <row r="6" spans="1:1" x14ac:dyDescent="0.25">
      <c r="A6" s="56" t="s">
        <v>446</v>
      </c>
    </row>
    <row r="7" spans="1:1" x14ac:dyDescent="0.25">
      <c r="A7" s="56" t="s">
        <v>447</v>
      </c>
    </row>
    <row r="8" spans="1:1" x14ac:dyDescent="0.25">
      <c r="A8" s="56" t="s">
        <v>448</v>
      </c>
    </row>
    <row r="9" spans="1:1" x14ac:dyDescent="0.25">
      <c r="A9" s="56" t="s">
        <v>449</v>
      </c>
    </row>
    <row r="10" spans="1:1" x14ac:dyDescent="0.25">
      <c r="A10" s="56" t="s">
        <v>450</v>
      </c>
    </row>
    <row r="11" spans="1:1" x14ac:dyDescent="0.25">
      <c r="A11" t="s">
        <v>451</v>
      </c>
    </row>
    <row r="12" spans="1:1" x14ac:dyDescent="0.25">
      <c r="A12" t="s">
        <v>452</v>
      </c>
    </row>
    <row r="13" spans="1:1" x14ac:dyDescent="0.25">
      <c r="A13" s="66" t="s">
        <v>453</v>
      </c>
    </row>
    <row r="14" spans="1:1" x14ac:dyDescent="0.25">
      <c r="A14" s="66" t="s">
        <v>454</v>
      </c>
    </row>
    <row r="15" spans="1:1" x14ac:dyDescent="0.25">
      <c r="A15" s="66" t="s">
        <v>455</v>
      </c>
    </row>
    <row r="16" spans="1:1" x14ac:dyDescent="0.25">
      <c r="A16" s="66" t="s">
        <v>456</v>
      </c>
    </row>
    <row r="17" spans="1:1" x14ac:dyDescent="0.25">
      <c r="A17" s="66" t="s">
        <v>457</v>
      </c>
    </row>
    <row r="18" spans="1:1" x14ac:dyDescent="0.25">
      <c r="A18" s="66" t="s">
        <v>458</v>
      </c>
    </row>
    <row r="19" spans="1:1" x14ac:dyDescent="0.25">
      <c r="A19" s="66" t="s">
        <v>460</v>
      </c>
    </row>
    <row r="20" spans="1:1" x14ac:dyDescent="0.25">
      <c r="A20" s="66" t="s">
        <v>461</v>
      </c>
    </row>
    <row r="21" spans="1:1" x14ac:dyDescent="0.25">
      <c r="A21" s="66" t="s">
        <v>462</v>
      </c>
    </row>
    <row r="22" spans="1:1" x14ac:dyDescent="0.25">
      <c r="A22" s="66" t="s">
        <v>463</v>
      </c>
    </row>
    <row r="23" spans="1:1" x14ac:dyDescent="0.25">
      <c r="A23" s="66" t="s">
        <v>464</v>
      </c>
    </row>
    <row r="24" spans="1:1" x14ac:dyDescent="0.25">
      <c r="A24" s="66" t="s">
        <v>465</v>
      </c>
    </row>
    <row r="25" spans="1:1" x14ac:dyDescent="0.25">
      <c r="A25" s="66" t="s">
        <v>466</v>
      </c>
    </row>
    <row r="26" spans="1:1" x14ac:dyDescent="0.25">
      <c r="A26" s="66" t="s">
        <v>467</v>
      </c>
    </row>
    <row r="27" spans="1:1" x14ac:dyDescent="0.25">
      <c r="A27" s="66" t="s">
        <v>468</v>
      </c>
    </row>
    <row r="28" spans="1:1" x14ac:dyDescent="0.25">
      <c r="A28" t="s">
        <v>469</v>
      </c>
    </row>
    <row r="29" spans="1:1" x14ac:dyDescent="0.25">
      <c r="A29" t="s">
        <v>470</v>
      </c>
    </row>
    <row r="30" spans="1:1" x14ac:dyDescent="0.25">
      <c r="A30" t="s">
        <v>471</v>
      </c>
    </row>
    <row r="31" spans="1:1" x14ac:dyDescent="0.25">
      <c r="A31" t="s">
        <v>472</v>
      </c>
    </row>
    <row r="32" spans="1:1" x14ac:dyDescent="0.25">
      <c r="A32" t="s">
        <v>473</v>
      </c>
    </row>
    <row r="33" spans="1:1" x14ac:dyDescent="0.25">
      <c r="A33" t="s">
        <v>474</v>
      </c>
    </row>
    <row r="34" spans="1:1" x14ac:dyDescent="0.25">
      <c r="A34" t="s">
        <v>475</v>
      </c>
    </row>
    <row r="35" spans="1:1" x14ac:dyDescent="0.25">
      <c r="A35" t="s">
        <v>476</v>
      </c>
    </row>
    <row r="36" spans="1:1" x14ac:dyDescent="0.25">
      <c r="A36" t="s">
        <v>477</v>
      </c>
    </row>
    <row r="37" spans="1:1" x14ac:dyDescent="0.25">
      <c r="A37" t="s">
        <v>478</v>
      </c>
    </row>
    <row r="38" spans="1:1" x14ac:dyDescent="0.25">
      <c r="A38" t="s">
        <v>479</v>
      </c>
    </row>
    <row r="39" spans="1:1" x14ac:dyDescent="0.25">
      <c r="A39" t="s">
        <v>480</v>
      </c>
    </row>
    <row r="40" spans="1:1" x14ac:dyDescent="0.25">
      <c r="A40" t="s">
        <v>481</v>
      </c>
    </row>
    <row r="41" spans="1:1" x14ac:dyDescent="0.25">
      <c r="A41" t="s">
        <v>482</v>
      </c>
    </row>
    <row r="42" spans="1:1" x14ac:dyDescent="0.25">
      <c r="A42" t="s">
        <v>483</v>
      </c>
    </row>
    <row r="43" spans="1:1" x14ac:dyDescent="0.25">
      <c r="A43" t="s">
        <v>484</v>
      </c>
    </row>
    <row r="44" spans="1:1" x14ac:dyDescent="0.25">
      <c r="A44" t="s">
        <v>485</v>
      </c>
    </row>
    <row r="45" spans="1:1" x14ac:dyDescent="0.25">
      <c r="A45" t="s">
        <v>486</v>
      </c>
    </row>
    <row r="46" spans="1:1" x14ac:dyDescent="0.25">
      <c r="A46" t="s">
        <v>487</v>
      </c>
    </row>
    <row r="47" spans="1:1" x14ac:dyDescent="0.25">
      <c r="A47" t="s">
        <v>488</v>
      </c>
    </row>
    <row r="48" spans="1:1" x14ac:dyDescent="0.25">
      <c r="A48" t="s">
        <v>489</v>
      </c>
    </row>
    <row r="49" spans="1:1" x14ac:dyDescent="0.25">
      <c r="A49" t="s">
        <v>490</v>
      </c>
    </row>
    <row r="50" spans="1:1" x14ac:dyDescent="0.25">
      <c r="A50" t="s">
        <v>491</v>
      </c>
    </row>
    <row r="51" spans="1:1" x14ac:dyDescent="0.25">
      <c r="A51" t="s">
        <v>492</v>
      </c>
    </row>
    <row r="52" spans="1:1" x14ac:dyDescent="0.25">
      <c r="A52" t="s">
        <v>493</v>
      </c>
    </row>
    <row r="53" spans="1:1" x14ac:dyDescent="0.25">
      <c r="A53" t="s">
        <v>494</v>
      </c>
    </row>
    <row r="54" spans="1:1" x14ac:dyDescent="0.25">
      <c r="A54" t="s">
        <v>495</v>
      </c>
    </row>
    <row r="55" spans="1:1" x14ac:dyDescent="0.25">
      <c r="A55" t="s">
        <v>496</v>
      </c>
    </row>
    <row r="56" spans="1:1" x14ac:dyDescent="0.25">
      <c r="A56" s="66" t="s">
        <v>497</v>
      </c>
    </row>
    <row r="57" spans="1:1" x14ac:dyDescent="0.25">
      <c r="A57" s="66" t="s">
        <v>498</v>
      </c>
    </row>
    <row r="58" spans="1:1" x14ac:dyDescent="0.25">
      <c r="A58" s="66" t="s">
        <v>499</v>
      </c>
    </row>
    <row r="59" spans="1:1" x14ac:dyDescent="0.25">
      <c r="A59" s="66" t="s">
        <v>500</v>
      </c>
    </row>
    <row r="60" spans="1:1" x14ac:dyDescent="0.25">
      <c r="A60" s="67" t="s">
        <v>501</v>
      </c>
    </row>
    <row r="61" spans="1:1" x14ac:dyDescent="0.25">
      <c r="A61" s="67" t="s">
        <v>502</v>
      </c>
    </row>
    <row r="62" spans="1:1" x14ac:dyDescent="0.25">
      <c r="A62" s="67" t="s">
        <v>503</v>
      </c>
    </row>
    <row r="63" spans="1:1" x14ac:dyDescent="0.25">
      <c r="A63" s="56" t="s">
        <v>504</v>
      </c>
    </row>
    <row r="64" spans="1:1" x14ac:dyDescent="0.25">
      <c r="A64" s="66" t="s">
        <v>505</v>
      </c>
    </row>
    <row r="65" spans="1:1" x14ac:dyDescent="0.25">
      <c r="A65" s="66" t="s">
        <v>506</v>
      </c>
    </row>
    <row r="66" spans="1:1" x14ac:dyDescent="0.25">
      <c r="A66" s="56" t="s">
        <v>507</v>
      </c>
    </row>
    <row r="67" spans="1:1" x14ac:dyDescent="0.25">
      <c r="A67" s="56" t="s">
        <v>508</v>
      </c>
    </row>
    <row r="68" spans="1:1" x14ac:dyDescent="0.25">
      <c r="A68" s="66" t="s">
        <v>509</v>
      </c>
    </row>
    <row r="69" spans="1:1" x14ac:dyDescent="0.25">
      <c r="A69" s="56" t="s">
        <v>510</v>
      </c>
    </row>
    <row r="70" spans="1:1" x14ac:dyDescent="0.25">
      <c r="A70" s="66" t="s">
        <v>511</v>
      </c>
    </row>
    <row r="71" spans="1:1" x14ac:dyDescent="0.25">
      <c r="A71" s="66" t="s">
        <v>512</v>
      </c>
    </row>
    <row r="72" spans="1:1" x14ac:dyDescent="0.25">
      <c r="A72" s="66" t="s">
        <v>513</v>
      </c>
    </row>
    <row r="73" spans="1:1" x14ac:dyDescent="0.25">
      <c r="A73" s="66" t="s">
        <v>514</v>
      </c>
    </row>
    <row r="74" spans="1:1" x14ac:dyDescent="0.25">
      <c r="A74" s="66" t="s">
        <v>515</v>
      </c>
    </row>
    <row r="75" spans="1:1" x14ac:dyDescent="0.25">
      <c r="A75" s="66" t="s">
        <v>516</v>
      </c>
    </row>
    <row r="76" spans="1:1" x14ac:dyDescent="0.25">
      <c r="A76" s="66" t="s">
        <v>517</v>
      </c>
    </row>
    <row r="77" spans="1:1" x14ac:dyDescent="0.25">
      <c r="A77" s="66" t="s">
        <v>518</v>
      </c>
    </row>
    <row r="78" spans="1:1" x14ac:dyDescent="0.25">
      <c r="A78" s="66" t="s">
        <v>519</v>
      </c>
    </row>
    <row r="79" spans="1:1" x14ac:dyDescent="0.25">
      <c r="A79" s="66" t="s">
        <v>520</v>
      </c>
    </row>
    <row r="80" spans="1:1" x14ac:dyDescent="0.25">
      <c r="A80" s="66" t="s">
        <v>521</v>
      </c>
    </row>
    <row r="81" spans="1:1" x14ac:dyDescent="0.25">
      <c r="A81" s="66" t="s">
        <v>522</v>
      </c>
    </row>
    <row r="82" spans="1:1" x14ac:dyDescent="0.25">
      <c r="A82" s="66" t="s">
        <v>523</v>
      </c>
    </row>
    <row r="83" spans="1:1" x14ac:dyDescent="0.25">
      <c r="A83" s="66" t="s">
        <v>524</v>
      </c>
    </row>
    <row r="84" spans="1:1" x14ac:dyDescent="0.25">
      <c r="A84" s="66" t="s">
        <v>525</v>
      </c>
    </row>
    <row r="85" spans="1:1" x14ac:dyDescent="0.25">
      <c r="A85" s="66" t="s">
        <v>526</v>
      </c>
    </row>
    <row r="86" spans="1:1" x14ac:dyDescent="0.25">
      <c r="A86" s="66" t="s">
        <v>527</v>
      </c>
    </row>
    <row r="87" spans="1:1" x14ac:dyDescent="0.25">
      <c r="A87" s="66" t="s">
        <v>528</v>
      </c>
    </row>
    <row r="88" spans="1:1" x14ac:dyDescent="0.25">
      <c r="A88" s="66" t="s">
        <v>529</v>
      </c>
    </row>
    <row r="89" spans="1:1" x14ac:dyDescent="0.25">
      <c r="A89" s="66" t="s">
        <v>530</v>
      </c>
    </row>
    <row r="90" spans="1:1" x14ac:dyDescent="0.25">
      <c r="A90" s="66" t="s">
        <v>531</v>
      </c>
    </row>
    <row r="91" spans="1:1" x14ac:dyDescent="0.25">
      <c r="A91" s="66" t="s">
        <v>532</v>
      </c>
    </row>
    <row r="92" spans="1:1" x14ac:dyDescent="0.25">
      <c r="A92" s="66" t="s">
        <v>533</v>
      </c>
    </row>
    <row r="93" spans="1:1" x14ac:dyDescent="0.25">
      <c r="A93" s="66" t="s">
        <v>534</v>
      </c>
    </row>
    <row r="94" spans="1:1" x14ac:dyDescent="0.25">
      <c r="A94" s="66" t="s">
        <v>535</v>
      </c>
    </row>
    <row r="95" spans="1:1" x14ac:dyDescent="0.25">
      <c r="A95" s="66" t="s">
        <v>536</v>
      </c>
    </row>
    <row r="96" spans="1:1" x14ac:dyDescent="0.25">
      <c r="A96" s="66" t="s">
        <v>537</v>
      </c>
    </row>
    <row r="97" spans="1:1" x14ac:dyDescent="0.25">
      <c r="A97" s="66" t="s">
        <v>538</v>
      </c>
    </row>
    <row r="98" spans="1:1" x14ac:dyDescent="0.25">
      <c r="A98" s="66" t="s">
        <v>539</v>
      </c>
    </row>
    <row r="99" spans="1:1" x14ac:dyDescent="0.25">
      <c r="A99" s="66" t="s">
        <v>540</v>
      </c>
    </row>
    <row r="100" spans="1:1" x14ac:dyDescent="0.25">
      <c r="A100" s="66" t="s">
        <v>541</v>
      </c>
    </row>
    <row r="101" spans="1:1" x14ac:dyDescent="0.25">
      <c r="A101" s="66" t="s">
        <v>542</v>
      </c>
    </row>
    <row r="102" spans="1:1" x14ac:dyDescent="0.25">
      <c r="A102" s="66" t="s">
        <v>543</v>
      </c>
    </row>
    <row r="103" spans="1:1" x14ac:dyDescent="0.25">
      <c r="A103" s="66" t="s">
        <v>544</v>
      </c>
    </row>
    <row r="104" spans="1:1" x14ac:dyDescent="0.25">
      <c r="A104" s="66" t="s">
        <v>545</v>
      </c>
    </row>
    <row r="105" spans="1:1" x14ac:dyDescent="0.25">
      <c r="A105" s="66" t="s">
        <v>546</v>
      </c>
    </row>
    <row r="106" spans="1:1" x14ac:dyDescent="0.25">
      <c r="A106" s="66" t="s">
        <v>547</v>
      </c>
    </row>
    <row r="107" spans="1:1" x14ac:dyDescent="0.25">
      <c r="A107" s="66" t="s">
        <v>548</v>
      </c>
    </row>
    <row r="108" spans="1:1" x14ac:dyDescent="0.25">
      <c r="A108" s="66" t="s">
        <v>549</v>
      </c>
    </row>
    <row r="109" spans="1:1" x14ac:dyDescent="0.25">
      <c r="A109" s="66" t="s">
        <v>550</v>
      </c>
    </row>
    <row r="110" spans="1:1" x14ac:dyDescent="0.25">
      <c r="A110" s="66" t="s">
        <v>551</v>
      </c>
    </row>
    <row r="111" spans="1:1" x14ac:dyDescent="0.25">
      <c r="A111" s="66" t="s">
        <v>552</v>
      </c>
    </row>
    <row r="112" spans="1:1" x14ac:dyDescent="0.25">
      <c r="A112" s="66" t="s">
        <v>553</v>
      </c>
    </row>
    <row r="113" spans="1:1" x14ac:dyDescent="0.25">
      <c r="A113" s="66" t="s">
        <v>554</v>
      </c>
    </row>
    <row r="114" spans="1:1" x14ac:dyDescent="0.25">
      <c r="A114" s="66" t="s">
        <v>555</v>
      </c>
    </row>
    <row r="115" spans="1:1" x14ac:dyDescent="0.25">
      <c r="A115" s="66" t="s">
        <v>556</v>
      </c>
    </row>
    <row r="116" spans="1:1" x14ac:dyDescent="0.25">
      <c r="A116" s="66" t="s">
        <v>557</v>
      </c>
    </row>
    <row r="117" spans="1:1" x14ac:dyDescent="0.25">
      <c r="A117" s="66" t="s">
        <v>558</v>
      </c>
    </row>
    <row r="118" spans="1:1" x14ac:dyDescent="0.25">
      <c r="A118" s="66" t="s">
        <v>559</v>
      </c>
    </row>
    <row r="119" spans="1:1" x14ac:dyDescent="0.25">
      <c r="A119" s="66" t="s">
        <v>560</v>
      </c>
    </row>
    <row r="120" spans="1:1" x14ac:dyDescent="0.25">
      <c r="A120" s="66" t="s">
        <v>561</v>
      </c>
    </row>
    <row r="121" spans="1:1" x14ac:dyDescent="0.25">
      <c r="A121" s="66" t="s">
        <v>562</v>
      </c>
    </row>
    <row r="122" spans="1:1" x14ac:dyDescent="0.25">
      <c r="A122" s="56" t="s">
        <v>563</v>
      </c>
    </row>
    <row r="123" spans="1:1" x14ac:dyDescent="0.25">
      <c r="A123" s="66" t="s">
        <v>564</v>
      </c>
    </row>
    <row r="124" spans="1:1" x14ac:dyDescent="0.25">
      <c r="A124" s="56" t="s">
        <v>565</v>
      </c>
    </row>
    <row r="125" spans="1:1" x14ac:dyDescent="0.25">
      <c r="A125" s="66" t="s">
        <v>566</v>
      </c>
    </row>
    <row r="126" spans="1:1" x14ac:dyDescent="0.25">
      <c r="A126" s="66" t="s">
        <v>567</v>
      </c>
    </row>
    <row r="127" spans="1:1" x14ac:dyDescent="0.25">
      <c r="A127" s="66" t="s">
        <v>568</v>
      </c>
    </row>
    <row r="128" spans="1:1" x14ac:dyDescent="0.25">
      <c r="A128" s="66" t="s">
        <v>569</v>
      </c>
    </row>
    <row r="129" spans="1:1" x14ac:dyDescent="0.25">
      <c r="A129" s="66" t="s">
        <v>570</v>
      </c>
    </row>
    <row r="130" spans="1:1" x14ac:dyDescent="0.25">
      <c r="A130" s="66" t="s">
        <v>571</v>
      </c>
    </row>
    <row r="131" spans="1:1" x14ac:dyDescent="0.25">
      <c r="A131" s="66" t="s">
        <v>572</v>
      </c>
    </row>
    <row r="132" spans="1:1" x14ac:dyDescent="0.25">
      <c r="A132" s="66" t="s">
        <v>573</v>
      </c>
    </row>
    <row r="133" spans="1:1" x14ac:dyDescent="0.25">
      <c r="A133" s="66" t="s">
        <v>574</v>
      </c>
    </row>
    <row r="134" spans="1:1" x14ac:dyDescent="0.25">
      <c r="A134" s="66" t="s">
        <v>575</v>
      </c>
    </row>
    <row r="135" spans="1:1" x14ac:dyDescent="0.25">
      <c r="A135" s="66" t="s">
        <v>576</v>
      </c>
    </row>
    <row r="136" spans="1:1" x14ac:dyDescent="0.25">
      <c r="A136" s="66" t="s">
        <v>577</v>
      </c>
    </row>
    <row r="137" spans="1:1" x14ac:dyDescent="0.25">
      <c r="A137" s="66" t="s">
        <v>578</v>
      </c>
    </row>
    <row r="138" spans="1:1" x14ac:dyDescent="0.25">
      <c r="A138" s="66" t="s">
        <v>579</v>
      </c>
    </row>
    <row r="139" spans="1:1" x14ac:dyDescent="0.25">
      <c r="A139" s="66" t="s">
        <v>580</v>
      </c>
    </row>
    <row r="140" spans="1:1" x14ac:dyDescent="0.25">
      <c r="A140" s="66" t="s">
        <v>581</v>
      </c>
    </row>
    <row r="141" spans="1:1" x14ac:dyDescent="0.25">
      <c r="A141" s="66" t="s">
        <v>582</v>
      </c>
    </row>
    <row r="142" spans="1:1" x14ac:dyDescent="0.25">
      <c r="A142" s="66" t="s">
        <v>583</v>
      </c>
    </row>
    <row r="143" spans="1:1" x14ac:dyDescent="0.25">
      <c r="A143" s="66" t="s">
        <v>584</v>
      </c>
    </row>
    <row r="144" spans="1:1" x14ac:dyDescent="0.25">
      <c r="A144" s="66" t="s">
        <v>585</v>
      </c>
    </row>
    <row r="145" spans="1:1" x14ac:dyDescent="0.25">
      <c r="A145" s="66" t="s">
        <v>586</v>
      </c>
    </row>
    <row r="146" spans="1:1" x14ac:dyDescent="0.25">
      <c r="A146" s="66" t="s">
        <v>587</v>
      </c>
    </row>
    <row r="147" spans="1:1" x14ac:dyDescent="0.25">
      <c r="A147" s="66" t="s">
        <v>588</v>
      </c>
    </row>
    <row r="148" spans="1:1" x14ac:dyDescent="0.25">
      <c r="A148" s="66" t="s">
        <v>589</v>
      </c>
    </row>
    <row r="149" spans="1:1" x14ac:dyDescent="0.25">
      <c r="A149" s="66" t="s">
        <v>590</v>
      </c>
    </row>
    <row r="150" spans="1:1" x14ac:dyDescent="0.25">
      <c r="A150" s="66" t="s">
        <v>591</v>
      </c>
    </row>
    <row r="151" spans="1:1" x14ac:dyDescent="0.25">
      <c r="A151" s="66" t="s">
        <v>592</v>
      </c>
    </row>
    <row r="152" spans="1:1" x14ac:dyDescent="0.25">
      <c r="A152" s="66" t="s">
        <v>593</v>
      </c>
    </row>
    <row r="153" spans="1:1" x14ac:dyDescent="0.25">
      <c r="A153" s="66" t="s">
        <v>594</v>
      </c>
    </row>
    <row r="154" spans="1:1" x14ac:dyDescent="0.25">
      <c r="A154" s="66" t="s">
        <v>595</v>
      </c>
    </row>
    <row r="155" spans="1:1" x14ac:dyDescent="0.25">
      <c r="A155" s="66" t="s">
        <v>596</v>
      </c>
    </row>
    <row r="156" spans="1:1" x14ac:dyDescent="0.25">
      <c r="A156" s="66" t="s">
        <v>597</v>
      </c>
    </row>
    <row r="157" spans="1:1" x14ac:dyDescent="0.25">
      <c r="A157" s="66" t="s">
        <v>598</v>
      </c>
    </row>
    <row r="158" spans="1:1" x14ac:dyDescent="0.25">
      <c r="A158" s="66" t="s">
        <v>599</v>
      </c>
    </row>
    <row r="159" spans="1:1" x14ac:dyDescent="0.25">
      <c r="A159" s="66" t="s">
        <v>600</v>
      </c>
    </row>
    <row r="160" spans="1:1" x14ac:dyDescent="0.25">
      <c r="A160" s="66" t="s">
        <v>601</v>
      </c>
    </row>
    <row r="161" spans="1:1" x14ac:dyDescent="0.25">
      <c r="A161" s="66" t="s">
        <v>602</v>
      </c>
    </row>
    <row r="162" spans="1:1" x14ac:dyDescent="0.25">
      <c r="A162" s="66" t="s">
        <v>603</v>
      </c>
    </row>
    <row r="163" spans="1:1" x14ac:dyDescent="0.25">
      <c r="A163" s="66" t="s">
        <v>604</v>
      </c>
    </row>
    <row r="164" spans="1:1" x14ac:dyDescent="0.25">
      <c r="A164" s="66" t="s">
        <v>605</v>
      </c>
    </row>
    <row r="165" spans="1:1" x14ac:dyDescent="0.25">
      <c r="A165" s="66" t="s">
        <v>606</v>
      </c>
    </row>
    <row r="166" spans="1:1" x14ac:dyDescent="0.25">
      <c r="A166" s="66" t="s">
        <v>607</v>
      </c>
    </row>
    <row r="167" spans="1:1" x14ac:dyDescent="0.25">
      <c r="A167" s="66" t="s">
        <v>608</v>
      </c>
    </row>
    <row r="168" spans="1:1" x14ac:dyDescent="0.25">
      <c r="A168" s="66" t="s">
        <v>609</v>
      </c>
    </row>
    <row r="169" spans="1:1" x14ac:dyDescent="0.25">
      <c r="A169" s="66" t="s">
        <v>610</v>
      </c>
    </row>
    <row r="170" spans="1:1" x14ac:dyDescent="0.25">
      <c r="A170" s="66" t="s">
        <v>611</v>
      </c>
    </row>
    <row r="171" spans="1:1" x14ac:dyDescent="0.25">
      <c r="A171" s="66" t="s">
        <v>612</v>
      </c>
    </row>
    <row r="172" spans="1:1" x14ac:dyDescent="0.25">
      <c r="A172" s="66" t="s">
        <v>613</v>
      </c>
    </row>
    <row r="173" spans="1:1" x14ac:dyDescent="0.25">
      <c r="A173" s="66" t="s">
        <v>614</v>
      </c>
    </row>
    <row r="174" spans="1:1" x14ac:dyDescent="0.25">
      <c r="A174" s="66" t="s">
        <v>615</v>
      </c>
    </row>
    <row r="175" spans="1:1" x14ac:dyDescent="0.25">
      <c r="A175" s="66" t="s">
        <v>616</v>
      </c>
    </row>
    <row r="176" spans="1:1" x14ac:dyDescent="0.25">
      <c r="A176" s="66" t="s">
        <v>617</v>
      </c>
    </row>
    <row r="177" spans="1:1" x14ac:dyDescent="0.25">
      <c r="A177" s="66" t="s">
        <v>618</v>
      </c>
    </row>
    <row r="178" spans="1:1" x14ac:dyDescent="0.25">
      <c r="A178" s="66" t="s">
        <v>619</v>
      </c>
    </row>
    <row r="179" spans="1:1" x14ac:dyDescent="0.25">
      <c r="A179" s="66" t="s">
        <v>620</v>
      </c>
    </row>
    <row r="180" spans="1:1" x14ac:dyDescent="0.25">
      <c r="A180" s="66" t="s">
        <v>621</v>
      </c>
    </row>
    <row r="181" spans="1:1" x14ac:dyDescent="0.25">
      <c r="A181" s="66" t="s">
        <v>622</v>
      </c>
    </row>
    <row r="182" spans="1:1" x14ac:dyDescent="0.25">
      <c r="A182" s="66" t="s">
        <v>623</v>
      </c>
    </row>
    <row r="183" spans="1:1" x14ac:dyDescent="0.25">
      <c r="A183" s="66" t="s">
        <v>624</v>
      </c>
    </row>
    <row r="184" spans="1:1" x14ac:dyDescent="0.25">
      <c r="A184" s="66" t="s">
        <v>625</v>
      </c>
    </row>
    <row r="185" spans="1:1" x14ac:dyDescent="0.25">
      <c r="A185" s="66" t="s">
        <v>626</v>
      </c>
    </row>
    <row r="186" spans="1:1" x14ac:dyDescent="0.25">
      <c r="A186" s="66" t="s">
        <v>627</v>
      </c>
    </row>
    <row r="187" spans="1:1" x14ac:dyDescent="0.25">
      <c r="A187" s="66" t="s">
        <v>628</v>
      </c>
    </row>
    <row r="188" spans="1:1" x14ac:dyDescent="0.25">
      <c r="A188" s="66" t="s">
        <v>629</v>
      </c>
    </row>
    <row r="189" spans="1:1" x14ac:dyDescent="0.25">
      <c r="A189" s="66" t="s">
        <v>630</v>
      </c>
    </row>
    <row r="190" spans="1:1" x14ac:dyDescent="0.25">
      <c r="A190" s="66" t="s">
        <v>631</v>
      </c>
    </row>
    <row r="191" spans="1:1" x14ac:dyDescent="0.25">
      <c r="A191" s="66" t="s">
        <v>632</v>
      </c>
    </row>
    <row r="192" spans="1:1" x14ac:dyDescent="0.25">
      <c r="A192" s="66" t="s">
        <v>633</v>
      </c>
    </row>
    <row r="193" spans="1:1" x14ac:dyDescent="0.25">
      <c r="A193" s="66" t="s">
        <v>634</v>
      </c>
    </row>
    <row r="194" spans="1:1" x14ac:dyDescent="0.25">
      <c r="A194" s="66" t="s">
        <v>635</v>
      </c>
    </row>
    <row r="195" spans="1:1" x14ac:dyDescent="0.25">
      <c r="A195" s="66" t="s">
        <v>636</v>
      </c>
    </row>
    <row r="196" spans="1:1" x14ac:dyDescent="0.25">
      <c r="A196" s="66" t="s">
        <v>637</v>
      </c>
    </row>
    <row r="197" spans="1:1" x14ac:dyDescent="0.25">
      <c r="A197" s="66" t="s">
        <v>638</v>
      </c>
    </row>
    <row r="198" spans="1:1" x14ac:dyDescent="0.25">
      <c r="A198" s="66" t="s">
        <v>639</v>
      </c>
    </row>
    <row r="199" spans="1:1" x14ac:dyDescent="0.25">
      <c r="A199" s="56" t="s">
        <v>640</v>
      </c>
    </row>
    <row r="200" spans="1:1" x14ac:dyDescent="0.25">
      <c r="A200" s="67" t="s">
        <v>641</v>
      </c>
    </row>
    <row r="201" spans="1:1" x14ac:dyDescent="0.25">
      <c r="A201" s="66" t="s">
        <v>642</v>
      </c>
    </row>
    <row r="202" spans="1:1" x14ac:dyDescent="0.25">
      <c r="A202" s="66" t="s">
        <v>643</v>
      </c>
    </row>
    <row r="203" spans="1:1" x14ac:dyDescent="0.25">
      <c r="A203" s="56" t="s">
        <v>644</v>
      </c>
    </row>
    <row r="204" spans="1:1" x14ac:dyDescent="0.25">
      <c r="A204" s="66" t="s">
        <v>645</v>
      </c>
    </row>
    <row r="205" spans="1:1" x14ac:dyDescent="0.25">
      <c r="A205" s="66" t="s">
        <v>646</v>
      </c>
    </row>
    <row r="206" spans="1:1" x14ac:dyDescent="0.25">
      <c r="A206" s="66" t="s">
        <v>647</v>
      </c>
    </row>
    <row r="207" spans="1:1" x14ac:dyDescent="0.25">
      <c r="A207" s="66" t="s">
        <v>648</v>
      </c>
    </row>
    <row r="208" spans="1:1" x14ac:dyDescent="0.25">
      <c r="A208" s="66" t="s">
        <v>649</v>
      </c>
    </row>
    <row r="209" spans="1:1" x14ac:dyDescent="0.25">
      <c r="A209" s="66" t="s">
        <v>650</v>
      </c>
    </row>
    <row r="210" spans="1:1" x14ac:dyDescent="0.25">
      <c r="A210" s="56" t="s">
        <v>651</v>
      </c>
    </row>
    <row r="211" spans="1:1" x14ac:dyDescent="0.25">
      <c r="A211" s="66" t="s">
        <v>652</v>
      </c>
    </row>
    <row r="212" spans="1:1" x14ac:dyDescent="0.25">
      <c r="A212" s="56" t="s">
        <v>653</v>
      </c>
    </row>
    <row r="213" spans="1:1" x14ac:dyDescent="0.25">
      <c r="A213" s="66" t="s">
        <v>654</v>
      </c>
    </row>
    <row r="214" spans="1:1" x14ac:dyDescent="0.25">
      <c r="A214" s="66" t="s">
        <v>655</v>
      </c>
    </row>
    <row r="215" spans="1:1" x14ac:dyDescent="0.25">
      <c r="A215" s="66" t="s">
        <v>656</v>
      </c>
    </row>
    <row r="216" spans="1:1" x14ac:dyDescent="0.25">
      <c r="A216" s="66" t="s">
        <v>657</v>
      </c>
    </row>
    <row r="217" spans="1:1" x14ac:dyDescent="0.25">
      <c r="A217" s="66" t="s">
        <v>658</v>
      </c>
    </row>
    <row r="218" spans="1:1" x14ac:dyDescent="0.25">
      <c r="A218" s="66" t="s">
        <v>659</v>
      </c>
    </row>
    <row r="219" spans="1:1" x14ac:dyDescent="0.25">
      <c r="A219" s="66" t="s">
        <v>660</v>
      </c>
    </row>
    <row r="220" spans="1:1" x14ac:dyDescent="0.25">
      <c r="A220" s="66" t="s">
        <v>661</v>
      </c>
    </row>
    <row r="221" spans="1:1" x14ac:dyDescent="0.25">
      <c r="A221" s="66" t="s">
        <v>662</v>
      </c>
    </row>
    <row r="222" spans="1:1" x14ac:dyDescent="0.25">
      <c r="A222" s="66" t="s">
        <v>663</v>
      </c>
    </row>
    <row r="223" spans="1:1" x14ac:dyDescent="0.25">
      <c r="A223" s="66" t="s">
        <v>664</v>
      </c>
    </row>
    <row r="224" spans="1:1" x14ac:dyDescent="0.25">
      <c r="A224" s="66" t="s">
        <v>665</v>
      </c>
    </row>
    <row r="225" spans="1:1" x14ac:dyDescent="0.25">
      <c r="A225" s="66" t="s">
        <v>666</v>
      </c>
    </row>
    <row r="226" spans="1:1" x14ac:dyDescent="0.25">
      <c r="A226" s="66" t="s">
        <v>667</v>
      </c>
    </row>
    <row r="227" spans="1:1" x14ac:dyDescent="0.25">
      <c r="A227" s="66" t="s">
        <v>668</v>
      </c>
    </row>
    <row r="228" spans="1:1" x14ac:dyDescent="0.25">
      <c r="A228" s="66" t="s">
        <v>669</v>
      </c>
    </row>
    <row r="229" spans="1:1" x14ac:dyDescent="0.25">
      <c r="A229" s="66" t="s">
        <v>670</v>
      </c>
    </row>
    <row r="230" spans="1:1" x14ac:dyDescent="0.25">
      <c r="A230" s="66" t="s">
        <v>671</v>
      </c>
    </row>
    <row r="231" spans="1:1" x14ac:dyDescent="0.25">
      <c r="A231" s="66" t="s">
        <v>672</v>
      </c>
    </row>
    <row r="232" spans="1:1" x14ac:dyDescent="0.25">
      <c r="A232" s="66" t="s">
        <v>673</v>
      </c>
    </row>
    <row r="233" spans="1:1" x14ac:dyDescent="0.25">
      <c r="A233" s="66" t="s">
        <v>674</v>
      </c>
    </row>
    <row r="234" spans="1:1" x14ac:dyDescent="0.25">
      <c r="A234" s="66" t="s">
        <v>675</v>
      </c>
    </row>
    <row r="235" spans="1:1" x14ac:dyDescent="0.25">
      <c r="A235" s="66" t="s">
        <v>676</v>
      </c>
    </row>
    <row r="236" spans="1:1" x14ac:dyDescent="0.25">
      <c r="A236" s="66" t="s">
        <v>677</v>
      </c>
    </row>
    <row r="237" spans="1:1" x14ac:dyDescent="0.25">
      <c r="A237" s="66" t="s">
        <v>678</v>
      </c>
    </row>
    <row r="238" spans="1:1" x14ac:dyDescent="0.25">
      <c r="A238" s="56" t="s">
        <v>679</v>
      </c>
    </row>
    <row r="239" spans="1:1" x14ac:dyDescent="0.25">
      <c r="A239" s="66" t="s">
        <v>680</v>
      </c>
    </row>
    <row r="240" spans="1:1" x14ac:dyDescent="0.25">
      <c r="A240" s="56" t="s">
        <v>681</v>
      </c>
    </row>
    <row r="241" spans="1:1" x14ac:dyDescent="0.25">
      <c r="A241" s="66" t="s">
        <v>682</v>
      </c>
    </row>
    <row r="242" spans="1:1" x14ac:dyDescent="0.25">
      <c r="A242" s="56" t="s">
        <v>683</v>
      </c>
    </row>
    <row r="243" spans="1:1" x14ac:dyDescent="0.25">
      <c r="A243" s="66" t="s">
        <v>684</v>
      </c>
    </row>
    <row r="244" spans="1:1" x14ac:dyDescent="0.25">
      <c r="A244" s="56" t="s">
        <v>685</v>
      </c>
    </row>
    <row r="245" spans="1:1" x14ac:dyDescent="0.25">
      <c r="A245" s="66" t="s">
        <v>686</v>
      </c>
    </row>
    <row r="246" spans="1:1" x14ac:dyDescent="0.25">
      <c r="A246" s="66" t="s">
        <v>687</v>
      </c>
    </row>
    <row r="247" spans="1:1" x14ac:dyDescent="0.25">
      <c r="A247" s="66" t="s">
        <v>688</v>
      </c>
    </row>
    <row r="248" spans="1:1" x14ac:dyDescent="0.25">
      <c r="A248" s="66" t="s">
        <v>689</v>
      </c>
    </row>
    <row r="249" spans="1:1" x14ac:dyDescent="0.25">
      <c r="A249" s="66" t="s">
        <v>690</v>
      </c>
    </row>
    <row r="250" spans="1:1" x14ac:dyDescent="0.25">
      <c r="A250" s="66" t="s">
        <v>691</v>
      </c>
    </row>
    <row r="251" spans="1:1" x14ac:dyDescent="0.25">
      <c r="A251" s="66" t="s">
        <v>692</v>
      </c>
    </row>
    <row r="252" spans="1:1" x14ac:dyDescent="0.25">
      <c r="A252" s="66" t="s">
        <v>693</v>
      </c>
    </row>
    <row r="253" spans="1:1" x14ac:dyDescent="0.25">
      <c r="A253" s="66" t="s">
        <v>694</v>
      </c>
    </row>
    <row r="254" spans="1:1" x14ac:dyDescent="0.25">
      <c r="A254" s="66" t="s">
        <v>695</v>
      </c>
    </row>
    <row r="255" spans="1:1" x14ac:dyDescent="0.25">
      <c r="A255" s="66" t="s">
        <v>696</v>
      </c>
    </row>
    <row r="256" spans="1:1" x14ac:dyDescent="0.25">
      <c r="A256" s="66" t="s">
        <v>697</v>
      </c>
    </row>
    <row r="257" spans="1:1" x14ac:dyDescent="0.25">
      <c r="A257" s="66" t="s">
        <v>698</v>
      </c>
    </row>
    <row r="258" spans="1:1" x14ac:dyDescent="0.25">
      <c r="A258" s="66" t="s">
        <v>699</v>
      </c>
    </row>
    <row r="259" spans="1:1" x14ac:dyDescent="0.25">
      <c r="A259" s="66" t="s">
        <v>700</v>
      </c>
    </row>
    <row r="260" spans="1:1" x14ac:dyDescent="0.25">
      <c r="A260" s="66" t="s">
        <v>701</v>
      </c>
    </row>
    <row r="261" spans="1:1" x14ac:dyDescent="0.25">
      <c r="A261" s="66" t="s">
        <v>702</v>
      </c>
    </row>
    <row r="262" spans="1:1" x14ac:dyDescent="0.25">
      <c r="A262" s="66" t="s">
        <v>703</v>
      </c>
    </row>
    <row r="263" spans="1:1" x14ac:dyDescent="0.25">
      <c r="A263" s="66" t="s">
        <v>704</v>
      </c>
    </row>
    <row r="264" spans="1:1" x14ac:dyDescent="0.25">
      <c r="A264" s="66" t="s">
        <v>705</v>
      </c>
    </row>
    <row r="265" spans="1:1" x14ac:dyDescent="0.25">
      <c r="A265" s="66" t="s">
        <v>706</v>
      </c>
    </row>
    <row r="266" spans="1:1" x14ac:dyDescent="0.25">
      <c r="A266" s="66" t="s">
        <v>707</v>
      </c>
    </row>
    <row r="267" spans="1:1" x14ac:dyDescent="0.25">
      <c r="A267" s="66" t="s">
        <v>708</v>
      </c>
    </row>
    <row r="268" spans="1:1" x14ac:dyDescent="0.25">
      <c r="A268" s="66" t="s">
        <v>709</v>
      </c>
    </row>
    <row r="269" spans="1:1" x14ac:dyDescent="0.25">
      <c r="A269" s="66" t="s">
        <v>710</v>
      </c>
    </row>
    <row r="270" spans="1:1" x14ac:dyDescent="0.25">
      <c r="A270" s="66" t="s">
        <v>711</v>
      </c>
    </row>
    <row r="271" spans="1:1" x14ac:dyDescent="0.25">
      <c r="A271" s="66" t="s">
        <v>712</v>
      </c>
    </row>
    <row r="272" spans="1:1" x14ac:dyDescent="0.25">
      <c r="A272" s="66" t="s">
        <v>713</v>
      </c>
    </row>
    <row r="273" spans="1:1" x14ac:dyDescent="0.25">
      <c r="A273" s="66" t="s">
        <v>714</v>
      </c>
    </row>
    <row r="274" spans="1:1" x14ac:dyDescent="0.25">
      <c r="A274" s="66" t="s">
        <v>715</v>
      </c>
    </row>
    <row r="275" spans="1:1" x14ac:dyDescent="0.25">
      <c r="A275" s="66" t="s">
        <v>716</v>
      </c>
    </row>
    <row r="276" spans="1:1" x14ac:dyDescent="0.25">
      <c r="A276" s="66" t="s">
        <v>717</v>
      </c>
    </row>
    <row r="277" spans="1:1" x14ac:dyDescent="0.25">
      <c r="A277" s="66" t="s">
        <v>718</v>
      </c>
    </row>
    <row r="278" spans="1:1" x14ac:dyDescent="0.25">
      <c r="A278" s="66" t="s">
        <v>719</v>
      </c>
    </row>
    <row r="279" spans="1:1" x14ac:dyDescent="0.25">
      <c r="A279" s="66" t="s">
        <v>720</v>
      </c>
    </row>
    <row r="280" spans="1:1" x14ac:dyDescent="0.25">
      <c r="A280" s="66" t="s">
        <v>721</v>
      </c>
    </row>
    <row r="281" spans="1:1" x14ac:dyDescent="0.25">
      <c r="A281" s="66" t="s">
        <v>722</v>
      </c>
    </row>
    <row r="282" spans="1:1" x14ac:dyDescent="0.25">
      <c r="A282" s="66" t="s">
        <v>723</v>
      </c>
    </row>
    <row r="283" spans="1:1" x14ac:dyDescent="0.25">
      <c r="A283" s="66" t="s">
        <v>724</v>
      </c>
    </row>
    <row r="284" spans="1:1" x14ac:dyDescent="0.25">
      <c r="A284" s="66" t="s">
        <v>725</v>
      </c>
    </row>
    <row r="285" spans="1:1" x14ac:dyDescent="0.25">
      <c r="A285" s="66" t="s">
        <v>726</v>
      </c>
    </row>
    <row r="286" spans="1:1" x14ac:dyDescent="0.25">
      <c r="A286" s="66" t="s">
        <v>727</v>
      </c>
    </row>
    <row r="287" spans="1:1" x14ac:dyDescent="0.25">
      <c r="A287" s="66" t="s">
        <v>728</v>
      </c>
    </row>
    <row r="288" spans="1:1" x14ac:dyDescent="0.25">
      <c r="A288" s="66" t="s">
        <v>729</v>
      </c>
    </row>
    <row r="289" spans="1:1" x14ac:dyDescent="0.25">
      <c r="A289" s="66" t="s">
        <v>730</v>
      </c>
    </row>
    <row r="290" spans="1:1" x14ac:dyDescent="0.25">
      <c r="A290" s="66" t="s">
        <v>731</v>
      </c>
    </row>
    <row r="291" spans="1:1" x14ac:dyDescent="0.25">
      <c r="A291" s="66" t="s">
        <v>732</v>
      </c>
    </row>
    <row r="292" spans="1:1" x14ac:dyDescent="0.25">
      <c r="A292" s="66" t="s">
        <v>733</v>
      </c>
    </row>
    <row r="293" spans="1:1" x14ac:dyDescent="0.25">
      <c r="A293" s="66" t="s">
        <v>734</v>
      </c>
    </row>
    <row r="294" spans="1:1" x14ac:dyDescent="0.25">
      <c r="A294" s="67" t="s">
        <v>735</v>
      </c>
    </row>
    <row r="295" spans="1:1" x14ac:dyDescent="0.25">
      <c r="A295" s="67" t="s">
        <v>736</v>
      </c>
    </row>
    <row r="296" spans="1:1" x14ac:dyDescent="0.25">
      <c r="A296" s="56" t="s">
        <v>737</v>
      </c>
    </row>
    <row r="297" spans="1:1" x14ac:dyDescent="0.25">
      <c r="A297" s="66" t="s">
        <v>738</v>
      </c>
    </row>
    <row r="298" spans="1:1" x14ac:dyDescent="0.25">
      <c r="A298" s="66" t="s">
        <v>739</v>
      </c>
    </row>
    <row r="299" spans="1:1" x14ac:dyDescent="0.25">
      <c r="A299" s="66" t="s">
        <v>740</v>
      </c>
    </row>
    <row r="300" spans="1:1" x14ac:dyDescent="0.25">
      <c r="A300" s="66" t="s">
        <v>741</v>
      </c>
    </row>
    <row r="301" spans="1:1" x14ac:dyDescent="0.25">
      <c r="A301" s="67" t="s">
        <v>742</v>
      </c>
    </row>
    <row r="302" spans="1:1" x14ac:dyDescent="0.25">
      <c r="A302" s="67" t="s">
        <v>743</v>
      </c>
    </row>
    <row r="303" spans="1:1" x14ac:dyDescent="0.25">
      <c r="A303" s="56" t="s">
        <v>744</v>
      </c>
    </row>
    <row r="304" spans="1:1" x14ac:dyDescent="0.25">
      <c r="A304" s="66" t="s">
        <v>745</v>
      </c>
    </row>
    <row r="305" spans="1:1" x14ac:dyDescent="0.25">
      <c r="A305" s="66" t="s">
        <v>746</v>
      </c>
    </row>
    <row r="306" spans="1:1" x14ac:dyDescent="0.25">
      <c r="A306" s="66" t="s">
        <v>747</v>
      </c>
    </row>
    <row r="307" spans="1:1" x14ac:dyDescent="0.25">
      <c r="A307" s="66" t="s">
        <v>748</v>
      </c>
    </row>
    <row r="308" spans="1:1" x14ac:dyDescent="0.25">
      <c r="A308" s="67" t="s">
        <v>749</v>
      </c>
    </row>
    <row r="309" spans="1:1" x14ac:dyDescent="0.25">
      <c r="A309" s="67" t="s">
        <v>750</v>
      </c>
    </row>
    <row r="310" spans="1:1" x14ac:dyDescent="0.25">
      <c r="A310" s="56" t="s">
        <v>751</v>
      </c>
    </row>
    <row r="311" spans="1:1" x14ac:dyDescent="0.25">
      <c r="A311" s="66" t="s">
        <v>752</v>
      </c>
    </row>
    <row r="312" spans="1:1" x14ac:dyDescent="0.25">
      <c r="A312" s="66" t="s">
        <v>753</v>
      </c>
    </row>
    <row r="313" spans="1:1" x14ac:dyDescent="0.25">
      <c r="A313" s="66" t="s">
        <v>754</v>
      </c>
    </row>
    <row r="314" spans="1:1" x14ac:dyDescent="0.25">
      <c r="A314" s="66" t="s">
        <v>755</v>
      </c>
    </row>
    <row r="315" spans="1:1" x14ac:dyDescent="0.25">
      <c r="A315" s="67" t="s">
        <v>756</v>
      </c>
    </row>
    <row r="316" spans="1:1" x14ac:dyDescent="0.25">
      <c r="A316" s="67" t="s">
        <v>757</v>
      </c>
    </row>
    <row r="317" spans="1:1" x14ac:dyDescent="0.25">
      <c r="A317" s="56" t="s">
        <v>758</v>
      </c>
    </row>
    <row r="318" spans="1:1" x14ac:dyDescent="0.25">
      <c r="A318" s="66" t="s">
        <v>759</v>
      </c>
    </row>
    <row r="319" spans="1:1" x14ac:dyDescent="0.25">
      <c r="A319" s="66" t="s">
        <v>760</v>
      </c>
    </row>
    <row r="320" spans="1:1" x14ac:dyDescent="0.25">
      <c r="A320" s="66" t="s">
        <v>761</v>
      </c>
    </row>
    <row r="321" spans="1:1" x14ac:dyDescent="0.25">
      <c r="A321" s="66" t="s">
        <v>762</v>
      </c>
    </row>
    <row r="322" spans="1:1" x14ac:dyDescent="0.25">
      <c r="A322" s="67" t="s">
        <v>763</v>
      </c>
    </row>
    <row r="323" spans="1:1" x14ac:dyDescent="0.25">
      <c r="A323" s="67" t="s">
        <v>764</v>
      </c>
    </row>
    <row r="324" spans="1:1" x14ac:dyDescent="0.25">
      <c r="A324" s="56" t="s">
        <v>765</v>
      </c>
    </row>
    <row r="325" spans="1:1" x14ac:dyDescent="0.25">
      <c r="A325" s="66" t="s">
        <v>766</v>
      </c>
    </row>
    <row r="326" spans="1:1" x14ac:dyDescent="0.25">
      <c r="A326" s="66" t="s">
        <v>767</v>
      </c>
    </row>
    <row r="327" spans="1:1" x14ac:dyDescent="0.25">
      <c r="A327" s="66" t="s">
        <v>768</v>
      </c>
    </row>
    <row r="328" spans="1:1" x14ac:dyDescent="0.25">
      <c r="A328" s="66" t="s">
        <v>769</v>
      </c>
    </row>
    <row r="329" spans="1:1" x14ac:dyDescent="0.25">
      <c r="A329" s="67" t="s">
        <v>770</v>
      </c>
    </row>
    <row r="330" spans="1:1" x14ac:dyDescent="0.25">
      <c r="A330" s="67" t="s">
        <v>771</v>
      </c>
    </row>
    <row r="331" spans="1:1" x14ac:dyDescent="0.25">
      <c r="A331" s="56" t="s">
        <v>772</v>
      </c>
    </row>
    <row r="332" spans="1:1" x14ac:dyDescent="0.25">
      <c r="A332" s="66" t="s">
        <v>773</v>
      </c>
    </row>
    <row r="333" spans="1:1" x14ac:dyDescent="0.25">
      <c r="A333" s="66" t="s">
        <v>774</v>
      </c>
    </row>
    <row r="334" spans="1:1" x14ac:dyDescent="0.25">
      <c r="A334" s="66" t="s">
        <v>775</v>
      </c>
    </row>
    <row r="335" spans="1:1" x14ac:dyDescent="0.25">
      <c r="A335" s="66" t="s">
        <v>776</v>
      </c>
    </row>
    <row r="336" spans="1:1" x14ac:dyDescent="0.25">
      <c r="A336" s="67" t="s">
        <v>777</v>
      </c>
    </row>
    <row r="337" spans="1:1" x14ac:dyDescent="0.25">
      <c r="A337" s="67" t="s">
        <v>778</v>
      </c>
    </row>
    <row r="338" spans="1:1" x14ac:dyDescent="0.25">
      <c r="A338" s="56" t="s">
        <v>779</v>
      </c>
    </row>
    <row r="339" spans="1:1" x14ac:dyDescent="0.25">
      <c r="A339" s="66" t="s">
        <v>780</v>
      </c>
    </row>
    <row r="340" spans="1:1" x14ac:dyDescent="0.25">
      <c r="A340" s="66" t="s">
        <v>781</v>
      </c>
    </row>
    <row r="341" spans="1:1" x14ac:dyDescent="0.25">
      <c r="A341" s="66" t="s">
        <v>782</v>
      </c>
    </row>
    <row r="342" spans="1:1" x14ac:dyDescent="0.25">
      <c r="A342" s="66" t="s">
        <v>783</v>
      </c>
    </row>
    <row r="343" spans="1:1" x14ac:dyDescent="0.25">
      <c r="A343" s="67" t="s">
        <v>784</v>
      </c>
    </row>
    <row r="344" spans="1:1" x14ac:dyDescent="0.25">
      <c r="A344" s="67" t="s">
        <v>785</v>
      </c>
    </row>
    <row r="345" spans="1:1" x14ac:dyDescent="0.25">
      <c r="A345" s="56" t="s">
        <v>786</v>
      </c>
    </row>
    <row r="346" spans="1:1" x14ac:dyDescent="0.25">
      <c r="A346" s="66" t="s">
        <v>787</v>
      </c>
    </row>
    <row r="347" spans="1:1" x14ac:dyDescent="0.25">
      <c r="A347" s="66" t="s">
        <v>788</v>
      </c>
    </row>
    <row r="348" spans="1:1" x14ac:dyDescent="0.25">
      <c r="A348" s="66" t="s">
        <v>789</v>
      </c>
    </row>
    <row r="349" spans="1:1" x14ac:dyDescent="0.25">
      <c r="A349" s="66" t="s">
        <v>790</v>
      </c>
    </row>
    <row r="350" spans="1:1" x14ac:dyDescent="0.25">
      <c r="A350" s="67" t="s">
        <v>791</v>
      </c>
    </row>
    <row r="351" spans="1:1" x14ac:dyDescent="0.25">
      <c r="A351" s="67" t="s">
        <v>792</v>
      </c>
    </row>
    <row r="352" spans="1:1" x14ac:dyDescent="0.25">
      <c r="A352" s="56" t="s">
        <v>793</v>
      </c>
    </row>
    <row r="353" spans="1:1" x14ac:dyDescent="0.25">
      <c r="A353" s="66" t="s">
        <v>794</v>
      </c>
    </row>
    <row r="354" spans="1:1" x14ac:dyDescent="0.25">
      <c r="A354" s="66" t="s">
        <v>795</v>
      </c>
    </row>
    <row r="355" spans="1:1" x14ac:dyDescent="0.25">
      <c r="A355" s="66" t="s">
        <v>796</v>
      </c>
    </row>
    <row r="356" spans="1:1" x14ac:dyDescent="0.25">
      <c r="A356" s="66" t="s">
        <v>797</v>
      </c>
    </row>
    <row r="357" spans="1:1" x14ac:dyDescent="0.25">
      <c r="A357" s="67" t="s">
        <v>798</v>
      </c>
    </row>
    <row r="358" spans="1:1" x14ac:dyDescent="0.25">
      <c r="A358" s="67" t="s">
        <v>799</v>
      </c>
    </row>
    <row r="359" spans="1:1" x14ac:dyDescent="0.25">
      <c r="A359" s="56" t="s">
        <v>800</v>
      </c>
    </row>
    <row r="360" spans="1:1" x14ac:dyDescent="0.25">
      <c r="A360" s="66" t="s">
        <v>801</v>
      </c>
    </row>
    <row r="361" spans="1:1" x14ac:dyDescent="0.25">
      <c r="A361" s="66" t="s">
        <v>802</v>
      </c>
    </row>
    <row r="362" spans="1:1" x14ac:dyDescent="0.25">
      <c r="A362" s="66" t="s">
        <v>803</v>
      </c>
    </row>
    <row r="363" spans="1:1" x14ac:dyDescent="0.25">
      <c r="A363" s="66" t="s">
        <v>804</v>
      </c>
    </row>
    <row r="364" spans="1:1" x14ac:dyDescent="0.25">
      <c r="A364" s="67" t="s">
        <v>805</v>
      </c>
    </row>
    <row r="365" spans="1:1" x14ac:dyDescent="0.25">
      <c r="A365" s="67" t="s">
        <v>806</v>
      </c>
    </row>
    <row r="366" spans="1:1" x14ac:dyDescent="0.25">
      <c r="A366" s="56" t="s">
        <v>807</v>
      </c>
    </row>
    <row r="367" spans="1:1" x14ac:dyDescent="0.25">
      <c r="A367" s="66" t="s">
        <v>808</v>
      </c>
    </row>
    <row r="368" spans="1:1" x14ac:dyDescent="0.25">
      <c r="A368" s="66" t="s">
        <v>809</v>
      </c>
    </row>
    <row r="369" spans="1:1" x14ac:dyDescent="0.25">
      <c r="A369" s="66" t="s">
        <v>810</v>
      </c>
    </row>
    <row r="370" spans="1:1" x14ac:dyDescent="0.25">
      <c r="A370" s="66" t="s">
        <v>811</v>
      </c>
    </row>
    <row r="371" spans="1:1" x14ac:dyDescent="0.25">
      <c r="A371" s="67" t="s">
        <v>812</v>
      </c>
    </row>
    <row r="372" spans="1:1" x14ac:dyDescent="0.25">
      <c r="A372" s="67" t="s">
        <v>813</v>
      </c>
    </row>
    <row r="373" spans="1:1" x14ac:dyDescent="0.25">
      <c r="A373" s="56" t="s">
        <v>814</v>
      </c>
    </row>
    <row r="374" spans="1:1" x14ac:dyDescent="0.25">
      <c r="A374" s="66" t="s">
        <v>815</v>
      </c>
    </row>
    <row r="375" spans="1:1" x14ac:dyDescent="0.25">
      <c r="A375" s="66" t="s">
        <v>816</v>
      </c>
    </row>
    <row r="376" spans="1:1" x14ac:dyDescent="0.25">
      <c r="A376" s="66" t="s">
        <v>817</v>
      </c>
    </row>
    <row r="377" spans="1:1" x14ac:dyDescent="0.25">
      <c r="A377" s="66" t="s">
        <v>818</v>
      </c>
    </row>
    <row r="378" spans="1:1" x14ac:dyDescent="0.25">
      <c r="A378" s="67" t="s">
        <v>819</v>
      </c>
    </row>
    <row r="379" spans="1:1" x14ac:dyDescent="0.25">
      <c r="A379" s="67" t="s">
        <v>820</v>
      </c>
    </row>
    <row r="380" spans="1:1" x14ac:dyDescent="0.25">
      <c r="A380" s="56" t="s">
        <v>821</v>
      </c>
    </row>
    <row r="381" spans="1:1" x14ac:dyDescent="0.25">
      <c r="A381" s="66" t="s">
        <v>822</v>
      </c>
    </row>
    <row r="382" spans="1:1" x14ac:dyDescent="0.25">
      <c r="A382" s="66" t="s">
        <v>823</v>
      </c>
    </row>
    <row r="383" spans="1:1" x14ac:dyDescent="0.25">
      <c r="A383" s="66" t="s">
        <v>824</v>
      </c>
    </row>
    <row r="384" spans="1:1" x14ac:dyDescent="0.25">
      <c r="A384" s="66" t="s">
        <v>825</v>
      </c>
    </row>
    <row r="385" spans="1:1" x14ac:dyDescent="0.25">
      <c r="A385" s="67" t="s">
        <v>826</v>
      </c>
    </row>
    <row r="386" spans="1:1" x14ac:dyDescent="0.25">
      <c r="A386" s="67" t="s">
        <v>827</v>
      </c>
    </row>
    <row r="387" spans="1:1" x14ac:dyDescent="0.25">
      <c r="A387" s="56" t="s">
        <v>828</v>
      </c>
    </row>
    <row r="388" spans="1:1" x14ac:dyDescent="0.25">
      <c r="A388" s="66" t="s">
        <v>829</v>
      </c>
    </row>
    <row r="389" spans="1:1" x14ac:dyDescent="0.25">
      <c r="A389" s="66" t="s">
        <v>830</v>
      </c>
    </row>
    <row r="390" spans="1:1" x14ac:dyDescent="0.25">
      <c r="A390" s="66" t="s">
        <v>831</v>
      </c>
    </row>
    <row r="391" spans="1:1" x14ac:dyDescent="0.25">
      <c r="A391" s="66" t="s">
        <v>832</v>
      </c>
    </row>
    <row r="392" spans="1:1" x14ac:dyDescent="0.25">
      <c r="A392" s="67" t="s">
        <v>833</v>
      </c>
    </row>
    <row r="393" spans="1:1" x14ac:dyDescent="0.25">
      <c r="A393" s="67" t="s">
        <v>834</v>
      </c>
    </row>
    <row r="394" spans="1:1" x14ac:dyDescent="0.25">
      <c r="A394" s="56" t="s">
        <v>835</v>
      </c>
    </row>
    <row r="395" spans="1:1" x14ac:dyDescent="0.25">
      <c r="A395" s="66" t="s">
        <v>836</v>
      </c>
    </row>
    <row r="396" spans="1:1" x14ac:dyDescent="0.25">
      <c r="A396" s="66" t="s">
        <v>837</v>
      </c>
    </row>
    <row r="397" spans="1:1" x14ac:dyDescent="0.25">
      <c r="A397" s="66" t="s">
        <v>838</v>
      </c>
    </row>
    <row r="398" spans="1:1" x14ac:dyDescent="0.25">
      <c r="A398" s="66" t="s">
        <v>839</v>
      </c>
    </row>
    <row r="399" spans="1:1" x14ac:dyDescent="0.25">
      <c r="A399" s="66" t="s">
        <v>840</v>
      </c>
    </row>
    <row r="400" spans="1:1" x14ac:dyDescent="0.25">
      <c r="A400" s="66" t="s">
        <v>841</v>
      </c>
    </row>
    <row r="401" spans="1:1" x14ac:dyDescent="0.25">
      <c r="A401" s="66" t="s">
        <v>842</v>
      </c>
    </row>
    <row r="402" spans="1:1" x14ac:dyDescent="0.25">
      <c r="A402" s="66" t="s">
        <v>843</v>
      </c>
    </row>
    <row r="403" spans="1:1" x14ac:dyDescent="0.25">
      <c r="A403" s="66" t="s">
        <v>844</v>
      </c>
    </row>
    <row r="404" spans="1:1" x14ac:dyDescent="0.25">
      <c r="A404" s="66" t="s">
        <v>845</v>
      </c>
    </row>
    <row r="405" spans="1:1" x14ac:dyDescent="0.25">
      <c r="A405" s="66" t="s">
        <v>846</v>
      </c>
    </row>
    <row r="406" spans="1:1" x14ac:dyDescent="0.25">
      <c r="A406" s="66" t="s">
        <v>847</v>
      </c>
    </row>
    <row r="407" spans="1:1" x14ac:dyDescent="0.25">
      <c r="A407" s="66" t="s">
        <v>848</v>
      </c>
    </row>
    <row r="408" spans="1:1" x14ac:dyDescent="0.25">
      <c r="A408" s="66" t="s">
        <v>849</v>
      </c>
    </row>
    <row r="409" spans="1:1" x14ac:dyDescent="0.25">
      <c r="A409" s="66" t="s">
        <v>850</v>
      </c>
    </row>
    <row r="410" spans="1:1" x14ac:dyDescent="0.25">
      <c r="A410" s="66" t="s">
        <v>851</v>
      </c>
    </row>
    <row r="411" spans="1:1" x14ac:dyDescent="0.25">
      <c r="A411" s="66" t="s">
        <v>852</v>
      </c>
    </row>
    <row r="412" spans="1:1" x14ac:dyDescent="0.25">
      <c r="A412" s="66" t="s">
        <v>853</v>
      </c>
    </row>
    <row r="413" spans="1:1" x14ac:dyDescent="0.25">
      <c r="A413" s="66" t="s">
        <v>854</v>
      </c>
    </row>
    <row r="414" spans="1:1" x14ac:dyDescent="0.25">
      <c r="A414" s="56" t="s">
        <v>855</v>
      </c>
    </row>
    <row r="415" spans="1:1" x14ac:dyDescent="0.25">
      <c r="A415" s="66" t="s">
        <v>856</v>
      </c>
    </row>
    <row r="416" spans="1:1" x14ac:dyDescent="0.25">
      <c r="A416" s="56" t="s">
        <v>857</v>
      </c>
    </row>
    <row r="417" spans="1:1" x14ac:dyDescent="0.25">
      <c r="A417" s="66" t="s">
        <v>858</v>
      </c>
    </row>
    <row r="418" spans="1:1" x14ac:dyDescent="0.25">
      <c r="A418" s="66" t="s">
        <v>859</v>
      </c>
    </row>
    <row r="419" spans="1:1" x14ac:dyDescent="0.25">
      <c r="A419" s="66" t="s">
        <v>860</v>
      </c>
    </row>
    <row r="420" spans="1:1" x14ac:dyDescent="0.25">
      <c r="A420" s="66" t="s">
        <v>861</v>
      </c>
    </row>
    <row r="421" spans="1:1" x14ac:dyDescent="0.25">
      <c r="A421" s="66" t="s">
        <v>862</v>
      </c>
    </row>
    <row r="422" spans="1:1" x14ac:dyDescent="0.25">
      <c r="A422" s="66" t="s">
        <v>863</v>
      </c>
    </row>
    <row r="423" spans="1:1" x14ac:dyDescent="0.25">
      <c r="A423" s="66" t="s">
        <v>864</v>
      </c>
    </row>
    <row r="424" spans="1:1" x14ac:dyDescent="0.25">
      <c r="A424" s="66" t="s">
        <v>865</v>
      </c>
    </row>
    <row r="425" spans="1:1" x14ac:dyDescent="0.25">
      <c r="A425" s="66" t="s">
        <v>866</v>
      </c>
    </row>
    <row r="426" spans="1:1" x14ac:dyDescent="0.25">
      <c r="A426" s="66" t="s">
        <v>867</v>
      </c>
    </row>
    <row r="427" spans="1:1" x14ac:dyDescent="0.25">
      <c r="A427" s="56" t="s">
        <v>868</v>
      </c>
    </row>
    <row r="428" spans="1:1" x14ac:dyDescent="0.25">
      <c r="A428" s="66" t="s">
        <v>869</v>
      </c>
    </row>
    <row r="429" spans="1:1" x14ac:dyDescent="0.25">
      <c r="A429" s="56" t="s">
        <v>870</v>
      </c>
    </row>
    <row r="430" spans="1:1" x14ac:dyDescent="0.25">
      <c r="A430" s="66" t="s">
        <v>871</v>
      </c>
    </row>
    <row r="431" spans="1:1" x14ac:dyDescent="0.25">
      <c r="A431" s="56" t="s">
        <v>872</v>
      </c>
    </row>
    <row r="432" spans="1:1" x14ac:dyDescent="0.25">
      <c r="A432" s="66" t="s">
        <v>873</v>
      </c>
    </row>
    <row r="433" spans="1:1" x14ac:dyDescent="0.25">
      <c r="A433" s="66" t="s">
        <v>874</v>
      </c>
    </row>
    <row r="434" spans="1:1" x14ac:dyDescent="0.25">
      <c r="A434" s="66" t="s">
        <v>875</v>
      </c>
    </row>
    <row r="435" spans="1:1" x14ac:dyDescent="0.25">
      <c r="A435" s="66" t="s">
        <v>876</v>
      </c>
    </row>
    <row r="436" spans="1:1" x14ac:dyDescent="0.25">
      <c r="A436" s="66" t="s">
        <v>877</v>
      </c>
    </row>
    <row r="437" spans="1:1" x14ac:dyDescent="0.25">
      <c r="A437" s="66" t="s">
        <v>878</v>
      </c>
    </row>
    <row r="438" spans="1:1" x14ac:dyDescent="0.25">
      <c r="A438" s="66" t="s">
        <v>879</v>
      </c>
    </row>
    <row r="439" spans="1:1" x14ac:dyDescent="0.25">
      <c r="A439" s="66" t="s">
        <v>880</v>
      </c>
    </row>
    <row r="440" spans="1:1" x14ac:dyDescent="0.25">
      <c r="A440" s="66" t="s">
        <v>881</v>
      </c>
    </row>
    <row r="441" spans="1:1" x14ac:dyDescent="0.25">
      <c r="A441" s="66" t="s">
        <v>882</v>
      </c>
    </row>
    <row r="442" spans="1:1" x14ac:dyDescent="0.25">
      <c r="A442" s="66" t="s">
        <v>883</v>
      </c>
    </row>
    <row r="443" spans="1:1" x14ac:dyDescent="0.25">
      <c r="A443" s="66" t="s">
        <v>884</v>
      </c>
    </row>
    <row r="444" spans="1:1" x14ac:dyDescent="0.25">
      <c r="A444" s="66" t="s">
        <v>885</v>
      </c>
    </row>
    <row r="445" spans="1:1" x14ac:dyDescent="0.25">
      <c r="A445" s="56" t="s">
        <v>886</v>
      </c>
    </row>
    <row r="446" spans="1:1" x14ac:dyDescent="0.25">
      <c r="A446" s="66" t="s">
        <v>887</v>
      </c>
    </row>
    <row r="447" spans="1:1" x14ac:dyDescent="0.25">
      <c r="A447" s="66" t="s">
        <v>888</v>
      </c>
    </row>
    <row r="448" spans="1:1" x14ac:dyDescent="0.25">
      <c r="A448" s="66" t="s">
        <v>889</v>
      </c>
    </row>
    <row r="449" spans="1:1" x14ac:dyDescent="0.25">
      <c r="A449" s="66" t="s">
        <v>890</v>
      </c>
    </row>
    <row r="450" spans="1:1" x14ac:dyDescent="0.25">
      <c r="A450" s="66" t="s">
        <v>891</v>
      </c>
    </row>
    <row r="451" spans="1:1" x14ac:dyDescent="0.25">
      <c r="A451" s="66" t="s">
        <v>892</v>
      </c>
    </row>
    <row r="452" spans="1:1" x14ac:dyDescent="0.25">
      <c r="A452" s="66" t="s">
        <v>893</v>
      </c>
    </row>
    <row r="453" spans="1:1" x14ac:dyDescent="0.25">
      <c r="A453" s="66" t="s">
        <v>894</v>
      </c>
    </row>
    <row r="454" spans="1:1" x14ac:dyDescent="0.25">
      <c r="A454" s="66" t="s">
        <v>895</v>
      </c>
    </row>
    <row r="455" spans="1:1" x14ac:dyDescent="0.25">
      <c r="A455" s="66" t="s">
        <v>896</v>
      </c>
    </row>
    <row r="456" spans="1:1" x14ac:dyDescent="0.25">
      <c r="A456" s="66" t="s">
        <v>897</v>
      </c>
    </row>
    <row r="457" spans="1:1" x14ac:dyDescent="0.25">
      <c r="A457" s="66" t="s">
        <v>898</v>
      </c>
    </row>
    <row r="458" spans="1:1" x14ac:dyDescent="0.25">
      <c r="A458" s="66" t="s">
        <v>899</v>
      </c>
    </row>
    <row r="459" spans="1:1" x14ac:dyDescent="0.25">
      <c r="A459" s="66" t="s">
        <v>900</v>
      </c>
    </row>
    <row r="460" spans="1:1" x14ac:dyDescent="0.25">
      <c r="A460" s="66" t="s">
        <v>901</v>
      </c>
    </row>
    <row r="461" spans="1:1" x14ac:dyDescent="0.25">
      <c r="A461" s="66" t="s">
        <v>902</v>
      </c>
    </row>
    <row r="462" spans="1:1" x14ac:dyDescent="0.25">
      <c r="A462" s="66" t="s">
        <v>903</v>
      </c>
    </row>
    <row r="463" spans="1:1" x14ac:dyDescent="0.25">
      <c r="A463" s="66" t="s">
        <v>904</v>
      </c>
    </row>
    <row r="464" spans="1:1" x14ac:dyDescent="0.25">
      <c r="A464" s="66" t="s">
        <v>905</v>
      </c>
    </row>
    <row r="465" spans="1:1" x14ac:dyDescent="0.25">
      <c r="A465" s="66" t="s">
        <v>906</v>
      </c>
    </row>
    <row r="466" spans="1:1" x14ac:dyDescent="0.25">
      <c r="A466" s="66" t="s">
        <v>907</v>
      </c>
    </row>
    <row r="467" spans="1:1" x14ac:dyDescent="0.25">
      <c r="A467" s="66" t="s">
        <v>908</v>
      </c>
    </row>
    <row r="468" spans="1:1" x14ac:dyDescent="0.25">
      <c r="A468" s="66" t="s">
        <v>909</v>
      </c>
    </row>
    <row r="469" spans="1:1" x14ac:dyDescent="0.25">
      <c r="A469" s="66" t="s">
        <v>910</v>
      </c>
    </row>
    <row r="470" spans="1:1" x14ac:dyDescent="0.25">
      <c r="A470" s="66" t="s">
        <v>911</v>
      </c>
    </row>
    <row r="471" spans="1:1" x14ac:dyDescent="0.25">
      <c r="A471" s="66" t="s">
        <v>912</v>
      </c>
    </row>
    <row r="472" spans="1:1" x14ac:dyDescent="0.25">
      <c r="A472" s="66" t="s">
        <v>913</v>
      </c>
    </row>
    <row r="473" spans="1:1" x14ac:dyDescent="0.25">
      <c r="A473" s="66" t="s">
        <v>914</v>
      </c>
    </row>
    <row r="474" spans="1:1" x14ac:dyDescent="0.25">
      <c r="A474" s="66" t="s">
        <v>915</v>
      </c>
    </row>
    <row r="475" spans="1:1" x14ac:dyDescent="0.25">
      <c r="A475" s="66" t="s">
        <v>916</v>
      </c>
    </row>
    <row r="476" spans="1:1" x14ac:dyDescent="0.25">
      <c r="A476" s="66" t="s">
        <v>917</v>
      </c>
    </row>
    <row r="477" spans="1:1" x14ac:dyDescent="0.25">
      <c r="A477" s="66" t="s">
        <v>918</v>
      </c>
    </row>
    <row r="478" spans="1:1" x14ac:dyDescent="0.25">
      <c r="A478" s="66" t="s">
        <v>919</v>
      </c>
    </row>
    <row r="479" spans="1:1" x14ac:dyDescent="0.25">
      <c r="A479" s="66" t="s">
        <v>920</v>
      </c>
    </row>
    <row r="480" spans="1:1" x14ac:dyDescent="0.25">
      <c r="A480" s="66" t="s">
        <v>921</v>
      </c>
    </row>
    <row r="481" spans="1:1" x14ac:dyDescent="0.25">
      <c r="A481" s="66" t="s">
        <v>922</v>
      </c>
    </row>
    <row r="482" spans="1:1" x14ac:dyDescent="0.25">
      <c r="A482" s="66" t="s">
        <v>923</v>
      </c>
    </row>
    <row r="483" spans="1:1" x14ac:dyDescent="0.25">
      <c r="A483" s="66" t="s">
        <v>924</v>
      </c>
    </row>
    <row r="484" spans="1:1" x14ac:dyDescent="0.25">
      <c r="A484" s="66" t="s">
        <v>925</v>
      </c>
    </row>
    <row r="485" spans="1:1" x14ac:dyDescent="0.25">
      <c r="A485" s="66" t="s">
        <v>926</v>
      </c>
    </row>
    <row r="486" spans="1:1" x14ac:dyDescent="0.25">
      <c r="A486" s="66" t="s">
        <v>927</v>
      </c>
    </row>
    <row r="487" spans="1:1" x14ac:dyDescent="0.25">
      <c r="A487" s="66" t="s">
        <v>928</v>
      </c>
    </row>
    <row r="488" spans="1:1" x14ac:dyDescent="0.25">
      <c r="A488" s="66" t="s">
        <v>929</v>
      </c>
    </row>
    <row r="489" spans="1:1" x14ac:dyDescent="0.25">
      <c r="A489" s="66" t="s">
        <v>930</v>
      </c>
    </row>
    <row r="490" spans="1:1" x14ac:dyDescent="0.25">
      <c r="A490" s="66" t="s">
        <v>931</v>
      </c>
    </row>
    <row r="491" spans="1:1" x14ac:dyDescent="0.25">
      <c r="A491" s="66" t="s">
        <v>932</v>
      </c>
    </row>
    <row r="492" spans="1:1" x14ac:dyDescent="0.25">
      <c r="A492" s="66" t="s">
        <v>933</v>
      </c>
    </row>
    <row r="493" spans="1:1" x14ac:dyDescent="0.25">
      <c r="A493" s="66" t="s">
        <v>934</v>
      </c>
    </row>
    <row r="494" spans="1:1" x14ac:dyDescent="0.25">
      <c r="A494" s="66" t="s">
        <v>935</v>
      </c>
    </row>
    <row r="495" spans="1:1" x14ac:dyDescent="0.25">
      <c r="A495" s="66" t="s">
        <v>936</v>
      </c>
    </row>
    <row r="496" spans="1:1" x14ac:dyDescent="0.25">
      <c r="A496" s="66" t="s">
        <v>937</v>
      </c>
    </row>
    <row r="497" spans="1:1" x14ac:dyDescent="0.25">
      <c r="A497" s="66" t="s">
        <v>938</v>
      </c>
    </row>
    <row r="498" spans="1:1" x14ac:dyDescent="0.25">
      <c r="A498" s="66" t="s">
        <v>939</v>
      </c>
    </row>
    <row r="499" spans="1:1" x14ac:dyDescent="0.25">
      <c r="A499" s="66" t="s">
        <v>940</v>
      </c>
    </row>
    <row r="500" spans="1:1" x14ac:dyDescent="0.25">
      <c r="A500" s="66" t="s">
        <v>941</v>
      </c>
    </row>
    <row r="501" spans="1:1" x14ac:dyDescent="0.25">
      <c r="A501" s="66" t="s">
        <v>942</v>
      </c>
    </row>
    <row r="502" spans="1:1" x14ac:dyDescent="0.25">
      <c r="A502" s="66" t="s">
        <v>943</v>
      </c>
    </row>
    <row r="503" spans="1:1" x14ac:dyDescent="0.25">
      <c r="A503" s="66" t="s">
        <v>944</v>
      </c>
    </row>
    <row r="504" spans="1:1" x14ac:dyDescent="0.25">
      <c r="A504" s="66" t="s">
        <v>945</v>
      </c>
    </row>
    <row r="505" spans="1:1" x14ac:dyDescent="0.25">
      <c r="A505" s="66" t="s">
        <v>946</v>
      </c>
    </row>
    <row r="506" spans="1:1" x14ac:dyDescent="0.25">
      <c r="A506" s="66" t="s">
        <v>947</v>
      </c>
    </row>
    <row r="507" spans="1:1" x14ac:dyDescent="0.25">
      <c r="A507" s="66" t="s">
        <v>948</v>
      </c>
    </row>
    <row r="508" spans="1:1" x14ac:dyDescent="0.25">
      <c r="A508" s="66" t="s">
        <v>949</v>
      </c>
    </row>
    <row r="509" spans="1:1" x14ac:dyDescent="0.25">
      <c r="A509" s="66" t="s">
        <v>950</v>
      </c>
    </row>
    <row r="510" spans="1:1" x14ac:dyDescent="0.25">
      <c r="A510" s="66" t="s">
        <v>951</v>
      </c>
    </row>
    <row r="511" spans="1:1" x14ac:dyDescent="0.25">
      <c r="A511" s="66" t="s">
        <v>952</v>
      </c>
    </row>
    <row r="512" spans="1:1" x14ac:dyDescent="0.25">
      <c r="A512" s="66" t="s">
        <v>953</v>
      </c>
    </row>
    <row r="513" spans="1:1" x14ac:dyDescent="0.25">
      <c r="A513" s="66" t="s">
        <v>954</v>
      </c>
    </row>
    <row r="514" spans="1:1" x14ac:dyDescent="0.25">
      <c r="A514" s="66" t="s">
        <v>955</v>
      </c>
    </row>
    <row r="515" spans="1:1" x14ac:dyDescent="0.25">
      <c r="A515" s="66" t="s">
        <v>956</v>
      </c>
    </row>
    <row r="516" spans="1:1" x14ac:dyDescent="0.25">
      <c r="A516" s="66" t="s">
        <v>957</v>
      </c>
    </row>
    <row r="517" spans="1:1" x14ac:dyDescent="0.25">
      <c r="A517" s="66" t="s">
        <v>958</v>
      </c>
    </row>
    <row r="518" spans="1:1" x14ac:dyDescent="0.25">
      <c r="A518" s="66" t="s">
        <v>959</v>
      </c>
    </row>
    <row r="519" spans="1:1" x14ac:dyDescent="0.25">
      <c r="A519" s="67" t="s">
        <v>960</v>
      </c>
    </row>
    <row r="520" spans="1:1" x14ac:dyDescent="0.25">
      <c r="A520" s="67" t="s">
        <v>961</v>
      </c>
    </row>
    <row r="521" spans="1:1" x14ac:dyDescent="0.25">
      <c r="A521" s="56" t="s">
        <v>962</v>
      </c>
    </row>
    <row r="522" spans="1:1" x14ac:dyDescent="0.25">
      <c r="A522" s="66" t="s">
        <v>963</v>
      </c>
    </row>
    <row r="523" spans="1:1" x14ac:dyDescent="0.25">
      <c r="A523" s="66" t="s">
        <v>964</v>
      </c>
    </row>
    <row r="524" spans="1:1" x14ac:dyDescent="0.25">
      <c r="A524" s="66" t="s">
        <v>965</v>
      </c>
    </row>
    <row r="525" spans="1:1" x14ac:dyDescent="0.25">
      <c r="A525" s="66" t="s">
        <v>966</v>
      </c>
    </row>
    <row r="526" spans="1:1" x14ac:dyDescent="0.25">
      <c r="A526" s="67" t="s">
        <v>967</v>
      </c>
    </row>
    <row r="527" spans="1:1" x14ac:dyDescent="0.25">
      <c r="A527" s="67" t="s">
        <v>968</v>
      </c>
    </row>
    <row r="528" spans="1:1" x14ac:dyDescent="0.25">
      <c r="A528" s="56" t="s">
        <v>969</v>
      </c>
    </row>
    <row r="529" spans="1:1" x14ac:dyDescent="0.25">
      <c r="A529" s="66" t="s">
        <v>970</v>
      </c>
    </row>
    <row r="530" spans="1:1" x14ac:dyDescent="0.25">
      <c r="A530" s="66" t="s">
        <v>971</v>
      </c>
    </row>
    <row r="531" spans="1:1" x14ac:dyDescent="0.25">
      <c r="A531" s="66" t="s">
        <v>972</v>
      </c>
    </row>
    <row r="532" spans="1:1" x14ac:dyDescent="0.25">
      <c r="A532" s="66" t="s">
        <v>973</v>
      </c>
    </row>
    <row r="533" spans="1:1" x14ac:dyDescent="0.25">
      <c r="A533" s="67" t="s">
        <v>974</v>
      </c>
    </row>
    <row r="534" spans="1:1" x14ac:dyDescent="0.25">
      <c r="A534" s="67" t="s">
        <v>975</v>
      </c>
    </row>
    <row r="535" spans="1:1" x14ac:dyDescent="0.25">
      <c r="A535" s="56" t="s">
        <v>976</v>
      </c>
    </row>
    <row r="536" spans="1:1" x14ac:dyDescent="0.25">
      <c r="A536" s="66" t="s">
        <v>977</v>
      </c>
    </row>
    <row r="537" spans="1:1" x14ac:dyDescent="0.25">
      <c r="A537" s="67" t="s">
        <v>978</v>
      </c>
    </row>
    <row r="538" spans="1:1" x14ac:dyDescent="0.25">
      <c r="A538" s="66" t="s">
        <v>979</v>
      </c>
    </row>
    <row r="539" spans="1:1" x14ac:dyDescent="0.25">
      <c r="A539" s="66" t="s">
        <v>980</v>
      </c>
    </row>
    <row r="540" spans="1:1" x14ac:dyDescent="0.25">
      <c r="A540" s="66" t="s">
        <v>981</v>
      </c>
    </row>
    <row r="541" spans="1:1" x14ac:dyDescent="0.25">
      <c r="A541" s="66" t="s">
        <v>982</v>
      </c>
    </row>
    <row r="542" spans="1:1" x14ac:dyDescent="0.25">
      <c r="A542" s="67" t="s">
        <v>983</v>
      </c>
    </row>
    <row r="543" spans="1:1" x14ac:dyDescent="0.25">
      <c r="A543" s="67" t="s">
        <v>984</v>
      </c>
    </row>
    <row r="544" spans="1:1" x14ac:dyDescent="0.25">
      <c r="A544" s="56" t="s">
        <v>985</v>
      </c>
    </row>
    <row r="545" spans="1:1" x14ac:dyDescent="0.25">
      <c r="A545" s="66" t="s">
        <v>986</v>
      </c>
    </row>
    <row r="546" spans="1:1" x14ac:dyDescent="0.25">
      <c r="A546" s="66" t="s">
        <v>987</v>
      </c>
    </row>
    <row r="547" spans="1:1" x14ac:dyDescent="0.25">
      <c r="A547" s="66" t="s">
        <v>988</v>
      </c>
    </row>
    <row r="548" spans="1:1" x14ac:dyDescent="0.25">
      <c r="A548" s="66" t="s">
        <v>989</v>
      </c>
    </row>
    <row r="549" spans="1:1" x14ac:dyDescent="0.25">
      <c r="A549" s="67" t="s">
        <v>990</v>
      </c>
    </row>
    <row r="550" spans="1:1" x14ac:dyDescent="0.25">
      <c r="A550" s="67" t="s">
        <v>991</v>
      </c>
    </row>
    <row r="551" spans="1:1" x14ac:dyDescent="0.25">
      <c r="A551" s="56" t="s">
        <v>992</v>
      </c>
    </row>
    <row r="552" spans="1:1" x14ac:dyDescent="0.25">
      <c r="A552" s="66" t="s">
        <v>993</v>
      </c>
    </row>
    <row r="553" spans="1:1" x14ac:dyDescent="0.25">
      <c r="A553" s="66" t="s">
        <v>994</v>
      </c>
    </row>
    <row r="554" spans="1:1" x14ac:dyDescent="0.25">
      <c r="A554" s="66" t="s">
        <v>995</v>
      </c>
    </row>
    <row r="555" spans="1:1" x14ac:dyDescent="0.25">
      <c r="A555" s="66" t="s">
        <v>996</v>
      </c>
    </row>
    <row r="556" spans="1:1" x14ac:dyDescent="0.25">
      <c r="A556" s="67" t="s">
        <v>997</v>
      </c>
    </row>
    <row r="557" spans="1:1" x14ac:dyDescent="0.25">
      <c r="A557" s="67" t="s">
        <v>998</v>
      </c>
    </row>
    <row r="558" spans="1:1" x14ac:dyDescent="0.25">
      <c r="A558" s="56" t="s">
        <v>999</v>
      </c>
    </row>
    <row r="559" spans="1:1" x14ac:dyDescent="0.25">
      <c r="A559" s="66" t="s">
        <v>1000</v>
      </c>
    </row>
    <row r="560" spans="1:1" x14ac:dyDescent="0.25">
      <c r="A560" s="66" t="s">
        <v>1001</v>
      </c>
    </row>
    <row r="561" spans="1:1" x14ac:dyDescent="0.25">
      <c r="A561" s="66" t="s">
        <v>1002</v>
      </c>
    </row>
    <row r="562" spans="1:1" x14ac:dyDescent="0.25">
      <c r="A562" s="66" t="s">
        <v>1003</v>
      </c>
    </row>
    <row r="563" spans="1:1" x14ac:dyDescent="0.25">
      <c r="A563" s="67" t="s">
        <v>1004</v>
      </c>
    </row>
    <row r="564" spans="1:1" x14ac:dyDescent="0.25">
      <c r="A564" s="67" t="s">
        <v>1005</v>
      </c>
    </row>
    <row r="565" spans="1:1" x14ac:dyDescent="0.25">
      <c r="A565" s="56" t="s">
        <v>1006</v>
      </c>
    </row>
    <row r="566" spans="1:1" x14ac:dyDescent="0.25">
      <c r="A566" s="66" t="s">
        <v>1007</v>
      </c>
    </row>
    <row r="567" spans="1:1" x14ac:dyDescent="0.25">
      <c r="A567" s="66" t="s">
        <v>1008</v>
      </c>
    </row>
    <row r="568" spans="1:1" x14ac:dyDescent="0.25">
      <c r="A568" s="66" t="s">
        <v>1009</v>
      </c>
    </row>
    <row r="569" spans="1:1" x14ac:dyDescent="0.25">
      <c r="A569" s="66" t="s">
        <v>1010</v>
      </c>
    </row>
    <row r="570" spans="1:1" x14ac:dyDescent="0.25">
      <c r="A570" s="67" t="s">
        <v>1011</v>
      </c>
    </row>
    <row r="571" spans="1:1" x14ac:dyDescent="0.25">
      <c r="A571" s="67" t="s">
        <v>1012</v>
      </c>
    </row>
    <row r="572" spans="1:1" x14ac:dyDescent="0.25">
      <c r="A572" s="56" t="s">
        <v>1013</v>
      </c>
    </row>
    <row r="573" spans="1:1" x14ac:dyDescent="0.25">
      <c r="A573" s="66" t="s">
        <v>1014</v>
      </c>
    </row>
    <row r="574" spans="1:1" x14ac:dyDescent="0.25">
      <c r="A574" s="66" t="s">
        <v>1015</v>
      </c>
    </row>
    <row r="575" spans="1:1" x14ac:dyDescent="0.25">
      <c r="A575" s="66" t="s">
        <v>1016</v>
      </c>
    </row>
    <row r="576" spans="1:1" x14ac:dyDescent="0.25">
      <c r="A576" s="66" t="s">
        <v>1017</v>
      </c>
    </row>
    <row r="577" spans="1:1" x14ac:dyDescent="0.25">
      <c r="A577" s="67" t="s">
        <v>1018</v>
      </c>
    </row>
    <row r="578" spans="1:1" x14ac:dyDescent="0.25">
      <c r="A578" s="67" t="s">
        <v>1019</v>
      </c>
    </row>
    <row r="579" spans="1:1" x14ac:dyDescent="0.25">
      <c r="A579" s="56" t="s">
        <v>1020</v>
      </c>
    </row>
    <row r="580" spans="1:1" x14ac:dyDescent="0.25">
      <c r="A580" s="66" t="s">
        <v>1021</v>
      </c>
    </row>
    <row r="581" spans="1:1" x14ac:dyDescent="0.25">
      <c r="A581" s="66" t="s">
        <v>1022</v>
      </c>
    </row>
    <row r="582" spans="1:1" x14ac:dyDescent="0.25">
      <c r="A582" s="66" t="s">
        <v>1023</v>
      </c>
    </row>
    <row r="583" spans="1:1" x14ac:dyDescent="0.25">
      <c r="A583" s="66" t="s">
        <v>1024</v>
      </c>
    </row>
    <row r="584" spans="1:1" x14ac:dyDescent="0.25">
      <c r="A584" s="67" t="s">
        <v>1025</v>
      </c>
    </row>
    <row r="585" spans="1:1" x14ac:dyDescent="0.25">
      <c r="A585" s="67" t="s">
        <v>1026</v>
      </c>
    </row>
    <row r="586" spans="1:1" x14ac:dyDescent="0.25">
      <c r="A586" s="56" t="s">
        <v>1027</v>
      </c>
    </row>
    <row r="587" spans="1:1" x14ac:dyDescent="0.25">
      <c r="A587" s="66" t="s">
        <v>1028</v>
      </c>
    </row>
    <row r="588" spans="1:1" x14ac:dyDescent="0.25">
      <c r="A588" s="66" t="s">
        <v>1029</v>
      </c>
    </row>
    <row r="589" spans="1:1" x14ac:dyDescent="0.25">
      <c r="A589" s="66" t="s">
        <v>1030</v>
      </c>
    </row>
    <row r="590" spans="1:1" x14ac:dyDescent="0.25">
      <c r="A590" s="66" t="s">
        <v>1031</v>
      </c>
    </row>
    <row r="591" spans="1:1" x14ac:dyDescent="0.25">
      <c r="A591" s="67" t="s">
        <v>1032</v>
      </c>
    </row>
    <row r="592" spans="1:1" x14ac:dyDescent="0.25">
      <c r="A592" s="67" t="s">
        <v>1033</v>
      </c>
    </row>
    <row r="593" spans="1:1" x14ac:dyDescent="0.25">
      <c r="A593" s="56" t="s">
        <v>1034</v>
      </c>
    </row>
    <row r="594" spans="1:1" x14ac:dyDescent="0.25">
      <c r="A594" s="66" t="s">
        <v>1035</v>
      </c>
    </row>
    <row r="595" spans="1:1" x14ac:dyDescent="0.25">
      <c r="A595" s="66" t="s">
        <v>1036</v>
      </c>
    </row>
    <row r="596" spans="1:1" x14ac:dyDescent="0.25">
      <c r="A596" s="66" t="s">
        <v>1037</v>
      </c>
    </row>
    <row r="597" spans="1:1" x14ac:dyDescent="0.25">
      <c r="A597" s="66" t="s">
        <v>1038</v>
      </c>
    </row>
    <row r="598" spans="1:1" x14ac:dyDescent="0.25">
      <c r="A598" s="67" t="s">
        <v>1039</v>
      </c>
    </row>
    <row r="599" spans="1:1" x14ac:dyDescent="0.25">
      <c r="A599" s="67" t="s">
        <v>1040</v>
      </c>
    </row>
    <row r="600" spans="1:1" x14ac:dyDescent="0.25">
      <c r="A600" s="56" t="s">
        <v>1041</v>
      </c>
    </row>
    <row r="601" spans="1:1" x14ac:dyDescent="0.25">
      <c r="A601" s="66" t="s">
        <v>1042</v>
      </c>
    </row>
    <row r="602" spans="1:1" x14ac:dyDescent="0.25">
      <c r="A602" s="66" t="s">
        <v>1043</v>
      </c>
    </row>
    <row r="603" spans="1:1" x14ac:dyDescent="0.25">
      <c r="A603" s="66" t="s">
        <v>1044</v>
      </c>
    </row>
    <row r="604" spans="1:1" x14ac:dyDescent="0.25">
      <c r="A604" s="66" t="s">
        <v>1045</v>
      </c>
    </row>
    <row r="605" spans="1:1" x14ac:dyDescent="0.25">
      <c r="A605" s="67" t="s">
        <v>1046</v>
      </c>
    </row>
    <row r="606" spans="1:1" x14ac:dyDescent="0.25">
      <c r="A606" s="67" t="s">
        <v>1047</v>
      </c>
    </row>
    <row r="607" spans="1:1" x14ac:dyDescent="0.25">
      <c r="A607" s="56" t="s">
        <v>1048</v>
      </c>
    </row>
    <row r="608" spans="1:1" x14ac:dyDescent="0.25">
      <c r="A608" s="66" t="s">
        <v>1049</v>
      </c>
    </row>
    <row r="609" spans="1:1" x14ac:dyDescent="0.25">
      <c r="A609" s="66" t="s">
        <v>1050</v>
      </c>
    </row>
    <row r="610" spans="1:1" x14ac:dyDescent="0.25">
      <c r="A610" s="66" t="s">
        <v>1051</v>
      </c>
    </row>
    <row r="611" spans="1:1" x14ac:dyDescent="0.25">
      <c r="A611" s="66" t="s">
        <v>1052</v>
      </c>
    </row>
    <row r="612" spans="1:1" x14ac:dyDescent="0.25">
      <c r="A612" s="67" t="s">
        <v>1053</v>
      </c>
    </row>
    <row r="613" spans="1:1" x14ac:dyDescent="0.25">
      <c r="A613" s="67" t="s">
        <v>1054</v>
      </c>
    </row>
    <row r="614" spans="1:1" x14ac:dyDescent="0.25">
      <c r="A614" s="56" t="s">
        <v>1055</v>
      </c>
    </row>
    <row r="615" spans="1:1" x14ac:dyDescent="0.25">
      <c r="A615" s="66" t="s">
        <v>1056</v>
      </c>
    </row>
    <row r="616" spans="1:1" x14ac:dyDescent="0.25">
      <c r="A616" s="66" t="s">
        <v>1057</v>
      </c>
    </row>
    <row r="617" spans="1:1" x14ac:dyDescent="0.25">
      <c r="A617" s="66" t="s">
        <v>1058</v>
      </c>
    </row>
    <row r="618" spans="1:1" x14ac:dyDescent="0.25">
      <c r="A618" s="66" t="s">
        <v>1059</v>
      </c>
    </row>
    <row r="619" spans="1:1" x14ac:dyDescent="0.25">
      <c r="A619" s="67" t="s">
        <v>1060</v>
      </c>
    </row>
    <row r="620" spans="1:1" x14ac:dyDescent="0.25">
      <c r="A620" s="67" t="s">
        <v>1061</v>
      </c>
    </row>
    <row r="621" spans="1:1" x14ac:dyDescent="0.25">
      <c r="A621" s="56" t="s">
        <v>1062</v>
      </c>
    </row>
    <row r="622" spans="1:1" x14ac:dyDescent="0.25">
      <c r="A622" s="66" t="s">
        <v>1063</v>
      </c>
    </row>
    <row r="623" spans="1:1" x14ac:dyDescent="0.25">
      <c r="A623" s="66" t="s">
        <v>1064</v>
      </c>
    </row>
    <row r="624" spans="1:1" x14ac:dyDescent="0.25">
      <c r="A624" s="66" t="s">
        <v>1065</v>
      </c>
    </row>
    <row r="625" spans="1:1" x14ac:dyDescent="0.25">
      <c r="A625" s="66" t="s">
        <v>1066</v>
      </c>
    </row>
    <row r="626" spans="1:1" x14ac:dyDescent="0.25">
      <c r="A626" s="66" t="s">
        <v>1067</v>
      </c>
    </row>
    <row r="627" spans="1:1" x14ac:dyDescent="0.25">
      <c r="A627" s="66" t="s">
        <v>1068</v>
      </c>
    </row>
    <row r="628" spans="1:1" x14ac:dyDescent="0.25">
      <c r="A628" s="66" t="s">
        <v>1069</v>
      </c>
    </row>
    <row r="629" spans="1:1" x14ac:dyDescent="0.25">
      <c r="A629" s="66" t="s">
        <v>1070</v>
      </c>
    </row>
    <row r="630" spans="1:1" x14ac:dyDescent="0.25">
      <c r="A630" s="66" t="s">
        <v>1071</v>
      </c>
    </row>
    <row r="631" spans="1:1" x14ac:dyDescent="0.25">
      <c r="A631" s="66" t="s">
        <v>1072</v>
      </c>
    </row>
    <row r="632" spans="1:1" x14ac:dyDescent="0.25">
      <c r="A632" s="66" t="s">
        <v>1073</v>
      </c>
    </row>
    <row r="633" spans="1:1" x14ac:dyDescent="0.25">
      <c r="A633" s="66" t="s">
        <v>1074</v>
      </c>
    </row>
    <row r="634" spans="1:1" x14ac:dyDescent="0.25">
      <c r="A634" s="66" t="s">
        <v>1075</v>
      </c>
    </row>
    <row r="635" spans="1:1" x14ac:dyDescent="0.25">
      <c r="A635" s="66" t="s">
        <v>1076</v>
      </c>
    </row>
    <row r="636" spans="1:1" x14ac:dyDescent="0.25">
      <c r="A636" s="66" t="s">
        <v>1077</v>
      </c>
    </row>
    <row r="637" spans="1:1" x14ac:dyDescent="0.25">
      <c r="A637" s="66" t="s">
        <v>1078</v>
      </c>
    </row>
    <row r="638" spans="1:1" x14ac:dyDescent="0.25">
      <c r="A638" s="66" t="s">
        <v>1079</v>
      </c>
    </row>
    <row r="639" spans="1:1" x14ac:dyDescent="0.25">
      <c r="A639" s="66" t="s">
        <v>1080</v>
      </c>
    </row>
    <row r="640" spans="1:1" x14ac:dyDescent="0.25">
      <c r="A640" s="66" t="s">
        <v>1081</v>
      </c>
    </row>
    <row r="641" spans="1:1" x14ac:dyDescent="0.25">
      <c r="A641" s="66" t="s">
        <v>1082</v>
      </c>
    </row>
    <row r="642" spans="1:1" x14ac:dyDescent="0.25">
      <c r="A642" s="66" t="s">
        <v>1083</v>
      </c>
    </row>
    <row r="643" spans="1:1" x14ac:dyDescent="0.25">
      <c r="A643" s="66" t="s">
        <v>1084</v>
      </c>
    </row>
    <row r="644" spans="1:1" x14ac:dyDescent="0.25">
      <c r="A644" s="66" t="s">
        <v>1085</v>
      </c>
    </row>
    <row r="645" spans="1:1" x14ac:dyDescent="0.25">
      <c r="A645" s="66" t="s">
        <v>1086</v>
      </c>
    </row>
    <row r="646" spans="1:1" x14ac:dyDescent="0.25">
      <c r="A646" s="66" t="s">
        <v>1087</v>
      </c>
    </row>
    <row r="647" spans="1:1" x14ac:dyDescent="0.25">
      <c r="A647" s="56" t="s">
        <v>1088</v>
      </c>
    </row>
    <row r="648" spans="1:1" x14ac:dyDescent="0.25">
      <c r="A648" s="66" t="s">
        <v>1089</v>
      </c>
    </row>
    <row r="649" spans="1:1" x14ac:dyDescent="0.25">
      <c r="A649" s="56" t="s">
        <v>1090</v>
      </c>
    </row>
    <row r="650" spans="1:1" x14ac:dyDescent="0.25">
      <c r="A650" s="66" t="s">
        <v>1091</v>
      </c>
    </row>
    <row r="651" spans="1:1" x14ac:dyDescent="0.25">
      <c r="A651" s="66" t="s">
        <v>1092</v>
      </c>
    </row>
    <row r="652" spans="1:1" x14ac:dyDescent="0.25">
      <c r="A652" s="66" t="s">
        <v>1093</v>
      </c>
    </row>
    <row r="653" spans="1:1" x14ac:dyDescent="0.25">
      <c r="A653" s="66" t="s">
        <v>1094</v>
      </c>
    </row>
    <row r="654" spans="1:1" x14ac:dyDescent="0.25">
      <c r="A654" s="66" t="s">
        <v>1095</v>
      </c>
    </row>
    <row r="655" spans="1:1" x14ac:dyDescent="0.25">
      <c r="A655" s="66" t="s">
        <v>1096</v>
      </c>
    </row>
    <row r="656" spans="1:1" x14ac:dyDescent="0.25">
      <c r="A656" s="66" t="s">
        <v>1097</v>
      </c>
    </row>
    <row r="657" spans="1:1" x14ac:dyDescent="0.25">
      <c r="A657" s="66" t="s">
        <v>1098</v>
      </c>
    </row>
    <row r="658" spans="1:1" x14ac:dyDescent="0.25">
      <c r="A658" s="66" t="s">
        <v>1099</v>
      </c>
    </row>
    <row r="659" spans="1:1" x14ac:dyDescent="0.25">
      <c r="A659" s="66" t="s">
        <v>1100</v>
      </c>
    </row>
    <row r="660" spans="1:1" x14ac:dyDescent="0.25">
      <c r="A660" s="66" t="s">
        <v>1101</v>
      </c>
    </row>
    <row r="661" spans="1:1" x14ac:dyDescent="0.25">
      <c r="A661" s="66" t="s">
        <v>1102</v>
      </c>
    </row>
    <row r="662" spans="1:1" x14ac:dyDescent="0.25">
      <c r="A662" s="66" t="s">
        <v>1103</v>
      </c>
    </row>
    <row r="663" spans="1:1" x14ac:dyDescent="0.25">
      <c r="A663" s="66" t="s">
        <v>1104</v>
      </c>
    </row>
    <row r="664" spans="1:1" x14ac:dyDescent="0.25">
      <c r="A664" s="66" t="s">
        <v>1105</v>
      </c>
    </row>
    <row r="665" spans="1:1" x14ac:dyDescent="0.25">
      <c r="A665" s="66" t="s">
        <v>1106</v>
      </c>
    </row>
    <row r="666" spans="1:1" x14ac:dyDescent="0.25">
      <c r="A666" s="66" t="s">
        <v>1107</v>
      </c>
    </row>
    <row r="667" spans="1:1" x14ac:dyDescent="0.25">
      <c r="A667" s="66" t="s">
        <v>1108</v>
      </c>
    </row>
    <row r="668" spans="1:1" x14ac:dyDescent="0.25">
      <c r="A668" s="66" t="s">
        <v>1109</v>
      </c>
    </row>
    <row r="669" spans="1:1" x14ac:dyDescent="0.25">
      <c r="A669" s="66" t="s">
        <v>1110</v>
      </c>
    </row>
    <row r="670" spans="1:1" x14ac:dyDescent="0.25">
      <c r="A670" s="66" t="s">
        <v>1111</v>
      </c>
    </row>
    <row r="671" spans="1:1" x14ac:dyDescent="0.25">
      <c r="A671" s="66" t="s">
        <v>1112</v>
      </c>
    </row>
    <row r="672" spans="1:1" x14ac:dyDescent="0.25">
      <c r="A672" s="66" t="s">
        <v>1113</v>
      </c>
    </row>
    <row r="673" spans="1:1" x14ac:dyDescent="0.25">
      <c r="A673" s="66" t="s">
        <v>1114</v>
      </c>
    </row>
    <row r="674" spans="1:1" x14ac:dyDescent="0.25">
      <c r="A674" s="66" t="s">
        <v>1115</v>
      </c>
    </row>
    <row r="675" spans="1:1" x14ac:dyDescent="0.25">
      <c r="A675" s="66" t="s">
        <v>1116</v>
      </c>
    </row>
    <row r="676" spans="1:1" x14ac:dyDescent="0.25">
      <c r="A676" s="66" t="s">
        <v>1117</v>
      </c>
    </row>
    <row r="677" spans="1:1" x14ac:dyDescent="0.25">
      <c r="A677" s="66" t="s">
        <v>1118</v>
      </c>
    </row>
    <row r="678" spans="1:1" x14ac:dyDescent="0.25">
      <c r="A678" s="66" t="s">
        <v>1119</v>
      </c>
    </row>
    <row r="679" spans="1:1" x14ac:dyDescent="0.25">
      <c r="A679" s="66" t="s">
        <v>1120</v>
      </c>
    </row>
    <row r="680" spans="1:1" x14ac:dyDescent="0.25">
      <c r="A680" s="66" t="s">
        <v>1121</v>
      </c>
    </row>
    <row r="681" spans="1:1" x14ac:dyDescent="0.25">
      <c r="A681" s="66" t="s">
        <v>1122</v>
      </c>
    </row>
    <row r="682" spans="1:1" x14ac:dyDescent="0.25">
      <c r="A682" s="66" t="s">
        <v>1123</v>
      </c>
    </row>
    <row r="683" spans="1:1" x14ac:dyDescent="0.25">
      <c r="A683" s="66" t="s">
        <v>1124</v>
      </c>
    </row>
    <row r="684" spans="1:1" x14ac:dyDescent="0.25">
      <c r="A684" s="66" t="s">
        <v>1125</v>
      </c>
    </row>
    <row r="685" spans="1:1" x14ac:dyDescent="0.25">
      <c r="A685" s="66" t="s">
        <v>1126</v>
      </c>
    </row>
    <row r="686" spans="1:1" x14ac:dyDescent="0.25">
      <c r="A686" s="66" t="s">
        <v>1127</v>
      </c>
    </row>
    <row r="687" spans="1:1" x14ac:dyDescent="0.25">
      <c r="A687" s="66" t="s">
        <v>1128</v>
      </c>
    </row>
    <row r="688" spans="1:1" x14ac:dyDescent="0.25">
      <c r="A688" s="66" t="s">
        <v>1129</v>
      </c>
    </row>
    <row r="689" spans="1:1" x14ac:dyDescent="0.25">
      <c r="A689" s="66" t="s">
        <v>1130</v>
      </c>
    </row>
    <row r="690" spans="1:1" x14ac:dyDescent="0.25">
      <c r="A690" s="66" t="s">
        <v>1131</v>
      </c>
    </row>
    <row r="691" spans="1:1" x14ac:dyDescent="0.25">
      <c r="A691" s="66" t="s">
        <v>1132</v>
      </c>
    </row>
    <row r="692" spans="1:1" x14ac:dyDescent="0.25">
      <c r="A692" s="66" t="s">
        <v>1133</v>
      </c>
    </row>
    <row r="693" spans="1:1" x14ac:dyDescent="0.25">
      <c r="A693" s="66" t="s">
        <v>1134</v>
      </c>
    </row>
    <row r="694" spans="1:1" x14ac:dyDescent="0.25">
      <c r="A694" s="66" t="s">
        <v>1135</v>
      </c>
    </row>
    <row r="695" spans="1:1" x14ac:dyDescent="0.25">
      <c r="A695" s="66" t="s">
        <v>1136</v>
      </c>
    </row>
    <row r="696" spans="1:1" x14ac:dyDescent="0.25">
      <c r="A696" s="66" t="s">
        <v>1137</v>
      </c>
    </row>
    <row r="697" spans="1:1" x14ac:dyDescent="0.25">
      <c r="A697" s="66" t="s">
        <v>1138</v>
      </c>
    </row>
    <row r="698" spans="1:1" x14ac:dyDescent="0.25">
      <c r="A698" s="66" t="s">
        <v>1139</v>
      </c>
    </row>
    <row r="699" spans="1:1" x14ac:dyDescent="0.25">
      <c r="A699" s="66" t="s">
        <v>1140</v>
      </c>
    </row>
    <row r="700" spans="1:1" x14ac:dyDescent="0.25">
      <c r="A700" s="66" t="s">
        <v>1141</v>
      </c>
    </row>
    <row r="701" spans="1:1" x14ac:dyDescent="0.25">
      <c r="A701" s="66" t="s">
        <v>1142</v>
      </c>
    </row>
    <row r="702" spans="1:1" x14ac:dyDescent="0.25">
      <c r="A702" s="66" t="s">
        <v>1143</v>
      </c>
    </row>
    <row r="703" spans="1:1" x14ac:dyDescent="0.25">
      <c r="A703" s="66" t="s">
        <v>1144</v>
      </c>
    </row>
    <row r="704" spans="1:1" x14ac:dyDescent="0.25">
      <c r="A704" s="66" t="s">
        <v>1145</v>
      </c>
    </row>
    <row r="705" spans="1:1" x14ac:dyDescent="0.25">
      <c r="A705" s="66" t="s">
        <v>1146</v>
      </c>
    </row>
    <row r="706" spans="1:1" x14ac:dyDescent="0.25">
      <c r="A706" s="66" t="s">
        <v>1147</v>
      </c>
    </row>
    <row r="707" spans="1:1" x14ac:dyDescent="0.25">
      <c r="A707" s="66" t="s">
        <v>1148</v>
      </c>
    </row>
    <row r="708" spans="1:1" x14ac:dyDescent="0.25">
      <c r="A708" s="66" t="s">
        <v>1149</v>
      </c>
    </row>
    <row r="709" spans="1:1" x14ac:dyDescent="0.25">
      <c r="A709" s="66" t="s">
        <v>1150</v>
      </c>
    </row>
    <row r="710" spans="1:1" x14ac:dyDescent="0.25">
      <c r="A710" s="66" t="s">
        <v>1151</v>
      </c>
    </row>
    <row r="711" spans="1:1" x14ac:dyDescent="0.25">
      <c r="A711" s="66" t="s">
        <v>1152</v>
      </c>
    </row>
    <row r="712" spans="1:1" x14ac:dyDescent="0.25">
      <c r="A712" s="66" t="s">
        <v>1153</v>
      </c>
    </row>
    <row r="713" spans="1:1" x14ac:dyDescent="0.25">
      <c r="A713" s="66" t="s">
        <v>1154</v>
      </c>
    </row>
    <row r="714" spans="1:1" x14ac:dyDescent="0.25">
      <c r="A714" s="56" t="s">
        <v>1155</v>
      </c>
    </row>
    <row r="715" spans="1:1" x14ac:dyDescent="0.25">
      <c r="A715" s="66" t="s">
        <v>1156</v>
      </c>
    </row>
    <row r="716" spans="1:1" x14ac:dyDescent="0.25">
      <c r="A716" s="56" t="s">
        <v>1157</v>
      </c>
    </row>
    <row r="717" spans="1:1" x14ac:dyDescent="0.25">
      <c r="A717" s="66" t="s">
        <v>1158</v>
      </c>
    </row>
    <row r="718" spans="1:1" x14ac:dyDescent="0.25">
      <c r="A718" s="66" t="s">
        <v>1159</v>
      </c>
    </row>
    <row r="719" spans="1:1" x14ac:dyDescent="0.25">
      <c r="A719" s="66" t="s">
        <v>1160</v>
      </c>
    </row>
    <row r="720" spans="1:1" x14ac:dyDescent="0.25">
      <c r="A720" s="66" t="s">
        <v>1161</v>
      </c>
    </row>
    <row r="721" spans="1:1" x14ac:dyDescent="0.25">
      <c r="A721" s="66" t="s">
        <v>1162</v>
      </c>
    </row>
    <row r="722" spans="1:1" x14ac:dyDescent="0.25">
      <c r="A722" s="66" t="s">
        <v>1163</v>
      </c>
    </row>
    <row r="723" spans="1:1" x14ac:dyDescent="0.25">
      <c r="A723" s="66" t="s">
        <v>1164</v>
      </c>
    </row>
    <row r="724" spans="1:1" x14ac:dyDescent="0.25">
      <c r="A724" s="66" t="s">
        <v>1165</v>
      </c>
    </row>
    <row r="725" spans="1:1" x14ac:dyDescent="0.25">
      <c r="A725" s="66" t="s">
        <v>1166</v>
      </c>
    </row>
    <row r="726" spans="1:1" x14ac:dyDescent="0.25">
      <c r="A726" s="66" t="s">
        <v>1167</v>
      </c>
    </row>
    <row r="727" spans="1:1" x14ac:dyDescent="0.25">
      <c r="A727" s="66" t="s">
        <v>1168</v>
      </c>
    </row>
    <row r="728" spans="1:1" x14ac:dyDescent="0.25">
      <c r="A728" s="66" t="s">
        <v>1169</v>
      </c>
    </row>
    <row r="729" spans="1:1" x14ac:dyDescent="0.25">
      <c r="A729" s="66" t="s">
        <v>1170</v>
      </c>
    </row>
    <row r="730" spans="1:1" x14ac:dyDescent="0.25">
      <c r="A730" s="66" t="s">
        <v>1171</v>
      </c>
    </row>
    <row r="731" spans="1:1" x14ac:dyDescent="0.25">
      <c r="A731" s="66" t="s">
        <v>1172</v>
      </c>
    </row>
    <row r="732" spans="1:1" x14ac:dyDescent="0.25">
      <c r="A732" s="66" t="s">
        <v>1173</v>
      </c>
    </row>
    <row r="733" spans="1:1" x14ac:dyDescent="0.25">
      <c r="A733" s="66" t="s">
        <v>1174</v>
      </c>
    </row>
    <row r="734" spans="1:1" x14ac:dyDescent="0.25">
      <c r="A734" s="66" t="s">
        <v>1175</v>
      </c>
    </row>
    <row r="735" spans="1:1" x14ac:dyDescent="0.25">
      <c r="A735" s="66" t="s">
        <v>1176</v>
      </c>
    </row>
    <row r="736" spans="1:1" x14ac:dyDescent="0.25">
      <c r="A736" s="66" t="s">
        <v>1177</v>
      </c>
    </row>
    <row r="737" spans="1:1" x14ac:dyDescent="0.25">
      <c r="A737" s="66" t="s">
        <v>1178</v>
      </c>
    </row>
    <row r="738" spans="1:1" x14ac:dyDescent="0.25">
      <c r="A738" s="66" t="s">
        <v>1179</v>
      </c>
    </row>
    <row r="739" spans="1:1" x14ac:dyDescent="0.25">
      <c r="A739" s="66" t="s">
        <v>1180</v>
      </c>
    </row>
    <row r="740" spans="1:1" x14ac:dyDescent="0.25">
      <c r="A740" s="66" t="s">
        <v>1181</v>
      </c>
    </row>
    <row r="741" spans="1:1" x14ac:dyDescent="0.25">
      <c r="A741" s="66" t="s">
        <v>1182</v>
      </c>
    </row>
    <row r="742" spans="1:1" x14ac:dyDescent="0.25">
      <c r="A742" s="66" t="s">
        <v>1183</v>
      </c>
    </row>
    <row r="743" spans="1:1" x14ac:dyDescent="0.25">
      <c r="A743" s="66" t="s">
        <v>1184</v>
      </c>
    </row>
    <row r="744" spans="1:1" x14ac:dyDescent="0.25">
      <c r="A744" s="66" t="s">
        <v>1185</v>
      </c>
    </row>
    <row r="745" spans="1:1" x14ac:dyDescent="0.25">
      <c r="A745" s="66" t="s">
        <v>1186</v>
      </c>
    </row>
    <row r="746" spans="1:1" x14ac:dyDescent="0.25">
      <c r="A746" s="66" t="s">
        <v>1187</v>
      </c>
    </row>
    <row r="747" spans="1:1" x14ac:dyDescent="0.25">
      <c r="A747" s="66" t="s">
        <v>1188</v>
      </c>
    </row>
    <row r="748" spans="1:1" x14ac:dyDescent="0.25">
      <c r="A748" s="66" t="s">
        <v>1189</v>
      </c>
    </row>
    <row r="749" spans="1:1" x14ac:dyDescent="0.25">
      <c r="A749" s="66" t="s">
        <v>1190</v>
      </c>
    </row>
    <row r="750" spans="1:1" x14ac:dyDescent="0.25">
      <c r="A750" s="66" t="s">
        <v>1191</v>
      </c>
    </row>
    <row r="751" spans="1:1" x14ac:dyDescent="0.25">
      <c r="A751" s="66" t="s">
        <v>1192</v>
      </c>
    </row>
    <row r="752" spans="1:1" x14ac:dyDescent="0.25">
      <c r="A752" s="66" t="s">
        <v>1193</v>
      </c>
    </row>
    <row r="753" spans="1:1" x14ac:dyDescent="0.25">
      <c r="A753" s="66" t="s">
        <v>1194</v>
      </c>
    </row>
    <row r="754" spans="1:1" x14ac:dyDescent="0.25">
      <c r="A754" s="66" t="s">
        <v>1195</v>
      </c>
    </row>
    <row r="755" spans="1:1" x14ac:dyDescent="0.25">
      <c r="A755" s="66" t="s">
        <v>1196</v>
      </c>
    </row>
    <row r="756" spans="1:1" x14ac:dyDescent="0.25">
      <c r="A756" s="66" t="s">
        <v>1197</v>
      </c>
    </row>
    <row r="757" spans="1:1" x14ac:dyDescent="0.25">
      <c r="A757" s="66" t="s">
        <v>1198</v>
      </c>
    </row>
    <row r="758" spans="1:1" x14ac:dyDescent="0.25">
      <c r="A758" s="66" t="s">
        <v>1199</v>
      </c>
    </row>
    <row r="759" spans="1:1" x14ac:dyDescent="0.25">
      <c r="A759" s="66" t="s">
        <v>1200</v>
      </c>
    </row>
    <row r="760" spans="1:1" x14ac:dyDescent="0.25">
      <c r="A760" s="66" t="s">
        <v>1201</v>
      </c>
    </row>
    <row r="761" spans="1:1" x14ac:dyDescent="0.25">
      <c r="A761" s="66" t="s">
        <v>1202</v>
      </c>
    </row>
    <row r="762" spans="1:1" x14ac:dyDescent="0.25">
      <c r="A762" s="66" t="s">
        <v>1203</v>
      </c>
    </row>
    <row r="763" spans="1:1" x14ac:dyDescent="0.25">
      <c r="A763" s="66" t="s">
        <v>1204</v>
      </c>
    </row>
    <row r="764" spans="1:1" x14ac:dyDescent="0.25">
      <c r="A764" s="66" t="s">
        <v>1205</v>
      </c>
    </row>
    <row r="765" spans="1:1" x14ac:dyDescent="0.25">
      <c r="A765" s="66" t="s">
        <v>1206</v>
      </c>
    </row>
    <row r="766" spans="1:1" x14ac:dyDescent="0.25">
      <c r="A766" s="66" t="s">
        <v>1207</v>
      </c>
    </row>
    <row r="767" spans="1:1" x14ac:dyDescent="0.25">
      <c r="A767" s="66" t="s">
        <v>1208</v>
      </c>
    </row>
    <row r="768" spans="1:1" x14ac:dyDescent="0.25">
      <c r="A768" s="66" t="s">
        <v>1209</v>
      </c>
    </row>
    <row r="769" spans="1:1" x14ac:dyDescent="0.25">
      <c r="A769" s="66" t="s">
        <v>1210</v>
      </c>
    </row>
    <row r="770" spans="1:1" x14ac:dyDescent="0.25">
      <c r="A770" s="66" t="s">
        <v>1211</v>
      </c>
    </row>
    <row r="771" spans="1:1" x14ac:dyDescent="0.25">
      <c r="A771" s="66" t="s">
        <v>1212</v>
      </c>
    </row>
    <row r="772" spans="1:1" x14ac:dyDescent="0.25">
      <c r="A772" s="66" t="s">
        <v>1213</v>
      </c>
    </row>
    <row r="773" spans="1:1" x14ac:dyDescent="0.25">
      <c r="A773" s="66" t="s">
        <v>1214</v>
      </c>
    </row>
    <row r="774" spans="1:1" x14ac:dyDescent="0.25">
      <c r="A774" s="56" t="s">
        <v>1215</v>
      </c>
    </row>
    <row r="775" spans="1:1" x14ac:dyDescent="0.25">
      <c r="A775" s="66" t="s">
        <v>1216</v>
      </c>
    </row>
    <row r="776" spans="1:1" x14ac:dyDescent="0.25">
      <c r="A776" s="66" t="s">
        <v>1217</v>
      </c>
    </row>
    <row r="777" spans="1:1" x14ac:dyDescent="0.25">
      <c r="A777" s="66" t="s">
        <v>1218</v>
      </c>
    </row>
    <row r="778" spans="1:1" x14ac:dyDescent="0.25">
      <c r="A778" s="66" t="s">
        <v>1219</v>
      </c>
    </row>
    <row r="779" spans="1:1" x14ac:dyDescent="0.25">
      <c r="A779" s="66" t="s">
        <v>1220</v>
      </c>
    </row>
    <row r="780" spans="1:1" x14ac:dyDescent="0.25">
      <c r="A780" s="66" t="s">
        <v>1221</v>
      </c>
    </row>
    <row r="781" spans="1:1" x14ac:dyDescent="0.25">
      <c r="A781" s="66" t="s">
        <v>1222</v>
      </c>
    </row>
    <row r="782" spans="1:1" x14ac:dyDescent="0.25">
      <c r="A782" s="66" t="s">
        <v>1223</v>
      </c>
    </row>
    <row r="783" spans="1:1" x14ac:dyDescent="0.25">
      <c r="A783" s="56" t="s">
        <v>1224</v>
      </c>
    </row>
    <row r="784" spans="1:1" x14ac:dyDescent="0.25">
      <c r="A784" s="66" t="s">
        <v>1225</v>
      </c>
    </row>
    <row r="785" spans="1:1" x14ac:dyDescent="0.25">
      <c r="A785" s="66" t="s">
        <v>1226</v>
      </c>
    </row>
    <row r="786" spans="1:1" x14ac:dyDescent="0.25">
      <c r="A786" s="66" t="s">
        <v>1227</v>
      </c>
    </row>
    <row r="787" spans="1:1" x14ac:dyDescent="0.25">
      <c r="A787" s="66" t="s">
        <v>1228</v>
      </c>
    </row>
    <row r="788" spans="1:1" x14ac:dyDescent="0.25">
      <c r="A788" s="66" t="s">
        <v>1229</v>
      </c>
    </row>
    <row r="789" spans="1:1" x14ac:dyDescent="0.25">
      <c r="A789" s="66" t="s">
        <v>1230</v>
      </c>
    </row>
    <row r="790" spans="1:1" x14ac:dyDescent="0.25">
      <c r="A790" s="66" t="s">
        <v>1231</v>
      </c>
    </row>
    <row r="791" spans="1:1" x14ac:dyDescent="0.25">
      <c r="A791" s="66" t="s">
        <v>1232</v>
      </c>
    </row>
    <row r="792" spans="1:1" x14ac:dyDescent="0.25">
      <c r="A792" s="66" t="s">
        <v>1233</v>
      </c>
    </row>
    <row r="793" spans="1:1" x14ac:dyDescent="0.25">
      <c r="A793" s="66" t="s">
        <v>1234</v>
      </c>
    </row>
    <row r="794" spans="1:1" x14ac:dyDescent="0.25">
      <c r="A794" s="66" t="s">
        <v>1235</v>
      </c>
    </row>
    <row r="795" spans="1:1" x14ac:dyDescent="0.25">
      <c r="A795" s="66" t="s">
        <v>1236</v>
      </c>
    </row>
    <row r="796" spans="1:1" x14ac:dyDescent="0.25">
      <c r="A796" s="66" t="s">
        <v>1237</v>
      </c>
    </row>
    <row r="797" spans="1:1" x14ac:dyDescent="0.25">
      <c r="A797" s="66" t="s">
        <v>1238</v>
      </c>
    </row>
    <row r="798" spans="1:1" x14ac:dyDescent="0.25">
      <c r="A798" s="66" t="s">
        <v>1239</v>
      </c>
    </row>
    <row r="799" spans="1:1" x14ac:dyDescent="0.25">
      <c r="A799" s="66" t="s">
        <v>1240</v>
      </c>
    </row>
    <row r="800" spans="1:1" x14ac:dyDescent="0.25">
      <c r="A800" s="66" t="s">
        <v>1241</v>
      </c>
    </row>
    <row r="801" spans="1:1" x14ac:dyDescent="0.25">
      <c r="A801" s="66" t="s">
        <v>1242</v>
      </c>
    </row>
    <row r="802" spans="1:1" x14ac:dyDescent="0.25">
      <c r="A802" s="66" t="s">
        <v>1243</v>
      </c>
    </row>
    <row r="803" spans="1:1" x14ac:dyDescent="0.25">
      <c r="A803" s="66" t="s">
        <v>1244</v>
      </c>
    </row>
    <row r="804" spans="1:1" x14ac:dyDescent="0.25">
      <c r="A804" s="66" t="s">
        <v>1245</v>
      </c>
    </row>
    <row r="805" spans="1:1" x14ac:dyDescent="0.25">
      <c r="A805" s="66" t="s">
        <v>1246</v>
      </c>
    </row>
    <row r="806" spans="1:1" x14ac:dyDescent="0.25">
      <c r="A806" s="66" t="s">
        <v>1247</v>
      </c>
    </row>
    <row r="807" spans="1:1" x14ac:dyDescent="0.25">
      <c r="A807" s="66" t="s">
        <v>1248</v>
      </c>
    </row>
    <row r="808" spans="1:1" x14ac:dyDescent="0.25">
      <c r="A808" s="66" t="s">
        <v>1249</v>
      </c>
    </row>
    <row r="809" spans="1:1" x14ac:dyDescent="0.25">
      <c r="A809" s="66" t="s">
        <v>1250</v>
      </c>
    </row>
    <row r="810" spans="1:1" x14ac:dyDescent="0.25">
      <c r="A810" s="66" t="s">
        <v>1251</v>
      </c>
    </row>
    <row r="811" spans="1:1" x14ac:dyDescent="0.25">
      <c r="A811" s="66" t="s">
        <v>1252</v>
      </c>
    </row>
    <row r="812" spans="1:1" x14ac:dyDescent="0.25">
      <c r="A812" s="66" t="s">
        <v>1253</v>
      </c>
    </row>
    <row r="813" spans="1:1" x14ac:dyDescent="0.25">
      <c r="A813" s="66" t="s">
        <v>1254</v>
      </c>
    </row>
    <row r="814" spans="1:1" x14ac:dyDescent="0.25">
      <c r="A814" s="66" t="s">
        <v>1255</v>
      </c>
    </row>
    <row r="815" spans="1:1" x14ac:dyDescent="0.25">
      <c r="A815" s="66" t="s">
        <v>1256</v>
      </c>
    </row>
    <row r="816" spans="1:1" x14ac:dyDescent="0.25">
      <c r="A816" s="66" t="s">
        <v>1257</v>
      </c>
    </row>
    <row r="817" spans="1:1" x14ac:dyDescent="0.25">
      <c r="A817" s="66" t="s">
        <v>1258</v>
      </c>
    </row>
    <row r="818" spans="1:1" x14ac:dyDescent="0.25">
      <c r="A818" s="66" t="s">
        <v>1259</v>
      </c>
    </row>
    <row r="819" spans="1:1" x14ac:dyDescent="0.25">
      <c r="A819" s="66" t="s">
        <v>1260</v>
      </c>
    </row>
    <row r="820" spans="1:1" x14ac:dyDescent="0.25">
      <c r="A820" s="66" t="s">
        <v>1261</v>
      </c>
    </row>
    <row r="821" spans="1:1" x14ac:dyDescent="0.25">
      <c r="A821" s="66" t="s">
        <v>1262</v>
      </c>
    </row>
    <row r="822" spans="1:1" x14ac:dyDescent="0.25">
      <c r="A822" s="66" t="s">
        <v>1263</v>
      </c>
    </row>
    <row r="823" spans="1:1" x14ac:dyDescent="0.25">
      <c r="A823" s="66" t="s">
        <v>1264</v>
      </c>
    </row>
    <row r="824" spans="1:1" x14ac:dyDescent="0.25">
      <c r="A824" s="66" t="s">
        <v>1265</v>
      </c>
    </row>
    <row r="825" spans="1:1" x14ac:dyDescent="0.25">
      <c r="A825" s="66" t="s">
        <v>1266</v>
      </c>
    </row>
    <row r="826" spans="1:1" x14ac:dyDescent="0.25">
      <c r="A826" s="66" t="s">
        <v>1267</v>
      </c>
    </row>
    <row r="827" spans="1:1" x14ac:dyDescent="0.25">
      <c r="A827" s="66" t="s">
        <v>1268</v>
      </c>
    </row>
    <row r="828" spans="1:1" x14ac:dyDescent="0.25">
      <c r="A828" s="66" t="s">
        <v>1269</v>
      </c>
    </row>
    <row r="829" spans="1:1" x14ac:dyDescent="0.25">
      <c r="A829" s="66" t="s">
        <v>1270</v>
      </c>
    </row>
    <row r="830" spans="1:1" x14ac:dyDescent="0.25">
      <c r="A830" s="66" t="s">
        <v>1271</v>
      </c>
    </row>
    <row r="831" spans="1:1" x14ac:dyDescent="0.25">
      <c r="A831" s="66" t="s">
        <v>1272</v>
      </c>
    </row>
    <row r="832" spans="1:1" x14ac:dyDescent="0.25">
      <c r="A832" s="66" t="s">
        <v>1273</v>
      </c>
    </row>
    <row r="833" spans="1:1" x14ac:dyDescent="0.25">
      <c r="A833" s="66" t="s">
        <v>1274</v>
      </c>
    </row>
    <row r="834" spans="1:1" x14ac:dyDescent="0.25">
      <c r="A834" s="66" t="s">
        <v>1275</v>
      </c>
    </row>
    <row r="835" spans="1:1" x14ac:dyDescent="0.25">
      <c r="A835" s="66" t="s">
        <v>1276</v>
      </c>
    </row>
    <row r="836" spans="1:1" x14ac:dyDescent="0.25">
      <c r="A836" s="66" t="s">
        <v>1277</v>
      </c>
    </row>
    <row r="837" spans="1:1" x14ac:dyDescent="0.25">
      <c r="A837" s="66" t="s">
        <v>1278</v>
      </c>
    </row>
    <row r="838" spans="1:1" x14ac:dyDescent="0.25">
      <c r="A838" s="66" t="s">
        <v>1279</v>
      </c>
    </row>
    <row r="839" spans="1:1" x14ac:dyDescent="0.25">
      <c r="A839" s="66" t="s">
        <v>1280</v>
      </c>
    </row>
    <row r="840" spans="1:1" x14ac:dyDescent="0.25">
      <c r="A840" s="66" t="s">
        <v>1281</v>
      </c>
    </row>
    <row r="841" spans="1:1" x14ac:dyDescent="0.25">
      <c r="A841" s="66" t="s">
        <v>1282</v>
      </c>
    </row>
    <row r="842" spans="1:1" x14ac:dyDescent="0.25">
      <c r="A842" s="66" t="s">
        <v>1283</v>
      </c>
    </row>
    <row r="843" spans="1:1" x14ac:dyDescent="0.25">
      <c r="A843" s="66" t="s">
        <v>1284</v>
      </c>
    </row>
    <row r="844" spans="1:1" x14ac:dyDescent="0.25">
      <c r="A844" s="66" t="s">
        <v>1285</v>
      </c>
    </row>
    <row r="845" spans="1:1" x14ac:dyDescent="0.25">
      <c r="A845" s="66" t="s">
        <v>1286</v>
      </c>
    </row>
    <row r="846" spans="1:1" x14ac:dyDescent="0.25">
      <c r="A846" s="66" t="s">
        <v>1287</v>
      </c>
    </row>
    <row r="847" spans="1:1" x14ac:dyDescent="0.25">
      <c r="A847" s="66" t="s">
        <v>1288</v>
      </c>
    </row>
    <row r="848" spans="1:1" x14ac:dyDescent="0.25">
      <c r="A848" s="66" t="s">
        <v>1289</v>
      </c>
    </row>
    <row r="849" spans="1:1" x14ac:dyDescent="0.25">
      <c r="A849" s="66" t="s">
        <v>1290</v>
      </c>
    </row>
    <row r="850" spans="1:1" x14ac:dyDescent="0.25">
      <c r="A850" s="66" t="s">
        <v>1291</v>
      </c>
    </row>
    <row r="851" spans="1:1" x14ac:dyDescent="0.25">
      <c r="A851" s="66" t="s">
        <v>1292</v>
      </c>
    </row>
    <row r="852" spans="1:1" x14ac:dyDescent="0.25">
      <c r="A852" s="66" t="s">
        <v>1293</v>
      </c>
    </row>
    <row r="853" spans="1:1" x14ac:dyDescent="0.25">
      <c r="A853" s="66" t="s">
        <v>1294</v>
      </c>
    </row>
    <row r="854" spans="1:1" x14ac:dyDescent="0.25">
      <c r="A854" s="66" t="s">
        <v>1295</v>
      </c>
    </row>
    <row r="855" spans="1:1" x14ac:dyDescent="0.25">
      <c r="A855" s="66" t="s">
        <v>1296</v>
      </c>
    </row>
    <row r="856" spans="1:1" x14ac:dyDescent="0.25">
      <c r="A856" s="66" t="s">
        <v>1297</v>
      </c>
    </row>
    <row r="857" spans="1:1" x14ac:dyDescent="0.25">
      <c r="A857" s="66" t="s">
        <v>1298</v>
      </c>
    </row>
    <row r="858" spans="1:1" x14ac:dyDescent="0.25">
      <c r="A858" s="66" t="s">
        <v>1299</v>
      </c>
    </row>
    <row r="859" spans="1:1" x14ac:dyDescent="0.25">
      <c r="A859" s="66" t="s">
        <v>1300</v>
      </c>
    </row>
    <row r="860" spans="1:1" x14ac:dyDescent="0.25">
      <c r="A860" s="66" t="s">
        <v>1301</v>
      </c>
    </row>
    <row r="861" spans="1:1" x14ac:dyDescent="0.25">
      <c r="A861" s="66" t="s">
        <v>1302</v>
      </c>
    </row>
    <row r="862" spans="1:1" x14ac:dyDescent="0.25">
      <c r="A862" s="66" t="s">
        <v>1303</v>
      </c>
    </row>
    <row r="863" spans="1:1" x14ac:dyDescent="0.25">
      <c r="A863" s="66" t="s">
        <v>1304</v>
      </c>
    </row>
    <row r="864" spans="1:1" x14ac:dyDescent="0.25">
      <c r="A864" s="66" t="s">
        <v>1305</v>
      </c>
    </row>
    <row r="865" spans="1:1" x14ac:dyDescent="0.25">
      <c r="A865" s="66" t="s">
        <v>1306</v>
      </c>
    </row>
    <row r="866" spans="1:1" x14ac:dyDescent="0.25">
      <c r="A866" s="66" t="s">
        <v>1307</v>
      </c>
    </row>
    <row r="867" spans="1:1" x14ac:dyDescent="0.25">
      <c r="A867" s="66" t="s">
        <v>1308</v>
      </c>
    </row>
    <row r="868" spans="1:1" x14ac:dyDescent="0.25">
      <c r="A868" s="66" t="s">
        <v>1309</v>
      </c>
    </row>
    <row r="869" spans="1:1" x14ac:dyDescent="0.25">
      <c r="A869" s="66" t="s">
        <v>1310</v>
      </c>
    </row>
    <row r="870" spans="1:1" x14ac:dyDescent="0.25">
      <c r="A870" s="66" t="s">
        <v>1311</v>
      </c>
    </row>
    <row r="871" spans="1:1" x14ac:dyDescent="0.25">
      <c r="A871" s="66" t="s">
        <v>1312</v>
      </c>
    </row>
    <row r="872" spans="1:1" x14ac:dyDescent="0.25">
      <c r="A872" s="66" t="s">
        <v>1313</v>
      </c>
    </row>
    <row r="873" spans="1:1" x14ac:dyDescent="0.25">
      <c r="A873" s="66" t="s">
        <v>1314</v>
      </c>
    </row>
    <row r="874" spans="1:1" x14ac:dyDescent="0.25">
      <c r="A874" s="66" t="s">
        <v>1315</v>
      </c>
    </row>
    <row r="875" spans="1:1" x14ac:dyDescent="0.25">
      <c r="A875" s="66" t="s">
        <v>1316</v>
      </c>
    </row>
    <row r="876" spans="1:1" x14ac:dyDescent="0.25">
      <c r="A876" s="66" t="s">
        <v>1317</v>
      </c>
    </row>
    <row r="877" spans="1:1" x14ac:dyDescent="0.25">
      <c r="A877" s="66" t="s">
        <v>1318</v>
      </c>
    </row>
    <row r="878" spans="1:1" x14ac:dyDescent="0.25">
      <c r="A878" s="66" t="s">
        <v>1319</v>
      </c>
    </row>
    <row r="879" spans="1:1" x14ac:dyDescent="0.25">
      <c r="A879" s="66" t="s">
        <v>1320</v>
      </c>
    </row>
    <row r="880" spans="1:1" x14ac:dyDescent="0.25">
      <c r="A880" s="66" t="s">
        <v>1321</v>
      </c>
    </row>
    <row r="881" spans="1:1" x14ac:dyDescent="0.25">
      <c r="A881" s="66" t="s">
        <v>1322</v>
      </c>
    </row>
    <row r="882" spans="1:1" x14ac:dyDescent="0.25">
      <c r="A882" s="66" t="s">
        <v>1323</v>
      </c>
    </row>
    <row r="883" spans="1:1" x14ac:dyDescent="0.25">
      <c r="A883" s="66" t="s">
        <v>1324</v>
      </c>
    </row>
    <row r="884" spans="1:1" x14ac:dyDescent="0.25">
      <c r="A884" s="66" t="s">
        <v>1325</v>
      </c>
    </row>
    <row r="885" spans="1:1" x14ac:dyDescent="0.25">
      <c r="A885" s="66" t="s">
        <v>1326</v>
      </c>
    </row>
    <row r="886" spans="1:1" x14ac:dyDescent="0.25">
      <c r="A886" s="66" t="s">
        <v>1327</v>
      </c>
    </row>
    <row r="887" spans="1:1" x14ac:dyDescent="0.25">
      <c r="A887" s="66" t="s">
        <v>1328</v>
      </c>
    </row>
    <row r="888" spans="1:1" x14ac:dyDescent="0.25">
      <c r="A888" s="56" t="s">
        <v>1329</v>
      </c>
    </row>
    <row r="889" spans="1:1" x14ac:dyDescent="0.25">
      <c r="A889" s="66" t="s">
        <v>1330</v>
      </c>
    </row>
    <row r="890" spans="1:1" x14ac:dyDescent="0.25">
      <c r="A890" s="56" t="s">
        <v>1331</v>
      </c>
    </row>
    <row r="891" spans="1:1" x14ac:dyDescent="0.25">
      <c r="A891" s="66" t="s">
        <v>1332</v>
      </c>
    </row>
    <row r="892" spans="1:1" x14ac:dyDescent="0.25">
      <c r="A892" s="66" t="s">
        <v>1333</v>
      </c>
    </row>
    <row r="893" spans="1:1" x14ac:dyDescent="0.25">
      <c r="A893" s="66" t="s">
        <v>1334</v>
      </c>
    </row>
    <row r="894" spans="1:1" x14ac:dyDescent="0.25">
      <c r="A894" s="66" t="s">
        <v>1335</v>
      </c>
    </row>
    <row r="895" spans="1:1" x14ac:dyDescent="0.25">
      <c r="A895" s="66" t="s">
        <v>1336</v>
      </c>
    </row>
    <row r="896" spans="1:1" x14ac:dyDescent="0.25">
      <c r="A896" s="66" t="s">
        <v>1337</v>
      </c>
    </row>
    <row r="897" spans="1:1" x14ac:dyDescent="0.25">
      <c r="A897" s="67" t="s">
        <v>1338</v>
      </c>
    </row>
    <row r="898" spans="1:1" x14ac:dyDescent="0.25">
      <c r="A898" s="66" t="s">
        <v>1339</v>
      </c>
    </row>
    <row r="899" spans="1:1" x14ac:dyDescent="0.25">
      <c r="A899" s="66" t="s">
        <v>1340</v>
      </c>
    </row>
    <row r="900" spans="1:1" x14ac:dyDescent="0.25">
      <c r="A900" s="66" t="s">
        <v>1341</v>
      </c>
    </row>
    <row r="901" spans="1:1" x14ac:dyDescent="0.25">
      <c r="A901" s="66" t="s">
        <v>1342</v>
      </c>
    </row>
    <row r="902" spans="1:1" x14ac:dyDescent="0.25">
      <c r="A902" s="66" t="s">
        <v>1343</v>
      </c>
    </row>
    <row r="903" spans="1:1" x14ac:dyDescent="0.25">
      <c r="A903" s="66" t="s">
        <v>1344</v>
      </c>
    </row>
    <row r="904" spans="1:1" x14ac:dyDescent="0.25">
      <c r="A904" s="66" t="s">
        <v>1345</v>
      </c>
    </row>
    <row r="905" spans="1:1" x14ac:dyDescent="0.25">
      <c r="A905" s="66" t="s">
        <v>1346</v>
      </c>
    </row>
    <row r="906" spans="1:1" x14ac:dyDescent="0.25">
      <c r="A906" s="66" t="s">
        <v>1347</v>
      </c>
    </row>
    <row r="907" spans="1:1" x14ac:dyDescent="0.25">
      <c r="A907" s="66" t="s">
        <v>1348</v>
      </c>
    </row>
    <row r="908" spans="1:1" x14ac:dyDescent="0.25">
      <c r="A908" s="66" t="s">
        <v>1349</v>
      </c>
    </row>
    <row r="909" spans="1:1" x14ac:dyDescent="0.25">
      <c r="A909" s="66" t="s">
        <v>1350</v>
      </c>
    </row>
    <row r="910" spans="1:1" x14ac:dyDescent="0.25">
      <c r="A910" s="67" t="s">
        <v>1351</v>
      </c>
    </row>
    <row r="911" spans="1:1" x14ac:dyDescent="0.25">
      <c r="A911" s="67" t="s">
        <v>1352</v>
      </c>
    </row>
    <row r="912" spans="1:1" x14ac:dyDescent="0.25">
      <c r="A912" s="56" t="s">
        <v>1353</v>
      </c>
    </row>
    <row r="913" spans="1:1" x14ac:dyDescent="0.25">
      <c r="A913" s="66" t="s">
        <v>1354</v>
      </c>
    </row>
    <row r="914" spans="1:1" x14ac:dyDescent="0.25">
      <c r="A914" s="66" t="s">
        <v>1355</v>
      </c>
    </row>
    <row r="915" spans="1:1" x14ac:dyDescent="0.25">
      <c r="A915" s="66" t="s">
        <v>1356</v>
      </c>
    </row>
    <row r="916" spans="1:1" x14ac:dyDescent="0.25">
      <c r="A916" s="66" t="s">
        <v>1357</v>
      </c>
    </row>
    <row r="917" spans="1:1" x14ac:dyDescent="0.25">
      <c r="A917" s="67" t="s">
        <v>1358</v>
      </c>
    </row>
    <row r="918" spans="1:1" x14ac:dyDescent="0.25">
      <c r="A918" s="67" t="s">
        <v>1359</v>
      </c>
    </row>
    <row r="919" spans="1:1" x14ac:dyDescent="0.25">
      <c r="A919" s="56" t="s">
        <v>1360</v>
      </c>
    </row>
    <row r="920" spans="1:1" x14ac:dyDescent="0.25">
      <c r="A920" s="66" t="s">
        <v>1361</v>
      </c>
    </row>
    <row r="921" spans="1:1" x14ac:dyDescent="0.25">
      <c r="A921" s="66" t="s">
        <v>1362</v>
      </c>
    </row>
    <row r="922" spans="1:1" x14ac:dyDescent="0.25">
      <c r="A922" s="66" t="s">
        <v>1363</v>
      </c>
    </row>
    <row r="923" spans="1:1" x14ac:dyDescent="0.25">
      <c r="A923" s="66" t="s">
        <v>1364</v>
      </c>
    </row>
    <row r="924" spans="1:1" x14ac:dyDescent="0.25">
      <c r="A924" s="67" t="s">
        <v>1365</v>
      </c>
    </row>
    <row r="925" spans="1:1" x14ac:dyDescent="0.25">
      <c r="A925" s="67" t="s">
        <v>1366</v>
      </c>
    </row>
    <row r="926" spans="1:1" x14ac:dyDescent="0.25">
      <c r="A926" s="56" t="s">
        <v>1367</v>
      </c>
    </row>
    <row r="927" spans="1:1" x14ac:dyDescent="0.25">
      <c r="A927" s="66" t="s">
        <v>1368</v>
      </c>
    </row>
    <row r="928" spans="1:1" x14ac:dyDescent="0.25">
      <c r="A928" s="66" t="s">
        <v>1369</v>
      </c>
    </row>
    <row r="929" spans="1:1" x14ac:dyDescent="0.25">
      <c r="A929" s="66" t="s">
        <v>1370</v>
      </c>
    </row>
    <row r="930" spans="1:1" x14ac:dyDescent="0.25">
      <c r="A930" s="66" t="s">
        <v>1371</v>
      </c>
    </row>
    <row r="931" spans="1:1" x14ac:dyDescent="0.25">
      <c r="A931" s="67" t="s">
        <v>1372</v>
      </c>
    </row>
    <row r="932" spans="1:1" x14ac:dyDescent="0.25">
      <c r="A932" s="67" t="s">
        <v>1373</v>
      </c>
    </row>
    <row r="933" spans="1:1" x14ac:dyDescent="0.25">
      <c r="A933" s="56" t="s">
        <v>1374</v>
      </c>
    </row>
    <row r="934" spans="1:1" x14ac:dyDescent="0.25">
      <c r="A934" s="66" t="s">
        <v>1375</v>
      </c>
    </row>
    <row r="935" spans="1:1" x14ac:dyDescent="0.25">
      <c r="A935" s="66" t="s">
        <v>1376</v>
      </c>
    </row>
    <row r="936" spans="1:1" x14ac:dyDescent="0.25">
      <c r="A936" s="66" t="s">
        <v>1377</v>
      </c>
    </row>
    <row r="937" spans="1:1" x14ac:dyDescent="0.25">
      <c r="A937" s="66" t="s">
        <v>1378</v>
      </c>
    </row>
    <row r="938" spans="1:1" x14ac:dyDescent="0.25">
      <c r="A938" s="67" t="s">
        <v>1379</v>
      </c>
    </row>
    <row r="939" spans="1:1" x14ac:dyDescent="0.25">
      <c r="A939" s="67" t="s">
        <v>1380</v>
      </c>
    </row>
    <row r="940" spans="1:1" x14ac:dyDescent="0.25">
      <c r="A940" s="56" t="s">
        <v>1381</v>
      </c>
    </row>
    <row r="941" spans="1:1" x14ac:dyDescent="0.25">
      <c r="A941" s="66" t="s">
        <v>1382</v>
      </c>
    </row>
    <row r="942" spans="1:1" x14ac:dyDescent="0.25">
      <c r="A942" s="66" t="s">
        <v>1383</v>
      </c>
    </row>
    <row r="943" spans="1:1" x14ac:dyDescent="0.25">
      <c r="A943" s="66" t="s">
        <v>1384</v>
      </c>
    </row>
    <row r="944" spans="1:1" x14ac:dyDescent="0.25">
      <c r="A944" s="66" t="s">
        <v>1385</v>
      </c>
    </row>
    <row r="945" spans="1:1" x14ac:dyDescent="0.25">
      <c r="A945" s="67" t="s">
        <v>1386</v>
      </c>
    </row>
    <row r="946" spans="1:1" x14ac:dyDescent="0.25">
      <c r="A946" s="67" t="s">
        <v>1387</v>
      </c>
    </row>
    <row r="947" spans="1:1" x14ac:dyDescent="0.25">
      <c r="A947" s="56" t="s">
        <v>1388</v>
      </c>
    </row>
    <row r="948" spans="1:1" x14ac:dyDescent="0.25">
      <c r="A948" s="66" t="s">
        <v>1389</v>
      </c>
    </row>
    <row r="949" spans="1:1" x14ac:dyDescent="0.25">
      <c r="A949" s="66" t="s">
        <v>1390</v>
      </c>
    </row>
    <row r="950" spans="1:1" x14ac:dyDescent="0.25">
      <c r="A950" s="66" t="s">
        <v>1391</v>
      </c>
    </row>
    <row r="951" spans="1:1" x14ac:dyDescent="0.25">
      <c r="A951" s="66" t="s">
        <v>1392</v>
      </c>
    </row>
    <row r="952" spans="1:1" x14ac:dyDescent="0.25">
      <c r="A952" s="67" t="s">
        <v>1393</v>
      </c>
    </row>
    <row r="953" spans="1:1" x14ac:dyDescent="0.25">
      <c r="A953" s="67" t="s">
        <v>1394</v>
      </c>
    </row>
    <row r="954" spans="1:1" x14ac:dyDescent="0.25">
      <c r="A954" s="56" t="s">
        <v>1395</v>
      </c>
    </row>
    <row r="955" spans="1:1" x14ac:dyDescent="0.25">
      <c r="A955" s="66" t="s">
        <v>1396</v>
      </c>
    </row>
    <row r="956" spans="1:1" x14ac:dyDescent="0.25">
      <c r="A956" s="66" t="s">
        <v>1397</v>
      </c>
    </row>
    <row r="957" spans="1:1" x14ac:dyDescent="0.25">
      <c r="A957" s="66" t="s">
        <v>1398</v>
      </c>
    </row>
    <row r="958" spans="1:1" x14ac:dyDescent="0.25">
      <c r="A958" s="66" t="s">
        <v>1399</v>
      </c>
    </row>
    <row r="959" spans="1:1" x14ac:dyDescent="0.25">
      <c r="A959" s="67" t="s">
        <v>1400</v>
      </c>
    </row>
    <row r="960" spans="1:1" x14ac:dyDescent="0.25">
      <c r="A960" s="67" t="s">
        <v>1401</v>
      </c>
    </row>
    <row r="961" spans="1:1" x14ac:dyDescent="0.25">
      <c r="A961" s="56" t="s">
        <v>1402</v>
      </c>
    </row>
    <row r="962" spans="1:1" x14ac:dyDescent="0.25">
      <c r="A962" s="66" t="s">
        <v>1403</v>
      </c>
    </row>
    <row r="963" spans="1:1" x14ac:dyDescent="0.25">
      <c r="A963" s="66" t="s">
        <v>1404</v>
      </c>
    </row>
    <row r="964" spans="1:1" x14ac:dyDescent="0.25">
      <c r="A964" s="66" t="s">
        <v>1405</v>
      </c>
    </row>
    <row r="965" spans="1:1" x14ac:dyDescent="0.25">
      <c r="A965" s="66" t="s">
        <v>1406</v>
      </c>
    </row>
    <row r="966" spans="1:1" x14ac:dyDescent="0.25">
      <c r="A966" s="67" t="s">
        <v>1407</v>
      </c>
    </row>
    <row r="967" spans="1:1" x14ac:dyDescent="0.25">
      <c r="A967" s="67" t="s">
        <v>1408</v>
      </c>
    </row>
    <row r="968" spans="1:1" x14ac:dyDescent="0.25">
      <c r="A968" s="56" t="s">
        <v>1409</v>
      </c>
    </row>
    <row r="969" spans="1:1" x14ac:dyDescent="0.25">
      <c r="A969" s="66" t="s">
        <v>1410</v>
      </c>
    </row>
    <row r="970" spans="1:1" x14ac:dyDescent="0.25">
      <c r="A970" s="66" t="s">
        <v>1411</v>
      </c>
    </row>
    <row r="971" spans="1:1" x14ac:dyDescent="0.25">
      <c r="A971" s="66" t="s">
        <v>1412</v>
      </c>
    </row>
    <row r="972" spans="1:1" x14ac:dyDescent="0.25">
      <c r="A972" s="66" t="s">
        <v>1413</v>
      </c>
    </row>
    <row r="973" spans="1:1" x14ac:dyDescent="0.25">
      <c r="A973" s="67" t="s">
        <v>1414</v>
      </c>
    </row>
    <row r="974" spans="1:1" x14ac:dyDescent="0.25">
      <c r="A974" s="67" t="s">
        <v>1415</v>
      </c>
    </row>
    <row r="975" spans="1:1" x14ac:dyDescent="0.25">
      <c r="A975" s="56" t="s">
        <v>1416</v>
      </c>
    </row>
    <row r="976" spans="1:1" x14ac:dyDescent="0.25">
      <c r="A976" s="66" t="s">
        <v>1417</v>
      </c>
    </row>
    <row r="977" spans="1:1" x14ac:dyDescent="0.25">
      <c r="A977" s="66" t="s">
        <v>1418</v>
      </c>
    </row>
    <row r="978" spans="1:1" x14ac:dyDescent="0.25">
      <c r="A978" s="66" t="s">
        <v>1419</v>
      </c>
    </row>
    <row r="979" spans="1:1" x14ac:dyDescent="0.25">
      <c r="A979" s="66" t="s">
        <v>1420</v>
      </c>
    </row>
    <row r="980" spans="1:1" x14ac:dyDescent="0.25">
      <c r="A980" s="67" t="s">
        <v>1421</v>
      </c>
    </row>
    <row r="981" spans="1:1" x14ac:dyDescent="0.25">
      <c r="A981" s="67" t="s">
        <v>1422</v>
      </c>
    </row>
    <row r="982" spans="1:1" x14ac:dyDescent="0.25">
      <c r="A982" s="56" t="s">
        <v>1423</v>
      </c>
    </row>
    <row r="983" spans="1:1" x14ac:dyDescent="0.25">
      <c r="A983" s="66" t="s">
        <v>1424</v>
      </c>
    </row>
    <row r="984" spans="1:1" x14ac:dyDescent="0.25">
      <c r="A984" s="66" t="s">
        <v>1425</v>
      </c>
    </row>
    <row r="985" spans="1:1" x14ac:dyDescent="0.25">
      <c r="A985" s="66" t="s">
        <v>1426</v>
      </c>
    </row>
    <row r="986" spans="1:1" x14ac:dyDescent="0.25">
      <c r="A986" s="66" t="s">
        <v>1427</v>
      </c>
    </row>
    <row r="987" spans="1:1" x14ac:dyDescent="0.25">
      <c r="A987" s="67" t="s">
        <v>1428</v>
      </c>
    </row>
    <row r="988" spans="1:1" x14ac:dyDescent="0.25">
      <c r="A988" s="67" t="s">
        <v>1429</v>
      </c>
    </row>
    <row r="989" spans="1:1" x14ac:dyDescent="0.25">
      <c r="A989" s="56" t="s">
        <v>1430</v>
      </c>
    </row>
    <row r="990" spans="1:1" x14ac:dyDescent="0.25">
      <c r="A990" s="66" t="s">
        <v>1431</v>
      </c>
    </row>
    <row r="991" spans="1:1" x14ac:dyDescent="0.25">
      <c r="A991" s="66" t="s">
        <v>1432</v>
      </c>
    </row>
    <row r="992" spans="1:1" x14ac:dyDescent="0.25">
      <c r="A992" s="66" t="s">
        <v>1433</v>
      </c>
    </row>
    <row r="993" spans="1:1" x14ac:dyDescent="0.25">
      <c r="A993" s="66" t="s">
        <v>1434</v>
      </c>
    </row>
    <row r="994" spans="1:1" x14ac:dyDescent="0.25">
      <c r="A994" s="67" t="s">
        <v>1435</v>
      </c>
    </row>
    <row r="995" spans="1:1" x14ac:dyDescent="0.25">
      <c r="A995" s="67" t="s">
        <v>1436</v>
      </c>
    </row>
    <row r="996" spans="1:1" x14ac:dyDescent="0.25">
      <c r="A996" s="56" t="s">
        <v>1437</v>
      </c>
    </row>
    <row r="997" spans="1:1" x14ac:dyDescent="0.25">
      <c r="A997" s="66" t="s">
        <v>1438</v>
      </c>
    </row>
    <row r="998" spans="1:1" x14ac:dyDescent="0.25">
      <c r="A998" s="66" t="s">
        <v>1440</v>
      </c>
    </row>
    <row r="999" spans="1:1" x14ac:dyDescent="0.25">
      <c r="A999" s="66" t="s">
        <v>1441</v>
      </c>
    </row>
    <row r="1000" spans="1:1" x14ac:dyDescent="0.25">
      <c r="A1000" s="66" t="s">
        <v>1442</v>
      </c>
    </row>
    <row r="1001" spans="1:1" x14ac:dyDescent="0.25">
      <c r="A1001" s="67" t="s">
        <v>1443</v>
      </c>
    </row>
    <row r="1002" spans="1:1" x14ac:dyDescent="0.25">
      <c r="A1002" s="67" t="s">
        <v>1444</v>
      </c>
    </row>
    <row r="1003" spans="1:1" x14ac:dyDescent="0.25">
      <c r="A1003" s="56" t="s">
        <v>1445</v>
      </c>
    </row>
    <row r="1004" spans="1:1" x14ac:dyDescent="0.25">
      <c r="A1004" s="66" t="s">
        <v>1446</v>
      </c>
    </row>
    <row r="1005" spans="1:1" x14ac:dyDescent="0.25">
      <c r="A1005" s="66" t="s">
        <v>1447</v>
      </c>
    </row>
    <row r="1006" spans="1:1" x14ac:dyDescent="0.25">
      <c r="A1006" s="66" t="s">
        <v>1448</v>
      </c>
    </row>
    <row r="1007" spans="1:1" x14ac:dyDescent="0.25">
      <c r="A1007" s="66" t="s">
        <v>1449</v>
      </c>
    </row>
    <row r="1008" spans="1:1" x14ac:dyDescent="0.25">
      <c r="A1008" s="67" t="s">
        <v>1450</v>
      </c>
    </row>
    <row r="1009" spans="1:1" x14ac:dyDescent="0.25">
      <c r="A1009" s="67" t="s">
        <v>1451</v>
      </c>
    </row>
    <row r="1010" spans="1:1" x14ac:dyDescent="0.25">
      <c r="A1010" s="56" t="s">
        <v>1452</v>
      </c>
    </row>
    <row r="1011" spans="1:1" x14ac:dyDescent="0.25">
      <c r="A1011" s="66" t="s">
        <v>1453</v>
      </c>
    </row>
    <row r="1012" spans="1:1" x14ac:dyDescent="0.25">
      <c r="A1012" s="66" t="s">
        <v>1454</v>
      </c>
    </row>
    <row r="1013" spans="1:1" x14ac:dyDescent="0.25">
      <c r="A1013" s="66" t="s">
        <v>1455</v>
      </c>
    </row>
    <row r="1014" spans="1:1" x14ac:dyDescent="0.25">
      <c r="A1014" s="66" t="s">
        <v>1456</v>
      </c>
    </row>
    <row r="1015" spans="1:1" x14ac:dyDescent="0.25">
      <c r="A1015" s="67" t="s">
        <v>1457</v>
      </c>
    </row>
    <row r="1016" spans="1:1" x14ac:dyDescent="0.25">
      <c r="A1016" s="67" t="s">
        <v>1458</v>
      </c>
    </row>
    <row r="1017" spans="1:1" x14ac:dyDescent="0.25">
      <c r="A1017" s="56" t="s">
        <v>1459</v>
      </c>
    </row>
    <row r="1018" spans="1:1" x14ac:dyDescent="0.25">
      <c r="A1018" s="66" t="s">
        <v>1460</v>
      </c>
    </row>
    <row r="1019" spans="1:1" x14ac:dyDescent="0.25">
      <c r="A1019" s="66" t="s">
        <v>1461</v>
      </c>
    </row>
    <row r="1020" spans="1:1" x14ac:dyDescent="0.25">
      <c r="A1020" s="66" t="s">
        <v>1462</v>
      </c>
    </row>
    <row r="1021" spans="1:1" x14ac:dyDescent="0.25">
      <c r="A1021" s="66" t="s">
        <v>1463</v>
      </c>
    </row>
    <row r="1022" spans="1:1" x14ac:dyDescent="0.25">
      <c r="A1022" s="66" t="s">
        <v>1464</v>
      </c>
    </row>
    <row r="1023" spans="1:1" x14ac:dyDescent="0.25">
      <c r="A1023" s="66" t="s">
        <v>1465</v>
      </c>
    </row>
    <row r="1024" spans="1:1" x14ac:dyDescent="0.25">
      <c r="A1024" s="66" t="s">
        <v>1466</v>
      </c>
    </row>
    <row r="1025" spans="1:1" x14ac:dyDescent="0.25">
      <c r="A1025" s="66" t="s">
        <v>1467</v>
      </c>
    </row>
    <row r="1026" spans="1:1" x14ac:dyDescent="0.25">
      <c r="A1026" s="66" t="s">
        <v>1468</v>
      </c>
    </row>
    <row r="1027" spans="1:1" x14ac:dyDescent="0.25">
      <c r="A1027" s="66" t="s">
        <v>1469</v>
      </c>
    </row>
    <row r="1028" spans="1:1" x14ac:dyDescent="0.25">
      <c r="A1028" s="66" t="s">
        <v>1470</v>
      </c>
    </row>
    <row r="1029" spans="1:1" x14ac:dyDescent="0.25">
      <c r="A1029" s="66" t="s">
        <v>1471</v>
      </c>
    </row>
    <row r="1030" spans="1:1" x14ac:dyDescent="0.25">
      <c r="A1030" s="66" t="s">
        <v>1472</v>
      </c>
    </row>
    <row r="1031" spans="1:1" x14ac:dyDescent="0.25">
      <c r="A1031" s="66" t="s">
        <v>1473</v>
      </c>
    </row>
    <row r="1032" spans="1:1" x14ac:dyDescent="0.25">
      <c r="A1032" s="66" t="s">
        <v>1474</v>
      </c>
    </row>
    <row r="1033" spans="1:1" x14ac:dyDescent="0.25">
      <c r="A1033" s="66" t="s">
        <v>1475</v>
      </c>
    </row>
    <row r="1034" spans="1:1" x14ac:dyDescent="0.25">
      <c r="A1034" s="66" t="s">
        <v>1476</v>
      </c>
    </row>
    <row r="1035" spans="1:1" x14ac:dyDescent="0.25">
      <c r="A1035" s="66" t="s">
        <v>1477</v>
      </c>
    </row>
    <row r="1036" spans="1:1" x14ac:dyDescent="0.25">
      <c r="A1036" s="66" t="s">
        <v>1478</v>
      </c>
    </row>
    <row r="1037" spans="1:1" x14ac:dyDescent="0.25">
      <c r="A1037" s="66" t="s">
        <v>1479</v>
      </c>
    </row>
    <row r="1038" spans="1:1" x14ac:dyDescent="0.25">
      <c r="A1038" s="66" t="s">
        <v>1480</v>
      </c>
    </row>
    <row r="1039" spans="1:1" x14ac:dyDescent="0.25">
      <c r="A1039" s="66" t="s">
        <v>1481</v>
      </c>
    </row>
    <row r="1040" spans="1:1" x14ac:dyDescent="0.25">
      <c r="A1040" s="66" t="s">
        <v>1482</v>
      </c>
    </row>
    <row r="1041" spans="1:1" x14ac:dyDescent="0.25">
      <c r="A1041" s="66" t="s">
        <v>1483</v>
      </c>
    </row>
    <row r="1042" spans="1:1" x14ac:dyDescent="0.25">
      <c r="A1042" s="66" t="s">
        <v>1484</v>
      </c>
    </row>
    <row r="1043" spans="1:1" x14ac:dyDescent="0.25">
      <c r="A1043" s="66" t="s">
        <v>1485</v>
      </c>
    </row>
    <row r="1044" spans="1:1" x14ac:dyDescent="0.25">
      <c r="A1044" s="66" t="s">
        <v>1486</v>
      </c>
    </row>
    <row r="1045" spans="1:1" x14ac:dyDescent="0.25">
      <c r="A1045" s="66" t="s">
        <v>1487</v>
      </c>
    </row>
    <row r="1046" spans="1:1" x14ac:dyDescent="0.25">
      <c r="A1046" s="66" t="s">
        <v>1488</v>
      </c>
    </row>
    <row r="1047" spans="1:1" x14ac:dyDescent="0.25">
      <c r="A1047" t="s">
        <v>1489</v>
      </c>
    </row>
    <row r="1048" spans="1:1" x14ac:dyDescent="0.25">
      <c r="A1048" t="s">
        <v>1490</v>
      </c>
    </row>
    <row r="1049" spans="1:1" x14ac:dyDescent="0.25">
      <c r="A1049" s="66" t="s">
        <v>1491</v>
      </c>
    </row>
    <row r="1050" spans="1:1" x14ac:dyDescent="0.25">
      <c r="A1050" s="66" t="s">
        <v>1492</v>
      </c>
    </row>
    <row r="1051" spans="1:1" x14ac:dyDescent="0.25">
      <c r="A1051" s="66" t="s">
        <v>1493</v>
      </c>
    </row>
    <row r="1052" spans="1:1" x14ac:dyDescent="0.25">
      <c r="A1052" s="66" t="s">
        <v>1494</v>
      </c>
    </row>
    <row r="1053" spans="1:1" x14ac:dyDescent="0.25">
      <c r="A1053" s="66" t="s">
        <v>1495</v>
      </c>
    </row>
    <row r="1054" spans="1:1" x14ac:dyDescent="0.25">
      <c r="A1054" s="66" t="s">
        <v>1496</v>
      </c>
    </row>
    <row r="1055" spans="1:1" x14ac:dyDescent="0.25">
      <c r="A1055" s="66" t="s">
        <v>1497</v>
      </c>
    </row>
    <row r="1056" spans="1:1" x14ac:dyDescent="0.25">
      <c r="A1056" s="66" t="s">
        <v>1498</v>
      </c>
    </row>
    <row r="1057" spans="1:1" x14ac:dyDescent="0.25">
      <c r="A1057" s="66" t="s">
        <v>1499</v>
      </c>
    </row>
    <row r="1058" spans="1:1" x14ac:dyDescent="0.25">
      <c r="A1058" s="66" t="s">
        <v>1500</v>
      </c>
    </row>
    <row r="1059" spans="1:1" x14ac:dyDescent="0.25">
      <c r="A1059" s="66" t="s">
        <v>1501</v>
      </c>
    </row>
    <row r="1060" spans="1:1" x14ac:dyDescent="0.25">
      <c r="A1060" s="66" t="s">
        <v>1502</v>
      </c>
    </row>
    <row r="1061" spans="1:1" x14ac:dyDescent="0.25">
      <c r="A1061" s="66" t="s">
        <v>1503</v>
      </c>
    </row>
    <row r="1062" spans="1:1" x14ac:dyDescent="0.25">
      <c r="A1062" s="66" t="s">
        <v>1504</v>
      </c>
    </row>
    <row r="1063" spans="1:1" x14ac:dyDescent="0.25">
      <c r="A1063" s="66" t="s">
        <v>1505</v>
      </c>
    </row>
    <row r="1064" spans="1:1" x14ac:dyDescent="0.25">
      <c r="A1064" s="66" t="s">
        <v>1506</v>
      </c>
    </row>
    <row r="1065" spans="1:1" x14ac:dyDescent="0.25">
      <c r="A1065" s="66" t="s">
        <v>1507</v>
      </c>
    </row>
    <row r="1066" spans="1:1" x14ac:dyDescent="0.25">
      <c r="A1066" s="66" t="s">
        <v>1508</v>
      </c>
    </row>
    <row r="1067" spans="1:1" x14ac:dyDescent="0.25">
      <c r="A1067" s="56" t="s">
        <v>1509</v>
      </c>
    </row>
    <row r="1068" spans="1:1" x14ac:dyDescent="0.25">
      <c r="A1068" s="66" t="s">
        <v>1510</v>
      </c>
    </row>
    <row r="1069" spans="1:1" x14ac:dyDescent="0.25">
      <c r="A1069" s="56" t="s">
        <v>1511</v>
      </c>
    </row>
    <row r="1070" spans="1:1" x14ac:dyDescent="0.25">
      <c r="A1070" s="66" t="s">
        <v>1512</v>
      </c>
    </row>
    <row r="1071" spans="1:1" x14ac:dyDescent="0.25">
      <c r="A1071" s="66" t="s">
        <v>1513</v>
      </c>
    </row>
    <row r="1072" spans="1:1" x14ac:dyDescent="0.25">
      <c r="A1072" s="66" t="s">
        <v>1514</v>
      </c>
    </row>
    <row r="1073" spans="1:1" x14ac:dyDescent="0.25">
      <c r="A1073" s="66" t="s">
        <v>1515</v>
      </c>
    </row>
    <row r="1074" spans="1:1" x14ac:dyDescent="0.25">
      <c r="A1074" s="66" t="s">
        <v>1516</v>
      </c>
    </row>
    <row r="1075" spans="1:1" x14ac:dyDescent="0.25">
      <c r="A1075" s="66" t="s">
        <v>1517</v>
      </c>
    </row>
    <row r="1076" spans="1:1" x14ac:dyDescent="0.25">
      <c r="A1076" s="66" t="s">
        <v>1518</v>
      </c>
    </row>
    <row r="1077" spans="1:1" x14ac:dyDescent="0.25">
      <c r="A1077" s="66" t="s">
        <v>1519</v>
      </c>
    </row>
    <row r="1078" spans="1:1" x14ac:dyDescent="0.25">
      <c r="A1078" s="66" t="s">
        <v>1520</v>
      </c>
    </row>
    <row r="1079" spans="1:1" x14ac:dyDescent="0.25">
      <c r="A1079" s="66" t="s">
        <v>1521</v>
      </c>
    </row>
    <row r="1080" spans="1:1" x14ac:dyDescent="0.25">
      <c r="A1080" s="66" t="s">
        <v>1522</v>
      </c>
    </row>
    <row r="1081" spans="1:1" x14ac:dyDescent="0.25">
      <c r="A1081" s="66" t="s">
        <v>1523</v>
      </c>
    </row>
    <row r="1082" spans="1:1" x14ac:dyDescent="0.25">
      <c r="A1082" s="66" t="s">
        <v>1524</v>
      </c>
    </row>
    <row r="1083" spans="1:1" x14ac:dyDescent="0.25">
      <c r="A1083" s="66" t="s">
        <v>1525</v>
      </c>
    </row>
    <row r="1084" spans="1:1" x14ac:dyDescent="0.25">
      <c r="A1084" s="66" t="s">
        <v>1526</v>
      </c>
    </row>
    <row r="1085" spans="1:1" x14ac:dyDescent="0.25">
      <c r="A1085" s="66" t="s">
        <v>1527</v>
      </c>
    </row>
    <row r="1086" spans="1:1" x14ac:dyDescent="0.25">
      <c r="A1086" s="66" t="s">
        <v>1528</v>
      </c>
    </row>
    <row r="1087" spans="1:1" x14ac:dyDescent="0.25">
      <c r="A1087" s="66" t="s">
        <v>1529</v>
      </c>
    </row>
    <row r="1088" spans="1:1" x14ac:dyDescent="0.25">
      <c r="A1088" s="66" t="s">
        <v>1530</v>
      </c>
    </row>
    <row r="1089" spans="1:1" x14ac:dyDescent="0.25">
      <c r="A1089" s="66" t="s">
        <v>1531</v>
      </c>
    </row>
    <row r="1090" spans="1:1" x14ac:dyDescent="0.25">
      <c r="A1090" s="66" t="s">
        <v>1532</v>
      </c>
    </row>
    <row r="1091" spans="1:1" x14ac:dyDescent="0.25">
      <c r="A1091" s="66" t="s">
        <v>1533</v>
      </c>
    </row>
    <row r="1092" spans="1:1" x14ac:dyDescent="0.25">
      <c r="A1092" s="66" t="s">
        <v>1534</v>
      </c>
    </row>
    <row r="1093" spans="1:1" x14ac:dyDescent="0.25">
      <c r="A1093" s="66" t="s">
        <v>1535</v>
      </c>
    </row>
    <row r="1094" spans="1:1" x14ac:dyDescent="0.25">
      <c r="A1094" s="66" t="s">
        <v>1536</v>
      </c>
    </row>
    <row r="1095" spans="1:1" x14ac:dyDescent="0.25">
      <c r="A1095" s="66" t="s">
        <v>1537</v>
      </c>
    </row>
    <row r="1096" spans="1:1" x14ac:dyDescent="0.25">
      <c r="A1096" s="66" t="s">
        <v>1538</v>
      </c>
    </row>
    <row r="1097" spans="1:1" x14ac:dyDescent="0.25">
      <c r="A1097" s="66" t="s">
        <v>1539</v>
      </c>
    </row>
    <row r="1098" spans="1:1" x14ac:dyDescent="0.25">
      <c r="A1098" s="66" t="s">
        <v>1540</v>
      </c>
    </row>
    <row r="1099" spans="1:1" x14ac:dyDescent="0.25">
      <c r="A1099" s="66" t="s">
        <v>1541</v>
      </c>
    </row>
    <row r="1100" spans="1:1" x14ac:dyDescent="0.25">
      <c r="A1100" s="66" t="s">
        <v>1542</v>
      </c>
    </row>
    <row r="1101" spans="1:1" x14ac:dyDescent="0.25">
      <c r="A1101" s="66" t="s">
        <v>1543</v>
      </c>
    </row>
    <row r="1102" spans="1:1" x14ac:dyDescent="0.25">
      <c r="A1102" s="66" t="s">
        <v>1544</v>
      </c>
    </row>
    <row r="1103" spans="1:1" x14ac:dyDescent="0.25">
      <c r="A1103" s="66" t="s">
        <v>1545</v>
      </c>
    </row>
    <row r="1104" spans="1:1" x14ac:dyDescent="0.25">
      <c r="A1104" s="66" t="s">
        <v>1546</v>
      </c>
    </row>
    <row r="1105" spans="1:1" x14ac:dyDescent="0.25">
      <c r="A1105" s="66" t="s">
        <v>1547</v>
      </c>
    </row>
    <row r="1106" spans="1:1" x14ac:dyDescent="0.25">
      <c r="A1106" s="66" t="s">
        <v>1548</v>
      </c>
    </row>
    <row r="1107" spans="1:1" x14ac:dyDescent="0.25">
      <c r="A1107" s="66" t="s">
        <v>1549</v>
      </c>
    </row>
    <row r="1108" spans="1:1" x14ac:dyDescent="0.25">
      <c r="A1108" s="66" t="s">
        <v>1550</v>
      </c>
    </row>
    <row r="1109" spans="1:1" x14ac:dyDescent="0.25">
      <c r="A1109" s="66" t="s">
        <v>1551</v>
      </c>
    </row>
    <row r="1110" spans="1:1" x14ac:dyDescent="0.25">
      <c r="A1110" s="66" t="s">
        <v>1552</v>
      </c>
    </row>
    <row r="1111" spans="1:1" x14ac:dyDescent="0.25">
      <c r="A1111" s="66" t="s">
        <v>1553</v>
      </c>
    </row>
    <row r="1112" spans="1:1" x14ac:dyDescent="0.25">
      <c r="A1112" s="66" t="s">
        <v>1554</v>
      </c>
    </row>
    <row r="1113" spans="1:1" x14ac:dyDescent="0.25">
      <c r="A1113" s="66" t="s">
        <v>1555</v>
      </c>
    </row>
    <row r="1114" spans="1:1" x14ac:dyDescent="0.25">
      <c r="A1114" s="66" t="s">
        <v>1556</v>
      </c>
    </row>
    <row r="1115" spans="1:1" x14ac:dyDescent="0.25">
      <c r="A1115" s="66" t="s">
        <v>1557</v>
      </c>
    </row>
    <row r="1116" spans="1:1" x14ac:dyDescent="0.25">
      <c r="A1116" s="66" t="s">
        <v>1558</v>
      </c>
    </row>
    <row r="1117" spans="1:1" x14ac:dyDescent="0.25">
      <c r="A1117" s="66" t="s">
        <v>1559</v>
      </c>
    </row>
    <row r="1118" spans="1:1" x14ac:dyDescent="0.25">
      <c r="A1118" s="66" t="s">
        <v>1560</v>
      </c>
    </row>
    <row r="1119" spans="1:1" x14ac:dyDescent="0.25">
      <c r="A1119" s="66" t="s">
        <v>1561</v>
      </c>
    </row>
    <row r="1120" spans="1:1" x14ac:dyDescent="0.25">
      <c r="A1120" s="66" t="s">
        <v>1562</v>
      </c>
    </row>
    <row r="1121" spans="1:1" x14ac:dyDescent="0.25">
      <c r="A1121" s="66" t="s">
        <v>1563</v>
      </c>
    </row>
    <row r="1122" spans="1:1" x14ac:dyDescent="0.25">
      <c r="A1122" s="66" t="s">
        <v>1564</v>
      </c>
    </row>
    <row r="1123" spans="1:1" x14ac:dyDescent="0.25">
      <c r="A1123" s="66" t="s">
        <v>1565</v>
      </c>
    </row>
    <row r="1124" spans="1:1" x14ac:dyDescent="0.25">
      <c r="A1124" s="66" t="s">
        <v>1566</v>
      </c>
    </row>
    <row r="1125" spans="1:1" x14ac:dyDescent="0.25">
      <c r="A1125" s="66" t="s">
        <v>1567</v>
      </c>
    </row>
    <row r="1126" spans="1:1" x14ac:dyDescent="0.25">
      <c r="A1126" s="56" t="s">
        <v>1568</v>
      </c>
    </row>
    <row r="1127" spans="1:1" x14ac:dyDescent="0.25">
      <c r="A1127" s="56" t="s">
        <v>1569</v>
      </c>
    </row>
    <row r="1128" spans="1:1" x14ac:dyDescent="0.25">
      <c r="A1128" s="66" t="s">
        <v>1570</v>
      </c>
    </row>
    <row r="1129" spans="1:1" x14ac:dyDescent="0.25">
      <c r="A1129" s="56" t="s">
        <v>1571</v>
      </c>
    </row>
    <row r="1130" spans="1:1" x14ac:dyDescent="0.25">
      <c r="A1130" s="66" t="s">
        <v>1572</v>
      </c>
    </row>
    <row r="1131" spans="1:1" x14ac:dyDescent="0.25">
      <c r="A1131" s="56" t="s">
        <v>1573</v>
      </c>
    </row>
    <row r="1132" spans="1:1" x14ac:dyDescent="0.25">
      <c r="A1132" s="66" t="s">
        <v>1574</v>
      </c>
    </row>
    <row r="1133" spans="1:1" x14ac:dyDescent="0.25">
      <c r="A1133" s="66" t="s">
        <v>1575</v>
      </c>
    </row>
    <row r="1134" spans="1:1" x14ac:dyDescent="0.25">
      <c r="A1134" s="66" t="s">
        <v>1576</v>
      </c>
    </row>
    <row r="1135" spans="1:1" x14ac:dyDescent="0.25">
      <c r="A1135" s="66" t="s">
        <v>1577</v>
      </c>
    </row>
    <row r="1136" spans="1:1" x14ac:dyDescent="0.25">
      <c r="A1136" s="66" t="s">
        <v>1578</v>
      </c>
    </row>
    <row r="1137" spans="1:1" x14ac:dyDescent="0.25">
      <c r="A1137" s="66" t="s">
        <v>1579</v>
      </c>
    </row>
    <row r="1138" spans="1:1" x14ac:dyDescent="0.25">
      <c r="A1138" s="66" t="s">
        <v>1580</v>
      </c>
    </row>
    <row r="1139" spans="1:1" x14ac:dyDescent="0.25">
      <c r="A1139" s="66" t="s">
        <v>1581</v>
      </c>
    </row>
    <row r="1140" spans="1:1" x14ac:dyDescent="0.25">
      <c r="A1140" s="66" t="s">
        <v>1582</v>
      </c>
    </row>
    <row r="1141" spans="1:1" x14ac:dyDescent="0.25">
      <c r="A1141" s="66" t="s">
        <v>1583</v>
      </c>
    </row>
    <row r="1142" spans="1:1" x14ac:dyDescent="0.25">
      <c r="A1142" s="66" t="s">
        <v>1584</v>
      </c>
    </row>
    <row r="1143" spans="1:1" x14ac:dyDescent="0.25">
      <c r="A1143" s="66" t="s">
        <v>1585</v>
      </c>
    </row>
    <row r="1144" spans="1:1" x14ac:dyDescent="0.25">
      <c r="A1144" s="66" t="s">
        <v>1586</v>
      </c>
    </row>
    <row r="1145" spans="1:1" x14ac:dyDescent="0.25">
      <c r="A1145" s="66" t="s">
        <v>1587</v>
      </c>
    </row>
    <row r="1146" spans="1:1" x14ac:dyDescent="0.25">
      <c r="A1146" s="66" t="s">
        <v>1588</v>
      </c>
    </row>
    <row r="1147" spans="1:1" x14ac:dyDescent="0.25">
      <c r="A1147" s="66" t="s">
        <v>1589</v>
      </c>
    </row>
    <row r="1148" spans="1:1" x14ac:dyDescent="0.25">
      <c r="A1148" s="66" t="s">
        <v>1590</v>
      </c>
    </row>
    <row r="1149" spans="1:1" x14ac:dyDescent="0.25">
      <c r="A1149" s="66" t="s">
        <v>1591</v>
      </c>
    </row>
    <row r="1150" spans="1:1" x14ac:dyDescent="0.25">
      <c r="A1150" s="66" t="s">
        <v>1592</v>
      </c>
    </row>
    <row r="1151" spans="1:1" x14ac:dyDescent="0.25">
      <c r="A1151" s="66" t="s">
        <v>1593</v>
      </c>
    </row>
    <row r="1152" spans="1:1" x14ac:dyDescent="0.25">
      <c r="A1152" s="66" t="s">
        <v>1594</v>
      </c>
    </row>
    <row r="1153" spans="1:1" x14ac:dyDescent="0.25">
      <c r="A1153" s="66" t="s">
        <v>1595</v>
      </c>
    </row>
    <row r="1154" spans="1:1" x14ac:dyDescent="0.25">
      <c r="A1154" s="66" t="s">
        <v>1596</v>
      </c>
    </row>
    <row r="1155" spans="1:1" x14ac:dyDescent="0.25">
      <c r="A1155" s="66" t="s">
        <v>1597</v>
      </c>
    </row>
    <row r="1156" spans="1:1" x14ac:dyDescent="0.25">
      <c r="A1156" s="66" t="s">
        <v>1598</v>
      </c>
    </row>
    <row r="1157" spans="1:1" x14ac:dyDescent="0.25">
      <c r="A1157" s="66" t="s">
        <v>1599</v>
      </c>
    </row>
    <row r="1158" spans="1:1" x14ac:dyDescent="0.25">
      <c r="A1158" s="66" t="s">
        <v>1600</v>
      </c>
    </row>
    <row r="1159" spans="1:1" x14ac:dyDescent="0.25">
      <c r="A1159" s="56" t="s">
        <v>1601</v>
      </c>
    </row>
    <row r="1160" spans="1:1" x14ac:dyDescent="0.25">
      <c r="A1160" s="66" t="s">
        <v>1602</v>
      </c>
    </row>
    <row r="1161" spans="1:1" x14ac:dyDescent="0.25">
      <c r="A1161" s="56" t="s">
        <v>1603</v>
      </c>
    </row>
    <row r="1162" spans="1:1" x14ac:dyDescent="0.25">
      <c r="A1162" s="66" t="s">
        <v>1604</v>
      </c>
    </row>
    <row r="1163" spans="1:1" x14ac:dyDescent="0.25">
      <c r="A1163" s="66" t="s">
        <v>1605</v>
      </c>
    </row>
    <row r="1164" spans="1:1" x14ac:dyDescent="0.25">
      <c r="A1164" s="66" t="s">
        <v>1606</v>
      </c>
    </row>
    <row r="1165" spans="1:1" x14ac:dyDescent="0.25">
      <c r="A1165" s="66" t="s">
        <v>1607</v>
      </c>
    </row>
    <row r="1166" spans="1:1" x14ac:dyDescent="0.25">
      <c r="A1166" s="66" t="s">
        <v>1608</v>
      </c>
    </row>
    <row r="1167" spans="1:1" x14ac:dyDescent="0.25">
      <c r="A1167" s="66" t="s">
        <v>1609</v>
      </c>
    </row>
    <row r="1168" spans="1:1" x14ac:dyDescent="0.25">
      <c r="A1168" s="66" t="s">
        <v>1610</v>
      </c>
    </row>
    <row r="1169" spans="1:1" x14ac:dyDescent="0.25">
      <c r="A1169" s="66" t="s">
        <v>1611</v>
      </c>
    </row>
    <row r="1170" spans="1:1" x14ac:dyDescent="0.25">
      <c r="A1170" s="66" t="s">
        <v>1612</v>
      </c>
    </row>
    <row r="1171" spans="1:1" x14ac:dyDescent="0.25">
      <c r="A1171" s="66" t="s">
        <v>1613</v>
      </c>
    </row>
    <row r="1172" spans="1:1" x14ac:dyDescent="0.25">
      <c r="A1172" s="66" t="s">
        <v>1614</v>
      </c>
    </row>
    <row r="1173" spans="1:1" x14ac:dyDescent="0.25">
      <c r="A1173" s="66" t="s">
        <v>1615</v>
      </c>
    </row>
    <row r="1174" spans="1:1" x14ac:dyDescent="0.25">
      <c r="A1174" s="66" t="s">
        <v>1616</v>
      </c>
    </row>
    <row r="1175" spans="1:1" x14ac:dyDescent="0.25">
      <c r="A1175" s="66" t="s">
        <v>1617</v>
      </c>
    </row>
    <row r="1176" spans="1:1" x14ac:dyDescent="0.25">
      <c r="A1176" s="66" t="s">
        <v>1618</v>
      </c>
    </row>
    <row r="1177" spans="1:1" x14ac:dyDescent="0.25">
      <c r="A1177" s="66" t="s">
        <v>1619</v>
      </c>
    </row>
    <row r="1178" spans="1:1" x14ac:dyDescent="0.25">
      <c r="A1178" s="66" t="s">
        <v>1620</v>
      </c>
    </row>
    <row r="1179" spans="1:1" x14ac:dyDescent="0.25">
      <c r="A1179" s="66" t="s">
        <v>1621</v>
      </c>
    </row>
    <row r="1180" spans="1:1" x14ac:dyDescent="0.25">
      <c r="A1180" s="66" t="s">
        <v>1622</v>
      </c>
    </row>
    <row r="1181" spans="1:1" x14ac:dyDescent="0.25">
      <c r="A1181" s="66" t="s">
        <v>1623</v>
      </c>
    </row>
    <row r="1182" spans="1:1" x14ac:dyDescent="0.25">
      <c r="A1182" s="66" t="s">
        <v>1624</v>
      </c>
    </row>
    <row r="1183" spans="1:1" x14ac:dyDescent="0.25">
      <c r="A1183" s="66" t="s">
        <v>1625</v>
      </c>
    </row>
    <row r="1184" spans="1:1" x14ac:dyDescent="0.25">
      <c r="A1184" s="66" t="s">
        <v>1626</v>
      </c>
    </row>
    <row r="1185" spans="1:1" x14ac:dyDescent="0.25">
      <c r="A1185" s="66" t="s">
        <v>1627</v>
      </c>
    </row>
    <row r="1186" spans="1:1" x14ac:dyDescent="0.25">
      <c r="A1186" s="66" t="s">
        <v>1628</v>
      </c>
    </row>
    <row r="1187" spans="1:1" x14ac:dyDescent="0.25">
      <c r="A1187" s="66" t="s">
        <v>1629</v>
      </c>
    </row>
    <row r="1188" spans="1:1" x14ac:dyDescent="0.25">
      <c r="A1188" s="66" t="s">
        <v>1630</v>
      </c>
    </row>
    <row r="1189" spans="1:1" x14ac:dyDescent="0.25">
      <c r="A1189" s="66" t="s">
        <v>1631</v>
      </c>
    </row>
    <row r="1190" spans="1:1" x14ac:dyDescent="0.25">
      <c r="A1190" s="66" t="s">
        <v>1632</v>
      </c>
    </row>
    <row r="1191" spans="1:1" x14ac:dyDescent="0.25">
      <c r="A1191" s="66" t="s">
        <v>1633</v>
      </c>
    </row>
    <row r="1192" spans="1:1" x14ac:dyDescent="0.25">
      <c r="A1192" s="66" t="s">
        <v>1634</v>
      </c>
    </row>
    <row r="1193" spans="1:1" x14ac:dyDescent="0.25">
      <c r="A1193" s="66" t="s">
        <v>1635</v>
      </c>
    </row>
    <row r="1194" spans="1:1" x14ac:dyDescent="0.25">
      <c r="A1194" s="56" t="s">
        <v>1636</v>
      </c>
    </row>
    <row r="1195" spans="1:1" x14ac:dyDescent="0.25">
      <c r="A1195" s="66" t="s">
        <v>1637</v>
      </c>
    </row>
    <row r="1196" spans="1:1" x14ac:dyDescent="0.25">
      <c r="A1196" s="56" t="s">
        <v>1638</v>
      </c>
    </row>
    <row r="1197" spans="1:1" x14ac:dyDescent="0.25">
      <c r="A1197" s="66" t="s">
        <v>1639</v>
      </c>
    </row>
    <row r="1198" spans="1:1" x14ac:dyDescent="0.25">
      <c r="A1198" s="66" t="s">
        <v>1640</v>
      </c>
    </row>
    <row r="1199" spans="1:1" x14ac:dyDescent="0.25">
      <c r="A1199" s="66" t="s">
        <v>1641</v>
      </c>
    </row>
    <row r="1200" spans="1:1" x14ac:dyDescent="0.25">
      <c r="A1200" s="66" t="s">
        <v>1642</v>
      </c>
    </row>
    <row r="1201" spans="1:1" x14ac:dyDescent="0.25">
      <c r="A1201" s="66" t="s">
        <v>1643</v>
      </c>
    </row>
    <row r="1202" spans="1:1" x14ac:dyDescent="0.25">
      <c r="A1202" s="66" t="s">
        <v>1644</v>
      </c>
    </row>
    <row r="1203" spans="1:1" x14ac:dyDescent="0.25">
      <c r="A1203" s="66" t="s">
        <v>1645</v>
      </c>
    </row>
    <row r="1204" spans="1:1" x14ac:dyDescent="0.25">
      <c r="A1204" s="66" t="s">
        <v>1646</v>
      </c>
    </row>
    <row r="1205" spans="1:1" x14ac:dyDescent="0.25">
      <c r="A1205" s="66" t="s">
        <v>1647</v>
      </c>
    </row>
    <row r="1206" spans="1:1" x14ac:dyDescent="0.25">
      <c r="A1206" s="66" t="s">
        <v>1648</v>
      </c>
    </row>
    <row r="1207" spans="1:1" x14ac:dyDescent="0.25">
      <c r="A1207" s="66" t="s">
        <v>1649</v>
      </c>
    </row>
    <row r="1208" spans="1:1" x14ac:dyDescent="0.25">
      <c r="A1208" s="66" t="s">
        <v>1650</v>
      </c>
    </row>
    <row r="1209" spans="1:1" x14ac:dyDescent="0.25">
      <c r="A1209" s="66" t="s">
        <v>1651</v>
      </c>
    </row>
    <row r="1210" spans="1:1" x14ac:dyDescent="0.25">
      <c r="A1210" s="66" t="s">
        <v>1652</v>
      </c>
    </row>
    <row r="1211" spans="1:1" x14ac:dyDescent="0.25">
      <c r="A1211" s="66" t="s">
        <v>1653</v>
      </c>
    </row>
    <row r="1212" spans="1:1" x14ac:dyDescent="0.25">
      <c r="A1212" s="66" t="s">
        <v>1654</v>
      </c>
    </row>
    <row r="1213" spans="1:1" x14ac:dyDescent="0.25">
      <c r="A1213" s="66" t="s">
        <v>1655</v>
      </c>
    </row>
    <row r="1214" spans="1:1" x14ac:dyDescent="0.25">
      <c r="A1214" s="66" t="s">
        <v>1656</v>
      </c>
    </row>
    <row r="1215" spans="1:1" x14ac:dyDescent="0.25">
      <c r="A1215" s="66" t="s">
        <v>1657</v>
      </c>
    </row>
    <row r="1216" spans="1:1" x14ac:dyDescent="0.25">
      <c r="A1216" s="66" t="s">
        <v>1658</v>
      </c>
    </row>
    <row r="1217" spans="1:1" x14ac:dyDescent="0.25">
      <c r="A1217" s="66" t="s">
        <v>1659</v>
      </c>
    </row>
    <row r="1218" spans="1:1" x14ac:dyDescent="0.25">
      <c r="A1218" s="66" t="s">
        <v>1660</v>
      </c>
    </row>
    <row r="1219" spans="1:1" x14ac:dyDescent="0.25">
      <c r="A1219" s="66" t="s">
        <v>1661</v>
      </c>
    </row>
    <row r="1220" spans="1:1" x14ac:dyDescent="0.25">
      <c r="A1220" s="66" t="s">
        <v>1662</v>
      </c>
    </row>
    <row r="1221" spans="1:1" x14ac:dyDescent="0.25">
      <c r="A1221" s="66" t="s">
        <v>1663</v>
      </c>
    </row>
    <row r="1222" spans="1:1" x14ac:dyDescent="0.25">
      <c r="A1222" s="66" t="s">
        <v>1664</v>
      </c>
    </row>
    <row r="1223" spans="1:1" x14ac:dyDescent="0.25">
      <c r="A1223" s="66" t="s">
        <v>1665</v>
      </c>
    </row>
    <row r="1224" spans="1:1" x14ac:dyDescent="0.25">
      <c r="A1224" s="66" t="s">
        <v>1666</v>
      </c>
    </row>
    <row r="1225" spans="1:1" x14ac:dyDescent="0.25">
      <c r="A1225" s="66" t="s">
        <v>1667</v>
      </c>
    </row>
    <row r="1226" spans="1:1" x14ac:dyDescent="0.25">
      <c r="A1226" s="66" t="s">
        <v>1668</v>
      </c>
    </row>
    <row r="1227" spans="1:1" x14ac:dyDescent="0.25">
      <c r="A1227" s="66" t="s">
        <v>1669</v>
      </c>
    </row>
    <row r="1228" spans="1:1" x14ac:dyDescent="0.25">
      <c r="A1228" s="66" t="s">
        <v>1670</v>
      </c>
    </row>
    <row r="1229" spans="1:1" x14ac:dyDescent="0.25">
      <c r="A1229" s="66" t="s">
        <v>1671</v>
      </c>
    </row>
    <row r="1230" spans="1:1" x14ac:dyDescent="0.25">
      <c r="A1230" s="66" t="s">
        <v>1672</v>
      </c>
    </row>
    <row r="1231" spans="1:1" x14ac:dyDescent="0.25">
      <c r="A1231" s="66" t="s">
        <v>1673</v>
      </c>
    </row>
    <row r="1232" spans="1:1" x14ac:dyDescent="0.25">
      <c r="A1232" s="66" t="s">
        <v>1674</v>
      </c>
    </row>
    <row r="1233" spans="1:1" x14ac:dyDescent="0.25">
      <c r="A1233" s="66" t="s">
        <v>1675</v>
      </c>
    </row>
    <row r="1234" spans="1:1" x14ac:dyDescent="0.25">
      <c r="A1234" s="66" t="s">
        <v>1676</v>
      </c>
    </row>
    <row r="1235" spans="1:1" x14ac:dyDescent="0.25">
      <c r="A1235" s="66" t="s">
        <v>1677</v>
      </c>
    </row>
    <row r="1236" spans="1:1" x14ac:dyDescent="0.25">
      <c r="A1236" s="66" t="s">
        <v>1678</v>
      </c>
    </row>
    <row r="1237" spans="1:1" x14ac:dyDescent="0.25">
      <c r="A1237" s="66" t="s">
        <v>1679</v>
      </c>
    </row>
    <row r="1238" spans="1:1" x14ac:dyDescent="0.25">
      <c r="A1238" s="66" t="s">
        <v>1680</v>
      </c>
    </row>
    <row r="1239" spans="1:1" x14ac:dyDescent="0.25">
      <c r="A1239" s="66" t="s">
        <v>1681</v>
      </c>
    </row>
    <row r="1240" spans="1:1" x14ac:dyDescent="0.25">
      <c r="A1240" s="66" t="s">
        <v>1682</v>
      </c>
    </row>
    <row r="1241" spans="1:1" x14ac:dyDescent="0.25">
      <c r="A1241" s="66" t="s">
        <v>1683</v>
      </c>
    </row>
    <row r="1242" spans="1:1" x14ac:dyDescent="0.25">
      <c r="A1242" s="66" t="s">
        <v>1684</v>
      </c>
    </row>
    <row r="1243" spans="1:1" x14ac:dyDescent="0.25">
      <c r="A1243" s="56" t="s">
        <v>1685</v>
      </c>
    </row>
    <row r="1244" spans="1:1" x14ac:dyDescent="0.25">
      <c r="A1244" s="66" t="s">
        <v>1686</v>
      </c>
    </row>
    <row r="1245" spans="1:1" x14ac:dyDescent="0.25">
      <c r="A1245" s="56" t="s">
        <v>1687</v>
      </c>
    </row>
    <row r="1246" spans="1:1" x14ac:dyDescent="0.25">
      <c r="A1246" s="66" t="s">
        <v>1688</v>
      </c>
    </row>
    <row r="1247" spans="1:1" x14ac:dyDescent="0.25">
      <c r="A1247" s="56" t="s">
        <v>1689</v>
      </c>
    </row>
    <row r="1248" spans="1:1" x14ac:dyDescent="0.25">
      <c r="A1248" s="66" t="s">
        <v>1690</v>
      </c>
    </row>
    <row r="1249" spans="1:1" x14ac:dyDescent="0.25">
      <c r="A1249" s="56" t="s">
        <v>1691</v>
      </c>
    </row>
    <row r="1250" spans="1:1" x14ac:dyDescent="0.25">
      <c r="A1250" s="66" t="s">
        <v>1692</v>
      </c>
    </row>
    <row r="1251" spans="1:1" x14ac:dyDescent="0.25">
      <c r="A1251" s="66" t="s">
        <v>1693</v>
      </c>
    </row>
    <row r="1252" spans="1:1" x14ac:dyDescent="0.25">
      <c r="A1252" s="66" t="s">
        <v>1694</v>
      </c>
    </row>
    <row r="1253" spans="1:1" x14ac:dyDescent="0.25">
      <c r="A1253" s="66" t="s">
        <v>1695</v>
      </c>
    </row>
    <row r="1254" spans="1:1" x14ac:dyDescent="0.25">
      <c r="A1254" s="66" t="s">
        <v>1696</v>
      </c>
    </row>
    <row r="1255" spans="1:1" x14ac:dyDescent="0.25">
      <c r="A1255" s="66" t="s">
        <v>1697</v>
      </c>
    </row>
    <row r="1256" spans="1:1" x14ac:dyDescent="0.25">
      <c r="A1256" s="66" t="s">
        <v>1698</v>
      </c>
    </row>
    <row r="1257" spans="1:1" x14ac:dyDescent="0.25">
      <c r="A1257" s="66" t="s">
        <v>1699</v>
      </c>
    </row>
    <row r="1258" spans="1:1" x14ac:dyDescent="0.25">
      <c r="A1258" s="66" t="s">
        <v>1700</v>
      </c>
    </row>
    <row r="1259" spans="1:1" x14ac:dyDescent="0.25">
      <c r="A1259" s="66" t="s">
        <v>1701</v>
      </c>
    </row>
    <row r="1260" spans="1:1" x14ac:dyDescent="0.25">
      <c r="A1260" s="66" t="s">
        <v>1702</v>
      </c>
    </row>
    <row r="1261" spans="1:1" x14ac:dyDescent="0.25">
      <c r="A1261" s="66" t="s">
        <v>1703</v>
      </c>
    </row>
    <row r="1262" spans="1:1" x14ac:dyDescent="0.25">
      <c r="A1262" s="66" t="s">
        <v>1704</v>
      </c>
    </row>
    <row r="1263" spans="1:1" x14ac:dyDescent="0.25">
      <c r="A1263" s="66" t="s">
        <v>1705</v>
      </c>
    </row>
    <row r="1264" spans="1:1" x14ac:dyDescent="0.25">
      <c r="A1264" s="66" t="s">
        <v>1706</v>
      </c>
    </row>
    <row r="1265" spans="1:1" x14ac:dyDescent="0.25">
      <c r="A1265" s="66" t="s">
        <v>1707</v>
      </c>
    </row>
    <row r="1266" spans="1:1" x14ac:dyDescent="0.25">
      <c r="A1266" s="66" t="s">
        <v>1708</v>
      </c>
    </row>
    <row r="1267" spans="1:1" x14ac:dyDescent="0.25">
      <c r="A1267" s="66" t="s">
        <v>1709</v>
      </c>
    </row>
    <row r="1268" spans="1:1" x14ac:dyDescent="0.25">
      <c r="A1268" s="66" t="s">
        <v>1710</v>
      </c>
    </row>
    <row r="1269" spans="1:1" x14ac:dyDescent="0.25">
      <c r="A1269" s="66" t="s">
        <v>1711</v>
      </c>
    </row>
    <row r="1270" spans="1:1" x14ac:dyDescent="0.25">
      <c r="A1270" s="66" t="s">
        <v>1712</v>
      </c>
    </row>
    <row r="1271" spans="1:1" x14ac:dyDescent="0.25">
      <c r="A1271" s="66" t="s">
        <v>1713</v>
      </c>
    </row>
    <row r="1272" spans="1:1" x14ac:dyDescent="0.25">
      <c r="A1272" s="66" t="s">
        <v>1714</v>
      </c>
    </row>
    <row r="1273" spans="1:1" x14ac:dyDescent="0.25">
      <c r="A1273" s="66" t="s">
        <v>1715</v>
      </c>
    </row>
    <row r="1274" spans="1:1" x14ac:dyDescent="0.25">
      <c r="A1274" s="66" t="s">
        <v>1716</v>
      </c>
    </row>
    <row r="1275" spans="1:1" x14ac:dyDescent="0.25">
      <c r="A1275" s="66" t="s">
        <v>1717</v>
      </c>
    </row>
    <row r="1276" spans="1:1" x14ac:dyDescent="0.25">
      <c r="A1276" s="66" t="s">
        <v>1718</v>
      </c>
    </row>
    <row r="1277" spans="1:1" x14ac:dyDescent="0.25">
      <c r="A1277" s="66" t="s">
        <v>1719</v>
      </c>
    </row>
    <row r="1278" spans="1:1" x14ac:dyDescent="0.25">
      <c r="A1278" s="66" t="s">
        <v>1720</v>
      </c>
    </row>
    <row r="1279" spans="1:1" x14ac:dyDescent="0.25">
      <c r="A1279" s="66" t="s">
        <v>1721</v>
      </c>
    </row>
    <row r="1280" spans="1:1" x14ac:dyDescent="0.25">
      <c r="A1280" s="66" t="s">
        <v>1722</v>
      </c>
    </row>
    <row r="1281" spans="1:1" x14ac:dyDescent="0.25">
      <c r="A1281" s="66" t="s">
        <v>1723</v>
      </c>
    </row>
    <row r="1282" spans="1:1" x14ac:dyDescent="0.25">
      <c r="A1282" s="66" t="s">
        <v>1724</v>
      </c>
    </row>
    <row r="1283" spans="1:1" x14ac:dyDescent="0.25">
      <c r="A1283" s="66" t="s">
        <v>1725</v>
      </c>
    </row>
    <row r="1284" spans="1:1" x14ac:dyDescent="0.25">
      <c r="A1284" s="66" t="s">
        <v>1726</v>
      </c>
    </row>
    <row r="1285" spans="1:1" x14ac:dyDescent="0.25">
      <c r="A1285" s="66" t="s">
        <v>1727</v>
      </c>
    </row>
    <row r="1286" spans="1:1" x14ac:dyDescent="0.25">
      <c r="A1286" s="66" t="s">
        <v>1728</v>
      </c>
    </row>
    <row r="1287" spans="1:1" x14ac:dyDescent="0.25">
      <c r="A1287" s="66" t="s">
        <v>1729</v>
      </c>
    </row>
    <row r="1288" spans="1:1" x14ac:dyDescent="0.25">
      <c r="A1288" s="66" t="s">
        <v>1730</v>
      </c>
    </row>
    <row r="1289" spans="1:1" x14ac:dyDescent="0.25">
      <c r="A1289" s="66" t="s">
        <v>1731</v>
      </c>
    </row>
    <row r="1290" spans="1:1" x14ac:dyDescent="0.25">
      <c r="A1290" s="66" t="s">
        <v>1732</v>
      </c>
    </row>
    <row r="1291" spans="1:1" x14ac:dyDescent="0.25">
      <c r="A1291" s="66" t="s">
        <v>1733</v>
      </c>
    </row>
    <row r="1292" spans="1:1" x14ac:dyDescent="0.25">
      <c r="A1292" s="66" t="s">
        <v>1734</v>
      </c>
    </row>
    <row r="1293" spans="1:1" x14ac:dyDescent="0.25">
      <c r="A1293" s="66" t="s">
        <v>1735</v>
      </c>
    </row>
    <row r="1294" spans="1:1" x14ac:dyDescent="0.25">
      <c r="A1294" s="66" t="s">
        <v>1736</v>
      </c>
    </row>
    <row r="1295" spans="1:1" x14ac:dyDescent="0.25">
      <c r="A1295" s="66" t="s">
        <v>1737</v>
      </c>
    </row>
    <row r="1296" spans="1:1" x14ac:dyDescent="0.25">
      <c r="A1296" s="66" t="s">
        <v>1738</v>
      </c>
    </row>
    <row r="1297" spans="1:1" x14ac:dyDescent="0.25">
      <c r="A1297" s="66" t="s">
        <v>1739</v>
      </c>
    </row>
    <row r="1298" spans="1:1" x14ac:dyDescent="0.25">
      <c r="A1298" s="66" t="s">
        <v>1740</v>
      </c>
    </row>
    <row r="1299" spans="1:1" x14ac:dyDescent="0.25">
      <c r="A1299" s="66" t="s">
        <v>1741</v>
      </c>
    </row>
    <row r="1300" spans="1:1" x14ac:dyDescent="0.25">
      <c r="A1300" s="66" t="s">
        <v>1742</v>
      </c>
    </row>
    <row r="1301" spans="1:1" x14ac:dyDescent="0.25">
      <c r="A1301" s="66" t="s">
        <v>1743</v>
      </c>
    </row>
    <row r="1302" spans="1:1" x14ac:dyDescent="0.25">
      <c r="A1302" s="66" t="s">
        <v>1744</v>
      </c>
    </row>
    <row r="1303" spans="1:1" x14ac:dyDescent="0.25">
      <c r="A1303" s="66" t="s">
        <v>1745</v>
      </c>
    </row>
    <row r="1304" spans="1:1" x14ac:dyDescent="0.25">
      <c r="A1304" s="66" t="s">
        <v>1746</v>
      </c>
    </row>
    <row r="1305" spans="1:1" x14ac:dyDescent="0.25">
      <c r="A1305" s="66" t="s">
        <v>1747</v>
      </c>
    </row>
    <row r="1306" spans="1:1" x14ac:dyDescent="0.25">
      <c r="A1306" s="66" t="s">
        <v>1748</v>
      </c>
    </row>
    <row r="1307" spans="1:1" x14ac:dyDescent="0.25">
      <c r="A1307" s="66" t="s">
        <v>1749</v>
      </c>
    </row>
    <row r="1308" spans="1:1" x14ac:dyDescent="0.25">
      <c r="A1308" s="66" t="s">
        <v>1750</v>
      </c>
    </row>
    <row r="1309" spans="1:1" x14ac:dyDescent="0.25">
      <c r="A1309" s="66" t="s">
        <v>1751</v>
      </c>
    </row>
    <row r="1310" spans="1:1" x14ac:dyDescent="0.25">
      <c r="A1310" s="66" t="s">
        <v>1752</v>
      </c>
    </row>
    <row r="1311" spans="1:1" x14ac:dyDescent="0.25">
      <c r="A1311" s="66" t="s">
        <v>1753</v>
      </c>
    </row>
    <row r="1312" spans="1:1" x14ac:dyDescent="0.25">
      <c r="A1312" s="66" t="s">
        <v>1754</v>
      </c>
    </row>
    <row r="1313" spans="1:1" x14ac:dyDescent="0.25">
      <c r="A1313" s="56" t="s">
        <v>1755</v>
      </c>
    </row>
    <row r="1314" spans="1:1" x14ac:dyDescent="0.25">
      <c r="A1314" s="66" t="s">
        <v>1756</v>
      </c>
    </row>
    <row r="1315" spans="1:1" x14ac:dyDescent="0.25">
      <c r="A1315" s="56" t="s">
        <v>1757</v>
      </c>
    </row>
    <row r="1316" spans="1:1" x14ac:dyDescent="0.25">
      <c r="A1316" s="66" t="s">
        <v>1758</v>
      </c>
    </row>
    <row r="1317" spans="1:1" x14ac:dyDescent="0.25">
      <c r="A1317" s="56" t="s">
        <v>1759</v>
      </c>
    </row>
    <row r="1318" spans="1:1" x14ac:dyDescent="0.25">
      <c r="A1318" s="66" t="s">
        <v>1760</v>
      </c>
    </row>
    <row r="1319" spans="1:1" x14ac:dyDescent="0.25">
      <c r="A1319" s="56" t="s">
        <v>1761</v>
      </c>
    </row>
    <row r="1320" spans="1:1" x14ac:dyDescent="0.25">
      <c r="A1320" s="66" t="s">
        <v>1762</v>
      </c>
    </row>
    <row r="1321" spans="1:1" x14ac:dyDescent="0.25">
      <c r="A1321" s="66" t="s">
        <v>1763</v>
      </c>
    </row>
    <row r="1322" spans="1:1" x14ac:dyDescent="0.25">
      <c r="A1322" s="66" t="s">
        <v>1764</v>
      </c>
    </row>
    <row r="1323" spans="1:1" x14ac:dyDescent="0.25">
      <c r="A1323" s="66" t="s">
        <v>1765</v>
      </c>
    </row>
    <row r="1324" spans="1:1" x14ac:dyDescent="0.25">
      <c r="A1324" s="66" t="s">
        <v>1766</v>
      </c>
    </row>
    <row r="1325" spans="1:1" x14ac:dyDescent="0.25">
      <c r="A1325" s="66" t="s">
        <v>1767</v>
      </c>
    </row>
    <row r="1326" spans="1:1" x14ac:dyDescent="0.25">
      <c r="A1326" s="66" t="s">
        <v>1768</v>
      </c>
    </row>
    <row r="1327" spans="1:1" x14ac:dyDescent="0.25">
      <c r="A1327" s="66" t="s">
        <v>1769</v>
      </c>
    </row>
    <row r="1328" spans="1:1" x14ac:dyDescent="0.25">
      <c r="A1328" s="66" t="s">
        <v>1770</v>
      </c>
    </row>
    <row r="1329" spans="1:1" x14ac:dyDescent="0.25">
      <c r="A1329" s="66" t="s">
        <v>1771</v>
      </c>
    </row>
    <row r="1330" spans="1:1" x14ac:dyDescent="0.25">
      <c r="A1330" s="66" t="s">
        <v>1772</v>
      </c>
    </row>
    <row r="1331" spans="1:1" x14ac:dyDescent="0.25">
      <c r="A1331" s="66" t="s">
        <v>1773</v>
      </c>
    </row>
    <row r="1332" spans="1:1" x14ac:dyDescent="0.25">
      <c r="A1332" s="66" t="s">
        <v>1774</v>
      </c>
    </row>
    <row r="1333" spans="1:1" x14ac:dyDescent="0.25">
      <c r="A1333" s="66" t="s">
        <v>1775</v>
      </c>
    </row>
    <row r="1334" spans="1:1" x14ac:dyDescent="0.25">
      <c r="A1334" s="66" t="s">
        <v>1776</v>
      </c>
    </row>
    <row r="1335" spans="1:1" x14ac:dyDescent="0.25">
      <c r="A1335" s="66" t="s">
        <v>1777</v>
      </c>
    </row>
    <row r="1336" spans="1:1" x14ac:dyDescent="0.25">
      <c r="A1336" s="66" t="s">
        <v>1778</v>
      </c>
    </row>
    <row r="1337" spans="1:1" x14ac:dyDescent="0.25">
      <c r="A1337" s="66" t="s">
        <v>1779</v>
      </c>
    </row>
    <row r="1338" spans="1:1" x14ac:dyDescent="0.25">
      <c r="A1338" s="66" t="s">
        <v>1780</v>
      </c>
    </row>
    <row r="1339" spans="1:1" x14ac:dyDescent="0.25">
      <c r="A1339" s="66" t="s">
        <v>1781</v>
      </c>
    </row>
    <row r="1340" spans="1:1" x14ac:dyDescent="0.25">
      <c r="A1340" s="66" t="s">
        <v>1782</v>
      </c>
    </row>
    <row r="1341" spans="1:1" x14ac:dyDescent="0.25">
      <c r="A1341" s="66" t="s">
        <v>1783</v>
      </c>
    </row>
    <row r="1342" spans="1:1" x14ac:dyDescent="0.25">
      <c r="A1342" s="66" t="s">
        <v>1784</v>
      </c>
    </row>
    <row r="1343" spans="1:1" x14ac:dyDescent="0.25">
      <c r="A1343" s="66" t="s">
        <v>1785</v>
      </c>
    </row>
    <row r="1344" spans="1:1" x14ac:dyDescent="0.25">
      <c r="A1344" s="66" t="s">
        <v>1786</v>
      </c>
    </row>
    <row r="1345" spans="1:1" x14ac:dyDescent="0.25">
      <c r="A1345" s="66" t="s">
        <v>1787</v>
      </c>
    </row>
    <row r="1346" spans="1:1" x14ac:dyDescent="0.25">
      <c r="A1346" s="66" t="s">
        <v>1788</v>
      </c>
    </row>
    <row r="1347" spans="1:1" x14ac:dyDescent="0.25">
      <c r="A1347" s="66" t="s">
        <v>1789</v>
      </c>
    </row>
    <row r="1348" spans="1:1" x14ac:dyDescent="0.25">
      <c r="A1348" s="66" t="s">
        <v>1790</v>
      </c>
    </row>
    <row r="1349" spans="1:1" x14ac:dyDescent="0.25">
      <c r="A1349" s="66" t="s">
        <v>1791</v>
      </c>
    </row>
    <row r="1350" spans="1:1" x14ac:dyDescent="0.25">
      <c r="A1350" s="66" t="s">
        <v>1792</v>
      </c>
    </row>
    <row r="1351" spans="1:1" x14ac:dyDescent="0.25">
      <c r="A1351" s="66" t="s">
        <v>1793</v>
      </c>
    </row>
    <row r="1352" spans="1:1" x14ac:dyDescent="0.25">
      <c r="A1352" s="66" t="s">
        <v>1794</v>
      </c>
    </row>
    <row r="1353" spans="1:1" x14ac:dyDescent="0.25">
      <c r="A1353" s="66" t="s">
        <v>1795</v>
      </c>
    </row>
    <row r="1354" spans="1:1" x14ac:dyDescent="0.25">
      <c r="A1354" s="66" t="s">
        <v>1796</v>
      </c>
    </row>
    <row r="1355" spans="1:1" x14ac:dyDescent="0.25">
      <c r="A1355" s="66" t="s">
        <v>1797</v>
      </c>
    </row>
    <row r="1356" spans="1:1" x14ac:dyDescent="0.25">
      <c r="A1356" s="66" t="s">
        <v>1798</v>
      </c>
    </row>
    <row r="1357" spans="1:1" x14ac:dyDescent="0.25">
      <c r="A1357" s="66" t="s">
        <v>1799</v>
      </c>
    </row>
    <row r="1358" spans="1:1" x14ac:dyDescent="0.25">
      <c r="A1358" s="66" t="s">
        <v>1800</v>
      </c>
    </row>
    <row r="1359" spans="1:1" x14ac:dyDescent="0.25">
      <c r="A1359" s="66" t="s">
        <v>1801</v>
      </c>
    </row>
    <row r="1360" spans="1:1" x14ac:dyDescent="0.25">
      <c r="A1360" s="66" t="s">
        <v>1802</v>
      </c>
    </row>
    <row r="1361" spans="1:1" x14ac:dyDescent="0.25">
      <c r="A1361" s="66" t="s">
        <v>1803</v>
      </c>
    </row>
    <row r="1362" spans="1:1" x14ac:dyDescent="0.25">
      <c r="A1362" s="66" t="s">
        <v>1804</v>
      </c>
    </row>
    <row r="1363" spans="1:1" x14ac:dyDescent="0.25">
      <c r="A1363" s="66" t="s">
        <v>1805</v>
      </c>
    </row>
    <row r="1364" spans="1:1" x14ac:dyDescent="0.25">
      <c r="A1364" s="66" t="s">
        <v>1806</v>
      </c>
    </row>
    <row r="1365" spans="1:1" x14ac:dyDescent="0.25">
      <c r="A1365" s="66" t="s">
        <v>1807</v>
      </c>
    </row>
    <row r="1366" spans="1:1" x14ac:dyDescent="0.25">
      <c r="A1366" s="66" t="s">
        <v>1808</v>
      </c>
    </row>
    <row r="1367" spans="1:1" x14ac:dyDescent="0.25">
      <c r="A1367" s="66" t="s">
        <v>1809</v>
      </c>
    </row>
    <row r="1368" spans="1:1" x14ac:dyDescent="0.25">
      <c r="A1368" s="66" t="s">
        <v>1810</v>
      </c>
    </row>
    <row r="1369" spans="1:1" x14ac:dyDescent="0.25">
      <c r="A1369" s="66" t="s">
        <v>1811</v>
      </c>
    </row>
    <row r="1370" spans="1:1" x14ac:dyDescent="0.25">
      <c r="A1370" s="66" t="s">
        <v>1812</v>
      </c>
    </row>
    <row r="1371" spans="1:1" x14ac:dyDescent="0.25">
      <c r="A1371" s="66" t="s">
        <v>1813</v>
      </c>
    </row>
    <row r="1372" spans="1:1" x14ac:dyDescent="0.25">
      <c r="A1372" s="66" t="s">
        <v>1814</v>
      </c>
    </row>
    <row r="1373" spans="1:1" x14ac:dyDescent="0.25">
      <c r="A1373" s="66" t="s">
        <v>1815</v>
      </c>
    </row>
    <row r="1374" spans="1:1" x14ac:dyDescent="0.25">
      <c r="A1374" s="66" t="s">
        <v>1816</v>
      </c>
    </row>
    <row r="1375" spans="1:1" x14ac:dyDescent="0.25">
      <c r="A1375" s="66" t="s">
        <v>1817</v>
      </c>
    </row>
    <row r="1376" spans="1:1" x14ac:dyDescent="0.25">
      <c r="A1376" s="66" t="s">
        <v>1818</v>
      </c>
    </row>
    <row r="1377" spans="1:1" x14ac:dyDescent="0.25">
      <c r="A1377" s="66" t="s">
        <v>1819</v>
      </c>
    </row>
    <row r="1378" spans="1:1" x14ac:dyDescent="0.25">
      <c r="A1378" s="66" t="s">
        <v>1820</v>
      </c>
    </row>
    <row r="1379" spans="1:1" x14ac:dyDescent="0.25">
      <c r="A1379" s="66" t="s">
        <v>1821</v>
      </c>
    </row>
    <row r="1380" spans="1:1" x14ac:dyDescent="0.25">
      <c r="A1380" s="66" t="s">
        <v>1822</v>
      </c>
    </row>
    <row r="1381" spans="1:1" x14ac:dyDescent="0.25">
      <c r="A1381" s="66" t="s">
        <v>1823</v>
      </c>
    </row>
    <row r="1382" spans="1:1" x14ac:dyDescent="0.25">
      <c r="A1382" s="66" t="s">
        <v>1824</v>
      </c>
    </row>
    <row r="1383" spans="1:1" x14ac:dyDescent="0.25">
      <c r="A1383" s="66" t="s">
        <v>1825</v>
      </c>
    </row>
    <row r="1384" spans="1:1" x14ac:dyDescent="0.25">
      <c r="A1384" s="66" t="s">
        <v>1826</v>
      </c>
    </row>
    <row r="1385" spans="1:1" x14ac:dyDescent="0.25">
      <c r="A1385" s="66" t="s">
        <v>1827</v>
      </c>
    </row>
    <row r="1386" spans="1:1" x14ac:dyDescent="0.25">
      <c r="A1386" s="66" t="s">
        <v>1828</v>
      </c>
    </row>
    <row r="1387" spans="1:1" x14ac:dyDescent="0.25">
      <c r="A1387" s="66" t="s">
        <v>1829</v>
      </c>
    </row>
    <row r="1388" spans="1:1" x14ac:dyDescent="0.25">
      <c r="A1388" s="67" t="s">
        <v>1830</v>
      </c>
    </row>
    <row r="1389" spans="1:1" x14ac:dyDescent="0.25">
      <c r="A1389" s="66" t="s">
        <v>1831</v>
      </c>
    </row>
    <row r="1390" spans="1:1" x14ac:dyDescent="0.25">
      <c r="A1390" s="66" t="s">
        <v>1832</v>
      </c>
    </row>
    <row r="1391" spans="1:1" x14ac:dyDescent="0.25">
      <c r="A1391" s="66" t="s">
        <v>1833</v>
      </c>
    </row>
    <row r="1392" spans="1:1" x14ac:dyDescent="0.25">
      <c r="A1392" s="66" t="s">
        <v>1834</v>
      </c>
    </row>
    <row r="1393" spans="1:1" x14ac:dyDescent="0.25">
      <c r="A1393" s="66" t="s">
        <v>1835</v>
      </c>
    </row>
    <row r="1394" spans="1:1" x14ac:dyDescent="0.25">
      <c r="A1394" s="66" t="s">
        <v>1836</v>
      </c>
    </row>
    <row r="1395" spans="1:1" x14ac:dyDescent="0.25">
      <c r="A1395" s="66" t="s">
        <v>1837</v>
      </c>
    </row>
    <row r="1396" spans="1:1" x14ac:dyDescent="0.25">
      <c r="A1396" s="66" t="s">
        <v>1838</v>
      </c>
    </row>
    <row r="1397" spans="1:1" x14ac:dyDescent="0.25">
      <c r="A1397" s="66" t="s">
        <v>1839</v>
      </c>
    </row>
    <row r="1398" spans="1:1" x14ac:dyDescent="0.25">
      <c r="A1398" s="66" t="s">
        <v>1840</v>
      </c>
    </row>
    <row r="1399" spans="1:1" x14ac:dyDescent="0.25">
      <c r="A1399" s="66" t="s">
        <v>1841</v>
      </c>
    </row>
    <row r="1400" spans="1:1" x14ac:dyDescent="0.25">
      <c r="A1400" s="66" t="s">
        <v>1842</v>
      </c>
    </row>
    <row r="1401" spans="1:1" x14ac:dyDescent="0.25">
      <c r="A1401" s="66" t="s">
        <v>1843</v>
      </c>
    </row>
    <row r="1402" spans="1:1" x14ac:dyDescent="0.25">
      <c r="A1402" s="66" t="s">
        <v>1844</v>
      </c>
    </row>
    <row r="1403" spans="1:1" x14ac:dyDescent="0.25">
      <c r="A1403" s="66" t="s">
        <v>1845</v>
      </c>
    </row>
    <row r="1404" spans="1:1" x14ac:dyDescent="0.25">
      <c r="A1404" s="66" t="s">
        <v>1846</v>
      </c>
    </row>
    <row r="1405" spans="1:1" x14ac:dyDescent="0.25">
      <c r="A1405" s="66" t="s">
        <v>1847</v>
      </c>
    </row>
    <row r="1406" spans="1:1" x14ac:dyDescent="0.25">
      <c r="A1406" s="66" t="s">
        <v>1848</v>
      </c>
    </row>
    <row r="1407" spans="1:1" x14ac:dyDescent="0.25">
      <c r="A1407" s="66" t="s">
        <v>1849</v>
      </c>
    </row>
    <row r="1408" spans="1:1" x14ac:dyDescent="0.25">
      <c r="A1408" s="66" t="s">
        <v>1850</v>
      </c>
    </row>
    <row r="1409" spans="1:1" x14ac:dyDescent="0.25">
      <c r="A1409" s="66" t="s">
        <v>1851</v>
      </c>
    </row>
    <row r="1410" spans="1:1" x14ac:dyDescent="0.25">
      <c r="A1410" s="66" t="s">
        <v>1852</v>
      </c>
    </row>
    <row r="1411" spans="1:1" x14ac:dyDescent="0.25">
      <c r="A1411" s="66" t="s">
        <v>1853</v>
      </c>
    </row>
    <row r="1412" spans="1:1" x14ac:dyDescent="0.25">
      <c r="A1412" s="66" t="s">
        <v>1854</v>
      </c>
    </row>
    <row r="1413" spans="1:1" x14ac:dyDescent="0.25">
      <c r="A1413" s="66" t="s">
        <v>1855</v>
      </c>
    </row>
    <row r="1414" spans="1:1" x14ac:dyDescent="0.25">
      <c r="A1414" s="66" t="s">
        <v>1856</v>
      </c>
    </row>
    <row r="1415" spans="1:1" x14ac:dyDescent="0.25">
      <c r="A1415" s="66" t="s">
        <v>1857</v>
      </c>
    </row>
    <row r="1416" spans="1:1" x14ac:dyDescent="0.25">
      <c r="A1416" s="66" t="s">
        <v>1858</v>
      </c>
    </row>
    <row r="1417" spans="1:1" x14ac:dyDescent="0.25">
      <c r="A1417" s="66" t="s">
        <v>1859</v>
      </c>
    </row>
    <row r="1418" spans="1:1" x14ac:dyDescent="0.25">
      <c r="A1418" s="66" t="s">
        <v>1860</v>
      </c>
    </row>
    <row r="1419" spans="1:1" x14ac:dyDescent="0.25">
      <c r="A1419" s="66" t="s">
        <v>1861</v>
      </c>
    </row>
    <row r="1420" spans="1:1" x14ac:dyDescent="0.25">
      <c r="A1420" s="66" t="s">
        <v>1862</v>
      </c>
    </row>
    <row r="1421" spans="1:1" x14ac:dyDescent="0.25">
      <c r="A1421" s="66" t="s">
        <v>1863</v>
      </c>
    </row>
    <row r="1422" spans="1:1" x14ac:dyDescent="0.25">
      <c r="A1422" s="66" t="s">
        <v>1864</v>
      </c>
    </row>
    <row r="1423" spans="1:1" x14ac:dyDescent="0.25">
      <c r="A1423" s="66" t="s">
        <v>1865</v>
      </c>
    </row>
    <row r="1424" spans="1:1" x14ac:dyDescent="0.25">
      <c r="A1424" s="56" t="s">
        <v>1866</v>
      </c>
    </row>
    <row r="1425" spans="1:1" x14ac:dyDescent="0.25">
      <c r="A1425" s="66" t="s">
        <v>1867</v>
      </c>
    </row>
    <row r="1426" spans="1:1" x14ac:dyDescent="0.25">
      <c r="A1426" s="56" t="s">
        <v>1868</v>
      </c>
    </row>
    <row r="1427" spans="1:1" x14ac:dyDescent="0.25">
      <c r="A1427" s="66" t="s">
        <v>1869</v>
      </c>
    </row>
    <row r="1428" spans="1:1" x14ac:dyDescent="0.25">
      <c r="A1428" s="66" t="s">
        <v>1870</v>
      </c>
    </row>
    <row r="1429" spans="1:1" x14ac:dyDescent="0.25">
      <c r="A1429" s="66" t="s">
        <v>1871</v>
      </c>
    </row>
    <row r="1430" spans="1:1" x14ac:dyDescent="0.25">
      <c r="A1430" s="66" t="s">
        <v>1872</v>
      </c>
    </row>
    <row r="1431" spans="1:1" x14ac:dyDescent="0.25">
      <c r="A1431" s="66" t="s">
        <v>1873</v>
      </c>
    </row>
    <row r="1432" spans="1:1" x14ac:dyDescent="0.25">
      <c r="A1432" s="66" t="s">
        <v>1874</v>
      </c>
    </row>
    <row r="1433" spans="1:1" x14ac:dyDescent="0.25">
      <c r="A1433" s="66" t="s">
        <v>1875</v>
      </c>
    </row>
    <row r="1434" spans="1:1" x14ac:dyDescent="0.25">
      <c r="A1434" s="66" t="s">
        <v>1876</v>
      </c>
    </row>
    <row r="1435" spans="1:1" x14ac:dyDescent="0.25">
      <c r="A1435" s="66" t="s">
        <v>1877</v>
      </c>
    </row>
    <row r="1436" spans="1:1" x14ac:dyDescent="0.25">
      <c r="A1436" s="66" t="s">
        <v>1878</v>
      </c>
    </row>
    <row r="1437" spans="1:1" x14ac:dyDescent="0.25">
      <c r="A1437" s="66" t="s">
        <v>1879</v>
      </c>
    </row>
    <row r="1438" spans="1:1" x14ac:dyDescent="0.25">
      <c r="A1438" s="66" t="s">
        <v>1880</v>
      </c>
    </row>
    <row r="1439" spans="1:1" x14ac:dyDescent="0.25">
      <c r="A1439" s="66" t="s">
        <v>1881</v>
      </c>
    </row>
    <row r="1440" spans="1:1" x14ac:dyDescent="0.25">
      <c r="A1440" s="66" t="s">
        <v>1882</v>
      </c>
    </row>
    <row r="1441" spans="1:1" x14ac:dyDescent="0.25">
      <c r="A1441" s="66" t="s">
        <v>1883</v>
      </c>
    </row>
    <row r="1442" spans="1:1" x14ac:dyDescent="0.25">
      <c r="A1442" s="66" t="s">
        <v>1884</v>
      </c>
    </row>
    <row r="1443" spans="1:1" x14ac:dyDescent="0.25">
      <c r="A1443" s="66" t="s">
        <v>1885</v>
      </c>
    </row>
    <row r="1444" spans="1:1" x14ac:dyDescent="0.25">
      <c r="A1444" s="66" t="s">
        <v>1886</v>
      </c>
    </row>
    <row r="1445" spans="1:1" x14ac:dyDescent="0.25">
      <c r="A1445" s="66" t="s">
        <v>1887</v>
      </c>
    </row>
    <row r="1446" spans="1:1" x14ac:dyDescent="0.25">
      <c r="A1446" s="66" t="s">
        <v>1888</v>
      </c>
    </row>
    <row r="1447" spans="1:1" x14ac:dyDescent="0.25">
      <c r="A1447" s="66" t="s">
        <v>1889</v>
      </c>
    </row>
    <row r="1448" spans="1:1" x14ac:dyDescent="0.25">
      <c r="A1448" s="66" t="s">
        <v>1890</v>
      </c>
    </row>
    <row r="1449" spans="1:1" x14ac:dyDescent="0.25">
      <c r="A1449" s="66" t="s">
        <v>1891</v>
      </c>
    </row>
    <row r="1450" spans="1:1" x14ac:dyDescent="0.25">
      <c r="A1450" s="66" t="s">
        <v>1892</v>
      </c>
    </row>
    <row r="1451" spans="1:1" x14ac:dyDescent="0.25">
      <c r="A1451" s="66" t="s">
        <v>1893</v>
      </c>
    </row>
    <row r="1452" spans="1:1" x14ac:dyDescent="0.25">
      <c r="A1452" s="66" t="s">
        <v>1894</v>
      </c>
    </row>
    <row r="1453" spans="1:1" x14ac:dyDescent="0.25">
      <c r="A1453" s="66" t="s">
        <v>1895</v>
      </c>
    </row>
    <row r="1454" spans="1:1" x14ac:dyDescent="0.25">
      <c r="A1454" s="66" t="s">
        <v>1896</v>
      </c>
    </row>
    <row r="1455" spans="1:1" x14ac:dyDescent="0.25">
      <c r="A1455" s="66" t="s">
        <v>1897</v>
      </c>
    </row>
    <row r="1456" spans="1:1" x14ac:dyDescent="0.25">
      <c r="A1456" s="66" t="s">
        <v>1898</v>
      </c>
    </row>
    <row r="1457" spans="1:1" x14ac:dyDescent="0.25">
      <c r="A1457" s="66" t="s">
        <v>1899</v>
      </c>
    </row>
    <row r="1458" spans="1:1" x14ac:dyDescent="0.25">
      <c r="A1458" s="66" t="s">
        <v>1900</v>
      </c>
    </row>
    <row r="1459" spans="1:1" x14ac:dyDescent="0.25">
      <c r="A1459" s="66" t="s">
        <v>1901</v>
      </c>
    </row>
    <row r="1460" spans="1:1" x14ac:dyDescent="0.25">
      <c r="A1460" s="66" t="s">
        <v>1902</v>
      </c>
    </row>
    <row r="1461" spans="1:1" x14ac:dyDescent="0.25">
      <c r="A1461" s="66" t="s">
        <v>1903</v>
      </c>
    </row>
    <row r="1462" spans="1:1" x14ac:dyDescent="0.25">
      <c r="A1462" s="66" t="s">
        <v>1904</v>
      </c>
    </row>
    <row r="1463" spans="1:1" x14ac:dyDescent="0.25">
      <c r="A1463" s="66" t="s">
        <v>1905</v>
      </c>
    </row>
    <row r="1464" spans="1:1" x14ac:dyDescent="0.25">
      <c r="A1464" s="66" t="s">
        <v>1906</v>
      </c>
    </row>
    <row r="1465" spans="1:1" x14ac:dyDescent="0.25">
      <c r="A1465" s="66" t="s">
        <v>1907</v>
      </c>
    </row>
    <row r="1466" spans="1:1" x14ac:dyDescent="0.25">
      <c r="A1466" s="66" t="s">
        <v>1908</v>
      </c>
    </row>
    <row r="1467" spans="1:1" x14ac:dyDescent="0.25">
      <c r="A1467" s="66" t="s">
        <v>1909</v>
      </c>
    </row>
    <row r="1468" spans="1:1" x14ac:dyDescent="0.25">
      <c r="A1468" s="66" t="s">
        <v>1910</v>
      </c>
    </row>
    <row r="1469" spans="1:1" x14ac:dyDescent="0.25">
      <c r="A1469" s="66" t="s">
        <v>1911</v>
      </c>
    </row>
    <row r="1470" spans="1:1" x14ac:dyDescent="0.25">
      <c r="A1470" s="66" t="s">
        <v>1912</v>
      </c>
    </row>
    <row r="1471" spans="1:1" x14ac:dyDescent="0.25">
      <c r="A1471" s="66" t="s">
        <v>1913</v>
      </c>
    </row>
    <row r="1472" spans="1:1" x14ac:dyDescent="0.25">
      <c r="A1472" s="66" t="s">
        <v>1914</v>
      </c>
    </row>
    <row r="1473" spans="1:1" x14ac:dyDescent="0.25">
      <c r="A1473" s="56" t="s">
        <v>1915</v>
      </c>
    </row>
    <row r="1474" spans="1:1" x14ac:dyDescent="0.25">
      <c r="A1474" s="66" t="s">
        <v>1916</v>
      </c>
    </row>
    <row r="1475" spans="1:1" x14ac:dyDescent="0.25">
      <c r="A1475" s="56" t="s">
        <v>1917</v>
      </c>
    </row>
    <row r="1476" spans="1:1" x14ac:dyDescent="0.25">
      <c r="A1476" s="66" t="s">
        <v>1918</v>
      </c>
    </row>
    <row r="1477" spans="1:1" x14ac:dyDescent="0.25">
      <c r="A1477" s="56" t="s">
        <v>1919</v>
      </c>
    </row>
    <row r="1478" spans="1:1" x14ac:dyDescent="0.25">
      <c r="A1478" s="66" t="s">
        <v>1920</v>
      </c>
    </row>
    <row r="1479" spans="1:1" x14ac:dyDescent="0.25">
      <c r="A1479" s="56" t="s">
        <v>1921</v>
      </c>
    </row>
    <row r="1480" spans="1:1" x14ac:dyDescent="0.25">
      <c r="A1480" s="66" t="s">
        <v>1922</v>
      </c>
    </row>
    <row r="1481" spans="1:1" x14ac:dyDescent="0.25">
      <c r="A1481" s="56" t="s">
        <v>1923</v>
      </c>
    </row>
    <row r="1482" spans="1:1" x14ac:dyDescent="0.25">
      <c r="A1482" s="66" t="s">
        <v>1924</v>
      </c>
    </row>
    <row r="1483" spans="1:1" x14ac:dyDescent="0.25">
      <c r="A1483" s="56" t="s">
        <v>1925</v>
      </c>
    </row>
    <row r="1484" spans="1:1" x14ac:dyDescent="0.25">
      <c r="A1484" s="66" t="s">
        <v>1926</v>
      </c>
    </row>
    <row r="1485" spans="1:1" x14ac:dyDescent="0.25">
      <c r="A1485" s="66" t="s">
        <v>1927</v>
      </c>
    </row>
    <row r="1486" spans="1:1" x14ac:dyDescent="0.25">
      <c r="A1486" s="66" t="s">
        <v>1928</v>
      </c>
    </row>
    <row r="1487" spans="1:1" x14ac:dyDescent="0.25">
      <c r="A1487" s="66" t="s">
        <v>1929</v>
      </c>
    </row>
    <row r="1488" spans="1:1" x14ac:dyDescent="0.25">
      <c r="A1488" s="66" t="s">
        <v>1930</v>
      </c>
    </row>
    <row r="1489" spans="1:1" x14ac:dyDescent="0.25">
      <c r="A1489" s="66" t="s">
        <v>1931</v>
      </c>
    </row>
    <row r="1490" spans="1:1" x14ac:dyDescent="0.25">
      <c r="A1490" s="66" t="s">
        <v>1932</v>
      </c>
    </row>
    <row r="1491" spans="1:1" x14ac:dyDescent="0.25">
      <c r="A1491" s="66" t="s">
        <v>1933</v>
      </c>
    </row>
    <row r="1492" spans="1:1" x14ac:dyDescent="0.25">
      <c r="A1492" s="66" t="s">
        <v>1934</v>
      </c>
    </row>
    <row r="1493" spans="1:1" x14ac:dyDescent="0.25">
      <c r="A1493" s="66" t="s">
        <v>1935</v>
      </c>
    </row>
    <row r="1494" spans="1:1" x14ac:dyDescent="0.25">
      <c r="A1494" s="66" t="s">
        <v>1936</v>
      </c>
    </row>
    <row r="1495" spans="1:1" x14ac:dyDescent="0.25">
      <c r="A1495" s="66" t="s">
        <v>1937</v>
      </c>
    </row>
    <row r="1496" spans="1:1" x14ac:dyDescent="0.25">
      <c r="A1496" s="66" t="s">
        <v>1938</v>
      </c>
    </row>
    <row r="1497" spans="1:1" x14ac:dyDescent="0.25">
      <c r="A1497" s="66" t="s">
        <v>1939</v>
      </c>
    </row>
    <row r="1498" spans="1:1" x14ac:dyDescent="0.25">
      <c r="A1498" s="66" t="s">
        <v>1940</v>
      </c>
    </row>
    <row r="1499" spans="1:1" x14ac:dyDescent="0.25">
      <c r="A1499" s="66" t="s">
        <v>1941</v>
      </c>
    </row>
    <row r="1500" spans="1:1" x14ac:dyDescent="0.25">
      <c r="A1500" s="66" t="s">
        <v>1942</v>
      </c>
    </row>
    <row r="1501" spans="1:1" x14ac:dyDescent="0.25">
      <c r="A1501" s="66" t="s">
        <v>1943</v>
      </c>
    </row>
    <row r="1502" spans="1:1" x14ac:dyDescent="0.25">
      <c r="A1502" s="66" t="s">
        <v>1944</v>
      </c>
    </row>
    <row r="1503" spans="1:1" x14ac:dyDescent="0.25">
      <c r="A1503" s="66" t="s">
        <v>1945</v>
      </c>
    </row>
    <row r="1504" spans="1:1" x14ac:dyDescent="0.25">
      <c r="A1504" s="66" t="s">
        <v>1946</v>
      </c>
    </row>
    <row r="1505" spans="1:1" x14ac:dyDescent="0.25">
      <c r="A1505" s="66" t="s">
        <v>1947</v>
      </c>
    </row>
    <row r="1506" spans="1:1" x14ac:dyDescent="0.25">
      <c r="A1506" s="66" t="s">
        <v>1948</v>
      </c>
    </row>
    <row r="1507" spans="1:1" x14ac:dyDescent="0.25">
      <c r="A1507" s="56" t="s">
        <v>1949</v>
      </c>
    </row>
    <row r="1508" spans="1:1" x14ac:dyDescent="0.25">
      <c r="A1508" s="66" t="s">
        <v>1950</v>
      </c>
    </row>
    <row r="1509" spans="1:1" x14ac:dyDescent="0.25">
      <c r="A1509" s="56" t="s">
        <v>1951</v>
      </c>
    </row>
    <row r="1510" spans="1:1" x14ac:dyDescent="0.25">
      <c r="A1510" s="66" t="s">
        <v>1952</v>
      </c>
    </row>
    <row r="1511" spans="1:1" x14ac:dyDescent="0.25">
      <c r="A1511" s="66" t="s">
        <v>1953</v>
      </c>
    </row>
    <row r="1512" spans="1:1" x14ac:dyDescent="0.25">
      <c r="A1512" s="66" t="s">
        <v>1954</v>
      </c>
    </row>
    <row r="1513" spans="1:1" x14ac:dyDescent="0.25">
      <c r="A1513" s="66" t="s">
        <v>1955</v>
      </c>
    </row>
    <row r="1514" spans="1:1" x14ac:dyDescent="0.25">
      <c r="A1514" s="66" t="s">
        <v>1956</v>
      </c>
    </row>
    <row r="1515" spans="1:1" x14ac:dyDescent="0.25">
      <c r="A1515" s="66" t="s">
        <v>1957</v>
      </c>
    </row>
    <row r="1516" spans="1:1" x14ac:dyDescent="0.25">
      <c r="A1516" s="66" t="s">
        <v>1958</v>
      </c>
    </row>
    <row r="1517" spans="1:1" x14ac:dyDescent="0.25">
      <c r="A1517" s="66" t="s">
        <v>1959</v>
      </c>
    </row>
    <row r="1518" spans="1:1" x14ac:dyDescent="0.25">
      <c r="A1518" s="66" t="s">
        <v>1960</v>
      </c>
    </row>
    <row r="1519" spans="1:1" x14ac:dyDescent="0.25">
      <c r="A1519" s="66" t="s">
        <v>1961</v>
      </c>
    </row>
    <row r="1520" spans="1:1" x14ac:dyDescent="0.25">
      <c r="A1520" s="66" t="s">
        <v>1962</v>
      </c>
    </row>
    <row r="1521" spans="1:1" x14ac:dyDescent="0.25">
      <c r="A1521" s="66" t="s">
        <v>1963</v>
      </c>
    </row>
    <row r="1522" spans="1:1" x14ac:dyDescent="0.25">
      <c r="A1522" s="66" t="s">
        <v>1964</v>
      </c>
    </row>
    <row r="1523" spans="1:1" x14ac:dyDescent="0.25">
      <c r="A1523" s="66" t="s">
        <v>1965</v>
      </c>
    </row>
    <row r="1524" spans="1:1" x14ac:dyDescent="0.25">
      <c r="A1524" s="66" t="s">
        <v>1966</v>
      </c>
    </row>
    <row r="1525" spans="1:1" x14ac:dyDescent="0.25">
      <c r="A1525" s="66" t="s">
        <v>1967</v>
      </c>
    </row>
    <row r="1526" spans="1:1" x14ac:dyDescent="0.25">
      <c r="A1526" s="66" t="s">
        <v>1968</v>
      </c>
    </row>
    <row r="1527" spans="1:1" x14ac:dyDescent="0.25">
      <c r="A1527" s="66" t="s">
        <v>1969</v>
      </c>
    </row>
    <row r="1528" spans="1:1" x14ac:dyDescent="0.25">
      <c r="A1528" s="66" t="s">
        <v>1970</v>
      </c>
    </row>
    <row r="1529" spans="1:1" x14ac:dyDescent="0.25">
      <c r="A1529" s="66" t="s">
        <v>1971</v>
      </c>
    </row>
    <row r="1530" spans="1:1" x14ac:dyDescent="0.25">
      <c r="A1530" s="66" t="s">
        <v>1972</v>
      </c>
    </row>
    <row r="1531" spans="1:1" x14ac:dyDescent="0.25">
      <c r="A1531" s="66" t="s">
        <v>1973</v>
      </c>
    </row>
    <row r="1532" spans="1:1" x14ac:dyDescent="0.25">
      <c r="A1532" s="66" t="s">
        <v>1974</v>
      </c>
    </row>
    <row r="1533" spans="1:1" x14ac:dyDescent="0.25">
      <c r="A1533" s="66" t="s">
        <v>1975</v>
      </c>
    </row>
    <row r="1534" spans="1:1" x14ac:dyDescent="0.25">
      <c r="A1534" s="66" t="s">
        <v>1976</v>
      </c>
    </row>
    <row r="1535" spans="1:1" x14ac:dyDescent="0.25">
      <c r="A1535" s="66" t="s">
        <v>1977</v>
      </c>
    </row>
    <row r="1536" spans="1:1" x14ac:dyDescent="0.25">
      <c r="A1536" s="66" t="s">
        <v>1978</v>
      </c>
    </row>
    <row r="1537" spans="1:1" x14ac:dyDescent="0.25">
      <c r="A1537" s="66" t="s">
        <v>1979</v>
      </c>
    </row>
    <row r="1538" spans="1:1" x14ac:dyDescent="0.25">
      <c r="A1538" s="66" t="s">
        <v>1980</v>
      </c>
    </row>
    <row r="1539" spans="1:1" x14ac:dyDescent="0.25">
      <c r="A1539" s="66" t="s">
        <v>1981</v>
      </c>
    </row>
    <row r="1540" spans="1:1" x14ac:dyDescent="0.25">
      <c r="A1540" s="66" t="s">
        <v>1982</v>
      </c>
    </row>
    <row r="1541" spans="1:1" x14ac:dyDescent="0.25">
      <c r="A1541" s="66" t="s">
        <v>1983</v>
      </c>
    </row>
    <row r="1542" spans="1:1" x14ac:dyDescent="0.25">
      <c r="A1542" s="66" t="s">
        <v>1984</v>
      </c>
    </row>
    <row r="1543" spans="1:1" x14ac:dyDescent="0.25">
      <c r="A1543" s="66" t="s">
        <v>1985</v>
      </c>
    </row>
    <row r="1544" spans="1:1" x14ac:dyDescent="0.25">
      <c r="A1544" s="66" t="s">
        <v>1986</v>
      </c>
    </row>
    <row r="1545" spans="1:1" x14ac:dyDescent="0.25">
      <c r="A1545" s="66" t="s">
        <v>1987</v>
      </c>
    </row>
    <row r="1546" spans="1:1" x14ac:dyDescent="0.25">
      <c r="A1546" s="66" t="s">
        <v>1988</v>
      </c>
    </row>
    <row r="1547" spans="1:1" x14ac:dyDescent="0.25">
      <c r="A1547" s="66" t="s">
        <v>1989</v>
      </c>
    </row>
    <row r="1548" spans="1:1" x14ac:dyDescent="0.25">
      <c r="A1548" s="66" t="s">
        <v>1990</v>
      </c>
    </row>
    <row r="1549" spans="1:1" x14ac:dyDescent="0.25">
      <c r="A1549" s="66" t="s">
        <v>1991</v>
      </c>
    </row>
    <row r="1550" spans="1:1" x14ac:dyDescent="0.25">
      <c r="A1550" s="66" t="s">
        <v>1992</v>
      </c>
    </row>
    <row r="1551" spans="1:1" x14ac:dyDescent="0.25">
      <c r="A1551" s="66" t="s">
        <v>1993</v>
      </c>
    </row>
    <row r="1552" spans="1:1" x14ac:dyDescent="0.25">
      <c r="A1552" s="66" t="s">
        <v>1994</v>
      </c>
    </row>
    <row r="1553" spans="1:1" x14ac:dyDescent="0.25">
      <c r="A1553" s="66" t="s">
        <v>1995</v>
      </c>
    </row>
    <row r="1554" spans="1:1" x14ac:dyDescent="0.25">
      <c r="A1554" s="66" t="s">
        <v>1996</v>
      </c>
    </row>
    <row r="1555" spans="1:1" x14ac:dyDescent="0.25">
      <c r="A1555" s="66" t="s">
        <v>1997</v>
      </c>
    </row>
    <row r="1556" spans="1:1" x14ac:dyDescent="0.25">
      <c r="A1556" s="66" t="s">
        <v>1998</v>
      </c>
    </row>
    <row r="1557" spans="1:1" x14ac:dyDescent="0.25">
      <c r="A1557" s="66" t="s">
        <v>1999</v>
      </c>
    </row>
    <row r="1558" spans="1:1" x14ac:dyDescent="0.25">
      <c r="A1558" s="66" t="s">
        <v>2000</v>
      </c>
    </row>
    <row r="1559" spans="1:1" x14ac:dyDescent="0.25">
      <c r="A1559" s="66" t="s">
        <v>2001</v>
      </c>
    </row>
    <row r="1560" spans="1:1" x14ac:dyDescent="0.25">
      <c r="A1560" s="67" t="s">
        <v>2002</v>
      </c>
    </row>
    <row r="1561" spans="1:1" x14ac:dyDescent="0.25">
      <c r="A1561" s="67" t="s">
        <v>2003</v>
      </c>
    </row>
    <row r="1562" spans="1:1" x14ac:dyDescent="0.25">
      <c r="A1562" s="56" t="s">
        <v>2004</v>
      </c>
    </row>
    <row r="1563" spans="1:1" x14ac:dyDescent="0.25">
      <c r="A1563" s="66" t="s">
        <v>2005</v>
      </c>
    </row>
    <row r="1564" spans="1:1" x14ac:dyDescent="0.25">
      <c r="A1564" s="66" t="s">
        <v>2006</v>
      </c>
    </row>
    <row r="1565" spans="1:1" x14ac:dyDescent="0.25">
      <c r="A1565" s="66" t="s">
        <v>2007</v>
      </c>
    </row>
    <row r="1566" spans="1:1" x14ac:dyDescent="0.25">
      <c r="A1566" s="66" t="s">
        <v>2008</v>
      </c>
    </row>
    <row r="1567" spans="1:1" x14ac:dyDescent="0.25">
      <c r="A1567" s="67" t="s">
        <v>2009</v>
      </c>
    </row>
    <row r="1568" spans="1:1" x14ac:dyDescent="0.25">
      <c r="A1568" s="67" t="s">
        <v>2010</v>
      </c>
    </row>
    <row r="1569" spans="1:1" x14ac:dyDescent="0.25">
      <c r="A1569" s="56" t="s">
        <v>2011</v>
      </c>
    </row>
    <row r="1570" spans="1:1" x14ac:dyDescent="0.25">
      <c r="A1570" s="66" t="s">
        <v>2012</v>
      </c>
    </row>
    <row r="1571" spans="1:1" x14ac:dyDescent="0.25">
      <c r="A1571" s="66" t="s">
        <v>2013</v>
      </c>
    </row>
    <row r="1572" spans="1:1" x14ac:dyDescent="0.25">
      <c r="A1572" s="66" t="s">
        <v>2014</v>
      </c>
    </row>
    <row r="1573" spans="1:1" x14ac:dyDescent="0.25">
      <c r="A1573" s="66" t="s">
        <v>2015</v>
      </c>
    </row>
    <row r="1574" spans="1:1" x14ac:dyDescent="0.25">
      <c r="A1574" s="67" t="s">
        <v>2016</v>
      </c>
    </row>
    <row r="1575" spans="1:1" x14ac:dyDescent="0.25">
      <c r="A1575" s="67" t="s">
        <v>2017</v>
      </c>
    </row>
    <row r="1576" spans="1:1" x14ac:dyDescent="0.25">
      <c r="A1576" s="56" t="s">
        <v>2018</v>
      </c>
    </row>
    <row r="1577" spans="1:1" x14ac:dyDescent="0.25">
      <c r="A1577" s="66" t="s">
        <v>2019</v>
      </c>
    </row>
    <row r="1578" spans="1:1" x14ac:dyDescent="0.25">
      <c r="A1578" s="66" t="s">
        <v>2020</v>
      </c>
    </row>
    <row r="1579" spans="1:1" x14ac:dyDescent="0.25">
      <c r="A1579" s="66" t="s">
        <v>2021</v>
      </c>
    </row>
    <row r="1580" spans="1:1" x14ac:dyDescent="0.25">
      <c r="A1580" s="66" t="s">
        <v>2022</v>
      </c>
    </row>
    <row r="1581" spans="1:1" x14ac:dyDescent="0.25">
      <c r="A1581" s="67" t="s">
        <v>2023</v>
      </c>
    </row>
    <row r="1582" spans="1:1" x14ac:dyDescent="0.25">
      <c r="A1582" s="67" t="s">
        <v>2024</v>
      </c>
    </row>
    <row r="1583" spans="1:1" x14ac:dyDescent="0.25">
      <c r="A1583" s="56" t="s">
        <v>2025</v>
      </c>
    </row>
    <row r="1584" spans="1:1" x14ac:dyDescent="0.25">
      <c r="A1584" s="66" t="s">
        <v>2026</v>
      </c>
    </row>
    <row r="1585" spans="1:1" x14ac:dyDescent="0.25">
      <c r="A1585" s="66" t="s">
        <v>2027</v>
      </c>
    </row>
    <row r="1586" spans="1:1" x14ac:dyDescent="0.25">
      <c r="A1586" s="66" t="s">
        <v>2028</v>
      </c>
    </row>
    <row r="1587" spans="1:1" x14ac:dyDescent="0.25">
      <c r="A1587" s="66" t="s">
        <v>2029</v>
      </c>
    </row>
    <row r="1588" spans="1:1" x14ac:dyDescent="0.25">
      <c r="A1588" s="67" t="s">
        <v>2030</v>
      </c>
    </row>
    <row r="1589" spans="1:1" x14ac:dyDescent="0.25">
      <c r="A1589" s="67" t="s">
        <v>2031</v>
      </c>
    </row>
    <row r="1590" spans="1:1" x14ac:dyDescent="0.25">
      <c r="A1590" s="56" t="s">
        <v>2032</v>
      </c>
    </row>
    <row r="1591" spans="1:1" x14ac:dyDescent="0.25">
      <c r="A1591" s="66" t="s">
        <v>2033</v>
      </c>
    </row>
    <row r="1592" spans="1:1" x14ac:dyDescent="0.25">
      <c r="A1592" s="66" t="s">
        <v>2034</v>
      </c>
    </row>
    <row r="1593" spans="1:1" x14ac:dyDescent="0.25">
      <c r="A1593" s="66" t="s">
        <v>2035</v>
      </c>
    </row>
    <row r="1594" spans="1:1" x14ac:dyDescent="0.25">
      <c r="A1594" s="66" t="s">
        <v>2036</v>
      </c>
    </row>
    <row r="1595" spans="1:1" x14ac:dyDescent="0.25">
      <c r="A1595" s="67" t="s">
        <v>2037</v>
      </c>
    </row>
    <row r="1596" spans="1:1" x14ac:dyDescent="0.25">
      <c r="A1596" s="67" t="s">
        <v>2038</v>
      </c>
    </row>
    <row r="1597" spans="1:1" x14ac:dyDescent="0.25">
      <c r="A1597" s="56" t="s">
        <v>2039</v>
      </c>
    </row>
    <row r="1598" spans="1:1" x14ac:dyDescent="0.25">
      <c r="A1598" s="66" t="s">
        <v>2040</v>
      </c>
    </row>
    <row r="1599" spans="1:1" x14ac:dyDescent="0.25">
      <c r="A1599" s="66" t="s">
        <v>2041</v>
      </c>
    </row>
    <row r="1600" spans="1:1" x14ac:dyDescent="0.25">
      <c r="A1600" s="66" t="s">
        <v>2042</v>
      </c>
    </row>
    <row r="1601" spans="1:1" x14ac:dyDescent="0.25">
      <c r="A1601" s="66" t="s">
        <v>2043</v>
      </c>
    </row>
    <row r="1602" spans="1:1" x14ac:dyDescent="0.25">
      <c r="A1602" s="67" t="s">
        <v>2044</v>
      </c>
    </row>
    <row r="1603" spans="1:1" x14ac:dyDescent="0.25">
      <c r="A1603" s="67" t="s">
        <v>2045</v>
      </c>
    </row>
    <row r="1604" spans="1:1" x14ac:dyDescent="0.25">
      <c r="A1604" s="56" t="s">
        <v>2046</v>
      </c>
    </row>
    <row r="1605" spans="1:1" x14ac:dyDescent="0.25">
      <c r="A1605" s="66" t="s">
        <v>2047</v>
      </c>
    </row>
    <row r="1606" spans="1:1" x14ac:dyDescent="0.25">
      <c r="A1606" s="66" t="s">
        <v>2048</v>
      </c>
    </row>
    <row r="1607" spans="1:1" x14ac:dyDescent="0.25">
      <c r="A1607" s="66" t="s">
        <v>2049</v>
      </c>
    </row>
    <row r="1608" spans="1:1" x14ac:dyDescent="0.25">
      <c r="A1608" s="66" t="s">
        <v>2050</v>
      </c>
    </row>
    <row r="1609" spans="1:1" x14ac:dyDescent="0.25">
      <c r="A1609" s="67" t="s">
        <v>2051</v>
      </c>
    </row>
    <row r="1610" spans="1:1" x14ac:dyDescent="0.25">
      <c r="A1610" s="67" t="s">
        <v>2052</v>
      </c>
    </row>
    <row r="1611" spans="1:1" x14ac:dyDescent="0.25">
      <c r="A1611" s="56" t="s">
        <v>2053</v>
      </c>
    </row>
    <row r="1612" spans="1:1" x14ac:dyDescent="0.25">
      <c r="A1612" s="66" t="s">
        <v>2054</v>
      </c>
    </row>
    <row r="1613" spans="1:1" x14ac:dyDescent="0.25">
      <c r="A1613" s="66" t="s">
        <v>2055</v>
      </c>
    </row>
    <row r="1614" spans="1:1" x14ac:dyDescent="0.25">
      <c r="A1614" s="66" t="s">
        <v>2056</v>
      </c>
    </row>
    <row r="1615" spans="1:1" x14ac:dyDescent="0.25">
      <c r="A1615" s="66" t="s">
        <v>2057</v>
      </c>
    </row>
    <row r="1616" spans="1:1" x14ac:dyDescent="0.25">
      <c r="A1616" s="67" t="s">
        <v>2058</v>
      </c>
    </row>
    <row r="1617" spans="1:1" x14ac:dyDescent="0.25">
      <c r="A1617" s="67" t="s">
        <v>2059</v>
      </c>
    </row>
    <row r="1618" spans="1:1" x14ac:dyDescent="0.25">
      <c r="A1618" s="56" t="s">
        <v>2060</v>
      </c>
    </row>
    <row r="1619" spans="1:1" x14ac:dyDescent="0.25">
      <c r="A1619" s="66" t="s">
        <v>2061</v>
      </c>
    </row>
    <row r="1620" spans="1:1" x14ac:dyDescent="0.25">
      <c r="A1620" s="66" t="s">
        <v>2062</v>
      </c>
    </row>
    <row r="1621" spans="1:1" x14ac:dyDescent="0.25">
      <c r="A1621" s="66" t="s">
        <v>2063</v>
      </c>
    </row>
    <row r="1622" spans="1:1" x14ac:dyDescent="0.25">
      <c r="A1622" s="66" t="s">
        <v>2064</v>
      </c>
    </row>
    <row r="1623" spans="1:1" x14ac:dyDescent="0.25">
      <c r="A1623" s="67" t="s">
        <v>2065</v>
      </c>
    </row>
    <row r="1624" spans="1:1" x14ac:dyDescent="0.25">
      <c r="A1624" s="67" t="s">
        <v>2066</v>
      </c>
    </row>
    <row r="1625" spans="1:1" x14ac:dyDescent="0.25">
      <c r="A1625" s="56" t="s">
        <v>2067</v>
      </c>
    </row>
    <row r="1626" spans="1:1" x14ac:dyDescent="0.25">
      <c r="A1626" s="66" t="s">
        <v>2068</v>
      </c>
    </row>
    <row r="1627" spans="1:1" x14ac:dyDescent="0.25">
      <c r="A1627" s="66" t="s">
        <v>2069</v>
      </c>
    </row>
    <row r="1628" spans="1:1" x14ac:dyDescent="0.25">
      <c r="A1628" s="66" t="s">
        <v>2070</v>
      </c>
    </row>
    <row r="1629" spans="1:1" x14ac:dyDescent="0.25">
      <c r="A1629" s="66" t="s">
        <v>2071</v>
      </c>
    </row>
    <row r="1630" spans="1:1" x14ac:dyDescent="0.25">
      <c r="A1630" s="67" t="s">
        <v>2072</v>
      </c>
    </row>
    <row r="1631" spans="1:1" x14ac:dyDescent="0.25">
      <c r="A1631" s="67" t="s">
        <v>2073</v>
      </c>
    </row>
    <row r="1632" spans="1:1" x14ac:dyDescent="0.25">
      <c r="A1632" s="56" t="s">
        <v>2074</v>
      </c>
    </row>
    <row r="1633" spans="1:1" x14ac:dyDescent="0.25">
      <c r="A1633" s="66" t="s">
        <v>2075</v>
      </c>
    </row>
    <row r="1634" spans="1:1" x14ac:dyDescent="0.25">
      <c r="A1634" s="66" t="s">
        <v>2076</v>
      </c>
    </row>
    <row r="1635" spans="1:1" x14ac:dyDescent="0.25">
      <c r="A1635" s="66" t="s">
        <v>2077</v>
      </c>
    </row>
    <row r="1636" spans="1:1" x14ac:dyDescent="0.25">
      <c r="A1636" s="66" t="s">
        <v>2078</v>
      </c>
    </row>
    <row r="1637" spans="1:1" x14ac:dyDescent="0.25">
      <c r="A1637" s="67" t="s">
        <v>2079</v>
      </c>
    </row>
    <row r="1638" spans="1:1" x14ac:dyDescent="0.25">
      <c r="A1638" s="67" t="s">
        <v>2080</v>
      </c>
    </row>
    <row r="1639" spans="1:1" x14ac:dyDescent="0.25">
      <c r="A1639" s="56" t="s">
        <v>2081</v>
      </c>
    </row>
    <row r="1640" spans="1:1" x14ac:dyDescent="0.25">
      <c r="A1640" s="66" t="s">
        <v>2082</v>
      </c>
    </row>
    <row r="1641" spans="1:1" x14ac:dyDescent="0.25">
      <c r="A1641" s="66" t="s">
        <v>2083</v>
      </c>
    </row>
    <row r="1642" spans="1:1" x14ac:dyDescent="0.25">
      <c r="A1642" s="66" t="s">
        <v>2084</v>
      </c>
    </row>
    <row r="1643" spans="1:1" x14ac:dyDescent="0.25">
      <c r="A1643" s="66" t="s">
        <v>2085</v>
      </c>
    </row>
    <row r="1644" spans="1:1" x14ac:dyDescent="0.25">
      <c r="A1644" s="67" t="s">
        <v>2086</v>
      </c>
    </row>
    <row r="1645" spans="1:1" x14ac:dyDescent="0.25">
      <c r="A1645" s="67" t="s">
        <v>2087</v>
      </c>
    </row>
    <row r="1646" spans="1:1" x14ac:dyDescent="0.25">
      <c r="A1646" s="56" t="s">
        <v>2088</v>
      </c>
    </row>
    <row r="1647" spans="1:1" x14ac:dyDescent="0.25">
      <c r="A1647" s="66" t="s">
        <v>2089</v>
      </c>
    </row>
    <row r="1648" spans="1:1" x14ac:dyDescent="0.25">
      <c r="A1648" s="66" t="s">
        <v>2090</v>
      </c>
    </row>
    <row r="1649" spans="1:1" x14ac:dyDescent="0.25">
      <c r="A1649" s="66" t="s">
        <v>2091</v>
      </c>
    </row>
    <row r="1650" spans="1:1" x14ac:dyDescent="0.25">
      <c r="A1650" s="66" t="s">
        <v>2092</v>
      </c>
    </row>
    <row r="1651" spans="1:1" x14ac:dyDescent="0.25">
      <c r="A1651" s="67" t="s">
        <v>2093</v>
      </c>
    </row>
    <row r="1652" spans="1:1" x14ac:dyDescent="0.25">
      <c r="A1652" s="67" t="s">
        <v>2094</v>
      </c>
    </row>
    <row r="1653" spans="1:1" x14ac:dyDescent="0.25">
      <c r="A1653" s="56" t="s">
        <v>2095</v>
      </c>
    </row>
    <row r="1654" spans="1:1" x14ac:dyDescent="0.25">
      <c r="A1654" s="66" t="s">
        <v>2096</v>
      </c>
    </row>
    <row r="1655" spans="1:1" x14ac:dyDescent="0.25">
      <c r="A1655" s="66" t="s">
        <v>2097</v>
      </c>
    </row>
    <row r="1656" spans="1:1" x14ac:dyDescent="0.25">
      <c r="A1656" s="66" t="s">
        <v>2098</v>
      </c>
    </row>
    <row r="1657" spans="1:1" x14ac:dyDescent="0.25">
      <c r="A1657" s="66" t="s">
        <v>2099</v>
      </c>
    </row>
    <row r="1658" spans="1:1" x14ac:dyDescent="0.25">
      <c r="A1658" s="67" t="s">
        <v>2100</v>
      </c>
    </row>
    <row r="1659" spans="1:1" x14ac:dyDescent="0.25">
      <c r="A1659" s="67" t="s">
        <v>2101</v>
      </c>
    </row>
    <row r="1660" spans="1:1" x14ac:dyDescent="0.25">
      <c r="A1660" s="56" t="s">
        <v>2102</v>
      </c>
    </row>
    <row r="1661" spans="1:1" x14ac:dyDescent="0.25">
      <c r="A1661" s="66" t="s">
        <v>2103</v>
      </c>
    </row>
    <row r="1662" spans="1:1" x14ac:dyDescent="0.25">
      <c r="A1662" s="66" t="s">
        <v>2104</v>
      </c>
    </row>
    <row r="1663" spans="1:1" x14ac:dyDescent="0.25">
      <c r="A1663" s="66" t="s">
        <v>2105</v>
      </c>
    </row>
    <row r="1664" spans="1:1" x14ac:dyDescent="0.25">
      <c r="A1664" s="66" t="s">
        <v>2106</v>
      </c>
    </row>
    <row r="1665" spans="1:1" x14ac:dyDescent="0.25">
      <c r="A1665" s="67" t="s">
        <v>2107</v>
      </c>
    </row>
    <row r="1666" spans="1:1" x14ac:dyDescent="0.25">
      <c r="A1666" s="67" t="s">
        <v>2108</v>
      </c>
    </row>
    <row r="1667" spans="1:1" x14ac:dyDescent="0.25">
      <c r="A1667" s="56" t="s">
        <v>2109</v>
      </c>
    </row>
    <row r="1668" spans="1:1" x14ac:dyDescent="0.25">
      <c r="A1668" s="66" t="s">
        <v>2110</v>
      </c>
    </row>
    <row r="1669" spans="1:1" x14ac:dyDescent="0.25">
      <c r="A1669" s="66" t="s">
        <v>2111</v>
      </c>
    </row>
    <row r="1670" spans="1:1" x14ac:dyDescent="0.25">
      <c r="A1670" s="66" t="s">
        <v>2112</v>
      </c>
    </row>
    <row r="1671" spans="1:1" x14ac:dyDescent="0.25">
      <c r="A1671" s="56" t="s">
        <v>2113</v>
      </c>
    </row>
    <row r="1672" spans="1:1" x14ac:dyDescent="0.25">
      <c r="A1672" s="66" t="s">
        <v>2114</v>
      </c>
    </row>
    <row r="1673" spans="1:1" x14ac:dyDescent="0.25">
      <c r="A1673" s="56" t="s">
        <v>2115</v>
      </c>
    </row>
    <row r="1674" spans="1:1" x14ac:dyDescent="0.25">
      <c r="A1674" s="66" t="s">
        <v>2116</v>
      </c>
    </row>
    <row r="1675" spans="1:1" x14ac:dyDescent="0.25">
      <c r="A1675" s="66" t="s">
        <v>2117</v>
      </c>
    </row>
    <row r="1676" spans="1:1" x14ac:dyDescent="0.25">
      <c r="A1676" s="66" t="s">
        <v>2118</v>
      </c>
    </row>
    <row r="1677" spans="1:1" x14ac:dyDescent="0.25">
      <c r="A1677" s="66" t="s">
        <v>2119</v>
      </c>
    </row>
    <row r="1678" spans="1:1" x14ac:dyDescent="0.25">
      <c r="A1678" s="66" t="s">
        <v>2120</v>
      </c>
    </row>
    <row r="1679" spans="1:1" x14ac:dyDescent="0.25">
      <c r="A1679" s="66" t="s">
        <v>2121</v>
      </c>
    </row>
    <row r="1680" spans="1:1" x14ac:dyDescent="0.25">
      <c r="A1680" s="66" t="s">
        <v>2122</v>
      </c>
    </row>
    <row r="1681" spans="1:1" x14ac:dyDescent="0.25">
      <c r="A1681" s="66" t="s">
        <v>2123</v>
      </c>
    </row>
    <row r="1682" spans="1:1" x14ac:dyDescent="0.25">
      <c r="A1682" s="66" t="s">
        <v>2124</v>
      </c>
    </row>
    <row r="1683" spans="1:1" x14ac:dyDescent="0.25">
      <c r="A1683" s="66" t="s">
        <v>2125</v>
      </c>
    </row>
    <row r="1684" spans="1:1" x14ac:dyDescent="0.25">
      <c r="A1684" s="66" t="s">
        <v>2126</v>
      </c>
    </row>
    <row r="1685" spans="1:1" x14ac:dyDescent="0.25">
      <c r="A1685" s="66" t="s">
        <v>2127</v>
      </c>
    </row>
    <row r="1686" spans="1:1" x14ac:dyDescent="0.25">
      <c r="A1686" s="66" t="s">
        <v>2128</v>
      </c>
    </row>
    <row r="1687" spans="1:1" x14ac:dyDescent="0.25">
      <c r="A1687" s="66" t="s">
        <v>2129</v>
      </c>
    </row>
    <row r="1688" spans="1:1" x14ac:dyDescent="0.25">
      <c r="A1688" s="66" t="s">
        <v>2130</v>
      </c>
    </row>
    <row r="1689" spans="1:1" x14ac:dyDescent="0.25">
      <c r="A1689" s="66" t="s">
        <v>2131</v>
      </c>
    </row>
    <row r="1690" spans="1:1" x14ac:dyDescent="0.25">
      <c r="A1690" s="66" t="s">
        <v>2132</v>
      </c>
    </row>
    <row r="1691" spans="1:1" x14ac:dyDescent="0.25">
      <c r="A1691" s="66" t="s">
        <v>2133</v>
      </c>
    </row>
    <row r="1692" spans="1:1" x14ac:dyDescent="0.25">
      <c r="A1692" s="66" t="s">
        <v>2134</v>
      </c>
    </row>
    <row r="1693" spans="1:1" x14ac:dyDescent="0.25">
      <c r="A1693" s="66" t="s">
        <v>2135</v>
      </c>
    </row>
    <row r="1694" spans="1:1" x14ac:dyDescent="0.25">
      <c r="A1694" s="66" t="s">
        <v>2136</v>
      </c>
    </row>
    <row r="1695" spans="1:1" x14ac:dyDescent="0.25">
      <c r="A1695" s="66" t="s">
        <v>2137</v>
      </c>
    </row>
    <row r="1696" spans="1:1" x14ac:dyDescent="0.25">
      <c r="A1696" s="66" t="s">
        <v>2138</v>
      </c>
    </row>
    <row r="1697" spans="1:1" x14ac:dyDescent="0.25">
      <c r="A1697" s="66" t="s">
        <v>2139</v>
      </c>
    </row>
    <row r="1698" spans="1:1" x14ac:dyDescent="0.25">
      <c r="A1698" s="66" t="s">
        <v>2140</v>
      </c>
    </row>
    <row r="1699" spans="1:1" x14ac:dyDescent="0.25">
      <c r="A1699" s="66" t="s">
        <v>2141</v>
      </c>
    </row>
    <row r="1700" spans="1:1" x14ac:dyDescent="0.25">
      <c r="A1700" s="66" t="s">
        <v>2142</v>
      </c>
    </row>
    <row r="1701" spans="1:1" x14ac:dyDescent="0.25">
      <c r="A1701" s="66" t="s">
        <v>2143</v>
      </c>
    </row>
    <row r="1702" spans="1:1" x14ac:dyDescent="0.25">
      <c r="A1702" s="66" t="s">
        <v>2144</v>
      </c>
    </row>
    <row r="1703" spans="1:1" x14ac:dyDescent="0.25">
      <c r="A1703" s="66" t="s">
        <v>2145</v>
      </c>
    </row>
    <row r="1704" spans="1:1" x14ac:dyDescent="0.25">
      <c r="A1704" s="66" t="s">
        <v>2146</v>
      </c>
    </row>
    <row r="1705" spans="1:1" x14ac:dyDescent="0.25">
      <c r="A1705" s="66" t="s">
        <v>2147</v>
      </c>
    </row>
    <row r="1706" spans="1:1" x14ac:dyDescent="0.25">
      <c r="A1706" s="66" t="s">
        <v>2148</v>
      </c>
    </row>
    <row r="1707" spans="1:1" x14ac:dyDescent="0.25">
      <c r="A1707" s="66" t="s">
        <v>2149</v>
      </c>
    </row>
    <row r="1708" spans="1:1" x14ac:dyDescent="0.25">
      <c r="A1708" s="66" t="s">
        <v>2150</v>
      </c>
    </row>
    <row r="1709" spans="1:1" x14ac:dyDescent="0.25">
      <c r="A1709" s="66" t="s">
        <v>2151</v>
      </c>
    </row>
    <row r="1710" spans="1:1" x14ac:dyDescent="0.25">
      <c r="A1710" s="66" t="s">
        <v>2152</v>
      </c>
    </row>
    <row r="1711" spans="1:1" x14ac:dyDescent="0.25">
      <c r="A1711" s="66" t="s">
        <v>2153</v>
      </c>
    </row>
    <row r="1712" spans="1:1" x14ac:dyDescent="0.25">
      <c r="A1712" s="66" t="s">
        <v>2154</v>
      </c>
    </row>
    <row r="1713" spans="1:1" x14ac:dyDescent="0.25">
      <c r="A1713" s="66" t="s">
        <v>2155</v>
      </c>
    </row>
    <row r="1714" spans="1:1" x14ac:dyDescent="0.25">
      <c r="A1714" s="66" t="s">
        <v>2156</v>
      </c>
    </row>
    <row r="1715" spans="1:1" x14ac:dyDescent="0.25">
      <c r="A1715" s="66" t="s">
        <v>2157</v>
      </c>
    </row>
    <row r="1716" spans="1:1" x14ac:dyDescent="0.25">
      <c r="A1716" s="66" t="s">
        <v>2158</v>
      </c>
    </row>
    <row r="1717" spans="1:1" x14ac:dyDescent="0.25">
      <c r="A1717" s="66" t="s">
        <v>2159</v>
      </c>
    </row>
    <row r="1718" spans="1:1" x14ac:dyDescent="0.25">
      <c r="A1718" s="66" t="s">
        <v>2160</v>
      </c>
    </row>
    <row r="1719" spans="1:1" x14ac:dyDescent="0.25">
      <c r="A1719" s="66" t="s">
        <v>2161</v>
      </c>
    </row>
    <row r="1720" spans="1:1" x14ac:dyDescent="0.25">
      <c r="A1720" s="66" t="s">
        <v>2162</v>
      </c>
    </row>
    <row r="1721" spans="1:1" x14ac:dyDescent="0.25">
      <c r="A1721" s="66" t="s">
        <v>2163</v>
      </c>
    </row>
    <row r="1722" spans="1:1" x14ac:dyDescent="0.25">
      <c r="A1722" s="56" t="s">
        <v>2164</v>
      </c>
    </row>
    <row r="1723" spans="1:1" x14ac:dyDescent="0.25">
      <c r="A1723" s="66" t="s">
        <v>2165</v>
      </c>
    </row>
    <row r="1724" spans="1:1" x14ac:dyDescent="0.25">
      <c r="A1724" s="56" t="s">
        <v>2166</v>
      </c>
    </row>
    <row r="1725" spans="1:1" x14ac:dyDescent="0.25">
      <c r="A1725" s="66" t="s">
        <v>2167</v>
      </c>
    </row>
    <row r="1726" spans="1:1" x14ac:dyDescent="0.25">
      <c r="A1726" s="66" t="s">
        <v>2168</v>
      </c>
    </row>
    <row r="1727" spans="1:1" x14ac:dyDescent="0.25">
      <c r="A1727" s="66" t="s">
        <v>2169</v>
      </c>
    </row>
    <row r="1728" spans="1:1" x14ac:dyDescent="0.25">
      <c r="A1728" s="66" t="s">
        <v>2170</v>
      </c>
    </row>
    <row r="1729" spans="1:1" x14ac:dyDescent="0.25">
      <c r="A1729" s="66" t="s">
        <v>2171</v>
      </c>
    </row>
    <row r="1730" spans="1:1" x14ac:dyDescent="0.25">
      <c r="A1730" s="66" t="s">
        <v>2172</v>
      </c>
    </row>
    <row r="1731" spans="1:1" x14ac:dyDescent="0.25">
      <c r="A1731" s="66" t="s">
        <v>2173</v>
      </c>
    </row>
    <row r="1732" spans="1:1" x14ac:dyDescent="0.25">
      <c r="A1732" s="66" t="s">
        <v>2174</v>
      </c>
    </row>
    <row r="1733" spans="1:1" x14ac:dyDescent="0.25">
      <c r="A1733" s="66" t="s">
        <v>2175</v>
      </c>
    </row>
    <row r="1734" spans="1:1" x14ac:dyDescent="0.25">
      <c r="A1734" s="66" t="s">
        <v>2176</v>
      </c>
    </row>
    <row r="1735" spans="1:1" x14ac:dyDescent="0.25">
      <c r="A1735" s="66" t="s">
        <v>2177</v>
      </c>
    </row>
    <row r="1736" spans="1:1" x14ac:dyDescent="0.25">
      <c r="A1736" s="66" t="s">
        <v>2178</v>
      </c>
    </row>
    <row r="1737" spans="1:1" x14ac:dyDescent="0.25">
      <c r="A1737" s="66" t="s">
        <v>2179</v>
      </c>
    </row>
    <row r="1738" spans="1:1" x14ac:dyDescent="0.25">
      <c r="A1738" s="66" t="s">
        <v>2180</v>
      </c>
    </row>
    <row r="1739" spans="1:1" x14ac:dyDescent="0.25">
      <c r="A1739" s="66" t="s">
        <v>2181</v>
      </c>
    </row>
    <row r="1740" spans="1:1" x14ac:dyDescent="0.25">
      <c r="A1740" s="66" t="s">
        <v>2182</v>
      </c>
    </row>
    <row r="1741" spans="1:1" x14ac:dyDescent="0.25">
      <c r="A1741" s="66" t="s">
        <v>2183</v>
      </c>
    </row>
    <row r="1742" spans="1:1" x14ac:dyDescent="0.25">
      <c r="A1742" s="66" t="s">
        <v>2184</v>
      </c>
    </row>
    <row r="1743" spans="1:1" x14ac:dyDescent="0.25">
      <c r="A1743" s="66" t="s">
        <v>2185</v>
      </c>
    </row>
    <row r="1744" spans="1:1" x14ac:dyDescent="0.25">
      <c r="A1744" s="66" t="s">
        <v>2186</v>
      </c>
    </row>
    <row r="1745" spans="1:1" x14ac:dyDescent="0.25">
      <c r="A1745" s="66" t="s">
        <v>2187</v>
      </c>
    </row>
    <row r="1746" spans="1:1" x14ac:dyDescent="0.25">
      <c r="A1746" s="66" t="s">
        <v>2188</v>
      </c>
    </row>
    <row r="1747" spans="1:1" x14ac:dyDescent="0.25">
      <c r="A1747" s="66" t="s">
        <v>2189</v>
      </c>
    </row>
    <row r="1748" spans="1:1" x14ac:dyDescent="0.25">
      <c r="A1748" s="66" t="s">
        <v>2190</v>
      </c>
    </row>
    <row r="1749" spans="1:1" x14ac:dyDescent="0.25">
      <c r="A1749" s="66" t="s">
        <v>2191</v>
      </c>
    </row>
    <row r="1750" spans="1:1" x14ac:dyDescent="0.25">
      <c r="A1750" s="67" t="s">
        <v>2192</v>
      </c>
    </row>
    <row r="1751" spans="1:1" x14ac:dyDescent="0.25">
      <c r="A1751" s="66" t="s">
        <v>2193</v>
      </c>
    </row>
    <row r="1752" spans="1:1" x14ac:dyDescent="0.25">
      <c r="A1752" s="66" t="s">
        <v>2194</v>
      </c>
    </row>
    <row r="1753" spans="1:1" x14ac:dyDescent="0.25">
      <c r="A1753" s="66" t="s">
        <v>2195</v>
      </c>
    </row>
    <row r="1754" spans="1:1" x14ac:dyDescent="0.25">
      <c r="A1754" s="56" t="s">
        <v>2196</v>
      </c>
    </row>
    <row r="1755" spans="1:1" x14ac:dyDescent="0.25">
      <c r="A1755" s="66" t="s">
        <v>2197</v>
      </c>
    </row>
    <row r="1756" spans="1:1" x14ac:dyDescent="0.25">
      <c r="A1756" s="56" t="s">
        <v>2198</v>
      </c>
    </row>
    <row r="1757" spans="1:1" x14ac:dyDescent="0.25">
      <c r="A1757" s="66" t="s">
        <v>2199</v>
      </c>
    </row>
    <row r="1758" spans="1:1" x14ac:dyDescent="0.25">
      <c r="A1758" s="66" t="s">
        <v>2200</v>
      </c>
    </row>
    <row r="1759" spans="1:1" x14ac:dyDescent="0.25">
      <c r="A1759" s="66" t="s">
        <v>2201</v>
      </c>
    </row>
    <row r="1760" spans="1:1" x14ac:dyDescent="0.25">
      <c r="A1760" s="66" t="s">
        <v>2202</v>
      </c>
    </row>
    <row r="1761" spans="1:1" x14ac:dyDescent="0.25">
      <c r="A1761" s="66" t="s">
        <v>2203</v>
      </c>
    </row>
    <row r="1762" spans="1:1" x14ac:dyDescent="0.25">
      <c r="A1762" s="66" t="s">
        <v>2204</v>
      </c>
    </row>
    <row r="1763" spans="1:1" x14ac:dyDescent="0.25">
      <c r="A1763" s="66" t="s">
        <v>2205</v>
      </c>
    </row>
    <row r="1764" spans="1:1" x14ac:dyDescent="0.25">
      <c r="A1764" s="66" t="s">
        <v>2206</v>
      </c>
    </row>
    <row r="1765" spans="1:1" x14ac:dyDescent="0.25">
      <c r="A1765" s="66" t="s">
        <v>2207</v>
      </c>
    </row>
    <row r="1766" spans="1:1" x14ac:dyDescent="0.25">
      <c r="A1766" s="66" t="s">
        <v>2208</v>
      </c>
    </row>
    <row r="1767" spans="1:1" x14ac:dyDescent="0.25">
      <c r="A1767" s="66" t="s">
        <v>2209</v>
      </c>
    </row>
    <row r="1768" spans="1:1" x14ac:dyDescent="0.25">
      <c r="A1768" s="66" t="s">
        <v>2210</v>
      </c>
    </row>
    <row r="1769" spans="1:1" x14ac:dyDescent="0.25">
      <c r="A1769" s="66" t="s">
        <v>2211</v>
      </c>
    </row>
    <row r="1770" spans="1:1" x14ac:dyDescent="0.25">
      <c r="A1770" s="66" t="s">
        <v>2212</v>
      </c>
    </row>
    <row r="1771" spans="1:1" x14ac:dyDescent="0.25">
      <c r="A1771" s="66" t="s">
        <v>2213</v>
      </c>
    </row>
    <row r="1772" spans="1:1" x14ac:dyDescent="0.25">
      <c r="A1772" s="66" t="s">
        <v>2214</v>
      </c>
    </row>
    <row r="1773" spans="1:1" x14ac:dyDescent="0.25">
      <c r="A1773" s="66" t="s">
        <v>2215</v>
      </c>
    </row>
    <row r="1774" spans="1:1" x14ac:dyDescent="0.25">
      <c r="A1774" s="66" t="s">
        <v>2216</v>
      </c>
    </row>
    <row r="1775" spans="1:1" x14ac:dyDescent="0.25">
      <c r="A1775" s="66" t="s">
        <v>2217</v>
      </c>
    </row>
    <row r="1776" spans="1:1" x14ac:dyDescent="0.25">
      <c r="A1776" s="66" t="s">
        <v>2218</v>
      </c>
    </row>
    <row r="1777" spans="1:1" x14ac:dyDescent="0.25">
      <c r="A1777" s="66" t="s">
        <v>2219</v>
      </c>
    </row>
    <row r="1778" spans="1:1" x14ac:dyDescent="0.25">
      <c r="A1778" s="66" t="s">
        <v>2220</v>
      </c>
    </row>
    <row r="1779" spans="1:1" x14ac:dyDescent="0.25">
      <c r="A1779" s="56" t="s">
        <v>2221</v>
      </c>
    </row>
    <row r="1780" spans="1:1" x14ac:dyDescent="0.25">
      <c r="A1780" s="66" t="s">
        <v>2222</v>
      </c>
    </row>
    <row r="1781" spans="1:1" x14ac:dyDescent="0.25">
      <c r="A1781" s="56" t="s">
        <v>2223</v>
      </c>
    </row>
    <row r="1782" spans="1:1" x14ac:dyDescent="0.25">
      <c r="A1782" s="66" t="s">
        <v>2224</v>
      </c>
    </row>
    <row r="1783" spans="1:1" x14ac:dyDescent="0.25">
      <c r="A1783" s="66" t="s">
        <v>2225</v>
      </c>
    </row>
    <row r="1784" spans="1:1" x14ac:dyDescent="0.25">
      <c r="A1784" s="66" t="s">
        <v>2226</v>
      </c>
    </row>
    <row r="1785" spans="1:1" x14ac:dyDescent="0.25">
      <c r="A1785" s="66" t="s">
        <v>2227</v>
      </c>
    </row>
    <row r="1786" spans="1:1" x14ac:dyDescent="0.25">
      <c r="A1786" s="66" t="s">
        <v>2228</v>
      </c>
    </row>
    <row r="1787" spans="1:1" x14ac:dyDescent="0.25">
      <c r="A1787" s="66" t="s">
        <v>2229</v>
      </c>
    </row>
    <row r="1788" spans="1:1" x14ac:dyDescent="0.25">
      <c r="A1788" s="66" t="s">
        <v>2230</v>
      </c>
    </row>
    <row r="1789" spans="1:1" x14ac:dyDescent="0.25">
      <c r="A1789" s="66" t="s">
        <v>2231</v>
      </c>
    </row>
    <row r="1790" spans="1:1" x14ac:dyDescent="0.25">
      <c r="A1790" s="66" t="s">
        <v>2232</v>
      </c>
    </row>
    <row r="1791" spans="1:1" x14ac:dyDescent="0.25">
      <c r="A1791" s="66" t="s">
        <v>2233</v>
      </c>
    </row>
    <row r="1792" spans="1:1" x14ac:dyDescent="0.25">
      <c r="A1792" s="66" t="s">
        <v>2234</v>
      </c>
    </row>
    <row r="1793" spans="1:1" x14ac:dyDescent="0.25">
      <c r="A1793" s="66" t="s">
        <v>2235</v>
      </c>
    </row>
    <row r="1794" spans="1:1" x14ac:dyDescent="0.25">
      <c r="A1794" s="66" t="s">
        <v>2236</v>
      </c>
    </row>
    <row r="1795" spans="1:1" x14ac:dyDescent="0.25">
      <c r="A1795" s="66" t="s">
        <v>2237</v>
      </c>
    </row>
    <row r="1796" spans="1:1" x14ac:dyDescent="0.25">
      <c r="A1796" s="66" t="s">
        <v>2238</v>
      </c>
    </row>
    <row r="1797" spans="1:1" x14ac:dyDescent="0.25">
      <c r="A1797" s="66" t="s">
        <v>2239</v>
      </c>
    </row>
    <row r="1798" spans="1:1" x14ac:dyDescent="0.25">
      <c r="A1798" s="66" t="s">
        <v>2240</v>
      </c>
    </row>
    <row r="1799" spans="1:1" x14ac:dyDescent="0.25">
      <c r="A1799" s="66" t="s">
        <v>2241</v>
      </c>
    </row>
    <row r="1800" spans="1:1" x14ac:dyDescent="0.25">
      <c r="A1800" s="66" t="s">
        <v>2242</v>
      </c>
    </row>
    <row r="1801" spans="1:1" x14ac:dyDescent="0.25">
      <c r="A1801" s="66" t="s">
        <v>2243</v>
      </c>
    </row>
    <row r="1802" spans="1:1" x14ac:dyDescent="0.25">
      <c r="A1802" s="66" t="s">
        <v>2244</v>
      </c>
    </row>
    <row r="1803" spans="1:1" x14ac:dyDescent="0.25">
      <c r="A1803" s="66" t="s">
        <v>2245</v>
      </c>
    </row>
    <row r="1804" spans="1:1" x14ac:dyDescent="0.25">
      <c r="A1804" s="66" t="s">
        <v>2246</v>
      </c>
    </row>
    <row r="1805" spans="1:1" x14ac:dyDescent="0.25">
      <c r="A1805" s="66" t="s">
        <v>2247</v>
      </c>
    </row>
    <row r="1806" spans="1:1" x14ac:dyDescent="0.25">
      <c r="A1806" s="66" t="s">
        <v>2248</v>
      </c>
    </row>
    <row r="1807" spans="1:1" x14ac:dyDescent="0.25">
      <c r="A1807" s="66" t="s">
        <v>2249</v>
      </c>
    </row>
    <row r="1808" spans="1:1" x14ac:dyDescent="0.25">
      <c r="A1808" s="66" t="s">
        <v>2250</v>
      </c>
    </row>
    <row r="1809" spans="1:1" x14ac:dyDescent="0.25">
      <c r="A1809" s="66" t="s">
        <v>2251</v>
      </c>
    </row>
    <row r="1810" spans="1:1" x14ac:dyDescent="0.25">
      <c r="A1810" s="66" t="s">
        <v>2252</v>
      </c>
    </row>
    <row r="1811" spans="1:1" x14ac:dyDescent="0.25">
      <c r="A1811" s="66" t="s">
        <v>2253</v>
      </c>
    </row>
    <row r="1812" spans="1:1" x14ac:dyDescent="0.25">
      <c r="A1812" s="66" t="s">
        <v>2254</v>
      </c>
    </row>
    <row r="1813" spans="1:1" x14ac:dyDescent="0.25">
      <c r="A1813" s="66" t="s">
        <v>2255</v>
      </c>
    </row>
    <row r="1814" spans="1:1" x14ac:dyDescent="0.25">
      <c r="A1814" s="66" t="s">
        <v>2256</v>
      </c>
    </row>
    <row r="1815" spans="1:1" x14ac:dyDescent="0.25">
      <c r="A1815" s="66" t="s">
        <v>2257</v>
      </c>
    </row>
    <row r="1816" spans="1:1" x14ac:dyDescent="0.25">
      <c r="A1816" s="66" t="s">
        <v>2258</v>
      </c>
    </row>
    <row r="1817" spans="1:1" x14ac:dyDescent="0.25">
      <c r="A1817" s="66" t="s">
        <v>2259</v>
      </c>
    </row>
    <row r="1818" spans="1:1" x14ac:dyDescent="0.25">
      <c r="A1818" s="66" t="s">
        <v>2260</v>
      </c>
    </row>
    <row r="1819" spans="1:1" x14ac:dyDescent="0.25">
      <c r="A1819" s="66" t="s">
        <v>2261</v>
      </c>
    </row>
    <row r="1820" spans="1:1" x14ac:dyDescent="0.25">
      <c r="A1820" s="66" t="s">
        <v>2262</v>
      </c>
    </row>
    <row r="1821" spans="1:1" x14ac:dyDescent="0.25">
      <c r="A1821" s="66" t="s">
        <v>2263</v>
      </c>
    </row>
    <row r="1822" spans="1:1" x14ac:dyDescent="0.25">
      <c r="A1822" s="66" t="s">
        <v>2264</v>
      </c>
    </row>
    <row r="1823" spans="1:1" x14ac:dyDescent="0.25">
      <c r="A1823" s="66" t="s">
        <v>2265</v>
      </c>
    </row>
    <row r="1824" spans="1:1" x14ac:dyDescent="0.25">
      <c r="A1824" s="66" t="s">
        <v>2266</v>
      </c>
    </row>
    <row r="1825" spans="1:1" x14ac:dyDescent="0.25">
      <c r="A1825" s="66" t="s">
        <v>2267</v>
      </c>
    </row>
    <row r="1826" spans="1:1" x14ac:dyDescent="0.25">
      <c r="A1826" s="66" t="s">
        <v>2268</v>
      </c>
    </row>
    <row r="1827" spans="1:1" x14ac:dyDescent="0.25">
      <c r="A1827" s="66" t="s">
        <v>2269</v>
      </c>
    </row>
    <row r="1828" spans="1:1" x14ac:dyDescent="0.25">
      <c r="A1828" s="66" t="s">
        <v>2270</v>
      </c>
    </row>
    <row r="1829" spans="1:1" x14ac:dyDescent="0.25">
      <c r="A1829" s="66" t="s">
        <v>2271</v>
      </c>
    </row>
    <row r="1830" spans="1:1" x14ac:dyDescent="0.25">
      <c r="A1830" s="66" t="s">
        <v>2272</v>
      </c>
    </row>
    <row r="1831" spans="1:1" x14ac:dyDescent="0.25">
      <c r="A1831" s="66" t="s">
        <v>2273</v>
      </c>
    </row>
    <row r="1832" spans="1:1" x14ac:dyDescent="0.25">
      <c r="A1832" s="66" t="s">
        <v>2274</v>
      </c>
    </row>
    <row r="1833" spans="1:1" x14ac:dyDescent="0.25">
      <c r="A1833" s="66" t="s">
        <v>2275</v>
      </c>
    </row>
    <row r="1834" spans="1:1" x14ac:dyDescent="0.25">
      <c r="A1834" s="66" t="s">
        <v>2276</v>
      </c>
    </row>
    <row r="1835" spans="1:1" x14ac:dyDescent="0.25">
      <c r="A1835" s="66" t="s">
        <v>2277</v>
      </c>
    </row>
    <row r="1836" spans="1:1" x14ac:dyDescent="0.25">
      <c r="A1836" s="66" t="s">
        <v>2278</v>
      </c>
    </row>
    <row r="1837" spans="1:1" x14ac:dyDescent="0.25">
      <c r="A1837" s="66" t="s">
        <v>2279</v>
      </c>
    </row>
    <row r="1838" spans="1:1" x14ac:dyDescent="0.25">
      <c r="A1838" s="66" t="s">
        <v>2280</v>
      </c>
    </row>
    <row r="1839" spans="1:1" x14ac:dyDescent="0.25">
      <c r="A1839" s="66" t="s">
        <v>2281</v>
      </c>
    </row>
    <row r="1840" spans="1:1" x14ac:dyDescent="0.25">
      <c r="A1840" s="66" t="s">
        <v>2282</v>
      </c>
    </row>
    <row r="1841" spans="1:1" x14ac:dyDescent="0.25">
      <c r="A1841" s="66" t="s">
        <v>2283</v>
      </c>
    </row>
    <row r="1842" spans="1:1" x14ac:dyDescent="0.25">
      <c r="A1842" s="66" t="s">
        <v>2284</v>
      </c>
    </row>
    <row r="1843" spans="1:1" x14ac:dyDescent="0.25">
      <c r="A1843" s="56" t="s">
        <v>2285</v>
      </c>
    </row>
    <row r="1844" spans="1:1" x14ac:dyDescent="0.25">
      <c r="A1844" s="66" t="s">
        <v>2286</v>
      </c>
    </row>
    <row r="1845" spans="1:1" x14ac:dyDescent="0.25">
      <c r="A1845" s="56" t="s">
        <v>2287</v>
      </c>
    </row>
    <row r="1846" spans="1:1" x14ac:dyDescent="0.25">
      <c r="A1846" s="66" t="s">
        <v>2288</v>
      </c>
    </row>
    <row r="1847" spans="1:1" x14ac:dyDescent="0.25">
      <c r="A1847" s="66" t="s">
        <v>2289</v>
      </c>
    </row>
    <row r="1848" spans="1:1" x14ac:dyDescent="0.25">
      <c r="A1848" s="66" t="s">
        <v>2290</v>
      </c>
    </row>
    <row r="1849" spans="1:1" x14ac:dyDescent="0.25">
      <c r="A1849" s="66" t="s">
        <v>2291</v>
      </c>
    </row>
    <row r="1850" spans="1:1" x14ac:dyDescent="0.25">
      <c r="A1850" s="66" t="s">
        <v>2292</v>
      </c>
    </row>
    <row r="1851" spans="1:1" x14ac:dyDescent="0.25">
      <c r="A1851" s="66" t="s">
        <v>2293</v>
      </c>
    </row>
    <row r="1852" spans="1:1" x14ac:dyDescent="0.25">
      <c r="A1852" s="66" t="s">
        <v>2294</v>
      </c>
    </row>
    <row r="1853" spans="1:1" x14ac:dyDescent="0.25">
      <c r="A1853" s="66" t="s">
        <v>2295</v>
      </c>
    </row>
    <row r="1854" spans="1:1" x14ac:dyDescent="0.25">
      <c r="A1854" s="66" t="s">
        <v>2296</v>
      </c>
    </row>
    <row r="1855" spans="1:1" x14ac:dyDescent="0.25">
      <c r="A1855" s="66" t="s">
        <v>2297</v>
      </c>
    </row>
    <row r="1856" spans="1:1" x14ac:dyDescent="0.25">
      <c r="A1856" s="66" t="s">
        <v>2298</v>
      </c>
    </row>
    <row r="1857" spans="1:1" x14ac:dyDescent="0.25">
      <c r="A1857" s="66" t="s">
        <v>2299</v>
      </c>
    </row>
    <row r="1858" spans="1:1" x14ac:dyDescent="0.25">
      <c r="A1858" s="66" t="s">
        <v>2300</v>
      </c>
    </row>
    <row r="1859" spans="1:1" x14ac:dyDescent="0.25">
      <c r="A1859" s="66" t="s">
        <v>2301</v>
      </c>
    </row>
    <row r="1860" spans="1:1" x14ac:dyDescent="0.25">
      <c r="A1860" s="66" t="s">
        <v>2302</v>
      </c>
    </row>
    <row r="1861" spans="1:1" x14ac:dyDescent="0.25">
      <c r="A1861" s="66" t="s">
        <v>2303</v>
      </c>
    </row>
    <row r="1862" spans="1:1" x14ac:dyDescent="0.25">
      <c r="A1862" s="66" t="s">
        <v>2304</v>
      </c>
    </row>
    <row r="1863" spans="1:1" x14ac:dyDescent="0.25">
      <c r="A1863" s="66" t="s">
        <v>2305</v>
      </c>
    </row>
    <row r="1864" spans="1:1" x14ac:dyDescent="0.25">
      <c r="A1864" s="66" t="s">
        <v>2306</v>
      </c>
    </row>
    <row r="1865" spans="1:1" x14ac:dyDescent="0.25">
      <c r="A1865" s="66" t="s">
        <v>2307</v>
      </c>
    </row>
    <row r="1866" spans="1:1" x14ac:dyDescent="0.25">
      <c r="A1866" s="66" t="s">
        <v>2308</v>
      </c>
    </row>
    <row r="1867" spans="1:1" x14ac:dyDescent="0.25">
      <c r="A1867" s="66" t="s">
        <v>2309</v>
      </c>
    </row>
    <row r="1868" spans="1:1" x14ac:dyDescent="0.25">
      <c r="A1868" s="66" t="s">
        <v>2310</v>
      </c>
    </row>
    <row r="1869" spans="1:1" x14ac:dyDescent="0.25">
      <c r="A1869" s="66" t="s">
        <v>2311</v>
      </c>
    </row>
    <row r="1870" spans="1:1" x14ac:dyDescent="0.25">
      <c r="A1870" s="66" t="s">
        <v>2312</v>
      </c>
    </row>
    <row r="1871" spans="1:1" x14ac:dyDescent="0.25">
      <c r="A1871" s="66" t="s">
        <v>2313</v>
      </c>
    </row>
    <row r="1872" spans="1:1" x14ac:dyDescent="0.25">
      <c r="A1872" s="66" t="s">
        <v>2314</v>
      </c>
    </row>
    <row r="1873" spans="1:1" x14ac:dyDescent="0.25">
      <c r="A1873" s="66" t="s">
        <v>2315</v>
      </c>
    </row>
    <row r="1874" spans="1:1" x14ac:dyDescent="0.25">
      <c r="A1874" s="66" t="s">
        <v>2316</v>
      </c>
    </row>
    <row r="1875" spans="1:1" x14ac:dyDescent="0.25">
      <c r="A1875" s="66" t="s">
        <v>2317</v>
      </c>
    </row>
    <row r="1876" spans="1:1" x14ac:dyDescent="0.25">
      <c r="A1876" s="66" t="s">
        <v>2318</v>
      </c>
    </row>
    <row r="1877" spans="1:1" x14ac:dyDescent="0.25">
      <c r="A1877" s="66" t="s">
        <v>2319</v>
      </c>
    </row>
    <row r="1878" spans="1:1" x14ac:dyDescent="0.25">
      <c r="A1878" s="66" t="s">
        <v>2320</v>
      </c>
    </row>
    <row r="1879" spans="1:1" x14ac:dyDescent="0.25">
      <c r="A1879" s="66" t="s">
        <v>2321</v>
      </c>
    </row>
    <row r="1880" spans="1:1" x14ac:dyDescent="0.25">
      <c r="A1880" s="66" t="s">
        <v>2322</v>
      </c>
    </row>
    <row r="1881" spans="1:1" x14ac:dyDescent="0.25">
      <c r="A1881" s="66" t="s">
        <v>2323</v>
      </c>
    </row>
    <row r="1882" spans="1:1" x14ac:dyDescent="0.25">
      <c r="A1882" s="66" t="s">
        <v>2324</v>
      </c>
    </row>
    <row r="1883" spans="1:1" x14ac:dyDescent="0.25">
      <c r="A1883" s="66" t="s">
        <v>2325</v>
      </c>
    </row>
    <row r="1884" spans="1:1" x14ac:dyDescent="0.25">
      <c r="A1884" s="66" t="s">
        <v>2326</v>
      </c>
    </row>
    <row r="1885" spans="1:1" x14ac:dyDescent="0.25">
      <c r="A1885" s="66" t="s">
        <v>2327</v>
      </c>
    </row>
    <row r="1886" spans="1:1" x14ac:dyDescent="0.25">
      <c r="A1886" s="66" t="s">
        <v>2328</v>
      </c>
    </row>
    <row r="1887" spans="1:1" x14ac:dyDescent="0.25">
      <c r="A1887" s="66" t="s">
        <v>2329</v>
      </c>
    </row>
    <row r="1888" spans="1:1" x14ac:dyDescent="0.25">
      <c r="A1888" s="66" t="s">
        <v>2330</v>
      </c>
    </row>
    <row r="1889" spans="1:1" x14ac:dyDescent="0.25">
      <c r="A1889" s="66" t="s">
        <v>2331</v>
      </c>
    </row>
    <row r="1890" spans="1:1" x14ac:dyDescent="0.25">
      <c r="A1890" s="66" t="s">
        <v>2332</v>
      </c>
    </row>
    <row r="1891" spans="1:1" x14ac:dyDescent="0.25">
      <c r="A1891" s="66" t="s">
        <v>2333</v>
      </c>
    </row>
    <row r="1892" spans="1:1" x14ac:dyDescent="0.25">
      <c r="A1892" s="66" t="s">
        <v>2334</v>
      </c>
    </row>
    <row r="1893" spans="1:1" x14ac:dyDescent="0.25">
      <c r="A1893" s="66" t="s">
        <v>2335</v>
      </c>
    </row>
    <row r="1894" spans="1:1" x14ac:dyDescent="0.25">
      <c r="A1894" s="66" t="s">
        <v>2336</v>
      </c>
    </row>
    <row r="1895" spans="1:1" x14ac:dyDescent="0.25">
      <c r="A1895" s="66" t="s">
        <v>2337</v>
      </c>
    </row>
    <row r="1896" spans="1:1" x14ac:dyDescent="0.25">
      <c r="A1896" s="66" t="s">
        <v>2338</v>
      </c>
    </row>
    <row r="1897" spans="1:1" x14ac:dyDescent="0.25">
      <c r="A1897" s="66" t="s">
        <v>2339</v>
      </c>
    </row>
    <row r="1898" spans="1:1" x14ac:dyDescent="0.25">
      <c r="A1898" s="66" t="s">
        <v>2340</v>
      </c>
    </row>
    <row r="1899" spans="1:1" x14ac:dyDescent="0.25">
      <c r="A1899" s="66" t="s">
        <v>2341</v>
      </c>
    </row>
    <row r="1900" spans="1:1" x14ac:dyDescent="0.25">
      <c r="A1900" s="66" t="s">
        <v>2342</v>
      </c>
    </row>
    <row r="1901" spans="1:1" x14ac:dyDescent="0.25">
      <c r="A1901" s="66" t="s">
        <v>2343</v>
      </c>
    </row>
    <row r="1902" spans="1:1" x14ac:dyDescent="0.25">
      <c r="A1902" s="66" t="s">
        <v>2344</v>
      </c>
    </row>
    <row r="1903" spans="1:1" x14ac:dyDescent="0.25">
      <c r="A1903" s="66" t="s">
        <v>2345</v>
      </c>
    </row>
    <row r="1904" spans="1:1" x14ac:dyDescent="0.25">
      <c r="A1904" s="66" t="s">
        <v>2346</v>
      </c>
    </row>
    <row r="1905" spans="1:1" x14ac:dyDescent="0.25">
      <c r="A1905" s="66" t="s">
        <v>2347</v>
      </c>
    </row>
    <row r="1906" spans="1:1" x14ac:dyDescent="0.25">
      <c r="A1906" s="66" t="s">
        <v>2348</v>
      </c>
    </row>
    <row r="1907" spans="1:1" x14ac:dyDescent="0.25">
      <c r="A1907" s="66" t="s">
        <v>2349</v>
      </c>
    </row>
    <row r="1908" spans="1:1" x14ac:dyDescent="0.25">
      <c r="A1908" s="66" t="s">
        <v>2350</v>
      </c>
    </row>
    <row r="1909" spans="1:1" x14ac:dyDescent="0.25">
      <c r="A1909" s="66" t="s">
        <v>2351</v>
      </c>
    </row>
    <row r="1910" spans="1:1" x14ac:dyDescent="0.25">
      <c r="A1910" s="66" t="s">
        <v>2352</v>
      </c>
    </row>
    <row r="1911" spans="1:1" x14ac:dyDescent="0.25">
      <c r="A1911" s="66" t="s">
        <v>2353</v>
      </c>
    </row>
    <row r="1912" spans="1:1" x14ac:dyDescent="0.25">
      <c r="A1912" s="66" t="s">
        <v>2354</v>
      </c>
    </row>
    <row r="1913" spans="1:1" x14ac:dyDescent="0.25">
      <c r="A1913" s="66" t="s">
        <v>2355</v>
      </c>
    </row>
    <row r="1914" spans="1:1" x14ac:dyDescent="0.25">
      <c r="A1914" s="66" t="s">
        <v>2356</v>
      </c>
    </row>
    <row r="1915" spans="1:1" x14ac:dyDescent="0.25">
      <c r="A1915" s="66" t="s">
        <v>2357</v>
      </c>
    </row>
    <row r="1916" spans="1:1" x14ac:dyDescent="0.25">
      <c r="A1916" s="56" t="s">
        <v>2358</v>
      </c>
    </row>
    <row r="1917" spans="1:1" x14ac:dyDescent="0.25">
      <c r="A1917" s="66" t="s">
        <v>2359</v>
      </c>
    </row>
    <row r="1918" spans="1:1" x14ac:dyDescent="0.25">
      <c r="A1918" s="56" t="s">
        <v>2360</v>
      </c>
    </row>
    <row r="1919" spans="1:1" x14ac:dyDescent="0.25">
      <c r="A1919" s="66" t="s">
        <v>2361</v>
      </c>
    </row>
    <row r="1920" spans="1:1" x14ac:dyDescent="0.25">
      <c r="A1920" s="66" t="s">
        <v>2362</v>
      </c>
    </row>
    <row r="1921" spans="1:1" x14ac:dyDescent="0.25">
      <c r="A1921" s="66" t="s">
        <v>2363</v>
      </c>
    </row>
    <row r="1922" spans="1:1" x14ac:dyDescent="0.25">
      <c r="A1922" s="66" t="s">
        <v>2364</v>
      </c>
    </row>
    <row r="1923" spans="1:1" x14ac:dyDescent="0.25">
      <c r="A1923" s="66" t="s">
        <v>2365</v>
      </c>
    </row>
    <row r="1924" spans="1:1" x14ac:dyDescent="0.25">
      <c r="A1924" s="66" t="s">
        <v>2366</v>
      </c>
    </row>
    <row r="1925" spans="1:1" x14ac:dyDescent="0.25">
      <c r="A1925" s="66" t="s">
        <v>2367</v>
      </c>
    </row>
    <row r="1926" spans="1:1" x14ac:dyDescent="0.25">
      <c r="A1926" s="66" t="s">
        <v>2368</v>
      </c>
    </row>
    <row r="1927" spans="1:1" x14ac:dyDescent="0.25">
      <c r="A1927" s="66" t="s">
        <v>2369</v>
      </c>
    </row>
    <row r="1928" spans="1:1" x14ac:dyDescent="0.25">
      <c r="A1928" s="66" t="s">
        <v>2370</v>
      </c>
    </row>
    <row r="1929" spans="1:1" x14ac:dyDescent="0.25">
      <c r="A1929" s="66" t="s">
        <v>2371</v>
      </c>
    </row>
    <row r="1930" spans="1:1" x14ac:dyDescent="0.25">
      <c r="A1930" s="66" t="s">
        <v>2372</v>
      </c>
    </row>
    <row r="1931" spans="1:1" x14ac:dyDescent="0.25">
      <c r="A1931" s="66" t="s">
        <v>2373</v>
      </c>
    </row>
    <row r="1932" spans="1:1" x14ac:dyDescent="0.25">
      <c r="A1932" s="66" t="s">
        <v>2374</v>
      </c>
    </row>
    <row r="1933" spans="1:1" x14ac:dyDescent="0.25">
      <c r="A1933" s="66" t="s">
        <v>2375</v>
      </c>
    </row>
    <row r="1934" spans="1:1" x14ac:dyDescent="0.25">
      <c r="A1934" s="66" t="s">
        <v>2376</v>
      </c>
    </row>
    <row r="1935" spans="1:1" x14ac:dyDescent="0.25">
      <c r="A1935" s="66" t="s">
        <v>2377</v>
      </c>
    </row>
    <row r="1936" spans="1:1" x14ac:dyDescent="0.25">
      <c r="A1936" s="66" t="s">
        <v>2378</v>
      </c>
    </row>
    <row r="1937" spans="1:1" x14ac:dyDescent="0.25">
      <c r="A1937" s="66" t="s">
        <v>2379</v>
      </c>
    </row>
    <row r="1938" spans="1:1" x14ac:dyDescent="0.25">
      <c r="A1938" s="66" t="s">
        <v>2380</v>
      </c>
    </row>
    <row r="1939" spans="1:1" x14ac:dyDescent="0.25">
      <c r="A1939" s="66" t="s">
        <v>2381</v>
      </c>
    </row>
    <row r="1940" spans="1:1" x14ac:dyDescent="0.25">
      <c r="A1940" s="66" t="s">
        <v>2382</v>
      </c>
    </row>
    <row r="1941" spans="1:1" x14ac:dyDescent="0.25">
      <c r="A1941" s="66" t="s">
        <v>2383</v>
      </c>
    </row>
    <row r="1942" spans="1:1" x14ac:dyDescent="0.25">
      <c r="A1942" s="66" t="s">
        <v>2384</v>
      </c>
    </row>
    <row r="1943" spans="1:1" x14ac:dyDescent="0.25">
      <c r="A1943" s="66" t="s">
        <v>2385</v>
      </c>
    </row>
    <row r="1944" spans="1:1" x14ac:dyDescent="0.25">
      <c r="A1944" s="66" t="s">
        <v>2386</v>
      </c>
    </row>
    <row r="1945" spans="1:1" x14ac:dyDescent="0.25">
      <c r="A1945" s="66" t="s">
        <v>2387</v>
      </c>
    </row>
    <row r="1946" spans="1:1" x14ac:dyDescent="0.25">
      <c r="A1946" s="66" t="s">
        <v>2388</v>
      </c>
    </row>
    <row r="1947" spans="1:1" x14ac:dyDescent="0.25">
      <c r="A1947" s="66" t="s">
        <v>2389</v>
      </c>
    </row>
    <row r="1948" spans="1:1" x14ac:dyDescent="0.25">
      <c r="A1948" s="66" t="s">
        <v>2390</v>
      </c>
    </row>
    <row r="1949" spans="1:1" x14ac:dyDescent="0.25">
      <c r="A1949" s="66" t="s">
        <v>2391</v>
      </c>
    </row>
    <row r="1950" spans="1:1" x14ac:dyDescent="0.25">
      <c r="A1950" s="66" t="s">
        <v>2392</v>
      </c>
    </row>
    <row r="1951" spans="1:1" x14ac:dyDescent="0.25">
      <c r="A1951" s="66" t="s">
        <v>2393</v>
      </c>
    </row>
    <row r="1952" spans="1:1" x14ac:dyDescent="0.25">
      <c r="A1952" s="66" t="s">
        <v>2394</v>
      </c>
    </row>
    <row r="1953" spans="1:1" x14ac:dyDescent="0.25">
      <c r="A1953" s="66" t="s">
        <v>2395</v>
      </c>
    </row>
    <row r="1954" spans="1:1" x14ac:dyDescent="0.25">
      <c r="A1954" s="66" t="s">
        <v>2396</v>
      </c>
    </row>
    <row r="1955" spans="1:1" x14ac:dyDescent="0.25">
      <c r="A1955" s="66" t="s">
        <v>2397</v>
      </c>
    </row>
    <row r="1956" spans="1:1" x14ac:dyDescent="0.25">
      <c r="A1956" s="66" t="s">
        <v>2398</v>
      </c>
    </row>
    <row r="1957" spans="1:1" x14ac:dyDescent="0.25">
      <c r="A1957" s="66" t="s">
        <v>2399</v>
      </c>
    </row>
    <row r="1958" spans="1:1" x14ac:dyDescent="0.25">
      <c r="A1958" s="66" t="s">
        <v>2400</v>
      </c>
    </row>
    <row r="1959" spans="1:1" x14ac:dyDescent="0.25">
      <c r="A1959" s="66" t="s">
        <v>2401</v>
      </c>
    </row>
    <row r="1960" spans="1:1" x14ac:dyDescent="0.25">
      <c r="A1960" s="66" t="s">
        <v>2402</v>
      </c>
    </row>
    <row r="1961" spans="1:1" x14ac:dyDescent="0.25">
      <c r="A1961" s="66" t="s">
        <v>2403</v>
      </c>
    </row>
    <row r="1962" spans="1:1" x14ac:dyDescent="0.25">
      <c r="A1962" s="66" t="s">
        <v>2404</v>
      </c>
    </row>
    <row r="1963" spans="1:1" x14ac:dyDescent="0.25">
      <c r="A1963" s="66" t="s">
        <v>2405</v>
      </c>
    </row>
    <row r="1964" spans="1:1" x14ac:dyDescent="0.25">
      <c r="A1964" s="66" t="s">
        <v>2406</v>
      </c>
    </row>
    <row r="1965" spans="1:1" x14ac:dyDescent="0.25">
      <c r="A1965" s="56" t="s">
        <v>2407</v>
      </c>
    </row>
    <row r="1966" spans="1:1" x14ac:dyDescent="0.25">
      <c r="A1966" s="66" t="s">
        <v>2408</v>
      </c>
    </row>
    <row r="1967" spans="1:1" x14ac:dyDescent="0.25">
      <c r="A1967" s="56" t="s">
        <v>2409</v>
      </c>
    </row>
    <row r="1968" spans="1:1" x14ac:dyDescent="0.25">
      <c r="A1968" s="66" t="s">
        <v>2410</v>
      </c>
    </row>
    <row r="1969" spans="1:1" x14ac:dyDescent="0.25">
      <c r="A1969" s="66" t="s">
        <v>2411</v>
      </c>
    </row>
    <row r="1970" spans="1:1" x14ac:dyDescent="0.25">
      <c r="A1970" s="66" t="s">
        <v>2412</v>
      </c>
    </row>
    <row r="1971" spans="1:1" x14ac:dyDescent="0.25">
      <c r="A1971" s="66" t="s">
        <v>2413</v>
      </c>
    </row>
    <row r="1972" spans="1:1" x14ac:dyDescent="0.25">
      <c r="A1972" s="66" t="s">
        <v>2414</v>
      </c>
    </row>
    <row r="1973" spans="1:1" x14ac:dyDescent="0.25">
      <c r="A1973" s="66" t="s">
        <v>2415</v>
      </c>
    </row>
    <row r="1974" spans="1:1" x14ac:dyDescent="0.25">
      <c r="A1974" s="66" t="s">
        <v>2416</v>
      </c>
    </row>
    <row r="1975" spans="1:1" x14ac:dyDescent="0.25">
      <c r="A1975" s="66" t="s">
        <v>2417</v>
      </c>
    </row>
    <row r="1976" spans="1:1" x14ac:dyDescent="0.25">
      <c r="A1976" s="66" t="s">
        <v>2418</v>
      </c>
    </row>
    <row r="1977" spans="1:1" x14ac:dyDescent="0.25">
      <c r="A1977" s="66" t="s">
        <v>2419</v>
      </c>
    </row>
    <row r="1978" spans="1:1" x14ac:dyDescent="0.25">
      <c r="A1978" s="66" t="s">
        <v>2420</v>
      </c>
    </row>
    <row r="1979" spans="1:1" x14ac:dyDescent="0.25">
      <c r="A1979" s="66" t="s">
        <v>2421</v>
      </c>
    </row>
    <row r="1980" spans="1:1" x14ac:dyDescent="0.25">
      <c r="A1980" s="66" t="s">
        <v>2422</v>
      </c>
    </row>
    <row r="1981" spans="1:1" x14ac:dyDescent="0.25">
      <c r="A1981" s="66" t="s">
        <v>2423</v>
      </c>
    </row>
    <row r="1982" spans="1:1" x14ac:dyDescent="0.25">
      <c r="A1982" s="66" t="s">
        <v>2424</v>
      </c>
    </row>
    <row r="1983" spans="1:1" x14ac:dyDescent="0.25">
      <c r="A1983" s="66" t="s">
        <v>2425</v>
      </c>
    </row>
    <row r="1984" spans="1:1" x14ac:dyDescent="0.25">
      <c r="A1984" s="66" t="s">
        <v>2426</v>
      </c>
    </row>
    <row r="1985" spans="1:1" x14ac:dyDescent="0.25">
      <c r="A1985" s="66" t="s">
        <v>2427</v>
      </c>
    </row>
    <row r="1986" spans="1:1" x14ac:dyDescent="0.25">
      <c r="A1986" s="66" t="s">
        <v>2428</v>
      </c>
    </row>
    <row r="1987" spans="1:1" x14ac:dyDescent="0.25">
      <c r="A1987" s="66" t="s">
        <v>2429</v>
      </c>
    </row>
    <row r="1988" spans="1:1" x14ac:dyDescent="0.25">
      <c r="A1988" s="66" t="s">
        <v>2430</v>
      </c>
    </row>
    <row r="1989" spans="1:1" x14ac:dyDescent="0.25">
      <c r="A1989" s="66" t="s">
        <v>2431</v>
      </c>
    </row>
    <row r="1990" spans="1:1" x14ac:dyDescent="0.25">
      <c r="A1990" s="66" t="s">
        <v>2432</v>
      </c>
    </row>
    <row r="1991" spans="1:1" x14ac:dyDescent="0.25">
      <c r="A1991" s="66" t="s">
        <v>2433</v>
      </c>
    </row>
    <row r="1992" spans="1:1" x14ac:dyDescent="0.25">
      <c r="A1992" s="56" t="s">
        <v>2434</v>
      </c>
    </row>
    <row r="1993" spans="1:1" x14ac:dyDescent="0.25">
      <c r="A1993" s="66" t="s">
        <v>2435</v>
      </c>
    </row>
    <row r="1994" spans="1:1" x14ac:dyDescent="0.25">
      <c r="A1994" s="56" t="s">
        <v>2436</v>
      </c>
    </row>
    <row r="1995" spans="1:1" x14ac:dyDescent="0.25">
      <c r="A1995" s="66" t="s">
        <v>2437</v>
      </c>
    </row>
    <row r="1996" spans="1:1" x14ac:dyDescent="0.25">
      <c r="A1996" s="66" t="s">
        <v>2438</v>
      </c>
    </row>
    <row r="1997" spans="1:1" x14ac:dyDescent="0.25">
      <c r="A1997" s="66" t="s">
        <v>2439</v>
      </c>
    </row>
    <row r="1998" spans="1:1" x14ac:dyDescent="0.25">
      <c r="A1998" s="66" t="s">
        <v>2440</v>
      </c>
    </row>
    <row r="1999" spans="1:1" x14ac:dyDescent="0.25">
      <c r="A1999" s="66" t="s">
        <v>2441</v>
      </c>
    </row>
    <row r="2000" spans="1:1" x14ac:dyDescent="0.25">
      <c r="A2000" s="66" t="s">
        <v>2442</v>
      </c>
    </row>
    <row r="2001" spans="1:1" x14ac:dyDescent="0.25">
      <c r="A2001" s="66" t="s">
        <v>2443</v>
      </c>
    </row>
    <row r="2002" spans="1:1" x14ac:dyDescent="0.25">
      <c r="A2002" s="66" t="s">
        <v>2444</v>
      </c>
    </row>
    <row r="2003" spans="1:1" x14ac:dyDescent="0.25">
      <c r="A2003" s="66" t="s">
        <v>2445</v>
      </c>
    </row>
    <row r="2004" spans="1:1" x14ac:dyDescent="0.25">
      <c r="A2004" s="66" t="s">
        <v>2446</v>
      </c>
    </row>
    <row r="2005" spans="1:1" x14ac:dyDescent="0.25">
      <c r="A2005" s="66" t="s">
        <v>2447</v>
      </c>
    </row>
    <row r="2006" spans="1:1" x14ac:dyDescent="0.25">
      <c r="A2006" s="66" t="s">
        <v>2448</v>
      </c>
    </row>
    <row r="2007" spans="1:1" x14ac:dyDescent="0.25">
      <c r="A2007" s="66" t="s">
        <v>2449</v>
      </c>
    </row>
    <row r="2008" spans="1:1" x14ac:dyDescent="0.25">
      <c r="A2008" s="66" t="s">
        <v>2450</v>
      </c>
    </row>
    <row r="2009" spans="1:1" x14ac:dyDescent="0.25">
      <c r="A2009" s="66" t="s">
        <v>2451</v>
      </c>
    </row>
    <row r="2010" spans="1:1" x14ac:dyDescent="0.25">
      <c r="A2010" s="66" t="s">
        <v>2452</v>
      </c>
    </row>
    <row r="2011" spans="1:1" x14ac:dyDescent="0.25">
      <c r="A2011" s="66" t="s">
        <v>2453</v>
      </c>
    </row>
    <row r="2012" spans="1:1" x14ac:dyDescent="0.25">
      <c r="A2012" s="66" t="s">
        <v>2454</v>
      </c>
    </row>
    <row r="2013" spans="1:1" x14ac:dyDescent="0.25">
      <c r="A2013" s="66" t="s">
        <v>2455</v>
      </c>
    </row>
    <row r="2014" spans="1:1" x14ac:dyDescent="0.25">
      <c r="A2014" s="66" t="s">
        <v>2456</v>
      </c>
    </row>
    <row r="2015" spans="1:1" x14ac:dyDescent="0.25">
      <c r="A2015" s="66" t="s">
        <v>2457</v>
      </c>
    </row>
    <row r="2016" spans="1:1" x14ac:dyDescent="0.25">
      <c r="A2016" s="66" t="s">
        <v>2458</v>
      </c>
    </row>
    <row r="2017" spans="1:1" x14ac:dyDescent="0.25">
      <c r="A2017" s="56" t="s">
        <v>2459</v>
      </c>
    </row>
    <row r="2018" spans="1:1" x14ac:dyDescent="0.25">
      <c r="A2018" s="66" t="s">
        <v>2460</v>
      </c>
    </row>
    <row r="2019" spans="1:1" x14ac:dyDescent="0.25">
      <c r="A2019" s="56" t="s">
        <v>2461</v>
      </c>
    </row>
    <row r="2020" spans="1:1" x14ac:dyDescent="0.25">
      <c r="A2020" s="66" t="s">
        <v>2462</v>
      </c>
    </row>
    <row r="2021" spans="1:1" x14ac:dyDescent="0.25">
      <c r="A2021" s="56" t="s">
        <v>2463</v>
      </c>
    </row>
    <row r="2022" spans="1:1" x14ac:dyDescent="0.25">
      <c r="A2022" s="66" t="s">
        <v>2464</v>
      </c>
    </row>
    <row r="2023" spans="1:1" x14ac:dyDescent="0.25">
      <c r="A2023" s="56" t="s">
        <v>2465</v>
      </c>
    </row>
    <row r="2024" spans="1:1" x14ac:dyDescent="0.25">
      <c r="A2024" s="66" t="s">
        <v>2466</v>
      </c>
    </row>
    <row r="2025" spans="1:1" x14ac:dyDescent="0.25">
      <c r="A2025" s="56" t="s">
        <v>2467</v>
      </c>
    </row>
    <row r="2026" spans="1:1" x14ac:dyDescent="0.25">
      <c r="A2026" s="66" t="s">
        <v>2468</v>
      </c>
    </row>
    <row r="2027" spans="1:1" x14ac:dyDescent="0.25">
      <c r="A2027" s="56" t="s">
        <v>2469</v>
      </c>
    </row>
    <row r="2028" spans="1:1" x14ac:dyDescent="0.25">
      <c r="A2028" s="67" t="s">
        <v>2470</v>
      </c>
    </row>
    <row r="2029" spans="1:1" x14ac:dyDescent="0.25">
      <c r="A2029" s="66" t="s">
        <v>2471</v>
      </c>
    </row>
    <row r="2030" spans="1:1" x14ac:dyDescent="0.25">
      <c r="A2030" s="66" t="s">
        <v>2472</v>
      </c>
    </row>
    <row r="2031" spans="1:1" x14ac:dyDescent="0.25">
      <c r="A2031" s="66" t="s">
        <v>2473</v>
      </c>
    </row>
    <row r="2032" spans="1:1" x14ac:dyDescent="0.25">
      <c r="A2032" s="66" t="s">
        <v>2474</v>
      </c>
    </row>
    <row r="2033" spans="1:1" x14ac:dyDescent="0.25">
      <c r="A2033" s="66" t="s">
        <v>2475</v>
      </c>
    </row>
    <row r="2034" spans="1:1" x14ac:dyDescent="0.25">
      <c r="A2034" s="66" t="s">
        <v>2476</v>
      </c>
    </row>
    <row r="2035" spans="1:1" x14ac:dyDescent="0.25">
      <c r="A2035" s="66" t="s">
        <v>2477</v>
      </c>
    </row>
    <row r="2036" spans="1:1" x14ac:dyDescent="0.25">
      <c r="A2036" s="66" t="s">
        <v>2478</v>
      </c>
    </row>
    <row r="2037" spans="1:1" x14ac:dyDescent="0.25">
      <c r="A2037" s="66" t="s">
        <v>2479</v>
      </c>
    </row>
    <row r="2038" spans="1:1" x14ac:dyDescent="0.25">
      <c r="A2038" s="66" t="s">
        <v>2480</v>
      </c>
    </row>
    <row r="2039" spans="1:1" x14ac:dyDescent="0.25">
      <c r="A2039" s="66" t="s">
        <v>2481</v>
      </c>
    </row>
    <row r="2040" spans="1:1" x14ac:dyDescent="0.25">
      <c r="A2040" s="66" t="s">
        <v>2482</v>
      </c>
    </row>
    <row r="2041" spans="1:1" x14ac:dyDescent="0.25">
      <c r="A2041" s="66" t="s">
        <v>2483</v>
      </c>
    </row>
    <row r="2042" spans="1:1" x14ac:dyDescent="0.25">
      <c r="A2042" s="66" t="s">
        <v>2484</v>
      </c>
    </row>
    <row r="2043" spans="1:1" x14ac:dyDescent="0.25">
      <c r="A2043" s="66" t="s">
        <v>2485</v>
      </c>
    </row>
    <row r="2044" spans="1:1" x14ac:dyDescent="0.25">
      <c r="A2044" s="66" t="s">
        <v>2486</v>
      </c>
    </row>
    <row r="2045" spans="1:1" x14ac:dyDescent="0.25">
      <c r="A2045" s="66" t="s">
        <v>2487</v>
      </c>
    </row>
    <row r="2046" spans="1:1" x14ac:dyDescent="0.25">
      <c r="A2046" s="66" t="s">
        <v>2488</v>
      </c>
    </row>
    <row r="2047" spans="1:1" x14ac:dyDescent="0.25">
      <c r="A2047" s="66" t="s">
        <v>2489</v>
      </c>
    </row>
    <row r="2048" spans="1:1" x14ac:dyDescent="0.25">
      <c r="A2048" s="66" t="s">
        <v>2490</v>
      </c>
    </row>
    <row r="2049" spans="1:1" x14ac:dyDescent="0.25">
      <c r="A2049" s="66" t="s">
        <v>2491</v>
      </c>
    </row>
    <row r="2050" spans="1:1" x14ac:dyDescent="0.25">
      <c r="A2050" s="66" t="s">
        <v>2492</v>
      </c>
    </row>
    <row r="2051" spans="1:1" x14ac:dyDescent="0.25">
      <c r="A2051" s="66" t="s">
        <v>2493</v>
      </c>
    </row>
    <row r="2052" spans="1:1" x14ac:dyDescent="0.25">
      <c r="A2052" s="66" t="s">
        <v>2494</v>
      </c>
    </row>
    <row r="2053" spans="1:1" x14ac:dyDescent="0.25">
      <c r="A2053" s="66" t="s">
        <v>2495</v>
      </c>
    </row>
    <row r="2054" spans="1:1" x14ac:dyDescent="0.25">
      <c r="A2054" s="66" t="s">
        <v>2496</v>
      </c>
    </row>
    <row r="2055" spans="1:1" x14ac:dyDescent="0.25">
      <c r="A2055" s="66" t="s">
        <v>2497</v>
      </c>
    </row>
    <row r="2056" spans="1:1" x14ac:dyDescent="0.25">
      <c r="A2056" s="66" t="s">
        <v>2498</v>
      </c>
    </row>
    <row r="2057" spans="1:1" x14ac:dyDescent="0.25">
      <c r="A2057" s="66" t="s">
        <v>2499</v>
      </c>
    </row>
    <row r="2058" spans="1:1" x14ac:dyDescent="0.25">
      <c r="A2058" s="66" t="s">
        <v>2500</v>
      </c>
    </row>
    <row r="2059" spans="1:1" x14ac:dyDescent="0.25">
      <c r="A2059" s="66" t="s">
        <v>2501</v>
      </c>
    </row>
    <row r="2060" spans="1:1" x14ac:dyDescent="0.25">
      <c r="A2060" s="66" t="s">
        <v>2502</v>
      </c>
    </row>
    <row r="2061" spans="1:1" x14ac:dyDescent="0.25">
      <c r="A2061" s="66" t="s">
        <v>2503</v>
      </c>
    </row>
    <row r="2062" spans="1:1" x14ac:dyDescent="0.25">
      <c r="A2062" s="66" t="s">
        <v>2504</v>
      </c>
    </row>
    <row r="2063" spans="1:1" x14ac:dyDescent="0.25">
      <c r="A2063" s="66" t="s">
        <v>2505</v>
      </c>
    </row>
    <row r="2064" spans="1:1" x14ac:dyDescent="0.25">
      <c r="A2064" s="66" t="s">
        <v>2506</v>
      </c>
    </row>
    <row r="2065" spans="1:1" x14ac:dyDescent="0.25">
      <c r="A2065" s="66" t="s">
        <v>2507</v>
      </c>
    </row>
    <row r="2066" spans="1:1" x14ac:dyDescent="0.25">
      <c r="A2066" s="66" t="s">
        <v>2508</v>
      </c>
    </row>
    <row r="2067" spans="1:1" x14ac:dyDescent="0.25">
      <c r="A2067" s="66" t="s">
        <v>2509</v>
      </c>
    </row>
    <row r="2068" spans="1:1" x14ac:dyDescent="0.25">
      <c r="A2068" s="66" t="s">
        <v>2510</v>
      </c>
    </row>
    <row r="2069" spans="1:1" x14ac:dyDescent="0.25">
      <c r="A2069" s="66" t="s">
        <v>2511</v>
      </c>
    </row>
    <row r="2070" spans="1:1" x14ac:dyDescent="0.25">
      <c r="A2070" s="66" t="s">
        <v>2512</v>
      </c>
    </row>
    <row r="2071" spans="1:1" x14ac:dyDescent="0.25">
      <c r="A2071" s="66" t="s">
        <v>2513</v>
      </c>
    </row>
    <row r="2072" spans="1:1" x14ac:dyDescent="0.25">
      <c r="A2072" s="66" t="s">
        <v>2514</v>
      </c>
    </row>
    <row r="2073" spans="1:1" x14ac:dyDescent="0.25">
      <c r="A2073" s="66" t="s">
        <v>2515</v>
      </c>
    </row>
    <row r="2074" spans="1:1" x14ac:dyDescent="0.25">
      <c r="A2074" s="66" t="s">
        <v>2516</v>
      </c>
    </row>
    <row r="2075" spans="1:1" x14ac:dyDescent="0.25">
      <c r="A2075" s="66" t="s">
        <v>2517</v>
      </c>
    </row>
    <row r="2076" spans="1:1" x14ac:dyDescent="0.25">
      <c r="A2076" s="66" t="s">
        <v>2518</v>
      </c>
    </row>
    <row r="2077" spans="1:1" x14ac:dyDescent="0.25">
      <c r="A2077" s="66" t="s">
        <v>2519</v>
      </c>
    </row>
    <row r="2078" spans="1:1" x14ac:dyDescent="0.25">
      <c r="A2078" s="66" t="s">
        <v>2520</v>
      </c>
    </row>
    <row r="2079" spans="1:1" x14ac:dyDescent="0.25">
      <c r="A2079" s="66" t="s">
        <v>2521</v>
      </c>
    </row>
    <row r="2080" spans="1:1" x14ac:dyDescent="0.25">
      <c r="A2080" s="66" t="s">
        <v>2522</v>
      </c>
    </row>
    <row r="2081" spans="1:1" x14ac:dyDescent="0.25">
      <c r="A2081" s="66" t="s">
        <v>2523</v>
      </c>
    </row>
    <row r="2082" spans="1:1" x14ac:dyDescent="0.25">
      <c r="A2082" s="66" t="s">
        <v>2524</v>
      </c>
    </row>
    <row r="2083" spans="1:1" x14ac:dyDescent="0.25">
      <c r="A2083" s="66" t="s">
        <v>2525</v>
      </c>
    </row>
    <row r="2084" spans="1:1" x14ac:dyDescent="0.25">
      <c r="A2084" s="66" t="s">
        <v>2526</v>
      </c>
    </row>
    <row r="2085" spans="1:1" x14ac:dyDescent="0.25">
      <c r="A2085" s="66" t="s">
        <v>2527</v>
      </c>
    </row>
    <row r="2086" spans="1:1" x14ac:dyDescent="0.25">
      <c r="A2086" s="66" t="s">
        <v>2528</v>
      </c>
    </row>
    <row r="2087" spans="1:1" x14ac:dyDescent="0.25">
      <c r="A2087" s="66" t="s">
        <v>2529</v>
      </c>
    </row>
    <row r="2088" spans="1:1" x14ac:dyDescent="0.25">
      <c r="A2088" s="66" t="s">
        <v>2530</v>
      </c>
    </row>
    <row r="2089" spans="1:1" x14ac:dyDescent="0.25">
      <c r="A2089" s="66" t="s">
        <v>2531</v>
      </c>
    </row>
    <row r="2090" spans="1:1" x14ac:dyDescent="0.25">
      <c r="A2090" s="66" t="s">
        <v>2532</v>
      </c>
    </row>
    <row r="2091" spans="1:1" x14ac:dyDescent="0.25">
      <c r="A2091" s="66" t="s">
        <v>2533</v>
      </c>
    </row>
    <row r="2092" spans="1:1" x14ac:dyDescent="0.25">
      <c r="A2092" s="66" t="s">
        <v>2534</v>
      </c>
    </row>
    <row r="2093" spans="1:1" x14ac:dyDescent="0.25">
      <c r="A2093" s="66" t="s">
        <v>2535</v>
      </c>
    </row>
    <row r="2094" spans="1:1" x14ac:dyDescent="0.25">
      <c r="A2094" s="66" t="s">
        <v>2536</v>
      </c>
    </row>
    <row r="2095" spans="1:1" x14ac:dyDescent="0.25">
      <c r="A2095" s="66" t="s">
        <v>2537</v>
      </c>
    </row>
    <row r="2096" spans="1:1" x14ac:dyDescent="0.25">
      <c r="A2096" s="66" t="s">
        <v>2538</v>
      </c>
    </row>
    <row r="2097" spans="1:1" x14ac:dyDescent="0.25">
      <c r="A2097" s="66" t="s">
        <v>2539</v>
      </c>
    </row>
    <row r="2098" spans="1:1" x14ac:dyDescent="0.25">
      <c r="A2098" s="66" t="s">
        <v>2540</v>
      </c>
    </row>
    <row r="2099" spans="1:1" x14ac:dyDescent="0.25">
      <c r="A2099" s="66" t="s">
        <v>2541</v>
      </c>
    </row>
    <row r="2100" spans="1:1" x14ac:dyDescent="0.25">
      <c r="A2100" s="66" t="s">
        <v>2542</v>
      </c>
    </row>
    <row r="2101" spans="1:1" x14ac:dyDescent="0.25">
      <c r="A2101" s="66" t="s">
        <v>2543</v>
      </c>
    </row>
    <row r="2102" spans="1:1" x14ac:dyDescent="0.25">
      <c r="A2102" s="66" t="s">
        <v>2544</v>
      </c>
    </row>
    <row r="2103" spans="1:1" x14ac:dyDescent="0.25">
      <c r="A2103" s="66" t="s">
        <v>2545</v>
      </c>
    </row>
    <row r="2104" spans="1:1" x14ac:dyDescent="0.25">
      <c r="A2104" s="66" t="s">
        <v>2546</v>
      </c>
    </row>
    <row r="2105" spans="1:1" x14ac:dyDescent="0.25">
      <c r="A2105" s="66" t="s">
        <v>2547</v>
      </c>
    </row>
    <row r="2106" spans="1:1" x14ac:dyDescent="0.25">
      <c r="A2106" s="66" t="s">
        <v>2548</v>
      </c>
    </row>
    <row r="2107" spans="1:1" x14ac:dyDescent="0.25">
      <c r="A2107" s="66" t="s">
        <v>2549</v>
      </c>
    </row>
    <row r="2108" spans="1:1" x14ac:dyDescent="0.25">
      <c r="A2108" s="66" t="s">
        <v>2550</v>
      </c>
    </row>
    <row r="2109" spans="1:1" x14ac:dyDescent="0.25">
      <c r="A2109" s="66" t="s">
        <v>2551</v>
      </c>
    </row>
    <row r="2110" spans="1:1" x14ac:dyDescent="0.25">
      <c r="A2110" s="66" t="s">
        <v>2552</v>
      </c>
    </row>
    <row r="2111" spans="1:1" x14ac:dyDescent="0.25">
      <c r="A2111" s="66" t="s">
        <v>2553</v>
      </c>
    </row>
    <row r="2112" spans="1:1" x14ac:dyDescent="0.25">
      <c r="A2112" s="66" t="s">
        <v>2554</v>
      </c>
    </row>
    <row r="2113" spans="1:1" x14ac:dyDescent="0.25">
      <c r="A2113" s="66" t="s">
        <v>2555</v>
      </c>
    </row>
    <row r="2114" spans="1:1" x14ac:dyDescent="0.25">
      <c r="A2114" s="66" t="s">
        <v>2556</v>
      </c>
    </row>
    <row r="2115" spans="1:1" x14ac:dyDescent="0.25">
      <c r="A2115" s="66" t="s">
        <v>2557</v>
      </c>
    </row>
    <row r="2116" spans="1:1" x14ac:dyDescent="0.25">
      <c r="A2116" s="56" t="s">
        <v>2558</v>
      </c>
    </row>
    <row r="2117" spans="1:1" x14ac:dyDescent="0.25">
      <c r="A2117" s="66" t="s">
        <v>2559</v>
      </c>
    </row>
    <row r="2118" spans="1:1" x14ac:dyDescent="0.25">
      <c r="A2118" s="56" t="s">
        <v>2560</v>
      </c>
    </row>
    <row r="2119" spans="1:1" x14ac:dyDescent="0.25">
      <c r="A2119" s="66" t="s">
        <v>2561</v>
      </c>
    </row>
    <row r="2120" spans="1:1" x14ac:dyDescent="0.25">
      <c r="A2120" s="66" t="s">
        <v>2562</v>
      </c>
    </row>
    <row r="2121" spans="1:1" x14ac:dyDescent="0.25">
      <c r="A2121" s="66" t="s">
        <v>2563</v>
      </c>
    </row>
    <row r="2122" spans="1:1" x14ac:dyDescent="0.25">
      <c r="A2122" s="66" t="s">
        <v>2564</v>
      </c>
    </row>
    <row r="2123" spans="1:1" x14ac:dyDescent="0.25">
      <c r="A2123" s="66" t="s">
        <v>2565</v>
      </c>
    </row>
    <row r="2124" spans="1:1" x14ac:dyDescent="0.25">
      <c r="A2124" s="66" t="s">
        <v>2566</v>
      </c>
    </row>
    <row r="2125" spans="1:1" x14ac:dyDescent="0.25">
      <c r="A2125" s="66" t="s">
        <v>2567</v>
      </c>
    </row>
    <row r="2126" spans="1:1" x14ac:dyDescent="0.25">
      <c r="A2126" s="66" t="s">
        <v>2568</v>
      </c>
    </row>
    <row r="2127" spans="1:1" x14ac:dyDescent="0.25">
      <c r="A2127" s="66" t="s">
        <v>2569</v>
      </c>
    </row>
    <row r="2128" spans="1:1" x14ac:dyDescent="0.25">
      <c r="A2128" s="66" t="s">
        <v>2570</v>
      </c>
    </row>
    <row r="2129" spans="1:1" x14ac:dyDescent="0.25">
      <c r="A2129" s="66" t="s">
        <v>2571</v>
      </c>
    </row>
    <row r="2130" spans="1:1" x14ac:dyDescent="0.25">
      <c r="A2130" s="66" t="s">
        <v>2572</v>
      </c>
    </row>
    <row r="2131" spans="1:1" x14ac:dyDescent="0.25">
      <c r="A2131" s="66" t="s">
        <v>2573</v>
      </c>
    </row>
    <row r="2132" spans="1:1" x14ac:dyDescent="0.25">
      <c r="A2132" s="66" t="s">
        <v>2574</v>
      </c>
    </row>
    <row r="2133" spans="1:1" x14ac:dyDescent="0.25">
      <c r="A2133" s="66" t="s">
        <v>2575</v>
      </c>
    </row>
    <row r="2134" spans="1:1" x14ac:dyDescent="0.25">
      <c r="A2134" s="66" t="s">
        <v>2576</v>
      </c>
    </row>
    <row r="2135" spans="1:1" x14ac:dyDescent="0.25">
      <c r="A2135" s="66" t="s">
        <v>2577</v>
      </c>
    </row>
    <row r="2136" spans="1:1" x14ac:dyDescent="0.25">
      <c r="A2136" s="66" t="s">
        <v>2578</v>
      </c>
    </row>
    <row r="2137" spans="1:1" x14ac:dyDescent="0.25">
      <c r="A2137" s="66" t="s">
        <v>2579</v>
      </c>
    </row>
    <row r="2138" spans="1:1" x14ac:dyDescent="0.25">
      <c r="A2138" s="66" t="s">
        <v>2580</v>
      </c>
    </row>
    <row r="2139" spans="1:1" x14ac:dyDescent="0.25">
      <c r="A2139" s="66" t="s">
        <v>2581</v>
      </c>
    </row>
    <row r="2140" spans="1:1" x14ac:dyDescent="0.25">
      <c r="A2140" s="66" t="s">
        <v>2582</v>
      </c>
    </row>
    <row r="2141" spans="1:1" x14ac:dyDescent="0.25">
      <c r="A2141" s="66" t="s">
        <v>2583</v>
      </c>
    </row>
    <row r="2142" spans="1:1" x14ac:dyDescent="0.25">
      <c r="A2142" s="66" t="s">
        <v>2584</v>
      </c>
    </row>
    <row r="2143" spans="1:1" x14ac:dyDescent="0.25">
      <c r="A2143" s="66" t="s">
        <v>2585</v>
      </c>
    </row>
    <row r="2144" spans="1:1" x14ac:dyDescent="0.25">
      <c r="A2144" s="66" t="s">
        <v>2586</v>
      </c>
    </row>
    <row r="2145" spans="1:1" x14ac:dyDescent="0.25">
      <c r="A2145" s="66" t="s">
        <v>2587</v>
      </c>
    </row>
    <row r="2146" spans="1:1" x14ac:dyDescent="0.25">
      <c r="A2146" s="66" t="s">
        <v>2588</v>
      </c>
    </row>
    <row r="2147" spans="1:1" x14ac:dyDescent="0.25">
      <c r="A2147" s="66" t="s">
        <v>2589</v>
      </c>
    </row>
    <row r="2148" spans="1:1" x14ac:dyDescent="0.25">
      <c r="A2148" s="66" t="s">
        <v>2590</v>
      </c>
    </row>
    <row r="2149" spans="1:1" x14ac:dyDescent="0.25">
      <c r="A2149" s="66" t="s">
        <v>2591</v>
      </c>
    </row>
    <row r="2150" spans="1:1" x14ac:dyDescent="0.25">
      <c r="A2150" s="66" t="s">
        <v>2592</v>
      </c>
    </row>
    <row r="2151" spans="1:1" x14ac:dyDescent="0.25">
      <c r="A2151" s="66" t="s">
        <v>2593</v>
      </c>
    </row>
    <row r="2152" spans="1:1" x14ac:dyDescent="0.25">
      <c r="A2152" s="66" t="s">
        <v>2594</v>
      </c>
    </row>
    <row r="2153" spans="1:1" x14ac:dyDescent="0.25">
      <c r="A2153" s="66" t="s">
        <v>2595</v>
      </c>
    </row>
    <row r="2154" spans="1:1" x14ac:dyDescent="0.25">
      <c r="A2154" s="66" t="s">
        <v>2596</v>
      </c>
    </row>
    <row r="2155" spans="1:1" x14ac:dyDescent="0.25">
      <c r="A2155" s="66" t="s">
        <v>2597</v>
      </c>
    </row>
    <row r="2156" spans="1:1" x14ac:dyDescent="0.25">
      <c r="A2156" s="66" t="s">
        <v>2598</v>
      </c>
    </row>
    <row r="2157" spans="1:1" x14ac:dyDescent="0.25">
      <c r="A2157" s="66" t="s">
        <v>2599</v>
      </c>
    </row>
    <row r="2158" spans="1:1" x14ac:dyDescent="0.25">
      <c r="A2158" s="66" t="s">
        <v>2600</v>
      </c>
    </row>
    <row r="2159" spans="1:1" x14ac:dyDescent="0.25">
      <c r="A2159" s="66" t="s">
        <v>2601</v>
      </c>
    </row>
    <row r="2160" spans="1:1" x14ac:dyDescent="0.25">
      <c r="A2160" s="66" t="s">
        <v>2602</v>
      </c>
    </row>
    <row r="2161" spans="1:1" x14ac:dyDescent="0.25">
      <c r="A2161" s="66" t="s">
        <v>2603</v>
      </c>
    </row>
    <row r="2162" spans="1:1" x14ac:dyDescent="0.25">
      <c r="A2162" s="66" t="s">
        <v>2604</v>
      </c>
    </row>
    <row r="2163" spans="1:1" x14ac:dyDescent="0.25">
      <c r="A2163" s="66" t="s">
        <v>2605</v>
      </c>
    </row>
    <row r="2164" spans="1:1" x14ac:dyDescent="0.25">
      <c r="A2164" s="66" t="s">
        <v>2606</v>
      </c>
    </row>
    <row r="2165" spans="1:1" x14ac:dyDescent="0.25">
      <c r="A2165" s="66" t="s">
        <v>2607</v>
      </c>
    </row>
    <row r="2166" spans="1:1" x14ac:dyDescent="0.25">
      <c r="A2166" s="66" t="s">
        <v>2608</v>
      </c>
    </row>
    <row r="2167" spans="1:1" x14ac:dyDescent="0.25">
      <c r="A2167" s="66" t="s">
        <v>2609</v>
      </c>
    </row>
    <row r="2168" spans="1:1" x14ac:dyDescent="0.25">
      <c r="A2168" s="66" t="s">
        <v>2610</v>
      </c>
    </row>
    <row r="2169" spans="1:1" x14ac:dyDescent="0.25">
      <c r="A2169" s="66" t="s">
        <v>2611</v>
      </c>
    </row>
    <row r="2170" spans="1:1" x14ac:dyDescent="0.25">
      <c r="A2170" s="66" t="s">
        <v>2612</v>
      </c>
    </row>
    <row r="2171" spans="1:1" x14ac:dyDescent="0.25">
      <c r="A2171" s="66" t="s">
        <v>2613</v>
      </c>
    </row>
    <row r="2172" spans="1:1" x14ac:dyDescent="0.25">
      <c r="A2172" s="66" t="s">
        <v>2614</v>
      </c>
    </row>
    <row r="2173" spans="1:1" x14ac:dyDescent="0.25">
      <c r="A2173" s="66" t="s">
        <v>2615</v>
      </c>
    </row>
    <row r="2174" spans="1:1" x14ac:dyDescent="0.25">
      <c r="A2174" s="66" t="s">
        <v>2616</v>
      </c>
    </row>
    <row r="2175" spans="1:1" x14ac:dyDescent="0.25">
      <c r="A2175" s="66" t="s">
        <v>2617</v>
      </c>
    </row>
    <row r="2176" spans="1:1" x14ac:dyDescent="0.25">
      <c r="A2176" s="66" t="s">
        <v>2618</v>
      </c>
    </row>
    <row r="2177" spans="1:1" x14ac:dyDescent="0.25">
      <c r="A2177" s="66" t="s">
        <v>2619</v>
      </c>
    </row>
    <row r="2178" spans="1:1" x14ac:dyDescent="0.25">
      <c r="A2178" s="66" t="s">
        <v>2620</v>
      </c>
    </row>
    <row r="2179" spans="1:1" x14ac:dyDescent="0.25">
      <c r="A2179" s="66" t="s">
        <v>2621</v>
      </c>
    </row>
    <row r="2180" spans="1:1" x14ac:dyDescent="0.25">
      <c r="A2180" s="66" t="s">
        <v>2622</v>
      </c>
    </row>
    <row r="2181" spans="1:1" x14ac:dyDescent="0.25">
      <c r="A2181" s="66" t="s">
        <v>2623</v>
      </c>
    </row>
    <row r="2182" spans="1:1" x14ac:dyDescent="0.25">
      <c r="A2182" s="66" t="s">
        <v>2624</v>
      </c>
    </row>
    <row r="2183" spans="1:1" x14ac:dyDescent="0.25">
      <c r="A2183" s="56" t="s">
        <v>2625</v>
      </c>
    </row>
    <row r="2184" spans="1:1" x14ac:dyDescent="0.25">
      <c r="A2184" s="66" t="s">
        <v>2626</v>
      </c>
    </row>
    <row r="2185" spans="1:1" x14ac:dyDescent="0.25">
      <c r="A2185" s="56" t="s">
        <v>2627</v>
      </c>
    </row>
    <row r="2186" spans="1:1" x14ac:dyDescent="0.25">
      <c r="A2186" s="66" t="s">
        <v>2628</v>
      </c>
    </row>
    <row r="2187" spans="1:1" x14ac:dyDescent="0.25">
      <c r="A2187" s="66" t="s">
        <v>2629</v>
      </c>
    </row>
    <row r="2188" spans="1:1" x14ac:dyDescent="0.25">
      <c r="A2188" s="66" t="s">
        <v>2630</v>
      </c>
    </row>
    <row r="2189" spans="1:1" x14ac:dyDescent="0.25">
      <c r="A2189" s="66" t="s">
        <v>2631</v>
      </c>
    </row>
    <row r="2190" spans="1:1" x14ac:dyDescent="0.25">
      <c r="A2190" s="66" t="s">
        <v>2632</v>
      </c>
    </row>
    <row r="2191" spans="1:1" x14ac:dyDescent="0.25">
      <c r="A2191" s="66" t="s">
        <v>2633</v>
      </c>
    </row>
    <row r="2192" spans="1:1" x14ac:dyDescent="0.25">
      <c r="A2192" s="66" t="s">
        <v>2634</v>
      </c>
    </row>
    <row r="2193" spans="1:1" x14ac:dyDescent="0.25">
      <c r="A2193" s="66" t="s">
        <v>2635</v>
      </c>
    </row>
    <row r="2194" spans="1:1" x14ac:dyDescent="0.25">
      <c r="A2194" s="66" t="s">
        <v>2636</v>
      </c>
    </row>
    <row r="2195" spans="1:1" x14ac:dyDescent="0.25">
      <c r="A2195" s="66" t="s">
        <v>2637</v>
      </c>
    </row>
    <row r="2196" spans="1:1" x14ac:dyDescent="0.25">
      <c r="A2196" s="66" t="s">
        <v>2638</v>
      </c>
    </row>
    <row r="2197" spans="1:1" x14ac:dyDescent="0.25">
      <c r="A2197" s="66" t="s">
        <v>2639</v>
      </c>
    </row>
    <row r="2198" spans="1:1" x14ac:dyDescent="0.25">
      <c r="A2198" s="66" t="s">
        <v>2640</v>
      </c>
    </row>
    <row r="2199" spans="1:1" x14ac:dyDescent="0.25">
      <c r="A2199" s="66" t="s">
        <v>2641</v>
      </c>
    </row>
    <row r="2200" spans="1:1" x14ac:dyDescent="0.25">
      <c r="A2200" s="66" t="s">
        <v>2642</v>
      </c>
    </row>
    <row r="2201" spans="1:1" x14ac:dyDescent="0.25">
      <c r="A2201" s="66" t="s">
        <v>2643</v>
      </c>
    </row>
    <row r="2202" spans="1:1" x14ac:dyDescent="0.25">
      <c r="A2202" s="66" t="s">
        <v>2644</v>
      </c>
    </row>
    <row r="2203" spans="1:1" x14ac:dyDescent="0.25">
      <c r="A2203" s="66" t="s">
        <v>2645</v>
      </c>
    </row>
    <row r="2204" spans="1:1" x14ac:dyDescent="0.25">
      <c r="A2204" s="66" t="s">
        <v>2646</v>
      </c>
    </row>
    <row r="2205" spans="1:1" x14ac:dyDescent="0.25">
      <c r="A2205" s="66" t="s">
        <v>2647</v>
      </c>
    </row>
    <row r="2206" spans="1:1" x14ac:dyDescent="0.25">
      <c r="A2206" s="66" t="s">
        <v>2648</v>
      </c>
    </row>
    <row r="2207" spans="1:1" x14ac:dyDescent="0.25">
      <c r="A2207" s="66" t="s">
        <v>2649</v>
      </c>
    </row>
    <row r="2208" spans="1:1" x14ac:dyDescent="0.25">
      <c r="A2208" s="66" t="s">
        <v>2650</v>
      </c>
    </row>
    <row r="2209" spans="1:1" x14ac:dyDescent="0.25">
      <c r="A2209" s="66" t="s">
        <v>2651</v>
      </c>
    </row>
    <row r="2210" spans="1:1" x14ac:dyDescent="0.25">
      <c r="A2210" s="66" t="s">
        <v>2652</v>
      </c>
    </row>
    <row r="2211" spans="1:1" x14ac:dyDescent="0.25">
      <c r="A2211" s="66" t="s">
        <v>2653</v>
      </c>
    </row>
    <row r="2212" spans="1:1" x14ac:dyDescent="0.25">
      <c r="A2212" s="66" t="s">
        <v>2654</v>
      </c>
    </row>
    <row r="2213" spans="1:1" x14ac:dyDescent="0.25">
      <c r="A2213" s="66" t="s">
        <v>2655</v>
      </c>
    </row>
    <row r="2214" spans="1:1" x14ac:dyDescent="0.25">
      <c r="A2214" s="66" t="s">
        <v>2656</v>
      </c>
    </row>
    <row r="2215" spans="1:1" x14ac:dyDescent="0.25">
      <c r="A2215" s="66" t="s">
        <v>2657</v>
      </c>
    </row>
    <row r="2216" spans="1:1" x14ac:dyDescent="0.25">
      <c r="A2216" s="66" t="s">
        <v>2658</v>
      </c>
    </row>
    <row r="2217" spans="1:1" x14ac:dyDescent="0.25">
      <c r="A2217" s="66" t="s">
        <v>2659</v>
      </c>
    </row>
    <row r="2218" spans="1:1" x14ac:dyDescent="0.25">
      <c r="A2218" s="66" t="s">
        <v>2660</v>
      </c>
    </row>
    <row r="2219" spans="1:1" x14ac:dyDescent="0.25">
      <c r="A2219" s="66" t="s">
        <v>2661</v>
      </c>
    </row>
    <row r="2220" spans="1:1" x14ac:dyDescent="0.25">
      <c r="A2220" s="66" t="s">
        <v>2662</v>
      </c>
    </row>
    <row r="2221" spans="1:1" x14ac:dyDescent="0.25">
      <c r="A2221" s="66" t="s">
        <v>2663</v>
      </c>
    </row>
    <row r="2222" spans="1:1" x14ac:dyDescent="0.25">
      <c r="A2222" s="66" t="s">
        <v>2664</v>
      </c>
    </row>
    <row r="2223" spans="1:1" x14ac:dyDescent="0.25">
      <c r="A2223" s="66" t="s">
        <v>2665</v>
      </c>
    </row>
    <row r="2224" spans="1:1" x14ac:dyDescent="0.25">
      <c r="A2224" s="66" t="s">
        <v>2666</v>
      </c>
    </row>
    <row r="2225" spans="1:1" x14ac:dyDescent="0.25">
      <c r="A2225" s="66" t="s">
        <v>2667</v>
      </c>
    </row>
    <row r="2226" spans="1:1" x14ac:dyDescent="0.25">
      <c r="A2226" s="66" t="s">
        <v>2668</v>
      </c>
    </row>
    <row r="2227" spans="1:1" x14ac:dyDescent="0.25">
      <c r="A2227" s="66" t="s">
        <v>2669</v>
      </c>
    </row>
    <row r="2228" spans="1:1" x14ac:dyDescent="0.25">
      <c r="A2228" s="66" t="s">
        <v>2670</v>
      </c>
    </row>
    <row r="2229" spans="1:1" x14ac:dyDescent="0.25">
      <c r="A2229" s="66" t="s">
        <v>2671</v>
      </c>
    </row>
    <row r="2230" spans="1:1" x14ac:dyDescent="0.25">
      <c r="A2230" s="66" t="s">
        <v>2672</v>
      </c>
    </row>
    <row r="2231" spans="1:1" x14ac:dyDescent="0.25">
      <c r="A2231" s="66" t="s">
        <v>2673</v>
      </c>
    </row>
    <row r="2232" spans="1:1" x14ac:dyDescent="0.25">
      <c r="A2232" s="66" t="s">
        <v>2674</v>
      </c>
    </row>
    <row r="2233" spans="1:1" x14ac:dyDescent="0.25">
      <c r="A2233" s="66" t="s">
        <v>2675</v>
      </c>
    </row>
    <row r="2234" spans="1:1" x14ac:dyDescent="0.25">
      <c r="A2234" s="66" t="s">
        <v>2676</v>
      </c>
    </row>
    <row r="2235" spans="1:1" x14ac:dyDescent="0.25">
      <c r="A2235" s="66" t="s">
        <v>2677</v>
      </c>
    </row>
    <row r="2236" spans="1:1" x14ac:dyDescent="0.25">
      <c r="A2236" s="66" t="s">
        <v>2678</v>
      </c>
    </row>
    <row r="2237" spans="1:1" x14ac:dyDescent="0.25">
      <c r="A2237" s="66" t="s">
        <v>2679</v>
      </c>
    </row>
    <row r="2238" spans="1:1" x14ac:dyDescent="0.25">
      <c r="A2238" s="66" t="s">
        <v>2680</v>
      </c>
    </row>
    <row r="2239" spans="1:1" x14ac:dyDescent="0.25">
      <c r="A2239" s="66" t="s">
        <v>2681</v>
      </c>
    </row>
    <row r="2240" spans="1:1" x14ac:dyDescent="0.25">
      <c r="A2240" s="66" t="s">
        <v>2682</v>
      </c>
    </row>
    <row r="2241" spans="1:1" x14ac:dyDescent="0.25">
      <c r="A2241" s="66" t="s">
        <v>2683</v>
      </c>
    </row>
    <row r="2242" spans="1:1" x14ac:dyDescent="0.25">
      <c r="A2242" s="66" t="s">
        <v>2684</v>
      </c>
    </row>
    <row r="2243" spans="1:1" x14ac:dyDescent="0.25">
      <c r="A2243" s="66" t="s">
        <v>2685</v>
      </c>
    </row>
    <row r="2244" spans="1:1" x14ac:dyDescent="0.25">
      <c r="A2244" s="66" t="s">
        <v>2686</v>
      </c>
    </row>
    <row r="2245" spans="1:1" x14ac:dyDescent="0.25">
      <c r="A2245" s="66" t="s">
        <v>2687</v>
      </c>
    </row>
    <row r="2246" spans="1:1" x14ac:dyDescent="0.25">
      <c r="A2246" s="66" t="s">
        <v>2688</v>
      </c>
    </row>
    <row r="2247" spans="1:1" x14ac:dyDescent="0.25">
      <c r="A2247" s="56" t="s">
        <v>2689</v>
      </c>
    </row>
    <row r="2248" spans="1:1" x14ac:dyDescent="0.25">
      <c r="A2248" s="66" t="s">
        <v>2690</v>
      </c>
    </row>
    <row r="2249" spans="1:1" x14ac:dyDescent="0.25">
      <c r="A2249" s="56" t="s">
        <v>2691</v>
      </c>
    </row>
    <row r="2250" spans="1:1" x14ac:dyDescent="0.25">
      <c r="A2250" s="66" t="s">
        <v>2692</v>
      </c>
    </row>
    <row r="2251" spans="1:1" x14ac:dyDescent="0.25">
      <c r="A2251" s="66" t="s">
        <v>2693</v>
      </c>
    </row>
    <row r="2252" spans="1:1" x14ac:dyDescent="0.25">
      <c r="A2252" s="66" t="s">
        <v>2694</v>
      </c>
    </row>
    <row r="2253" spans="1:1" x14ac:dyDescent="0.25">
      <c r="A2253" s="66" t="s">
        <v>2695</v>
      </c>
    </row>
    <row r="2254" spans="1:1" x14ac:dyDescent="0.25">
      <c r="A2254" s="66" t="s">
        <v>2696</v>
      </c>
    </row>
    <row r="2255" spans="1:1" x14ac:dyDescent="0.25">
      <c r="A2255" s="66" t="s">
        <v>2697</v>
      </c>
    </row>
    <row r="2256" spans="1:1" x14ac:dyDescent="0.25">
      <c r="A2256" s="66" t="s">
        <v>2698</v>
      </c>
    </row>
    <row r="2257" spans="1:1" x14ac:dyDescent="0.25">
      <c r="A2257" s="66" t="s">
        <v>2699</v>
      </c>
    </row>
    <row r="2258" spans="1:1" x14ac:dyDescent="0.25">
      <c r="A2258" s="66" t="s">
        <v>2700</v>
      </c>
    </row>
    <row r="2259" spans="1:1" x14ac:dyDescent="0.25">
      <c r="A2259" s="66" t="s">
        <v>2701</v>
      </c>
    </row>
    <row r="2260" spans="1:1" x14ac:dyDescent="0.25">
      <c r="A2260" s="66" t="s">
        <v>2702</v>
      </c>
    </row>
    <row r="2261" spans="1:1" x14ac:dyDescent="0.25">
      <c r="A2261" s="66" t="s">
        <v>2703</v>
      </c>
    </row>
    <row r="2262" spans="1:1" x14ac:dyDescent="0.25">
      <c r="A2262" s="66" t="s">
        <v>2704</v>
      </c>
    </row>
    <row r="2263" spans="1:1" x14ac:dyDescent="0.25">
      <c r="A2263" s="66" t="s">
        <v>2705</v>
      </c>
    </row>
    <row r="2264" spans="1:1" x14ac:dyDescent="0.25">
      <c r="A2264" s="66" t="s">
        <v>2706</v>
      </c>
    </row>
    <row r="2265" spans="1:1" x14ac:dyDescent="0.25">
      <c r="A2265" s="66" t="s">
        <v>2707</v>
      </c>
    </row>
    <row r="2266" spans="1:1" x14ac:dyDescent="0.25">
      <c r="A2266" s="66" t="s">
        <v>2708</v>
      </c>
    </row>
    <row r="2267" spans="1:1" x14ac:dyDescent="0.25">
      <c r="A2267" s="66" t="s">
        <v>2709</v>
      </c>
    </row>
    <row r="2268" spans="1:1" x14ac:dyDescent="0.25">
      <c r="A2268" s="66" t="s">
        <v>2710</v>
      </c>
    </row>
    <row r="2269" spans="1:1" x14ac:dyDescent="0.25">
      <c r="A2269" s="66" t="s">
        <v>2711</v>
      </c>
    </row>
    <row r="2270" spans="1:1" x14ac:dyDescent="0.25">
      <c r="A2270" s="66" t="s">
        <v>2712</v>
      </c>
    </row>
    <row r="2271" spans="1:1" x14ac:dyDescent="0.25">
      <c r="A2271" s="66" t="s">
        <v>2713</v>
      </c>
    </row>
    <row r="2272" spans="1:1" x14ac:dyDescent="0.25">
      <c r="A2272" s="66" t="s">
        <v>2714</v>
      </c>
    </row>
    <row r="2273" spans="1:1" x14ac:dyDescent="0.25">
      <c r="A2273" s="66" t="s">
        <v>2715</v>
      </c>
    </row>
    <row r="2274" spans="1:1" x14ac:dyDescent="0.25">
      <c r="A2274" s="66" t="s">
        <v>2716</v>
      </c>
    </row>
    <row r="2275" spans="1:1" x14ac:dyDescent="0.25">
      <c r="A2275" s="66" t="s">
        <v>2717</v>
      </c>
    </row>
    <row r="2276" spans="1:1" x14ac:dyDescent="0.25">
      <c r="A2276" s="66" t="s">
        <v>2718</v>
      </c>
    </row>
    <row r="2277" spans="1:1" x14ac:dyDescent="0.25">
      <c r="A2277" s="66" t="s">
        <v>2719</v>
      </c>
    </row>
    <row r="2278" spans="1:1" x14ac:dyDescent="0.25">
      <c r="A2278" s="66" t="s">
        <v>2720</v>
      </c>
    </row>
    <row r="2279" spans="1:1" x14ac:dyDescent="0.25">
      <c r="A2279" s="66" t="s">
        <v>2721</v>
      </c>
    </row>
    <row r="2280" spans="1:1" x14ac:dyDescent="0.25">
      <c r="A2280" s="66" t="s">
        <v>2722</v>
      </c>
    </row>
    <row r="2281" spans="1:1" x14ac:dyDescent="0.25">
      <c r="A2281" s="66" t="s">
        <v>2723</v>
      </c>
    </row>
    <row r="2282" spans="1:1" x14ac:dyDescent="0.25">
      <c r="A2282" s="66" t="s">
        <v>2724</v>
      </c>
    </row>
    <row r="2283" spans="1:1" x14ac:dyDescent="0.25">
      <c r="A2283" s="66" t="s">
        <v>2725</v>
      </c>
    </row>
    <row r="2284" spans="1:1" x14ac:dyDescent="0.25">
      <c r="A2284" s="66" t="s">
        <v>2726</v>
      </c>
    </row>
    <row r="2285" spans="1:1" x14ac:dyDescent="0.25">
      <c r="A2285" s="66" t="s">
        <v>2727</v>
      </c>
    </row>
    <row r="2286" spans="1:1" x14ac:dyDescent="0.25">
      <c r="A2286" s="66" t="s">
        <v>2728</v>
      </c>
    </row>
    <row r="2287" spans="1:1" x14ac:dyDescent="0.25">
      <c r="A2287" s="66" t="s">
        <v>2729</v>
      </c>
    </row>
    <row r="2288" spans="1:1" x14ac:dyDescent="0.25">
      <c r="A2288" s="66" t="s">
        <v>2730</v>
      </c>
    </row>
    <row r="2289" spans="1:1" x14ac:dyDescent="0.25">
      <c r="A2289" s="66" t="s">
        <v>2731</v>
      </c>
    </row>
    <row r="2290" spans="1:1" x14ac:dyDescent="0.25">
      <c r="A2290" s="66" t="s">
        <v>2732</v>
      </c>
    </row>
    <row r="2291" spans="1:1" x14ac:dyDescent="0.25">
      <c r="A2291" s="66" t="s">
        <v>2733</v>
      </c>
    </row>
    <row r="2292" spans="1:1" x14ac:dyDescent="0.25">
      <c r="A2292" s="66" t="s">
        <v>2734</v>
      </c>
    </row>
    <row r="2293" spans="1:1" x14ac:dyDescent="0.25">
      <c r="A2293" s="66" t="s">
        <v>2735</v>
      </c>
    </row>
    <row r="2294" spans="1:1" x14ac:dyDescent="0.25">
      <c r="A2294" s="66" t="s">
        <v>2736</v>
      </c>
    </row>
    <row r="2295" spans="1:1" x14ac:dyDescent="0.25">
      <c r="A2295" s="66" t="s">
        <v>2737</v>
      </c>
    </row>
    <row r="2296" spans="1:1" x14ac:dyDescent="0.25">
      <c r="A2296" s="66" t="s">
        <v>2738</v>
      </c>
    </row>
    <row r="2297" spans="1:1" x14ac:dyDescent="0.25">
      <c r="A2297" s="66" t="s">
        <v>2739</v>
      </c>
    </row>
    <row r="2298" spans="1:1" x14ac:dyDescent="0.25">
      <c r="A2298" s="66" t="s">
        <v>2740</v>
      </c>
    </row>
    <row r="2299" spans="1:1" x14ac:dyDescent="0.25">
      <c r="A2299" s="66" t="s">
        <v>2741</v>
      </c>
    </row>
    <row r="2300" spans="1:1" x14ac:dyDescent="0.25">
      <c r="A2300" s="66" t="s">
        <v>2742</v>
      </c>
    </row>
    <row r="2301" spans="1:1" x14ac:dyDescent="0.25">
      <c r="A2301" s="66" t="s">
        <v>2743</v>
      </c>
    </row>
    <row r="2302" spans="1:1" x14ac:dyDescent="0.25">
      <c r="A2302" s="66" t="s">
        <v>2744</v>
      </c>
    </row>
    <row r="2303" spans="1:1" x14ac:dyDescent="0.25">
      <c r="A2303" s="66" t="s">
        <v>2745</v>
      </c>
    </row>
    <row r="2304" spans="1:1" x14ac:dyDescent="0.25">
      <c r="A2304" s="66" t="s">
        <v>2746</v>
      </c>
    </row>
    <row r="2305" spans="1:1" x14ac:dyDescent="0.25">
      <c r="A2305" s="66" t="s">
        <v>2747</v>
      </c>
    </row>
    <row r="2306" spans="1:1" x14ac:dyDescent="0.25">
      <c r="A2306" s="66" t="s">
        <v>2748</v>
      </c>
    </row>
    <row r="2307" spans="1:1" x14ac:dyDescent="0.25">
      <c r="A2307" s="66" t="s">
        <v>2749</v>
      </c>
    </row>
    <row r="2308" spans="1:1" x14ac:dyDescent="0.25">
      <c r="A2308" s="66" t="s">
        <v>2750</v>
      </c>
    </row>
    <row r="2309" spans="1:1" x14ac:dyDescent="0.25">
      <c r="A2309" s="66" t="s">
        <v>2751</v>
      </c>
    </row>
    <row r="2310" spans="1:1" x14ac:dyDescent="0.25">
      <c r="A2310" s="66" t="s">
        <v>2752</v>
      </c>
    </row>
    <row r="2311" spans="1:1" x14ac:dyDescent="0.25">
      <c r="A2311" s="66" t="s">
        <v>2753</v>
      </c>
    </row>
    <row r="2312" spans="1:1" x14ac:dyDescent="0.25">
      <c r="A2312" s="56" t="s">
        <v>2754</v>
      </c>
    </row>
    <row r="2313" spans="1:1" x14ac:dyDescent="0.25">
      <c r="A2313" s="66" t="s">
        <v>2755</v>
      </c>
    </row>
    <row r="2314" spans="1:1" x14ac:dyDescent="0.25">
      <c r="A2314" s="56" t="s">
        <v>2756</v>
      </c>
    </row>
    <row r="2315" spans="1:1" x14ac:dyDescent="0.25">
      <c r="A2315" s="66" t="s">
        <v>2757</v>
      </c>
    </row>
    <row r="2316" spans="1:1" x14ac:dyDescent="0.25">
      <c r="A2316" s="56" t="s">
        <v>2758</v>
      </c>
    </row>
    <row r="2317" spans="1:1" x14ac:dyDescent="0.25">
      <c r="A2317" s="66" t="s">
        <v>2759</v>
      </c>
    </row>
    <row r="2318" spans="1:1" x14ac:dyDescent="0.25">
      <c r="A2318" s="56" t="s">
        <v>2760</v>
      </c>
    </row>
    <row r="2319" spans="1:1" x14ac:dyDescent="0.25">
      <c r="A2319" s="66" t="s">
        <v>2761</v>
      </c>
    </row>
    <row r="2320" spans="1:1" x14ac:dyDescent="0.25">
      <c r="A2320" s="66" t="s">
        <v>2762</v>
      </c>
    </row>
    <row r="2321" spans="1:1" x14ac:dyDescent="0.25">
      <c r="A2321" s="66" t="s">
        <v>2763</v>
      </c>
    </row>
    <row r="2322" spans="1:1" x14ac:dyDescent="0.25">
      <c r="A2322" s="66" t="s">
        <v>2764</v>
      </c>
    </row>
    <row r="2323" spans="1:1" x14ac:dyDescent="0.25">
      <c r="A2323" s="66" t="s">
        <v>2765</v>
      </c>
    </row>
    <row r="2324" spans="1:1" x14ac:dyDescent="0.25">
      <c r="A2324" s="66" t="s">
        <v>2766</v>
      </c>
    </row>
    <row r="2325" spans="1:1" x14ac:dyDescent="0.25">
      <c r="A2325" s="66" t="s">
        <v>2767</v>
      </c>
    </row>
    <row r="2326" spans="1:1" x14ac:dyDescent="0.25">
      <c r="A2326" s="66" t="s">
        <v>2768</v>
      </c>
    </row>
    <row r="2327" spans="1:1" x14ac:dyDescent="0.25">
      <c r="A2327" s="66" t="s">
        <v>2769</v>
      </c>
    </row>
    <row r="2328" spans="1:1" x14ac:dyDescent="0.25">
      <c r="A2328" s="66" t="s">
        <v>2770</v>
      </c>
    </row>
    <row r="2329" spans="1:1" x14ac:dyDescent="0.25">
      <c r="A2329" s="66" t="s">
        <v>2771</v>
      </c>
    </row>
    <row r="2330" spans="1:1" x14ac:dyDescent="0.25">
      <c r="A2330" s="66" t="s">
        <v>2772</v>
      </c>
    </row>
    <row r="2331" spans="1:1" x14ac:dyDescent="0.25">
      <c r="A2331" s="66" t="s">
        <v>2773</v>
      </c>
    </row>
    <row r="2332" spans="1:1" x14ac:dyDescent="0.25">
      <c r="A2332" s="66" t="s">
        <v>2774</v>
      </c>
    </row>
    <row r="2333" spans="1:1" x14ac:dyDescent="0.25">
      <c r="A2333" s="66" t="s">
        <v>2775</v>
      </c>
    </row>
    <row r="2334" spans="1:1" x14ac:dyDescent="0.25">
      <c r="A2334" s="66" t="s">
        <v>2776</v>
      </c>
    </row>
    <row r="2335" spans="1:1" x14ac:dyDescent="0.25">
      <c r="A2335" s="66" t="s">
        <v>2777</v>
      </c>
    </row>
    <row r="2336" spans="1:1" x14ac:dyDescent="0.25">
      <c r="A2336" s="66" t="s">
        <v>2778</v>
      </c>
    </row>
    <row r="2337" spans="1:1" x14ac:dyDescent="0.25">
      <c r="A2337" s="66" t="s">
        <v>2779</v>
      </c>
    </row>
    <row r="2338" spans="1:1" x14ac:dyDescent="0.25">
      <c r="A2338" s="66" t="s">
        <v>2780</v>
      </c>
    </row>
    <row r="2339" spans="1:1" x14ac:dyDescent="0.25">
      <c r="A2339" s="66" t="s">
        <v>2781</v>
      </c>
    </row>
    <row r="2340" spans="1:1" x14ac:dyDescent="0.25">
      <c r="A2340" s="66" t="s">
        <v>2782</v>
      </c>
    </row>
    <row r="2341" spans="1:1" x14ac:dyDescent="0.25">
      <c r="A2341" s="66" t="s">
        <v>2783</v>
      </c>
    </row>
    <row r="2342" spans="1:1" x14ac:dyDescent="0.25">
      <c r="A2342" s="66" t="s">
        <v>2784</v>
      </c>
    </row>
    <row r="2343" spans="1:1" x14ac:dyDescent="0.25">
      <c r="A2343" s="66" t="s">
        <v>2785</v>
      </c>
    </row>
    <row r="2344" spans="1:1" x14ac:dyDescent="0.25">
      <c r="A2344" s="66" t="s">
        <v>2786</v>
      </c>
    </row>
    <row r="2345" spans="1:1" x14ac:dyDescent="0.25">
      <c r="A2345" s="66" t="s">
        <v>2787</v>
      </c>
    </row>
    <row r="2346" spans="1:1" x14ac:dyDescent="0.25">
      <c r="A2346" s="66" t="s">
        <v>2788</v>
      </c>
    </row>
    <row r="2347" spans="1:1" x14ac:dyDescent="0.25">
      <c r="A2347" s="66" t="s">
        <v>2789</v>
      </c>
    </row>
    <row r="2348" spans="1:1" x14ac:dyDescent="0.25">
      <c r="A2348" s="66" t="s">
        <v>2790</v>
      </c>
    </row>
    <row r="2349" spans="1:1" x14ac:dyDescent="0.25">
      <c r="A2349" s="66" t="s">
        <v>2791</v>
      </c>
    </row>
    <row r="2350" spans="1:1" x14ac:dyDescent="0.25">
      <c r="A2350" s="66" t="s">
        <v>2792</v>
      </c>
    </row>
    <row r="2351" spans="1:1" x14ac:dyDescent="0.25">
      <c r="A2351" s="66" t="s">
        <v>2793</v>
      </c>
    </row>
    <row r="2352" spans="1:1" x14ac:dyDescent="0.25">
      <c r="A2352" s="66" t="s">
        <v>2794</v>
      </c>
    </row>
    <row r="2353" spans="1:1" x14ac:dyDescent="0.25">
      <c r="A2353" s="66" t="s">
        <v>2795</v>
      </c>
    </row>
    <row r="2354" spans="1:1" x14ac:dyDescent="0.25">
      <c r="A2354" s="66" t="s">
        <v>2796</v>
      </c>
    </row>
    <row r="2355" spans="1:1" x14ac:dyDescent="0.25">
      <c r="A2355" s="66" t="s">
        <v>2797</v>
      </c>
    </row>
    <row r="2356" spans="1:1" x14ac:dyDescent="0.25">
      <c r="A2356" s="66" t="s">
        <v>2798</v>
      </c>
    </row>
    <row r="2357" spans="1:1" x14ac:dyDescent="0.25">
      <c r="A2357" s="66" t="s">
        <v>2799</v>
      </c>
    </row>
    <row r="2358" spans="1:1" x14ac:dyDescent="0.25">
      <c r="A2358" s="66" t="s">
        <v>2800</v>
      </c>
    </row>
    <row r="2359" spans="1:1" x14ac:dyDescent="0.25">
      <c r="A2359" s="66" t="s">
        <v>2801</v>
      </c>
    </row>
    <row r="2360" spans="1:1" x14ac:dyDescent="0.25">
      <c r="A2360" s="66" t="s">
        <v>2802</v>
      </c>
    </row>
    <row r="2361" spans="1:1" x14ac:dyDescent="0.25">
      <c r="A2361" s="66" t="s">
        <v>2803</v>
      </c>
    </row>
    <row r="2362" spans="1:1" x14ac:dyDescent="0.25">
      <c r="A2362" s="66" t="s">
        <v>2804</v>
      </c>
    </row>
    <row r="2363" spans="1:1" x14ac:dyDescent="0.25">
      <c r="A2363" s="66" t="s">
        <v>2805</v>
      </c>
    </row>
    <row r="2364" spans="1:1" x14ac:dyDescent="0.25">
      <c r="A2364" s="66" t="s">
        <v>2806</v>
      </c>
    </row>
    <row r="2365" spans="1:1" x14ac:dyDescent="0.25">
      <c r="A2365" s="56" t="s">
        <v>2807</v>
      </c>
    </row>
    <row r="2366" spans="1:1" x14ac:dyDescent="0.25">
      <c r="A2366" s="66" t="s">
        <v>2808</v>
      </c>
    </row>
    <row r="2367" spans="1:1" x14ac:dyDescent="0.25">
      <c r="A2367" s="56" t="s">
        <v>2809</v>
      </c>
    </row>
    <row r="2368" spans="1:1" x14ac:dyDescent="0.25">
      <c r="A2368" s="66" t="s">
        <v>2810</v>
      </c>
    </row>
    <row r="2369" spans="1:1" x14ac:dyDescent="0.25">
      <c r="A2369" s="56" t="s">
        <v>2811</v>
      </c>
    </row>
    <row r="2370" spans="1:1" x14ac:dyDescent="0.25">
      <c r="A2370" s="66" t="s">
        <v>2812</v>
      </c>
    </row>
    <row r="2371" spans="1:1" x14ac:dyDescent="0.25">
      <c r="A2371" s="56" t="s">
        <v>2813</v>
      </c>
    </row>
    <row r="2372" spans="1:1" x14ac:dyDescent="0.25">
      <c r="A2372" s="66" t="s">
        <v>2814</v>
      </c>
    </row>
    <row r="2373" spans="1:1" x14ac:dyDescent="0.25">
      <c r="A2373" s="66" t="s">
        <v>2815</v>
      </c>
    </row>
    <row r="2374" spans="1:1" x14ac:dyDescent="0.25">
      <c r="A2374" s="66" t="s">
        <v>2816</v>
      </c>
    </row>
    <row r="2375" spans="1:1" x14ac:dyDescent="0.25">
      <c r="A2375" s="66" t="s">
        <v>2817</v>
      </c>
    </row>
    <row r="2376" spans="1:1" x14ac:dyDescent="0.25">
      <c r="A2376" s="66" t="s">
        <v>2818</v>
      </c>
    </row>
    <row r="2377" spans="1:1" x14ac:dyDescent="0.25">
      <c r="A2377" s="66" t="s">
        <v>2819</v>
      </c>
    </row>
    <row r="2378" spans="1:1" x14ac:dyDescent="0.25">
      <c r="A2378" s="66" t="s">
        <v>2820</v>
      </c>
    </row>
    <row r="2379" spans="1:1" x14ac:dyDescent="0.25">
      <c r="A2379" s="66" t="s">
        <v>2821</v>
      </c>
    </row>
    <row r="2380" spans="1:1" x14ac:dyDescent="0.25">
      <c r="A2380" s="66" t="s">
        <v>2822</v>
      </c>
    </row>
    <row r="2381" spans="1:1" x14ac:dyDescent="0.25">
      <c r="A2381" s="66" t="s">
        <v>2823</v>
      </c>
    </row>
    <row r="2382" spans="1:1" x14ac:dyDescent="0.25">
      <c r="A2382" s="66" t="s">
        <v>2824</v>
      </c>
    </row>
    <row r="2383" spans="1:1" x14ac:dyDescent="0.25">
      <c r="A2383" s="66" t="s">
        <v>2825</v>
      </c>
    </row>
    <row r="2384" spans="1:1" x14ac:dyDescent="0.25">
      <c r="A2384" s="66" t="s">
        <v>2826</v>
      </c>
    </row>
    <row r="2385" spans="1:1" x14ac:dyDescent="0.25">
      <c r="A2385" s="66" t="s">
        <v>2827</v>
      </c>
    </row>
    <row r="2386" spans="1:1" x14ac:dyDescent="0.25">
      <c r="A2386" s="66" t="s">
        <v>2828</v>
      </c>
    </row>
    <row r="2387" spans="1:1" x14ac:dyDescent="0.25">
      <c r="A2387" s="66" t="s">
        <v>2829</v>
      </c>
    </row>
    <row r="2388" spans="1:1" x14ac:dyDescent="0.25">
      <c r="A2388" s="66" t="s">
        <v>2830</v>
      </c>
    </row>
    <row r="2389" spans="1:1" x14ac:dyDescent="0.25">
      <c r="A2389" s="66" t="s">
        <v>2831</v>
      </c>
    </row>
    <row r="2390" spans="1:1" x14ac:dyDescent="0.25">
      <c r="A2390" s="66" t="s">
        <v>2832</v>
      </c>
    </row>
    <row r="2391" spans="1:1" x14ac:dyDescent="0.25">
      <c r="A2391" s="66" t="s">
        <v>2833</v>
      </c>
    </row>
    <row r="2392" spans="1:1" x14ac:dyDescent="0.25">
      <c r="A2392" s="56" t="s">
        <v>2834</v>
      </c>
    </row>
    <row r="2393" spans="1:1" x14ac:dyDescent="0.25">
      <c r="A2393" s="66" t="s">
        <v>2835</v>
      </c>
    </row>
    <row r="2394" spans="1:1" x14ac:dyDescent="0.25">
      <c r="A2394" s="56" t="s">
        <v>2836</v>
      </c>
    </row>
    <row r="2395" spans="1:1" x14ac:dyDescent="0.25">
      <c r="A2395" s="66" t="s">
        <v>2837</v>
      </c>
    </row>
    <row r="2396" spans="1:1" x14ac:dyDescent="0.25">
      <c r="A2396" s="66" t="s">
        <v>2838</v>
      </c>
    </row>
    <row r="2397" spans="1:1" x14ac:dyDescent="0.25">
      <c r="A2397" s="66" t="s">
        <v>2839</v>
      </c>
    </row>
    <row r="2398" spans="1:1" x14ac:dyDescent="0.25">
      <c r="A2398" s="66" t="s">
        <v>2840</v>
      </c>
    </row>
    <row r="2399" spans="1:1" x14ac:dyDescent="0.25">
      <c r="A2399" s="66" t="s">
        <v>2841</v>
      </c>
    </row>
    <row r="2400" spans="1:1" x14ac:dyDescent="0.25">
      <c r="A2400" s="66" t="s">
        <v>2842</v>
      </c>
    </row>
    <row r="2401" spans="1:1" x14ac:dyDescent="0.25">
      <c r="A2401" s="66" t="s">
        <v>2843</v>
      </c>
    </row>
    <row r="2402" spans="1:1" x14ac:dyDescent="0.25">
      <c r="A2402" s="66" t="s">
        <v>2844</v>
      </c>
    </row>
    <row r="2403" spans="1:1" x14ac:dyDescent="0.25">
      <c r="A2403" s="66" t="s">
        <v>2845</v>
      </c>
    </row>
    <row r="2404" spans="1:1" x14ac:dyDescent="0.25">
      <c r="A2404" s="56" t="s">
        <v>2846</v>
      </c>
    </row>
    <row r="2405" spans="1:1" x14ac:dyDescent="0.25">
      <c r="A2405" s="66" t="s">
        <v>2847</v>
      </c>
    </row>
    <row r="2406" spans="1:1" x14ac:dyDescent="0.25">
      <c r="A2406" s="56" t="s">
        <v>2848</v>
      </c>
    </row>
    <row r="2407" spans="1:1" x14ac:dyDescent="0.25">
      <c r="A2407" s="66" t="s">
        <v>2849</v>
      </c>
    </row>
    <row r="2408" spans="1:1" x14ac:dyDescent="0.25">
      <c r="A2408" s="56" t="s">
        <v>2850</v>
      </c>
    </row>
    <row r="2409" spans="1:1" x14ac:dyDescent="0.25">
      <c r="A2409" s="66" t="s">
        <v>2851</v>
      </c>
    </row>
    <row r="2410" spans="1:1" x14ac:dyDescent="0.25">
      <c r="A2410" s="56" t="s">
        <v>2852</v>
      </c>
    </row>
    <row r="2411" spans="1:1" x14ac:dyDescent="0.25">
      <c r="A2411" s="66" t="s">
        <v>2853</v>
      </c>
    </row>
    <row r="2412" spans="1:1" x14ac:dyDescent="0.25">
      <c r="A2412" s="66" t="s">
        <v>2854</v>
      </c>
    </row>
    <row r="2413" spans="1:1" x14ac:dyDescent="0.25">
      <c r="A2413" s="66" t="s">
        <v>2855</v>
      </c>
    </row>
    <row r="2414" spans="1:1" x14ac:dyDescent="0.25">
      <c r="A2414" s="66" t="s">
        <v>2856</v>
      </c>
    </row>
    <row r="2415" spans="1:1" x14ac:dyDescent="0.25">
      <c r="A2415" s="66" t="s">
        <v>2857</v>
      </c>
    </row>
    <row r="2416" spans="1:1" x14ac:dyDescent="0.25">
      <c r="A2416" s="66" t="s">
        <v>2858</v>
      </c>
    </row>
    <row r="2417" spans="1:1" x14ac:dyDescent="0.25">
      <c r="A2417" s="66" t="s">
        <v>2859</v>
      </c>
    </row>
    <row r="2418" spans="1:1" x14ac:dyDescent="0.25">
      <c r="A2418" s="66" t="s">
        <v>2860</v>
      </c>
    </row>
    <row r="2419" spans="1:1" x14ac:dyDescent="0.25">
      <c r="A2419" s="66" t="s">
        <v>2861</v>
      </c>
    </row>
    <row r="2420" spans="1:1" x14ac:dyDescent="0.25">
      <c r="A2420" s="66" t="s">
        <v>2862</v>
      </c>
    </row>
    <row r="2421" spans="1:1" x14ac:dyDescent="0.25">
      <c r="A2421" s="66" t="s">
        <v>2863</v>
      </c>
    </row>
    <row r="2422" spans="1:1" x14ac:dyDescent="0.25">
      <c r="A2422" s="66" t="s">
        <v>2864</v>
      </c>
    </row>
    <row r="2423" spans="1:1" x14ac:dyDescent="0.25">
      <c r="A2423" s="66" t="s">
        <v>2865</v>
      </c>
    </row>
    <row r="2424" spans="1:1" x14ac:dyDescent="0.25">
      <c r="A2424" s="66" t="s">
        <v>2866</v>
      </c>
    </row>
    <row r="2425" spans="1:1" x14ac:dyDescent="0.25">
      <c r="A2425" s="66" t="s">
        <v>2867</v>
      </c>
    </row>
    <row r="2426" spans="1:1" x14ac:dyDescent="0.25">
      <c r="A2426" s="66" t="s">
        <v>2868</v>
      </c>
    </row>
    <row r="2427" spans="1:1" x14ac:dyDescent="0.25">
      <c r="A2427" s="66" t="s">
        <v>2869</v>
      </c>
    </row>
    <row r="2428" spans="1:1" x14ac:dyDescent="0.25">
      <c r="A2428" s="66" t="s">
        <v>2870</v>
      </c>
    </row>
    <row r="2429" spans="1:1" x14ac:dyDescent="0.25">
      <c r="A2429" s="66" t="s">
        <v>2871</v>
      </c>
    </row>
    <row r="2430" spans="1:1" x14ac:dyDescent="0.25">
      <c r="A2430" s="66" t="s">
        <v>2872</v>
      </c>
    </row>
    <row r="2431" spans="1:1" x14ac:dyDescent="0.25">
      <c r="A2431" s="66" t="s">
        <v>2873</v>
      </c>
    </row>
    <row r="2432" spans="1:1" x14ac:dyDescent="0.25">
      <c r="A2432" s="66" t="s">
        <v>2874</v>
      </c>
    </row>
    <row r="2433" spans="1:1" x14ac:dyDescent="0.25">
      <c r="A2433" s="66" t="s">
        <v>2875</v>
      </c>
    </row>
    <row r="2434" spans="1:1" x14ac:dyDescent="0.25">
      <c r="A2434" s="66" t="s">
        <v>2876</v>
      </c>
    </row>
    <row r="2435" spans="1:1" x14ac:dyDescent="0.25">
      <c r="A2435" s="66" t="s">
        <v>2877</v>
      </c>
    </row>
    <row r="2436" spans="1:1" x14ac:dyDescent="0.25">
      <c r="A2436" s="66" t="s">
        <v>2878</v>
      </c>
    </row>
    <row r="2437" spans="1:1" x14ac:dyDescent="0.25">
      <c r="A2437" s="66" t="s">
        <v>2879</v>
      </c>
    </row>
    <row r="2438" spans="1:1" x14ac:dyDescent="0.25">
      <c r="A2438" s="66" t="s">
        <v>2880</v>
      </c>
    </row>
    <row r="2439" spans="1:1" x14ac:dyDescent="0.25">
      <c r="A2439" s="66" t="s">
        <v>2881</v>
      </c>
    </row>
    <row r="2440" spans="1:1" x14ac:dyDescent="0.25">
      <c r="A2440" s="67" t="s">
        <v>2882</v>
      </c>
    </row>
    <row r="2441" spans="1:1" x14ac:dyDescent="0.25">
      <c r="A2441" s="66" t="s">
        <v>2883</v>
      </c>
    </row>
    <row r="2442" spans="1:1" x14ac:dyDescent="0.25">
      <c r="A2442" s="66" t="s">
        <v>2884</v>
      </c>
    </row>
    <row r="2443" spans="1:1" x14ac:dyDescent="0.25">
      <c r="A2443" s="66" t="s">
        <v>2885</v>
      </c>
    </row>
    <row r="2444" spans="1:1" x14ac:dyDescent="0.25">
      <c r="A2444" s="66" t="s">
        <v>2886</v>
      </c>
    </row>
    <row r="2445" spans="1:1" x14ac:dyDescent="0.25">
      <c r="A2445" s="66" t="s">
        <v>2887</v>
      </c>
    </row>
    <row r="2446" spans="1:1" x14ac:dyDescent="0.25">
      <c r="A2446" s="66" t="s">
        <v>2888</v>
      </c>
    </row>
    <row r="2447" spans="1:1" x14ac:dyDescent="0.25">
      <c r="A2447" s="66" t="s">
        <v>2889</v>
      </c>
    </row>
    <row r="2448" spans="1:1" x14ac:dyDescent="0.25">
      <c r="A2448" s="66" t="s">
        <v>2890</v>
      </c>
    </row>
    <row r="2449" spans="1:1" x14ac:dyDescent="0.25">
      <c r="A2449" s="66" t="s">
        <v>2891</v>
      </c>
    </row>
    <row r="2450" spans="1:1" x14ac:dyDescent="0.25">
      <c r="A2450" s="66" t="s">
        <v>2892</v>
      </c>
    </row>
    <row r="2451" spans="1:1" x14ac:dyDescent="0.25">
      <c r="A2451" s="66" t="s">
        <v>2893</v>
      </c>
    </row>
    <row r="2452" spans="1:1" x14ac:dyDescent="0.25">
      <c r="A2452" s="66" t="s">
        <v>2894</v>
      </c>
    </row>
    <row r="2453" spans="1:1" x14ac:dyDescent="0.25">
      <c r="A2453" s="66" t="s">
        <v>2895</v>
      </c>
    </row>
    <row r="2454" spans="1:1" x14ac:dyDescent="0.25">
      <c r="A2454" s="66" t="s">
        <v>2896</v>
      </c>
    </row>
    <row r="2455" spans="1:1" x14ac:dyDescent="0.25">
      <c r="A2455" s="66" t="s">
        <v>2897</v>
      </c>
    </row>
    <row r="2456" spans="1:1" x14ac:dyDescent="0.25">
      <c r="A2456" s="66" t="s">
        <v>2898</v>
      </c>
    </row>
    <row r="2457" spans="1:1" x14ac:dyDescent="0.25">
      <c r="A2457" s="66" t="s">
        <v>2899</v>
      </c>
    </row>
    <row r="2458" spans="1:1" x14ac:dyDescent="0.25">
      <c r="A2458" s="66" t="s">
        <v>2900</v>
      </c>
    </row>
    <row r="2459" spans="1:1" x14ac:dyDescent="0.25">
      <c r="A2459" s="66" t="s">
        <v>2901</v>
      </c>
    </row>
    <row r="2460" spans="1:1" x14ac:dyDescent="0.25">
      <c r="A2460" s="66" t="s">
        <v>2902</v>
      </c>
    </row>
    <row r="2461" spans="1:1" x14ac:dyDescent="0.25">
      <c r="A2461" s="66" t="s">
        <v>2903</v>
      </c>
    </row>
    <row r="2462" spans="1:1" x14ac:dyDescent="0.25">
      <c r="A2462" s="66" t="s">
        <v>2904</v>
      </c>
    </row>
    <row r="2463" spans="1:1" x14ac:dyDescent="0.25">
      <c r="A2463" s="66" t="s">
        <v>2905</v>
      </c>
    </row>
    <row r="2464" spans="1:1" x14ac:dyDescent="0.25">
      <c r="A2464" s="66" t="s">
        <v>2906</v>
      </c>
    </row>
    <row r="2465" spans="1:1" x14ac:dyDescent="0.25">
      <c r="A2465" s="66" t="s">
        <v>2907</v>
      </c>
    </row>
    <row r="2466" spans="1:1" x14ac:dyDescent="0.25">
      <c r="A2466" s="66" t="s">
        <v>2908</v>
      </c>
    </row>
    <row r="2467" spans="1:1" x14ac:dyDescent="0.25">
      <c r="A2467" s="66" t="s">
        <v>2909</v>
      </c>
    </row>
    <row r="2468" spans="1:1" x14ac:dyDescent="0.25">
      <c r="A2468" s="66" t="s">
        <v>2910</v>
      </c>
    </row>
    <row r="2469" spans="1:1" x14ac:dyDescent="0.25">
      <c r="A2469" s="66" t="s">
        <v>2911</v>
      </c>
    </row>
    <row r="2470" spans="1:1" x14ac:dyDescent="0.25">
      <c r="A2470" s="66" t="s">
        <v>2912</v>
      </c>
    </row>
    <row r="2471" spans="1:1" x14ac:dyDescent="0.25">
      <c r="A2471" s="66" t="s">
        <v>2913</v>
      </c>
    </row>
    <row r="2472" spans="1:1" x14ac:dyDescent="0.25">
      <c r="A2472" s="66" t="s">
        <v>2914</v>
      </c>
    </row>
    <row r="2473" spans="1:1" x14ac:dyDescent="0.25">
      <c r="A2473" s="66" t="s">
        <v>2915</v>
      </c>
    </row>
    <row r="2474" spans="1:1" x14ac:dyDescent="0.25">
      <c r="A2474" s="66" t="s">
        <v>2916</v>
      </c>
    </row>
    <row r="2475" spans="1:1" x14ac:dyDescent="0.25">
      <c r="A2475" s="66" t="s">
        <v>2917</v>
      </c>
    </row>
    <row r="2476" spans="1:1" x14ac:dyDescent="0.25">
      <c r="A2476" s="66" t="s">
        <v>2918</v>
      </c>
    </row>
    <row r="2477" spans="1:1" x14ac:dyDescent="0.25">
      <c r="A2477" s="66" t="s">
        <v>2919</v>
      </c>
    </row>
    <row r="2478" spans="1:1" x14ac:dyDescent="0.25">
      <c r="A2478" s="66" t="s">
        <v>2920</v>
      </c>
    </row>
    <row r="2479" spans="1:1" x14ac:dyDescent="0.25">
      <c r="A2479" s="66" t="s">
        <v>2921</v>
      </c>
    </row>
    <row r="2480" spans="1:1" x14ac:dyDescent="0.25">
      <c r="A2480" s="66" t="s">
        <v>2922</v>
      </c>
    </row>
    <row r="2481" spans="1:1" x14ac:dyDescent="0.25">
      <c r="A2481" s="66" t="s">
        <v>2923</v>
      </c>
    </row>
    <row r="2482" spans="1:1" x14ac:dyDescent="0.25">
      <c r="A2482" s="66" t="s">
        <v>2924</v>
      </c>
    </row>
    <row r="2483" spans="1:1" x14ac:dyDescent="0.25">
      <c r="A2483" s="66" t="s">
        <v>2925</v>
      </c>
    </row>
    <row r="2484" spans="1:1" x14ac:dyDescent="0.25">
      <c r="A2484" s="56" t="s">
        <v>2926</v>
      </c>
    </row>
    <row r="2485" spans="1:1" x14ac:dyDescent="0.25">
      <c r="A2485" s="66" t="s">
        <v>2927</v>
      </c>
    </row>
    <row r="2486" spans="1:1" x14ac:dyDescent="0.25">
      <c r="A2486" s="56" t="s">
        <v>2928</v>
      </c>
    </row>
    <row r="2487" spans="1:1" x14ac:dyDescent="0.25">
      <c r="A2487" s="66" t="s">
        <v>2929</v>
      </c>
    </row>
    <row r="2488" spans="1:1" x14ac:dyDescent="0.25">
      <c r="A2488" s="66" t="s">
        <v>2930</v>
      </c>
    </row>
    <row r="2489" spans="1:1" x14ac:dyDescent="0.25">
      <c r="A2489" s="66" t="s">
        <v>2931</v>
      </c>
    </row>
    <row r="2490" spans="1:1" x14ac:dyDescent="0.25">
      <c r="A2490" s="66" t="s">
        <v>2932</v>
      </c>
    </row>
    <row r="2491" spans="1:1" x14ac:dyDescent="0.25">
      <c r="A2491" s="66" t="s">
        <v>2933</v>
      </c>
    </row>
    <row r="2492" spans="1:1" x14ac:dyDescent="0.25">
      <c r="A2492" s="66" t="s">
        <v>2934</v>
      </c>
    </row>
    <row r="2493" spans="1:1" x14ac:dyDescent="0.25">
      <c r="A2493" s="66" t="s">
        <v>2935</v>
      </c>
    </row>
    <row r="2494" spans="1:1" x14ac:dyDescent="0.25">
      <c r="A2494" s="66" t="s">
        <v>2936</v>
      </c>
    </row>
    <row r="2495" spans="1:1" x14ac:dyDescent="0.25">
      <c r="A2495" s="66" t="s">
        <v>2937</v>
      </c>
    </row>
    <row r="2496" spans="1:1" x14ac:dyDescent="0.25">
      <c r="A2496" s="66" t="s">
        <v>2938</v>
      </c>
    </row>
    <row r="2497" spans="1:1" x14ac:dyDescent="0.25">
      <c r="A2497" s="66" t="s">
        <v>2939</v>
      </c>
    </row>
    <row r="2498" spans="1:1" x14ac:dyDescent="0.25">
      <c r="A2498" s="66" t="s">
        <v>2940</v>
      </c>
    </row>
    <row r="2499" spans="1:1" x14ac:dyDescent="0.25">
      <c r="A2499" s="66" t="s">
        <v>2941</v>
      </c>
    </row>
    <row r="2500" spans="1:1" x14ac:dyDescent="0.25">
      <c r="A2500" s="66" t="s">
        <v>2942</v>
      </c>
    </row>
    <row r="2501" spans="1:1" x14ac:dyDescent="0.25">
      <c r="A2501" s="66" t="s">
        <v>2943</v>
      </c>
    </row>
    <row r="2502" spans="1:1" x14ac:dyDescent="0.25">
      <c r="A2502" s="66" t="s">
        <v>2944</v>
      </c>
    </row>
    <row r="2503" spans="1:1" x14ac:dyDescent="0.25">
      <c r="A2503" s="66" t="s">
        <v>2945</v>
      </c>
    </row>
    <row r="2504" spans="1:1" x14ac:dyDescent="0.25">
      <c r="A2504" s="66" t="s">
        <v>2946</v>
      </c>
    </row>
    <row r="2505" spans="1:1" x14ac:dyDescent="0.25">
      <c r="A2505" s="66" t="s">
        <v>2947</v>
      </c>
    </row>
    <row r="2506" spans="1:1" x14ac:dyDescent="0.25">
      <c r="A2506" s="66" t="s">
        <v>2948</v>
      </c>
    </row>
    <row r="2507" spans="1:1" x14ac:dyDescent="0.25">
      <c r="A2507" s="66" t="s">
        <v>2949</v>
      </c>
    </row>
    <row r="2508" spans="1:1" x14ac:dyDescent="0.25">
      <c r="A2508" s="66" t="s">
        <v>2950</v>
      </c>
    </row>
    <row r="2509" spans="1:1" x14ac:dyDescent="0.25">
      <c r="A2509" s="66" t="s">
        <v>2951</v>
      </c>
    </row>
    <row r="2510" spans="1:1" x14ac:dyDescent="0.25">
      <c r="A2510" s="66" t="s">
        <v>2952</v>
      </c>
    </row>
    <row r="2511" spans="1:1" x14ac:dyDescent="0.25">
      <c r="A2511" s="66" t="s">
        <v>2953</v>
      </c>
    </row>
    <row r="2512" spans="1:1" x14ac:dyDescent="0.25">
      <c r="A2512" s="66" t="s">
        <v>2954</v>
      </c>
    </row>
    <row r="2513" spans="1:1" x14ac:dyDescent="0.25">
      <c r="A2513" s="66" t="s">
        <v>2955</v>
      </c>
    </row>
    <row r="2514" spans="1:1" x14ac:dyDescent="0.25">
      <c r="A2514" s="66" t="s">
        <v>2956</v>
      </c>
    </row>
    <row r="2515" spans="1:1" x14ac:dyDescent="0.25">
      <c r="A2515" s="66" t="s">
        <v>2957</v>
      </c>
    </row>
    <row r="2516" spans="1:1" x14ac:dyDescent="0.25">
      <c r="A2516" s="66" t="s">
        <v>2958</v>
      </c>
    </row>
    <row r="2517" spans="1:1" x14ac:dyDescent="0.25">
      <c r="A2517" s="66" t="s">
        <v>2959</v>
      </c>
    </row>
    <row r="2518" spans="1:1" x14ac:dyDescent="0.25">
      <c r="A2518" s="66" t="s">
        <v>2960</v>
      </c>
    </row>
    <row r="2519" spans="1:1" x14ac:dyDescent="0.25">
      <c r="A2519" s="66" t="s">
        <v>2961</v>
      </c>
    </row>
    <row r="2520" spans="1:1" x14ac:dyDescent="0.25">
      <c r="A2520" s="66" t="s">
        <v>2962</v>
      </c>
    </row>
    <row r="2521" spans="1:1" x14ac:dyDescent="0.25">
      <c r="A2521" s="66" t="s">
        <v>2963</v>
      </c>
    </row>
    <row r="2522" spans="1:1" x14ac:dyDescent="0.25">
      <c r="A2522" s="66" t="s">
        <v>2964</v>
      </c>
    </row>
    <row r="2523" spans="1:1" x14ac:dyDescent="0.25">
      <c r="A2523" s="66" t="s">
        <v>2965</v>
      </c>
    </row>
    <row r="2524" spans="1:1" x14ac:dyDescent="0.25">
      <c r="A2524" s="66" t="s">
        <v>2966</v>
      </c>
    </row>
    <row r="2525" spans="1:1" x14ac:dyDescent="0.25">
      <c r="A2525" s="66" t="s">
        <v>2967</v>
      </c>
    </row>
    <row r="2526" spans="1:1" x14ac:dyDescent="0.25">
      <c r="A2526" s="66" t="s">
        <v>2968</v>
      </c>
    </row>
    <row r="2527" spans="1:1" x14ac:dyDescent="0.25">
      <c r="A2527" s="66" t="s">
        <v>2969</v>
      </c>
    </row>
    <row r="2528" spans="1:1" x14ac:dyDescent="0.25">
      <c r="A2528" s="66" t="s">
        <v>2970</v>
      </c>
    </row>
    <row r="2529" spans="1:1" x14ac:dyDescent="0.25">
      <c r="A2529" s="66" t="s">
        <v>2971</v>
      </c>
    </row>
    <row r="2530" spans="1:1" x14ac:dyDescent="0.25">
      <c r="A2530" s="66" t="s">
        <v>2972</v>
      </c>
    </row>
    <row r="2531" spans="1:1" x14ac:dyDescent="0.25">
      <c r="A2531" s="66" t="s">
        <v>2973</v>
      </c>
    </row>
    <row r="2532" spans="1:1" x14ac:dyDescent="0.25">
      <c r="A2532" s="66" t="s">
        <v>2974</v>
      </c>
    </row>
    <row r="2533" spans="1:1" x14ac:dyDescent="0.25">
      <c r="A2533" s="66" t="s">
        <v>2975</v>
      </c>
    </row>
    <row r="2534" spans="1:1" x14ac:dyDescent="0.25">
      <c r="A2534" s="66" t="s">
        <v>2976</v>
      </c>
    </row>
    <row r="2535" spans="1:1" x14ac:dyDescent="0.25">
      <c r="A2535" s="66" t="s">
        <v>2977</v>
      </c>
    </row>
    <row r="2536" spans="1:1" x14ac:dyDescent="0.25">
      <c r="A2536" s="66" t="s">
        <v>2978</v>
      </c>
    </row>
    <row r="2537" spans="1:1" x14ac:dyDescent="0.25">
      <c r="A2537" s="66" t="s">
        <v>2979</v>
      </c>
    </row>
    <row r="2538" spans="1:1" x14ac:dyDescent="0.25">
      <c r="A2538" s="66" t="s">
        <v>2980</v>
      </c>
    </row>
    <row r="2539" spans="1:1" x14ac:dyDescent="0.25">
      <c r="A2539" s="66" t="s">
        <v>2981</v>
      </c>
    </row>
    <row r="2540" spans="1:1" x14ac:dyDescent="0.25">
      <c r="A2540" s="66" t="s">
        <v>2982</v>
      </c>
    </row>
    <row r="2541" spans="1:1" x14ac:dyDescent="0.25">
      <c r="A2541" s="66" t="s">
        <v>2983</v>
      </c>
    </row>
    <row r="2542" spans="1:1" x14ac:dyDescent="0.25">
      <c r="A2542" s="66" t="s">
        <v>2984</v>
      </c>
    </row>
    <row r="2543" spans="1:1" x14ac:dyDescent="0.25">
      <c r="A2543" s="66" t="s">
        <v>2985</v>
      </c>
    </row>
    <row r="2544" spans="1:1" x14ac:dyDescent="0.25">
      <c r="A2544" s="66" t="s">
        <v>2986</v>
      </c>
    </row>
    <row r="2545" spans="1:1" x14ac:dyDescent="0.25">
      <c r="A2545" s="66" t="s">
        <v>2987</v>
      </c>
    </row>
    <row r="2546" spans="1:1" x14ac:dyDescent="0.25">
      <c r="A2546" s="66" t="s">
        <v>2988</v>
      </c>
    </row>
    <row r="2547" spans="1:1" x14ac:dyDescent="0.25">
      <c r="A2547" s="66" t="s">
        <v>2989</v>
      </c>
    </row>
    <row r="2548" spans="1:1" x14ac:dyDescent="0.25">
      <c r="A2548" s="66" t="s">
        <v>2990</v>
      </c>
    </row>
    <row r="2549" spans="1:1" x14ac:dyDescent="0.25">
      <c r="A2549" s="66" t="s">
        <v>2991</v>
      </c>
    </row>
    <row r="2550" spans="1:1" x14ac:dyDescent="0.25">
      <c r="A2550" s="66" t="s">
        <v>2992</v>
      </c>
    </row>
    <row r="2551" spans="1:1" x14ac:dyDescent="0.25">
      <c r="A2551" s="66" t="s">
        <v>2993</v>
      </c>
    </row>
    <row r="2552" spans="1:1" x14ac:dyDescent="0.25">
      <c r="A2552" s="66" t="s">
        <v>2994</v>
      </c>
    </row>
    <row r="2553" spans="1:1" x14ac:dyDescent="0.25">
      <c r="A2553" s="56" t="s">
        <v>2995</v>
      </c>
    </row>
    <row r="2554" spans="1:1" x14ac:dyDescent="0.25">
      <c r="A2554" s="66" t="s">
        <v>2996</v>
      </c>
    </row>
    <row r="2555" spans="1:1" x14ac:dyDescent="0.25">
      <c r="A2555" s="56" t="s">
        <v>2997</v>
      </c>
    </row>
    <row r="2556" spans="1:1" x14ac:dyDescent="0.25">
      <c r="A2556" s="66" t="s">
        <v>2998</v>
      </c>
    </row>
    <row r="2557" spans="1:1" x14ac:dyDescent="0.25">
      <c r="A2557" s="66" t="s">
        <v>2999</v>
      </c>
    </row>
    <row r="2558" spans="1:1" x14ac:dyDescent="0.25">
      <c r="A2558" s="66" t="s">
        <v>3000</v>
      </c>
    </row>
    <row r="2559" spans="1:1" x14ac:dyDescent="0.25">
      <c r="A2559" s="66" t="s">
        <v>3001</v>
      </c>
    </row>
    <row r="2560" spans="1:1" x14ac:dyDescent="0.25">
      <c r="A2560" s="66" t="s">
        <v>3002</v>
      </c>
    </row>
    <row r="2561" spans="1:1" x14ac:dyDescent="0.25">
      <c r="A2561" s="66" t="s">
        <v>3003</v>
      </c>
    </row>
    <row r="2562" spans="1:1" x14ac:dyDescent="0.25">
      <c r="A2562" s="66" t="s">
        <v>3004</v>
      </c>
    </row>
    <row r="2563" spans="1:1" x14ac:dyDescent="0.25">
      <c r="A2563" s="66" t="s">
        <v>3005</v>
      </c>
    </row>
    <row r="2564" spans="1:1" x14ac:dyDescent="0.25">
      <c r="A2564" s="66" t="s">
        <v>3006</v>
      </c>
    </row>
    <row r="2565" spans="1:1" x14ac:dyDescent="0.25">
      <c r="A2565" s="66" t="s">
        <v>3007</v>
      </c>
    </row>
    <row r="2566" spans="1:1" x14ac:dyDescent="0.25">
      <c r="A2566" s="66" t="s">
        <v>3008</v>
      </c>
    </row>
    <row r="2567" spans="1:1" x14ac:dyDescent="0.25">
      <c r="A2567" s="66" t="s">
        <v>3009</v>
      </c>
    </row>
    <row r="2568" spans="1:1" x14ac:dyDescent="0.25">
      <c r="A2568" s="66" t="s">
        <v>3010</v>
      </c>
    </row>
    <row r="2569" spans="1:1" x14ac:dyDescent="0.25">
      <c r="A2569" s="66" t="s">
        <v>3011</v>
      </c>
    </row>
    <row r="2570" spans="1:1" x14ac:dyDescent="0.25">
      <c r="A2570" s="66" t="s">
        <v>3012</v>
      </c>
    </row>
    <row r="2571" spans="1:1" x14ac:dyDescent="0.25">
      <c r="A2571" s="66" t="s">
        <v>3013</v>
      </c>
    </row>
    <row r="2572" spans="1:1" x14ac:dyDescent="0.25">
      <c r="A2572" s="66" t="s">
        <v>3014</v>
      </c>
    </row>
    <row r="2573" spans="1:1" x14ac:dyDescent="0.25">
      <c r="A2573" s="66" t="s">
        <v>3015</v>
      </c>
    </row>
    <row r="2574" spans="1:1" x14ac:dyDescent="0.25">
      <c r="A2574" s="66" t="s">
        <v>3016</v>
      </c>
    </row>
    <row r="2575" spans="1:1" x14ac:dyDescent="0.25">
      <c r="A2575" s="66" t="s">
        <v>3017</v>
      </c>
    </row>
    <row r="2576" spans="1:1" x14ac:dyDescent="0.25">
      <c r="A2576" s="66" t="s">
        <v>3018</v>
      </c>
    </row>
    <row r="2577" spans="1:1" x14ac:dyDescent="0.25">
      <c r="A2577" s="66" t="s">
        <v>3019</v>
      </c>
    </row>
    <row r="2578" spans="1:1" x14ac:dyDescent="0.25">
      <c r="A2578" s="66" t="s">
        <v>3020</v>
      </c>
    </row>
    <row r="2579" spans="1:1" x14ac:dyDescent="0.25">
      <c r="A2579" s="66" t="s">
        <v>3021</v>
      </c>
    </row>
    <row r="2580" spans="1:1" x14ac:dyDescent="0.25">
      <c r="A2580" s="66" t="s">
        <v>3022</v>
      </c>
    </row>
    <row r="2581" spans="1:1" x14ac:dyDescent="0.25">
      <c r="A2581" s="66" t="s">
        <v>3023</v>
      </c>
    </row>
    <row r="2582" spans="1:1" x14ac:dyDescent="0.25">
      <c r="A2582" s="66" t="s">
        <v>3024</v>
      </c>
    </row>
    <row r="2583" spans="1:1" x14ac:dyDescent="0.25">
      <c r="A2583" s="66" t="s">
        <v>3025</v>
      </c>
    </row>
    <row r="2584" spans="1:1" x14ac:dyDescent="0.25">
      <c r="A2584" s="66" t="s">
        <v>3026</v>
      </c>
    </row>
    <row r="2585" spans="1:1" x14ac:dyDescent="0.25">
      <c r="A2585" s="66" t="s">
        <v>3027</v>
      </c>
    </row>
    <row r="2586" spans="1:1" x14ac:dyDescent="0.25">
      <c r="A2586" s="66" t="s">
        <v>3028</v>
      </c>
    </row>
    <row r="2587" spans="1:1" x14ac:dyDescent="0.25">
      <c r="A2587" s="66" t="s">
        <v>3029</v>
      </c>
    </row>
    <row r="2588" spans="1:1" x14ac:dyDescent="0.25">
      <c r="A2588" s="66" t="s">
        <v>3030</v>
      </c>
    </row>
    <row r="2589" spans="1:1" x14ac:dyDescent="0.25">
      <c r="A2589" s="66" t="s">
        <v>3031</v>
      </c>
    </row>
    <row r="2590" spans="1:1" x14ac:dyDescent="0.25">
      <c r="A2590" s="66" t="s">
        <v>3032</v>
      </c>
    </row>
    <row r="2591" spans="1:1" x14ac:dyDescent="0.25">
      <c r="A2591" s="66" t="s">
        <v>3033</v>
      </c>
    </row>
    <row r="2592" spans="1:1" x14ac:dyDescent="0.25">
      <c r="A2592" s="66" t="s">
        <v>3034</v>
      </c>
    </row>
    <row r="2593" spans="1:1" x14ac:dyDescent="0.25">
      <c r="A2593" s="66" t="s">
        <v>3035</v>
      </c>
    </row>
    <row r="2594" spans="1:1" x14ac:dyDescent="0.25">
      <c r="A2594" s="66" t="s">
        <v>3036</v>
      </c>
    </row>
    <row r="2595" spans="1:1" x14ac:dyDescent="0.25">
      <c r="A2595" s="66" t="s">
        <v>3037</v>
      </c>
    </row>
    <row r="2596" spans="1:1" x14ac:dyDescent="0.25">
      <c r="A2596" s="66" t="s">
        <v>3038</v>
      </c>
    </row>
    <row r="2597" spans="1:1" x14ac:dyDescent="0.25">
      <c r="A2597" s="66" t="s">
        <v>3039</v>
      </c>
    </row>
    <row r="2598" spans="1:1" x14ac:dyDescent="0.25">
      <c r="A2598" s="66" t="s">
        <v>3040</v>
      </c>
    </row>
    <row r="2599" spans="1:1" x14ac:dyDescent="0.25">
      <c r="A2599" s="66" t="s">
        <v>3041</v>
      </c>
    </row>
    <row r="2600" spans="1:1" x14ac:dyDescent="0.25">
      <c r="A2600" s="66" t="s">
        <v>3042</v>
      </c>
    </row>
    <row r="2601" spans="1:1" x14ac:dyDescent="0.25">
      <c r="A2601" s="66" t="s">
        <v>3043</v>
      </c>
    </row>
    <row r="2602" spans="1:1" x14ac:dyDescent="0.25">
      <c r="A2602" s="66" t="s">
        <v>3044</v>
      </c>
    </row>
    <row r="2603" spans="1:1" x14ac:dyDescent="0.25">
      <c r="A2603" s="66" t="s">
        <v>3045</v>
      </c>
    </row>
    <row r="2604" spans="1:1" x14ac:dyDescent="0.25">
      <c r="A2604" s="66" t="s">
        <v>3046</v>
      </c>
    </row>
    <row r="2605" spans="1:1" x14ac:dyDescent="0.25">
      <c r="A2605" s="66" t="s">
        <v>3047</v>
      </c>
    </row>
    <row r="2606" spans="1:1" x14ac:dyDescent="0.25">
      <c r="A2606" s="66" t="s">
        <v>3048</v>
      </c>
    </row>
    <row r="2607" spans="1:1" x14ac:dyDescent="0.25">
      <c r="A2607" s="66" t="s">
        <v>3049</v>
      </c>
    </row>
    <row r="2608" spans="1:1" x14ac:dyDescent="0.25">
      <c r="A2608" s="66" t="s">
        <v>3050</v>
      </c>
    </row>
    <row r="2609" spans="1:1" x14ac:dyDescent="0.25">
      <c r="A2609" s="66" t="s">
        <v>3051</v>
      </c>
    </row>
    <row r="2610" spans="1:1" x14ac:dyDescent="0.25">
      <c r="A2610" s="66" t="s">
        <v>3052</v>
      </c>
    </row>
    <row r="2611" spans="1:1" x14ac:dyDescent="0.25">
      <c r="A2611" s="56" t="s">
        <v>3053</v>
      </c>
    </row>
    <row r="2612" spans="1:1" x14ac:dyDescent="0.25">
      <c r="A2612" s="66" t="s">
        <v>3054</v>
      </c>
    </row>
    <row r="2613" spans="1:1" x14ac:dyDescent="0.25">
      <c r="A2613" s="56" t="s">
        <v>3055</v>
      </c>
    </row>
    <row r="2614" spans="1:1" x14ac:dyDescent="0.25">
      <c r="A2614" s="66" t="s">
        <v>3056</v>
      </c>
    </row>
    <row r="2615" spans="1:1" x14ac:dyDescent="0.25">
      <c r="A2615" s="56" t="s">
        <v>3057</v>
      </c>
    </row>
    <row r="2616" spans="1:1" x14ac:dyDescent="0.25">
      <c r="A2616" s="66" t="s">
        <v>3058</v>
      </c>
    </row>
    <row r="2617" spans="1:1" x14ac:dyDescent="0.25">
      <c r="A2617" s="56" t="s">
        <v>3059</v>
      </c>
    </row>
    <row r="2618" spans="1:1" x14ac:dyDescent="0.25">
      <c r="A2618" s="66" t="s">
        <v>3060</v>
      </c>
    </row>
    <row r="2619" spans="1:1" x14ac:dyDescent="0.25">
      <c r="A2619" s="66" t="s">
        <v>3061</v>
      </c>
    </row>
    <row r="2620" spans="1:1" x14ac:dyDescent="0.25">
      <c r="A2620" s="66" t="s">
        <v>3062</v>
      </c>
    </row>
    <row r="2621" spans="1:1" x14ac:dyDescent="0.25">
      <c r="A2621" s="66" t="s">
        <v>3063</v>
      </c>
    </row>
    <row r="2622" spans="1:1" x14ac:dyDescent="0.25">
      <c r="A2622" s="66" t="s">
        <v>3064</v>
      </c>
    </row>
    <row r="2623" spans="1:1" x14ac:dyDescent="0.25">
      <c r="A2623" s="66" t="s">
        <v>3065</v>
      </c>
    </row>
    <row r="2624" spans="1:1" x14ac:dyDescent="0.25">
      <c r="A2624" s="66" t="s">
        <v>3066</v>
      </c>
    </row>
    <row r="2625" spans="1:1" x14ac:dyDescent="0.25">
      <c r="A2625" s="66" t="s">
        <v>3067</v>
      </c>
    </row>
    <row r="2626" spans="1:1" x14ac:dyDescent="0.25">
      <c r="A2626" s="66" t="s">
        <v>3068</v>
      </c>
    </row>
    <row r="2627" spans="1:1" x14ac:dyDescent="0.25">
      <c r="A2627" s="66" t="s">
        <v>3069</v>
      </c>
    </row>
    <row r="2628" spans="1:1" x14ac:dyDescent="0.25">
      <c r="A2628" s="66" t="s">
        <v>3070</v>
      </c>
    </row>
    <row r="2629" spans="1:1" x14ac:dyDescent="0.25">
      <c r="A2629" s="66" t="s">
        <v>3071</v>
      </c>
    </row>
    <row r="2630" spans="1:1" x14ac:dyDescent="0.25">
      <c r="A2630" s="66" t="s">
        <v>3072</v>
      </c>
    </row>
    <row r="2631" spans="1:1" x14ac:dyDescent="0.25">
      <c r="A2631" s="66" t="s">
        <v>3073</v>
      </c>
    </row>
    <row r="2632" spans="1:1" x14ac:dyDescent="0.25">
      <c r="A2632" s="66" t="s">
        <v>3074</v>
      </c>
    </row>
    <row r="2633" spans="1:1" x14ac:dyDescent="0.25">
      <c r="A2633" s="66" t="s">
        <v>3075</v>
      </c>
    </row>
    <row r="2634" spans="1:1" x14ac:dyDescent="0.25">
      <c r="A2634" s="56" t="s">
        <v>3076</v>
      </c>
    </row>
    <row r="2635" spans="1:1" x14ac:dyDescent="0.25">
      <c r="A2635" s="66" t="s">
        <v>3077</v>
      </c>
    </row>
    <row r="2636" spans="1:1" x14ac:dyDescent="0.25">
      <c r="A2636" s="66" t="s">
        <v>3078</v>
      </c>
    </row>
    <row r="2637" spans="1:1" x14ac:dyDescent="0.25">
      <c r="A2637" s="66" t="s">
        <v>3079</v>
      </c>
    </row>
    <row r="2638" spans="1:1" x14ac:dyDescent="0.25">
      <c r="A2638" s="66" t="s">
        <v>3080</v>
      </c>
    </row>
    <row r="2639" spans="1:1" x14ac:dyDescent="0.25">
      <c r="A2639" s="66" t="s">
        <v>3081</v>
      </c>
    </row>
    <row r="2640" spans="1:1" x14ac:dyDescent="0.25">
      <c r="A2640" s="66" t="s">
        <v>3082</v>
      </c>
    </row>
    <row r="2641" spans="1:1" x14ac:dyDescent="0.25">
      <c r="A2641" s="66" t="s">
        <v>3083</v>
      </c>
    </row>
    <row r="2642" spans="1:1" x14ac:dyDescent="0.25">
      <c r="A2642" s="66" t="s">
        <v>3084</v>
      </c>
    </row>
    <row r="2643" spans="1:1" x14ac:dyDescent="0.25">
      <c r="A2643" s="66" t="s">
        <v>3085</v>
      </c>
    </row>
    <row r="2644" spans="1:1" x14ac:dyDescent="0.25">
      <c r="A2644" s="66" t="s">
        <v>3086</v>
      </c>
    </row>
    <row r="2645" spans="1:1" x14ac:dyDescent="0.25">
      <c r="A2645" s="66" t="s">
        <v>3087</v>
      </c>
    </row>
    <row r="2646" spans="1:1" x14ac:dyDescent="0.25">
      <c r="A2646" s="66" t="s">
        <v>3088</v>
      </c>
    </row>
    <row r="2647" spans="1:1" x14ac:dyDescent="0.25">
      <c r="A2647" s="66" t="s">
        <v>3089</v>
      </c>
    </row>
    <row r="2648" spans="1:1" x14ac:dyDescent="0.25">
      <c r="A2648" s="66" t="s">
        <v>3090</v>
      </c>
    </row>
    <row r="2649" spans="1:1" x14ac:dyDescent="0.25">
      <c r="A2649" s="66" t="s">
        <v>3091</v>
      </c>
    </row>
    <row r="2650" spans="1:1" x14ac:dyDescent="0.25">
      <c r="A2650" s="66" t="s">
        <v>3092</v>
      </c>
    </row>
    <row r="2651" spans="1:1" x14ac:dyDescent="0.25">
      <c r="A2651" s="66" t="s">
        <v>3093</v>
      </c>
    </row>
    <row r="2652" spans="1:1" x14ac:dyDescent="0.25">
      <c r="A2652" s="66" t="s">
        <v>3094</v>
      </c>
    </row>
    <row r="2653" spans="1:1" x14ac:dyDescent="0.25">
      <c r="A2653" s="66" t="s">
        <v>3095</v>
      </c>
    </row>
    <row r="2654" spans="1:1" x14ac:dyDescent="0.25">
      <c r="A2654" s="66" t="s">
        <v>3096</v>
      </c>
    </row>
    <row r="2655" spans="1:1" x14ac:dyDescent="0.25">
      <c r="A2655" s="66" t="s">
        <v>3097</v>
      </c>
    </row>
    <row r="2656" spans="1:1" x14ac:dyDescent="0.25">
      <c r="A2656" s="66" t="s">
        <v>3098</v>
      </c>
    </row>
    <row r="2657" spans="1:1" x14ac:dyDescent="0.25">
      <c r="A2657" s="66" t="s">
        <v>3099</v>
      </c>
    </row>
    <row r="2658" spans="1:1" x14ac:dyDescent="0.25">
      <c r="A2658" s="66" t="s">
        <v>3100</v>
      </c>
    </row>
    <row r="2659" spans="1:1" x14ac:dyDescent="0.25">
      <c r="A2659" s="66" t="s">
        <v>3101</v>
      </c>
    </row>
    <row r="2660" spans="1:1" x14ac:dyDescent="0.25">
      <c r="A2660" s="66" t="s">
        <v>3102</v>
      </c>
    </row>
    <row r="2661" spans="1:1" x14ac:dyDescent="0.25">
      <c r="A2661" s="66" t="s">
        <v>3103</v>
      </c>
    </row>
    <row r="2662" spans="1:1" x14ac:dyDescent="0.25">
      <c r="A2662" s="66" t="s">
        <v>3104</v>
      </c>
    </row>
    <row r="2663" spans="1:1" x14ac:dyDescent="0.25">
      <c r="A2663" s="66" t="s">
        <v>3105</v>
      </c>
    </row>
    <row r="2664" spans="1:1" x14ac:dyDescent="0.25">
      <c r="A2664" s="66" t="s">
        <v>3106</v>
      </c>
    </row>
    <row r="2665" spans="1:1" x14ac:dyDescent="0.25">
      <c r="A2665" s="66" t="s">
        <v>3107</v>
      </c>
    </row>
    <row r="2666" spans="1:1" x14ac:dyDescent="0.25">
      <c r="A2666" s="56" t="s">
        <v>3108</v>
      </c>
    </row>
    <row r="2667" spans="1:1" x14ac:dyDescent="0.25">
      <c r="A2667" s="66" t="s">
        <v>3109</v>
      </c>
    </row>
    <row r="2668" spans="1:1" x14ac:dyDescent="0.25">
      <c r="A2668" s="56" t="s">
        <v>3110</v>
      </c>
    </row>
    <row r="2669" spans="1:1" x14ac:dyDescent="0.25">
      <c r="A2669" s="66" t="s">
        <v>3111</v>
      </c>
    </row>
    <row r="2670" spans="1:1" x14ac:dyDescent="0.25">
      <c r="A2670" s="66" t="s">
        <v>3112</v>
      </c>
    </row>
    <row r="2671" spans="1:1" x14ac:dyDescent="0.25">
      <c r="A2671" s="66" t="s">
        <v>3113</v>
      </c>
    </row>
    <row r="2672" spans="1:1" x14ac:dyDescent="0.25">
      <c r="A2672" s="66" t="s">
        <v>3114</v>
      </c>
    </row>
    <row r="2673" spans="1:1" x14ac:dyDescent="0.25">
      <c r="A2673" s="66" t="s">
        <v>3115</v>
      </c>
    </row>
    <row r="2674" spans="1:1" x14ac:dyDescent="0.25">
      <c r="A2674" s="66" t="s">
        <v>3116</v>
      </c>
    </row>
    <row r="2675" spans="1:1" x14ac:dyDescent="0.25">
      <c r="A2675" s="66" t="s">
        <v>3117</v>
      </c>
    </row>
    <row r="2676" spans="1:1" x14ac:dyDescent="0.25">
      <c r="A2676" s="66" t="s">
        <v>3118</v>
      </c>
    </row>
    <row r="2677" spans="1:1" x14ac:dyDescent="0.25">
      <c r="A2677" s="66" t="s">
        <v>3119</v>
      </c>
    </row>
    <row r="2678" spans="1:1" x14ac:dyDescent="0.25">
      <c r="A2678" s="66" t="s">
        <v>3120</v>
      </c>
    </row>
    <row r="2679" spans="1:1" x14ac:dyDescent="0.25">
      <c r="A2679" s="66" t="s">
        <v>3121</v>
      </c>
    </row>
    <row r="2680" spans="1:1" x14ac:dyDescent="0.25">
      <c r="A2680" s="66" t="s">
        <v>3122</v>
      </c>
    </row>
    <row r="2681" spans="1:1" x14ac:dyDescent="0.25">
      <c r="A2681" s="66" t="s">
        <v>3123</v>
      </c>
    </row>
    <row r="2682" spans="1:1" x14ac:dyDescent="0.25">
      <c r="A2682" s="66" t="s">
        <v>3124</v>
      </c>
    </row>
    <row r="2683" spans="1:1" x14ac:dyDescent="0.25">
      <c r="A2683" s="66" t="s">
        <v>3125</v>
      </c>
    </row>
    <row r="2684" spans="1:1" x14ac:dyDescent="0.25">
      <c r="A2684" s="66" t="s">
        <v>3126</v>
      </c>
    </row>
    <row r="2685" spans="1:1" x14ac:dyDescent="0.25">
      <c r="A2685" s="66" t="s">
        <v>3127</v>
      </c>
    </row>
    <row r="2686" spans="1:1" x14ac:dyDescent="0.25">
      <c r="A2686" s="66" t="s">
        <v>3128</v>
      </c>
    </row>
    <row r="2687" spans="1:1" x14ac:dyDescent="0.25">
      <c r="A2687" s="66" t="s">
        <v>3129</v>
      </c>
    </row>
    <row r="2688" spans="1:1" x14ac:dyDescent="0.25">
      <c r="A2688" s="66" t="s">
        <v>3130</v>
      </c>
    </row>
    <row r="2689" spans="1:1" x14ac:dyDescent="0.25">
      <c r="A2689" s="66" t="s">
        <v>3131</v>
      </c>
    </row>
    <row r="2690" spans="1:1" x14ac:dyDescent="0.25">
      <c r="A2690" s="66" t="s">
        <v>3132</v>
      </c>
    </row>
    <row r="2691" spans="1:1" x14ac:dyDescent="0.25">
      <c r="A2691" s="66" t="s">
        <v>3133</v>
      </c>
    </row>
    <row r="2692" spans="1:1" x14ac:dyDescent="0.25">
      <c r="A2692" s="66" t="s">
        <v>3134</v>
      </c>
    </row>
    <row r="2693" spans="1:1" x14ac:dyDescent="0.25">
      <c r="A2693" s="66" t="s">
        <v>3135</v>
      </c>
    </row>
    <row r="2694" spans="1:1" x14ac:dyDescent="0.25">
      <c r="A2694" s="66" t="s">
        <v>3136</v>
      </c>
    </row>
    <row r="2695" spans="1:1" x14ac:dyDescent="0.25">
      <c r="A2695" s="66" t="s">
        <v>3137</v>
      </c>
    </row>
    <row r="2696" spans="1:1" x14ac:dyDescent="0.25">
      <c r="A2696" s="66" t="s">
        <v>3138</v>
      </c>
    </row>
    <row r="2697" spans="1:1" x14ac:dyDescent="0.25">
      <c r="A2697" s="66" t="s">
        <v>3139</v>
      </c>
    </row>
    <row r="2698" spans="1:1" x14ac:dyDescent="0.25">
      <c r="A2698" s="66" t="s">
        <v>3140</v>
      </c>
    </row>
    <row r="2699" spans="1:1" x14ac:dyDescent="0.25">
      <c r="A2699" s="66" t="s">
        <v>3141</v>
      </c>
    </row>
    <row r="2700" spans="1:1" x14ac:dyDescent="0.25">
      <c r="A2700" s="66" t="s">
        <v>3142</v>
      </c>
    </row>
    <row r="2701" spans="1:1" x14ac:dyDescent="0.25">
      <c r="A2701" s="66" t="s">
        <v>3143</v>
      </c>
    </row>
    <row r="2702" spans="1:1" x14ac:dyDescent="0.25">
      <c r="A2702" s="66" t="s">
        <v>3144</v>
      </c>
    </row>
    <row r="2703" spans="1:1" x14ac:dyDescent="0.25">
      <c r="A2703" s="66" t="s">
        <v>3145</v>
      </c>
    </row>
    <row r="2704" spans="1:1" x14ac:dyDescent="0.25">
      <c r="A2704" s="66" t="s">
        <v>3146</v>
      </c>
    </row>
    <row r="2705" spans="1:1" x14ac:dyDescent="0.25">
      <c r="A2705" s="66" t="s">
        <v>3147</v>
      </c>
    </row>
    <row r="2706" spans="1:1" x14ac:dyDescent="0.25">
      <c r="A2706" s="66" t="s">
        <v>3148</v>
      </c>
    </row>
    <row r="2707" spans="1:1" x14ac:dyDescent="0.25">
      <c r="A2707" s="66" t="s">
        <v>3149</v>
      </c>
    </row>
    <row r="2708" spans="1:1" x14ac:dyDescent="0.25">
      <c r="A2708" s="66" t="s">
        <v>3150</v>
      </c>
    </row>
    <row r="2709" spans="1:1" x14ac:dyDescent="0.25">
      <c r="A2709" s="66" t="s">
        <v>3151</v>
      </c>
    </row>
    <row r="2710" spans="1:1" x14ac:dyDescent="0.25">
      <c r="A2710" s="66" t="s">
        <v>3152</v>
      </c>
    </row>
    <row r="2711" spans="1:1" x14ac:dyDescent="0.25">
      <c r="A2711" s="66" t="s">
        <v>3153</v>
      </c>
    </row>
    <row r="2712" spans="1:1" x14ac:dyDescent="0.25">
      <c r="A2712" s="66" t="s">
        <v>3154</v>
      </c>
    </row>
    <row r="2713" spans="1:1" x14ac:dyDescent="0.25">
      <c r="A2713" s="66" t="s">
        <v>3155</v>
      </c>
    </row>
    <row r="2714" spans="1:1" x14ac:dyDescent="0.25">
      <c r="A2714" s="66" t="s">
        <v>3156</v>
      </c>
    </row>
    <row r="2715" spans="1:1" x14ac:dyDescent="0.25">
      <c r="A2715" s="66" t="s">
        <v>3157</v>
      </c>
    </row>
    <row r="2716" spans="1:1" x14ac:dyDescent="0.25">
      <c r="A2716" s="66" t="s">
        <v>3158</v>
      </c>
    </row>
    <row r="2717" spans="1:1" x14ac:dyDescent="0.25">
      <c r="A2717" s="66" t="s">
        <v>3159</v>
      </c>
    </row>
    <row r="2718" spans="1:1" x14ac:dyDescent="0.25">
      <c r="A2718" s="66" t="s">
        <v>3160</v>
      </c>
    </row>
    <row r="2719" spans="1:1" x14ac:dyDescent="0.25">
      <c r="A2719" s="66" t="s">
        <v>3161</v>
      </c>
    </row>
    <row r="2720" spans="1:1" x14ac:dyDescent="0.25">
      <c r="A2720" s="66" t="s">
        <v>3162</v>
      </c>
    </row>
    <row r="2721" spans="1:1" x14ac:dyDescent="0.25">
      <c r="A2721" s="66" t="s">
        <v>3163</v>
      </c>
    </row>
    <row r="2722" spans="1:1" x14ac:dyDescent="0.25">
      <c r="A2722" s="66" t="s">
        <v>3164</v>
      </c>
    </row>
    <row r="2723" spans="1:1" x14ac:dyDescent="0.25">
      <c r="A2723" s="66" t="s">
        <v>3165</v>
      </c>
    </row>
    <row r="2724" spans="1:1" x14ac:dyDescent="0.25">
      <c r="A2724" s="66" t="s">
        <v>3166</v>
      </c>
    </row>
    <row r="2725" spans="1:1" x14ac:dyDescent="0.25">
      <c r="A2725" s="66" t="s">
        <v>3167</v>
      </c>
    </row>
    <row r="2726" spans="1:1" x14ac:dyDescent="0.25">
      <c r="A2726" s="66" t="s">
        <v>3168</v>
      </c>
    </row>
    <row r="2727" spans="1:1" x14ac:dyDescent="0.25">
      <c r="A2727" s="66" t="s">
        <v>3169</v>
      </c>
    </row>
    <row r="2728" spans="1:1" x14ac:dyDescent="0.25">
      <c r="A2728" s="66" t="s">
        <v>3170</v>
      </c>
    </row>
    <row r="2729" spans="1:1" x14ac:dyDescent="0.25">
      <c r="A2729" s="66" t="s">
        <v>3171</v>
      </c>
    </row>
    <row r="2730" spans="1:1" x14ac:dyDescent="0.25">
      <c r="A2730" s="56" t="s">
        <v>3172</v>
      </c>
    </row>
    <row r="2731" spans="1:1" x14ac:dyDescent="0.25">
      <c r="A2731" s="66" t="s">
        <v>3173</v>
      </c>
    </row>
    <row r="2732" spans="1:1" x14ac:dyDescent="0.25">
      <c r="A2732" s="56" t="s">
        <v>3174</v>
      </c>
    </row>
    <row r="2733" spans="1:1" x14ac:dyDescent="0.25">
      <c r="A2733" s="66" t="s">
        <v>3175</v>
      </c>
    </row>
    <row r="2734" spans="1:1" x14ac:dyDescent="0.25">
      <c r="A2734" s="66" t="s">
        <v>3176</v>
      </c>
    </row>
    <row r="2735" spans="1:1" x14ac:dyDescent="0.25">
      <c r="A2735" s="66" t="s">
        <v>3177</v>
      </c>
    </row>
    <row r="2736" spans="1:1" x14ac:dyDescent="0.25">
      <c r="A2736" s="66" t="s">
        <v>3178</v>
      </c>
    </row>
    <row r="2737" spans="1:1" x14ac:dyDescent="0.25">
      <c r="A2737" s="66" t="s">
        <v>3179</v>
      </c>
    </row>
    <row r="2738" spans="1:1" x14ac:dyDescent="0.25">
      <c r="A2738" s="66" t="s">
        <v>3180</v>
      </c>
    </row>
    <row r="2739" spans="1:1" x14ac:dyDescent="0.25">
      <c r="A2739" s="66" t="s">
        <v>3181</v>
      </c>
    </row>
    <row r="2740" spans="1:1" x14ac:dyDescent="0.25">
      <c r="A2740" s="66" t="s">
        <v>3182</v>
      </c>
    </row>
    <row r="2741" spans="1:1" x14ac:dyDescent="0.25">
      <c r="A2741" s="56" t="s">
        <v>3183</v>
      </c>
    </row>
    <row r="2742" spans="1:1" x14ac:dyDescent="0.25">
      <c r="A2742" s="66" t="s">
        <v>3184</v>
      </c>
    </row>
    <row r="2743" spans="1:1" x14ac:dyDescent="0.25">
      <c r="A2743" s="66" t="s">
        <v>3185</v>
      </c>
    </row>
    <row r="2744" spans="1:1" x14ac:dyDescent="0.25">
      <c r="A2744" s="66" t="s">
        <v>3186</v>
      </c>
    </row>
    <row r="2745" spans="1:1" x14ac:dyDescent="0.25">
      <c r="A2745" s="66" t="s">
        <v>3187</v>
      </c>
    </row>
    <row r="2746" spans="1:1" x14ac:dyDescent="0.25">
      <c r="A2746" s="66" t="s">
        <v>3188</v>
      </c>
    </row>
    <row r="2747" spans="1:1" x14ac:dyDescent="0.25">
      <c r="A2747" s="66" t="s">
        <v>3189</v>
      </c>
    </row>
    <row r="2748" spans="1:1" x14ac:dyDescent="0.25">
      <c r="A2748" s="66" t="s">
        <v>3190</v>
      </c>
    </row>
    <row r="2749" spans="1:1" x14ac:dyDescent="0.25">
      <c r="A2749" s="66" t="s">
        <v>3191</v>
      </c>
    </row>
    <row r="2750" spans="1:1" x14ac:dyDescent="0.25">
      <c r="A2750" s="66" t="s">
        <v>3192</v>
      </c>
    </row>
    <row r="2751" spans="1:1" x14ac:dyDescent="0.25">
      <c r="A2751" s="66" t="s">
        <v>3193</v>
      </c>
    </row>
    <row r="2752" spans="1:1" x14ac:dyDescent="0.25">
      <c r="A2752" s="66" t="s">
        <v>3194</v>
      </c>
    </row>
    <row r="2753" spans="1:1" x14ac:dyDescent="0.25">
      <c r="A2753" s="66" t="s">
        <v>3195</v>
      </c>
    </row>
    <row r="2754" spans="1:1" x14ac:dyDescent="0.25">
      <c r="A2754" s="66" t="s">
        <v>3196</v>
      </c>
    </row>
    <row r="2755" spans="1:1" x14ac:dyDescent="0.25">
      <c r="A2755" s="66" t="s">
        <v>3197</v>
      </c>
    </row>
    <row r="2756" spans="1:1" x14ac:dyDescent="0.25">
      <c r="A2756" s="66" t="s">
        <v>3198</v>
      </c>
    </row>
    <row r="2757" spans="1:1" x14ac:dyDescent="0.25">
      <c r="A2757" s="66" t="s">
        <v>3199</v>
      </c>
    </row>
    <row r="2758" spans="1:1" x14ac:dyDescent="0.25">
      <c r="A2758" s="56" t="s">
        <v>3200</v>
      </c>
    </row>
    <row r="2759" spans="1:1" x14ac:dyDescent="0.25">
      <c r="A2759" s="66" t="s">
        <v>3201</v>
      </c>
    </row>
    <row r="2760" spans="1:1" x14ac:dyDescent="0.25">
      <c r="A2760" s="56" t="s">
        <v>3202</v>
      </c>
    </row>
    <row r="2761" spans="1:1" x14ac:dyDescent="0.25">
      <c r="A2761" s="66" t="s">
        <v>3203</v>
      </c>
    </row>
    <row r="2762" spans="1:1" x14ac:dyDescent="0.25">
      <c r="A2762" s="66" t="s">
        <v>3204</v>
      </c>
    </row>
    <row r="2763" spans="1:1" x14ac:dyDescent="0.25">
      <c r="A2763" s="66" t="s">
        <v>3205</v>
      </c>
    </row>
    <row r="2764" spans="1:1" x14ac:dyDescent="0.25">
      <c r="A2764" s="66" t="s">
        <v>3206</v>
      </c>
    </row>
    <row r="2765" spans="1:1" x14ac:dyDescent="0.25">
      <c r="A2765" s="66" t="s">
        <v>3207</v>
      </c>
    </row>
    <row r="2766" spans="1:1" x14ac:dyDescent="0.25">
      <c r="A2766" s="66" t="s">
        <v>3208</v>
      </c>
    </row>
    <row r="2767" spans="1:1" x14ac:dyDescent="0.25">
      <c r="A2767" s="66" t="s">
        <v>3209</v>
      </c>
    </row>
    <row r="2768" spans="1:1" x14ac:dyDescent="0.25">
      <c r="A2768" s="66" t="s">
        <v>3210</v>
      </c>
    </row>
    <row r="2769" spans="1:1" x14ac:dyDescent="0.25">
      <c r="A2769" s="66" t="s">
        <v>3211</v>
      </c>
    </row>
    <row r="2770" spans="1:1" x14ac:dyDescent="0.25">
      <c r="A2770" s="66" t="s">
        <v>3212</v>
      </c>
    </row>
    <row r="2771" spans="1:1" x14ac:dyDescent="0.25">
      <c r="A2771" s="66" t="s">
        <v>3213</v>
      </c>
    </row>
    <row r="2772" spans="1:1" x14ac:dyDescent="0.25">
      <c r="A2772" s="66" t="s">
        <v>3214</v>
      </c>
    </row>
    <row r="2773" spans="1:1" x14ac:dyDescent="0.25">
      <c r="A2773" s="66" t="s">
        <v>3215</v>
      </c>
    </row>
    <row r="2774" spans="1:1" x14ac:dyDescent="0.25">
      <c r="A2774" s="66" t="s">
        <v>3216</v>
      </c>
    </row>
    <row r="2775" spans="1:1" x14ac:dyDescent="0.25">
      <c r="A2775" s="66" t="s">
        <v>3217</v>
      </c>
    </row>
    <row r="2776" spans="1:1" x14ac:dyDescent="0.25">
      <c r="A2776" s="66" t="s">
        <v>3218</v>
      </c>
    </row>
    <row r="2777" spans="1:1" x14ac:dyDescent="0.25">
      <c r="A2777" s="66" t="s">
        <v>3219</v>
      </c>
    </row>
    <row r="2778" spans="1:1" x14ac:dyDescent="0.25">
      <c r="A2778" s="66" t="s">
        <v>3220</v>
      </c>
    </row>
    <row r="2779" spans="1:1" x14ac:dyDescent="0.25">
      <c r="A2779" s="66" t="s">
        <v>3221</v>
      </c>
    </row>
    <row r="2780" spans="1:1" x14ac:dyDescent="0.25">
      <c r="A2780" s="66" t="s">
        <v>3222</v>
      </c>
    </row>
    <row r="2781" spans="1:1" x14ac:dyDescent="0.25">
      <c r="A2781" s="66" t="s">
        <v>3223</v>
      </c>
    </row>
    <row r="2782" spans="1:1" x14ac:dyDescent="0.25">
      <c r="A2782" s="66" t="s">
        <v>3224</v>
      </c>
    </row>
    <row r="2783" spans="1:1" x14ac:dyDescent="0.25">
      <c r="A2783" s="66" t="s">
        <v>3225</v>
      </c>
    </row>
    <row r="2784" spans="1:1" x14ac:dyDescent="0.25">
      <c r="A2784" s="66" t="s">
        <v>3226</v>
      </c>
    </row>
    <row r="2785" spans="1:1" x14ac:dyDescent="0.25">
      <c r="A2785" s="66" t="s">
        <v>3227</v>
      </c>
    </row>
    <row r="2786" spans="1:1" x14ac:dyDescent="0.25">
      <c r="A2786" s="66" t="s">
        <v>3228</v>
      </c>
    </row>
    <row r="2787" spans="1:1" x14ac:dyDescent="0.25">
      <c r="A2787" s="66" t="s">
        <v>3229</v>
      </c>
    </row>
    <row r="2788" spans="1:1" x14ac:dyDescent="0.25">
      <c r="A2788" s="66" t="s">
        <v>3230</v>
      </c>
    </row>
    <row r="2789" spans="1:1" x14ac:dyDescent="0.25">
      <c r="A2789" s="66" t="s">
        <v>3231</v>
      </c>
    </row>
    <row r="2790" spans="1:1" x14ac:dyDescent="0.25">
      <c r="A2790" s="66" t="s">
        <v>3232</v>
      </c>
    </row>
    <row r="2791" spans="1:1" x14ac:dyDescent="0.25">
      <c r="A2791" s="66" t="s">
        <v>3233</v>
      </c>
    </row>
    <row r="2792" spans="1:1" x14ac:dyDescent="0.25">
      <c r="A2792" s="66" t="s">
        <v>3234</v>
      </c>
    </row>
    <row r="2793" spans="1:1" x14ac:dyDescent="0.25">
      <c r="A2793" s="66" t="s">
        <v>3235</v>
      </c>
    </row>
    <row r="2794" spans="1:1" x14ac:dyDescent="0.25">
      <c r="A2794" s="66" t="s">
        <v>3236</v>
      </c>
    </row>
    <row r="2795" spans="1:1" x14ac:dyDescent="0.25">
      <c r="A2795" s="66" t="s">
        <v>3237</v>
      </c>
    </row>
    <row r="2796" spans="1:1" x14ac:dyDescent="0.25">
      <c r="A2796" s="66" t="s">
        <v>3238</v>
      </c>
    </row>
    <row r="2797" spans="1:1" x14ac:dyDescent="0.25">
      <c r="A2797" s="66" t="s">
        <v>3239</v>
      </c>
    </row>
    <row r="2798" spans="1:1" x14ac:dyDescent="0.25">
      <c r="A2798" s="66" t="s">
        <v>3240</v>
      </c>
    </row>
    <row r="2799" spans="1:1" x14ac:dyDescent="0.25">
      <c r="A2799" s="66" t="s">
        <v>3241</v>
      </c>
    </row>
    <row r="2800" spans="1:1" x14ac:dyDescent="0.25">
      <c r="A2800" s="66" t="s">
        <v>3242</v>
      </c>
    </row>
    <row r="2801" spans="1:1" x14ac:dyDescent="0.25">
      <c r="A2801" s="66" t="s">
        <v>3243</v>
      </c>
    </row>
    <row r="2802" spans="1:1" x14ac:dyDescent="0.25">
      <c r="A2802" s="66" t="s">
        <v>3244</v>
      </c>
    </row>
    <row r="2803" spans="1:1" x14ac:dyDescent="0.25">
      <c r="A2803" s="66" t="s">
        <v>3245</v>
      </c>
    </row>
    <row r="2804" spans="1:1" x14ac:dyDescent="0.25">
      <c r="A2804" s="66" t="s">
        <v>3246</v>
      </c>
    </row>
    <row r="2805" spans="1:1" x14ac:dyDescent="0.25">
      <c r="A2805" s="66" t="s">
        <v>3247</v>
      </c>
    </row>
    <row r="2806" spans="1:1" x14ac:dyDescent="0.25">
      <c r="A2806" s="66" t="s">
        <v>3248</v>
      </c>
    </row>
    <row r="2807" spans="1:1" x14ac:dyDescent="0.25">
      <c r="A2807" s="56" t="s">
        <v>3249</v>
      </c>
    </row>
    <row r="2808" spans="1:1" x14ac:dyDescent="0.25">
      <c r="A2808" s="66" t="s">
        <v>3250</v>
      </c>
    </row>
    <row r="2809" spans="1:1" x14ac:dyDescent="0.25">
      <c r="A2809" s="66" t="s">
        <v>3251</v>
      </c>
    </row>
    <row r="2810" spans="1:1" x14ac:dyDescent="0.25">
      <c r="A2810" s="66" t="s">
        <v>3252</v>
      </c>
    </row>
    <row r="2811" spans="1:1" x14ac:dyDescent="0.25">
      <c r="A2811" s="66" t="s">
        <v>3253</v>
      </c>
    </row>
    <row r="2812" spans="1:1" x14ac:dyDescent="0.25">
      <c r="A2812" s="66" t="s">
        <v>3254</v>
      </c>
    </row>
    <row r="2813" spans="1:1" x14ac:dyDescent="0.25">
      <c r="A2813" s="66" t="s">
        <v>3255</v>
      </c>
    </row>
    <row r="2814" spans="1:1" x14ac:dyDescent="0.25">
      <c r="A2814" s="66" t="s">
        <v>3256</v>
      </c>
    </row>
    <row r="2815" spans="1:1" x14ac:dyDescent="0.25">
      <c r="A2815" s="66" t="s">
        <v>3257</v>
      </c>
    </row>
    <row r="2816" spans="1:1" x14ac:dyDescent="0.25">
      <c r="A2816" s="66" t="s">
        <v>3258</v>
      </c>
    </row>
    <row r="2817" spans="1:1" x14ac:dyDescent="0.25">
      <c r="A2817" s="66" t="s">
        <v>3259</v>
      </c>
    </row>
    <row r="2818" spans="1:1" x14ac:dyDescent="0.25">
      <c r="A2818" s="66" t="s">
        <v>3260</v>
      </c>
    </row>
    <row r="2819" spans="1:1" x14ac:dyDescent="0.25">
      <c r="A2819" s="66" t="s">
        <v>3261</v>
      </c>
    </row>
    <row r="2820" spans="1:1" x14ac:dyDescent="0.25">
      <c r="A2820" s="66" t="s">
        <v>3262</v>
      </c>
    </row>
    <row r="2821" spans="1:1" x14ac:dyDescent="0.25">
      <c r="A2821" s="66" t="s">
        <v>3263</v>
      </c>
    </row>
    <row r="2822" spans="1:1" x14ac:dyDescent="0.25">
      <c r="A2822" s="66" t="s">
        <v>3264</v>
      </c>
    </row>
    <row r="2823" spans="1:1" x14ac:dyDescent="0.25">
      <c r="A2823" s="66" t="s">
        <v>3265</v>
      </c>
    </row>
    <row r="2824" spans="1:1" x14ac:dyDescent="0.25">
      <c r="A2824" s="56" t="s">
        <v>3266</v>
      </c>
    </row>
    <row r="2825" spans="1:1" x14ac:dyDescent="0.25">
      <c r="A2825" s="66" t="s">
        <v>3267</v>
      </c>
    </row>
    <row r="2826" spans="1:1" x14ac:dyDescent="0.25">
      <c r="A2826" s="66" t="s">
        <v>3268</v>
      </c>
    </row>
    <row r="2827" spans="1:1" x14ac:dyDescent="0.25">
      <c r="A2827" s="66" t="s">
        <v>3269</v>
      </c>
    </row>
    <row r="2828" spans="1:1" x14ac:dyDescent="0.25">
      <c r="A2828" s="66" t="s">
        <v>3270</v>
      </c>
    </row>
    <row r="2829" spans="1:1" x14ac:dyDescent="0.25">
      <c r="A2829" s="66" t="s">
        <v>3271</v>
      </c>
    </row>
    <row r="2830" spans="1:1" x14ac:dyDescent="0.25">
      <c r="A2830" s="66" t="s">
        <v>3272</v>
      </c>
    </row>
    <row r="2831" spans="1:1" x14ac:dyDescent="0.25">
      <c r="A2831" s="66" t="s">
        <v>3273</v>
      </c>
    </row>
    <row r="2832" spans="1:1" x14ac:dyDescent="0.25">
      <c r="A2832" s="66" t="s">
        <v>3274</v>
      </c>
    </row>
    <row r="2833" spans="1:1" x14ac:dyDescent="0.25">
      <c r="A2833" s="66" t="s">
        <v>3275</v>
      </c>
    </row>
    <row r="2834" spans="1:1" x14ac:dyDescent="0.25">
      <c r="A2834" s="66" t="s">
        <v>3276</v>
      </c>
    </row>
    <row r="2835" spans="1:1" x14ac:dyDescent="0.25">
      <c r="A2835" s="66" t="s">
        <v>3277</v>
      </c>
    </row>
    <row r="2836" spans="1:1" x14ac:dyDescent="0.25">
      <c r="A2836" s="66" t="s">
        <v>3278</v>
      </c>
    </row>
    <row r="2837" spans="1:1" x14ac:dyDescent="0.25">
      <c r="A2837" s="66" t="s">
        <v>3279</v>
      </c>
    </row>
    <row r="2838" spans="1:1" x14ac:dyDescent="0.25">
      <c r="A2838" s="66" t="s">
        <v>3280</v>
      </c>
    </row>
    <row r="2839" spans="1:1" x14ac:dyDescent="0.25">
      <c r="A2839" s="66" t="s">
        <v>3281</v>
      </c>
    </row>
    <row r="2840" spans="1:1" x14ac:dyDescent="0.25">
      <c r="A2840" s="66" t="s">
        <v>3282</v>
      </c>
    </row>
    <row r="2841" spans="1:1" x14ac:dyDescent="0.25">
      <c r="A2841" s="66" t="s">
        <v>3283</v>
      </c>
    </row>
    <row r="2842" spans="1:1" x14ac:dyDescent="0.25">
      <c r="A2842" s="66" t="s">
        <v>3284</v>
      </c>
    </row>
    <row r="2843" spans="1:1" x14ac:dyDescent="0.25">
      <c r="A2843" s="66" t="s">
        <v>3285</v>
      </c>
    </row>
    <row r="2844" spans="1:1" x14ac:dyDescent="0.25">
      <c r="A2844" s="66" t="s">
        <v>3286</v>
      </c>
    </row>
    <row r="2845" spans="1:1" x14ac:dyDescent="0.25">
      <c r="A2845" s="66" t="s">
        <v>3287</v>
      </c>
    </row>
    <row r="2846" spans="1:1" x14ac:dyDescent="0.25">
      <c r="A2846" s="66" t="s">
        <v>3288</v>
      </c>
    </row>
    <row r="2847" spans="1:1" x14ac:dyDescent="0.25">
      <c r="A2847" s="66" t="s">
        <v>3289</v>
      </c>
    </row>
    <row r="2848" spans="1:1" x14ac:dyDescent="0.25">
      <c r="A2848" s="66" t="s">
        <v>3290</v>
      </c>
    </row>
    <row r="2849" spans="1:1" x14ac:dyDescent="0.25">
      <c r="A2849" s="66" t="s">
        <v>3291</v>
      </c>
    </row>
    <row r="2850" spans="1:1" x14ac:dyDescent="0.25">
      <c r="A2850" s="66" t="s">
        <v>3292</v>
      </c>
    </row>
    <row r="2851" spans="1:1" x14ac:dyDescent="0.25">
      <c r="A2851" s="66" t="s">
        <v>3293</v>
      </c>
    </row>
    <row r="2852" spans="1:1" x14ac:dyDescent="0.25">
      <c r="A2852" s="66" t="s">
        <v>3294</v>
      </c>
    </row>
    <row r="2853" spans="1:1" x14ac:dyDescent="0.25">
      <c r="A2853" s="66" t="s">
        <v>3295</v>
      </c>
    </row>
    <row r="2854" spans="1:1" x14ac:dyDescent="0.25">
      <c r="A2854" s="66" t="s">
        <v>3296</v>
      </c>
    </row>
    <row r="2855" spans="1:1" x14ac:dyDescent="0.25">
      <c r="A2855" s="66" t="s">
        <v>3297</v>
      </c>
    </row>
    <row r="2856" spans="1:1" x14ac:dyDescent="0.25">
      <c r="A2856" s="66" t="s">
        <v>3298</v>
      </c>
    </row>
    <row r="2857" spans="1:1" x14ac:dyDescent="0.25">
      <c r="A2857" s="66" t="s">
        <v>3299</v>
      </c>
    </row>
    <row r="2858" spans="1:1" x14ac:dyDescent="0.25">
      <c r="A2858" s="66" t="s">
        <v>3300</v>
      </c>
    </row>
    <row r="2859" spans="1:1" x14ac:dyDescent="0.25">
      <c r="A2859" s="66" t="s">
        <v>3301</v>
      </c>
    </row>
    <row r="2860" spans="1:1" x14ac:dyDescent="0.25">
      <c r="A2860" s="66" t="s">
        <v>3302</v>
      </c>
    </row>
    <row r="2861" spans="1:1" x14ac:dyDescent="0.25">
      <c r="A2861" s="66" t="s">
        <v>3303</v>
      </c>
    </row>
    <row r="2862" spans="1:1" x14ac:dyDescent="0.25">
      <c r="A2862" s="66" t="s">
        <v>3304</v>
      </c>
    </row>
    <row r="2863" spans="1:1" x14ac:dyDescent="0.25">
      <c r="A2863" s="67" t="s">
        <v>3305</v>
      </c>
    </row>
    <row r="2864" spans="1:1" x14ac:dyDescent="0.25">
      <c r="A2864" s="66" t="s">
        <v>3306</v>
      </c>
    </row>
    <row r="2865" spans="1:1" x14ac:dyDescent="0.25">
      <c r="A2865" s="66" t="s">
        <v>3307</v>
      </c>
    </row>
    <row r="2866" spans="1:1" x14ac:dyDescent="0.25">
      <c r="A2866" s="66" t="s">
        <v>3308</v>
      </c>
    </row>
    <row r="2867" spans="1:1" x14ac:dyDescent="0.25">
      <c r="A2867" s="66" t="s">
        <v>3309</v>
      </c>
    </row>
    <row r="2868" spans="1:1" x14ac:dyDescent="0.25">
      <c r="A2868" s="66" t="s">
        <v>3310</v>
      </c>
    </row>
    <row r="2869" spans="1:1" x14ac:dyDescent="0.25">
      <c r="A2869" s="66" t="s">
        <v>3311</v>
      </c>
    </row>
    <row r="2870" spans="1:1" x14ac:dyDescent="0.25">
      <c r="A2870" s="66" t="s">
        <v>3312</v>
      </c>
    </row>
    <row r="2871" spans="1:1" x14ac:dyDescent="0.25">
      <c r="A2871" s="66" t="s">
        <v>3313</v>
      </c>
    </row>
    <row r="2872" spans="1:1" x14ac:dyDescent="0.25">
      <c r="A2872" s="66" t="s">
        <v>3314</v>
      </c>
    </row>
    <row r="2873" spans="1:1" x14ac:dyDescent="0.25">
      <c r="A2873" s="66" t="s">
        <v>3315</v>
      </c>
    </row>
    <row r="2874" spans="1:1" x14ac:dyDescent="0.25">
      <c r="A2874" s="66" t="s">
        <v>3316</v>
      </c>
    </row>
    <row r="2875" spans="1:1" x14ac:dyDescent="0.25">
      <c r="A2875" s="66" t="s">
        <v>3317</v>
      </c>
    </row>
    <row r="2876" spans="1:1" x14ac:dyDescent="0.25">
      <c r="A2876" s="66" t="s">
        <v>3318</v>
      </c>
    </row>
    <row r="2877" spans="1:1" x14ac:dyDescent="0.25">
      <c r="A2877" s="66" t="s">
        <v>3319</v>
      </c>
    </row>
    <row r="2878" spans="1:1" x14ac:dyDescent="0.25">
      <c r="A2878" s="66" t="s">
        <v>3320</v>
      </c>
    </row>
    <row r="2879" spans="1:1" x14ac:dyDescent="0.25">
      <c r="A2879" s="66" t="s">
        <v>3321</v>
      </c>
    </row>
    <row r="2880" spans="1:1" x14ac:dyDescent="0.25">
      <c r="A2880" s="66" t="s">
        <v>3322</v>
      </c>
    </row>
    <row r="2881" spans="1:1" x14ac:dyDescent="0.25">
      <c r="A2881" s="66" t="s">
        <v>3323</v>
      </c>
    </row>
    <row r="2882" spans="1:1" x14ac:dyDescent="0.25">
      <c r="A2882" s="66" t="s">
        <v>3324</v>
      </c>
    </row>
    <row r="2883" spans="1:1" x14ac:dyDescent="0.25">
      <c r="A2883" s="66" t="s">
        <v>3325</v>
      </c>
    </row>
    <row r="2884" spans="1:1" x14ac:dyDescent="0.25">
      <c r="A2884" s="66" t="s">
        <v>3326</v>
      </c>
    </row>
    <row r="2885" spans="1:1" x14ac:dyDescent="0.25">
      <c r="A2885" s="66" t="s">
        <v>3327</v>
      </c>
    </row>
    <row r="2886" spans="1:1" x14ac:dyDescent="0.25">
      <c r="A2886" s="66" t="s">
        <v>3328</v>
      </c>
    </row>
    <row r="2887" spans="1:1" x14ac:dyDescent="0.25">
      <c r="A2887" s="66" t="s">
        <v>3329</v>
      </c>
    </row>
    <row r="2888" spans="1:1" x14ac:dyDescent="0.25">
      <c r="A2888" s="66" t="s">
        <v>3330</v>
      </c>
    </row>
    <row r="2889" spans="1:1" x14ac:dyDescent="0.25">
      <c r="A2889" s="66" t="s">
        <v>3331</v>
      </c>
    </row>
    <row r="2890" spans="1:1" x14ac:dyDescent="0.25">
      <c r="A2890" s="66" t="s">
        <v>3332</v>
      </c>
    </row>
    <row r="2891" spans="1:1" x14ac:dyDescent="0.25">
      <c r="A2891" s="66" t="s">
        <v>3333</v>
      </c>
    </row>
    <row r="2892" spans="1:1" x14ac:dyDescent="0.25">
      <c r="A2892" s="66" t="s">
        <v>3334</v>
      </c>
    </row>
    <row r="2893" spans="1:1" x14ac:dyDescent="0.25">
      <c r="A2893" s="66" t="s">
        <v>3335</v>
      </c>
    </row>
    <row r="2894" spans="1:1" x14ac:dyDescent="0.25">
      <c r="A2894" s="66" t="s">
        <v>3336</v>
      </c>
    </row>
    <row r="2895" spans="1:1" x14ac:dyDescent="0.25">
      <c r="A2895" s="66" t="s">
        <v>3337</v>
      </c>
    </row>
    <row r="2896" spans="1:1" x14ac:dyDescent="0.25">
      <c r="A2896" s="66" t="s">
        <v>3338</v>
      </c>
    </row>
    <row r="2897" spans="1:1" x14ac:dyDescent="0.25">
      <c r="A2897" s="66" t="s">
        <v>3339</v>
      </c>
    </row>
    <row r="2898" spans="1:1" x14ac:dyDescent="0.25">
      <c r="A2898" s="66" t="s">
        <v>3340</v>
      </c>
    </row>
    <row r="2899" spans="1:1" x14ac:dyDescent="0.25">
      <c r="A2899" s="66" t="s">
        <v>3341</v>
      </c>
    </row>
    <row r="2900" spans="1:1" x14ac:dyDescent="0.25">
      <c r="A2900" s="66" t="s">
        <v>3342</v>
      </c>
    </row>
    <row r="2901" spans="1:1" x14ac:dyDescent="0.25">
      <c r="A2901" s="66" t="s">
        <v>3343</v>
      </c>
    </row>
    <row r="2902" spans="1:1" x14ac:dyDescent="0.25">
      <c r="A2902" s="66" t="s">
        <v>3344</v>
      </c>
    </row>
    <row r="2903" spans="1:1" x14ac:dyDescent="0.25">
      <c r="A2903" s="66" t="s">
        <v>3345</v>
      </c>
    </row>
    <row r="2904" spans="1:1" x14ac:dyDescent="0.25">
      <c r="A2904" s="66" t="s">
        <v>3346</v>
      </c>
    </row>
    <row r="2905" spans="1:1" x14ac:dyDescent="0.25">
      <c r="A2905" s="66" t="s">
        <v>3347</v>
      </c>
    </row>
    <row r="2906" spans="1:1" x14ac:dyDescent="0.25">
      <c r="A2906" s="66" t="s">
        <v>3348</v>
      </c>
    </row>
    <row r="2907" spans="1:1" x14ac:dyDescent="0.25">
      <c r="A2907" s="66" t="s">
        <v>3349</v>
      </c>
    </row>
    <row r="2908" spans="1:1" x14ac:dyDescent="0.25">
      <c r="A2908" s="66" t="s">
        <v>3350</v>
      </c>
    </row>
    <row r="2909" spans="1:1" x14ac:dyDescent="0.25">
      <c r="A2909" s="66" t="s">
        <v>3351</v>
      </c>
    </row>
    <row r="2910" spans="1:1" x14ac:dyDescent="0.25">
      <c r="A2910" s="66" t="s">
        <v>3352</v>
      </c>
    </row>
    <row r="2911" spans="1:1" x14ac:dyDescent="0.25">
      <c r="A2911" s="66" t="s">
        <v>3353</v>
      </c>
    </row>
    <row r="2912" spans="1:1" x14ac:dyDescent="0.25">
      <c r="A2912" s="66" t="s">
        <v>3354</v>
      </c>
    </row>
    <row r="2913" spans="1:1" x14ac:dyDescent="0.25">
      <c r="A2913" s="66" t="s">
        <v>3355</v>
      </c>
    </row>
    <row r="2914" spans="1:1" x14ac:dyDescent="0.25">
      <c r="A2914" s="66" t="s">
        <v>3356</v>
      </c>
    </row>
    <row r="2915" spans="1:1" x14ac:dyDescent="0.25">
      <c r="A2915" s="66" t="s">
        <v>3357</v>
      </c>
    </row>
    <row r="2916" spans="1:1" x14ac:dyDescent="0.25">
      <c r="A2916" s="66" t="s">
        <v>3358</v>
      </c>
    </row>
    <row r="2917" spans="1:1" x14ac:dyDescent="0.25">
      <c r="A2917" s="66" t="s">
        <v>3359</v>
      </c>
    </row>
    <row r="2918" spans="1:1" x14ac:dyDescent="0.25">
      <c r="A2918" s="66" t="s">
        <v>3360</v>
      </c>
    </row>
    <row r="2919" spans="1:1" x14ac:dyDescent="0.25">
      <c r="A2919" s="66" t="s">
        <v>3361</v>
      </c>
    </row>
    <row r="2920" spans="1:1" x14ac:dyDescent="0.25">
      <c r="A2920" s="66" t="s">
        <v>3362</v>
      </c>
    </row>
    <row r="2921" spans="1:1" x14ac:dyDescent="0.25">
      <c r="A2921" s="66" t="s">
        <v>3363</v>
      </c>
    </row>
    <row r="2922" spans="1:1" x14ac:dyDescent="0.25">
      <c r="A2922" s="66" t="s">
        <v>3364</v>
      </c>
    </row>
    <row r="2923" spans="1:1" x14ac:dyDescent="0.25">
      <c r="A2923" s="66" t="s">
        <v>3365</v>
      </c>
    </row>
    <row r="2924" spans="1:1" x14ac:dyDescent="0.25">
      <c r="A2924" s="66" t="s">
        <v>3366</v>
      </c>
    </row>
    <row r="2925" spans="1:1" x14ac:dyDescent="0.25">
      <c r="A2925" s="66" t="s">
        <v>3367</v>
      </c>
    </row>
    <row r="2926" spans="1:1" x14ac:dyDescent="0.25">
      <c r="A2926" s="66" t="s">
        <v>3368</v>
      </c>
    </row>
    <row r="2927" spans="1:1" x14ac:dyDescent="0.25">
      <c r="A2927" s="66" t="s">
        <v>3369</v>
      </c>
    </row>
    <row r="2928" spans="1:1" x14ac:dyDescent="0.25">
      <c r="A2928" s="66" t="s">
        <v>3370</v>
      </c>
    </row>
    <row r="2929" spans="1:1" x14ac:dyDescent="0.25">
      <c r="A2929" s="66" t="s">
        <v>3371</v>
      </c>
    </row>
    <row r="2930" spans="1:1" x14ac:dyDescent="0.25">
      <c r="A2930" s="66" t="s">
        <v>3372</v>
      </c>
    </row>
    <row r="2931" spans="1:1" x14ac:dyDescent="0.25">
      <c r="A2931" s="66" t="s">
        <v>3373</v>
      </c>
    </row>
    <row r="2932" spans="1:1" x14ac:dyDescent="0.25">
      <c r="A2932" s="66" t="s">
        <v>3374</v>
      </c>
    </row>
    <row r="2933" spans="1:1" x14ac:dyDescent="0.25">
      <c r="A2933" s="66" t="s">
        <v>3375</v>
      </c>
    </row>
    <row r="2934" spans="1:1" x14ac:dyDescent="0.25">
      <c r="A2934" s="66" t="s">
        <v>3376</v>
      </c>
    </row>
    <row r="2935" spans="1:1" x14ac:dyDescent="0.25">
      <c r="A2935" s="66" t="s">
        <v>3377</v>
      </c>
    </row>
    <row r="2936" spans="1:1" x14ac:dyDescent="0.25">
      <c r="A2936" s="66" t="s">
        <v>3378</v>
      </c>
    </row>
    <row r="2937" spans="1:1" x14ac:dyDescent="0.25">
      <c r="A2937" s="66" t="s">
        <v>3379</v>
      </c>
    </row>
    <row r="2938" spans="1:1" x14ac:dyDescent="0.25">
      <c r="A2938" s="66" t="s">
        <v>3380</v>
      </c>
    </row>
    <row r="2939" spans="1:1" x14ac:dyDescent="0.25">
      <c r="A2939" s="66" t="s">
        <v>3381</v>
      </c>
    </row>
    <row r="2940" spans="1:1" x14ac:dyDescent="0.25">
      <c r="A2940" s="66" t="s">
        <v>3382</v>
      </c>
    </row>
    <row r="2941" spans="1:1" x14ac:dyDescent="0.25">
      <c r="A2941" s="66" t="s">
        <v>3383</v>
      </c>
    </row>
    <row r="2942" spans="1:1" x14ac:dyDescent="0.25">
      <c r="A2942" s="66" t="s">
        <v>3384</v>
      </c>
    </row>
    <row r="2943" spans="1:1" x14ac:dyDescent="0.25">
      <c r="A2943" s="66" t="s">
        <v>3385</v>
      </c>
    </row>
    <row r="2944" spans="1:1" x14ac:dyDescent="0.25">
      <c r="A2944" s="66" t="s">
        <v>3386</v>
      </c>
    </row>
    <row r="2945" spans="1:1" x14ac:dyDescent="0.25">
      <c r="A2945" s="66" t="s">
        <v>3387</v>
      </c>
    </row>
    <row r="2946" spans="1:1" x14ac:dyDescent="0.25">
      <c r="A2946" s="66" t="s">
        <v>3388</v>
      </c>
    </row>
    <row r="2947" spans="1:1" x14ac:dyDescent="0.25">
      <c r="A2947" s="66" t="s">
        <v>3389</v>
      </c>
    </row>
    <row r="2948" spans="1:1" x14ac:dyDescent="0.25">
      <c r="A2948" s="66" t="s">
        <v>3390</v>
      </c>
    </row>
    <row r="2949" spans="1:1" x14ac:dyDescent="0.25">
      <c r="A2949" s="66" t="s">
        <v>3391</v>
      </c>
    </row>
    <row r="2950" spans="1:1" x14ac:dyDescent="0.25">
      <c r="A2950" s="66" t="s">
        <v>3392</v>
      </c>
    </row>
    <row r="2951" spans="1:1" x14ac:dyDescent="0.25">
      <c r="A2951" s="66" t="s">
        <v>3393</v>
      </c>
    </row>
    <row r="2952" spans="1:1" x14ac:dyDescent="0.25">
      <c r="A2952" s="66" t="s">
        <v>3394</v>
      </c>
    </row>
    <row r="2953" spans="1:1" x14ac:dyDescent="0.25">
      <c r="A2953" s="66" t="s">
        <v>3395</v>
      </c>
    </row>
    <row r="2954" spans="1:1" x14ac:dyDescent="0.25">
      <c r="A2954" s="66" t="s">
        <v>3396</v>
      </c>
    </row>
    <row r="2955" spans="1:1" x14ac:dyDescent="0.25">
      <c r="A2955" s="66" t="s">
        <v>3397</v>
      </c>
    </row>
    <row r="2956" spans="1:1" x14ac:dyDescent="0.25">
      <c r="A2956" s="66" t="s">
        <v>3398</v>
      </c>
    </row>
    <row r="2957" spans="1:1" x14ac:dyDescent="0.25">
      <c r="A2957" s="66" t="s">
        <v>3399</v>
      </c>
    </row>
    <row r="2958" spans="1:1" x14ac:dyDescent="0.25">
      <c r="A2958" s="66" t="s">
        <v>3400</v>
      </c>
    </row>
    <row r="2959" spans="1:1" x14ac:dyDescent="0.25">
      <c r="A2959" s="66" t="s">
        <v>3401</v>
      </c>
    </row>
    <row r="2960" spans="1:1" x14ac:dyDescent="0.25">
      <c r="A2960" s="66" t="s">
        <v>3402</v>
      </c>
    </row>
    <row r="2961" spans="1:1" x14ac:dyDescent="0.25">
      <c r="A2961" s="66" t="s">
        <v>3403</v>
      </c>
    </row>
    <row r="2962" spans="1:1" x14ac:dyDescent="0.25">
      <c r="A2962" s="66" t="s">
        <v>3404</v>
      </c>
    </row>
    <row r="2963" spans="1:1" x14ac:dyDescent="0.25">
      <c r="A2963" s="56" t="s">
        <v>3405</v>
      </c>
    </row>
    <row r="2964" spans="1:1" x14ac:dyDescent="0.25">
      <c r="A2964" s="66" t="s">
        <v>3406</v>
      </c>
    </row>
    <row r="2965" spans="1:1" x14ac:dyDescent="0.25">
      <c r="A2965" s="66" t="s">
        <v>3407</v>
      </c>
    </row>
    <row r="2966" spans="1:1" x14ac:dyDescent="0.25">
      <c r="A2966" s="66" t="s">
        <v>3408</v>
      </c>
    </row>
    <row r="2967" spans="1:1" x14ac:dyDescent="0.25">
      <c r="A2967" s="66" t="s">
        <v>3409</v>
      </c>
    </row>
    <row r="2968" spans="1:1" x14ac:dyDescent="0.25">
      <c r="A2968" s="66" t="s">
        <v>3410</v>
      </c>
    </row>
    <row r="2969" spans="1:1" x14ac:dyDescent="0.25">
      <c r="A2969" s="66" t="s">
        <v>3411</v>
      </c>
    </row>
    <row r="2970" spans="1:1" x14ac:dyDescent="0.25">
      <c r="A2970" s="66" t="s">
        <v>3412</v>
      </c>
    </row>
    <row r="2971" spans="1:1" x14ac:dyDescent="0.25">
      <c r="A2971" s="66" t="s">
        <v>3413</v>
      </c>
    </row>
    <row r="2972" spans="1:1" x14ac:dyDescent="0.25">
      <c r="A2972" s="66" t="s">
        <v>3414</v>
      </c>
    </row>
    <row r="2973" spans="1:1" x14ac:dyDescent="0.25">
      <c r="A2973" s="66" t="s">
        <v>3415</v>
      </c>
    </row>
    <row r="2974" spans="1:1" x14ac:dyDescent="0.25">
      <c r="A2974" s="66" t="s">
        <v>3416</v>
      </c>
    </row>
    <row r="2975" spans="1:1" x14ac:dyDescent="0.25">
      <c r="A2975" s="66" t="s">
        <v>3417</v>
      </c>
    </row>
    <row r="2976" spans="1:1" x14ac:dyDescent="0.25">
      <c r="A2976" s="66" t="s">
        <v>3418</v>
      </c>
    </row>
    <row r="2977" spans="1:1" x14ac:dyDescent="0.25">
      <c r="A2977" s="66" t="s">
        <v>3419</v>
      </c>
    </row>
    <row r="2978" spans="1:1" x14ac:dyDescent="0.25">
      <c r="A2978" s="66" t="s">
        <v>3420</v>
      </c>
    </row>
    <row r="2979" spans="1:1" x14ac:dyDescent="0.25">
      <c r="A2979" s="66" t="s">
        <v>3421</v>
      </c>
    </row>
    <row r="2980" spans="1:1" x14ac:dyDescent="0.25">
      <c r="A2980" s="66" t="s">
        <v>3422</v>
      </c>
    </row>
    <row r="2981" spans="1:1" x14ac:dyDescent="0.25">
      <c r="A2981" s="66" t="s">
        <v>3423</v>
      </c>
    </row>
    <row r="2982" spans="1:1" x14ac:dyDescent="0.25">
      <c r="A2982" s="66" t="s">
        <v>3424</v>
      </c>
    </row>
    <row r="2983" spans="1:1" x14ac:dyDescent="0.25">
      <c r="A2983" s="66" t="s">
        <v>3425</v>
      </c>
    </row>
    <row r="2984" spans="1:1" x14ac:dyDescent="0.25">
      <c r="A2984" s="66" t="s">
        <v>3426</v>
      </c>
    </row>
    <row r="2985" spans="1:1" x14ac:dyDescent="0.25">
      <c r="A2985" s="66" t="s">
        <v>3427</v>
      </c>
    </row>
    <row r="2986" spans="1:1" x14ac:dyDescent="0.25">
      <c r="A2986" s="66" t="s">
        <v>3428</v>
      </c>
    </row>
    <row r="2987" spans="1:1" x14ac:dyDescent="0.25">
      <c r="A2987" s="66" t="s">
        <v>3429</v>
      </c>
    </row>
    <row r="2988" spans="1:1" x14ac:dyDescent="0.25">
      <c r="A2988" s="66" t="s">
        <v>3430</v>
      </c>
    </row>
    <row r="2989" spans="1:1" x14ac:dyDescent="0.25">
      <c r="A2989" s="66" t="s">
        <v>3431</v>
      </c>
    </row>
    <row r="2990" spans="1:1" x14ac:dyDescent="0.25">
      <c r="A2990" s="66" t="s">
        <v>3432</v>
      </c>
    </row>
    <row r="2991" spans="1:1" x14ac:dyDescent="0.25">
      <c r="A2991" s="66" t="s">
        <v>3433</v>
      </c>
    </row>
    <row r="2992" spans="1:1" x14ac:dyDescent="0.25">
      <c r="A2992" s="66" t="s">
        <v>3434</v>
      </c>
    </row>
    <row r="2993" spans="1:1" x14ac:dyDescent="0.25">
      <c r="A2993" s="66" t="s">
        <v>3435</v>
      </c>
    </row>
    <row r="2994" spans="1:1" x14ac:dyDescent="0.25">
      <c r="A2994" s="66" t="s">
        <v>3436</v>
      </c>
    </row>
    <row r="2995" spans="1:1" x14ac:dyDescent="0.25">
      <c r="A2995" s="66" t="s">
        <v>3437</v>
      </c>
    </row>
    <row r="2996" spans="1:1" x14ac:dyDescent="0.25">
      <c r="A2996" s="66" t="s">
        <v>3438</v>
      </c>
    </row>
    <row r="2997" spans="1:1" x14ac:dyDescent="0.25">
      <c r="A2997" s="66" t="s">
        <v>3439</v>
      </c>
    </row>
    <row r="2998" spans="1:1" x14ac:dyDescent="0.25">
      <c r="A2998" s="66" t="s">
        <v>3440</v>
      </c>
    </row>
    <row r="2999" spans="1:1" x14ac:dyDescent="0.25">
      <c r="A2999" s="66" t="s">
        <v>3441</v>
      </c>
    </row>
    <row r="3000" spans="1:1" x14ac:dyDescent="0.25">
      <c r="A3000" s="66" t="s">
        <v>3442</v>
      </c>
    </row>
    <row r="3001" spans="1:1" x14ac:dyDescent="0.25">
      <c r="A3001" s="66" t="s">
        <v>3443</v>
      </c>
    </row>
    <row r="3002" spans="1:1" x14ac:dyDescent="0.25">
      <c r="A3002" s="66" t="s">
        <v>3444</v>
      </c>
    </row>
    <row r="3003" spans="1:1" x14ac:dyDescent="0.25">
      <c r="A3003" s="66" t="s">
        <v>3445</v>
      </c>
    </row>
    <row r="3004" spans="1:1" x14ac:dyDescent="0.25">
      <c r="A3004" s="66" t="s">
        <v>3446</v>
      </c>
    </row>
    <row r="3005" spans="1:1" x14ac:dyDescent="0.25">
      <c r="A3005" s="66" t="s">
        <v>3447</v>
      </c>
    </row>
    <row r="3006" spans="1:1" x14ac:dyDescent="0.25">
      <c r="A3006" s="66" t="s">
        <v>3448</v>
      </c>
    </row>
    <row r="3007" spans="1:1" x14ac:dyDescent="0.25">
      <c r="A3007" s="66" t="s">
        <v>3449</v>
      </c>
    </row>
    <row r="3008" spans="1:1" x14ac:dyDescent="0.25">
      <c r="A3008" s="66" t="s">
        <v>3450</v>
      </c>
    </row>
    <row r="3009" spans="1:1" x14ac:dyDescent="0.25">
      <c r="A3009" s="66" t="s">
        <v>3451</v>
      </c>
    </row>
    <row r="3010" spans="1:1" x14ac:dyDescent="0.25">
      <c r="A3010" s="56" t="s">
        <v>3452</v>
      </c>
    </row>
    <row r="3011" spans="1:1" x14ac:dyDescent="0.25">
      <c r="A3011" s="66" t="s">
        <v>3453</v>
      </c>
    </row>
    <row r="3012" spans="1:1" x14ac:dyDescent="0.25">
      <c r="A3012" s="66" t="s">
        <v>3454</v>
      </c>
    </row>
    <row r="3013" spans="1:1" x14ac:dyDescent="0.25">
      <c r="A3013" s="66" t="s">
        <v>3455</v>
      </c>
    </row>
    <row r="3014" spans="1:1" x14ac:dyDescent="0.25">
      <c r="A3014" s="66" t="s">
        <v>3456</v>
      </c>
    </row>
    <row r="3015" spans="1:1" x14ac:dyDescent="0.25">
      <c r="A3015" s="66" t="s">
        <v>3457</v>
      </c>
    </row>
    <row r="3016" spans="1:1" x14ac:dyDescent="0.25">
      <c r="A3016" s="66" t="s">
        <v>3458</v>
      </c>
    </row>
    <row r="3017" spans="1:1" x14ac:dyDescent="0.25">
      <c r="A3017" s="66" t="s">
        <v>3459</v>
      </c>
    </row>
    <row r="3018" spans="1:1" x14ac:dyDescent="0.25">
      <c r="A3018" s="56" t="s">
        <v>3460</v>
      </c>
    </row>
    <row r="3019" spans="1:1" x14ac:dyDescent="0.25">
      <c r="A3019" s="66" t="s">
        <v>3461</v>
      </c>
    </row>
    <row r="3020" spans="1:1" x14ac:dyDescent="0.25">
      <c r="A3020" s="56" t="s">
        <v>3462</v>
      </c>
    </row>
    <row r="3021" spans="1:1" x14ac:dyDescent="0.25">
      <c r="A3021" s="66" t="s">
        <v>3463</v>
      </c>
    </row>
    <row r="3022" spans="1:1" x14ac:dyDescent="0.25">
      <c r="A3022" s="56" t="s">
        <v>3464</v>
      </c>
    </row>
    <row r="3023" spans="1:1" x14ac:dyDescent="0.25">
      <c r="A3023" s="66" t="s">
        <v>3465</v>
      </c>
    </row>
    <row r="3024" spans="1:1" x14ac:dyDescent="0.25">
      <c r="A3024" s="56" t="s">
        <v>3466</v>
      </c>
    </row>
    <row r="3025" spans="1:1" x14ac:dyDescent="0.25">
      <c r="A3025" s="66" t="s">
        <v>3467</v>
      </c>
    </row>
    <row r="3026" spans="1:1" x14ac:dyDescent="0.25">
      <c r="A3026" s="66" t="s">
        <v>3468</v>
      </c>
    </row>
    <row r="3027" spans="1:1" x14ac:dyDescent="0.25">
      <c r="A3027" s="66" t="s">
        <v>3469</v>
      </c>
    </row>
    <row r="3028" spans="1:1" x14ac:dyDescent="0.25">
      <c r="A3028" s="66" t="s">
        <v>3470</v>
      </c>
    </row>
    <row r="3029" spans="1:1" x14ac:dyDescent="0.25">
      <c r="A3029" s="66" t="s">
        <v>3471</v>
      </c>
    </row>
    <row r="3030" spans="1:1" x14ac:dyDescent="0.25">
      <c r="A3030" s="66" t="s">
        <v>3472</v>
      </c>
    </row>
    <row r="3031" spans="1:1" x14ac:dyDescent="0.25">
      <c r="A3031" s="66" t="s">
        <v>3473</v>
      </c>
    </row>
    <row r="3032" spans="1:1" x14ac:dyDescent="0.25">
      <c r="A3032" s="66" t="s">
        <v>3474</v>
      </c>
    </row>
    <row r="3033" spans="1:1" x14ac:dyDescent="0.25">
      <c r="A3033" s="66" t="s">
        <v>3475</v>
      </c>
    </row>
    <row r="3034" spans="1:1" x14ac:dyDescent="0.25">
      <c r="A3034" s="66" t="s">
        <v>3476</v>
      </c>
    </row>
    <row r="3035" spans="1:1" x14ac:dyDescent="0.25">
      <c r="A3035" s="66" t="s">
        <v>3477</v>
      </c>
    </row>
    <row r="3036" spans="1:1" x14ac:dyDescent="0.25">
      <c r="A3036" s="66" t="s">
        <v>3478</v>
      </c>
    </row>
    <row r="3037" spans="1:1" x14ac:dyDescent="0.25">
      <c r="A3037" s="66" t="s">
        <v>3479</v>
      </c>
    </row>
    <row r="3038" spans="1:1" x14ac:dyDescent="0.25">
      <c r="A3038" s="66" t="s">
        <v>3480</v>
      </c>
    </row>
    <row r="3039" spans="1:1" x14ac:dyDescent="0.25">
      <c r="A3039" s="66" t="s">
        <v>3481</v>
      </c>
    </row>
    <row r="3040" spans="1:1" x14ac:dyDescent="0.25">
      <c r="A3040" s="66" t="s">
        <v>3482</v>
      </c>
    </row>
    <row r="3041" spans="1:1" x14ac:dyDescent="0.25">
      <c r="A3041" s="66" t="s">
        <v>3483</v>
      </c>
    </row>
    <row r="3042" spans="1:1" x14ac:dyDescent="0.25">
      <c r="A3042" s="66" t="s">
        <v>3484</v>
      </c>
    </row>
    <row r="3043" spans="1:1" x14ac:dyDescent="0.25">
      <c r="A3043" s="66" t="s">
        <v>3485</v>
      </c>
    </row>
    <row r="3044" spans="1:1" x14ac:dyDescent="0.25">
      <c r="A3044" s="66" t="s">
        <v>3486</v>
      </c>
    </row>
    <row r="3045" spans="1:1" x14ac:dyDescent="0.25">
      <c r="A3045" s="56" t="s">
        <v>3487</v>
      </c>
    </row>
    <row r="3046" spans="1:1" x14ac:dyDescent="0.25">
      <c r="A3046" s="66" t="s">
        <v>3488</v>
      </c>
    </row>
    <row r="3047" spans="1:1" x14ac:dyDescent="0.25">
      <c r="A3047" s="66" t="s">
        <v>3489</v>
      </c>
    </row>
    <row r="3048" spans="1:1" x14ac:dyDescent="0.25">
      <c r="A3048" s="66" t="s">
        <v>3490</v>
      </c>
    </row>
    <row r="3049" spans="1:1" x14ac:dyDescent="0.25">
      <c r="A3049" s="66" t="s">
        <v>3491</v>
      </c>
    </row>
    <row r="3050" spans="1:1" x14ac:dyDescent="0.25">
      <c r="A3050" s="56" t="s">
        <v>3492</v>
      </c>
    </row>
    <row r="3051" spans="1:1" x14ac:dyDescent="0.25">
      <c r="A3051" s="66" t="s">
        <v>3493</v>
      </c>
    </row>
    <row r="3052" spans="1:1" x14ac:dyDescent="0.25">
      <c r="A3052" s="56" t="s">
        <v>3494</v>
      </c>
    </row>
    <row r="3053" spans="1:1" x14ac:dyDescent="0.25">
      <c r="A3053" s="66" t="s">
        <v>3495</v>
      </c>
    </row>
    <row r="3054" spans="1:1" x14ac:dyDescent="0.25">
      <c r="A3054" s="66" t="s">
        <v>3496</v>
      </c>
    </row>
    <row r="3055" spans="1:1" x14ac:dyDescent="0.25">
      <c r="A3055" s="66" t="s">
        <v>3497</v>
      </c>
    </row>
    <row r="3056" spans="1:1" x14ac:dyDescent="0.25">
      <c r="A3056" s="66" t="s">
        <v>3498</v>
      </c>
    </row>
    <row r="3057" spans="1:1" x14ac:dyDescent="0.25">
      <c r="A3057" s="66" t="s">
        <v>3499</v>
      </c>
    </row>
    <row r="3058" spans="1:1" x14ac:dyDescent="0.25">
      <c r="A3058" s="66" t="s">
        <v>3500</v>
      </c>
    </row>
    <row r="3059" spans="1:1" x14ac:dyDescent="0.25">
      <c r="A3059" s="66" t="s">
        <v>3501</v>
      </c>
    </row>
    <row r="3060" spans="1:1" x14ac:dyDescent="0.25">
      <c r="A3060" s="66" t="s">
        <v>3502</v>
      </c>
    </row>
    <row r="3061" spans="1:1" x14ac:dyDescent="0.25">
      <c r="A3061" s="66" t="s">
        <v>3503</v>
      </c>
    </row>
    <row r="3062" spans="1:1" x14ac:dyDescent="0.25">
      <c r="A3062" s="66" t="s">
        <v>3504</v>
      </c>
    </row>
    <row r="3063" spans="1:1" x14ac:dyDescent="0.25">
      <c r="A3063" s="66" t="s">
        <v>3505</v>
      </c>
    </row>
    <row r="3064" spans="1:1" x14ac:dyDescent="0.25">
      <c r="A3064" s="66" t="s">
        <v>3506</v>
      </c>
    </row>
    <row r="3065" spans="1:1" x14ac:dyDescent="0.25">
      <c r="A3065" s="66" t="s">
        <v>3507</v>
      </c>
    </row>
    <row r="3066" spans="1:1" x14ac:dyDescent="0.25">
      <c r="A3066" s="66" t="s">
        <v>3508</v>
      </c>
    </row>
    <row r="3067" spans="1:1" x14ac:dyDescent="0.25">
      <c r="A3067" s="66" t="s">
        <v>3509</v>
      </c>
    </row>
    <row r="3068" spans="1:1" x14ac:dyDescent="0.25">
      <c r="A3068" s="66" t="s">
        <v>3510</v>
      </c>
    </row>
    <row r="3069" spans="1:1" x14ac:dyDescent="0.25">
      <c r="A3069" s="66" t="s">
        <v>3511</v>
      </c>
    </row>
    <row r="3070" spans="1:1" x14ac:dyDescent="0.25">
      <c r="A3070" s="66" t="s">
        <v>3512</v>
      </c>
    </row>
    <row r="3071" spans="1:1" x14ac:dyDescent="0.25">
      <c r="A3071" s="66" t="s">
        <v>3513</v>
      </c>
    </row>
    <row r="3072" spans="1:1" x14ac:dyDescent="0.25">
      <c r="A3072" s="56" t="s">
        <v>3514</v>
      </c>
    </row>
    <row r="3073" spans="1:1" x14ac:dyDescent="0.25">
      <c r="A3073" s="66" t="s">
        <v>3515</v>
      </c>
    </row>
    <row r="3074" spans="1:1" x14ac:dyDescent="0.25">
      <c r="A3074" s="56" t="s">
        <v>3516</v>
      </c>
    </row>
    <row r="3075" spans="1:1" x14ac:dyDescent="0.25">
      <c r="A3075" s="66" t="s">
        <v>3517</v>
      </c>
    </row>
    <row r="3076" spans="1:1" x14ac:dyDescent="0.25">
      <c r="A3076" s="56" t="s">
        <v>3518</v>
      </c>
    </row>
    <row r="3077" spans="1:1" x14ac:dyDescent="0.25">
      <c r="A3077" s="66" t="s">
        <v>3519</v>
      </c>
    </row>
    <row r="3078" spans="1:1" x14ac:dyDescent="0.25">
      <c r="A3078" s="56" t="s">
        <v>3520</v>
      </c>
    </row>
    <row r="3079" spans="1:1" x14ac:dyDescent="0.25">
      <c r="A3079" s="66" t="s">
        <v>3521</v>
      </c>
    </row>
    <row r="3080" spans="1:1" x14ac:dyDescent="0.25">
      <c r="A3080" s="56" t="s">
        <v>3522</v>
      </c>
    </row>
    <row r="3081" spans="1:1" x14ac:dyDescent="0.25">
      <c r="A3081" s="66" t="s">
        <v>3523</v>
      </c>
    </row>
    <row r="3082" spans="1:1" x14ac:dyDescent="0.25">
      <c r="A3082" s="56" t="s">
        <v>3524</v>
      </c>
    </row>
    <row r="3083" spans="1:1" x14ac:dyDescent="0.25">
      <c r="A3083" s="66" t="s">
        <v>3525</v>
      </c>
    </row>
    <row r="3084" spans="1:1" x14ac:dyDescent="0.25">
      <c r="A3084" s="56" t="s">
        <v>3526</v>
      </c>
    </row>
    <row r="3085" spans="1:1" x14ac:dyDescent="0.25">
      <c r="A3085" s="66" t="s">
        <v>3527</v>
      </c>
    </row>
    <row r="3086" spans="1:1" x14ac:dyDescent="0.25">
      <c r="A3086" s="66" t="s">
        <v>3528</v>
      </c>
    </row>
    <row r="3087" spans="1:1" x14ac:dyDescent="0.25">
      <c r="A3087" s="66" t="s">
        <v>3529</v>
      </c>
    </row>
    <row r="3088" spans="1:1" x14ac:dyDescent="0.25">
      <c r="A3088" s="66" t="s">
        <v>3530</v>
      </c>
    </row>
    <row r="3089" spans="1:1" x14ac:dyDescent="0.25">
      <c r="A3089" s="66" t="s">
        <v>3531</v>
      </c>
    </row>
    <row r="3090" spans="1:1" x14ac:dyDescent="0.25">
      <c r="A3090" s="66" t="s">
        <v>3532</v>
      </c>
    </row>
    <row r="3091" spans="1:1" x14ac:dyDescent="0.25">
      <c r="A3091" s="66" t="s">
        <v>3533</v>
      </c>
    </row>
    <row r="3092" spans="1:1" x14ac:dyDescent="0.25">
      <c r="A3092" s="66" t="s">
        <v>3534</v>
      </c>
    </row>
    <row r="3093" spans="1:1" x14ac:dyDescent="0.25">
      <c r="A3093" s="66" t="s">
        <v>3535</v>
      </c>
    </row>
    <row r="3094" spans="1:1" x14ac:dyDescent="0.25">
      <c r="A3094" s="66" t="s">
        <v>3536</v>
      </c>
    </row>
    <row r="3095" spans="1:1" x14ac:dyDescent="0.25">
      <c r="A3095" s="66" t="s">
        <v>3537</v>
      </c>
    </row>
    <row r="3096" spans="1:1" x14ac:dyDescent="0.25">
      <c r="A3096" s="66" t="s">
        <v>3538</v>
      </c>
    </row>
    <row r="3097" spans="1:1" x14ac:dyDescent="0.25">
      <c r="A3097" s="66" t="s">
        <v>3539</v>
      </c>
    </row>
    <row r="3098" spans="1:1" x14ac:dyDescent="0.25">
      <c r="A3098" s="66" t="s">
        <v>3540</v>
      </c>
    </row>
    <row r="3099" spans="1:1" x14ac:dyDescent="0.25">
      <c r="A3099" s="66" t="s">
        <v>3541</v>
      </c>
    </row>
    <row r="3100" spans="1:1" x14ac:dyDescent="0.25">
      <c r="A3100" s="66" t="s">
        <v>3542</v>
      </c>
    </row>
    <row r="3101" spans="1:1" x14ac:dyDescent="0.25">
      <c r="A3101" s="66" t="s">
        <v>3543</v>
      </c>
    </row>
    <row r="3102" spans="1:1" x14ac:dyDescent="0.25">
      <c r="A3102" s="66" t="s">
        <v>3544</v>
      </c>
    </row>
    <row r="3103" spans="1:1" x14ac:dyDescent="0.25">
      <c r="A3103" s="66" t="s">
        <v>3545</v>
      </c>
    </row>
    <row r="3104" spans="1:1" x14ac:dyDescent="0.25">
      <c r="A3104" s="66" t="s">
        <v>3546</v>
      </c>
    </row>
    <row r="3105" spans="1:1" x14ac:dyDescent="0.25">
      <c r="A3105" s="66" t="s">
        <v>3547</v>
      </c>
    </row>
    <row r="3106" spans="1:1" x14ac:dyDescent="0.25">
      <c r="A3106" s="66" t="s">
        <v>3548</v>
      </c>
    </row>
    <row r="3107" spans="1:1" x14ac:dyDescent="0.25">
      <c r="A3107" s="66" t="s">
        <v>3549</v>
      </c>
    </row>
    <row r="3108" spans="1:1" x14ac:dyDescent="0.25">
      <c r="A3108" s="66" t="s">
        <v>3550</v>
      </c>
    </row>
    <row r="3109" spans="1:1" x14ac:dyDescent="0.25">
      <c r="A3109" s="66" t="s">
        <v>3551</v>
      </c>
    </row>
    <row r="3110" spans="1:1" x14ac:dyDescent="0.25">
      <c r="A3110" s="66" t="s">
        <v>3552</v>
      </c>
    </row>
    <row r="3111" spans="1:1" x14ac:dyDescent="0.25">
      <c r="A3111" s="66" t="s">
        <v>3553</v>
      </c>
    </row>
    <row r="3112" spans="1:1" x14ac:dyDescent="0.25">
      <c r="A3112" s="56" t="s">
        <v>3554</v>
      </c>
    </row>
    <row r="3113" spans="1:1" x14ac:dyDescent="0.25">
      <c r="A3113" s="66" t="s">
        <v>3555</v>
      </c>
    </row>
    <row r="3114" spans="1:1" x14ac:dyDescent="0.25">
      <c r="A3114" s="56" t="s">
        <v>3556</v>
      </c>
    </row>
    <row r="3115" spans="1:1" x14ac:dyDescent="0.25">
      <c r="A3115" s="66" t="s">
        <v>3557</v>
      </c>
    </row>
    <row r="3116" spans="1:1" x14ac:dyDescent="0.25">
      <c r="A3116" s="56" t="s">
        <v>3558</v>
      </c>
    </row>
    <row r="3117" spans="1:1" x14ac:dyDescent="0.25">
      <c r="A3117" s="66" t="s">
        <v>3559</v>
      </c>
    </row>
    <row r="3118" spans="1:1" x14ac:dyDescent="0.25">
      <c r="A3118" s="56" t="s">
        <v>3560</v>
      </c>
    </row>
    <row r="3119" spans="1:1" x14ac:dyDescent="0.25">
      <c r="A3119" s="66" t="s">
        <v>3561</v>
      </c>
    </row>
    <row r="3120" spans="1:1" x14ac:dyDescent="0.25">
      <c r="A3120" s="56" t="s">
        <v>3562</v>
      </c>
    </row>
    <row r="3121" spans="1:1" x14ac:dyDescent="0.25">
      <c r="A3121" s="66" t="s">
        <v>3563</v>
      </c>
    </row>
    <row r="3122" spans="1:1" x14ac:dyDescent="0.25">
      <c r="A3122" s="56" t="s">
        <v>3564</v>
      </c>
    </row>
    <row r="3123" spans="1:1" x14ac:dyDescent="0.25">
      <c r="A3123" s="66" t="s">
        <v>3565</v>
      </c>
    </row>
    <row r="3124" spans="1:1" x14ac:dyDescent="0.25">
      <c r="A3124" s="66" t="s">
        <v>3566</v>
      </c>
    </row>
    <row r="3125" spans="1:1" x14ac:dyDescent="0.25">
      <c r="A3125" s="66" t="s">
        <v>3567</v>
      </c>
    </row>
    <row r="3126" spans="1:1" x14ac:dyDescent="0.25">
      <c r="A3126" s="66" t="s">
        <v>3568</v>
      </c>
    </row>
    <row r="3127" spans="1:1" x14ac:dyDescent="0.25">
      <c r="A3127" s="66" t="s">
        <v>3569</v>
      </c>
    </row>
    <row r="3128" spans="1:1" x14ac:dyDescent="0.25">
      <c r="A3128" s="66" t="s">
        <v>3570</v>
      </c>
    </row>
    <row r="3129" spans="1:1" x14ac:dyDescent="0.25">
      <c r="A3129" s="66" t="s">
        <v>3571</v>
      </c>
    </row>
    <row r="3130" spans="1:1" x14ac:dyDescent="0.25">
      <c r="A3130" s="66" t="s">
        <v>3572</v>
      </c>
    </row>
    <row r="3131" spans="1:1" x14ac:dyDescent="0.25">
      <c r="A3131" s="66" t="s">
        <v>3573</v>
      </c>
    </row>
    <row r="3132" spans="1:1" x14ac:dyDescent="0.25">
      <c r="A3132" s="66" t="s">
        <v>3574</v>
      </c>
    </row>
    <row r="3133" spans="1:1" x14ac:dyDescent="0.25">
      <c r="A3133" s="66" t="s">
        <v>3575</v>
      </c>
    </row>
    <row r="3134" spans="1:1" x14ac:dyDescent="0.25">
      <c r="A3134" s="66" t="s">
        <v>3576</v>
      </c>
    </row>
    <row r="3135" spans="1:1" x14ac:dyDescent="0.25">
      <c r="A3135" s="66" t="s">
        <v>3577</v>
      </c>
    </row>
    <row r="3136" spans="1:1" x14ac:dyDescent="0.25">
      <c r="A3136" s="66" t="s">
        <v>3578</v>
      </c>
    </row>
    <row r="3137" spans="1:1" x14ac:dyDescent="0.25">
      <c r="A3137" s="66" t="s">
        <v>3579</v>
      </c>
    </row>
    <row r="3138" spans="1:1" x14ac:dyDescent="0.25">
      <c r="A3138" s="66" t="s">
        <v>3580</v>
      </c>
    </row>
    <row r="3139" spans="1:1" x14ac:dyDescent="0.25">
      <c r="A3139" s="56" t="s">
        <v>3581</v>
      </c>
    </row>
    <row r="3140" spans="1:1" x14ac:dyDescent="0.25">
      <c r="A3140" s="66" t="s">
        <v>3582</v>
      </c>
    </row>
    <row r="3141" spans="1:1" x14ac:dyDescent="0.25">
      <c r="A3141" s="56" t="s">
        <v>3583</v>
      </c>
    </row>
    <row r="3142" spans="1:1" x14ac:dyDescent="0.25">
      <c r="A3142" s="66" t="s">
        <v>3584</v>
      </c>
    </row>
    <row r="3143" spans="1:1" x14ac:dyDescent="0.25">
      <c r="A3143" s="56" t="s">
        <v>3585</v>
      </c>
    </row>
    <row r="3144" spans="1:1" x14ac:dyDescent="0.25">
      <c r="A3144" s="66" t="s">
        <v>3586</v>
      </c>
    </row>
    <row r="3145" spans="1:1" x14ac:dyDescent="0.25">
      <c r="A3145" s="66" t="s">
        <v>3587</v>
      </c>
    </row>
    <row r="3146" spans="1:1" x14ac:dyDescent="0.25">
      <c r="A3146" s="66" t="s">
        <v>3588</v>
      </c>
    </row>
    <row r="3147" spans="1:1" x14ac:dyDescent="0.25">
      <c r="A3147" s="66" t="s">
        <v>3589</v>
      </c>
    </row>
    <row r="3148" spans="1:1" x14ac:dyDescent="0.25">
      <c r="A3148" s="66" t="s">
        <v>3590</v>
      </c>
    </row>
    <row r="3149" spans="1:1" x14ac:dyDescent="0.25">
      <c r="A3149" s="66" t="s">
        <v>3591</v>
      </c>
    </row>
    <row r="3150" spans="1:1" x14ac:dyDescent="0.25">
      <c r="A3150" s="66" t="s">
        <v>3592</v>
      </c>
    </row>
    <row r="3151" spans="1:1" x14ac:dyDescent="0.25">
      <c r="A3151" s="66" t="s">
        <v>3593</v>
      </c>
    </row>
    <row r="3152" spans="1:1" x14ac:dyDescent="0.25">
      <c r="A3152" s="66" t="s">
        <v>3594</v>
      </c>
    </row>
    <row r="3153" spans="1:1" x14ac:dyDescent="0.25">
      <c r="A3153" s="66" t="s">
        <v>3595</v>
      </c>
    </row>
    <row r="3154" spans="1:1" x14ac:dyDescent="0.25">
      <c r="A3154" s="66" t="s">
        <v>3596</v>
      </c>
    </row>
    <row r="3155" spans="1:1" x14ac:dyDescent="0.25">
      <c r="A3155" s="66" t="s">
        <v>3597</v>
      </c>
    </row>
    <row r="3156" spans="1:1" x14ac:dyDescent="0.25">
      <c r="A3156" s="66" t="s">
        <v>3598</v>
      </c>
    </row>
    <row r="3157" spans="1:1" x14ac:dyDescent="0.25">
      <c r="A3157" s="66" t="s">
        <v>3599</v>
      </c>
    </row>
    <row r="3158" spans="1:1" x14ac:dyDescent="0.25">
      <c r="A3158" s="66" t="s">
        <v>3600</v>
      </c>
    </row>
    <row r="3159" spans="1:1" x14ac:dyDescent="0.25">
      <c r="A3159" s="66" t="s">
        <v>3601</v>
      </c>
    </row>
    <row r="3160" spans="1:1" x14ac:dyDescent="0.25">
      <c r="A3160" s="66" t="s">
        <v>3602</v>
      </c>
    </row>
    <row r="3161" spans="1:1" x14ac:dyDescent="0.25">
      <c r="A3161" s="66" t="s">
        <v>3603</v>
      </c>
    </row>
    <row r="3162" spans="1:1" x14ac:dyDescent="0.25">
      <c r="A3162" s="66" t="s">
        <v>3604</v>
      </c>
    </row>
    <row r="3163" spans="1:1" x14ac:dyDescent="0.25">
      <c r="A3163" s="66" t="s">
        <v>3605</v>
      </c>
    </row>
    <row r="3164" spans="1:1" x14ac:dyDescent="0.25">
      <c r="A3164" s="66" t="s">
        <v>3606</v>
      </c>
    </row>
    <row r="3165" spans="1:1" x14ac:dyDescent="0.25">
      <c r="A3165" s="66" t="s">
        <v>3607</v>
      </c>
    </row>
    <row r="3166" spans="1:1" x14ac:dyDescent="0.25">
      <c r="A3166" s="66" t="s">
        <v>3608</v>
      </c>
    </row>
    <row r="3167" spans="1:1" x14ac:dyDescent="0.25">
      <c r="A3167" s="66" t="s">
        <v>3609</v>
      </c>
    </row>
    <row r="3168" spans="1:1" x14ac:dyDescent="0.25">
      <c r="A3168" s="66" t="s">
        <v>3610</v>
      </c>
    </row>
    <row r="3169" spans="1:1" x14ac:dyDescent="0.25">
      <c r="A3169" s="66" t="s">
        <v>3611</v>
      </c>
    </row>
    <row r="3170" spans="1:1" x14ac:dyDescent="0.25">
      <c r="A3170" s="66" t="s">
        <v>3612</v>
      </c>
    </row>
    <row r="3171" spans="1:1" x14ac:dyDescent="0.25">
      <c r="A3171" s="66" t="s">
        <v>3613</v>
      </c>
    </row>
    <row r="3172" spans="1:1" x14ac:dyDescent="0.25">
      <c r="A3172" s="66" t="s">
        <v>3614</v>
      </c>
    </row>
    <row r="3173" spans="1:1" x14ac:dyDescent="0.25">
      <c r="A3173" s="66" t="s">
        <v>3615</v>
      </c>
    </row>
    <row r="3174" spans="1:1" x14ac:dyDescent="0.25">
      <c r="A3174" s="66" t="s">
        <v>3616</v>
      </c>
    </row>
    <row r="3175" spans="1:1" x14ac:dyDescent="0.25">
      <c r="A3175" s="66" t="s">
        <v>3617</v>
      </c>
    </row>
    <row r="3176" spans="1:1" x14ac:dyDescent="0.25">
      <c r="A3176" s="66" t="s">
        <v>3618</v>
      </c>
    </row>
    <row r="3177" spans="1:1" x14ac:dyDescent="0.25">
      <c r="A3177" s="66" t="s">
        <v>3619</v>
      </c>
    </row>
    <row r="3178" spans="1:1" x14ac:dyDescent="0.25">
      <c r="A3178" s="66" t="s">
        <v>3620</v>
      </c>
    </row>
    <row r="3179" spans="1:1" x14ac:dyDescent="0.25">
      <c r="A3179" s="66" t="s">
        <v>3621</v>
      </c>
    </row>
    <row r="3180" spans="1:1" x14ac:dyDescent="0.25">
      <c r="A3180" s="66" t="s">
        <v>3622</v>
      </c>
    </row>
    <row r="3181" spans="1:1" x14ac:dyDescent="0.25">
      <c r="A3181" s="66" t="s">
        <v>3623</v>
      </c>
    </row>
    <row r="3182" spans="1:1" x14ac:dyDescent="0.25">
      <c r="A3182" s="66" t="s">
        <v>3624</v>
      </c>
    </row>
    <row r="3183" spans="1:1" x14ac:dyDescent="0.25">
      <c r="A3183" s="66" t="s">
        <v>3625</v>
      </c>
    </row>
    <row r="3184" spans="1:1" x14ac:dyDescent="0.25">
      <c r="A3184" s="66" t="s">
        <v>3626</v>
      </c>
    </row>
    <row r="3185" spans="1:1" x14ac:dyDescent="0.25">
      <c r="A3185" s="66" t="s">
        <v>3627</v>
      </c>
    </row>
    <row r="3186" spans="1:1" x14ac:dyDescent="0.25">
      <c r="A3186" s="66" t="s">
        <v>3628</v>
      </c>
    </row>
    <row r="3187" spans="1:1" x14ac:dyDescent="0.25">
      <c r="A3187" s="66" t="s">
        <v>3629</v>
      </c>
    </row>
    <row r="3188" spans="1:1" x14ac:dyDescent="0.25">
      <c r="A3188" s="66" t="s">
        <v>3630</v>
      </c>
    </row>
    <row r="3189" spans="1:1" x14ac:dyDescent="0.25">
      <c r="A3189" s="66" t="s">
        <v>3631</v>
      </c>
    </row>
    <row r="3190" spans="1:1" x14ac:dyDescent="0.25">
      <c r="A3190" s="56" t="s">
        <v>3632</v>
      </c>
    </row>
    <row r="3191" spans="1:1" x14ac:dyDescent="0.25">
      <c r="A3191" s="66" t="s">
        <v>3633</v>
      </c>
    </row>
    <row r="3192" spans="1:1" x14ac:dyDescent="0.25">
      <c r="A3192" s="66" t="s">
        <v>3634</v>
      </c>
    </row>
    <row r="3193" spans="1:1" x14ac:dyDescent="0.25">
      <c r="A3193" s="66" t="s">
        <v>3635</v>
      </c>
    </row>
    <row r="3194" spans="1:1" x14ac:dyDescent="0.25">
      <c r="A3194" s="66" t="s">
        <v>3636</v>
      </c>
    </row>
    <row r="3195" spans="1:1" x14ac:dyDescent="0.25">
      <c r="A3195" s="66" t="s">
        <v>3637</v>
      </c>
    </row>
    <row r="3196" spans="1:1" x14ac:dyDescent="0.25">
      <c r="A3196" s="66" t="s">
        <v>3638</v>
      </c>
    </row>
    <row r="3197" spans="1:1" x14ac:dyDescent="0.25">
      <c r="A3197" s="66" t="s">
        <v>3639</v>
      </c>
    </row>
    <row r="3198" spans="1:1" x14ac:dyDescent="0.25">
      <c r="A3198" s="66" t="s">
        <v>3640</v>
      </c>
    </row>
    <row r="3199" spans="1:1" x14ac:dyDescent="0.25">
      <c r="A3199" s="66" t="s">
        <v>3641</v>
      </c>
    </row>
    <row r="3200" spans="1:1" x14ac:dyDescent="0.25">
      <c r="A3200" s="66" t="s">
        <v>3642</v>
      </c>
    </row>
    <row r="3201" spans="1:1" x14ac:dyDescent="0.25">
      <c r="A3201" s="66" t="s">
        <v>3643</v>
      </c>
    </row>
    <row r="3202" spans="1:1" x14ac:dyDescent="0.25">
      <c r="A3202" s="66" t="s">
        <v>3644</v>
      </c>
    </row>
    <row r="3203" spans="1:1" x14ac:dyDescent="0.25">
      <c r="A3203" s="66" t="s">
        <v>3645</v>
      </c>
    </row>
    <row r="3204" spans="1:1" x14ac:dyDescent="0.25">
      <c r="A3204" s="66" t="s">
        <v>3646</v>
      </c>
    </row>
    <row r="3205" spans="1:1" x14ac:dyDescent="0.25">
      <c r="A3205" s="66" t="s">
        <v>3647</v>
      </c>
    </row>
    <row r="3206" spans="1:1" x14ac:dyDescent="0.25">
      <c r="A3206" s="66" t="s">
        <v>3648</v>
      </c>
    </row>
    <row r="3207" spans="1:1" x14ac:dyDescent="0.25">
      <c r="A3207" s="66" t="s">
        <v>3649</v>
      </c>
    </row>
    <row r="3208" spans="1:1" x14ac:dyDescent="0.25">
      <c r="A3208" s="66" t="s">
        <v>3650</v>
      </c>
    </row>
    <row r="3209" spans="1:1" x14ac:dyDescent="0.25">
      <c r="A3209" s="66" t="s">
        <v>3651</v>
      </c>
    </row>
    <row r="3210" spans="1:1" x14ac:dyDescent="0.25">
      <c r="A3210" s="66" t="s">
        <v>3652</v>
      </c>
    </row>
    <row r="3211" spans="1:1" x14ac:dyDescent="0.25">
      <c r="A3211" s="66" t="s">
        <v>3653</v>
      </c>
    </row>
    <row r="3212" spans="1:1" x14ac:dyDescent="0.25">
      <c r="A3212" s="66" t="s">
        <v>3654</v>
      </c>
    </row>
    <row r="3213" spans="1:1" x14ac:dyDescent="0.25">
      <c r="A3213" s="56" t="s">
        <v>3655</v>
      </c>
    </row>
    <row r="3214" spans="1:1" x14ac:dyDescent="0.25">
      <c r="A3214" s="66" t="s">
        <v>3656</v>
      </c>
    </row>
    <row r="3215" spans="1:1" x14ac:dyDescent="0.25">
      <c r="A3215" s="56" t="s">
        <v>3657</v>
      </c>
    </row>
    <row r="3216" spans="1:1" x14ac:dyDescent="0.25">
      <c r="A3216" s="66" t="s">
        <v>3658</v>
      </c>
    </row>
    <row r="3217" spans="1:1" x14ac:dyDescent="0.25">
      <c r="A3217" s="56" t="s">
        <v>3659</v>
      </c>
    </row>
    <row r="3218" spans="1:1" x14ac:dyDescent="0.25">
      <c r="A3218" s="66" t="s">
        <v>3660</v>
      </c>
    </row>
    <row r="3219" spans="1:1" x14ac:dyDescent="0.25">
      <c r="A3219" s="56" t="s">
        <v>3661</v>
      </c>
    </row>
    <row r="3220" spans="1:1" x14ac:dyDescent="0.25">
      <c r="A3220" s="66" t="s">
        <v>3662</v>
      </c>
    </row>
    <row r="3221" spans="1:1" x14ac:dyDescent="0.25">
      <c r="A3221" s="56" t="s">
        <v>3663</v>
      </c>
    </row>
    <row r="3222" spans="1:1" x14ac:dyDescent="0.25">
      <c r="A3222" s="66" t="s">
        <v>3664</v>
      </c>
    </row>
    <row r="3223" spans="1:1" x14ac:dyDescent="0.25">
      <c r="A3223" s="66" t="s">
        <v>3665</v>
      </c>
    </row>
    <row r="3224" spans="1:1" x14ac:dyDescent="0.25">
      <c r="A3224" s="66" t="s">
        <v>3666</v>
      </c>
    </row>
    <row r="3225" spans="1:1" x14ac:dyDescent="0.25">
      <c r="A3225" s="66" t="s">
        <v>3667</v>
      </c>
    </row>
    <row r="3226" spans="1:1" x14ac:dyDescent="0.25">
      <c r="A3226" s="66" t="s">
        <v>3668</v>
      </c>
    </row>
    <row r="3227" spans="1:1" x14ac:dyDescent="0.25">
      <c r="A3227" s="66" t="s">
        <v>3669</v>
      </c>
    </row>
    <row r="3228" spans="1:1" x14ac:dyDescent="0.25">
      <c r="A3228" s="66" t="s">
        <v>3670</v>
      </c>
    </row>
    <row r="3229" spans="1:1" x14ac:dyDescent="0.25">
      <c r="A3229" s="56" t="s">
        <v>3671</v>
      </c>
    </row>
    <row r="3230" spans="1:1" x14ac:dyDescent="0.25">
      <c r="A3230" s="66" t="s">
        <v>3672</v>
      </c>
    </row>
    <row r="3231" spans="1:1" x14ac:dyDescent="0.25">
      <c r="A3231" s="66" t="s">
        <v>3673</v>
      </c>
    </row>
    <row r="3232" spans="1:1" x14ac:dyDescent="0.25">
      <c r="A3232" s="66" t="s">
        <v>3674</v>
      </c>
    </row>
    <row r="3233" spans="1:1" x14ac:dyDescent="0.25">
      <c r="A3233" s="66" t="s">
        <v>3675</v>
      </c>
    </row>
    <row r="3234" spans="1:1" x14ac:dyDescent="0.25">
      <c r="A3234" s="66" t="s">
        <v>3676</v>
      </c>
    </row>
    <row r="3235" spans="1:1" x14ac:dyDescent="0.25">
      <c r="A3235" s="66" t="s">
        <v>3677</v>
      </c>
    </row>
    <row r="3236" spans="1:1" x14ac:dyDescent="0.25">
      <c r="A3236" s="66" t="s">
        <v>3678</v>
      </c>
    </row>
    <row r="3237" spans="1:1" x14ac:dyDescent="0.25">
      <c r="A3237" s="66" t="s">
        <v>3679</v>
      </c>
    </row>
    <row r="3238" spans="1:1" x14ac:dyDescent="0.25">
      <c r="A3238" s="66" t="s">
        <v>3680</v>
      </c>
    </row>
    <row r="3239" spans="1:1" x14ac:dyDescent="0.25">
      <c r="A3239" s="66" t="s">
        <v>3681</v>
      </c>
    </row>
    <row r="3240" spans="1:1" x14ac:dyDescent="0.25">
      <c r="A3240" s="66" t="s">
        <v>3682</v>
      </c>
    </row>
    <row r="3241" spans="1:1" x14ac:dyDescent="0.25">
      <c r="A3241" s="66" t="s">
        <v>3683</v>
      </c>
    </row>
    <row r="3242" spans="1:1" x14ac:dyDescent="0.25">
      <c r="A3242" s="66" t="s">
        <v>3684</v>
      </c>
    </row>
    <row r="3243" spans="1:1" x14ac:dyDescent="0.25">
      <c r="A3243" s="66" t="s">
        <v>3685</v>
      </c>
    </row>
    <row r="3244" spans="1:1" x14ac:dyDescent="0.25">
      <c r="A3244" s="66" t="s">
        <v>3686</v>
      </c>
    </row>
    <row r="3245" spans="1:1" x14ac:dyDescent="0.25">
      <c r="A3245" s="66" t="s">
        <v>3687</v>
      </c>
    </row>
    <row r="3246" spans="1:1" x14ac:dyDescent="0.25">
      <c r="A3246" s="66" t="s">
        <v>3688</v>
      </c>
    </row>
    <row r="3247" spans="1:1" x14ac:dyDescent="0.25">
      <c r="A3247" s="66" t="s">
        <v>3689</v>
      </c>
    </row>
    <row r="3248" spans="1:1" x14ac:dyDescent="0.25">
      <c r="A3248" s="66" t="s">
        <v>3690</v>
      </c>
    </row>
    <row r="3249" spans="1:1" x14ac:dyDescent="0.25">
      <c r="A3249" s="67" t="s">
        <v>3691</v>
      </c>
    </row>
    <row r="3250" spans="1:1" x14ac:dyDescent="0.25">
      <c r="A3250" s="67" t="s">
        <v>3692</v>
      </c>
    </row>
    <row r="3251" spans="1:1" x14ac:dyDescent="0.25">
      <c r="A3251" s="56" t="s">
        <v>3693</v>
      </c>
    </row>
    <row r="3252" spans="1:1" x14ac:dyDescent="0.25">
      <c r="A3252" s="66" t="s">
        <v>3694</v>
      </c>
    </row>
    <row r="3253" spans="1:1" x14ac:dyDescent="0.25">
      <c r="A3253" s="66" t="s">
        <v>3695</v>
      </c>
    </row>
    <row r="3254" spans="1:1" x14ac:dyDescent="0.25">
      <c r="A3254" s="66" t="s">
        <v>3696</v>
      </c>
    </row>
    <row r="3255" spans="1:1" x14ac:dyDescent="0.25">
      <c r="A3255" s="66" t="s">
        <v>3697</v>
      </c>
    </row>
    <row r="3256" spans="1:1" x14ac:dyDescent="0.25">
      <c r="A3256" s="67" t="s">
        <v>3698</v>
      </c>
    </row>
    <row r="3257" spans="1:1" x14ac:dyDescent="0.25">
      <c r="A3257" s="67" t="s">
        <v>3699</v>
      </c>
    </row>
    <row r="3258" spans="1:1" x14ac:dyDescent="0.25">
      <c r="A3258" s="56" t="s">
        <v>3700</v>
      </c>
    </row>
    <row r="3259" spans="1:1" x14ac:dyDescent="0.25">
      <c r="A3259" s="66" t="s">
        <v>3701</v>
      </c>
    </row>
    <row r="3260" spans="1:1" x14ac:dyDescent="0.25">
      <c r="A3260" s="66" t="s">
        <v>3702</v>
      </c>
    </row>
    <row r="3261" spans="1:1" x14ac:dyDescent="0.25">
      <c r="A3261" s="66" t="s">
        <v>3703</v>
      </c>
    </row>
    <row r="3262" spans="1:1" x14ac:dyDescent="0.25">
      <c r="A3262" s="66" t="s">
        <v>3704</v>
      </c>
    </row>
    <row r="3263" spans="1:1" x14ac:dyDescent="0.25">
      <c r="A3263" s="67" t="s">
        <v>3705</v>
      </c>
    </row>
    <row r="3264" spans="1:1" x14ac:dyDescent="0.25">
      <c r="A3264" s="67" t="s">
        <v>3706</v>
      </c>
    </row>
    <row r="3265" spans="1:1" x14ac:dyDescent="0.25">
      <c r="A3265" s="56" t="s">
        <v>3707</v>
      </c>
    </row>
    <row r="3266" spans="1:1" x14ac:dyDescent="0.25">
      <c r="A3266" s="66" t="s">
        <v>3708</v>
      </c>
    </row>
    <row r="3267" spans="1:1" x14ac:dyDescent="0.25">
      <c r="A3267" s="66" t="s">
        <v>3709</v>
      </c>
    </row>
    <row r="3268" spans="1:1" x14ac:dyDescent="0.25">
      <c r="A3268" s="66" t="s">
        <v>3710</v>
      </c>
    </row>
    <row r="3269" spans="1:1" x14ac:dyDescent="0.25">
      <c r="A3269" s="66" t="s">
        <v>3711</v>
      </c>
    </row>
    <row r="3270" spans="1:1" x14ac:dyDescent="0.25">
      <c r="A3270" s="67" t="s">
        <v>3712</v>
      </c>
    </row>
    <row r="3271" spans="1:1" x14ac:dyDescent="0.25">
      <c r="A3271" s="67" t="s">
        <v>3713</v>
      </c>
    </row>
    <row r="3272" spans="1:1" x14ac:dyDescent="0.25">
      <c r="A3272" s="56" t="s">
        <v>3714</v>
      </c>
    </row>
    <row r="3273" spans="1:1" x14ac:dyDescent="0.25">
      <c r="A3273" s="66" t="s">
        <v>3715</v>
      </c>
    </row>
    <row r="3274" spans="1:1" x14ac:dyDescent="0.25">
      <c r="A3274" s="66" t="s">
        <v>3716</v>
      </c>
    </row>
    <row r="3275" spans="1:1" x14ac:dyDescent="0.25">
      <c r="A3275" s="66" t="s">
        <v>3717</v>
      </c>
    </row>
    <row r="3276" spans="1:1" x14ac:dyDescent="0.25">
      <c r="A3276" s="66" t="s">
        <v>3718</v>
      </c>
    </row>
    <row r="3277" spans="1:1" x14ac:dyDescent="0.25">
      <c r="A3277" s="67" t="s">
        <v>3719</v>
      </c>
    </row>
    <row r="3278" spans="1:1" x14ac:dyDescent="0.25">
      <c r="A3278" s="67" t="s">
        <v>3720</v>
      </c>
    </row>
    <row r="3279" spans="1:1" x14ac:dyDescent="0.25">
      <c r="A3279" s="56" t="s">
        <v>3721</v>
      </c>
    </row>
    <row r="3280" spans="1:1" x14ac:dyDescent="0.25">
      <c r="A3280" s="66" t="s">
        <v>3722</v>
      </c>
    </row>
    <row r="3281" spans="1:1" x14ac:dyDescent="0.25">
      <c r="A3281" s="66" t="s">
        <v>3723</v>
      </c>
    </row>
    <row r="3282" spans="1:1" x14ac:dyDescent="0.25">
      <c r="A3282" s="66" t="s">
        <v>3724</v>
      </c>
    </row>
    <row r="3283" spans="1:1" x14ac:dyDescent="0.25">
      <c r="A3283" s="66" t="s">
        <v>3725</v>
      </c>
    </row>
    <row r="3284" spans="1:1" x14ac:dyDescent="0.25">
      <c r="A3284" s="67" t="s">
        <v>3726</v>
      </c>
    </row>
    <row r="3285" spans="1:1" x14ac:dyDescent="0.25">
      <c r="A3285" s="67" t="s">
        <v>3727</v>
      </c>
    </row>
    <row r="3286" spans="1:1" x14ac:dyDescent="0.25">
      <c r="A3286" s="56" t="s">
        <v>3728</v>
      </c>
    </row>
    <row r="3287" spans="1:1" x14ac:dyDescent="0.25">
      <c r="A3287" s="66" t="s">
        <v>3729</v>
      </c>
    </row>
    <row r="3288" spans="1:1" x14ac:dyDescent="0.25">
      <c r="A3288" s="66" t="s">
        <v>3730</v>
      </c>
    </row>
    <row r="3289" spans="1:1" x14ac:dyDescent="0.25">
      <c r="A3289" s="66" t="s">
        <v>3731</v>
      </c>
    </row>
    <row r="3290" spans="1:1" x14ac:dyDescent="0.25">
      <c r="A3290" s="66" t="s">
        <v>3732</v>
      </c>
    </row>
    <row r="3291" spans="1:1" x14ac:dyDescent="0.25">
      <c r="A3291" s="67" t="s">
        <v>3733</v>
      </c>
    </row>
    <row r="3292" spans="1:1" x14ac:dyDescent="0.25">
      <c r="A3292" s="67" t="s">
        <v>3734</v>
      </c>
    </row>
    <row r="3293" spans="1:1" x14ac:dyDescent="0.25">
      <c r="A3293" s="56" t="s">
        <v>3735</v>
      </c>
    </row>
    <row r="3294" spans="1:1" x14ac:dyDescent="0.25">
      <c r="A3294" s="66" t="s">
        <v>3736</v>
      </c>
    </row>
    <row r="3295" spans="1:1" x14ac:dyDescent="0.25">
      <c r="A3295" s="66" t="s">
        <v>3737</v>
      </c>
    </row>
    <row r="3296" spans="1:1" x14ac:dyDescent="0.25">
      <c r="A3296" s="66" t="s">
        <v>3738</v>
      </c>
    </row>
    <row r="3297" spans="1:1" x14ac:dyDescent="0.25">
      <c r="A3297" s="66" t="s">
        <v>3739</v>
      </c>
    </row>
    <row r="3298" spans="1:1" x14ac:dyDescent="0.25">
      <c r="A3298" s="67" t="s">
        <v>3740</v>
      </c>
    </row>
    <row r="3299" spans="1:1" x14ac:dyDescent="0.25">
      <c r="A3299" s="67" t="s">
        <v>3741</v>
      </c>
    </row>
    <row r="3300" spans="1:1" x14ac:dyDescent="0.25">
      <c r="A3300" s="56" t="s">
        <v>3742</v>
      </c>
    </row>
    <row r="3301" spans="1:1" x14ac:dyDescent="0.25">
      <c r="A3301" s="66" t="s">
        <v>3743</v>
      </c>
    </row>
    <row r="3302" spans="1:1" x14ac:dyDescent="0.25">
      <c r="A3302" s="66" t="s">
        <v>3744</v>
      </c>
    </row>
    <row r="3303" spans="1:1" x14ac:dyDescent="0.25">
      <c r="A3303" s="66" t="s">
        <v>3745</v>
      </c>
    </row>
    <row r="3304" spans="1:1" x14ac:dyDescent="0.25">
      <c r="A3304" s="66" t="s">
        <v>3746</v>
      </c>
    </row>
    <row r="3305" spans="1:1" x14ac:dyDescent="0.25">
      <c r="A3305" s="67" t="s">
        <v>3747</v>
      </c>
    </row>
    <row r="3306" spans="1:1" x14ac:dyDescent="0.25">
      <c r="A3306" s="67" t="s">
        <v>3748</v>
      </c>
    </row>
    <row r="3307" spans="1:1" x14ac:dyDescent="0.25">
      <c r="A3307" s="56" t="s">
        <v>3749</v>
      </c>
    </row>
    <row r="3308" spans="1:1" x14ac:dyDescent="0.25">
      <c r="A3308" s="66" t="s">
        <v>3750</v>
      </c>
    </row>
    <row r="3309" spans="1:1" x14ac:dyDescent="0.25">
      <c r="A3309" s="66" t="s">
        <v>3751</v>
      </c>
    </row>
    <row r="3310" spans="1:1" x14ac:dyDescent="0.25">
      <c r="A3310" s="66" t="s">
        <v>3752</v>
      </c>
    </row>
    <row r="3311" spans="1:1" x14ac:dyDescent="0.25">
      <c r="A3311" s="66" t="s">
        <v>3753</v>
      </c>
    </row>
    <row r="3312" spans="1:1" x14ac:dyDescent="0.25">
      <c r="A3312" s="67" t="s">
        <v>3754</v>
      </c>
    </row>
    <row r="3313" spans="1:1" x14ac:dyDescent="0.25">
      <c r="A3313" s="67" t="s">
        <v>3755</v>
      </c>
    </row>
    <row r="3314" spans="1:1" x14ac:dyDescent="0.25">
      <c r="A3314" s="56" t="s">
        <v>3756</v>
      </c>
    </row>
    <row r="3315" spans="1:1" x14ac:dyDescent="0.25">
      <c r="A3315" s="66" t="s">
        <v>3757</v>
      </c>
    </row>
    <row r="3316" spans="1:1" x14ac:dyDescent="0.25">
      <c r="A3316" s="66" t="s">
        <v>3758</v>
      </c>
    </row>
    <row r="3317" spans="1:1" x14ac:dyDescent="0.25">
      <c r="A3317" s="66" t="s">
        <v>3759</v>
      </c>
    </row>
    <row r="3318" spans="1:1" x14ac:dyDescent="0.25">
      <c r="A3318" s="66" t="s">
        <v>3760</v>
      </c>
    </row>
    <row r="3319" spans="1:1" x14ac:dyDescent="0.25">
      <c r="A3319" s="67" t="s">
        <v>3761</v>
      </c>
    </row>
    <row r="3320" spans="1:1" x14ac:dyDescent="0.25">
      <c r="A3320" s="67" t="s">
        <v>3762</v>
      </c>
    </row>
    <row r="3321" spans="1:1" x14ac:dyDescent="0.25">
      <c r="A3321" s="56" t="s">
        <v>3763</v>
      </c>
    </row>
    <row r="3322" spans="1:1" x14ac:dyDescent="0.25">
      <c r="A3322" s="66" t="s">
        <v>3764</v>
      </c>
    </row>
    <row r="3323" spans="1:1" x14ac:dyDescent="0.25">
      <c r="A3323" s="66" t="s">
        <v>3765</v>
      </c>
    </row>
    <row r="3324" spans="1:1" x14ac:dyDescent="0.25">
      <c r="A3324" s="66" t="s">
        <v>3766</v>
      </c>
    </row>
    <row r="3325" spans="1:1" x14ac:dyDescent="0.25">
      <c r="A3325" s="66" t="s">
        <v>3767</v>
      </c>
    </row>
    <row r="3326" spans="1:1" x14ac:dyDescent="0.25">
      <c r="A3326" s="67" t="s">
        <v>3768</v>
      </c>
    </row>
    <row r="3327" spans="1:1" x14ac:dyDescent="0.25">
      <c r="A3327" s="67" t="s">
        <v>3769</v>
      </c>
    </row>
    <row r="3328" spans="1:1" x14ac:dyDescent="0.25">
      <c r="A3328" s="56" t="s">
        <v>3770</v>
      </c>
    </row>
    <row r="3329" spans="1:1" x14ac:dyDescent="0.25">
      <c r="A3329" s="66" t="s">
        <v>3771</v>
      </c>
    </row>
    <row r="3330" spans="1:1" x14ac:dyDescent="0.25">
      <c r="A3330" s="66" t="s">
        <v>3772</v>
      </c>
    </row>
    <row r="3331" spans="1:1" x14ac:dyDescent="0.25">
      <c r="A3331" s="66" t="s">
        <v>3773</v>
      </c>
    </row>
    <row r="3332" spans="1:1" x14ac:dyDescent="0.25">
      <c r="A3332" s="66" t="s">
        <v>3774</v>
      </c>
    </row>
    <row r="3333" spans="1:1" x14ac:dyDescent="0.25">
      <c r="A3333" s="67" t="s">
        <v>3775</v>
      </c>
    </row>
    <row r="3334" spans="1:1" x14ac:dyDescent="0.25">
      <c r="A3334" s="67" t="s">
        <v>3776</v>
      </c>
    </row>
    <row r="3335" spans="1:1" x14ac:dyDescent="0.25">
      <c r="A3335" s="56" t="s">
        <v>3777</v>
      </c>
    </row>
    <row r="3336" spans="1:1" x14ac:dyDescent="0.25">
      <c r="A3336" s="66" t="s">
        <v>3778</v>
      </c>
    </row>
    <row r="3337" spans="1:1" x14ac:dyDescent="0.25">
      <c r="A3337" s="66" t="s">
        <v>3779</v>
      </c>
    </row>
    <row r="3338" spans="1:1" x14ac:dyDescent="0.25">
      <c r="A3338" s="66" t="s">
        <v>3780</v>
      </c>
    </row>
    <row r="3339" spans="1:1" x14ac:dyDescent="0.25">
      <c r="A3339" s="66" t="s">
        <v>3781</v>
      </c>
    </row>
    <row r="3340" spans="1:1" x14ac:dyDescent="0.25">
      <c r="A3340" s="67" t="s">
        <v>3782</v>
      </c>
    </row>
    <row r="3341" spans="1:1" x14ac:dyDescent="0.25">
      <c r="A3341" s="67" t="s">
        <v>3783</v>
      </c>
    </row>
    <row r="3342" spans="1:1" x14ac:dyDescent="0.25">
      <c r="A3342" s="56" t="s">
        <v>3784</v>
      </c>
    </row>
    <row r="3343" spans="1:1" x14ac:dyDescent="0.25">
      <c r="A3343" s="66" t="s">
        <v>3785</v>
      </c>
    </row>
    <row r="3344" spans="1:1" x14ac:dyDescent="0.25">
      <c r="A3344" s="66" t="s">
        <v>3786</v>
      </c>
    </row>
    <row r="3345" spans="1:1" x14ac:dyDescent="0.25">
      <c r="A3345" s="66" t="s">
        <v>3787</v>
      </c>
    </row>
    <row r="3346" spans="1:1" x14ac:dyDescent="0.25">
      <c r="A3346" s="66" t="s">
        <v>3788</v>
      </c>
    </row>
    <row r="3347" spans="1:1" x14ac:dyDescent="0.25">
      <c r="A3347" s="67" t="s">
        <v>3789</v>
      </c>
    </row>
    <row r="3348" spans="1:1" x14ac:dyDescent="0.25">
      <c r="A3348" s="67" t="s">
        <v>3790</v>
      </c>
    </row>
    <row r="3349" spans="1:1" x14ac:dyDescent="0.25">
      <c r="A3349" s="56" t="s">
        <v>3791</v>
      </c>
    </row>
    <row r="3350" spans="1:1" x14ac:dyDescent="0.25">
      <c r="A3350" s="66" t="s">
        <v>3792</v>
      </c>
    </row>
    <row r="3351" spans="1:1" x14ac:dyDescent="0.25">
      <c r="A3351" s="66" t="s">
        <v>3793</v>
      </c>
    </row>
    <row r="3352" spans="1:1" x14ac:dyDescent="0.25">
      <c r="A3352" s="66" t="s">
        <v>3794</v>
      </c>
    </row>
    <row r="3353" spans="1:1" x14ac:dyDescent="0.25">
      <c r="A3353" s="66" t="s">
        <v>3795</v>
      </c>
    </row>
    <row r="3354" spans="1:1" x14ac:dyDescent="0.25">
      <c r="A3354" s="67" t="s">
        <v>3796</v>
      </c>
    </row>
    <row r="3355" spans="1:1" x14ac:dyDescent="0.25">
      <c r="A3355" s="67" t="s">
        <v>3797</v>
      </c>
    </row>
    <row r="3356" spans="1:1" x14ac:dyDescent="0.25">
      <c r="A3356" s="56" t="s">
        <v>3798</v>
      </c>
    </row>
    <row r="3357" spans="1:1" x14ac:dyDescent="0.25">
      <c r="A3357" s="66" t="s">
        <v>3799</v>
      </c>
    </row>
    <row r="3358" spans="1:1" x14ac:dyDescent="0.25">
      <c r="A3358" s="66" t="s">
        <v>3800</v>
      </c>
    </row>
    <row r="3359" spans="1:1" x14ac:dyDescent="0.25">
      <c r="A3359" s="66" t="s">
        <v>3801</v>
      </c>
    </row>
    <row r="3360" spans="1:1" x14ac:dyDescent="0.25">
      <c r="A3360" s="66" t="s">
        <v>3802</v>
      </c>
    </row>
    <row r="3361" spans="1:1" x14ac:dyDescent="0.25">
      <c r="A3361" s="66" t="s">
        <v>3803</v>
      </c>
    </row>
    <row r="3362" spans="1:1" x14ac:dyDescent="0.25">
      <c r="A3362" s="66" t="s">
        <v>3804</v>
      </c>
    </row>
    <row r="3363" spans="1:1" x14ac:dyDescent="0.25">
      <c r="A3363" s="66" t="s">
        <v>3805</v>
      </c>
    </row>
    <row r="3364" spans="1:1" x14ac:dyDescent="0.25">
      <c r="A3364" s="66" t="s">
        <v>3806</v>
      </c>
    </row>
    <row r="3365" spans="1:1" x14ac:dyDescent="0.25">
      <c r="A3365" s="66" t="s">
        <v>3807</v>
      </c>
    </row>
    <row r="3366" spans="1:1" x14ac:dyDescent="0.25">
      <c r="A3366" s="66" t="s">
        <v>3808</v>
      </c>
    </row>
    <row r="3367" spans="1:1" x14ac:dyDescent="0.25">
      <c r="A3367" s="66" t="s">
        <v>3809</v>
      </c>
    </row>
    <row r="3368" spans="1:1" x14ac:dyDescent="0.25">
      <c r="A3368" s="67" t="s">
        <v>3810</v>
      </c>
    </row>
    <row r="3369" spans="1:1" x14ac:dyDescent="0.25">
      <c r="A3369" s="66" t="s">
        <v>3811</v>
      </c>
    </row>
    <row r="3370" spans="1:1" x14ac:dyDescent="0.25">
      <c r="A3370" s="66" t="s">
        <v>3812</v>
      </c>
    </row>
    <row r="3371" spans="1:1" x14ac:dyDescent="0.25">
      <c r="A3371" s="66" t="s">
        <v>3813</v>
      </c>
    </row>
    <row r="3372" spans="1:1" x14ac:dyDescent="0.25">
      <c r="A3372" s="66" t="s">
        <v>3814</v>
      </c>
    </row>
    <row r="3373" spans="1:1" x14ac:dyDescent="0.25">
      <c r="A3373" s="66" t="s">
        <v>3815</v>
      </c>
    </row>
    <row r="3374" spans="1:1" x14ac:dyDescent="0.25">
      <c r="A3374" s="66" t="s">
        <v>3816</v>
      </c>
    </row>
    <row r="3375" spans="1:1" x14ac:dyDescent="0.25">
      <c r="A3375" s="66" t="s">
        <v>3817</v>
      </c>
    </row>
    <row r="3376" spans="1:1" x14ac:dyDescent="0.25">
      <c r="A3376" s="66" t="s">
        <v>3818</v>
      </c>
    </row>
    <row r="3377" spans="1:1" x14ac:dyDescent="0.25">
      <c r="A3377" s="66" t="s">
        <v>3819</v>
      </c>
    </row>
    <row r="3378" spans="1:1" x14ac:dyDescent="0.25">
      <c r="A3378" s="66" t="s">
        <v>3820</v>
      </c>
    </row>
    <row r="3379" spans="1:1" x14ac:dyDescent="0.25">
      <c r="A3379" s="66" t="s">
        <v>3821</v>
      </c>
    </row>
    <row r="3380" spans="1:1" x14ac:dyDescent="0.25">
      <c r="A3380" s="66" t="s">
        <v>3822</v>
      </c>
    </row>
    <row r="3381" spans="1:1" x14ac:dyDescent="0.25">
      <c r="A3381" s="66" t="s">
        <v>3823</v>
      </c>
    </row>
    <row r="3382" spans="1:1" x14ac:dyDescent="0.25">
      <c r="A3382" s="66" t="s">
        <v>3824</v>
      </c>
    </row>
    <row r="3383" spans="1:1" x14ac:dyDescent="0.25">
      <c r="A3383" s="66" t="s">
        <v>3825</v>
      </c>
    </row>
    <row r="3384" spans="1:1" x14ac:dyDescent="0.25">
      <c r="A3384" s="66" t="s">
        <v>3826</v>
      </c>
    </row>
    <row r="3385" spans="1:1" x14ac:dyDescent="0.25">
      <c r="A3385" s="66" t="s">
        <v>3827</v>
      </c>
    </row>
    <row r="3386" spans="1:1" x14ac:dyDescent="0.25">
      <c r="A3386" s="66" t="s">
        <v>3828</v>
      </c>
    </row>
    <row r="3387" spans="1:1" x14ac:dyDescent="0.25">
      <c r="A3387" s="66" t="s">
        <v>3829</v>
      </c>
    </row>
    <row r="3388" spans="1:1" x14ac:dyDescent="0.25">
      <c r="A3388" s="66" t="s">
        <v>3830</v>
      </c>
    </row>
    <row r="3389" spans="1:1" x14ac:dyDescent="0.25">
      <c r="A3389" s="66" t="s">
        <v>3831</v>
      </c>
    </row>
    <row r="3390" spans="1:1" x14ac:dyDescent="0.25">
      <c r="A3390" s="66" t="s">
        <v>3832</v>
      </c>
    </row>
    <row r="3391" spans="1:1" x14ac:dyDescent="0.25">
      <c r="A3391" s="66" t="s">
        <v>3833</v>
      </c>
    </row>
    <row r="3392" spans="1:1" x14ac:dyDescent="0.25">
      <c r="A3392" s="66" t="s">
        <v>3834</v>
      </c>
    </row>
    <row r="3393" spans="1:1" x14ac:dyDescent="0.25">
      <c r="A3393" s="66" t="s">
        <v>3835</v>
      </c>
    </row>
    <row r="3394" spans="1:1" x14ac:dyDescent="0.25">
      <c r="A3394" s="66" t="s">
        <v>3836</v>
      </c>
    </row>
    <row r="3395" spans="1:1" x14ac:dyDescent="0.25">
      <c r="A3395" s="66" t="s">
        <v>3837</v>
      </c>
    </row>
    <row r="3396" spans="1:1" x14ac:dyDescent="0.25">
      <c r="A3396" s="66" t="s">
        <v>3838</v>
      </c>
    </row>
    <row r="3397" spans="1:1" x14ac:dyDescent="0.25">
      <c r="A3397" s="66" t="s">
        <v>3839</v>
      </c>
    </row>
    <row r="3398" spans="1:1" x14ac:dyDescent="0.25">
      <c r="A3398" s="66" t="s">
        <v>3840</v>
      </c>
    </row>
    <row r="3399" spans="1:1" x14ac:dyDescent="0.25">
      <c r="A3399" s="66" t="s">
        <v>3841</v>
      </c>
    </row>
    <row r="3400" spans="1:1" x14ac:dyDescent="0.25">
      <c r="A3400" s="66" t="s">
        <v>3842</v>
      </c>
    </row>
    <row r="3401" spans="1:1" x14ac:dyDescent="0.25">
      <c r="A3401" s="66" t="s">
        <v>3843</v>
      </c>
    </row>
    <row r="3402" spans="1:1" x14ac:dyDescent="0.25">
      <c r="A3402" s="66" t="s">
        <v>3844</v>
      </c>
    </row>
    <row r="3403" spans="1:1" x14ac:dyDescent="0.25">
      <c r="A3403" s="66" t="s">
        <v>3845</v>
      </c>
    </row>
    <row r="3404" spans="1:1" x14ac:dyDescent="0.25">
      <c r="A3404" s="56" t="s">
        <v>3846</v>
      </c>
    </row>
    <row r="3405" spans="1:1" x14ac:dyDescent="0.25">
      <c r="A3405" s="66" t="s">
        <v>3847</v>
      </c>
    </row>
    <row r="3406" spans="1:1" x14ac:dyDescent="0.25">
      <c r="A3406" s="56" t="s">
        <v>3848</v>
      </c>
    </row>
    <row r="3407" spans="1:1" x14ac:dyDescent="0.25">
      <c r="A3407" s="66" t="s">
        <v>3849</v>
      </c>
    </row>
    <row r="3408" spans="1:1" x14ac:dyDescent="0.25">
      <c r="A3408" s="56" t="s">
        <v>3850</v>
      </c>
    </row>
    <row r="3409" spans="1:1" x14ac:dyDescent="0.25">
      <c r="A3409" s="66" t="s">
        <v>3851</v>
      </c>
    </row>
    <row r="3410" spans="1:1" x14ac:dyDescent="0.25">
      <c r="A3410" s="66" t="s">
        <v>3852</v>
      </c>
    </row>
    <row r="3411" spans="1:1" x14ac:dyDescent="0.25">
      <c r="A3411" s="66" t="s">
        <v>3853</v>
      </c>
    </row>
    <row r="3412" spans="1:1" x14ac:dyDescent="0.25">
      <c r="A3412" s="66" t="s">
        <v>3854</v>
      </c>
    </row>
    <row r="3413" spans="1:1" x14ac:dyDescent="0.25">
      <c r="A3413" s="66" t="s">
        <v>3855</v>
      </c>
    </row>
    <row r="3414" spans="1:1" x14ac:dyDescent="0.25">
      <c r="A3414" s="66" t="s">
        <v>3856</v>
      </c>
    </row>
    <row r="3415" spans="1:1" x14ac:dyDescent="0.25">
      <c r="A3415" s="66" t="s">
        <v>3857</v>
      </c>
    </row>
    <row r="3416" spans="1:1" x14ac:dyDescent="0.25">
      <c r="A3416" s="66" t="s">
        <v>3858</v>
      </c>
    </row>
    <row r="3417" spans="1:1" x14ac:dyDescent="0.25">
      <c r="A3417" s="66" t="s">
        <v>3859</v>
      </c>
    </row>
    <row r="3418" spans="1:1" x14ac:dyDescent="0.25">
      <c r="A3418" s="66" t="s">
        <v>3860</v>
      </c>
    </row>
    <row r="3419" spans="1:1" x14ac:dyDescent="0.25">
      <c r="A3419" s="66" t="s">
        <v>3861</v>
      </c>
    </row>
    <row r="3420" spans="1:1" x14ac:dyDescent="0.25">
      <c r="A3420" s="66" t="s">
        <v>3862</v>
      </c>
    </row>
    <row r="3421" spans="1:1" x14ac:dyDescent="0.25">
      <c r="A3421" s="66" t="s">
        <v>3863</v>
      </c>
    </row>
    <row r="3422" spans="1:1" x14ac:dyDescent="0.25">
      <c r="A3422" s="66" t="s">
        <v>3864</v>
      </c>
    </row>
    <row r="3423" spans="1:1" x14ac:dyDescent="0.25">
      <c r="A3423" s="66" t="s">
        <v>3865</v>
      </c>
    </row>
    <row r="3424" spans="1:1" x14ac:dyDescent="0.25">
      <c r="A3424" s="66" t="s">
        <v>3866</v>
      </c>
    </row>
    <row r="3425" spans="1:1" x14ac:dyDescent="0.25">
      <c r="A3425" s="66" t="s">
        <v>3867</v>
      </c>
    </row>
    <row r="3426" spans="1:1" x14ac:dyDescent="0.25">
      <c r="A3426" s="66" t="s">
        <v>3868</v>
      </c>
    </row>
    <row r="3427" spans="1:1" x14ac:dyDescent="0.25">
      <c r="A3427" s="66" t="s">
        <v>3869</v>
      </c>
    </row>
    <row r="3428" spans="1:1" x14ac:dyDescent="0.25">
      <c r="A3428" s="66" t="s">
        <v>3870</v>
      </c>
    </row>
    <row r="3429" spans="1:1" x14ac:dyDescent="0.25">
      <c r="A3429" s="66" t="s">
        <v>3871</v>
      </c>
    </row>
    <row r="3430" spans="1:1" x14ac:dyDescent="0.25">
      <c r="A3430" s="66" t="s">
        <v>3872</v>
      </c>
    </row>
    <row r="3431" spans="1:1" x14ac:dyDescent="0.25">
      <c r="A3431" s="66" t="s">
        <v>3873</v>
      </c>
    </row>
    <row r="3432" spans="1:1" x14ac:dyDescent="0.25">
      <c r="A3432" s="66" t="s">
        <v>3874</v>
      </c>
    </row>
    <row r="3433" spans="1:1" x14ac:dyDescent="0.25">
      <c r="A3433" s="66" t="s">
        <v>3875</v>
      </c>
    </row>
    <row r="3434" spans="1:1" x14ac:dyDescent="0.25">
      <c r="A3434" s="66" t="s">
        <v>3876</v>
      </c>
    </row>
    <row r="3435" spans="1:1" x14ac:dyDescent="0.25">
      <c r="A3435" s="66" t="s">
        <v>3877</v>
      </c>
    </row>
    <row r="3436" spans="1:1" x14ac:dyDescent="0.25">
      <c r="A3436" s="66" t="s">
        <v>3878</v>
      </c>
    </row>
    <row r="3437" spans="1:1" x14ac:dyDescent="0.25">
      <c r="A3437" s="66" t="s">
        <v>3879</v>
      </c>
    </row>
    <row r="3438" spans="1:1" x14ac:dyDescent="0.25">
      <c r="A3438" s="66" t="s">
        <v>3880</v>
      </c>
    </row>
    <row r="3439" spans="1:1" x14ac:dyDescent="0.25">
      <c r="A3439" s="66" t="s">
        <v>3881</v>
      </c>
    </row>
    <row r="3440" spans="1:1" x14ac:dyDescent="0.25">
      <c r="A3440" s="66" t="s">
        <v>3882</v>
      </c>
    </row>
    <row r="3441" spans="1:1" x14ac:dyDescent="0.25">
      <c r="A3441" s="66" t="s">
        <v>3883</v>
      </c>
    </row>
    <row r="3442" spans="1:1" x14ac:dyDescent="0.25">
      <c r="A3442" s="66" t="s">
        <v>3884</v>
      </c>
    </row>
    <row r="3443" spans="1:1" x14ac:dyDescent="0.25">
      <c r="A3443" s="66" t="s">
        <v>3885</v>
      </c>
    </row>
    <row r="3444" spans="1:1" x14ac:dyDescent="0.25">
      <c r="A3444" s="66" t="s">
        <v>3886</v>
      </c>
    </row>
    <row r="3445" spans="1:1" x14ac:dyDescent="0.25">
      <c r="A3445" s="66" t="s">
        <v>3887</v>
      </c>
    </row>
    <row r="3446" spans="1:1" x14ac:dyDescent="0.25">
      <c r="A3446" s="66" t="s">
        <v>3888</v>
      </c>
    </row>
    <row r="3447" spans="1:1" x14ac:dyDescent="0.25">
      <c r="A3447" s="66" t="s">
        <v>3889</v>
      </c>
    </row>
    <row r="3448" spans="1:1" x14ac:dyDescent="0.25">
      <c r="A3448" s="66" t="s">
        <v>3890</v>
      </c>
    </row>
    <row r="3449" spans="1:1" x14ac:dyDescent="0.25">
      <c r="A3449" s="66" t="s">
        <v>3891</v>
      </c>
    </row>
    <row r="3450" spans="1:1" x14ac:dyDescent="0.25">
      <c r="A3450" s="66" t="s">
        <v>3892</v>
      </c>
    </row>
    <row r="3451" spans="1:1" x14ac:dyDescent="0.25">
      <c r="A3451" s="66" t="s">
        <v>3893</v>
      </c>
    </row>
    <row r="3452" spans="1:1" x14ac:dyDescent="0.25">
      <c r="A3452" s="66" t="s">
        <v>3894</v>
      </c>
    </row>
    <row r="3453" spans="1:1" x14ac:dyDescent="0.25">
      <c r="A3453" s="66" t="s">
        <v>3895</v>
      </c>
    </row>
    <row r="3454" spans="1:1" x14ac:dyDescent="0.25">
      <c r="A3454" s="66" t="s">
        <v>3896</v>
      </c>
    </row>
    <row r="3455" spans="1:1" x14ac:dyDescent="0.25">
      <c r="A3455" s="56" t="s">
        <v>3897</v>
      </c>
    </row>
    <row r="3456" spans="1:1" x14ac:dyDescent="0.25">
      <c r="A3456" s="66" t="s">
        <v>3898</v>
      </c>
    </row>
    <row r="3457" spans="1:1" x14ac:dyDescent="0.25">
      <c r="A3457" s="56" t="s">
        <v>3899</v>
      </c>
    </row>
    <row r="3458" spans="1:1" x14ac:dyDescent="0.25">
      <c r="A3458" s="66" t="s">
        <v>3900</v>
      </c>
    </row>
    <row r="3459" spans="1:1" x14ac:dyDescent="0.25">
      <c r="A3459" s="56" t="s">
        <v>3901</v>
      </c>
    </row>
    <row r="3460" spans="1:1" x14ac:dyDescent="0.25">
      <c r="A3460" s="66" t="s">
        <v>3902</v>
      </c>
    </row>
    <row r="3461" spans="1:1" x14ac:dyDescent="0.25">
      <c r="A3461" s="56" t="s">
        <v>3903</v>
      </c>
    </row>
    <row r="3462" spans="1:1" x14ac:dyDescent="0.25">
      <c r="A3462" s="66" t="s">
        <v>3904</v>
      </c>
    </row>
    <row r="3463" spans="1:1" x14ac:dyDescent="0.25">
      <c r="A3463" s="56" t="s">
        <v>3905</v>
      </c>
    </row>
    <row r="3464" spans="1:1" x14ac:dyDescent="0.25">
      <c r="A3464" s="66" t="s">
        <v>3906</v>
      </c>
    </row>
    <row r="3465" spans="1:1" x14ac:dyDescent="0.25">
      <c r="A3465" s="56" t="s">
        <v>3907</v>
      </c>
    </row>
    <row r="3466" spans="1:1" x14ac:dyDescent="0.25">
      <c r="A3466" s="66" t="s">
        <v>3908</v>
      </c>
    </row>
    <row r="3467" spans="1:1" x14ac:dyDescent="0.25">
      <c r="A3467" s="56" t="s">
        <v>3909</v>
      </c>
    </row>
    <row r="3468" spans="1:1" x14ac:dyDescent="0.25">
      <c r="A3468" s="66" t="s">
        <v>3910</v>
      </c>
    </row>
    <row r="3469" spans="1:1" x14ac:dyDescent="0.25">
      <c r="A3469" s="66" t="s">
        <v>3911</v>
      </c>
    </row>
    <row r="3470" spans="1:1" x14ac:dyDescent="0.25">
      <c r="A3470" s="66" t="s">
        <v>3912</v>
      </c>
    </row>
    <row r="3471" spans="1:1" x14ac:dyDescent="0.25">
      <c r="A3471" s="66" t="s">
        <v>3913</v>
      </c>
    </row>
    <row r="3472" spans="1:1" x14ac:dyDescent="0.25">
      <c r="A3472" s="66" t="s">
        <v>3914</v>
      </c>
    </row>
    <row r="3473" spans="1:1" x14ac:dyDescent="0.25">
      <c r="A3473" s="66" t="s">
        <v>3915</v>
      </c>
    </row>
    <row r="3474" spans="1:1" x14ac:dyDescent="0.25">
      <c r="A3474" s="66" t="s">
        <v>3916</v>
      </c>
    </row>
    <row r="3475" spans="1:1" x14ac:dyDescent="0.25">
      <c r="A3475" s="66" t="s">
        <v>3917</v>
      </c>
    </row>
    <row r="3476" spans="1:1" x14ac:dyDescent="0.25">
      <c r="A3476" s="66" t="s">
        <v>3918</v>
      </c>
    </row>
    <row r="3477" spans="1:1" x14ac:dyDescent="0.25">
      <c r="A3477" s="66" t="s">
        <v>3919</v>
      </c>
    </row>
    <row r="3478" spans="1:1" x14ac:dyDescent="0.25">
      <c r="A3478" s="66" t="s">
        <v>3920</v>
      </c>
    </row>
    <row r="3479" spans="1:1" x14ac:dyDescent="0.25">
      <c r="A3479" s="66" t="s">
        <v>3921</v>
      </c>
    </row>
    <row r="3480" spans="1:1" x14ac:dyDescent="0.25">
      <c r="A3480" s="66" t="s">
        <v>3922</v>
      </c>
    </row>
    <row r="3481" spans="1:1" x14ac:dyDescent="0.25">
      <c r="A3481" s="66" t="s">
        <v>3923</v>
      </c>
    </row>
    <row r="3482" spans="1:1" x14ac:dyDescent="0.25">
      <c r="A3482" s="66" t="s">
        <v>3924</v>
      </c>
    </row>
    <row r="3483" spans="1:1" x14ac:dyDescent="0.25">
      <c r="A3483" s="66" t="s">
        <v>3925</v>
      </c>
    </row>
    <row r="3484" spans="1:1" x14ac:dyDescent="0.25">
      <c r="A3484" s="66" t="s">
        <v>3926</v>
      </c>
    </row>
    <row r="3485" spans="1:1" x14ac:dyDescent="0.25">
      <c r="A3485" s="66" t="s">
        <v>3927</v>
      </c>
    </row>
    <row r="3486" spans="1:1" x14ac:dyDescent="0.25">
      <c r="A3486" s="66" t="s">
        <v>3928</v>
      </c>
    </row>
    <row r="3487" spans="1:1" x14ac:dyDescent="0.25">
      <c r="A3487" s="66" t="s">
        <v>3929</v>
      </c>
    </row>
    <row r="3488" spans="1:1" x14ac:dyDescent="0.25">
      <c r="A3488" s="66" t="s">
        <v>3930</v>
      </c>
    </row>
    <row r="3489" spans="1:1" x14ac:dyDescent="0.25">
      <c r="A3489" s="66" t="s">
        <v>3931</v>
      </c>
    </row>
    <row r="3490" spans="1:1" x14ac:dyDescent="0.25">
      <c r="A3490" s="66" t="s">
        <v>3932</v>
      </c>
    </row>
    <row r="3491" spans="1:1" x14ac:dyDescent="0.25">
      <c r="A3491" s="66" t="s">
        <v>3933</v>
      </c>
    </row>
    <row r="3492" spans="1:1" x14ac:dyDescent="0.25">
      <c r="A3492" s="66" t="s">
        <v>3934</v>
      </c>
    </row>
    <row r="3493" spans="1:1" x14ac:dyDescent="0.25">
      <c r="A3493" s="66" t="s">
        <v>3935</v>
      </c>
    </row>
    <row r="3494" spans="1:1" x14ac:dyDescent="0.25">
      <c r="A3494" s="66" t="s">
        <v>3936</v>
      </c>
    </row>
    <row r="3495" spans="1:1" x14ac:dyDescent="0.25">
      <c r="A3495" s="66" t="s">
        <v>3937</v>
      </c>
    </row>
    <row r="3496" spans="1:1" x14ac:dyDescent="0.25">
      <c r="A3496" s="66" t="s">
        <v>3938</v>
      </c>
    </row>
    <row r="3497" spans="1:1" x14ac:dyDescent="0.25">
      <c r="A3497" s="66" t="s">
        <v>3939</v>
      </c>
    </row>
    <row r="3498" spans="1:1" x14ac:dyDescent="0.25">
      <c r="A3498" s="66" t="s">
        <v>3940</v>
      </c>
    </row>
    <row r="3499" spans="1:1" x14ac:dyDescent="0.25">
      <c r="A3499" s="66" t="s">
        <v>3941</v>
      </c>
    </row>
    <row r="3500" spans="1:1" x14ac:dyDescent="0.25">
      <c r="A3500" s="66" t="s">
        <v>3942</v>
      </c>
    </row>
    <row r="3501" spans="1:1" x14ac:dyDescent="0.25">
      <c r="A3501" s="66" t="s">
        <v>3943</v>
      </c>
    </row>
    <row r="3502" spans="1:1" x14ac:dyDescent="0.25">
      <c r="A3502" s="66" t="s">
        <v>3944</v>
      </c>
    </row>
    <row r="3503" spans="1:1" x14ac:dyDescent="0.25">
      <c r="A3503" s="66" t="s">
        <v>3945</v>
      </c>
    </row>
    <row r="3504" spans="1:1" x14ac:dyDescent="0.25">
      <c r="A3504" s="66" t="s">
        <v>3946</v>
      </c>
    </row>
    <row r="3505" spans="1:1" x14ac:dyDescent="0.25">
      <c r="A3505" s="66" t="s">
        <v>3947</v>
      </c>
    </row>
    <row r="3506" spans="1:1" x14ac:dyDescent="0.25">
      <c r="A3506" s="66" t="s">
        <v>3948</v>
      </c>
    </row>
    <row r="3507" spans="1:1" x14ac:dyDescent="0.25">
      <c r="A3507" s="66" t="s">
        <v>3949</v>
      </c>
    </row>
    <row r="3508" spans="1:1" x14ac:dyDescent="0.25">
      <c r="A3508" s="66" t="s">
        <v>3950</v>
      </c>
    </row>
    <row r="3509" spans="1:1" x14ac:dyDescent="0.25">
      <c r="A3509" s="66" t="s">
        <v>3951</v>
      </c>
    </row>
    <row r="3510" spans="1:1" x14ac:dyDescent="0.25">
      <c r="A3510" s="66" t="s">
        <v>3952</v>
      </c>
    </row>
    <row r="3511" spans="1:1" x14ac:dyDescent="0.25">
      <c r="A3511" s="66" t="s">
        <v>3953</v>
      </c>
    </row>
    <row r="3512" spans="1:1" x14ac:dyDescent="0.25">
      <c r="A3512" s="66" t="s">
        <v>3954</v>
      </c>
    </row>
    <row r="3513" spans="1:1" x14ac:dyDescent="0.25">
      <c r="A3513" s="66" t="s">
        <v>3955</v>
      </c>
    </row>
    <row r="3514" spans="1:1" x14ac:dyDescent="0.25">
      <c r="A3514" s="66" t="s">
        <v>3956</v>
      </c>
    </row>
    <row r="3515" spans="1:1" x14ac:dyDescent="0.25">
      <c r="A3515" s="66" t="s">
        <v>3957</v>
      </c>
    </row>
    <row r="3516" spans="1:1" x14ac:dyDescent="0.25">
      <c r="A3516" s="66" t="s">
        <v>3958</v>
      </c>
    </row>
    <row r="3517" spans="1:1" x14ac:dyDescent="0.25">
      <c r="A3517" s="66" t="s">
        <v>3959</v>
      </c>
    </row>
    <row r="3518" spans="1:1" x14ac:dyDescent="0.25">
      <c r="A3518" s="66" t="s">
        <v>3960</v>
      </c>
    </row>
    <row r="3519" spans="1:1" x14ac:dyDescent="0.25">
      <c r="A3519" s="66" t="s">
        <v>3961</v>
      </c>
    </row>
    <row r="3520" spans="1:1" x14ac:dyDescent="0.25">
      <c r="A3520" s="66" t="s">
        <v>3962</v>
      </c>
    </row>
    <row r="3521" spans="1:1" x14ac:dyDescent="0.25">
      <c r="A3521" s="66" t="s">
        <v>3963</v>
      </c>
    </row>
    <row r="3522" spans="1:1" x14ac:dyDescent="0.25">
      <c r="A3522" s="66" t="s">
        <v>3964</v>
      </c>
    </row>
    <row r="3523" spans="1:1" x14ac:dyDescent="0.25">
      <c r="A3523" s="66" t="s">
        <v>3965</v>
      </c>
    </row>
    <row r="3524" spans="1:1" x14ac:dyDescent="0.25">
      <c r="A3524" s="66" t="s">
        <v>3966</v>
      </c>
    </row>
    <row r="3525" spans="1:1" x14ac:dyDescent="0.25">
      <c r="A3525" s="66" t="s">
        <v>3967</v>
      </c>
    </row>
    <row r="3526" spans="1:1" x14ac:dyDescent="0.25">
      <c r="A3526" s="66" t="s">
        <v>3968</v>
      </c>
    </row>
    <row r="3527" spans="1:1" x14ac:dyDescent="0.25">
      <c r="A3527" s="66" t="s">
        <v>3969</v>
      </c>
    </row>
    <row r="3528" spans="1:1" x14ac:dyDescent="0.25">
      <c r="A3528" s="66" t="s">
        <v>3970</v>
      </c>
    </row>
    <row r="3529" spans="1:1" x14ac:dyDescent="0.25">
      <c r="A3529" s="66" t="s">
        <v>3971</v>
      </c>
    </row>
    <row r="3530" spans="1:1" x14ac:dyDescent="0.25">
      <c r="A3530" s="66" t="s">
        <v>3972</v>
      </c>
    </row>
    <row r="3531" spans="1:1" x14ac:dyDescent="0.25">
      <c r="A3531" s="66" t="s">
        <v>3973</v>
      </c>
    </row>
    <row r="3532" spans="1:1" x14ac:dyDescent="0.25">
      <c r="A3532" s="66" t="s">
        <v>3974</v>
      </c>
    </row>
    <row r="3533" spans="1:1" x14ac:dyDescent="0.25">
      <c r="A3533" s="66" t="s">
        <v>3975</v>
      </c>
    </row>
    <row r="3534" spans="1:1" x14ac:dyDescent="0.25">
      <c r="A3534" s="66" t="s">
        <v>3976</v>
      </c>
    </row>
    <row r="3535" spans="1:1" x14ac:dyDescent="0.25">
      <c r="A3535" s="66" t="s">
        <v>3977</v>
      </c>
    </row>
    <row r="3536" spans="1:1" x14ac:dyDescent="0.25">
      <c r="A3536" s="66" t="s">
        <v>3978</v>
      </c>
    </row>
    <row r="3537" spans="1:1" x14ac:dyDescent="0.25">
      <c r="A3537" s="66" t="s">
        <v>3979</v>
      </c>
    </row>
    <row r="3538" spans="1:1" x14ac:dyDescent="0.25">
      <c r="A3538" s="66" t="s">
        <v>3980</v>
      </c>
    </row>
    <row r="3539" spans="1:1" x14ac:dyDescent="0.25">
      <c r="A3539" s="56" t="s">
        <v>3981</v>
      </c>
    </row>
    <row r="3540" spans="1:1" x14ac:dyDescent="0.25">
      <c r="A3540" s="66" t="s">
        <v>3982</v>
      </c>
    </row>
    <row r="3541" spans="1:1" x14ac:dyDescent="0.25">
      <c r="A3541" s="56" t="s">
        <v>3983</v>
      </c>
    </row>
    <row r="3542" spans="1:1" x14ac:dyDescent="0.25">
      <c r="A3542" s="66" t="s">
        <v>3984</v>
      </c>
    </row>
    <row r="3543" spans="1:1" x14ac:dyDescent="0.25">
      <c r="A3543" s="66" t="s">
        <v>3985</v>
      </c>
    </row>
    <row r="3544" spans="1:1" x14ac:dyDescent="0.25">
      <c r="A3544" s="66" t="s">
        <v>3986</v>
      </c>
    </row>
    <row r="3545" spans="1:1" x14ac:dyDescent="0.25">
      <c r="A3545" s="66" t="s">
        <v>3987</v>
      </c>
    </row>
    <row r="3546" spans="1:1" x14ac:dyDescent="0.25">
      <c r="A3546" s="66" t="s">
        <v>3988</v>
      </c>
    </row>
    <row r="3547" spans="1:1" x14ac:dyDescent="0.25">
      <c r="A3547" s="66" t="s">
        <v>3989</v>
      </c>
    </row>
    <row r="3548" spans="1:1" x14ac:dyDescent="0.25">
      <c r="A3548" s="66" t="s">
        <v>3990</v>
      </c>
    </row>
    <row r="3549" spans="1:1" x14ac:dyDescent="0.25">
      <c r="A3549" s="66" t="s">
        <v>3991</v>
      </c>
    </row>
    <row r="3550" spans="1:1" x14ac:dyDescent="0.25">
      <c r="A3550" s="66" t="s">
        <v>3992</v>
      </c>
    </row>
    <row r="3551" spans="1:1" x14ac:dyDescent="0.25">
      <c r="A3551" s="66" t="s">
        <v>3993</v>
      </c>
    </row>
    <row r="3552" spans="1:1" x14ac:dyDescent="0.25">
      <c r="A3552" s="66" t="s">
        <v>3994</v>
      </c>
    </row>
    <row r="3553" spans="1:1" x14ac:dyDescent="0.25">
      <c r="A3553" s="66" t="s">
        <v>3995</v>
      </c>
    </row>
    <row r="3554" spans="1:1" x14ac:dyDescent="0.25">
      <c r="A3554" s="66" t="s">
        <v>3996</v>
      </c>
    </row>
    <row r="3555" spans="1:1" x14ac:dyDescent="0.25">
      <c r="A3555" s="66" t="s">
        <v>3997</v>
      </c>
    </row>
    <row r="3556" spans="1:1" x14ac:dyDescent="0.25">
      <c r="A3556" s="66" t="s">
        <v>3998</v>
      </c>
    </row>
    <row r="3557" spans="1:1" x14ac:dyDescent="0.25">
      <c r="A3557" s="66" t="s">
        <v>3999</v>
      </c>
    </row>
    <row r="3558" spans="1:1" x14ac:dyDescent="0.25">
      <c r="A3558" s="66" t="s">
        <v>4000</v>
      </c>
    </row>
    <row r="3559" spans="1:1" x14ac:dyDescent="0.25">
      <c r="A3559" s="66" t="s">
        <v>4001</v>
      </c>
    </row>
    <row r="3560" spans="1:1" x14ac:dyDescent="0.25">
      <c r="A3560" s="66" t="s">
        <v>4002</v>
      </c>
    </row>
    <row r="3561" spans="1:1" x14ac:dyDescent="0.25">
      <c r="A3561" s="66" t="s">
        <v>4003</v>
      </c>
    </row>
    <row r="3562" spans="1:1" x14ac:dyDescent="0.25">
      <c r="A3562" s="66" t="s">
        <v>4004</v>
      </c>
    </row>
    <row r="3563" spans="1:1" x14ac:dyDescent="0.25">
      <c r="A3563" s="66" t="s">
        <v>4005</v>
      </c>
    </row>
    <row r="3564" spans="1:1" x14ac:dyDescent="0.25">
      <c r="A3564" s="66" t="s">
        <v>4006</v>
      </c>
    </row>
    <row r="3565" spans="1:1" x14ac:dyDescent="0.25">
      <c r="A3565" s="66" t="s">
        <v>4007</v>
      </c>
    </row>
    <row r="3566" spans="1:1" x14ac:dyDescent="0.25">
      <c r="A3566" s="66" t="s">
        <v>4008</v>
      </c>
    </row>
    <row r="3567" spans="1:1" x14ac:dyDescent="0.25">
      <c r="A3567" s="66" t="s">
        <v>4009</v>
      </c>
    </row>
    <row r="3568" spans="1:1" x14ac:dyDescent="0.25">
      <c r="A3568" s="66" t="s">
        <v>4010</v>
      </c>
    </row>
    <row r="3569" spans="1:1" x14ac:dyDescent="0.25">
      <c r="A3569" s="66" t="s">
        <v>4011</v>
      </c>
    </row>
    <row r="3570" spans="1:1" x14ac:dyDescent="0.25">
      <c r="A3570" s="56" t="s">
        <v>4012</v>
      </c>
    </row>
    <row r="3571" spans="1:1" x14ac:dyDescent="0.25">
      <c r="A3571" s="66" t="s">
        <v>4013</v>
      </c>
    </row>
    <row r="3572" spans="1:1" x14ac:dyDescent="0.25">
      <c r="A3572" s="56" t="s">
        <v>4014</v>
      </c>
    </row>
    <row r="3573" spans="1:1" x14ac:dyDescent="0.25">
      <c r="A3573" s="66" t="s">
        <v>4015</v>
      </c>
    </row>
    <row r="3574" spans="1:1" x14ac:dyDescent="0.25">
      <c r="A3574" s="66" t="s">
        <v>4016</v>
      </c>
    </row>
    <row r="3575" spans="1:1" x14ac:dyDescent="0.25">
      <c r="A3575" s="66" t="s">
        <v>4017</v>
      </c>
    </row>
    <row r="3576" spans="1:1" x14ac:dyDescent="0.25">
      <c r="A3576" s="66" t="s">
        <v>4018</v>
      </c>
    </row>
    <row r="3577" spans="1:1" x14ac:dyDescent="0.25">
      <c r="A3577" s="66" t="s">
        <v>4019</v>
      </c>
    </row>
    <row r="3578" spans="1:1" x14ac:dyDescent="0.25">
      <c r="A3578" s="66" t="s">
        <v>4020</v>
      </c>
    </row>
    <row r="3579" spans="1:1" x14ac:dyDescent="0.25">
      <c r="A3579" s="66" t="s">
        <v>4021</v>
      </c>
    </row>
    <row r="3580" spans="1:1" x14ac:dyDescent="0.25">
      <c r="A3580" s="66" t="s">
        <v>4022</v>
      </c>
    </row>
    <row r="3581" spans="1:1" x14ac:dyDescent="0.25">
      <c r="A3581" s="66" t="s">
        <v>4023</v>
      </c>
    </row>
    <row r="3582" spans="1:1" x14ac:dyDescent="0.25">
      <c r="A3582" s="66" t="s">
        <v>4024</v>
      </c>
    </row>
    <row r="3583" spans="1:1" x14ac:dyDescent="0.25">
      <c r="A3583" s="66" t="s">
        <v>4025</v>
      </c>
    </row>
    <row r="3584" spans="1:1" x14ac:dyDescent="0.25">
      <c r="A3584" s="66" t="s">
        <v>4026</v>
      </c>
    </row>
    <row r="3585" spans="1:1" x14ac:dyDescent="0.25">
      <c r="A3585" s="66" t="s">
        <v>4027</v>
      </c>
    </row>
    <row r="3586" spans="1:1" x14ac:dyDescent="0.25">
      <c r="A3586" s="66" t="s">
        <v>4028</v>
      </c>
    </row>
    <row r="3587" spans="1:1" x14ac:dyDescent="0.25">
      <c r="A3587" s="66" t="s">
        <v>4029</v>
      </c>
    </row>
    <row r="3588" spans="1:1" x14ac:dyDescent="0.25">
      <c r="A3588" s="66" t="s">
        <v>4030</v>
      </c>
    </row>
    <row r="3589" spans="1:1" x14ac:dyDescent="0.25">
      <c r="A3589" s="66" t="s">
        <v>4031</v>
      </c>
    </row>
    <row r="3590" spans="1:1" x14ac:dyDescent="0.25">
      <c r="A3590" s="66" t="s">
        <v>4032</v>
      </c>
    </row>
    <row r="3591" spans="1:1" x14ac:dyDescent="0.25">
      <c r="A3591" s="66" t="s">
        <v>4033</v>
      </c>
    </row>
    <row r="3592" spans="1:1" x14ac:dyDescent="0.25">
      <c r="A3592" s="66" t="s">
        <v>4034</v>
      </c>
    </row>
    <row r="3593" spans="1:1" x14ac:dyDescent="0.25">
      <c r="A3593" s="66" t="s">
        <v>4035</v>
      </c>
    </row>
    <row r="3594" spans="1:1" x14ac:dyDescent="0.25">
      <c r="A3594" s="66" t="s">
        <v>4036</v>
      </c>
    </row>
    <row r="3595" spans="1:1" x14ac:dyDescent="0.25">
      <c r="A3595" s="66" t="s">
        <v>4037</v>
      </c>
    </row>
    <row r="3596" spans="1:1" x14ac:dyDescent="0.25">
      <c r="A3596" s="66" t="s">
        <v>4038</v>
      </c>
    </row>
    <row r="3597" spans="1:1" x14ac:dyDescent="0.25">
      <c r="A3597" s="66" t="s">
        <v>4039</v>
      </c>
    </row>
    <row r="3598" spans="1:1" x14ac:dyDescent="0.25">
      <c r="A3598" s="66" t="s">
        <v>4040</v>
      </c>
    </row>
    <row r="3599" spans="1:1" x14ac:dyDescent="0.25">
      <c r="A3599" s="66" t="s">
        <v>4041</v>
      </c>
    </row>
    <row r="3600" spans="1:1" x14ac:dyDescent="0.25">
      <c r="A3600" s="66" t="s">
        <v>4042</v>
      </c>
    </row>
    <row r="3601" spans="1:1" x14ac:dyDescent="0.25">
      <c r="A3601" s="66" t="s">
        <v>4043</v>
      </c>
    </row>
    <row r="3602" spans="1:1" x14ac:dyDescent="0.25">
      <c r="A3602" s="66" t="s">
        <v>4044</v>
      </c>
    </row>
    <row r="3603" spans="1:1" x14ac:dyDescent="0.25">
      <c r="A3603" s="66" t="s">
        <v>4045</v>
      </c>
    </row>
    <row r="3604" spans="1:1" x14ac:dyDescent="0.25">
      <c r="A3604" s="66" t="s">
        <v>4046</v>
      </c>
    </row>
    <row r="3605" spans="1:1" x14ac:dyDescent="0.25">
      <c r="A3605" s="66" t="s">
        <v>4047</v>
      </c>
    </row>
    <row r="3606" spans="1:1" x14ac:dyDescent="0.25">
      <c r="A3606" s="66" t="s">
        <v>4048</v>
      </c>
    </row>
    <row r="3607" spans="1:1" x14ac:dyDescent="0.25">
      <c r="A3607" s="66" t="s">
        <v>4049</v>
      </c>
    </row>
    <row r="3608" spans="1:1" x14ac:dyDescent="0.25">
      <c r="A3608" s="66" t="s">
        <v>4050</v>
      </c>
    </row>
    <row r="3609" spans="1:1" x14ac:dyDescent="0.25">
      <c r="A3609" s="66" t="s">
        <v>4051</v>
      </c>
    </row>
    <row r="3610" spans="1:1" x14ac:dyDescent="0.25">
      <c r="A3610" s="66" t="s">
        <v>4052</v>
      </c>
    </row>
    <row r="3611" spans="1:1" x14ac:dyDescent="0.25">
      <c r="A3611" s="66" t="s">
        <v>4053</v>
      </c>
    </row>
    <row r="3612" spans="1:1" x14ac:dyDescent="0.25">
      <c r="A3612" s="66" t="s">
        <v>4054</v>
      </c>
    </row>
    <row r="3613" spans="1:1" x14ac:dyDescent="0.25">
      <c r="A3613" s="66" t="s">
        <v>4055</v>
      </c>
    </row>
    <row r="3614" spans="1:1" x14ac:dyDescent="0.25">
      <c r="A3614" s="66" t="s">
        <v>4056</v>
      </c>
    </row>
    <row r="3615" spans="1:1" x14ac:dyDescent="0.25">
      <c r="A3615" s="66" t="s">
        <v>4057</v>
      </c>
    </row>
    <row r="3616" spans="1:1" x14ac:dyDescent="0.25">
      <c r="A3616" s="66" t="s">
        <v>4058</v>
      </c>
    </row>
    <row r="3617" spans="1:1" x14ac:dyDescent="0.25">
      <c r="A3617" s="66" t="s">
        <v>4059</v>
      </c>
    </row>
    <row r="3618" spans="1:1" x14ac:dyDescent="0.25">
      <c r="A3618" s="66" t="s">
        <v>4060</v>
      </c>
    </row>
    <row r="3619" spans="1:1" x14ac:dyDescent="0.25">
      <c r="A3619" s="66" t="s">
        <v>4061</v>
      </c>
    </row>
    <row r="3620" spans="1:1" x14ac:dyDescent="0.25">
      <c r="A3620" s="66" t="s">
        <v>4062</v>
      </c>
    </row>
    <row r="3621" spans="1:1" x14ac:dyDescent="0.25">
      <c r="A3621" s="66" t="s">
        <v>4063</v>
      </c>
    </row>
    <row r="3622" spans="1:1" x14ac:dyDescent="0.25">
      <c r="A3622" s="66" t="s">
        <v>4064</v>
      </c>
    </row>
    <row r="3623" spans="1:1" x14ac:dyDescent="0.25">
      <c r="A3623" s="66" t="s">
        <v>4065</v>
      </c>
    </row>
    <row r="3624" spans="1:1" x14ac:dyDescent="0.25">
      <c r="A3624" s="66" t="s">
        <v>4066</v>
      </c>
    </row>
    <row r="3625" spans="1:1" x14ac:dyDescent="0.25">
      <c r="A3625" s="66" t="s">
        <v>4067</v>
      </c>
    </row>
    <row r="3626" spans="1:1" x14ac:dyDescent="0.25">
      <c r="A3626" s="66" t="s">
        <v>4068</v>
      </c>
    </row>
    <row r="3627" spans="1:1" x14ac:dyDescent="0.25">
      <c r="A3627" s="66" t="s">
        <v>4069</v>
      </c>
    </row>
    <row r="3628" spans="1:1" x14ac:dyDescent="0.25">
      <c r="A3628" s="66" t="s">
        <v>4070</v>
      </c>
    </row>
    <row r="3629" spans="1:1" x14ac:dyDescent="0.25">
      <c r="A3629" s="66" t="s">
        <v>4071</v>
      </c>
    </row>
    <row r="3630" spans="1:1" x14ac:dyDescent="0.25">
      <c r="A3630" s="66" t="s">
        <v>4072</v>
      </c>
    </row>
    <row r="3631" spans="1:1" x14ac:dyDescent="0.25">
      <c r="A3631" s="66" t="s">
        <v>4073</v>
      </c>
    </row>
    <row r="3632" spans="1:1" x14ac:dyDescent="0.25">
      <c r="A3632" s="66" t="s">
        <v>4074</v>
      </c>
    </row>
    <row r="3633" spans="1:1" x14ac:dyDescent="0.25">
      <c r="A3633" s="66" t="s">
        <v>4075</v>
      </c>
    </row>
    <row r="3634" spans="1:1" x14ac:dyDescent="0.25">
      <c r="A3634" s="66" t="s">
        <v>4076</v>
      </c>
    </row>
    <row r="3635" spans="1:1" x14ac:dyDescent="0.25">
      <c r="A3635" s="66" t="s">
        <v>4077</v>
      </c>
    </row>
    <row r="3636" spans="1:1" x14ac:dyDescent="0.25">
      <c r="A3636" s="66" t="s">
        <v>4078</v>
      </c>
    </row>
    <row r="3637" spans="1:1" x14ac:dyDescent="0.25">
      <c r="A3637" s="66" t="s">
        <v>4079</v>
      </c>
    </row>
    <row r="3638" spans="1:1" x14ac:dyDescent="0.25">
      <c r="A3638" s="66" t="s">
        <v>4080</v>
      </c>
    </row>
    <row r="3639" spans="1:1" x14ac:dyDescent="0.25">
      <c r="A3639" s="66" t="s">
        <v>4081</v>
      </c>
    </row>
    <row r="3640" spans="1:1" x14ac:dyDescent="0.25">
      <c r="A3640" s="66" t="s">
        <v>4082</v>
      </c>
    </row>
    <row r="3641" spans="1:1" x14ac:dyDescent="0.25">
      <c r="A3641" s="66" t="s">
        <v>4083</v>
      </c>
    </row>
    <row r="3642" spans="1:1" x14ac:dyDescent="0.25">
      <c r="A3642" s="66" t="s">
        <v>4084</v>
      </c>
    </row>
    <row r="3643" spans="1:1" x14ac:dyDescent="0.25">
      <c r="A3643" s="66" t="s">
        <v>4085</v>
      </c>
    </row>
    <row r="3644" spans="1:1" x14ac:dyDescent="0.25">
      <c r="A3644" s="66" t="s">
        <v>4086</v>
      </c>
    </row>
    <row r="3645" spans="1:1" x14ac:dyDescent="0.25">
      <c r="A3645" s="66" t="s">
        <v>4087</v>
      </c>
    </row>
    <row r="3646" spans="1:1" x14ac:dyDescent="0.25">
      <c r="A3646" s="66" t="s">
        <v>4088</v>
      </c>
    </row>
    <row r="3647" spans="1:1" x14ac:dyDescent="0.25">
      <c r="A3647" s="66" t="s">
        <v>4089</v>
      </c>
    </row>
    <row r="3648" spans="1:1" x14ac:dyDescent="0.25">
      <c r="A3648" s="66" t="s">
        <v>4090</v>
      </c>
    </row>
    <row r="3649" spans="1:1" x14ac:dyDescent="0.25">
      <c r="A3649" s="66" t="s">
        <v>4091</v>
      </c>
    </row>
    <row r="3650" spans="1:1" x14ac:dyDescent="0.25">
      <c r="A3650" s="66" t="s">
        <v>4092</v>
      </c>
    </row>
    <row r="3651" spans="1:1" x14ac:dyDescent="0.25">
      <c r="A3651" s="66" t="s">
        <v>4093</v>
      </c>
    </row>
    <row r="3652" spans="1:1" x14ac:dyDescent="0.25">
      <c r="A3652" s="66" t="s">
        <v>4094</v>
      </c>
    </row>
    <row r="3653" spans="1:1" x14ac:dyDescent="0.25">
      <c r="A3653" s="66" t="s">
        <v>4095</v>
      </c>
    </row>
    <row r="3654" spans="1:1" x14ac:dyDescent="0.25">
      <c r="A3654" s="66" t="s">
        <v>4096</v>
      </c>
    </row>
    <row r="3655" spans="1:1" x14ac:dyDescent="0.25">
      <c r="A3655" s="66" t="s">
        <v>4097</v>
      </c>
    </row>
    <row r="3656" spans="1:1" x14ac:dyDescent="0.25">
      <c r="A3656" s="66" t="s">
        <v>4098</v>
      </c>
    </row>
    <row r="3657" spans="1:1" x14ac:dyDescent="0.25">
      <c r="A3657" s="66" t="s">
        <v>4099</v>
      </c>
    </row>
    <row r="3658" spans="1:1" x14ac:dyDescent="0.25">
      <c r="A3658" s="66" t="s">
        <v>4100</v>
      </c>
    </row>
    <row r="3659" spans="1:1" x14ac:dyDescent="0.25">
      <c r="A3659" s="66" t="s">
        <v>4101</v>
      </c>
    </row>
    <row r="3660" spans="1:1" x14ac:dyDescent="0.25">
      <c r="A3660" s="66" t="s">
        <v>4102</v>
      </c>
    </row>
    <row r="3661" spans="1:1" x14ac:dyDescent="0.25">
      <c r="A3661" s="66" t="s">
        <v>4103</v>
      </c>
    </row>
    <row r="3662" spans="1:1" x14ac:dyDescent="0.25">
      <c r="A3662" s="67" t="s">
        <v>4104</v>
      </c>
    </row>
    <row r="3663" spans="1:1" x14ac:dyDescent="0.25">
      <c r="A3663" s="66" t="s">
        <v>4105</v>
      </c>
    </row>
    <row r="3664" spans="1:1" x14ac:dyDescent="0.25">
      <c r="A3664" s="66" t="s">
        <v>4106</v>
      </c>
    </row>
    <row r="3665" spans="1:1" x14ac:dyDescent="0.25">
      <c r="A3665" s="56" t="s">
        <v>4107</v>
      </c>
    </row>
    <row r="3666" spans="1:1" x14ac:dyDescent="0.25">
      <c r="A3666" s="66" t="s">
        <v>4108</v>
      </c>
    </row>
    <row r="3667" spans="1:1" x14ac:dyDescent="0.25">
      <c r="A3667" s="56" t="s">
        <v>4109</v>
      </c>
    </row>
    <row r="3668" spans="1:1" x14ac:dyDescent="0.25">
      <c r="A3668" s="66" t="s">
        <v>4110</v>
      </c>
    </row>
    <row r="3669" spans="1:1" x14ac:dyDescent="0.25">
      <c r="A3669" s="56" t="s">
        <v>4111</v>
      </c>
    </row>
    <row r="3670" spans="1:1" x14ac:dyDescent="0.25">
      <c r="A3670" s="66" t="s">
        <v>4112</v>
      </c>
    </row>
    <row r="3671" spans="1:1" x14ac:dyDescent="0.25">
      <c r="A3671" s="56" t="s">
        <v>4113</v>
      </c>
    </row>
    <row r="3672" spans="1:1" x14ac:dyDescent="0.25">
      <c r="A3672" s="66" t="s">
        <v>4114</v>
      </c>
    </row>
    <row r="3673" spans="1:1" x14ac:dyDescent="0.25">
      <c r="A3673" s="56" t="s">
        <v>4115</v>
      </c>
    </row>
    <row r="3674" spans="1:1" x14ac:dyDescent="0.25">
      <c r="A3674" s="66" t="s">
        <v>4116</v>
      </c>
    </row>
    <row r="3675" spans="1:1" x14ac:dyDescent="0.25">
      <c r="A3675" s="66" t="s">
        <v>4117</v>
      </c>
    </row>
    <row r="3676" spans="1:1" x14ac:dyDescent="0.25">
      <c r="A3676" s="66" t="s">
        <v>4118</v>
      </c>
    </row>
    <row r="3677" spans="1:1" x14ac:dyDescent="0.25">
      <c r="A3677" s="66" t="s">
        <v>4119</v>
      </c>
    </row>
    <row r="3678" spans="1:1" x14ac:dyDescent="0.25">
      <c r="A3678" s="66" t="s">
        <v>4120</v>
      </c>
    </row>
    <row r="3679" spans="1:1" x14ac:dyDescent="0.25">
      <c r="A3679" s="66" t="s">
        <v>4121</v>
      </c>
    </row>
    <row r="3680" spans="1:1" x14ac:dyDescent="0.25">
      <c r="A3680" s="66" t="s">
        <v>4122</v>
      </c>
    </row>
    <row r="3681" spans="1:1" x14ac:dyDescent="0.25">
      <c r="A3681" s="66" t="s">
        <v>4123</v>
      </c>
    </row>
    <row r="3682" spans="1:1" x14ac:dyDescent="0.25">
      <c r="A3682" s="66" t="s">
        <v>4124</v>
      </c>
    </row>
    <row r="3683" spans="1:1" x14ac:dyDescent="0.25">
      <c r="A3683" s="66" t="s">
        <v>4125</v>
      </c>
    </row>
    <row r="3684" spans="1:1" x14ac:dyDescent="0.25">
      <c r="A3684" s="66" t="s">
        <v>4126</v>
      </c>
    </row>
    <row r="3685" spans="1:1" x14ac:dyDescent="0.25">
      <c r="A3685" s="66" t="s">
        <v>4127</v>
      </c>
    </row>
    <row r="3686" spans="1:1" x14ac:dyDescent="0.25">
      <c r="A3686" s="66" t="s">
        <v>4128</v>
      </c>
    </row>
    <row r="3687" spans="1:1" x14ac:dyDescent="0.25">
      <c r="A3687" s="66" t="s">
        <v>4129</v>
      </c>
    </row>
    <row r="3688" spans="1:1" x14ac:dyDescent="0.25">
      <c r="A3688" s="66" t="s">
        <v>4130</v>
      </c>
    </row>
    <row r="3689" spans="1:1" x14ac:dyDescent="0.25">
      <c r="A3689" s="66" t="s">
        <v>4131</v>
      </c>
    </row>
    <row r="3690" spans="1:1" x14ac:dyDescent="0.25">
      <c r="A3690" s="66" t="s">
        <v>4132</v>
      </c>
    </row>
    <row r="3691" spans="1:1" x14ac:dyDescent="0.25">
      <c r="A3691" s="66" t="s">
        <v>4133</v>
      </c>
    </row>
    <row r="3692" spans="1:1" x14ac:dyDescent="0.25">
      <c r="A3692" s="66" t="s">
        <v>4134</v>
      </c>
    </row>
    <row r="3693" spans="1:1" x14ac:dyDescent="0.25">
      <c r="A3693" s="66" t="s">
        <v>4135</v>
      </c>
    </row>
    <row r="3694" spans="1:1" x14ac:dyDescent="0.25">
      <c r="A3694" s="66" t="s">
        <v>4136</v>
      </c>
    </row>
    <row r="3695" spans="1:1" x14ac:dyDescent="0.25">
      <c r="A3695" s="66" t="s">
        <v>4137</v>
      </c>
    </row>
    <row r="3696" spans="1:1" x14ac:dyDescent="0.25">
      <c r="A3696" s="66" t="s">
        <v>4138</v>
      </c>
    </row>
    <row r="3697" spans="1:1" x14ac:dyDescent="0.25">
      <c r="A3697" s="66" t="s">
        <v>4139</v>
      </c>
    </row>
    <row r="3698" spans="1:1" x14ac:dyDescent="0.25">
      <c r="A3698" s="66" t="s">
        <v>4140</v>
      </c>
    </row>
    <row r="3699" spans="1:1" x14ac:dyDescent="0.25">
      <c r="A3699" s="66" t="s">
        <v>4141</v>
      </c>
    </row>
    <row r="3700" spans="1:1" x14ac:dyDescent="0.25">
      <c r="A3700" s="56" t="s">
        <v>4142</v>
      </c>
    </row>
    <row r="3701" spans="1:1" x14ac:dyDescent="0.25">
      <c r="A3701" s="66" t="s">
        <v>4143</v>
      </c>
    </row>
    <row r="3702" spans="1:1" x14ac:dyDescent="0.25">
      <c r="A3702" s="66" t="s">
        <v>4144</v>
      </c>
    </row>
    <row r="3703" spans="1:1" x14ac:dyDescent="0.25">
      <c r="A3703" s="66" t="s">
        <v>4145</v>
      </c>
    </row>
    <row r="3704" spans="1:1" x14ac:dyDescent="0.25">
      <c r="A3704" s="66" t="s">
        <v>4146</v>
      </c>
    </row>
    <row r="3705" spans="1:1" x14ac:dyDescent="0.25">
      <c r="A3705" s="66" t="s">
        <v>4147</v>
      </c>
    </row>
    <row r="3706" spans="1:1" x14ac:dyDescent="0.25">
      <c r="A3706" s="66" t="s">
        <v>4148</v>
      </c>
    </row>
    <row r="3707" spans="1:1" x14ac:dyDescent="0.25">
      <c r="A3707" s="66" t="s">
        <v>4149</v>
      </c>
    </row>
    <row r="3708" spans="1:1" x14ac:dyDescent="0.25">
      <c r="A3708" s="66" t="s">
        <v>4150</v>
      </c>
    </row>
    <row r="3709" spans="1:1" x14ac:dyDescent="0.25">
      <c r="A3709" s="56" t="s">
        <v>4151</v>
      </c>
    </row>
    <row r="3710" spans="1:1" x14ac:dyDescent="0.25">
      <c r="A3710" s="66" t="s">
        <v>4152</v>
      </c>
    </row>
    <row r="3711" spans="1:1" x14ac:dyDescent="0.25">
      <c r="A3711" s="56" t="s">
        <v>4153</v>
      </c>
    </row>
    <row r="3712" spans="1:1" x14ac:dyDescent="0.25">
      <c r="A3712" s="66" t="s">
        <v>4154</v>
      </c>
    </row>
    <row r="3713" spans="1:1" x14ac:dyDescent="0.25">
      <c r="A3713" s="66" t="s">
        <v>4155</v>
      </c>
    </row>
    <row r="3714" spans="1:1" x14ac:dyDescent="0.25">
      <c r="A3714" s="66" t="s">
        <v>4156</v>
      </c>
    </row>
    <row r="3715" spans="1:1" x14ac:dyDescent="0.25">
      <c r="A3715" s="66" t="s">
        <v>4157</v>
      </c>
    </row>
    <row r="3716" spans="1:1" x14ac:dyDescent="0.25">
      <c r="A3716" s="66" t="s">
        <v>4158</v>
      </c>
    </row>
    <row r="3717" spans="1:1" x14ac:dyDescent="0.25">
      <c r="A3717" s="66" t="s">
        <v>4159</v>
      </c>
    </row>
    <row r="3718" spans="1:1" x14ac:dyDescent="0.25">
      <c r="A3718" s="66" t="s">
        <v>4160</v>
      </c>
    </row>
    <row r="3719" spans="1:1" x14ac:dyDescent="0.25">
      <c r="A3719" s="66" t="s">
        <v>4161</v>
      </c>
    </row>
    <row r="3720" spans="1:1" x14ac:dyDescent="0.25">
      <c r="A3720" s="66" t="s">
        <v>4162</v>
      </c>
    </row>
    <row r="3721" spans="1:1" x14ac:dyDescent="0.25">
      <c r="A3721" s="66" t="s">
        <v>4163</v>
      </c>
    </row>
    <row r="3722" spans="1:1" x14ac:dyDescent="0.25">
      <c r="A3722" s="66" t="s">
        <v>4164</v>
      </c>
    </row>
    <row r="3723" spans="1:1" x14ac:dyDescent="0.25">
      <c r="A3723" s="66" t="s">
        <v>4165</v>
      </c>
    </row>
    <row r="3724" spans="1:1" x14ac:dyDescent="0.25">
      <c r="A3724" s="66" t="s">
        <v>4166</v>
      </c>
    </row>
    <row r="3725" spans="1:1" x14ac:dyDescent="0.25">
      <c r="A3725" s="66" t="s">
        <v>4167</v>
      </c>
    </row>
    <row r="3726" spans="1:1" x14ac:dyDescent="0.25">
      <c r="A3726" s="66" t="s">
        <v>4168</v>
      </c>
    </row>
    <row r="3727" spans="1:1" x14ac:dyDescent="0.25">
      <c r="A3727" s="66" t="s">
        <v>4169</v>
      </c>
    </row>
    <row r="3728" spans="1:1" x14ac:dyDescent="0.25">
      <c r="A3728" s="66" t="s">
        <v>4170</v>
      </c>
    </row>
    <row r="3729" spans="1:1" x14ac:dyDescent="0.25">
      <c r="A3729" s="66" t="s">
        <v>4171</v>
      </c>
    </row>
    <row r="3730" spans="1:1" x14ac:dyDescent="0.25">
      <c r="A3730" s="66" t="s">
        <v>4172</v>
      </c>
    </row>
    <row r="3731" spans="1:1" x14ac:dyDescent="0.25">
      <c r="A3731" s="66" t="s">
        <v>4173</v>
      </c>
    </row>
    <row r="3732" spans="1:1" x14ac:dyDescent="0.25">
      <c r="A3732" s="66" t="s">
        <v>4174</v>
      </c>
    </row>
    <row r="3733" spans="1:1" x14ac:dyDescent="0.25">
      <c r="A3733" s="66" t="s">
        <v>4175</v>
      </c>
    </row>
    <row r="3734" spans="1:1" x14ac:dyDescent="0.25">
      <c r="A3734" s="66" t="s">
        <v>4176</v>
      </c>
    </row>
    <row r="3735" spans="1:1" x14ac:dyDescent="0.25">
      <c r="A3735" s="66" t="s">
        <v>4177</v>
      </c>
    </row>
    <row r="3736" spans="1:1" x14ac:dyDescent="0.25">
      <c r="A3736" s="66" t="s">
        <v>4178</v>
      </c>
    </row>
    <row r="3737" spans="1:1" x14ac:dyDescent="0.25">
      <c r="A3737" s="66" t="s">
        <v>4179</v>
      </c>
    </row>
    <row r="3738" spans="1:1" x14ac:dyDescent="0.25">
      <c r="A3738" s="66" t="s">
        <v>4180</v>
      </c>
    </row>
    <row r="3739" spans="1:1" x14ac:dyDescent="0.25">
      <c r="A3739" s="66" t="s">
        <v>4181</v>
      </c>
    </row>
    <row r="3740" spans="1:1" x14ac:dyDescent="0.25">
      <c r="A3740" s="66" t="s">
        <v>4182</v>
      </c>
    </row>
    <row r="3741" spans="1:1" x14ac:dyDescent="0.25">
      <c r="A3741" s="66" t="s">
        <v>4183</v>
      </c>
    </row>
    <row r="3742" spans="1:1" x14ac:dyDescent="0.25">
      <c r="A3742" s="66" t="s">
        <v>4184</v>
      </c>
    </row>
    <row r="3743" spans="1:1" x14ac:dyDescent="0.25">
      <c r="A3743" s="66" t="s">
        <v>4185</v>
      </c>
    </row>
    <row r="3744" spans="1:1" x14ac:dyDescent="0.25">
      <c r="A3744" s="66" t="s">
        <v>4186</v>
      </c>
    </row>
    <row r="3745" spans="1:1" x14ac:dyDescent="0.25">
      <c r="A3745" s="66" t="s">
        <v>4187</v>
      </c>
    </row>
    <row r="3746" spans="1:1" x14ac:dyDescent="0.25">
      <c r="A3746" s="66" t="s">
        <v>4188</v>
      </c>
    </row>
    <row r="3747" spans="1:1" x14ac:dyDescent="0.25">
      <c r="A3747" s="66" t="s">
        <v>4189</v>
      </c>
    </row>
    <row r="3748" spans="1:1" x14ac:dyDescent="0.25">
      <c r="A3748" s="66" t="s">
        <v>4190</v>
      </c>
    </row>
    <row r="3749" spans="1:1" x14ac:dyDescent="0.25">
      <c r="A3749" s="66" t="s">
        <v>4191</v>
      </c>
    </row>
    <row r="3750" spans="1:1" x14ac:dyDescent="0.25">
      <c r="A3750" s="66" t="s">
        <v>4192</v>
      </c>
    </row>
    <row r="3751" spans="1:1" x14ac:dyDescent="0.25">
      <c r="A3751" s="66" t="s">
        <v>4193</v>
      </c>
    </row>
    <row r="3752" spans="1:1" x14ac:dyDescent="0.25">
      <c r="A3752" s="66" t="s">
        <v>4194</v>
      </c>
    </row>
    <row r="3753" spans="1:1" x14ac:dyDescent="0.25">
      <c r="A3753" s="66" t="s">
        <v>4195</v>
      </c>
    </row>
    <row r="3754" spans="1:1" x14ac:dyDescent="0.25">
      <c r="A3754" s="66" t="s">
        <v>4196</v>
      </c>
    </row>
    <row r="3755" spans="1:1" x14ac:dyDescent="0.25">
      <c r="A3755" s="66" t="s">
        <v>4197</v>
      </c>
    </row>
    <row r="3756" spans="1:1" x14ac:dyDescent="0.25">
      <c r="A3756" s="66" t="s">
        <v>4198</v>
      </c>
    </row>
    <row r="3757" spans="1:1" x14ac:dyDescent="0.25">
      <c r="A3757" s="66" t="s">
        <v>4199</v>
      </c>
    </row>
    <row r="3758" spans="1:1" x14ac:dyDescent="0.25">
      <c r="A3758" s="66" t="s">
        <v>4200</v>
      </c>
    </row>
    <row r="3759" spans="1:1" x14ac:dyDescent="0.25">
      <c r="A3759" s="66" t="s">
        <v>4201</v>
      </c>
    </row>
    <row r="3760" spans="1:1" x14ac:dyDescent="0.25">
      <c r="A3760" s="66" t="s">
        <v>4202</v>
      </c>
    </row>
    <row r="3761" spans="1:1" x14ac:dyDescent="0.25">
      <c r="A3761" s="66" t="s">
        <v>4203</v>
      </c>
    </row>
    <row r="3762" spans="1:1" x14ac:dyDescent="0.25">
      <c r="A3762" s="66" t="s">
        <v>4204</v>
      </c>
    </row>
    <row r="3763" spans="1:1" x14ac:dyDescent="0.25">
      <c r="A3763" s="66" t="s">
        <v>4205</v>
      </c>
    </row>
    <row r="3764" spans="1:1" x14ac:dyDescent="0.25">
      <c r="A3764" s="66" t="s">
        <v>4206</v>
      </c>
    </row>
    <row r="3765" spans="1:1" x14ac:dyDescent="0.25">
      <c r="A3765" s="66" t="s">
        <v>4207</v>
      </c>
    </row>
    <row r="3766" spans="1:1" x14ac:dyDescent="0.25">
      <c r="A3766" s="66" t="s">
        <v>4208</v>
      </c>
    </row>
    <row r="3767" spans="1:1" x14ac:dyDescent="0.25">
      <c r="A3767" s="66" t="s">
        <v>4209</v>
      </c>
    </row>
    <row r="3768" spans="1:1" x14ac:dyDescent="0.25">
      <c r="A3768" s="66" t="s">
        <v>4210</v>
      </c>
    </row>
    <row r="3769" spans="1:1" x14ac:dyDescent="0.25">
      <c r="A3769" s="66" t="s">
        <v>4211</v>
      </c>
    </row>
    <row r="3770" spans="1:1" x14ac:dyDescent="0.25">
      <c r="A3770" s="66" t="s">
        <v>4212</v>
      </c>
    </row>
    <row r="3771" spans="1:1" x14ac:dyDescent="0.25">
      <c r="A3771" s="66" t="s">
        <v>4213</v>
      </c>
    </row>
    <row r="3772" spans="1:1" x14ac:dyDescent="0.25">
      <c r="A3772" s="66" t="s">
        <v>4214</v>
      </c>
    </row>
    <row r="3773" spans="1:1" x14ac:dyDescent="0.25">
      <c r="A3773" s="56" t="s">
        <v>4215</v>
      </c>
    </row>
    <row r="3774" spans="1:1" x14ac:dyDescent="0.25">
      <c r="A3774" s="66" t="s">
        <v>4216</v>
      </c>
    </row>
    <row r="3775" spans="1:1" x14ac:dyDescent="0.25">
      <c r="A3775" s="66" t="s">
        <v>4217</v>
      </c>
    </row>
    <row r="3776" spans="1:1" x14ac:dyDescent="0.25">
      <c r="A3776" s="66" t="s">
        <v>4218</v>
      </c>
    </row>
    <row r="3777" spans="1:1" x14ac:dyDescent="0.25">
      <c r="A3777" s="66" t="s">
        <v>4219</v>
      </c>
    </row>
    <row r="3778" spans="1:1" x14ac:dyDescent="0.25">
      <c r="A3778" s="66" t="s">
        <v>4220</v>
      </c>
    </row>
    <row r="3779" spans="1:1" x14ac:dyDescent="0.25">
      <c r="A3779" s="66" t="s">
        <v>4221</v>
      </c>
    </row>
    <row r="3780" spans="1:1" x14ac:dyDescent="0.25">
      <c r="A3780" s="66" t="s">
        <v>4222</v>
      </c>
    </row>
    <row r="3781" spans="1:1" x14ac:dyDescent="0.25">
      <c r="A3781" s="66" t="s">
        <v>4223</v>
      </c>
    </row>
    <row r="3782" spans="1:1" x14ac:dyDescent="0.25">
      <c r="A3782" s="66" t="s">
        <v>4224</v>
      </c>
    </row>
    <row r="3783" spans="1:1" x14ac:dyDescent="0.25">
      <c r="A3783" s="66" t="s">
        <v>4225</v>
      </c>
    </row>
    <row r="3784" spans="1:1" x14ac:dyDescent="0.25">
      <c r="A3784" s="66" t="s">
        <v>4226</v>
      </c>
    </row>
    <row r="3785" spans="1:1" x14ac:dyDescent="0.25">
      <c r="A3785" s="66" t="s">
        <v>4227</v>
      </c>
    </row>
    <row r="3786" spans="1:1" x14ac:dyDescent="0.25">
      <c r="A3786" s="66" t="s">
        <v>4228</v>
      </c>
    </row>
    <row r="3787" spans="1:1" x14ac:dyDescent="0.25">
      <c r="A3787" s="66" t="s">
        <v>4229</v>
      </c>
    </row>
    <row r="3788" spans="1:1" x14ac:dyDescent="0.25">
      <c r="A3788" s="66" t="s">
        <v>4230</v>
      </c>
    </row>
    <row r="3789" spans="1:1" x14ac:dyDescent="0.25">
      <c r="A3789" s="66" t="s">
        <v>4231</v>
      </c>
    </row>
    <row r="3790" spans="1:1" x14ac:dyDescent="0.25">
      <c r="A3790" s="66" t="s">
        <v>4232</v>
      </c>
    </row>
    <row r="3791" spans="1:1" x14ac:dyDescent="0.25">
      <c r="A3791" s="66" t="s">
        <v>4233</v>
      </c>
    </row>
    <row r="3792" spans="1:1" x14ac:dyDescent="0.25">
      <c r="A3792" s="66" t="s">
        <v>4234</v>
      </c>
    </row>
    <row r="3793" spans="1:1" x14ac:dyDescent="0.25">
      <c r="A3793" s="66" t="s">
        <v>4235</v>
      </c>
    </row>
    <row r="3794" spans="1:1" x14ac:dyDescent="0.25">
      <c r="A3794" s="66" t="s">
        <v>4236</v>
      </c>
    </row>
    <row r="3795" spans="1:1" x14ac:dyDescent="0.25">
      <c r="A3795" s="66" t="s">
        <v>4237</v>
      </c>
    </row>
    <row r="3796" spans="1:1" x14ac:dyDescent="0.25">
      <c r="A3796" s="66" t="s">
        <v>4238</v>
      </c>
    </row>
    <row r="3797" spans="1:1" x14ac:dyDescent="0.25">
      <c r="A3797" s="66" t="s">
        <v>4239</v>
      </c>
    </row>
    <row r="3798" spans="1:1" x14ac:dyDescent="0.25">
      <c r="A3798" s="66" t="s">
        <v>4240</v>
      </c>
    </row>
    <row r="3799" spans="1:1" x14ac:dyDescent="0.25">
      <c r="A3799" s="66" t="s">
        <v>4241</v>
      </c>
    </row>
    <row r="3800" spans="1:1" x14ac:dyDescent="0.25">
      <c r="A3800" s="66" t="s">
        <v>4242</v>
      </c>
    </row>
    <row r="3801" spans="1:1" x14ac:dyDescent="0.25">
      <c r="A3801" s="66" t="s">
        <v>4243</v>
      </c>
    </row>
    <row r="3802" spans="1:1" x14ac:dyDescent="0.25">
      <c r="A3802" s="66" t="s">
        <v>4244</v>
      </c>
    </row>
    <row r="3803" spans="1:1" x14ac:dyDescent="0.25">
      <c r="A3803" s="66" t="s">
        <v>4245</v>
      </c>
    </row>
    <row r="3804" spans="1:1" x14ac:dyDescent="0.25">
      <c r="A3804" s="66" t="s">
        <v>4246</v>
      </c>
    </row>
    <row r="3805" spans="1:1" x14ac:dyDescent="0.25">
      <c r="A3805" s="66" t="s">
        <v>4247</v>
      </c>
    </row>
    <row r="3806" spans="1:1" x14ac:dyDescent="0.25">
      <c r="A3806" s="66" t="s">
        <v>4248</v>
      </c>
    </row>
    <row r="3807" spans="1:1" x14ac:dyDescent="0.25">
      <c r="A3807" s="66" t="s">
        <v>4249</v>
      </c>
    </row>
    <row r="3808" spans="1:1" x14ac:dyDescent="0.25">
      <c r="A3808" s="66" t="s">
        <v>4250</v>
      </c>
    </row>
    <row r="3809" spans="1:1" x14ac:dyDescent="0.25">
      <c r="A3809" s="66" t="s">
        <v>4251</v>
      </c>
    </row>
    <row r="3810" spans="1:1" x14ac:dyDescent="0.25">
      <c r="A3810" s="66" t="s">
        <v>4252</v>
      </c>
    </row>
    <row r="3811" spans="1:1" x14ac:dyDescent="0.25">
      <c r="A3811" s="66" t="s">
        <v>4253</v>
      </c>
    </row>
    <row r="3812" spans="1:1" x14ac:dyDescent="0.25">
      <c r="A3812" s="66" t="s">
        <v>4254</v>
      </c>
    </row>
    <row r="3813" spans="1:1" x14ac:dyDescent="0.25">
      <c r="A3813" s="66" t="s">
        <v>4255</v>
      </c>
    </row>
    <row r="3814" spans="1:1" x14ac:dyDescent="0.25">
      <c r="A3814" s="66" t="s">
        <v>4256</v>
      </c>
    </row>
    <row r="3815" spans="1:1" x14ac:dyDescent="0.25">
      <c r="A3815" s="66" t="s">
        <v>4257</v>
      </c>
    </row>
    <row r="3816" spans="1:1" x14ac:dyDescent="0.25">
      <c r="A3816" s="66" t="s">
        <v>4258</v>
      </c>
    </row>
    <row r="3817" spans="1:1" x14ac:dyDescent="0.25">
      <c r="A3817" s="66" t="s">
        <v>4259</v>
      </c>
    </row>
    <row r="3818" spans="1:1" x14ac:dyDescent="0.25">
      <c r="A3818" s="66" t="s">
        <v>4260</v>
      </c>
    </row>
    <row r="3819" spans="1:1" x14ac:dyDescent="0.25">
      <c r="A3819" s="66" t="s">
        <v>4261</v>
      </c>
    </row>
    <row r="3820" spans="1:1" x14ac:dyDescent="0.25">
      <c r="A3820" s="56" t="s">
        <v>4262</v>
      </c>
    </row>
    <row r="3821" spans="1:1" x14ac:dyDescent="0.25">
      <c r="A3821" s="66" t="s">
        <v>4263</v>
      </c>
    </row>
    <row r="3822" spans="1:1" x14ac:dyDescent="0.25">
      <c r="A3822" s="56" t="s">
        <v>4264</v>
      </c>
    </row>
    <row r="3823" spans="1:1" x14ac:dyDescent="0.25">
      <c r="A3823" s="66" t="s">
        <v>4265</v>
      </c>
    </row>
    <row r="3824" spans="1:1" x14ac:dyDescent="0.25">
      <c r="A3824" s="56" t="s">
        <v>4266</v>
      </c>
    </row>
    <row r="3825" spans="1:1" x14ac:dyDescent="0.25">
      <c r="A3825" s="66" t="s">
        <v>4267</v>
      </c>
    </row>
    <row r="3826" spans="1:1" x14ac:dyDescent="0.25">
      <c r="A3826" s="66" t="s">
        <v>4268</v>
      </c>
    </row>
    <row r="3827" spans="1:1" x14ac:dyDescent="0.25">
      <c r="A3827" s="66" t="s">
        <v>4269</v>
      </c>
    </row>
    <row r="3828" spans="1:1" x14ac:dyDescent="0.25">
      <c r="A3828" s="66" t="s">
        <v>4270</v>
      </c>
    </row>
    <row r="3829" spans="1:1" x14ac:dyDescent="0.25">
      <c r="A3829" s="66" t="s">
        <v>4271</v>
      </c>
    </row>
    <row r="3830" spans="1:1" x14ac:dyDescent="0.25">
      <c r="A3830" s="66" t="s">
        <v>4272</v>
      </c>
    </row>
    <row r="3831" spans="1:1" x14ac:dyDescent="0.25">
      <c r="A3831" s="66" t="s">
        <v>4273</v>
      </c>
    </row>
    <row r="3832" spans="1:1" x14ac:dyDescent="0.25">
      <c r="A3832" s="66" t="s">
        <v>4274</v>
      </c>
    </row>
    <row r="3833" spans="1:1" x14ac:dyDescent="0.25">
      <c r="A3833" s="66" t="s">
        <v>4275</v>
      </c>
    </row>
    <row r="3834" spans="1:1" x14ac:dyDescent="0.25">
      <c r="A3834" s="66" t="s">
        <v>4276</v>
      </c>
    </row>
    <row r="3835" spans="1:1" x14ac:dyDescent="0.25">
      <c r="A3835" s="66" t="s">
        <v>4277</v>
      </c>
    </row>
    <row r="3836" spans="1:1" x14ac:dyDescent="0.25">
      <c r="A3836" s="66" t="s">
        <v>4278</v>
      </c>
    </row>
    <row r="3837" spans="1:1" x14ac:dyDescent="0.25">
      <c r="A3837" s="66" t="s">
        <v>4279</v>
      </c>
    </row>
    <row r="3838" spans="1:1" x14ac:dyDescent="0.25">
      <c r="A3838" s="66" t="s">
        <v>4280</v>
      </c>
    </row>
    <row r="3839" spans="1:1" x14ac:dyDescent="0.25">
      <c r="A3839" s="66" t="s">
        <v>4281</v>
      </c>
    </row>
    <row r="3840" spans="1:1" x14ac:dyDescent="0.25">
      <c r="A3840" s="66" t="s">
        <v>4282</v>
      </c>
    </row>
    <row r="3841" spans="1:1" x14ac:dyDescent="0.25">
      <c r="A3841" s="66" t="s">
        <v>4283</v>
      </c>
    </row>
    <row r="3842" spans="1:1" x14ac:dyDescent="0.25">
      <c r="A3842" s="66" t="s">
        <v>4284</v>
      </c>
    </row>
    <row r="3843" spans="1:1" x14ac:dyDescent="0.25">
      <c r="A3843" s="66" t="s">
        <v>4285</v>
      </c>
    </row>
    <row r="3844" spans="1:1" x14ac:dyDescent="0.25">
      <c r="A3844" s="66" t="s">
        <v>4286</v>
      </c>
    </row>
    <row r="3845" spans="1:1" x14ac:dyDescent="0.25">
      <c r="A3845" s="66" t="s">
        <v>4287</v>
      </c>
    </row>
    <row r="3846" spans="1:1" x14ac:dyDescent="0.25">
      <c r="A3846" s="66" t="s">
        <v>4288</v>
      </c>
    </row>
    <row r="3847" spans="1:1" x14ac:dyDescent="0.25">
      <c r="A3847" s="66" t="s">
        <v>4289</v>
      </c>
    </row>
    <row r="3848" spans="1:1" x14ac:dyDescent="0.25">
      <c r="A3848" s="66" t="s">
        <v>4290</v>
      </c>
    </row>
    <row r="3849" spans="1:1" x14ac:dyDescent="0.25">
      <c r="A3849" s="66" t="s">
        <v>4291</v>
      </c>
    </row>
    <row r="3850" spans="1:1" x14ac:dyDescent="0.25">
      <c r="A3850" s="66" t="s">
        <v>4292</v>
      </c>
    </row>
    <row r="3851" spans="1:1" x14ac:dyDescent="0.25">
      <c r="A3851" s="66" t="s">
        <v>4293</v>
      </c>
    </row>
    <row r="3852" spans="1:1" x14ac:dyDescent="0.25">
      <c r="A3852" s="66" t="s">
        <v>4294</v>
      </c>
    </row>
    <row r="3853" spans="1:1" x14ac:dyDescent="0.25">
      <c r="A3853" s="66" t="s">
        <v>4295</v>
      </c>
    </row>
    <row r="3854" spans="1:1" x14ac:dyDescent="0.25">
      <c r="A3854" s="66" t="s">
        <v>4296</v>
      </c>
    </row>
    <row r="3855" spans="1:1" x14ac:dyDescent="0.25">
      <c r="A3855" s="66" t="s">
        <v>4297</v>
      </c>
    </row>
    <row r="3856" spans="1:1" x14ac:dyDescent="0.25">
      <c r="A3856" s="66" t="s">
        <v>4298</v>
      </c>
    </row>
    <row r="3857" spans="1:1" x14ac:dyDescent="0.25">
      <c r="A3857" s="66" t="s">
        <v>4299</v>
      </c>
    </row>
    <row r="3858" spans="1:1" x14ac:dyDescent="0.25">
      <c r="A3858" s="66" t="s">
        <v>4300</v>
      </c>
    </row>
    <row r="3859" spans="1:1" x14ac:dyDescent="0.25">
      <c r="A3859" s="66" t="s">
        <v>4301</v>
      </c>
    </row>
    <row r="3860" spans="1:1" x14ac:dyDescent="0.25">
      <c r="A3860" s="56" t="s">
        <v>4302</v>
      </c>
    </row>
    <row r="3861" spans="1:1" x14ac:dyDescent="0.25">
      <c r="A3861" s="66" t="s">
        <v>4303</v>
      </c>
    </row>
    <row r="3862" spans="1:1" x14ac:dyDescent="0.25">
      <c r="A3862" s="56" t="s">
        <v>4304</v>
      </c>
    </row>
    <row r="3863" spans="1:1" x14ac:dyDescent="0.25">
      <c r="A3863" s="66" t="s">
        <v>4305</v>
      </c>
    </row>
    <row r="3864" spans="1:1" x14ac:dyDescent="0.25">
      <c r="A3864" s="56" t="s">
        <v>4306</v>
      </c>
    </row>
    <row r="3865" spans="1:1" x14ac:dyDescent="0.25">
      <c r="A3865" s="66" t="s">
        <v>4307</v>
      </c>
    </row>
    <row r="3866" spans="1:1" x14ac:dyDescent="0.25">
      <c r="A3866" s="56" t="s">
        <v>4308</v>
      </c>
    </row>
    <row r="3867" spans="1:1" x14ac:dyDescent="0.25">
      <c r="A3867" s="66" t="s">
        <v>4309</v>
      </c>
    </row>
    <row r="3868" spans="1:1" x14ac:dyDescent="0.25">
      <c r="A3868" s="66" t="s">
        <v>4310</v>
      </c>
    </row>
    <row r="3869" spans="1:1" x14ac:dyDescent="0.25">
      <c r="A3869" s="66" t="s">
        <v>4311</v>
      </c>
    </row>
    <row r="3870" spans="1:1" x14ac:dyDescent="0.25">
      <c r="A3870" s="66" t="s">
        <v>4312</v>
      </c>
    </row>
    <row r="3871" spans="1:1" x14ac:dyDescent="0.25">
      <c r="A3871" s="66" t="s">
        <v>4313</v>
      </c>
    </row>
    <row r="3872" spans="1:1" x14ac:dyDescent="0.25">
      <c r="A3872" s="66" t="s">
        <v>4314</v>
      </c>
    </row>
    <row r="3873" spans="1:1" x14ac:dyDescent="0.25">
      <c r="A3873" s="66" t="s">
        <v>4315</v>
      </c>
    </row>
    <row r="3874" spans="1:1" x14ac:dyDescent="0.25">
      <c r="A3874" s="66" t="s">
        <v>4316</v>
      </c>
    </row>
    <row r="3875" spans="1:1" x14ac:dyDescent="0.25">
      <c r="A3875" s="66" t="s">
        <v>4317</v>
      </c>
    </row>
    <row r="3876" spans="1:1" x14ac:dyDescent="0.25">
      <c r="A3876" s="66" t="s">
        <v>4318</v>
      </c>
    </row>
    <row r="3877" spans="1:1" x14ac:dyDescent="0.25">
      <c r="A3877" s="66" t="s">
        <v>4319</v>
      </c>
    </row>
    <row r="3878" spans="1:1" x14ac:dyDescent="0.25">
      <c r="A3878" s="66" t="s">
        <v>4320</v>
      </c>
    </row>
    <row r="3879" spans="1:1" x14ac:dyDescent="0.25">
      <c r="A3879" s="66" t="s">
        <v>4321</v>
      </c>
    </row>
    <row r="3880" spans="1:1" x14ac:dyDescent="0.25">
      <c r="A3880" s="66" t="s">
        <v>4322</v>
      </c>
    </row>
    <row r="3881" spans="1:1" x14ac:dyDescent="0.25">
      <c r="A3881" s="66" t="s">
        <v>4323</v>
      </c>
    </row>
    <row r="3882" spans="1:1" x14ac:dyDescent="0.25">
      <c r="A3882" s="66" t="s">
        <v>4324</v>
      </c>
    </row>
    <row r="3883" spans="1:1" x14ac:dyDescent="0.25">
      <c r="A3883" s="66" t="s">
        <v>4325</v>
      </c>
    </row>
    <row r="3884" spans="1:1" x14ac:dyDescent="0.25">
      <c r="A3884" s="66" t="s">
        <v>4326</v>
      </c>
    </row>
    <row r="3885" spans="1:1" x14ac:dyDescent="0.25">
      <c r="A3885" s="66" t="s">
        <v>4327</v>
      </c>
    </row>
    <row r="3886" spans="1:1" x14ac:dyDescent="0.25">
      <c r="A3886" s="66" t="s">
        <v>4328</v>
      </c>
    </row>
    <row r="3887" spans="1:1" x14ac:dyDescent="0.25">
      <c r="A3887" s="66" t="s">
        <v>4329</v>
      </c>
    </row>
    <row r="3888" spans="1:1" x14ac:dyDescent="0.25">
      <c r="A3888" s="66" t="s">
        <v>4330</v>
      </c>
    </row>
    <row r="3889" spans="1:1" x14ac:dyDescent="0.25">
      <c r="A3889" s="66" t="s">
        <v>4331</v>
      </c>
    </row>
    <row r="3890" spans="1:1" x14ac:dyDescent="0.25">
      <c r="A3890" s="66" t="s">
        <v>4332</v>
      </c>
    </row>
    <row r="3891" spans="1:1" x14ac:dyDescent="0.25">
      <c r="A3891" s="66" t="s">
        <v>4333</v>
      </c>
    </row>
    <row r="3892" spans="1:1" x14ac:dyDescent="0.25">
      <c r="A3892" s="66" t="s">
        <v>4334</v>
      </c>
    </row>
    <row r="3893" spans="1:1" x14ac:dyDescent="0.25">
      <c r="A3893" s="66" t="s">
        <v>4335</v>
      </c>
    </row>
    <row r="3894" spans="1:1" x14ac:dyDescent="0.25">
      <c r="A3894" s="66" t="s">
        <v>4336</v>
      </c>
    </row>
    <row r="3895" spans="1:1" x14ac:dyDescent="0.25">
      <c r="A3895" s="66" t="s">
        <v>4337</v>
      </c>
    </row>
    <row r="3896" spans="1:1" x14ac:dyDescent="0.25">
      <c r="A3896" s="66" t="s">
        <v>4338</v>
      </c>
    </row>
    <row r="3897" spans="1:1" x14ac:dyDescent="0.25">
      <c r="A3897" s="66" t="s">
        <v>4339</v>
      </c>
    </row>
    <row r="3898" spans="1:1" x14ac:dyDescent="0.25">
      <c r="A3898" s="66" t="s">
        <v>4340</v>
      </c>
    </row>
    <row r="3899" spans="1:1" x14ac:dyDescent="0.25">
      <c r="A3899" s="66" t="s">
        <v>4341</v>
      </c>
    </row>
    <row r="3900" spans="1:1" x14ac:dyDescent="0.25">
      <c r="A3900" s="66" t="s">
        <v>4342</v>
      </c>
    </row>
    <row r="3901" spans="1:1" x14ac:dyDescent="0.25">
      <c r="A3901" s="66" t="s">
        <v>4343</v>
      </c>
    </row>
    <row r="3902" spans="1:1" x14ac:dyDescent="0.25">
      <c r="A3902" s="66" t="s">
        <v>4344</v>
      </c>
    </row>
    <row r="3903" spans="1:1" x14ac:dyDescent="0.25">
      <c r="A3903" s="66" t="s">
        <v>4345</v>
      </c>
    </row>
    <row r="3904" spans="1:1" x14ac:dyDescent="0.25">
      <c r="A3904" s="66" t="s">
        <v>4346</v>
      </c>
    </row>
    <row r="3905" spans="1:1" x14ac:dyDescent="0.25">
      <c r="A3905" s="66" t="s">
        <v>4347</v>
      </c>
    </row>
    <row r="3906" spans="1:1" x14ac:dyDescent="0.25">
      <c r="A3906" s="66" t="s">
        <v>4348</v>
      </c>
    </row>
    <row r="3907" spans="1:1" x14ac:dyDescent="0.25">
      <c r="A3907" s="66" t="s">
        <v>4349</v>
      </c>
    </row>
    <row r="3908" spans="1:1" x14ac:dyDescent="0.25">
      <c r="A3908" s="66" t="s">
        <v>4350</v>
      </c>
    </row>
    <row r="3909" spans="1:1" x14ac:dyDescent="0.25">
      <c r="A3909" s="66" t="s">
        <v>4351</v>
      </c>
    </row>
    <row r="3910" spans="1:1" x14ac:dyDescent="0.25">
      <c r="A3910" s="66" t="s">
        <v>4352</v>
      </c>
    </row>
    <row r="3911" spans="1:1" x14ac:dyDescent="0.25">
      <c r="A3911" s="66" t="s">
        <v>4353</v>
      </c>
    </row>
    <row r="3912" spans="1:1" x14ac:dyDescent="0.25">
      <c r="A3912" s="66" t="s">
        <v>4354</v>
      </c>
    </row>
    <row r="3913" spans="1:1" x14ac:dyDescent="0.25">
      <c r="A3913" s="56" t="s">
        <v>4355</v>
      </c>
    </row>
    <row r="3914" spans="1:1" x14ac:dyDescent="0.25">
      <c r="A3914" s="66" t="s">
        <v>4356</v>
      </c>
    </row>
    <row r="3915" spans="1:1" x14ac:dyDescent="0.25">
      <c r="A3915" s="56" t="s">
        <v>4357</v>
      </c>
    </row>
    <row r="3916" spans="1:1" x14ac:dyDescent="0.25">
      <c r="A3916" s="66" t="s">
        <v>4358</v>
      </c>
    </row>
    <row r="3917" spans="1:1" x14ac:dyDescent="0.25">
      <c r="A3917" s="66" t="s">
        <v>4359</v>
      </c>
    </row>
    <row r="3918" spans="1:1" x14ac:dyDescent="0.25">
      <c r="A3918" s="66" t="s">
        <v>4360</v>
      </c>
    </row>
    <row r="3919" spans="1:1" x14ac:dyDescent="0.25">
      <c r="A3919" s="66" t="s">
        <v>4361</v>
      </c>
    </row>
    <row r="3920" spans="1:1" x14ac:dyDescent="0.25">
      <c r="A3920" s="66" t="s">
        <v>4362</v>
      </c>
    </row>
    <row r="3921" spans="1:1" x14ac:dyDescent="0.25">
      <c r="A3921" s="66" t="s">
        <v>4363</v>
      </c>
    </row>
    <row r="3922" spans="1:1" x14ac:dyDescent="0.25">
      <c r="A3922" s="66" t="s">
        <v>4364</v>
      </c>
    </row>
    <row r="3923" spans="1:1" x14ac:dyDescent="0.25">
      <c r="A3923" s="66" t="s">
        <v>4365</v>
      </c>
    </row>
    <row r="3924" spans="1:1" x14ac:dyDescent="0.25">
      <c r="A3924" s="66" t="s">
        <v>4366</v>
      </c>
    </row>
    <row r="3925" spans="1:1" x14ac:dyDescent="0.25">
      <c r="A3925" s="66" t="s">
        <v>4367</v>
      </c>
    </row>
    <row r="3926" spans="1:1" x14ac:dyDescent="0.25">
      <c r="A3926" s="66" t="s">
        <v>4368</v>
      </c>
    </row>
    <row r="3927" spans="1:1" x14ac:dyDescent="0.25">
      <c r="A3927" s="66" t="s">
        <v>4369</v>
      </c>
    </row>
    <row r="3928" spans="1:1" x14ac:dyDescent="0.25">
      <c r="A3928" s="66" t="s">
        <v>4370</v>
      </c>
    </row>
    <row r="3929" spans="1:1" x14ac:dyDescent="0.25">
      <c r="A3929" s="66" t="s">
        <v>4371</v>
      </c>
    </row>
    <row r="3930" spans="1:1" x14ac:dyDescent="0.25">
      <c r="A3930" s="66" t="s">
        <v>4372</v>
      </c>
    </row>
    <row r="3931" spans="1:1" x14ac:dyDescent="0.25">
      <c r="A3931" s="66" t="s">
        <v>4373</v>
      </c>
    </row>
    <row r="3932" spans="1:1" x14ac:dyDescent="0.25">
      <c r="A3932" s="66" t="s">
        <v>4374</v>
      </c>
    </row>
    <row r="3933" spans="1:1" x14ac:dyDescent="0.25">
      <c r="A3933" s="66" t="s">
        <v>4375</v>
      </c>
    </row>
    <row r="3934" spans="1:1" x14ac:dyDescent="0.25">
      <c r="A3934" s="66" t="s">
        <v>4376</v>
      </c>
    </row>
    <row r="3935" spans="1:1" x14ac:dyDescent="0.25">
      <c r="A3935" s="66" t="s">
        <v>4377</v>
      </c>
    </row>
    <row r="3936" spans="1:1" x14ac:dyDescent="0.25">
      <c r="A3936" s="66" t="s">
        <v>4378</v>
      </c>
    </row>
    <row r="3937" spans="1:1" x14ac:dyDescent="0.25">
      <c r="A3937" s="66" t="s">
        <v>4379</v>
      </c>
    </row>
    <row r="3938" spans="1:1" x14ac:dyDescent="0.25">
      <c r="A3938" s="66" t="s">
        <v>4380</v>
      </c>
    </row>
    <row r="3939" spans="1:1" x14ac:dyDescent="0.25">
      <c r="A3939" s="66" t="s">
        <v>4381</v>
      </c>
    </row>
    <row r="3940" spans="1:1" x14ac:dyDescent="0.25">
      <c r="A3940" s="66" t="s">
        <v>4382</v>
      </c>
    </row>
    <row r="3941" spans="1:1" x14ac:dyDescent="0.25">
      <c r="A3941" s="66" t="s">
        <v>4383</v>
      </c>
    </row>
    <row r="3942" spans="1:1" x14ac:dyDescent="0.25">
      <c r="A3942" s="66" t="s">
        <v>4384</v>
      </c>
    </row>
    <row r="3943" spans="1:1" x14ac:dyDescent="0.25">
      <c r="A3943" s="66" t="s">
        <v>4385</v>
      </c>
    </row>
    <row r="3944" spans="1:1" x14ac:dyDescent="0.25">
      <c r="A3944" s="56" t="s">
        <v>4386</v>
      </c>
    </row>
    <row r="3945" spans="1:1" x14ac:dyDescent="0.25">
      <c r="A3945" s="66" t="s">
        <v>4387</v>
      </c>
    </row>
    <row r="3946" spans="1:1" x14ac:dyDescent="0.25">
      <c r="A3946" s="56" t="s">
        <v>4388</v>
      </c>
    </row>
    <row r="3947" spans="1:1" x14ac:dyDescent="0.25">
      <c r="A3947" s="66" t="s">
        <v>4389</v>
      </c>
    </row>
    <row r="3948" spans="1:1" x14ac:dyDescent="0.25">
      <c r="A3948" s="56" t="s">
        <v>4390</v>
      </c>
    </row>
    <row r="3949" spans="1:1" x14ac:dyDescent="0.25">
      <c r="A3949" s="66" t="s">
        <v>4391</v>
      </c>
    </row>
    <row r="3950" spans="1:1" x14ac:dyDescent="0.25">
      <c r="A3950" s="56" t="s">
        <v>4392</v>
      </c>
    </row>
    <row r="3951" spans="1:1" x14ac:dyDescent="0.25">
      <c r="A3951" s="66" t="s">
        <v>4393</v>
      </c>
    </row>
    <row r="3952" spans="1:1" x14ac:dyDescent="0.25">
      <c r="A3952" s="66" t="s">
        <v>4394</v>
      </c>
    </row>
    <row r="3953" spans="1:1" x14ac:dyDescent="0.25">
      <c r="A3953" s="66" t="s">
        <v>4395</v>
      </c>
    </row>
    <row r="3954" spans="1:1" x14ac:dyDescent="0.25">
      <c r="A3954" s="66" t="s">
        <v>4396</v>
      </c>
    </row>
    <row r="3955" spans="1:1" x14ac:dyDescent="0.25">
      <c r="A3955" s="66" t="s">
        <v>4397</v>
      </c>
    </row>
    <row r="3956" spans="1:1" x14ac:dyDescent="0.25">
      <c r="A3956" s="66" t="s">
        <v>4398</v>
      </c>
    </row>
    <row r="3957" spans="1:1" x14ac:dyDescent="0.25">
      <c r="A3957" s="66" t="s">
        <v>4399</v>
      </c>
    </row>
    <row r="3958" spans="1:1" x14ac:dyDescent="0.25">
      <c r="A3958" s="66" t="s">
        <v>4400</v>
      </c>
    </row>
    <row r="3959" spans="1:1" x14ac:dyDescent="0.25">
      <c r="A3959" s="66" t="s">
        <v>4401</v>
      </c>
    </row>
    <row r="3960" spans="1:1" x14ac:dyDescent="0.25">
      <c r="A3960" s="66" t="s">
        <v>4402</v>
      </c>
    </row>
    <row r="3961" spans="1:1" x14ac:dyDescent="0.25">
      <c r="A3961" s="66" t="s">
        <v>4403</v>
      </c>
    </row>
    <row r="3962" spans="1:1" x14ac:dyDescent="0.25">
      <c r="A3962" s="66" t="s">
        <v>4404</v>
      </c>
    </row>
    <row r="3963" spans="1:1" x14ac:dyDescent="0.25">
      <c r="A3963" s="66" t="s">
        <v>4405</v>
      </c>
    </row>
    <row r="3964" spans="1:1" x14ac:dyDescent="0.25">
      <c r="A3964" s="66" t="s">
        <v>4406</v>
      </c>
    </row>
    <row r="3965" spans="1:1" x14ac:dyDescent="0.25">
      <c r="A3965" s="66" t="s">
        <v>4407</v>
      </c>
    </row>
    <row r="3966" spans="1:1" x14ac:dyDescent="0.25">
      <c r="A3966" s="66" t="s">
        <v>4408</v>
      </c>
    </row>
    <row r="3967" spans="1:1" x14ac:dyDescent="0.25">
      <c r="A3967" s="66" t="s">
        <v>4409</v>
      </c>
    </row>
    <row r="3968" spans="1:1" x14ac:dyDescent="0.25">
      <c r="A3968" s="66" t="s">
        <v>4410</v>
      </c>
    </row>
    <row r="3969" spans="1:1" x14ac:dyDescent="0.25">
      <c r="A3969" s="66" t="s">
        <v>4411</v>
      </c>
    </row>
    <row r="3970" spans="1:1" x14ac:dyDescent="0.25">
      <c r="A3970" s="66" t="s">
        <v>4412</v>
      </c>
    </row>
    <row r="3971" spans="1:1" x14ac:dyDescent="0.25">
      <c r="A3971" s="66" t="s">
        <v>4413</v>
      </c>
    </row>
    <row r="3972" spans="1:1" x14ac:dyDescent="0.25">
      <c r="A3972" s="66" t="s">
        <v>4414</v>
      </c>
    </row>
    <row r="3973" spans="1:1" x14ac:dyDescent="0.25">
      <c r="A3973" s="66" t="s">
        <v>4415</v>
      </c>
    </row>
    <row r="3974" spans="1:1" x14ac:dyDescent="0.25">
      <c r="A3974" s="66" t="s">
        <v>4416</v>
      </c>
    </row>
    <row r="3975" spans="1:1" x14ac:dyDescent="0.25">
      <c r="A3975" s="66" t="s">
        <v>4417</v>
      </c>
    </row>
    <row r="3976" spans="1:1" x14ac:dyDescent="0.25">
      <c r="A3976" s="66" t="s">
        <v>4418</v>
      </c>
    </row>
    <row r="3977" spans="1:1" x14ac:dyDescent="0.25">
      <c r="A3977" s="66" t="s">
        <v>4419</v>
      </c>
    </row>
    <row r="3978" spans="1:1" x14ac:dyDescent="0.25">
      <c r="A3978" s="66" t="s">
        <v>4420</v>
      </c>
    </row>
    <row r="3979" spans="1:1" x14ac:dyDescent="0.25">
      <c r="A3979" s="66" t="s">
        <v>4421</v>
      </c>
    </row>
    <row r="3980" spans="1:1" x14ac:dyDescent="0.25">
      <c r="A3980" s="66" t="s">
        <v>4422</v>
      </c>
    </row>
    <row r="3981" spans="1:1" x14ac:dyDescent="0.25">
      <c r="A3981" s="66" t="s">
        <v>4423</v>
      </c>
    </row>
    <row r="3982" spans="1:1" x14ac:dyDescent="0.25">
      <c r="A3982" s="66" t="s">
        <v>4424</v>
      </c>
    </row>
    <row r="3983" spans="1:1" x14ac:dyDescent="0.25">
      <c r="A3983" s="66" t="s">
        <v>4425</v>
      </c>
    </row>
    <row r="3984" spans="1:1" x14ac:dyDescent="0.25">
      <c r="A3984" s="66" t="s">
        <v>4426</v>
      </c>
    </row>
    <row r="3985" spans="1:1" x14ac:dyDescent="0.25">
      <c r="A3985" s="66" t="s">
        <v>4427</v>
      </c>
    </row>
    <row r="3986" spans="1:1" x14ac:dyDescent="0.25">
      <c r="A3986" s="66" t="s">
        <v>4428</v>
      </c>
    </row>
    <row r="3987" spans="1:1" x14ac:dyDescent="0.25">
      <c r="A3987" s="66" t="s">
        <v>4429</v>
      </c>
    </row>
    <row r="3988" spans="1:1" x14ac:dyDescent="0.25">
      <c r="A3988" s="66" t="s">
        <v>4430</v>
      </c>
    </row>
    <row r="3989" spans="1:1" x14ac:dyDescent="0.25">
      <c r="A3989" s="66" t="s">
        <v>4431</v>
      </c>
    </row>
    <row r="3990" spans="1:1" x14ac:dyDescent="0.25">
      <c r="A3990" s="66" t="s">
        <v>4432</v>
      </c>
    </row>
    <row r="3991" spans="1:1" x14ac:dyDescent="0.25">
      <c r="A3991" s="66" t="s">
        <v>4433</v>
      </c>
    </row>
    <row r="3992" spans="1:1" x14ac:dyDescent="0.25">
      <c r="A3992" s="66" t="s">
        <v>4434</v>
      </c>
    </row>
    <row r="3993" spans="1:1" x14ac:dyDescent="0.25">
      <c r="A3993" s="66" t="s">
        <v>4435</v>
      </c>
    </row>
    <row r="3994" spans="1:1" x14ac:dyDescent="0.25">
      <c r="A3994" s="66" t="s">
        <v>4436</v>
      </c>
    </row>
    <row r="3995" spans="1:1" x14ac:dyDescent="0.25">
      <c r="A3995" s="66" t="s">
        <v>4437</v>
      </c>
    </row>
    <row r="3996" spans="1:1" x14ac:dyDescent="0.25">
      <c r="A3996" s="66" t="s">
        <v>4438</v>
      </c>
    </row>
    <row r="3997" spans="1:1" x14ac:dyDescent="0.25">
      <c r="A3997" s="56" t="s">
        <v>4439</v>
      </c>
    </row>
    <row r="3998" spans="1:1" x14ac:dyDescent="0.25">
      <c r="A3998" s="66" t="s">
        <v>4440</v>
      </c>
    </row>
    <row r="3999" spans="1:1" x14ac:dyDescent="0.25">
      <c r="A3999" s="56" t="s">
        <v>4441</v>
      </c>
    </row>
    <row r="4000" spans="1:1" x14ac:dyDescent="0.25">
      <c r="A4000" s="66" t="s">
        <v>4442</v>
      </c>
    </row>
    <row r="4001" spans="1:1" x14ac:dyDescent="0.25">
      <c r="A4001" s="66" t="s">
        <v>4443</v>
      </c>
    </row>
    <row r="4002" spans="1:1" x14ac:dyDescent="0.25">
      <c r="A4002" s="66" t="s">
        <v>4444</v>
      </c>
    </row>
    <row r="4003" spans="1:1" x14ac:dyDescent="0.25">
      <c r="A4003" s="66" t="s">
        <v>4445</v>
      </c>
    </row>
    <row r="4004" spans="1:1" x14ac:dyDescent="0.25">
      <c r="A4004" s="66" t="s">
        <v>4446</v>
      </c>
    </row>
    <row r="4005" spans="1:1" x14ac:dyDescent="0.25">
      <c r="A4005" s="66" t="s">
        <v>4447</v>
      </c>
    </row>
    <row r="4006" spans="1:1" x14ac:dyDescent="0.25">
      <c r="A4006" s="66" t="s">
        <v>4448</v>
      </c>
    </row>
    <row r="4007" spans="1:1" x14ac:dyDescent="0.25">
      <c r="A4007" s="66" t="s">
        <v>4449</v>
      </c>
    </row>
    <row r="4008" spans="1:1" x14ac:dyDescent="0.25">
      <c r="A4008" s="66" t="s">
        <v>4450</v>
      </c>
    </row>
    <row r="4009" spans="1:1" x14ac:dyDescent="0.25">
      <c r="A4009" s="66" t="s">
        <v>4451</v>
      </c>
    </row>
    <row r="4010" spans="1:1" x14ac:dyDescent="0.25">
      <c r="A4010" s="66" t="s">
        <v>4452</v>
      </c>
    </row>
    <row r="4011" spans="1:1" x14ac:dyDescent="0.25">
      <c r="A4011" s="66" t="s">
        <v>4453</v>
      </c>
    </row>
    <row r="4012" spans="1:1" x14ac:dyDescent="0.25">
      <c r="A4012" s="66" t="s">
        <v>4454</v>
      </c>
    </row>
    <row r="4013" spans="1:1" x14ac:dyDescent="0.25">
      <c r="A4013" s="66" t="s">
        <v>4455</v>
      </c>
    </row>
    <row r="4014" spans="1:1" x14ac:dyDescent="0.25">
      <c r="A4014" s="66" t="s">
        <v>4456</v>
      </c>
    </row>
    <row r="4015" spans="1:1" x14ac:dyDescent="0.25">
      <c r="A4015" s="66" t="s">
        <v>4457</v>
      </c>
    </row>
    <row r="4016" spans="1:1" x14ac:dyDescent="0.25">
      <c r="A4016" s="66" t="s">
        <v>4458</v>
      </c>
    </row>
    <row r="4017" spans="1:1" x14ac:dyDescent="0.25">
      <c r="A4017" s="66" t="s">
        <v>4459</v>
      </c>
    </row>
    <row r="4018" spans="1:1" x14ac:dyDescent="0.25">
      <c r="A4018" s="66" t="s">
        <v>4460</v>
      </c>
    </row>
    <row r="4019" spans="1:1" x14ac:dyDescent="0.25">
      <c r="A4019" s="66" t="s">
        <v>4461</v>
      </c>
    </row>
    <row r="4020" spans="1:1" x14ac:dyDescent="0.25">
      <c r="A4020" s="66" t="s">
        <v>4462</v>
      </c>
    </row>
    <row r="4021" spans="1:1" x14ac:dyDescent="0.25">
      <c r="A4021" s="66" t="s">
        <v>4463</v>
      </c>
    </row>
    <row r="4022" spans="1:1" x14ac:dyDescent="0.25">
      <c r="A4022" s="56" t="s">
        <v>4464</v>
      </c>
    </row>
    <row r="4023" spans="1:1" x14ac:dyDescent="0.25">
      <c r="A4023" s="66" t="s">
        <v>4465</v>
      </c>
    </row>
    <row r="4024" spans="1:1" x14ac:dyDescent="0.25">
      <c r="A4024" s="66" t="s">
        <v>4466</v>
      </c>
    </row>
    <row r="4025" spans="1:1" x14ac:dyDescent="0.25">
      <c r="A4025" s="66" t="s">
        <v>4467</v>
      </c>
    </row>
    <row r="4026" spans="1:1" x14ac:dyDescent="0.25">
      <c r="A4026" s="66" t="s">
        <v>4468</v>
      </c>
    </row>
    <row r="4027" spans="1:1" x14ac:dyDescent="0.25">
      <c r="A4027" s="66" t="s">
        <v>4469</v>
      </c>
    </row>
    <row r="4028" spans="1:1" x14ac:dyDescent="0.25">
      <c r="A4028" s="66" t="s">
        <v>4470</v>
      </c>
    </row>
    <row r="4029" spans="1:1" x14ac:dyDescent="0.25">
      <c r="A4029" s="66" t="s">
        <v>4471</v>
      </c>
    </row>
    <row r="4030" spans="1:1" x14ac:dyDescent="0.25">
      <c r="A4030" s="66" t="s">
        <v>4472</v>
      </c>
    </row>
    <row r="4031" spans="1:1" x14ac:dyDescent="0.25">
      <c r="A4031" s="66" t="s">
        <v>4473</v>
      </c>
    </row>
    <row r="4032" spans="1:1" x14ac:dyDescent="0.25">
      <c r="A4032" s="66" t="s">
        <v>4474</v>
      </c>
    </row>
    <row r="4033" spans="1:1" x14ac:dyDescent="0.25">
      <c r="A4033" s="56" t="s">
        <v>4475</v>
      </c>
    </row>
    <row r="4034" spans="1:1" x14ac:dyDescent="0.25">
      <c r="A4034" s="66" t="s">
        <v>4476</v>
      </c>
    </row>
    <row r="4035" spans="1:1" x14ac:dyDescent="0.25">
      <c r="A4035" s="56" t="s">
        <v>4477</v>
      </c>
    </row>
    <row r="4036" spans="1:1" x14ac:dyDescent="0.25">
      <c r="A4036" s="66" t="s">
        <v>4478</v>
      </c>
    </row>
    <row r="4037" spans="1:1" x14ac:dyDescent="0.25">
      <c r="A4037" s="56" t="s">
        <v>4479</v>
      </c>
    </row>
    <row r="4038" spans="1:1" x14ac:dyDescent="0.25">
      <c r="A4038" s="67" t="s">
        <v>4480</v>
      </c>
    </row>
    <row r="4039" spans="1:1" x14ac:dyDescent="0.25">
      <c r="A4039" s="66" t="s">
        <v>4481</v>
      </c>
    </row>
    <row r="4040" spans="1:1" x14ac:dyDescent="0.25">
      <c r="A4040" s="66" t="s">
        <v>4482</v>
      </c>
    </row>
    <row r="4041" spans="1:1" x14ac:dyDescent="0.25">
      <c r="A4041" s="56" t="s">
        <v>4483</v>
      </c>
    </row>
    <row r="4042" spans="1:1" x14ac:dyDescent="0.25">
      <c r="A4042" s="66" t="s">
        <v>4484</v>
      </c>
    </row>
    <row r="4043" spans="1:1" x14ac:dyDescent="0.25">
      <c r="A4043" s="56" t="s">
        <v>4485</v>
      </c>
    </row>
    <row r="4044" spans="1:1" x14ac:dyDescent="0.25">
      <c r="A4044" s="66" t="s">
        <v>4486</v>
      </c>
    </row>
    <row r="4045" spans="1:1" x14ac:dyDescent="0.25">
      <c r="A4045" s="66" t="s">
        <v>4487</v>
      </c>
    </row>
    <row r="4046" spans="1:1" x14ac:dyDescent="0.25">
      <c r="A4046" s="66" t="s">
        <v>4488</v>
      </c>
    </row>
    <row r="4047" spans="1:1" x14ac:dyDescent="0.25">
      <c r="A4047" s="66" t="s">
        <v>4489</v>
      </c>
    </row>
    <row r="4048" spans="1:1" x14ac:dyDescent="0.25">
      <c r="A4048" s="66" t="s">
        <v>4490</v>
      </c>
    </row>
    <row r="4049" spans="1:1" x14ac:dyDescent="0.25">
      <c r="A4049" s="66" t="s">
        <v>4491</v>
      </c>
    </row>
    <row r="4050" spans="1:1" x14ac:dyDescent="0.25">
      <c r="A4050" s="66" t="s">
        <v>4492</v>
      </c>
    </row>
    <row r="4051" spans="1:1" x14ac:dyDescent="0.25">
      <c r="A4051" s="66" t="s">
        <v>4493</v>
      </c>
    </row>
    <row r="4052" spans="1:1" x14ac:dyDescent="0.25">
      <c r="A4052" s="66" t="s">
        <v>4494</v>
      </c>
    </row>
    <row r="4053" spans="1:1" x14ac:dyDescent="0.25">
      <c r="A4053" s="66" t="s">
        <v>4495</v>
      </c>
    </row>
    <row r="4054" spans="1:1" x14ac:dyDescent="0.25">
      <c r="A4054" s="66" t="s">
        <v>4496</v>
      </c>
    </row>
    <row r="4055" spans="1:1" x14ac:dyDescent="0.25">
      <c r="A4055" s="66" t="s">
        <v>4497</v>
      </c>
    </row>
    <row r="4056" spans="1:1" x14ac:dyDescent="0.25">
      <c r="A4056" s="66" t="s">
        <v>4498</v>
      </c>
    </row>
    <row r="4057" spans="1:1" x14ac:dyDescent="0.25">
      <c r="A4057" s="66" t="s">
        <v>4499</v>
      </c>
    </row>
    <row r="4058" spans="1:1" x14ac:dyDescent="0.25">
      <c r="A4058" s="66" t="s">
        <v>4500</v>
      </c>
    </row>
    <row r="4059" spans="1:1" x14ac:dyDescent="0.25">
      <c r="A4059" s="66" t="s">
        <v>4501</v>
      </c>
    </row>
    <row r="4060" spans="1:1" x14ac:dyDescent="0.25">
      <c r="A4060" s="66" t="s">
        <v>4502</v>
      </c>
    </row>
    <row r="4061" spans="1:1" x14ac:dyDescent="0.25">
      <c r="A4061" s="66" t="s">
        <v>4503</v>
      </c>
    </row>
    <row r="4062" spans="1:1" x14ac:dyDescent="0.25">
      <c r="A4062" s="66" t="s">
        <v>4504</v>
      </c>
    </row>
    <row r="4063" spans="1:1" x14ac:dyDescent="0.25">
      <c r="A4063" s="66" t="s">
        <v>4505</v>
      </c>
    </row>
    <row r="4064" spans="1:1" x14ac:dyDescent="0.25">
      <c r="A4064" s="66" t="s">
        <v>4506</v>
      </c>
    </row>
    <row r="4065" spans="1:1" x14ac:dyDescent="0.25">
      <c r="A4065" s="66" t="s">
        <v>4507</v>
      </c>
    </row>
    <row r="4066" spans="1:1" x14ac:dyDescent="0.25">
      <c r="A4066" s="66" t="s">
        <v>4508</v>
      </c>
    </row>
    <row r="4067" spans="1:1" x14ac:dyDescent="0.25">
      <c r="A4067" s="66" t="s">
        <v>4509</v>
      </c>
    </row>
    <row r="4068" spans="1:1" x14ac:dyDescent="0.25">
      <c r="A4068" s="66" t="s">
        <v>4510</v>
      </c>
    </row>
    <row r="4069" spans="1:1" x14ac:dyDescent="0.25">
      <c r="A4069" s="66" t="s">
        <v>4511</v>
      </c>
    </row>
    <row r="4070" spans="1:1" x14ac:dyDescent="0.25">
      <c r="A4070" s="66" t="s">
        <v>4512</v>
      </c>
    </row>
    <row r="4071" spans="1:1" x14ac:dyDescent="0.25">
      <c r="A4071" s="66" t="s">
        <v>4513</v>
      </c>
    </row>
    <row r="4072" spans="1:1" x14ac:dyDescent="0.25">
      <c r="A4072" s="66" t="s">
        <v>4514</v>
      </c>
    </row>
    <row r="4073" spans="1:1" x14ac:dyDescent="0.25">
      <c r="A4073" s="66" t="s">
        <v>4515</v>
      </c>
    </row>
    <row r="4074" spans="1:1" x14ac:dyDescent="0.25">
      <c r="A4074" s="66" t="s">
        <v>4516</v>
      </c>
    </row>
    <row r="4075" spans="1:1" x14ac:dyDescent="0.25">
      <c r="A4075" s="66" t="s">
        <v>4517</v>
      </c>
    </row>
    <row r="4076" spans="1:1" x14ac:dyDescent="0.25">
      <c r="A4076" s="66" t="s">
        <v>4518</v>
      </c>
    </row>
    <row r="4077" spans="1:1" x14ac:dyDescent="0.25">
      <c r="A4077" s="66" t="s">
        <v>4519</v>
      </c>
    </row>
    <row r="4078" spans="1:1" x14ac:dyDescent="0.25">
      <c r="A4078" s="66" t="s">
        <v>4520</v>
      </c>
    </row>
    <row r="4079" spans="1:1" x14ac:dyDescent="0.25">
      <c r="A4079" s="66" t="s">
        <v>4521</v>
      </c>
    </row>
    <row r="4080" spans="1:1" x14ac:dyDescent="0.25">
      <c r="A4080" s="66" t="s">
        <v>4522</v>
      </c>
    </row>
    <row r="4081" spans="1:1" x14ac:dyDescent="0.25">
      <c r="A4081" s="66" t="s">
        <v>4523</v>
      </c>
    </row>
    <row r="4082" spans="1:1" x14ac:dyDescent="0.25">
      <c r="A4082" s="66" t="s">
        <v>4524</v>
      </c>
    </row>
    <row r="4083" spans="1:1" x14ac:dyDescent="0.25">
      <c r="A4083" s="66" t="s">
        <v>4525</v>
      </c>
    </row>
    <row r="4084" spans="1:1" x14ac:dyDescent="0.25">
      <c r="A4084" s="66" t="s">
        <v>4526</v>
      </c>
    </row>
    <row r="4085" spans="1:1" x14ac:dyDescent="0.25">
      <c r="A4085" s="66" t="s">
        <v>4527</v>
      </c>
    </row>
    <row r="4086" spans="1:1" x14ac:dyDescent="0.25">
      <c r="A4086" s="66" t="s">
        <v>4528</v>
      </c>
    </row>
    <row r="4087" spans="1:1" x14ac:dyDescent="0.25">
      <c r="A4087" s="66" t="s">
        <v>4529</v>
      </c>
    </row>
    <row r="4088" spans="1:1" x14ac:dyDescent="0.25">
      <c r="A4088" s="66" t="s">
        <v>4530</v>
      </c>
    </row>
    <row r="4089" spans="1:1" x14ac:dyDescent="0.25">
      <c r="A4089" s="66" t="s">
        <v>4531</v>
      </c>
    </row>
    <row r="4090" spans="1:1" x14ac:dyDescent="0.25">
      <c r="A4090" s="66" t="s">
        <v>4532</v>
      </c>
    </row>
    <row r="4091" spans="1:1" x14ac:dyDescent="0.25">
      <c r="A4091" s="66" t="s">
        <v>4533</v>
      </c>
    </row>
    <row r="4092" spans="1:1" x14ac:dyDescent="0.25">
      <c r="A4092" s="66" t="s">
        <v>4534</v>
      </c>
    </row>
    <row r="4093" spans="1:1" x14ac:dyDescent="0.25">
      <c r="A4093" s="66" t="s">
        <v>4535</v>
      </c>
    </row>
    <row r="4094" spans="1:1" x14ac:dyDescent="0.25">
      <c r="A4094" s="66" t="s">
        <v>4536</v>
      </c>
    </row>
    <row r="4095" spans="1:1" x14ac:dyDescent="0.25">
      <c r="A4095" s="66" t="s">
        <v>4537</v>
      </c>
    </row>
    <row r="4096" spans="1:1" x14ac:dyDescent="0.25">
      <c r="A4096" s="66" t="s">
        <v>4538</v>
      </c>
    </row>
    <row r="4097" spans="1:1" x14ac:dyDescent="0.25">
      <c r="A4097" s="66" t="s">
        <v>4539</v>
      </c>
    </row>
    <row r="4098" spans="1:1" x14ac:dyDescent="0.25">
      <c r="A4098" s="66" t="s">
        <v>4540</v>
      </c>
    </row>
    <row r="4099" spans="1:1" x14ac:dyDescent="0.25">
      <c r="A4099" s="66" t="s">
        <v>4541</v>
      </c>
    </row>
    <row r="4100" spans="1:1" x14ac:dyDescent="0.25">
      <c r="A4100" s="67" t="s">
        <v>4542</v>
      </c>
    </row>
    <row r="4101" spans="1:1" x14ac:dyDescent="0.25">
      <c r="A4101" s="67" t="s">
        <v>4543</v>
      </c>
    </row>
    <row r="4102" spans="1:1" x14ac:dyDescent="0.25">
      <c r="A4102" s="56" t="s">
        <v>4544</v>
      </c>
    </row>
    <row r="4103" spans="1:1" x14ac:dyDescent="0.25">
      <c r="A4103" s="66" t="s">
        <v>4545</v>
      </c>
    </row>
    <row r="4104" spans="1:1" x14ac:dyDescent="0.25">
      <c r="A4104" s="66" t="s">
        <v>4546</v>
      </c>
    </row>
    <row r="4105" spans="1:1" x14ac:dyDescent="0.25">
      <c r="A4105" s="66" t="s">
        <v>4547</v>
      </c>
    </row>
    <row r="4106" spans="1:1" x14ac:dyDescent="0.25">
      <c r="A4106" s="66" t="s">
        <v>4548</v>
      </c>
    </row>
    <row r="4107" spans="1:1" x14ac:dyDescent="0.25">
      <c r="A4107" s="67" t="s">
        <v>4549</v>
      </c>
    </row>
    <row r="4108" spans="1:1" x14ac:dyDescent="0.25">
      <c r="A4108" s="67" t="s">
        <v>4550</v>
      </c>
    </row>
    <row r="4109" spans="1:1" x14ac:dyDescent="0.25">
      <c r="A4109" s="56" t="s">
        <v>4551</v>
      </c>
    </row>
    <row r="4110" spans="1:1" x14ac:dyDescent="0.25">
      <c r="A4110" s="66" t="s">
        <v>4552</v>
      </c>
    </row>
    <row r="4111" spans="1:1" x14ac:dyDescent="0.25">
      <c r="A4111" s="66" t="s">
        <v>4553</v>
      </c>
    </row>
    <row r="4112" spans="1:1" x14ac:dyDescent="0.25">
      <c r="A4112" s="66" t="s">
        <v>4554</v>
      </c>
    </row>
    <row r="4113" spans="1:1" x14ac:dyDescent="0.25">
      <c r="A4113" s="66" t="s">
        <v>4555</v>
      </c>
    </row>
    <row r="4114" spans="1:1" x14ac:dyDescent="0.25">
      <c r="A4114" s="67" t="s">
        <v>4556</v>
      </c>
    </row>
    <row r="4115" spans="1:1" x14ac:dyDescent="0.25">
      <c r="A4115" s="67" t="s">
        <v>4557</v>
      </c>
    </row>
    <row r="4116" spans="1:1" x14ac:dyDescent="0.25">
      <c r="A4116" s="56" t="s">
        <v>4558</v>
      </c>
    </row>
    <row r="4117" spans="1:1" x14ac:dyDescent="0.25">
      <c r="A4117" s="66" t="s">
        <v>4559</v>
      </c>
    </row>
    <row r="4118" spans="1:1" x14ac:dyDescent="0.25">
      <c r="A4118" s="66" t="s">
        <v>4560</v>
      </c>
    </row>
    <row r="4119" spans="1:1" x14ac:dyDescent="0.25">
      <c r="A4119" s="66" t="s">
        <v>4561</v>
      </c>
    </row>
    <row r="4120" spans="1:1" x14ac:dyDescent="0.25">
      <c r="A4120" s="66" t="s">
        <v>4562</v>
      </c>
    </row>
    <row r="4121" spans="1:1" x14ac:dyDescent="0.25">
      <c r="A4121" s="67" t="s">
        <v>4563</v>
      </c>
    </row>
    <row r="4122" spans="1:1" x14ac:dyDescent="0.25">
      <c r="A4122" s="67" t="s">
        <v>4564</v>
      </c>
    </row>
    <row r="4123" spans="1:1" x14ac:dyDescent="0.25">
      <c r="A4123" s="56" t="s">
        <v>4565</v>
      </c>
    </row>
    <row r="4124" spans="1:1" x14ac:dyDescent="0.25">
      <c r="A4124" s="66" t="s">
        <v>4566</v>
      </c>
    </row>
    <row r="4125" spans="1:1" x14ac:dyDescent="0.25">
      <c r="A4125" s="66" t="s">
        <v>4567</v>
      </c>
    </row>
    <row r="4126" spans="1:1" x14ac:dyDescent="0.25">
      <c r="A4126" s="66" t="s">
        <v>4568</v>
      </c>
    </row>
    <row r="4127" spans="1:1" x14ac:dyDescent="0.25">
      <c r="A4127" s="66" t="s">
        <v>4569</v>
      </c>
    </row>
    <row r="4128" spans="1:1" x14ac:dyDescent="0.25">
      <c r="A4128" s="67" t="s">
        <v>4570</v>
      </c>
    </row>
    <row r="4129" spans="1:1" x14ac:dyDescent="0.25">
      <c r="A4129" s="67" t="s">
        <v>4571</v>
      </c>
    </row>
    <row r="4130" spans="1:1" x14ac:dyDescent="0.25">
      <c r="A4130" s="56" t="s">
        <v>4572</v>
      </c>
    </row>
    <row r="4131" spans="1:1" x14ac:dyDescent="0.25">
      <c r="A4131" s="66" t="s">
        <v>4573</v>
      </c>
    </row>
    <row r="4132" spans="1:1" x14ac:dyDescent="0.25">
      <c r="A4132" s="66" t="s">
        <v>4574</v>
      </c>
    </row>
    <row r="4133" spans="1:1" x14ac:dyDescent="0.25">
      <c r="A4133" s="66" t="s">
        <v>4575</v>
      </c>
    </row>
    <row r="4134" spans="1:1" x14ac:dyDescent="0.25">
      <c r="A4134" s="66" t="s">
        <v>4576</v>
      </c>
    </row>
    <row r="4135" spans="1:1" x14ac:dyDescent="0.25">
      <c r="A4135" s="67" t="s">
        <v>4577</v>
      </c>
    </row>
    <row r="4136" spans="1:1" x14ac:dyDescent="0.25">
      <c r="A4136" s="67" t="s">
        <v>4578</v>
      </c>
    </row>
    <row r="4137" spans="1:1" x14ac:dyDescent="0.25">
      <c r="A4137" s="56" t="s">
        <v>4579</v>
      </c>
    </row>
    <row r="4138" spans="1:1" x14ac:dyDescent="0.25">
      <c r="A4138" s="66" t="s">
        <v>4580</v>
      </c>
    </row>
    <row r="4139" spans="1:1" x14ac:dyDescent="0.25">
      <c r="A4139" s="66" t="s">
        <v>4581</v>
      </c>
    </row>
    <row r="4140" spans="1:1" x14ac:dyDescent="0.25">
      <c r="A4140" s="66" t="s">
        <v>4582</v>
      </c>
    </row>
    <row r="4141" spans="1:1" x14ac:dyDescent="0.25">
      <c r="A4141" s="66" t="s">
        <v>4583</v>
      </c>
    </row>
    <row r="4142" spans="1:1" x14ac:dyDescent="0.25">
      <c r="A4142" s="67" t="s">
        <v>4584</v>
      </c>
    </row>
    <row r="4143" spans="1:1" x14ac:dyDescent="0.25">
      <c r="A4143" s="67" t="s">
        <v>4585</v>
      </c>
    </row>
    <row r="4144" spans="1:1" x14ac:dyDescent="0.25">
      <c r="A4144" s="56" t="s">
        <v>4586</v>
      </c>
    </row>
    <row r="4145" spans="1:1" x14ac:dyDescent="0.25">
      <c r="A4145" s="66" t="s">
        <v>4587</v>
      </c>
    </row>
    <row r="4146" spans="1:1" x14ac:dyDescent="0.25">
      <c r="A4146" s="66" t="s">
        <v>4588</v>
      </c>
    </row>
    <row r="4147" spans="1:1" x14ac:dyDescent="0.25">
      <c r="A4147" s="66" t="s">
        <v>4589</v>
      </c>
    </row>
    <row r="4148" spans="1:1" x14ac:dyDescent="0.25">
      <c r="A4148" s="66" t="s">
        <v>4590</v>
      </c>
    </row>
    <row r="4149" spans="1:1" x14ac:dyDescent="0.25">
      <c r="A4149" s="67" t="s">
        <v>4591</v>
      </c>
    </row>
    <row r="4150" spans="1:1" x14ac:dyDescent="0.25">
      <c r="A4150" s="67" t="s">
        <v>4592</v>
      </c>
    </row>
    <row r="4151" spans="1:1" x14ac:dyDescent="0.25">
      <c r="A4151" s="56" t="s">
        <v>4593</v>
      </c>
    </row>
    <row r="4152" spans="1:1" x14ac:dyDescent="0.25">
      <c r="A4152" s="66" t="s">
        <v>4594</v>
      </c>
    </row>
    <row r="4153" spans="1:1" x14ac:dyDescent="0.25">
      <c r="A4153" s="66" t="s">
        <v>4595</v>
      </c>
    </row>
    <row r="4154" spans="1:1" x14ac:dyDescent="0.25">
      <c r="A4154" s="66" t="s">
        <v>4596</v>
      </c>
    </row>
    <row r="4155" spans="1:1" x14ac:dyDescent="0.25">
      <c r="A4155" s="66" t="s">
        <v>4597</v>
      </c>
    </row>
    <row r="4156" spans="1:1" x14ac:dyDescent="0.25">
      <c r="A4156" s="67" t="s">
        <v>4598</v>
      </c>
    </row>
    <row r="4157" spans="1:1" x14ac:dyDescent="0.25">
      <c r="A4157" s="67" t="s">
        <v>4599</v>
      </c>
    </row>
    <row r="4158" spans="1:1" x14ac:dyDescent="0.25">
      <c r="A4158" s="56" t="s">
        <v>4600</v>
      </c>
    </row>
    <row r="4159" spans="1:1" x14ac:dyDescent="0.25">
      <c r="A4159" s="66" t="s">
        <v>4601</v>
      </c>
    </row>
    <row r="4160" spans="1:1" x14ac:dyDescent="0.25">
      <c r="A4160" s="66" t="s">
        <v>4602</v>
      </c>
    </row>
    <row r="4161" spans="1:1" x14ac:dyDescent="0.25">
      <c r="A4161" s="66" t="s">
        <v>4603</v>
      </c>
    </row>
    <row r="4162" spans="1:1" x14ac:dyDescent="0.25">
      <c r="A4162" s="66" t="s">
        <v>4604</v>
      </c>
    </row>
    <row r="4163" spans="1:1" x14ac:dyDescent="0.25">
      <c r="A4163" s="67" t="s">
        <v>4605</v>
      </c>
    </row>
    <row r="4164" spans="1:1" x14ac:dyDescent="0.25">
      <c r="A4164" s="67" t="s">
        <v>4606</v>
      </c>
    </row>
    <row r="4165" spans="1:1" x14ac:dyDescent="0.25">
      <c r="A4165" s="56" t="s">
        <v>4607</v>
      </c>
    </row>
    <row r="4166" spans="1:1" x14ac:dyDescent="0.25">
      <c r="A4166" s="66" t="s">
        <v>4608</v>
      </c>
    </row>
    <row r="4167" spans="1:1" x14ac:dyDescent="0.25">
      <c r="A4167" s="66" t="s">
        <v>4609</v>
      </c>
    </row>
    <row r="4168" spans="1:1" x14ac:dyDescent="0.25">
      <c r="A4168" s="66" t="s">
        <v>4610</v>
      </c>
    </row>
    <row r="4169" spans="1:1" x14ac:dyDescent="0.25">
      <c r="A4169" s="66" t="s">
        <v>4611</v>
      </c>
    </row>
    <row r="4170" spans="1:1" x14ac:dyDescent="0.25">
      <c r="A4170" s="67" t="s">
        <v>4612</v>
      </c>
    </row>
    <row r="4171" spans="1:1" x14ac:dyDescent="0.25">
      <c r="A4171" s="67" t="s">
        <v>4613</v>
      </c>
    </row>
    <row r="4172" spans="1:1" x14ac:dyDescent="0.25">
      <c r="A4172" s="56" t="s">
        <v>4614</v>
      </c>
    </row>
    <row r="4173" spans="1:1" x14ac:dyDescent="0.25">
      <c r="A4173" s="66" t="s">
        <v>4615</v>
      </c>
    </row>
    <row r="4174" spans="1:1" x14ac:dyDescent="0.25">
      <c r="A4174" s="66" t="s">
        <v>4616</v>
      </c>
    </row>
    <row r="4175" spans="1:1" x14ac:dyDescent="0.25">
      <c r="A4175" s="66" t="s">
        <v>4617</v>
      </c>
    </row>
    <row r="4176" spans="1:1" x14ac:dyDescent="0.25">
      <c r="A4176" s="66" t="s">
        <v>4618</v>
      </c>
    </row>
    <row r="4177" spans="1:1" x14ac:dyDescent="0.25">
      <c r="A4177" s="67" t="s">
        <v>4619</v>
      </c>
    </row>
    <row r="4178" spans="1:1" x14ac:dyDescent="0.25">
      <c r="A4178" s="67" t="s">
        <v>4620</v>
      </c>
    </row>
    <row r="4179" spans="1:1" x14ac:dyDescent="0.25">
      <c r="A4179" s="56" t="s">
        <v>4621</v>
      </c>
    </row>
    <row r="4180" spans="1:1" x14ac:dyDescent="0.25">
      <c r="A4180" s="66" t="s">
        <v>4622</v>
      </c>
    </row>
    <row r="4181" spans="1:1" x14ac:dyDescent="0.25">
      <c r="A4181" s="66" t="s">
        <v>4623</v>
      </c>
    </row>
    <row r="4182" spans="1:1" x14ac:dyDescent="0.25">
      <c r="A4182" s="66" t="s">
        <v>4624</v>
      </c>
    </row>
    <row r="4183" spans="1:1" x14ac:dyDescent="0.25">
      <c r="A4183" s="66" t="s">
        <v>4625</v>
      </c>
    </row>
    <row r="4184" spans="1:1" x14ac:dyDescent="0.25">
      <c r="A4184" s="67" t="s">
        <v>4626</v>
      </c>
    </row>
    <row r="4185" spans="1:1" x14ac:dyDescent="0.25">
      <c r="A4185" s="67" t="s">
        <v>4627</v>
      </c>
    </row>
    <row r="4186" spans="1:1" x14ac:dyDescent="0.25">
      <c r="A4186" s="56" t="s">
        <v>4628</v>
      </c>
    </row>
    <row r="4187" spans="1:1" x14ac:dyDescent="0.25">
      <c r="A4187" s="66" t="s">
        <v>4629</v>
      </c>
    </row>
    <row r="4188" spans="1:1" x14ac:dyDescent="0.25">
      <c r="A4188" s="66" t="s">
        <v>4630</v>
      </c>
    </row>
    <row r="4189" spans="1:1" x14ac:dyDescent="0.25">
      <c r="A4189" s="66" t="s">
        <v>4631</v>
      </c>
    </row>
    <row r="4190" spans="1:1" x14ac:dyDescent="0.25">
      <c r="A4190" s="66" t="s">
        <v>4632</v>
      </c>
    </row>
    <row r="4191" spans="1:1" x14ac:dyDescent="0.25">
      <c r="A4191" s="67" t="s">
        <v>4633</v>
      </c>
    </row>
    <row r="4192" spans="1:1" x14ac:dyDescent="0.25">
      <c r="A4192" s="67" t="s">
        <v>4634</v>
      </c>
    </row>
    <row r="4193" spans="1:1" x14ac:dyDescent="0.25">
      <c r="A4193" s="56" t="s">
        <v>4635</v>
      </c>
    </row>
    <row r="4194" spans="1:1" x14ac:dyDescent="0.25">
      <c r="A4194" s="66" t="s">
        <v>4636</v>
      </c>
    </row>
    <row r="4195" spans="1:1" x14ac:dyDescent="0.25">
      <c r="A4195" s="66" t="s">
        <v>4637</v>
      </c>
    </row>
    <row r="4196" spans="1:1" x14ac:dyDescent="0.25">
      <c r="A4196" s="66" t="s">
        <v>4638</v>
      </c>
    </row>
    <row r="4197" spans="1:1" x14ac:dyDescent="0.25">
      <c r="A4197" s="66" t="s">
        <v>4639</v>
      </c>
    </row>
    <row r="4198" spans="1:1" x14ac:dyDescent="0.25">
      <c r="A4198" s="67" t="s">
        <v>4640</v>
      </c>
    </row>
    <row r="4199" spans="1:1" x14ac:dyDescent="0.25">
      <c r="A4199" s="67" t="s">
        <v>4641</v>
      </c>
    </row>
    <row r="4200" spans="1:1" x14ac:dyDescent="0.25">
      <c r="A4200" s="56" t="s">
        <v>4642</v>
      </c>
    </row>
    <row r="4201" spans="1:1" x14ac:dyDescent="0.25">
      <c r="A4201" s="66" t="s">
        <v>4643</v>
      </c>
    </row>
    <row r="4202" spans="1:1" x14ac:dyDescent="0.25">
      <c r="A4202" s="66" t="s">
        <v>4644</v>
      </c>
    </row>
    <row r="4203" spans="1:1" x14ac:dyDescent="0.25">
      <c r="A4203" s="66" t="s">
        <v>4645</v>
      </c>
    </row>
    <row r="4204" spans="1:1" x14ac:dyDescent="0.25">
      <c r="A4204" s="66" t="s">
        <v>4646</v>
      </c>
    </row>
    <row r="4205" spans="1:1" x14ac:dyDescent="0.25">
      <c r="A4205" s="67" t="s">
        <v>4647</v>
      </c>
    </row>
    <row r="4206" spans="1:1" x14ac:dyDescent="0.25">
      <c r="A4206" s="67" t="s">
        <v>4648</v>
      </c>
    </row>
    <row r="4207" spans="1:1" x14ac:dyDescent="0.25">
      <c r="A4207" s="56" t="s">
        <v>4649</v>
      </c>
    </row>
    <row r="4208" spans="1:1" x14ac:dyDescent="0.25">
      <c r="A4208" s="66" t="s">
        <v>4650</v>
      </c>
    </row>
    <row r="4209" spans="1:1" x14ac:dyDescent="0.25">
      <c r="A4209" s="66" t="s">
        <v>4651</v>
      </c>
    </row>
    <row r="4210" spans="1:1" x14ac:dyDescent="0.25">
      <c r="A4210" s="66" t="s">
        <v>4652</v>
      </c>
    </row>
    <row r="4211" spans="1:1" x14ac:dyDescent="0.25">
      <c r="A4211" s="56" t="s">
        <v>4653</v>
      </c>
    </row>
    <row r="4212" spans="1:1" x14ac:dyDescent="0.25">
      <c r="A4212" s="66" t="s">
        <v>4654</v>
      </c>
    </row>
    <row r="4213" spans="1:1" x14ac:dyDescent="0.25">
      <c r="A4213" s="66" t="s">
        <v>4655</v>
      </c>
    </row>
    <row r="4214" spans="1:1" x14ac:dyDescent="0.25">
      <c r="A4214" s="66" t="s">
        <v>4656</v>
      </c>
    </row>
    <row r="4215" spans="1:1" x14ac:dyDescent="0.25">
      <c r="A4215" s="66" t="s">
        <v>4657</v>
      </c>
    </row>
    <row r="4216" spans="1:1" x14ac:dyDescent="0.25">
      <c r="A4216" s="66" t="s">
        <v>4658</v>
      </c>
    </row>
    <row r="4217" spans="1:1" x14ac:dyDescent="0.25">
      <c r="A4217" s="66" t="s">
        <v>4659</v>
      </c>
    </row>
    <row r="4218" spans="1:1" x14ac:dyDescent="0.25">
      <c r="A4218" s="66" t="s">
        <v>4660</v>
      </c>
    </row>
    <row r="4219" spans="1:1" x14ac:dyDescent="0.25">
      <c r="A4219" s="66" t="s">
        <v>4661</v>
      </c>
    </row>
    <row r="4220" spans="1:1" x14ac:dyDescent="0.25">
      <c r="A4220" s="66" t="s">
        <v>4662</v>
      </c>
    </row>
    <row r="4221" spans="1:1" x14ac:dyDescent="0.25">
      <c r="A4221" s="56" t="s">
        <v>4663</v>
      </c>
    </row>
    <row r="4222" spans="1:1" x14ac:dyDescent="0.25">
      <c r="A4222" s="66" t="s">
        <v>4664</v>
      </c>
    </row>
    <row r="4223" spans="1:1" x14ac:dyDescent="0.25">
      <c r="A4223" s="66" t="s">
        <v>4665</v>
      </c>
    </row>
    <row r="4224" spans="1:1" x14ac:dyDescent="0.25">
      <c r="A4224" s="66" t="s">
        <v>4666</v>
      </c>
    </row>
    <row r="4225" spans="1:1" x14ac:dyDescent="0.25">
      <c r="A4225" s="66" t="s">
        <v>4667</v>
      </c>
    </row>
    <row r="4226" spans="1:1" x14ac:dyDescent="0.25">
      <c r="A4226" s="66" t="s">
        <v>4668</v>
      </c>
    </row>
    <row r="4227" spans="1:1" x14ac:dyDescent="0.25">
      <c r="A4227" s="66" t="s">
        <v>4669</v>
      </c>
    </row>
    <row r="4228" spans="1:1" x14ac:dyDescent="0.25">
      <c r="A4228" s="66" t="s">
        <v>4670</v>
      </c>
    </row>
    <row r="4229" spans="1:1" x14ac:dyDescent="0.25">
      <c r="A4229" s="66" t="s">
        <v>4671</v>
      </c>
    </row>
    <row r="4230" spans="1:1" x14ac:dyDescent="0.25">
      <c r="A4230" s="66" t="s">
        <v>4672</v>
      </c>
    </row>
    <row r="4231" spans="1:1" x14ac:dyDescent="0.25">
      <c r="A4231" s="66" t="s">
        <v>4673</v>
      </c>
    </row>
    <row r="4232" spans="1:1" x14ac:dyDescent="0.25">
      <c r="A4232" s="56" t="s">
        <v>4674</v>
      </c>
    </row>
    <row r="4233" spans="1:1" x14ac:dyDescent="0.25">
      <c r="A4233" s="66" t="s">
        <v>4675</v>
      </c>
    </row>
    <row r="4234" spans="1:1" x14ac:dyDescent="0.25">
      <c r="A4234" s="56" t="s">
        <v>4676</v>
      </c>
    </row>
    <row r="4235" spans="1:1" x14ac:dyDescent="0.25">
      <c r="A4235" s="66" t="s">
        <v>4677</v>
      </c>
    </row>
    <row r="4236" spans="1:1" x14ac:dyDescent="0.25">
      <c r="A4236" s="66" t="s">
        <v>4678</v>
      </c>
    </row>
    <row r="4237" spans="1:1" x14ac:dyDescent="0.25">
      <c r="A4237" s="66" t="s">
        <v>4679</v>
      </c>
    </row>
    <row r="4238" spans="1:1" x14ac:dyDescent="0.25">
      <c r="A4238" s="66" t="s">
        <v>4680</v>
      </c>
    </row>
    <row r="4239" spans="1:1" x14ac:dyDescent="0.25">
      <c r="A4239" s="66" t="s">
        <v>4681</v>
      </c>
    </row>
    <row r="4240" spans="1:1" x14ac:dyDescent="0.25">
      <c r="A4240" s="66" t="s">
        <v>4682</v>
      </c>
    </row>
    <row r="4241" spans="1:1" x14ac:dyDescent="0.25">
      <c r="A4241" s="66" t="s">
        <v>4683</v>
      </c>
    </row>
    <row r="4242" spans="1:1" x14ac:dyDescent="0.25">
      <c r="A4242" s="66" t="s">
        <v>4684</v>
      </c>
    </row>
    <row r="4243" spans="1:1" x14ac:dyDescent="0.25">
      <c r="A4243" s="66" t="s">
        <v>4685</v>
      </c>
    </row>
    <row r="4244" spans="1:1" x14ac:dyDescent="0.25">
      <c r="A4244" s="66" t="s">
        <v>4686</v>
      </c>
    </row>
    <row r="4245" spans="1:1" x14ac:dyDescent="0.25">
      <c r="A4245" s="66" t="s">
        <v>4687</v>
      </c>
    </row>
    <row r="4246" spans="1:1" x14ac:dyDescent="0.25">
      <c r="A4246" s="66" t="s">
        <v>4688</v>
      </c>
    </row>
    <row r="4247" spans="1:1" x14ac:dyDescent="0.25">
      <c r="A4247" s="66" t="s">
        <v>4689</v>
      </c>
    </row>
    <row r="4248" spans="1:1" x14ac:dyDescent="0.25">
      <c r="A4248" s="66" t="s">
        <v>4690</v>
      </c>
    </row>
    <row r="4249" spans="1:1" x14ac:dyDescent="0.25">
      <c r="A4249" s="66" t="s">
        <v>4691</v>
      </c>
    </row>
    <row r="4250" spans="1:1" x14ac:dyDescent="0.25">
      <c r="A4250" s="66" t="s">
        <v>4692</v>
      </c>
    </row>
    <row r="4251" spans="1:1" x14ac:dyDescent="0.25">
      <c r="A4251" s="66" t="s">
        <v>4693</v>
      </c>
    </row>
    <row r="4252" spans="1:1" x14ac:dyDescent="0.25">
      <c r="A4252" s="66" t="s">
        <v>4694</v>
      </c>
    </row>
    <row r="4253" spans="1:1" x14ac:dyDescent="0.25">
      <c r="A4253" s="66" t="s">
        <v>4695</v>
      </c>
    </row>
    <row r="4254" spans="1:1" x14ac:dyDescent="0.25">
      <c r="A4254" s="66" t="s">
        <v>4696</v>
      </c>
    </row>
    <row r="4255" spans="1:1" x14ac:dyDescent="0.25">
      <c r="A4255" s="66" t="s">
        <v>4697</v>
      </c>
    </row>
    <row r="4256" spans="1:1" x14ac:dyDescent="0.25">
      <c r="A4256" s="66" t="s">
        <v>4698</v>
      </c>
    </row>
    <row r="4257" spans="1:1" x14ac:dyDescent="0.25">
      <c r="A4257" s="67" t="s">
        <v>4699</v>
      </c>
    </row>
    <row r="4258" spans="1:1" x14ac:dyDescent="0.25">
      <c r="A4258" s="67" t="s">
        <v>4700</v>
      </c>
    </row>
    <row r="4259" spans="1:1" x14ac:dyDescent="0.25">
      <c r="A4259" s="56" t="s">
        <v>4701</v>
      </c>
    </row>
    <row r="4260" spans="1:1" x14ac:dyDescent="0.25">
      <c r="A4260" s="66" t="s">
        <v>4702</v>
      </c>
    </row>
    <row r="4261" spans="1:1" x14ac:dyDescent="0.25">
      <c r="A4261" s="66" t="s">
        <v>4703</v>
      </c>
    </row>
    <row r="4262" spans="1:1" x14ac:dyDescent="0.25">
      <c r="A4262" s="66" t="s">
        <v>4704</v>
      </c>
    </row>
    <row r="4263" spans="1:1" x14ac:dyDescent="0.25">
      <c r="A4263" s="66" t="s">
        <v>4705</v>
      </c>
    </row>
    <row r="4264" spans="1:1" x14ac:dyDescent="0.25">
      <c r="A4264" s="67" t="s">
        <v>4706</v>
      </c>
    </row>
    <row r="4265" spans="1:1" x14ac:dyDescent="0.25">
      <c r="A4265" s="67" t="s">
        <v>4707</v>
      </c>
    </row>
    <row r="4266" spans="1:1" x14ac:dyDescent="0.25">
      <c r="A4266" s="56" t="s">
        <v>4708</v>
      </c>
    </row>
    <row r="4267" spans="1:1" x14ac:dyDescent="0.25">
      <c r="A4267" s="66" t="s">
        <v>4709</v>
      </c>
    </row>
    <row r="4268" spans="1:1" x14ac:dyDescent="0.25">
      <c r="A4268" s="66" t="s">
        <v>4710</v>
      </c>
    </row>
    <row r="4269" spans="1:1" x14ac:dyDescent="0.25">
      <c r="A4269" s="66" t="s">
        <v>4711</v>
      </c>
    </row>
    <row r="4270" spans="1:1" x14ac:dyDescent="0.25">
      <c r="A4270" s="66" t="s">
        <v>4712</v>
      </c>
    </row>
    <row r="4271" spans="1:1" x14ac:dyDescent="0.25">
      <c r="A4271" s="67" t="s">
        <v>4713</v>
      </c>
    </row>
    <row r="4272" spans="1:1" x14ac:dyDescent="0.25">
      <c r="A4272" s="67" t="s">
        <v>4714</v>
      </c>
    </row>
    <row r="4273" spans="1:1" x14ac:dyDescent="0.25">
      <c r="A4273" s="56" t="s">
        <v>4715</v>
      </c>
    </row>
    <row r="4274" spans="1:1" x14ac:dyDescent="0.25">
      <c r="A4274" s="66" t="s">
        <v>4716</v>
      </c>
    </row>
    <row r="4275" spans="1:1" x14ac:dyDescent="0.25">
      <c r="A4275" s="66" t="s">
        <v>4717</v>
      </c>
    </row>
    <row r="4276" spans="1:1" x14ac:dyDescent="0.25">
      <c r="A4276" s="66" t="s">
        <v>4718</v>
      </c>
    </row>
    <row r="4277" spans="1:1" x14ac:dyDescent="0.25">
      <c r="A4277" s="66" t="s">
        <v>4719</v>
      </c>
    </row>
    <row r="4278" spans="1:1" x14ac:dyDescent="0.25">
      <c r="A4278" s="66" t="s">
        <v>4720</v>
      </c>
    </row>
    <row r="4279" spans="1:1" x14ac:dyDescent="0.25">
      <c r="A4279" s="66" t="s">
        <v>4721</v>
      </c>
    </row>
    <row r="4280" spans="1:1" x14ac:dyDescent="0.25">
      <c r="A4280" s="66" t="s">
        <v>4722</v>
      </c>
    </row>
    <row r="4281" spans="1:1" x14ac:dyDescent="0.25">
      <c r="A4281" s="66" t="s">
        <v>4723</v>
      </c>
    </row>
    <row r="4282" spans="1:1" x14ac:dyDescent="0.25">
      <c r="A4282" s="66" t="s">
        <v>4724</v>
      </c>
    </row>
    <row r="4283" spans="1:1" x14ac:dyDescent="0.25">
      <c r="A4283" s="66" t="s">
        <v>4725</v>
      </c>
    </row>
    <row r="4284" spans="1:1" x14ac:dyDescent="0.25">
      <c r="A4284" s="66" t="s">
        <v>4726</v>
      </c>
    </row>
    <row r="4285" spans="1:1" x14ac:dyDescent="0.25">
      <c r="A4285" s="66" t="s">
        <v>4727</v>
      </c>
    </row>
    <row r="4286" spans="1:1" x14ac:dyDescent="0.25">
      <c r="A4286" s="66" t="s">
        <v>4728</v>
      </c>
    </row>
    <row r="4287" spans="1:1" x14ac:dyDescent="0.25">
      <c r="A4287" s="66" t="s">
        <v>4729</v>
      </c>
    </row>
    <row r="4288" spans="1:1" x14ac:dyDescent="0.25">
      <c r="A4288" s="66" t="s">
        <v>4730</v>
      </c>
    </row>
    <row r="4289" spans="1:1" x14ac:dyDescent="0.25">
      <c r="A4289" s="66" t="s">
        <v>4731</v>
      </c>
    </row>
    <row r="4290" spans="1:1" x14ac:dyDescent="0.25">
      <c r="A4290" s="66" t="s">
        <v>4732</v>
      </c>
    </row>
    <row r="4291" spans="1:1" x14ac:dyDescent="0.25">
      <c r="A4291" s="66" t="s">
        <v>4733</v>
      </c>
    </row>
    <row r="4292" spans="1:1" x14ac:dyDescent="0.25">
      <c r="A4292" s="66" t="s">
        <v>4734</v>
      </c>
    </row>
    <row r="4293" spans="1:1" x14ac:dyDescent="0.25">
      <c r="A4293" s="66" t="s">
        <v>4735</v>
      </c>
    </row>
    <row r="4294" spans="1:1" x14ac:dyDescent="0.25">
      <c r="A4294" s="66" t="s">
        <v>4736</v>
      </c>
    </row>
    <row r="4295" spans="1:1" x14ac:dyDescent="0.25">
      <c r="A4295" s="66" t="s">
        <v>4737</v>
      </c>
    </row>
    <row r="4296" spans="1:1" x14ac:dyDescent="0.25">
      <c r="A4296" s="66" t="s">
        <v>4738</v>
      </c>
    </row>
    <row r="4297" spans="1:1" x14ac:dyDescent="0.25">
      <c r="A4297" s="66" t="s">
        <v>4739</v>
      </c>
    </row>
    <row r="4298" spans="1:1" x14ac:dyDescent="0.25">
      <c r="A4298" s="66" t="s">
        <v>4740</v>
      </c>
    </row>
    <row r="4299" spans="1:1" x14ac:dyDescent="0.25">
      <c r="A4299" s="66" t="s">
        <v>4741</v>
      </c>
    </row>
    <row r="4300" spans="1:1" x14ac:dyDescent="0.25">
      <c r="A4300" s="66" t="s">
        <v>4742</v>
      </c>
    </row>
    <row r="4301" spans="1:1" x14ac:dyDescent="0.25">
      <c r="A4301" s="66" t="s">
        <v>4743</v>
      </c>
    </row>
    <row r="4302" spans="1:1" x14ac:dyDescent="0.25">
      <c r="A4302" s="66" t="s">
        <v>4744</v>
      </c>
    </row>
    <row r="4303" spans="1:1" x14ac:dyDescent="0.25">
      <c r="A4303" s="66" t="s">
        <v>4745</v>
      </c>
    </row>
    <row r="4304" spans="1:1" x14ac:dyDescent="0.25">
      <c r="A4304" s="66" t="s">
        <v>4746</v>
      </c>
    </row>
    <row r="4305" spans="1:1" x14ac:dyDescent="0.25">
      <c r="A4305" s="66" t="s">
        <v>4747</v>
      </c>
    </row>
    <row r="4306" spans="1:1" x14ac:dyDescent="0.25">
      <c r="A4306" s="66" t="s">
        <v>4748</v>
      </c>
    </row>
    <row r="4307" spans="1:1" x14ac:dyDescent="0.25">
      <c r="A4307" s="66" t="s">
        <v>4749</v>
      </c>
    </row>
    <row r="4308" spans="1:1" x14ac:dyDescent="0.25">
      <c r="A4308" s="66" t="s">
        <v>4750</v>
      </c>
    </row>
    <row r="4309" spans="1:1" x14ac:dyDescent="0.25">
      <c r="A4309" s="66" t="s">
        <v>4751</v>
      </c>
    </row>
    <row r="4310" spans="1:1" x14ac:dyDescent="0.25">
      <c r="A4310" s="66" t="s">
        <v>4752</v>
      </c>
    </row>
    <row r="4311" spans="1:1" x14ac:dyDescent="0.25">
      <c r="A4311" s="66" t="s">
        <v>4753</v>
      </c>
    </row>
    <row r="4312" spans="1:1" x14ac:dyDescent="0.25">
      <c r="A4312" s="66" t="s">
        <v>4754</v>
      </c>
    </row>
    <row r="4313" spans="1:1" x14ac:dyDescent="0.25">
      <c r="A4313" s="67" t="s">
        <v>4755</v>
      </c>
    </row>
    <row r="4314" spans="1:1" x14ac:dyDescent="0.25">
      <c r="A4314" s="66" t="s">
        <v>4756</v>
      </c>
    </row>
    <row r="4315" spans="1:1" x14ac:dyDescent="0.25">
      <c r="A4315" s="66" t="s">
        <v>4757</v>
      </c>
    </row>
    <row r="4316" spans="1:1" x14ac:dyDescent="0.25">
      <c r="A4316" s="66" t="s">
        <v>4758</v>
      </c>
    </row>
    <row r="4317" spans="1:1" x14ac:dyDescent="0.25">
      <c r="A4317" s="66" t="s">
        <v>4759</v>
      </c>
    </row>
    <row r="4318" spans="1:1" x14ac:dyDescent="0.25">
      <c r="A4318" s="66" t="s">
        <v>4760</v>
      </c>
    </row>
    <row r="4319" spans="1:1" x14ac:dyDescent="0.25">
      <c r="A4319" s="66" t="s">
        <v>4761</v>
      </c>
    </row>
    <row r="4320" spans="1:1" x14ac:dyDescent="0.25">
      <c r="A4320" s="66" t="s">
        <v>4762</v>
      </c>
    </row>
    <row r="4321" spans="1:1" x14ac:dyDescent="0.25">
      <c r="A4321" s="66" t="s">
        <v>4763</v>
      </c>
    </row>
    <row r="4322" spans="1:1" x14ac:dyDescent="0.25">
      <c r="A4322" s="66" t="s">
        <v>4764</v>
      </c>
    </row>
    <row r="4323" spans="1:1" x14ac:dyDescent="0.25">
      <c r="A4323" s="66" t="s">
        <v>4765</v>
      </c>
    </row>
    <row r="4324" spans="1:1" x14ac:dyDescent="0.25">
      <c r="A4324" s="66" t="s">
        <v>4766</v>
      </c>
    </row>
    <row r="4325" spans="1:1" x14ac:dyDescent="0.25">
      <c r="A4325" s="66" t="s">
        <v>4767</v>
      </c>
    </row>
    <row r="4326" spans="1:1" x14ac:dyDescent="0.25">
      <c r="A4326" s="66" t="s">
        <v>4768</v>
      </c>
    </row>
    <row r="4327" spans="1:1" x14ac:dyDescent="0.25">
      <c r="A4327" s="66" t="s">
        <v>4769</v>
      </c>
    </row>
    <row r="4328" spans="1:1" x14ac:dyDescent="0.25">
      <c r="A4328" s="66" t="s">
        <v>4770</v>
      </c>
    </row>
    <row r="4329" spans="1:1" x14ac:dyDescent="0.25">
      <c r="A4329" s="66" t="s">
        <v>4771</v>
      </c>
    </row>
    <row r="4330" spans="1:1" x14ac:dyDescent="0.25">
      <c r="A4330" s="66" t="s">
        <v>4772</v>
      </c>
    </row>
    <row r="4331" spans="1:1" x14ac:dyDescent="0.25">
      <c r="A4331" s="66" t="s">
        <v>4773</v>
      </c>
    </row>
    <row r="4332" spans="1:1" x14ac:dyDescent="0.25">
      <c r="A4332" s="66" t="s">
        <v>4774</v>
      </c>
    </row>
    <row r="4333" spans="1:1" x14ac:dyDescent="0.25">
      <c r="A4333" s="66" t="s">
        <v>4775</v>
      </c>
    </row>
    <row r="4334" spans="1:1" x14ac:dyDescent="0.25">
      <c r="A4334" s="66" t="s">
        <v>4776</v>
      </c>
    </row>
    <row r="4335" spans="1:1" x14ac:dyDescent="0.25">
      <c r="A4335" s="66" t="s">
        <v>4777</v>
      </c>
    </row>
    <row r="4336" spans="1:1" x14ac:dyDescent="0.25">
      <c r="A4336" s="66" t="s">
        <v>4778</v>
      </c>
    </row>
    <row r="4337" spans="1:1" x14ac:dyDescent="0.25">
      <c r="A4337" s="66" t="s">
        <v>4779</v>
      </c>
    </row>
    <row r="4338" spans="1:1" x14ac:dyDescent="0.25">
      <c r="A4338" s="66" t="s">
        <v>4780</v>
      </c>
    </row>
    <row r="4339" spans="1:1" x14ac:dyDescent="0.25">
      <c r="A4339" s="66" t="s">
        <v>4781</v>
      </c>
    </row>
    <row r="4340" spans="1:1" x14ac:dyDescent="0.25">
      <c r="A4340" s="66" t="s">
        <v>4782</v>
      </c>
    </row>
    <row r="4341" spans="1:1" x14ac:dyDescent="0.25">
      <c r="A4341" s="66" t="s">
        <v>4783</v>
      </c>
    </row>
    <row r="4342" spans="1:1" x14ac:dyDescent="0.25">
      <c r="A4342" s="66" t="s">
        <v>4784</v>
      </c>
    </row>
    <row r="4343" spans="1:1" x14ac:dyDescent="0.25">
      <c r="A4343" s="66" t="s">
        <v>4785</v>
      </c>
    </row>
    <row r="4344" spans="1:1" x14ac:dyDescent="0.25">
      <c r="A4344" s="66" t="s">
        <v>4786</v>
      </c>
    </row>
    <row r="4345" spans="1:1" x14ac:dyDescent="0.25">
      <c r="A4345" s="66" t="s">
        <v>4787</v>
      </c>
    </row>
    <row r="4346" spans="1:1" x14ac:dyDescent="0.25">
      <c r="A4346" s="66" t="s">
        <v>4788</v>
      </c>
    </row>
    <row r="4347" spans="1:1" x14ac:dyDescent="0.25">
      <c r="A4347" s="66" t="s">
        <v>4789</v>
      </c>
    </row>
    <row r="4348" spans="1:1" x14ac:dyDescent="0.25">
      <c r="A4348" s="66" t="s">
        <v>4790</v>
      </c>
    </row>
    <row r="4349" spans="1:1" x14ac:dyDescent="0.25">
      <c r="A4349" s="66" t="s">
        <v>4791</v>
      </c>
    </row>
    <row r="4350" spans="1:1" x14ac:dyDescent="0.25">
      <c r="A4350" s="66" t="s">
        <v>4792</v>
      </c>
    </row>
    <row r="4351" spans="1:1" x14ac:dyDescent="0.25">
      <c r="A4351" s="66" t="s">
        <v>4793</v>
      </c>
    </row>
    <row r="4352" spans="1:1" x14ac:dyDescent="0.25">
      <c r="A4352" s="66" t="s">
        <v>4794</v>
      </c>
    </row>
    <row r="4353" spans="1:1" x14ac:dyDescent="0.25">
      <c r="A4353" s="66" t="s">
        <v>4795</v>
      </c>
    </row>
    <row r="4354" spans="1:1" x14ac:dyDescent="0.25">
      <c r="A4354" s="66" t="s">
        <v>4796</v>
      </c>
    </row>
    <row r="4355" spans="1:1" x14ac:dyDescent="0.25">
      <c r="A4355" s="66" t="s">
        <v>4797</v>
      </c>
    </row>
    <row r="4356" spans="1:1" x14ac:dyDescent="0.25">
      <c r="A4356" s="66" t="s">
        <v>4798</v>
      </c>
    </row>
    <row r="4357" spans="1:1" x14ac:dyDescent="0.25">
      <c r="A4357" s="66" t="s">
        <v>4799</v>
      </c>
    </row>
    <row r="4358" spans="1:1" x14ac:dyDescent="0.25">
      <c r="A4358" s="66" t="s">
        <v>4800</v>
      </c>
    </row>
    <row r="4359" spans="1:1" x14ac:dyDescent="0.25">
      <c r="A4359" s="66" t="s">
        <v>4801</v>
      </c>
    </row>
    <row r="4360" spans="1:1" x14ac:dyDescent="0.25">
      <c r="A4360" s="56" t="s">
        <v>4802</v>
      </c>
    </row>
    <row r="4361" spans="1:1" x14ac:dyDescent="0.25">
      <c r="A4361" s="66" t="s">
        <v>4803</v>
      </c>
    </row>
    <row r="4362" spans="1:1" x14ac:dyDescent="0.25">
      <c r="A4362" s="56" t="s">
        <v>4804</v>
      </c>
    </row>
    <row r="4363" spans="1:1" x14ac:dyDescent="0.25">
      <c r="A4363" s="66" t="s">
        <v>4805</v>
      </c>
    </row>
    <row r="4364" spans="1:1" x14ac:dyDescent="0.25">
      <c r="A4364" s="56" t="s">
        <v>4806</v>
      </c>
    </row>
    <row r="4365" spans="1:1" x14ac:dyDescent="0.25">
      <c r="A4365" s="66" t="s">
        <v>4807</v>
      </c>
    </row>
    <row r="4366" spans="1:1" x14ac:dyDescent="0.25">
      <c r="A4366" s="56" t="s">
        <v>4808</v>
      </c>
    </row>
    <row r="4367" spans="1:1" x14ac:dyDescent="0.25">
      <c r="A4367" s="66" t="s">
        <v>4809</v>
      </c>
    </row>
    <row r="4368" spans="1:1" x14ac:dyDescent="0.25">
      <c r="A4368" s="66" t="s">
        <v>4810</v>
      </c>
    </row>
    <row r="4369" spans="1:1" x14ac:dyDescent="0.25">
      <c r="A4369" s="66" t="s">
        <v>4811</v>
      </c>
    </row>
    <row r="4370" spans="1:1" x14ac:dyDescent="0.25">
      <c r="A4370" s="66" t="s">
        <v>4812</v>
      </c>
    </row>
    <row r="4371" spans="1:1" x14ac:dyDescent="0.25">
      <c r="A4371" s="66" t="s">
        <v>4813</v>
      </c>
    </row>
    <row r="4372" spans="1:1" x14ac:dyDescent="0.25">
      <c r="A4372" s="66" t="s">
        <v>4814</v>
      </c>
    </row>
    <row r="4373" spans="1:1" x14ac:dyDescent="0.25">
      <c r="A4373" s="66" t="s">
        <v>4815</v>
      </c>
    </row>
    <row r="4374" spans="1:1" x14ac:dyDescent="0.25">
      <c r="A4374" s="66" t="s">
        <v>4816</v>
      </c>
    </row>
    <row r="4375" spans="1:1" x14ac:dyDescent="0.25">
      <c r="A4375" s="66" t="s">
        <v>4817</v>
      </c>
    </row>
    <row r="4376" spans="1:1" x14ac:dyDescent="0.25">
      <c r="A4376" s="66" t="s">
        <v>4818</v>
      </c>
    </row>
    <row r="4377" spans="1:1" x14ac:dyDescent="0.25">
      <c r="A4377" s="66" t="s">
        <v>4819</v>
      </c>
    </row>
    <row r="4378" spans="1:1" x14ac:dyDescent="0.25">
      <c r="A4378" s="66" t="s">
        <v>4820</v>
      </c>
    </row>
    <row r="4379" spans="1:1" x14ac:dyDescent="0.25">
      <c r="A4379" s="66" t="s">
        <v>4821</v>
      </c>
    </row>
    <row r="4380" spans="1:1" x14ac:dyDescent="0.25">
      <c r="A4380" s="66" t="s">
        <v>4822</v>
      </c>
    </row>
    <row r="4381" spans="1:1" x14ac:dyDescent="0.25">
      <c r="A4381" s="66" t="s">
        <v>4823</v>
      </c>
    </row>
    <row r="4382" spans="1:1" x14ac:dyDescent="0.25">
      <c r="A4382" s="66" t="s">
        <v>4824</v>
      </c>
    </row>
    <row r="4383" spans="1:1" x14ac:dyDescent="0.25">
      <c r="A4383" s="66" t="s">
        <v>4825</v>
      </c>
    </row>
    <row r="4384" spans="1:1" x14ac:dyDescent="0.25">
      <c r="A4384" s="66" t="s">
        <v>4826</v>
      </c>
    </row>
    <row r="4385" spans="1:1" x14ac:dyDescent="0.25">
      <c r="A4385" s="66" t="s">
        <v>4827</v>
      </c>
    </row>
    <row r="4386" spans="1:1" x14ac:dyDescent="0.25">
      <c r="A4386" s="66" t="s">
        <v>4828</v>
      </c>
    </row>
    <row r="4387" spans="1:1" x14ac:dyDescent="0.25">
      <c r="A4387" s="66" t="s">
        <v>4829</v>
      </c>
    </row>
    <row r="4388" spans="1:1" x14ac:dyDescent="0.25">
      <c r="A4388" s="66" t="s">
        <v>4830</v>
      </c>
    </row>
    <row r="4389" spans="1:1" x14ac:dyDescent="0.25">
      <c r="A4389" s="66" t="s">
        <v>4831</v>
      </c>
    </row>
    <row r="4390" spans="1:1" x14ac:dyDescent="0.25">
      <c r="A4390" s="66" t="s">
        <v>4832</v>
      </c>
    </row>
    <row r="4391" spans="1:1" x14ac:dyDescent="0.25">
      <c r="A4391" s="66" t="s">
        <v>4833</v>
      </c>
    </row>
    <row r="4392" spans="1:1" x14ac:dyDescent="0.25">
      <c r="A4392" s="66" t="s">
        <v>4834</v>
      </c>
    </row>
    <row r="4393" spans="1:1" x14ac:dyDescent="0.25">
      <c r="A4393" s="66" t="s">
        <v>4835</v>
      </c>
    </row>
    <row r="4394" spans="1:1" x14ac:dyDescent="0.25">
      <c r="A4394" s="66" t="s">
        <v>4836</v>
      </c>
    </row>
    <row r="4395" spans="1:1" x14ac:dyDescent="0.25">
      <c r="A4395" s="66" t="s">
        <v>4837</v>
      </c>
    </row>
    <row r="4396" spans="1:1" x14ac:dyDescent="0.25">
      <c r="A4396" s="66" t="s">
        <v>4838</v>
      </c>
    </row>
    <row r="4397" spans="1:1" x14ac:dyDescent="0.25">
      <c r="A4397" s="66" t="s">
        <v>4839</v>
      </c>
    </row>
    <row r="4398" spans="1:1" x14ac:dyDescent="0.25">
      <c r="A4398" s="66" t="s">
        <v>4840</v>
      </c>
    </row>
    <row r="4399" spans="1:1" x14ac:dyDescent="0.25">
      <c r="A4399" s="66" t="s">
        <v>4841</v>
      </c>
    </row>
    <row r="4400" spans="1:1" x14ac:dyDescent="0.25">
      <c r="A4400" s="66" t="s">
        <v>4842</v>
      </c>
    </row>
    <row r="4401" spans="1:1" x14ac:dyDescent="0.25">
      <c r="A4401" s="66" t="s">
        <v>4843</v>
      </c>
    </row>
    <row r="4402" spans="1:1" x14ac:dyDescent="0.25">
      <c r="A4402" s="66" t="s">
        <v>4844</v>
      </c>
    </row>
    <row r="4403" spans="1:1" x14ac:dyDescent="0.25">
      <c r="A4403" s="66" t="s">
        <v>4845</v>
      </c>
    </row>
    <row r="4404" spans="1:1" x14ac:dyDescent="0.25">
      <c r="A4404" s="66" t="s">
        <v>4846</v>
      </c>
    </row>
    <row r="4405" spans="1:1" x14ac:dyDescent="0.25">
      <c r="A4405" s="66" t="s">
        <v>4847</v>
      </c>
    </row>
    <row r="4406" spans="1:1" x14ac:dyDescent="0.25">
      <c r="A4406" s="66" t="s">
        <v>4848</v>
      </c>
    </row>
    <row r="4407" spans="1:1" x14ac:dyDescent="0.25">
      <c r="A4407" s="66" t="s">
        <v>4849</v>
      </c>
    </row>
    <row r="4408" spans="1:1" x14ac:dyDescent="0.25">
      <c r="A4408" s="66" t="s">
        <v>4850</v>
      </c>
    </row>
    <row r="4409" spans="1:1" x14ac:dyDescent="0.25">
      <c r="A4409" s="66" t="s">
        <v>4851</v>
      </c>
    </row>
    <row r="4410" spans="1:1" x14ac:dyDescent="0.25">
      <c r="A4410" s="66" t="s">
        <v>4852</v>
      </c>
    </row>
    <row r="4411" spans="1:1" x14ac:dyDescent="0.25">
      <c r="A4411" s="66" t="s">
        <v>4853</v>
      </c>
    </row>
    <row r="4412" spans="1:1" x14ac:dyDescent="0.25">
      <c r="A4412" s="66" t="s">
        <v>4854</v>
      </c>
    </row>
    <row r="4413" spans="1:1" x14ac:dyDescent="0.25">
      <c r="A4413" s="66" t="s">
        <v>4855</v>
      </c>
    </row>
    <row r="4414" spans="1:1" x14ac:dyDescent="0.25">
      <c r="A4414" s="66" t="s">
        <v>4856</v>
      </c>
    </row>
    <row r="4415" spans="1:1" x14ac:dyDescent="0.25">
      <c r="A4415" s="56" t="s">
        <v>4857</v>
      </c>
    </row>
    <row r="4416" spans="1:1" x14ac:dyDescent="0.25">
      <c r="A4416" s="66" t="s">
        <v>4858</v>
      </c>
    </row>
    <row r="4417" spans="1:1" x14ac:dyDescent="0.25">
      <c r="A4417" s="66" t="s">
        <v>4859</v>
      </c>
    </row>
    <row r="4418" spans="1:1" x14ac:dyDescent="0.25">
      <c r="A4418" s="66" t="s">
        <v>4860</v>
      </c>
    </row>
    <row r="4419" spans="1:1" x14ac:dyDescent="0.25">
      <c r="A4419" s="66" t="s">
        <v>4861</v>
      </c>
    </row>
    <row r="4420" spans="1:1" x14ac:dyDescent="0.25">
      <c r="A4420" s="66" t="s">
        <v>4862</v>
      </c>
    </row>
    <row r="4421" spans="1:1" x14ac:dyDescent="0.25">
      <c r="A4421" s="66" t="s">
        <v>4863</v>
      </c>
    </row>
    <row r="4422" spans="1:1" x14ac:dyDescent="0.25">
      <c r="A4422" s="66" t="s">
        <v>4864</v>
      </c>
    </row>
    <row r="4423" spans="1:1" x14ac:dyDescent="0.25">
      <c r="A4423" s="66" t="s">
        <v>4865</v>
      </c>
    </row>
    <row r="4424" spans="1:1" x14ac:dyDescent="0.25">
      <c r="A4424" s="66" t="s">
        <v>4866</v>
      </c>
    </row>
    <row r="4425" spans="1:1" x14ac:dyDescent="0.25">
      <c r="A4425" s="66" t="s">
        <v>4867</v>
      </c>
    </row>
    <row r="4426" spans="1:1" x14ac:dyDescent="0.25">
      <c r="A4426" s="66" t="s">
        <v>4868</v>
      </c>
    </row>
    <row r="4427" spans="1:1" x14ac:dyDescent="0.25">
      <c r="A4427" s="66" t="s">
        <v>4869</v>
      </c>
    </row>
    <row r="4428" spans="1:1" x14ac:dyDescent="0.25">
      <c r="A4428" s="66" t="s">
        <v>4870</v>
      </c>
    </row>
    <row r="4429" spans="1:1" x14ac:dyDescent="0.25">
      <c r="A4429" s="66" t="s">
        <v>4871</v>
      </c>
    </row>
    <row r="4430" spans="1:1" x14ac:dyDescent="0.25">
      <c r="A4430" s="66" t="s">
        <v>4872</v>
      </c>
    </row>
    <row r="4431" spans="1:1" x14ac:dyDescent="0.25">
      <c r="A4431" s="66" t="s">
        <v>4873</v>
      </c>
    </row>
    <row r="4432" spans="1:1" x14ac:dyDescent="0.25">
      <c r="A4432" s="66" t="s">
        <v>4874</v>
      </c>
    </row>
    <row r="4433" spans="1:1" x14ac:dyDescent="0.25">
      <c r="A4433" s="66" t="s">
        <v>4875</v>
      </c>
    </row>
    <row r="4434" spans="1:1" x14ac:dyDescent="0.25">
      <c r="A4434" s="66" t="s">
        <v>4876</v>
      </c>
    </row>
    <row r="4435" spans="1:1" x14ac:dyDescent="0.25">
      <c r="A4435" s="66" t="s">
        <v>4877</v>
      </c>
    </row>
    <row r="4436" spans="1:1" x14ac:dyDescent="0.25">
      <c r="A4436" s="66" t="s">
        <v>4878</v>
      </c>
    </row>
    <row r="4437" spans="1:1" x14ac:dyDescent="0.25">
      <c r="A4437" s="56" t="s">
        <v>4879</v>
      </c>
    </row>
    <row r="4438" spans="1:1" x14ac:dyDescent="0.25">
      <c r="A4438" s="66" t="s">
        <v>4880</v>
      </c>
    </row>
    <row r="4439" spans="1:1" x14ac:dyDescent="0.25">
      <c r="A4439" s="66" t="s">
        <v>4881</v>
      </c>
    </row>
    <row r="4440" spans="1:1" x14ac:dyDescent="0.25">
      <c r="A4440" s="66" t="s">
        <v>4882</v>
      </c>
    </row>
    <row r="4441" spans="1:1" x14ac:dyDescent="0.25">
      <c r="A4441" s="66" t="s">
        <v>4883</v>
      </c>
    </row>
    <row r="4442" spans="1:1" x14ac:dyDescent="0.25">
      <c r="A4442" s="66" t="s">
        <v>4884</v>
      </c>
    </row>
    <row r="4443" spans="1:1" x14ac:dyDescent="0.25">
      <c r="A4443" s="66" t="s">
        <v>4885</v>
      </c>
    </row>
    <row r="4444" spans="1:1" x14ac:dyDescent="0.25">
      <c r="A4444" s="66" t="s">
        <v>4886</v>
      </c>
    </row>
    <row r="4445" spans="1:1" x14ac:dyDescent="0.25">
      <c r="A4445" s="66" t="s">
        <v>4887</v>
      </c>
    </row>
    <row r="4446" spans="1:1" x14ac:dyDescent="0.25">
      <c r="A4446" s="66" t="s">
        <v>4888</v>
      </c>
    </row>
    <row r="4447" spans="1:1" x14ac:dyDescent="0.25">
      <c r="A4447" s="66" t="s">
        <v>4889</v>
      </c>
    </row>
    <row r="4448" spans="1:1" x14ac:dyDescent="0.25">
      <c r="A4448" s="66" t="s">
        <v>4890</v>
      </c>
    </row>
    <row r="4449" spans="1:1" x14ac:dyDescent="0.25">
      <c r="A4449" s="66" t="s">
        <v>4891</v>
      </c>
    </row>
    <row r="4450" spans="1:1" x14ac:dyDescent="0.25">
      <c r="A4450" s="66" t="s">
        <v>4892</v>
      </c>
    </row>
    <row r="4451" spans="1:1" x14ac:dyDescent="0.25">
      <c r="A4451" s="66" t="s">
        <v>4893</v>
      </c>
    </row>
    <row r="4452" spans="1:1" x14ac:dyDescent="0.25">
      <c r="A4452" s="66" t="s">
        <v>4894</v>
      </c>
    </row>
    <row r="4453" spans="1:1" x14ac:dyDescent="0.25">
      <c r="A4453" s="66" t="s">
        <v>4895</v>
      </c>
    </row>
    <row r="4454" spans="1:1" x14ac:dyDescent="0.25">
      <c r="A4454" s="66" t="s">
        <v>4896</v>
      </c>
    </row>
    <row r="4455" spans="1:1" x14ac:dyDescent="0.25">
      <c r="A4455" s="66" t="s">
        <v>4897</v>
      </c>
    </row>
    <row r="4456" spans="1:1" x14ac:dyDescent="0.25">
      <c r="A4456" s="66" t="s">
        <v>4898</v>
      </c>
    </row>
    <row r="4457" spans="1:1" x14ac:dyDescent="0.25">
      <c r="A4457" s="66" t="s">
        <v>4899</v>
      </c>
    </row>
    <row r="4458" spans="1:1" x14ac:dyDescent="0.25">
      <c r="A4458" s="66" t="s">
        <v>4900</v>
      </c>
    </row>
    <row r="4459" spans="1:1" x14ac:dyDescent="0.25">
      <c r="A4459" s="66" t="s">
        <v>4901</v>
      </c>
    </row>
    <row r="4460" spans="1:1" x14ac:dyDescent="0.25">
      <c r="A4460" s="66" t="s">
        <v>4902</v>
      </c>
    </row>
    <row r="4461" spans="1:1" x14ac:dyDescent="0.25">
      <c r="A4461" s="66" t="s">
        <v>4903</v>
      </c>
    </row>
    <row r="4462" spans="1:1" x14ac:dyDescent="0.25">
      <c r="A4462" s="66" t="s">
        <v>4904</v>
      </c>
    </row>
    <row r="4463" spans="1:1" x14ac:dyDescent="0.25">
      <c r="A4463" s="66" t="s">
        <v>4905</v>
      </c>
    </row>
    <row r="4464" spans="1:1" x14ac:dyDescent="0.25">
      <c r="A4464" s="66" t="s">
        <v>4906</v>
      </c>
    </row>
    <row r="4465" spans="1:1" x14ac:dyDescent="0.25">
      <c r="A4465" s="66" t="s">
        <v>4907</v>
      </c>
    </row>
    <row r="4466" spans="1:1" x14ac:dyDescent="0.25">
      <c r="A4466" s="66" t="s">
        <v>4908</v>
      </c>
    </row>
    <row r="4467" spans="1:1" x14ac:dyDescent="0.25">
      <c r="A4467" s="66" t="s">
        <v>4909</v>
      </c>
    </row>
    <row r="4468" spans="1:1" x14ac:dyDescent="0.25">
      <c r="A4468" s="66" t="s">
        <v>4910</v>
      </c>
    </row>
    <row r="4469" spans="1:1" x14ac:dyDescent="0.25">
      <c r="A4469" s="56" t="s">
        <v>4911</v>
      </c>
    </row>
    <row r="4470" spans="1:1" x14ac:dyDescent="0.25">
      <c r="A4470" s="66" t="s">
        <v>4912</v>
      </c>
    </row>
    <row r="4471" spans="1:1" x14ac:dyDescent="0.25">
      <c r="A4471" s="56" t="s">
        <v>4913</v>
      </c>
    </row>
    <row r="4472" spans="1:1" x14ac:dyDescent="0.25">
      <c r="A4472" s="66" t="s">
        <v>4914</v>
      </c>
    </row>
    <row r="4473" spans="1:1" x14ac:dyDescent="0.25">
      <c r="A4473" s="66" t="s">
        <v>4915</v>
      </c>
    </row>
    <row r="4474" spans="1:1" x14ac:dyDescent="0.25">
      <c r="A4474" s="66" t="s">
        <v>4916</v>
      </c>
    </row>
    <row r="4475" spans="1:1" x14ac:dyDescent="0.25">
      <c r="A4475" s="66" t="s">
        <v>4917</v>
      </c>
    </row>
    <row r="4476" spans="1:1" x14ac:dyDescent="0.25">
      <c r="A4476" s="66" t="s">
        <v>4918</v>
      </c>
    </row>
    <row r="4477" spans="1:1" x14ac:dyDescent="0.25">
      <c r="A4477" s="66" t="s">
        <v>4919</v>
      </c>
    </row>
    <row r="4478" spans="1:1" x14ac:dyDescent="0.25">
      <c r="A4478" s="66" t="s">
        <v>4920</v>
      </c>
    </row>
    <row r="4479" spans="1:1" x14ac:dyDescent="0.25">
      <c r="A4479" s="66" t="s">
        <v>4921</v>
      </c>
    </row>
    <row r="4480" spans="1:1" x14ac:dyDescent="0.25">
      <c r="A4480" s="66" t="s">
        <v>4922</v>
      </c>
    </row>
    <row r="4481" spans="1:1" x14ac:dyDescent="0.25">
      <c r="A4481" s="66" t="s">
        <v>4923</v>
      </c>
    </row>
    <row r="4482" spans="1:1" x14ac:dyDescent="0.25">
      <c r="A4482" s="66" t="s">
        <v>4924</v>
      </c>
    </row>
    <row r="4483" spans="1:1" x14ac:dyDescent="0.25">
      <c r="A4483" s="66" t="s">
        <v>4925</v>
      </c>
    </row>
    <row r="4484" spans="1:1" x14ac:dyDescent="0.25">
      <c r="A4484" s="66" t="s">
        <v>4926</v>
      </c>
    </row>
    <row r="4485" spans="1:1" x14ac:dyDescent="0.25">
      <c r="A4485" s="66" t="s">
        <v>4927</v>
      </c>
    </row>
    <row r="4486" spans="1:1" x14ac:dyDescent="0.25">
      <c r="A4486" s="66" t="s">
        <v>4928</v>
      </c>
    </row>
    <row r="4487" spans="1:1" x14ac:dyDescent="0.25">
      <c r="A4487" s="66" t="s">
        <v>4929</v>
      </c>
    </row>
    <row r="4488" spans="1:1" x14ac:dyDescent="0.25">
      <c r="A4488" s="66" t="s">
        <v>4930</v>
      </c>
    </row>
    <row r="4489" spans="1:1" x14ac:dyDescent="0.25">
      <c r="A4489" s="66" t="s">
        <v>4931</v>
      </c>
    </row>
    <row r="4490" spans="1:1" x14ac:dyDescent="0.25">
      <c r="A4490" s="66" t="s">
        <v>4932</v>
      </c>
    </row>
    <row r="4491" spans="1:1" x14ac:dyDescent="0.25">
      <c r="A4491" s="66" t="s">
        <v>4933</v>
      </c>
    </row>
    <row r="4492" spans="1:1" x14ac:dyDescent="0.25">
      <c r="A4492" s="66" t="s">
        <v>4934</v>
      </c>
    </row>
    <row r="4493" spans="1:1" x14ac:dyDescent="0.25">
      <c r="A4493" s="66" t="s">
        <v>4935</v>
      </c>
    </row>
    <row r="4494" spans="1:1" x14ac:dyDescent="0.25">
      <c r="A4494" s="66" t="s">
        <v>4936</v>
      </c>
    </row>
    <row r="4495" spans="1:1" x14ac:dyDescent="0.25">
      <c r="A4495" s="66" t="s">
        <v>4937</v>
      </c>
    </row>
    <row r="4496" spans="1:1" x14ac:dyDescent="0.25">
      <c r="A4496" s="66" t="s">
        <v>4938</v>
      </c>
    </row>
    <row r="4497" spans="1:1" x14ac:dyDescent="0.25">
      <c r="A4497" s="66" t="s">
        <v>4939</v>
      </c>
    </row>
    <row r="4498" spans="1:1" x14ac:dyDescent="0.25">
      <c r="A4498" s="66" t="s">
        <v>4940</v>
      </c>
    </row>
    <row r="4499" spans="1:1" x14ac:dyDescent="0.25">
      <c r="A4499" s="66" t="s">
        <v>4941</v>
      </c>
    </row>
    <row r="4500" spans="1:1" x14ac:dyDescent="0.25">
      <c r="A4500" s="66" t="s">
        <v>4942</v>
      </c>
    </row>
    <row r="4501" spans="1:1" x14ac:dyDescent="0.25">
      <c r="A4501" s="66" t="s">
        <v>4943</v>
      </c>
    </row>
    <row r="4502" spans="1:1" x14ac:dyDescent="0.25">
      <c r="A4502" s="66" t="s">
        <v>4944</v>
      </c>
    </row>
    <row r="4503" spans="1:1" x14ac:dyDescent="0.25">
      <c r="A4503" s="66" t="s">
        <v>4945</v>
      </c>
    </row>
    <row r="4504" spans="1:1" x14ac:dyDescent="0.25">
      <c r="A4504" s="66" t="s">
        <v>4946</v>
      </c>
    </row>
    <row r="4505" spans="1:1" x14ac:dyDescent="0.25">
      <c r="A4505" s="66" t="s">
        <v>4947</v>
      </c>
    </row>
    <row r="4506" spans="1:1" x14ac:dyDescent="0.25">
      <c r="A4506" s="66" t="s">
        <v>4948</v>
      </c>
    </row>
    <row r="4507" spans="1:1" x14ac:dyDescent="0.25">
      <c r="A4507" s="66" t="s">
        <v>4949</v>
      </c>
    </row>
    <row r="4508" spans="1:1" x14ac:dyDescent="0.25">
      <c r="A4508" s="66" t="s">
        <v>4950</v>
      </c>
    </row>
    <row r="4509" spans="1:1" x14ac:dyDescent="0.25">
      <c r="A4509" s="66" t="s">
        <v>4951</v>
      </c>
    </row>
    <row r="4510" spans="1:1" x14ac:dyDescent="0.25">
      <c r="A4510" s="66" t="s">
        <v>4952</v>
      </c>
    </row>
    <row r="4511" spans="1:1" x14ac:dyDescent="0.25">
      <c r="A4511" s="66" t="s">
        <v>4953</v>
      </c>
    </row>
    <row r="4512" spans="1:1" x14ac:dyDescent="0.25">
      <c r="A4512" s="66" t="s">
        <v>4954</v>
      </c>
    </row>
    <row r="4513" spans="1:1" x14ac:dyDescent="0.25">
      <c r="A4513" s="66" t="s">
        <v>4955</v>
      </c>
    </row>
    <row r="4514" spans="1:1" x14ac:dyDescent="0.25">
      <c r="A4514" s="66" t="s">
        <v>4956</v>
      </c>
    </row>
    <row r="4515" spans="1:1" x14ac:dyDescent="0.25">
      <c r="A4515" s="66" t="s">
        <v>4957</v>
      </c>
    </row>
    <row r="4516" spans="1:1" x14ac:dyDescent="0.25">
      <c r="A4516" s="66" t="s">
        <v>4958</v>
      </c>
    </row>
    <row r="4517" spans="1:1" x14ac:dyDescent="0.25">
      <c r="A4517" s="66" t="s">
        <v>4959</v>
      </c>
    </row>
    <row r="4518" spans="1:1" x14ac:dyDescent="0.25">
      <c r="A4518" s="66" t="s">
        <v>4960</v>
      </c>
    </row>
    <row r="4519" spans="1:1" x14ac:dyDescent="0.25">
      <c r="A4519" s="66" t="s">
        <v>4961</v>
      </c>
    </row>
    <row r="4520" spans="1:1" x14ac:dyDescent="0.25">
      <c r="A4520" s="66" t="s">
        <v>4962</v>
      </c>
    </row>
    <row r="4521" spans="1:1" x14ac:dyDescent="0.25">
      <c r="A4521" s="66" t="s">
        <v>4963</v>
      </c>
    </row>
    <row r="4522" spans="1:1" x14ac:dyDescent="0.25">
      <c r="A4522" s="66" t="s">
        <v>4964</v>
      </c>
    </row>
    <row r="4523" spans="1:1" x14ac:dyDescent="0.25">
      <c r="A4523" s="66" t="s">
        <v>4965</v>
      </c>
    </row>
    <row r="4524" spans="1:1" x14ac:dyDescent="0.25">
      <c r="A4524" s="66" t="s">
        <v>4966</v>
      </c>
    </row>
    <row r="4525" spans="1:1" x14ac:dyDescent="0.25">
      <c r="A4525" s="66" t="s">
        <v>4967</v>
      </c>
    </row>
    <row r="4526" spans="1:1" x14ac:dyDescent="0.25">
      <c r="A4526" s="66" t="s">
        <v>4968</v>
      </c>
    </row>
    <row r="4527" spans="1:1" x14ac:dyDescent="0.25">
      <c r="A4527" s="66" t="s">
        <v>4969</v>
      </c>
    </row>
    <row r="4528" spans="1:1" x14ac:dyDescent="0.25">
      <c r="A4528" s="66" t="s">
        <v>4970</v>
      </c>
    </row>
    <row r="4529" spans="1:1" x14ac:dyDescent="0.25">
      <c r="A4529" s="66" t="s">
        <v>4971</v>
      </c>
    </row>
    <row r="4530" spans="1:1" x14ac:dyDescent="0.25">
      <c r="A4530" s="66" t="s">
        <v>4972</v>
      </c>
    </row>
    <row r="4531" spans="1:1" x14ac:dyDescent="0.25">
      <c r="A4531" s="66" t="s">
        <v>4973</v>
      </c>
    </row>
    <row r="4532" spans="1:1" x14ac:dyDescent="0.25">
      <c r="A4532" s="66" t="s">
        <v>4974</v>
      </c>
    </row>
    <row r="4533" spans="1:1" x14ac:dyDescent="0.25">
      <c r="A4533" s="56" t="s">
        <v>4975</v>
      </c>
    </row>
    <row r="4534" spans="1:1" x14ac:dyDescent="0.25">
      <c r="A4534" s="66" t="s">
        <v>4976</v>
      </c>
    </row>
    <row r="4535" spans="1:1" x14ac:dyDescent="0.25">
      <c r="A4535" s="56" t="s">
        <v>4977</v>
      </c>
    </row>
    <row r="4536" spans="1:1" x14ac:dyDescent="0.25">
      <c r="A4536" s="66" t="s">
        <v>4978</v>
      </c>
    </row>
    <row r="4537" spans="1:1" x14ac:dyDescent="0.25">
      <c r="A4537" s="66" t="s">
        <v>4979</v>
      </c>
    </row>
    <row r="4538" spans="1:1" x14ac:dyDescent="0.25">
      <c r="A4538" s="66" t="s">
        <v>4980</v>
      </c>
    </row>
    <row r="4539" spans="1:1" x14ac:dyDescent="0.25">
      <c r="A4539" s="66" t="s">
        <v>4981</v>
      </c>
    </row>
    <row r="4540" spans="1:1" x14ac:dyDescent="0.25">
      <c r="A4540" s="66" t="s">
        <v>4982</v>
      </c>
    </row>
    <row r="4541" spans="1:1" x14ac:dyDescent="0.25">
      <c r="A4541" s="66" t="s">
        <v>4983</v>
      </c>
    </row>
    <row r="4542" spans="1:1" x14ac:dyDescent="0.25">
      <c r="A4542" s="66" t="s">
        <v>4984</v>
      </c>
    </row>
    <row r="4543" spans="1:1" x14ac:dyDescent="0.25">
      <c r="A4543" s="66" t="s">
        <v>4985</v>
      </c>
    </row>
    <row r="4544" spans="1:1" x14ac:dyDescent="0.25">
      <c r="A4544" s="66" t="s">
        <v>4986</v>
      </c>
    </row>
    <row r="4545" spans="1:1" x14ac:dyDescent="0.25">
      <c r="A4545" s="66" t="s">
        <v>4987</v>
      </c>
    </row>
    <row r="4546" spans="1:1" x14ac:dyDescent="0.25">
      <c r="A4546" s="66" t="s">
        <v>4988</v>
      </c>
    </row>
    <row r="4547" spans="1:1" x14ac:dyDescent="0.25">
      <c r="A4547" s="66" t="s">
        <v>4989</v>
      </c>
    </row>
    <row r="4548" spans="1:1" x14ac:dyDescent="0.25">
      <c r="A4548" s="66" t="s">
        <v>4990</v>
      </c>
    </row>
    <row r="4549" spans="1:1" x14ac:dyDescent="0.25">
      <c r="A4549" s="66" t="s">
        <v>4991</v>
      </c>
    </row>
    <row r="4550" spans="1:1" x14ac:dyDescent="0.25">
      <c r="A4550" s="66" t="s">
        <v>4992</v>
      </c>
    </row>
    <row r="4551" spans="1:1" x14ac:dyDescent="0.25">
      <c r="A4551" s="66" t="s">
        <v>4993</v>
      </c>
    </row>
    <row r="4552" spans="1:1" x14ac:dyDescent="0.25">
      <c r="A4552" s="66" t="s">
        <v>4994</v>
      </c>
    </row>
    <row r="4553" spans="1:1" x14ac:dyDescent="0.25">
      <c r="A4553" s="66" t="s">
        <v>4995</v>
      </c>
    </row>
    <row r="4554" spans="1:1" x14ac:dyDescent="0.25">
      <c r="A4554" s="67" t="s">
        <v>4996</v>
      </c>
    </row>
    <row r="4555" spans="1:1" x14ac:dyDescent="0.25">
      <c r="A4555" s="66" t="s">
        <v>4997</v>
      </c>
    </row>
    <row r="4556" spans="1:1" x14ac:dyDescent="0.25">
      <c r="A4556" s="66" t="s">
        <v>4998</v>
      </c>
    </row>
    <row r="4557" spans="1:1" x14ac:dyDescent="0.25">
      <c r="A4557" s="66" t="s">
        <v>4999</v>
      </c>
    </row>
    <row r="4558" spans="1:1" x14ac:dyDescent="0.25">
      <c r="A4558" s="66" t="s">
        <v>5000</v>
      </c>
    </row>
    <row r="4559" spans="1:1" x14ac:dyDescent="0.25">
      <c r="A4559" s="67" t="s">
        <v>5001</v>
      </c>
    </row>
    <row r="4560" spans="1:1" x14ac:dyDescent="0.25">
      <c r="A4560" s="67" t="s">
        <v>5002</v>
      </c>
    </row>
    <row r="4561" spans="1:1" x14ac:dyDescent="0.25">
      <c r="A4561" s="56" t="s">
        <v>5003</v>
      </c>
    </row>
    <row r="4562" spans="1:1" x14ac:dyDescent="0.25">
      <c r="A4562" s="66" t="s">
        <v>5004</v>
      </c>
    </row>
    <row r="4563" spans="1:1" x14ac:dyDescent="0.25">
      <c r="A4563" s="66" t="s">
        <v>5005</v>
      </c>
    </row>
    <row r="4564" spans="1:1" x14ac:dyDescent="0.25">
      <c r="A4564" s="66" t="s">
        <v>5006</v>
      </c>
    </row>
    <row r="4565" spans="1:1" x14ac:dyDescent="0.25">
      <c r="A4565" s="66" t="s">
        <v>5007</v>
      </c>
    </row>
    <row r="4566" spans="1:1" x14ac:dyDescent="0.25">
      <c r="A4566" s="67" t="s">
        <v>5008</v>
      </c>
    </row>
    <row r="4567" spans="1:1" x14ac:dyDescent="0.25">
      <c r="A4567" s="67" t="s">
        <v>5009</v>
      </c>
    </row>
    <row r="4568" spans="1:1" x14ac:dyDescent="0.25">
      <c r="A4568" s="56" t="s">
        <v>5010</v>
      </c>
    </row>
    <row r="4569" spans="1:1" x14ac:dyDescent="0.25">
      <c r="A4569" s="66" t="s">
        <v>5011</v>
      </c>
    </row>
    <row r="4570" spans="1:1" x14ac:dyDescent="0.25">
      <c r="A4570" s="66" t="s">
        <v>5012</v>
      </c>
    </row>
    <row r="4571" spans="1:1" x14ac:dyDescent="0.25">
      <c r="A4571" s="66" t="s">
        <v>5013</v>
      </c>
    </row>
    <row r="4572" spans="1:1" x14ac:dyDescent="0.25">
      <c r="A4572" s="66" t="s">
        <v>5014</v>
      </c>
    </row>
    <row r="4573" spans="1:1" x14ac:dyDescent="0.25">
      <c r="A4573" s="67" t="s">
        <v>5015</v>
      </c>
    </row>
    <row r="4574" spans="1:1" x14ac:dyDescent="0.25">
      <c r="A4574" s="67" t="s">
        <v>5016</v>
      </c>
    </row>
    <row r="4575" spans="1:1" x14ac:dyDescent="0.25">
      <c r="A4575" s="56" t="s">
        <v>5017</v>
      </c>
    </row>
    <row r="4576" spans="1:1" x14ac:dyDescent="0.25">
      <c r="A4576" s="66" t="s">
        <v>5018</v>
      </c>
    </row>
    <row r="4577" spans="1:1" x14ac:dyDescent="0.25">
      <c r="A4577" s="66" t="s">
        <v>5019</v>
      </c>
    </row>
    <row r="4578" spans="1:1" x14ac:dyDescent="0.25">
      <c r="A4578" s="66" t="s">
        <v>5020</v>
      </c>
    </row>
    <row r="4579" spans="1:1" x14ac:dyDescent="0.25">
      <c r="A4579" s="66" t="s">
        <v>5021</v>
      </c>
    </row>
    <row r="4580" spans="1:1" x14ac:dyDescent="0.25">
      <c r="A4580" s="67" t="s">
        <v>5022</v>
      </c>
    </row>
    <row r="4581" spans="1:1" x14ac:dyDescent="0.25">
      <c r="A4581" s="67" t="s">
        <v>5023</v>
      </c>
    </row>
    <row r="4582" spans="1:1" x14ac:dyDescent="0.25">
      <c r="A4582" s="56" t="s">
        <v>5024</v>
      </c>
    </row>
    <row r="4583" spans="1:1" x14ac:dyDescent="0.25">
      <c r="A4583" s="66" t="s">
        <v>5025</v>
      </c>
    </row>
    <row r="4584" spans="1:1" x14ac:dyDescent="0.25">
      <c r="A4584" s="66" t="s">
        <v>5026</v>
      </c>
    </row>
    <row r="4585" spans="1:1" x14ac:dyDescent="0.25">
      <c r="A4585" s="66" t="s">
        <v>5027</v>
      </c>
    </row>
    <row r="4586" spans="1:1" x14ac:dyDescent="0.25">
      <c r="A4586" s="66" t="s">
        <v>5028</v>
      </c>
    </row>
    <row r="4587" spans="1:1" x14ac:dyDescent="0.25">
      <c r="A4587" s="67" t="s">
        <v>5029</v>
      </c>
    </row>
    <row r="4588" spans="1:1" x14ac:dyDescent="0.25">
      <c r="A4588" s="67" t="s">
        <v>5030</v>
      </c>
    </row>
    <row r="4589" spans="1:1" x14ac:dyDescent="0.25">
      <c r="A4589" s="56" t="s">
        <v>5031</v>
      </c>
    </row>
    <row r="4590" spans="1:1" x14ac:dyDescent="0.25">
      <c r="A4590" s="66" t="s">
        <v>5032</v>
      </c>
    </row>
    <row r="4591" spans="1:1" x14ac:dyDescent="0.25">
      <c r="A4591" s="66" t="s">
        <v>5033</v>
      </c>
    </row>
    <row r="4592" spans="1:1" x14ac:dyDescent="0.25">
      <c r="A4592" s="66" t="s">
        <v>5034</v>
      </c>
    </row>
    <row r="4593" spans="1:1" x14ac:dyDescent="0.25">
      <c r="A4593" s="66" t="s">
        <v>5035</v>
      </c>
    </row>
    <row r="4594" spans="1:1" x14ac:dyDescent="0.25">
      <c r="A4594" s="67" t="s">
        <v>5036</v>
      </c>
    </row>
    <row r="4595" spans="1:1" x14ac:dyDescent="0.25">
      <c r="A4595" s="67" t="s">
        <v>5037</v>
      </c>
    </row>
    <row r="4596" spans="1:1" x14ac:dyDescent="0.25">
      <c r="A4596" s="56" t="s">
        <v>5038</v>
      </c>
    </row>
    <row r="4597" spans="1:1" x14ac:dyDescent="0.25">
      <c r="A4597" s="66" t="s">
        <v>5039</v>
      </c>
    </row>
    <row r="4598" spans="1:1" x14ac:dyDescent="0.25">
      <c r="A4598" s="66" t="s">
        <v>5040</v>
      </c>
    </row>
    <row r="4599" spans="1:1" x14ac:dyDescent="0.25">
      <c r="A4599" s="66" t="s">
        <v>5041</v>
      </c>
    </row>
    <row r="4600" spans="1:1" x14ac:dyDescent="0.25">
      <c r="A4600" s="66" t="s">
        <v>5042</v>
      </c>
    </row>
    <row r="4601" spans="1:1" x14ac:dyDescent="0.25">
      <c r="A4601" s="67" t="s">
        <v>5043</v>
      </c>
    </row>
    <row r="4602" spans="1:1" x14ac:dyDescent="0.25">
      <c r="A4602" s="67" t="s">
        <v>5044</v>
      </c>
    </row>
    <row r="4603" spans="1:1" x14ac:dyDescent="0.25">
      <c r="A4603" s="56" t="s">
        <v>5045</v>
      </c>
    </row>
    <row r="4604" spans="1:1" x14ac:dyDescent="0.25">
      <c r="A4604" s="66" t="s">
        <v>5046</v>
      </c>
    </row>
    <row r="4605" spans="1:1" x14ac:dyDescent="0.25">
      <c r="A4605" s="66" t="s">
        <v>5047</v>
      </c>
    </row>
    <row r="4606" spans="1:1" x14ac:dyDescent="0.25">
      <c r="A4606" s="66" t="s">
        <v>5048</v>
      </c>
    </row>
    <row r="4607" spans="1:1" x14ac:dyDescent="0.25">
      <c r="A4607" s="66" t="s">
        <v>5049</v>
      </c>
    </row>
    <row r="4608" spans="1:1" x14ac:dyDescent="0.25">
      <c r="A4608" s="67" t="s">
        <v>5050</v>
      </c>
    </row>
    <row r="4609" spans="1:1" x14ac:dyDescent="0.25">
      <c r="A4609" s="67" t="s">
        <v>5051</v>
      </c>
    </row>
    <row r="4610" spans="1:1" x14ac:dyDescent="0.25">
      <c r="A4610" s="56" t="s">
        <v>5052</v>
      </c>
    </row>
    <row r="4611" spans="1:1" x14ac:dyDescent="0.25">
      <c r="A4611" s="66" t="s">
        <v>5053</v>
      </c>
    </row>
    <row r="4612" spans="1:1" x14ac:dyDescent="0.25">
      <c r="A4612" s="66" t="s">
        <v>5054</v>
      </c>
    </row>
    <row r="4613" spans="1:1" x14ac:dyDescent="0.25">
      <c r="A4613" s="66" t="s">
        <v>5055</v>
      </c>
    </row>
    <row r="4614" spans="1:1" x14ac:dyDescent="0.25">
      <c r="A4614" s="66" t="s">
        <v>5056</v>
      </c>
    </row>
    <row r="4615" spans="1:1" x14ac:dyDescent="0.25">
      <c r="A4615" s="67" t="s">
        <v>5057</v>
      </c>
    </row>
    <row r="4616" spans="1:1" x14ac:dyDescent="0.25">
      <c r="A4616" s="67" t="s">
        <v>5058</v>
      </c>
    </row>
    <row r="4617" spans="1:1" x14ac:dyDescent="0.25">
      <c r="A4617" s="56" t="s">
        <v>5059</v>
      </c>
    </row>
    <row r="4618" spans="1:1" x14ac:dyDescent="0.25">
      <c r="A4618" s="66" t="s">
        <v>5060</v>
      </c>
    </row>
    <row r="4619" spans="1:1" x14ac:dyDescent="0.25">
      <c r="A4619" s="66" t="s">
        <v>5061</v>
      </c>
    </row>
    <row r="4620" spans="1:1" x14ac:dyDescent="0.25">
      <c r="A4620" s="66" t="s">
        <v>5062</v>
      </c>
    </row>
    <row r="4621" spans="1:1" x14ac:dyDescent="0.25">
      <c r="A4621" s="66" t="s">
        <v>5063</v>
      </c>
    </row>
    <row r="4622" spans="1:1" x14ac:dyDescent="0.25">
      <c r="A4622" s="67" t="s">
        <v>5064</v>
      </c>
    </row>
    <row r="4623" spans="1:1" x14ac:dyDescent="0.25">
      <c r="A4623" s="67" t="s">
        <v>5065</v>
      </c>
    </row>
    <row r="4624" spans="1:1" x14ac:dyDescent="0.25">
      <c r="A4624" s="56" t="s">
        <v>5066</v>
      </c>
    </row>
    <row r="4625" spans="1:1" x14ac:dyDescent="0.25">
      <c r="A4625" s="66" t="s">
        <v>5067</v>
      </c>
    </row>
    <row r="4626" spans="1:1" x14ac:dyDescent="0.25">
      <c r="A4626" s="66" t="s">
        <v>5068</v>
      </c>
    </row>
    <row r="4627" spans="1:1" x14ac:dyDescent="0.25">
      <c r="A4627" s="66" t="s">
        <v>5069</v>
      </c>
    </row>
    <row r="4628" spans="1:1" x14ac:dyDescent="0.25">
      <c r="A4628" s="66" t="s">
        <v>5070</v>
      </c>
    </row>
    <row r="4629" spans="1:1" x14ac:dyDescent="0.25">
      <c r="A4629" s="67" t="s">
        <v>5071</v>
      </c>
    </row>
    <row r="4630" spans="1:1" x14ac:dyDescent="0.25">
      <c r="A4630" s="67" t="s">
        <v>5072</v>
      </c>
    </row>
    <row r="4631" spans="1:1" x14ac:dyDescent="0.25">
      <c r="A4631" s="56" t="s">
        <v>5073</v>
      </c>
    </row>
    <row r="4632" spans="1:1" x14ac:dyDescent="0.25">
      <c r="A4632" s="66" t="s">
        <v>5074</v>
      </c>
    </row>
    <row r="4633" spans="1:1" x14ac:dyDescent="0.25">
      <c r="A4633" s="66" t="s">
        <v>5075</v>
      </c>
    </row>
    <row r="4634" spans="1:1" x14ac:dyDescent="0.25">
      <c r="A4634" s="66" t="s">
        <v>5076</v>
      </c>
    </row>
    <row r="4635" spans="1:1" x14ac:dyDescent="0.25">
      <c r="A4635" s="66" t="s">
        <v>5077</v>
      </c>
    </row>
    <row r="4636" spans="1:1" x14ac:dyDescent="0.25">
      <c r="A4636" s="67" t="s">
        <v>5078</v>
      </c>
    </row>
    <row r="4637" spans="1:1" x14ac:dyDescent="0.25">
      <c r="A4637" s="67" t="s">
        <v>5079</v>
      </c>
    </row>
    <row r="4638" spans="1:1" x14ac:dyDescent="0.25">
      <c r="A4638" s="56" t="s">
        <v>5080</v>
      </c>
    </row>
    <row r="4639" spans="1:1" x14ac:dyDescent="0.25">
      <c r="A4639" s="66" t="s">
        <v>5081</v>
      </c>
    </row>
    <row r="4640" spans="1:1" x14ac:dyDescent="0.25">
      <c r="A4640" s="66" t="s">
        <v>5082</v>
      </c>
    </row>
    <row r="4641" spans="1:1" x14ac:dyDescent="0.25">
      <c r="A4641" s="66" t="s">
        <v>5083</v>
      </c>
    </row>
    <row r="4642" spans="1:1" x14ac:dyDescent="0.25">
      <c r="A4642" s="66" t="s">
        <v>5084</v>
      </c>
    </row>
    <row r="4643" spans="1:1" x14ac:dyDescent="0.25">
      <c r="A4643" s="67" t="s">
        <v>5085</v>
      </c>
    </row>
    <row r="4644" spans="1:1" x14ac:dyDescent="0.25">
      <c r="A4644" s="67" t="s">
        <v>5086</v>
      </c>
    </row>
    <row r="4645" spans="1:1" x14ac:dyDescent="0.25">
      <c r="A4645" s="56" t="s">
        <v>5087</v>
      </c>
    </row>
    <row r="4646" spans="1:1" x14ac:dyDescent="0.25">
      <c r="A4646" s="66" t="s">
        <v>5088</v>
      </c>
    </row>
    <row r="4647" spans="1:1" x14ac:dyDescent="0.25">
      <c r="A4647" s="66" t="s">
        <v>5089</v>
      </c>
    </row>
    <row r="4648" spans="1:1" x14ac:dyDescent="0.25">
      <c r="A4648" s="66" t="s">
        <v>5090</v>
      </c>
    </row>
    <row r="4649" spans="1:1" x14ac:dyDescent="0.25">
      <c r="A4649" s="66" t="s">
        <v>5091</v>
      </c>
    </row>
    <row r="4650" spans="1:1" x14ac:dyDescent="0.25">
      <c r="A4650" s="67" t="s">
        <v>5092</v>
      </c>
    </row>
    <row r="4651" spans="1:1" x14ac:dyDescent="0.25">
      <c r="A4651" s="67" t="s">
        <v>5093</v>
      </c>
    </row>
    <row r="4652" spans="1:1" x14ac:dyDescent="0.25">
      <c r="A4652" s="56" t="s">
        <v>5094</v>
      </c>
    </row>
    <row r="4653" spans="1:1" x14ac:dyDescent="0.25">
      <c r="A4653" s="66" t="s">
        <v>5095</v>
      </c>
    </row>
    <row r="4654" spans="1:1" x14ac:dyDescent="0.25">
      <c r="A4654" s="66" t="s">
        <v>5096</v>
      </c>
    </row>
    <row r="4655" spans="1:1" x14ac:dyDescent="0.25">
      <c r="A4655" s="66" t="s">
        <v>5097</v>
      </c>
    </row>
    <row r="4656" spans="1:1" x14ac:dyDescent="0.25">
      <c r="A4656" s="66" t="s">
        <v>5098</v>
      </c>
    </row>
    <row r="4657" spans="1:1" x14ac:dyDescent="0.25">
      <c r="A4657" s="67" t="s">
        <v>5099</v>
      </c>
    </row>
    <row r="4658" spans="1:1" x14ac:dyDescent="0.25">
      <c r="A4658" s="67" t="s">
        <v>5100</v>
      </c>
    </row>
    <row r="4659" spans="1:1" x14ac:dyDescent="0.25">
      <c r="A4659" s="56" t="s">
        <v>5101</v>
      </c>
    </row>
    <row r="4660" spans="1:1" x14ac:dyDescent="0.25">
      <c r="A4660" s="66" t="s">
        <v>5102</v>
      </c>
    </row>
    <row r="4661" spans="1:1" x14ac:dyDescent="0.25">
      <c r="A4661" s="66" t="s">
        <v>5103</v>
      </c>
    </row>
    <row r="4662" spans="1:1" x14ac:dyDescent="0.25">
      <c r="A4662" s="66" t="s">
        <v>5104</v>
      </c>
    </row>
    <row r="4663" spans="1:1" x14ac:dyDescent="0.25">
      <c r="A4663" s="66" t="s">
        <v>5105</v>
      </c>
    </row>
    <row r="4664" spans="1:1" x14ac:dyDescent="0.25">
      <c r="A4664" s="67" t="s">
        <v>5106</v>
      </c>
    </row>
    <row r="4665" spans="1:1" x14ac:dyDescent="0.25">
      <c r="A4665" s="67" t="s">
        <v>5107</v>
      </c>
    </row>
    <row r="4666" spans="1:1" x14ac:dyDescent="0.25">
      <c r="A4666" s="56" t="s">
        <v>5108</v>
      </c>
    </row>
    <row r="4667" spans="1:1" x14ac:dyDescent="0.25">
      <c r="A4667" s="66" t="s">
        <v>5109</v>
      </c>
    </row>
    <row r="4668" spans="1:1" x14ac:dyDescent="0.25">
      <c r="A4668" s="66" t="s">
        <v>5110</v>
      </c>
    </row>
    <row r="4669" spans="1:1" x14ac:dyDescent="0.25">
      <c r="A4669" s="66" t="s">
        <v>5111</v>
      </c>
    </row>
    <row r="4670" spans="1:1" x14ac:dyDescent="0.25">
      <c r="A4670" s="66" t="s">
        <v>5112</v>
      </c>
    </row>
    <row r="4671" spans="1:1" x14ac:dyDescent="0.25">
      <c r="A4671" s="66" t="s">
        <v>5113</v>
      </c>
    </row>
    <row r="4672" spans="1:1" x14ac:dyDescent="0.25">
      <c r="A4672" s="66" t="s">
        <v>5114</v>
      </c>
    </row>
    <row r="4673" spans="1:1" x14ac:dyDescent="0.25">
      <c r="A4673" s="66" t="s">
        <v>5115</v>
      </c>
    </row>
    <row r="4674" spans="1:1" x14ac:dyDescent="0.25">
      <c r="A4674" s="66" t="s">
        <v>5116</v>
      </c>
    </row>
    <row r="4675" spans="1:1" x14ac:dyDescent="0.25">
      <c r="A4675" s="66" t="s">
        <v>5117</v>
      </c>
    </row>
    <row r="4676" spans="1:1" x14ac:dyDescent="0.25">
      <c r="A4676" s="66" t="s">
        <v>5118</v>
      </c>
    </row>
    <row r="4677" spans="1:1" x14ac:dyDescent="0.25">
      <c r="A4677" s="66" t="s">
        <v>5119</v>
      </c>
    </row>
    <row r="4678" spans="1:1" x14ac:dyDescent="0.25">
      <c r="A4678" s="66" t="s">
        <v>5120</v>
      </c>
    </row>
    <row r="4679" spans="1:1" x14ac:dyDescent="0.25">
      <c r="A4679" s="66" t="s">
        <v>5121</v>
      </c>
    </row>
    <row r="4680" spans="1:1" x14ac:dyDescent="0.25">
      <c r="A4680" s="66" t="s">
        <v>5122</v>
      </c>
    </row>
    <row r="4681" spans="1:1" x14ac:dyDescent="0.25">
      <c r="A4681" s="66" t="s">
        <v>5123</v>
      </c>
    </row>
    <row r="4682" spans="1:1" x14ac:dyDescent="0.25">
      <c r="A4682" s="66" t="s">
        <v>5124</v>
      </c>
    </row>
    <row r="4683" spans="1:1" x14ac:dyDescent="0.25">
      <c r="A4683" s="66" t="s">
        <v>5125</v>
      </c>
    </row>
    <row r="4684" spans="1:1" x14ac:dyDescent="0.25">
      <c r="A4684" s="66" t="s">
        <v>5126</v>
      </c>
    </row>
    <row r="4685" spans="1:1" x14ac:dyDescent="0.25">
      <c r="A4685" s="66" t="s">
        <v>5127</v>
      </c>
    </row>
    <row r="4686" spans="1:1" x14ac:dyDescent="0.25">
      <c r="A4686" s="66" t="s">
        <v>5128</v>
      </c>
    </row>
    <row r="4687" spans="1:1" x14ac:dyDescent="0.25">
      <c r="A4687" s="66" t="s">
        <v>5129</v>
      </c>
    </row>
    <row r="4688" spans="1:1" x14ac:dyDescent="0.25">
      <c r="A4688" s="66" t="s">
        <v>5130</v>
      </c>
    </row>
    <row r="4689" spans="1:1" x14ac:dyDescent="0.25">
      <c r="A4689" s="66" t="s">
        <v>5131</v>
      </c>
    </row>
    <row r="4690" spans="1:1" x14ac:dyDescent="0.25">
      <c r="A4690" s="66" t="s">
        <v>5132</v>
      </c>
    </row>
    <row r="4691" spans="1:1" x14ac:dyDescent="0.25">
      <c r="A4691" s="66" t="s">
        <v>5133</v>
      </c>
    </row>
    <row r="4692" spans="1:1" x14ac:dyDescent="0.25">
      <c r="A4692" s="66" t="s">
        <v>5134</v>
      </c>
    </row>
    <row r="4693" spans="1:1" x14ac:dyDescent="0.25">
      <c r="A4693" s="66" t="s">
        <v>5135</v>
      </c>
    </row>
    <row r="4694" spans="1:1" x14ac:dyDescent="0.25">
      <c r="A4694" s="66" t="s">
        <v>5136</v>
      </c>
    </row>
    <row r="4695" spans="1:1" x14ac:dyDescent="0.25">
      <c r="A4695" s="66" t="s">
        <v>5137</v>
      </c>
    </row>
    <row r="4696" spans="1:1" x14ac:dyDescent="0.25">
      <c r="A4696" s="66" t="s">
        <v>5138</v>
      </c>
    </row>
    <row r="4697" spans="1:1" x14ac:dyDescent="0.25">
      <c r="A4697" s="66" t="s">
        <v>5139</v>
      </c>
    </row>
    <row r="4698" spans="1:1" x14ac:dyDescent="0.25">
      <c r="A4698" s="66" t="s">
        <v>5140</v>
      </c>
    </row>
    <row r="4699" spans="1:1" x14ac:dyDescent="0.25">
      <c r="A4699" s="66" t="s">
        <v>5141</v>
      </c>
    </row>
    <row r="4700" spans="1:1" x14ac:dyDescent="0.25">
      <c r="A4700" s="66" t="s">
        <v>5142</v>
      </c>
    </row>
    <row r="4701" spans="1:1" x14ac:dyDescent="0.25">
      <c r="A4701" s="66" t="s">
        <v>5143</v>
      </c>
    </row>
    <row r="4702" spans="1:1" x14ac:dyDescent="0.25">
      <c r="A4702" s="66" t="s">
        <v>5144</v>
      </c>
    </row>
    <row r="4703" spans="1:1" x14ac:dyDescent="0.25">
      <c r="A4703" s="66" t="s">
        <v>5145</v>
      </c>
    </row>
    <row r="4704" spans="1:1" x14ac:dyDescent="0.25">
      <c r="A4704" s="66" t="s">
        <v>5146</v>
      </c>
    </row>
    <row r="4705" spans="1:1" x14ac:dyDescent="0.25">
      <c r="A4705" s="66" t="s">
        <v>5147</v>
      </c>
    </row>
    <row r="4706" spans="1:1" x14ac:dyDescent="0.25">
      <c r="A4706" s="66" t="s">
        <v>5148</v>
      </c>
    </row>
    <row r="4707" spans="1:1" x14ac:dyDescent="0.25">
      <c r="A4707" s="66" t="s">
        <v>5149</v>
      </c>
    </row>
    <row r="4708" spans="1:1" x14ac:dyDescent="0.25">
      <c r="A4708" s="66" t="s">
        <v>5150</v>
      </c>
    </row>
    <row r="4709" spans="1:1" x14ac:dyDescent="0.25">
      <c r="A4709" s="66" t="s">
        <v>5151</v>
      </c>
    </row>
    <row r="4710" spans="1:1" x14ac:dyDescent="0.25">
      <c r="A4710" s="66" t="s">
        <v>5152</v>
      </c>
    </row>
    <row r="4711" spans="1:1" x14ac:dyDescent="0.25">
      <c r="A4711" s="66" t="s">
        <v>5153</v>
      </c>
    </row>
    <row r="4712" spans="1:1" x14ac:dyDescent="0.25">
      <c r="A4712" s="66" t="s">
        <v>5154</v>
      </c>
    </row>
    <row r="4713" spans="1:1" x14ac:dyDescent="0.25">
      <c r="A4713" s="66" t="s">
        <v>5155</v>
      </c>
    </row>
    <row r="4714" spans="1:1" x14ac:dyDescent="0.25">
      <c r="A4714" s="66" t="s">
        <v>5156</v>
      </c>
    </row>
    <row r="4715" spans="1:1" x14ac:dyDescent="0.25">
      <c r="A4715" s="66" t="s">
        <v>5157</v>
      </c>
    </row>
    <row r="4716" spans="1:1" x14ac:dyDescent="0.25">
      <c r="A4716" s="66" t="s">
        <v>5158</v>
      </c>
    </row>
    <row r="4717" spans="1:1" x14ac:dyDescent="0.25">
      <c r="A4717" s="66" t="s">
        <v>5159</v>
      </c>
    </row>
    <row r="4718" spans="1:1" x14ac:dyDescent="0.25">
      <c r="A4718" s="66" t="s">
        <v>5160</v>
      </c>
    </row>
    <row r="4719" spans="1:1" x14ac:dyDescent="0.25">
      <c r="A4719" s="66" t="s">
        <v>5161</v>
      </c>
    </row>
    <row r="4720" spans="1:1" x14ac:dyDescent="0.25">
      <c r="A4720" s="66" t="s">
        <v>5162</v>
      </c>
    </row>
    <row r="4721" spans="1:1" x14ac:dyDescent="0.25">
      <c r="A4721" s="66" t="s">
        <v>5163</v>
      </c>
    </row>
    <row r="4722" spans="1:1" x14ac:dyDescent="0.25">
      <c r="A4722" s="66" t="s">
        <v>5164</v>
      </c>
    </row>
    <row r="4723" spans="1:1" x14ac:dyDescent="0.25">
      <c r="A4723" s="66" t="s">
        <v>5165</v>
      </c>
    </row>
    <row r="4724" spans="1:1" x14ac:dyDescent="0.25">
      <c r="A4724" s="66" t="s">
        <v>5166</v>
      </c>
    </row>
    <row r="4725" spans="1:1" x14ac:dyDescent="0.25">
      <c r="A4725" s="66" t="s">
        <v>5167</v>
      </c>
    </row>
    <row r="4726" spans="1:1" x14ac:dyDescent="0.25">
      <c r="A4726" s="66" t="s">
        <v>5168</v>
      </c>
    </row>
    <row r="4727" spans="1:1" x14ac:dyDescent="0.25">
      <c r="A4727" s="66" t="s">
        <v>5169</v>
      </c>
    </row>
    <row r="4728" spans="1:1" x14ac:dyDescent="0.25">
      <c r="A4728" s="66" t="s">
        <v>5170</v>
      </c>
    </row>
    <row r="4729" spans="1:1" x14ac:dyDescent="0.25">
      <c r="A4729" s="66" t="s">
        <v>5171</v>
      </c>
    </row>
    <row r="4730" spans="1:1" x14ac:dyDescent="0.25">
      <c r="A4730" s="66" t="s">
        <v>5172</v>
      </c>
    </row>
    <row r="4731" spans="1:1" x14ac:dyDescent="0.25">
      <c r="A4731" s="66" t="s">
        <v>5173</v>
      </c>
    </row>
    <row r="4732" spans="1:1" x14ac:dyDescent="0.25">
      <c r="A4732" s="66" t="s">
        <v>5174</v>
      </c>
    </row>
    <row r="4733" spans="1:1" x14ac:dyDescent="0.25">
      <c r="A4733" s="66" t="s">
        <v>5175</v>
      </c>
    </row>
    <row r="4734" spans="1:1" x14ac:dyDescent="0.25">
      <c r="A4734" s="66" t="s">
        <v>5176</v>
      </c>
    </row>
    <row r="4735" spans="1:1" x14ac:dyDescent="0.25">
      <c r="A4735" s="66" t="s">
        <v>5177</v>
      </c>
    </row>
    <row r="4736" spans="1:1" x14ac:dyDescent="0.25">
      <c r="A4736" s="66" t="s">
        <v>5178</v>
      </c>
    </row>
    <row r="4737" spans="1:1" x14ac:dyDescent="0.25">
      <c r="A4737" s="66" t="s">
        <v>5179</v>
      </c>
    </row>
    <row r="4738" spans="1:1" x14ac:dyDescent="0.25">
      <c r="A4738" s="66" t="s">
        <v>5180</v>
      </c>
    </row>
    <row r="4739" spans="1:1" x14ac:dyDescent="0.25">
      <c r="A4739" s="66" t="s">
        <v>5181</v>
      </c>
    </row>
    <row r="4740" spans="1:1" x14ac:dyDescent="0.25">
      <c r="A4740" s="66" t="s">
        <v>5182</v>
      </c>
    </row>
    <row r="4741" spans="1:1" x14ac:dyDescent="0.25">
      <c r="A4741" s="66" t="s">
        <v>5183</v>
      </c>
    </row>
    <row r="4742" spans="1:1" x14ac:dyDescent="0.25">
      <c r="A4742" s="66" t="s">
        <v>5184</v>
      </c>
    </row>
    <row r="4743" spans="1:1" x14ac:dyDescent="0.25">
      <c r="A4743" s="66" t="s">
        <v>5185</v>
      </c>
    </row>
    <row r="4744" spans="1:1" x14ac:dyDescent="0.25">
      <c r="A4744" s="66" t="s">
        <v>5186</v>
      </c>
    </row>
    <row r="4745" spans="1:1" x14ac:dyDescent="0.25">
      <c r="A4745" s="66" t="s">
        <v>5187</v>
      </c>
    </row>
    <row r="4746" spans="1:1" x14ac:dyDescent="0.25">
      <c r="A4746" s="66" t="s">
        <v>5188</v>
      </c>
    </row>
    <row r="4747" spans="1:1" x14ac:dyDescent="0.25">
      <c r="A4747" s="67" t="s">
        <v>5189</v>
      </c>
    </row>
    <row r="4748" spans="1:1" x14ac:dyDescent="0.25">
      <c r="A4748" s="66" t="s">
        <v>5190</v>
      </c>
    </row>
    <row r="4749" spans="1:1" x14ac:dyDescent="0.25">
      <c r="A4749" s="66" t="s">
        <v>5191</v>
      </c>
    </row>
    <row r="4750" spans="1:1" x14ac:dyDescent="0.25">
      <c r="A4750" s="66" t="s">
        <v>5192</v>
      </c>
    </row>
    <row r="4751" spans="1:1" x14ac:dyDescent="0.25">
      <c r="A4751" s="66" t="s">
        <v>5193</v>
      </c>
    </row>
    <row r="4752" spans="1:1" x14ac:dyDescent="0.25">
      <c r="A4752" s="66" t="s">
        <v>5194</v>
      </c>
    </row>
    <row r="4753" spans="1:1" x14ac:dyDescent="0.25">
      <c r="A4753" s="66" t="s">
        <v>5195</v>
      </c>
    </row>
    <row r="4754" spans="1:1" x14ac:dyDescent="0.25">
      <c r="A4754" s="66" t="s">
        <v>5196</v>
      </c>
    </row>
    <row r="4755" spans="1:1" x14ac:dyDescent="0.25">
      <c r="A4755" s="66" t="s">
        <v>5197</v>
      </c>
    </row>
    <row r="4756" spans="1:1" x14ac:dyDescent="0.25">
      <c r="A4756" s="66" t="s">
        <v>5198</v>
      </c>
    </row>
    <row r="4757" spans="1:1" x14ac:dyDescent="0.25">
      <c r="A4757" s="66" t="s">
        <v>5199</v>
      </c>
    </row>
    <row r="4758" spans="1:1" x14ac:dyDescent="0.25">
      <c r="A4758" s="66" t="s">
        <v>5200</v>
      </c>
    </row>
    <row r="4759" spans="1:1" x14ac:dyDescent="0.25">
      <c r="A4759" s="66" t="s">
        <v>5201</v>
      </c>
    </row>
    <row r="4760" spans="1:1" x14ac:dyDescent="0.25">
      <c r="A4760" s="66" t="s">
        <v>5202</v>
      </c>
    </row>
    <row r="4761" spans="1:1" x14ac:dyDescent="0.25">
      <c r="A4761" s="66" t="s">
        <v>5203</v>
      </c>
    </row>
    <row r="4762" spans="1:1" x14ac:dyDescent="0.25">
      <c r="A4762" s="56" t="s">
        <v>5204</v>
      </c>
    </row>
    <row r="4763" spans="1:1" x14ac:dyDescent="0.25">
      <c r="A4763" s="66" t="s">
        <v>5205</v>
      </c>
    </row>
    <row r="4764" spans="1:1" x14ac:dyDescent="0.25">
      <c r="A4764" s="56" t="s">
        <v>5206</v>
      </c>
    </row>
    <row r="4765" spans="1:1" x14ac:dyDescent="0.25">
      <c r="A4765" s="66" t="s">
        <v>5207</v>
      </c>
    </row>
    <row r="4766" spans="1:1" x14ac:dyDescent="0.25">
      <c r="A4766" s="66" t="s">
        <v>5208</v>
      </c>
    </row>
    <row r="4767" spans="1:1" x14ac:dyDescent="0.25">
      <c r="A4767" s="66" t="s">
        <v>5209</v>
      </c>
    </row>
    <row r="4768" spans="1:1" x14ac:dyDescent="0.25">
      <c r="A4768" s="66" t="s">
        <v>5210</v>
      </c>
    </row>
    <row r="4769" spans="1:1" x14ac:dyDescent="0.25">
      <c r="A4769" s="66" t="s">
        <v>5211</v>
      </c>
    </row>
    <row r="4770" spans="1:1" x14ac:dyDescent="0.25">
      <c r="A4770" s="66" t="s">
        <v>5212</v>
      </c>
    </row>
    <row r="4771" spans="1:1" x14ac:dyDescent="0.25">
      <c r="A4771" s="66" t="s">
        <v>5213</v>
      </c>
    </row>
    <row r="4772" spans="1:1" x14ac:dyDescent="0.25">
      <c r="A4772" s="66" t="s">
        <v>5214</v>
      </c>
    </row>
    <row r="4773" spans="1:1" x14ac:dyDescent="0.25">
      <c r="A4773" s="66" t="s">
        <v>5215</v>
      </c>
    </row>
    <row r="4774" spans="1:1" x14ac:dyDescent="0.25">
      <c r="A4774" s="66" t="s">
        <v>5216</v>
      </c>
    </row>
    <row r="4775" spans="1:1" x14ac:dyDescent="0.25">
      <c r="A4775" s="66" t="s">
        <v>5217</v>
      </c>
    </row>
    <row r="4776" spans="1:1" x14ac:dyDescent="0.25">
      <c r="A4776" s="66" t="s">
        <v>5218</v>
      </c>
    </row>
    <row r="4777" spans="1:1" x14ac:dyDescent="0.25">
      <c r="A4777" s="66" t="s">
        <v>5219</v>
      </c>
    </row>
    <row r="4778" spans="1:1" x14ac:dyDescent="0.25">
      <c r="A4778" s="56" t="s">
        <v>5220</v>
      </c>
    </row>
    <row r="4779" spans="1:1" x14ac:dyDescent="0.25">
      <c r="A4779" s="66" t="s">
        <v>5221</v>
      </c>
    </row>
    <row r="4780" spans="1:1" x14ac:dyDescent="0.25">
      <c r="A4780" s="56" t="s">
        <v>5222</v>
      </c>
    </row>
    <row r="4781" spans="1:1" x14ac:dyDescent="0.25">
      <c r="A4781" s="66" t="s">
        <v>5223</v>
      </c>
    </row>
    <row r="4782" spans="1:1" x14ac:dyDescent="0.25">
      <c r="A4782" s="56" t="s">
        <v>5224</v>
      </c>
    </row>
    <row r="4783" spans="1:1" x14ac:dyDescent="0.25">
      <c r="A4783" s="66" t="s">
        <v>5225</v>
      </c>
    </row>
    <row r="4784" spans="1:1" x14ac:dyDescent="0.25">
      <c r="A4784" s="56" t="s">
        <v>5226</v>
      </c>
    </row>
    <row r="4785" spans="1:1" x14ac:dyDescent="0.25">
      <c r="A4785" s="66" t="s">
        <v>5227</v>
      </c>
    </row>
    <row r="4786" spans="1:1" x14ac:dyDescent="0.25">
      <c r="A4786" s="56" t="s">
        <v>5228</v>
      </c>
    </row>
    <row r="4787" spans="1:1" x14ac:dyDescent="0.25">
      <c r="A4787" s="66" t="s">
        <v>5229</v>
      </c>
    </row>
    <row r="4788" spans="1:1" x14ac:dyDescent="0.25">
      <c r="A4788" s="66" t="s">
        <v>5230</v>
      </c>
    </row>
    <row r="4789" spans="1:1" x14ac:dyDescent="0.25">
      <c r="A4789" s="66" t="s">
        <v>5231</v>
      </c>
    </row>
    <row r="4790" spans="1:1" x14ac:dyDescent="0.25">
      <c r="A4790" s="66" t="s">
        <v>5232</v>
      </c>
    </row>
    <row r="4791" spans="1:1" x14ac:dyDescent="0.25">
      <c r="A4791" s="66" t="s">
        <v>5233</v>
      </c>
    </row>
    <row r="4792" spans="1:1" x14ac:dyDescent="0.25">
      <c r="A4792" s="66" t="s">
        <v>5234</v>
      </c>
    </row>
    <row r="4793" spans="1:1" x14ac:dyDescent="0.25">
      <c r="A4793" s="66" t="s">
        <v>5235</v>
      </c>
    </row>
    <row r="4794" spans="1:1" x14ac:dyDescent="0.25">
      <c r="A4794" s="66" t="s">
        <v>5236</v>
      </c>
    </row>
    <row r="4795" spans="1:1" x14ac:dyDescent="0.25">
      <c r="A4795" s="66" t="s">
        <v>5237</v>
      </c>
    </row>
    <row r="4796" spans="1:1" x14ac:dyDescent="0.25">
      <c r="A4796" s="66" t="s">
        <v>5238</v>
      </c>
    </row>
    <row r="4797" spans="1:1" x14ac:dyDescent="0.25">
      <c r="A4797" s="66" t="s">
        <v>5239</v>
      </c>
    </row>
    <row r="4798" spans="1:1" x14ac:dyDescent="0.25">
      <c r="A4798" s="66" t="s">
        <v>5240</v>
      </c>
    </row>
    <row r="4799" spans="1:1" x14ac:dyDescent="0.25">
      <c r="A4799" s="66" t="s">
        <v>5241</v>
      </c>
    </row>
    <row r="4800" spans="1:1" x14ac:dyDescent="0.25">
      <c r="A4800" s="66" t="s">
        <v>5242</v>
      </c>
    </row>
    <row r="4801" spans="1:1" x14ac:dyDescent="0.25">
      <c r="A4801" s="66" t="s">
        <v>5243</v>
      </c>
    </row>
    <row r="4802" spans="1:1" x14ac:dyDescent="0.25">
      <c r="A4802" s="66" t="s">
        <v>5244</v>
      </c>
    </row>
    <row r="4803" spans="1:1" x14ac:dyDescent="0.25">
      <c r="A4803" s="56" t="s">
        <v>5245</v>
      </c>
    </row>
    <row r="4804" spans="1:1" x14ac:dyDescent="0.25">
      <c r="A4804" s="66" t="s">
        <v>5246</v>
      </c>
    </row>
    <row r="4805" spans="1:1" x14ac:dyDescent="0.25">
      <c r="A4805" s="56" t="s">
        <v>5247</v>
      </c>
    </row>
    <row r="4806" spans="1:1" x14ac:dyDescent="0.25">
      <c r="A4806" s="66" t="s">
        <v>5248</v>
      </c>
    </row>
    <row r="4807" spans="1:1" x14ac:dyDescent="0.25">
      <c r="A4807" s="66" t="s">
        <v>5249</v>
      </c>
    </row>
    <row r="4808" spans="1:1" x14ac:dyDescent="0.25">
      <c r="A4808" s="66" t="s">
        <v>5250</v>
      </c>
    </row>
    <row r="4809" spans="1:1" x14ac:dyDescent="0.25">
      <c r="A4809" s="66" t="s">
        <v>5251</v>
      </c>
    </row>
    <row r="4810" spans="1:1" x14ac:dyDescent="0.25">
      <c r="A4810" s="66" t="s">
        <v>5252</v>
      </c>
    </row>
    <row r="4811" spans="1:1" x14ac:dyDescent="0.25">
      <c r="A4811" s="66" t="s">
        <v>5253</v>
      </c>
    </row>
    <row r="4812" spans="1:1" x14ac:dyDescent="0.25">
      <c r="A4812" s="66" t="s">
        <v>5254</v>
      </c>
    </row>
    <row r="4813" spans="1:1" x14ac:dyDescent="0.25">
      <c r="A4813" s="66" t="s">
        <v>5255</v>
      </c>
    </row>
    <row r="4814" spans="1:1" x14ac:dyDescent="0.25">
      <c r="A4814" s="66" t="s">
        <v>5256</v>
      </c>
    </row>
    <row r="4815" spans="1:1" x14ac:dyDescent="0.25">
      <c r="A4815" s="66" t="s">
        <v>5257</v>
      </c>
    </row>
    <row r="4816" spans="1:1" x14ac:dyDescent="0.25">
      <c r="A4816" s="66" t="s">
        <v>5258</v>
      </c>
    </row>
    <row r="4817" spans="1:1" x14ac:dyDescent="0.25">
      <c r="A4817" s="66" t="s">
        <v>5259</v>
      </c>
    </row>
    <row r="4818" spans="1:1" x14ac:dyDescent="0.25">
      <c r="A4818" s="66" t="s">
        <v>5260</v>
      </c>
    </row>
    <row r="4819" spans="1:1" x14ac:dyDescent="0.25">
      <c r="A4819" s="66" t="s">
        <v>5261</v>
      </c>
    </row>
    <row r="4820" spans="1:1" x14ac:dyDescent="0.25">
      <c r="A4820" s="66" t="s">
        <v>5262</v>
      </c>
    </row>
    <row r="4821" spans="1:1" x14ac:dyDescent="0.25">
      <c r="A4821" s="66" t="s">
        <v>5263</v>
      </c>
    </row>
    <row r="4822" spans="1:1" x14ac:dyDescent="0.25">
      <c r="A4822" s="66" t="s">
        <v>5264</v>
      </c>
    </row>
    <row r="4823" spans="1:1" x14ac:dyDescent="0.25">
      <c r="A4823" s="66" t="s">
        <v>5265</v>
      </c>
    </row>
    <row r="4824" spans="1:1" x14ac:dyDescent="0.25">
      <c r="A4824" s="66" t="s">
        <v>5266</v>
      </c>
    </row>
    <row r="4825" spans="1:1" x14ac:dyDescent="0.25">
      <c r="A4825" s="66" t="s">
        <v>5267</v>
      </c>
    </row>
    <row r="4826" spans="1:1" x14ac:dyDescent="0.25">
      <c r="A4826" s="66" t="s">
        <v>5268</v>
      </c>
    </row>
    <row r="4827" spans="1:1" x14ac:dyDescent="0.25">
      <c r="A4827" s="66" t="s">
        <v>5269</v>
      </c>
    </row>
    <row r="4828" spans="1:1" x14ac:dyDescent="0.25">
      <c r="A4828" s="66" t="s">
        <v>5270</v>
      </c>
    </row>
    <row r="4829" spans="1:1" x14ac:dyDescent="0.25">
      <c r="A4829" s="66" t="s">
        <v>5271</v>
      </c>
    </row>
    <row r="4830" spans="1:1" x14ac:dyDescent="0.25">
      <c r="A4830" s="66" t="s">
        <v>5272</v>
      </c>
    </row>
    <row r="4831" spans="1:1" x14ac:dyDescent="0.25">
      <c r="A4831" s="66" t="s">
        <v>5273</v>
      </c>
    </row>
    <row r="4832" spans="1:1" x14ac:dyDescent="0.25">
      <c r="A4832" s="66" t="s">
        <v>5274</v>
      </c>
    </row>
    <row r="4833" spans="1:1" x14ac:dyDescent="0.25">
      <c r="A4833" s="66" t="s">
        <v>5275</v>
      </c>
    </row>
    <row r="4834" spans="1:1" x14ac:dyDescent="0.25">
      <c r="A4834" s="66" t="s">
        <v>5276</v>
      </c>
    </row>
    <row r="4835" spans="1:1" x14ac:dyDescent="0.25">
      <c r="A4835" s="66" t="s">
        <v>5277</v>
      </c>
    </row>
    <row r="4836" spans="1:1" x14ac:dyDescent="0.25">
      <c r="A4836" s="66" t="s">
        <v>5278</v>
      </c>
    </row>
    <row r="4837" spans="1:1" x14ac:dyDescent="0.25">
      <c r="A4837" s="66" t="s">
        <v>5279</v>
      </c>
    </row>
    <row r="4838" spans="1:1" x14ac:dyDescent="0.25">
      <c r="A4838" s="66" t="s">
        <v>5280</v>
      </c>
    </row>
    <row r="4839" spans="1:1" x14ac:dyDescent="0.25">
      <c r="A4839" s="66" t="s">
        <v>5281</v>
      </c>
    </row>
    <row r="4840" spans="1:1" x14ac:dyDescent="0.25">
      <c r="A4840" s="66" t="s">
        <v>5282</v>
      </c>
    </row>
    <row r="4841" spans="1:1" x14ac:dyDescent="0.25">
      <c r="A4841" s="66" t="s">
        <v>5283</v>
      </c>
    </row>
    <row r="4842" spans="1:1" x14ac:dyDescent="0.25">
      <c r="A4842" s="66" t="s">
        <v>5284</v>
      </c>
    </row>
    <row r="4843" spans="1:1" x14ac:dyDescent="0.25">
      <c r="A4843" s="66" t="s">
        <v>5285</v>
      </c>
    </row>
    <row r="4844" spans="1:1" x14ac:dyDescent="0.25">
      <c r="A4844" s="66" t="s">
        <v>5286</v>
      </c>
    </row>
    <row r="4845" spans="1:1" x14ac:dyDescent="0.25">
      <c r="A4845" s="66" t="s">
        <v>5287</v>
      </c>
    </row>
    <row r="4846" spans="1:1" x14ac:dyDescent="0.25">
      <c r="A4846" s="66" t="s">
        <v>5288</v>
      </c>
    </row>
    <row r="4847" spans="1:1" x14ac:dyDescent="0.25">
      <c r="A4847" s="66" t="s">
        <v>5289</v>
      </c>
    </row>
    <row r="4848" spans="1:1" x14ac:dyDescent="0.25">
      <c r="A4848" s="66" t="s">
        <v>5290</v>
      </c>
    </row>
    <row r="4849" spans="1:1" x14ac:dyDescent="0.25">
      <c r="A4849" s="66" t="s">
        <v>5291</v>
      </c>
    </row>
    <row r="4850" spans="1:1" x14ac:dyDescent="0.25">
      <c r="A4850" s="66" t="s">
        <v>5292</v>
      </c>
    </row>
    <row r="4851" spans="1:1" x14ac:dyDescent="0.25">
      <c r="A4851" s="66" t="s">
        <v>5293</v>
      </c>
    </row>
    <row r="4852" spans="1:1" x14ac:dyDescent="0.25">
      <c r="A4852" s="56" t="s">
        <v>5294</v>
      </c>
    </row>
    <row r="4853" spans="1:1" x14ac:dyDescent="0.25">
      <c r="A4853" s="66" t="s">
        <v>5295</v>
      </c>
    </row>
    <row r="4854" spans="1:1" x14ac:dyDescent="0.25">
      <c r="A4854" s="66" t="s">
        <v>5296</v>
      </c>
    </row>
    <row r="4855" spans="1:1" x14ac:dyDescent="0.25">
      <c r="A4855" s="66" t="s">
        <v>5297</v>
      </c>
    </row>
    <row r="4856" spans="1:1" x14ac:dyDescent="0.25">
      <c r="A4856" s="66" t="s">
        <v>5298</v>
      </c>
    </row>
    <row r="4857" spans="1:1" x14ac:dyDescent="0.25">
      <c r="A4857" s="66" t="s">
        <v>5299</v>
      </c>
    </row>
    <row r="4858" spans="1:1" x14ac:dyDescent="0.25">
      <c r="A4858" s="66" t="s">
        <v>5300</v>
      </c>
    </row>
    <row r="4859" spans="1:1" x14ac:dyDescent="0.25">
      <c r="A4859" s="66" t="s">
        <v>5301</v>
      </c>
    </row>
    <row r="4860" spans="1:1" x14ac:dyDescent="0.25">
      <c r="A4860" s="66" t="s">
        <v>5302</v>
      </c>
    </row>
    <row r="4861" spans="1:1" x14ac:dyDescent="0.25">
      <c r="A4861" s="66" t="s">
        <v>5303</v>
      </c>
    </row>
    <row r="4862" spans="1:1" x14ac:dyDescent="0.25">
      <c r="A4862" s="66" t="s">
        <v>5304</v>
      </c>
    </row>
    <row r="4863" spans="1:1" x14ac:dyDescent="0.25">
      <c r="A4863" s="66" t="s">
        <v>5305</v>
      </c>
    </row>
    <row r="4864" spans="1:1" x14ac:dyDescent="0.25">
      <c r="A4864" s="66" t="s">
        <v>5306</v>
      </c>
    </row>
    <row r="4865" spans="1:1" x14ac:dyDescent="0.25">
      <c r="A4865" s="66" t="s">
        <v>5307</v>
      </c>
    </row>
    <row r="4866" spans="1:1" x14ac:dyDescent="0.25">
      <c r="A4866" s="66" t="s">
        <v>5308</v>
      </c>
    </row>
    <row r="4867" spans="1:1" x14ac:dyDescent="0.25">
      <c r="A4867" s="66" t="s">
        <v>5309</v>
      </c>
    </row>
    <row r="4868" spans="1:1" x14ac:dyDescent="0.25">
      <c r="A4868" s="66" t="s">
        <v>5310</v>
      </c>
    </row>
    <row r="4869" spans="1:1" x14ac:dyDescent="0.25">
      <c r="A4869" s="66" t="s">
        <v>5311</v>
      </c>
    </row>
    <row r="4870" spans="1:1" x14ac:dyDescent="0.25">
      <c r="A4870" s="66" t="s">
        <v>5312</v>
      </c>
    </row>
    <row r="4871" spans="1:1" x14ac:dyDescent="0.25">
      <c r="A4871" s="66" t="s">
        <v>5313</v>
      </c>
    </row>
    <row r="4872" spans="1:1" x14ac:dyDescent="0.25">
      <c r="A4872" s="66" t="s">
        <v>5314</v>
      </c>
    </row>
    <row r="4873" spans="1:1" x14ac:dyDescent="0.25">
      <c r="A4873" s="66" t="s">
        <v>5315</v>
      </c>
    </row>
    <row r="4874" spans="1:1" x14ac:dyDescent="0.25">
      <c r="A4874" s="66" t="s">
        <v>5316</v>
      </c>
    </row>
    <row r="4875" spans="1:1" x14ac:dyDescent="0.25">
      <c r="A4875" s="66" t="s">
        <v>5317</v>
      </c>
    </row>
    <row r="4876" spans="1:1" x14ac:dyDescent="0.25">
      <c r="A4876" s="66" t="s">
        <v>5318</v>
      </c>
    </row>
    <row r="4877" spans="1:1" x14ac:dyDescent="0.25">
      <c r="A4877" s="66" t="s">
        <v>5319</v>
      </c>
    </row>
    <row r="4878" spans="1:1" x14ac:dyDescent="0.25">
      <c r="A4878" s="66" t="s">
        <v>5320</v>
      </c>
    </row>
    <row r="4879" spans="1:1" x14ac:dyDescent="0.25">
      <c r="A4879" s="56" t="s">
        <v>5321</v>
      </c>
    </row>
    <row r="4880" spans="1:1" x14ac:dyDescent="0.25">
      <c r="A4880" s="66" t="s">
        <v>5322</v>
      </c>
    </row>
    <row r="4881" spans="1:1" x14ac:dyDescent="0.25">
      <c r="A4881" s="56" t="s">
        <v>5323</v>
      </c>
    </row>
    <row r="4882" spans="1:1" x14ac:dyDescent="0.25">
      <c r="A4882" s="66" t="s">
        <v>5324</v>
      </c>
    </row>
    <row r="4883" spans="1:1" x14ac:dyDescent="0.25">
      <c r="A4883" s="56" t="s">
        <v>5325</v>
      </c>
    </row>
    <row r="4884" spans="1:1" x14ac:dyDescent="0.25">
      <c r="A4884" s="66" t="s">
        <v>5326</v>
      </c>
    </row>
    <row r="4885" spans="1:1" x14ac:dyDescent="0.25">
      <c r="A4885" s="56" t="s">
        <v>5327</v>
      </c>
    </row>
    <row r="4886" spans="1:1" x14ac:dyDescent="0.25">
      <c r="A4886" s="66" t="s">
        <v>5328</v>
      </c>
    </row>
    <row r="4887" spans="1:1" x14ac:dyDescent="0.25">
      <c r="A4887" s="66" t="s">
        <v>5329</v>
      </c>
    </row>
    <row r="4888" spans="1:1" x14ac:dyDescent="0.25">
      <c r="A4888" s="66" t="s">
        <v>5330</v>
      </c>
    </row>
    <row r="4889" spans="1:1" x14ac:dyDescent="0.25">
      <c r="A4889" s="66" t="s">
        <v>5331</v>
      </c>
    </row>
    <row r="4890" spans="1:1" x14ac:dyDescent="0.25">
      <c r="A4890" s="66" t="s">
        <v>5332</v>
      </c>
    </row>
    <row r="4891" spans="1:1" x14ac:dyDescent="0.25">
      <c r="A4891" s="66" t="s">
        <v>5333</v>
      </c>
    </row>
    <row r="4892" spans="1:1" x14ac:dyDescent="0.25">
      <c r="A4892" s="66" t="s">
        <v>5334</v>
      </c>
    </row>
    <row r="4893" spans="1:1" x14ac:dyDescent="0.25">
      <c r="A4893" s="66" t="s">
        <v>5335</v>
      </c>
    </row>
    <row r="4894" spans="1:1" x14ac:dyDescent="0.25">
      <c r="A4894" s="66" t="s">
        <v>5336</v>
      </c>
    </row>
    <row r="4895" spans="1:1" x14ac:dyDescent="0.25">
      <c r="A4895" s="66" t="s">
        <v>5337</v>
      </c>
    </row>
    <row r="4896" spans="1:1" x14ac:dyDescent="0.25">
      <c r="A4896" s="66" t="s">
        <v>5338</v>
      </c>
    </row>
    <row r="4897" spans="1:1" x14ac:dyDescent="0.25">
      <c r="A4897" s="56" t="s">
        <v>5339</v>
      </c>
    </row>
    <row r="4898" spans="1:1" x14ac:dyDescent="0.25">
      <c r="A4898" s="66" t="s">
        <v>5340</v>
      </c>
    </row>
    <row r="4899" spans="1:1" x14ac:dyDescent="0.25">
      <c r="A4899" s="56" t="s">
        <v>5341</v>
      </c>
    </row>
    <row r="4900" spans="1:1" x14ac:dyDescent="0.25">
      <c r="A4900" s="66" t="s">
        <v>5342</v>
      </c>
    </row>
    <row r="4901" spans="1:1" x14ac:dyDescent="0.25">
      <c r="A4901" s="66" t="s">
        <v>5343</v>
      </c>
    </row>
    <row r="4902" spans="1:1" x14ac:dyDescent="0.25">
      <c r="A4902" s="66" t="s">
        <v>5344</v>
      </c>
    </row>
    <row r="4903" spans="1:1" x14ac:dyDescent="0.25">
      <c r="A4903" s="66" t="s">
        <v>5345</v>
      </c>
    </row>
    <row r="4904" spans="1:1" x14ac:dyDescent="0.25">
      <c r="A4904" s="66" t="s">
        <v>5346</v>
      </c>
    </row>
    <row r="4905" spans="1:1" x14ac:dyDescent="0.25">
      <c r="A4905" s="66" t="s">
        <v>5347</v>
      </c>
    </row>
    <row r="4906" spans="1:1" x14ac:dyDescent="0.25">
      <c r="A4906" s="66" t="s">
        <v>5348</v>
      </c>
    </row>
    <row r="4907" spans="1:1" x14ac:dyDescent="0.25">
      <c r="A4907" s="66" t="s">
        <v>5349</v>
      </c>
    </row>
    <row r="4908" spans="1:1" x14ac:dyDescent="0.25">
      <c r="A4908" s="66" t="s">
        <v>5350</v>
      </c>
    </row>
    <row r="4909" spans="1:1" x14ac:dyDescent="0.25">
      <c r="A4909" s="66" t="s">
        <v>5351</v>
      </c>
    </row>
    <row r="4910" spans="1:1" x14ac:dyDescent="0.25">
      <c r="A4910" s="66" t="s">
        <v>5352</v>
      </c>
    </row>
    <row r="4911" spans="1:1" x14ac:dyDescent="0.25">
      <c r="A4911" s="66" t="s">
        <v>5353</v>
      </c>
    </row>
    <row r="4912" spans="1:1" x14ac:dyDescent="0.25">
      <c r="A4912" s="66" t="s">
        <v>5354</v>
      </c>
    </row>
    <row r="4913" spans="1:1" x14ac:dyDescent="0.25">
      <c r="A4913" s="66" t="s">
        <v>5355</v>
      </c>
    </row>
    <row r="4914" spans="1:1" x14ac:dyDescent="0.25">
      <c r="A4914" s="66" t="s">
        <v>5356</v>
      </c>
    </row>
    <row r="4915" spans="1:1" x14ac:dyDescent="0.25">
      <c r="A4915" s="66" t="s">
        <v>5357</v>
      </c>
    </row>
    <row r="4916" spans="1:1" x14ac:dyDescent="0.25">
      <c r="A4916" s="66" t="s">
        <v>5358</v>
      </c>
    </row>
    <row r="4917" spans="1:1" x14ac:dyDescent="0.25">
      <c r="A4917" s="66" t="s">
        <v>5359</v>
      </c>
    </row>
    <row r="4918" spans="1:1" x14ac:dyDescent="0.25">
      <c r="A4918" s="66" t="s">
        <v>5360</v>
      </c>
    </row>
    <row r="4919" spans="1:1" x14ac:dyDescent="0.25">
      <c r="A4919" s="56" t="s">
        <v>5361</v>
      </c>
    </row>
    <row r="4920" spans="1:1" x14ac:dyDescent="0.25">
      <c r="A4920" s="66" t="s">
        <v>5362</v>
      </c>
    </row>
    <row r="4921" spans="1:1" x14ac:dyDescent="0.25">
      <c r="A4921" s="56" t="s">
        <v>5363</v>
      </c>
    </row>
    <row r="4922" spans="1:1" x14ac:dyDescent="0.25">
      <c r="A4922" s="66" t="s">
        <v>5364</v>
      </c>
    </row>
    <row r="4923" spans="1:1" x14ac:dyDescent="0.25">
      <c r="A4923" s="66" t="s">
        <v>5365</v>
      </c>
    </row>
    <row r="4924" spans="1:1" x14ac:dyDescent="0.25">
      <c r="A4924" s="66" t="s">
        <v>5366</v>
      </c>
    </row>
    <row r="4925" spans="1:1" x14ac:dyDescent="0.25">
      <c r="A4925" s="66" t="s">
        <v>5367</v>
      </c>
    </row>
    <row r="4926" spans="1:1" x14ac:dyDescent="0.25">
      <c r="A4926" s="56" t="s">
        <v>5368</v>
      </c>
    </row>
    <row r="4927" spans="1:1" x14ac:dyDescent="0.25">
      <c r="A4927" s="66" t="s">
        <v>5369</v>
      </c>
    </row>
    <row r="4928" spans="1:1" x14ac:dyDescent="0.25">
      <c r="A4928" s="56" t="s">
        <v>5370</v>
      </c>
    </row>
    <row r="4929" spans="1:1" x14ac:dyDescent="0.25">
      <c r="A4929" s="66" t="s">
        <v>5371</v>
      </c>
    </row>
    <row r="4930" spans="1:1" x14ac:dyDescent="0.25">
      <c r="A4930" s="56" t="s">
        <v>5372</v>
      </c>
    </row>
    <row r="4931" spans="1:1" x14ac:dyDescent="0.25">
      <c r="A4931" s="66" t="s">
        <v>5373</v>
      </c>
    </row>
    <row r="4932" spans="1:1" x14ac:dyDescent="0.25">
      <c r="A4932" s="56" t="s">
        <v>5374</v>
      </c>
    </row>
    <row r="4933" spans="1:1" x14ac:dyDescent="0.25">
      <c r="A4933" s="66" t="s">
        <v>5375</v>
      </c>
    </row>
    <row r="4934" spans="1:1" x14ac:dyDescent="0.25">
      <c r="A4934" s="56" t="s">
        <v>5376</v>
      </c>
    </row>
    <row r="4935" spans="1:1" x14ac:dyDescent="0.25">
      <c r="A4935" s="66" t="s">
        <v>5377</v>
      </c>
    </row>
    <row r="4936" spans="1:1" x14ac:dyDescent="0.25">
      <c r="A4936" s="56" t="s">
        <v>5378</v>
      </c>
    </row>
    <row r="4937" spans="1:1" x14ac:dyDescent="0.25">
      <c r="A4937" s="66" t="s">
        <v>5379</v>
      </c>
    </row>
    <row r="4938" spans="1:1" x14ac:dyDescent="0.25">
      <c r="A4938" s="66" t="s">
        <v>5380</v>
      </c>
    </row>
    <row r="4939" spans="1:1" x14ac:dyDescent="0.25">
      <c r="A4939" s="66" t="s">
        <v>5381</v>
      </c>
    </row>
    <row r="4940" spans="1:1" x14ac:dyDescent="0.25">
      <c r="A4940" s="66" t="s">
        <v>5382</v>
      </c>
    </row>
    <row r="4941" spans="1:1" x14ac:dyDescent="0.25">
      <c r="A4941" s="66" t="s">
        <v>5383</v>
      </c>
    </row>
    <row r="4942" spans="1:1" x14ac:dyDescent="0.25">
      <c r="A4942" s="66" t="s">
        <v>5384</v>
      </c>
    </row>
    <row r="4943" spans="1:1" x14ac:dyDescent="0.25">
      <c r="A4943" s="66" t="s">
        <v>5385</v>
      </c>
    </row>
    <row r="4944" spans="1:1" x14ac:dyDescent="0.25">
      <c r="A4944" s="66" t="s">
        <v>5386</v>
      </c>
    </row>
    <row r="4945" spans="1:1" x14ac:dyDescent="0.25">
      <c r="A4945" s="66" t="s">
        <v>5387</v>
      </c>
    </row>
    <row r="4946" spans="1:1" x14ac:dyDescent="0.25">
      <c r="A4946" s="66" t="s">
        <v>5388</v>
      </c>
    </row>
    <row r="4947" spans="1:1" x14ac:dyDescent="0.25">
      <c r="A4947" s="66" t="s">
        <v>5389</v>
      </c>
    </row>
    <row r="4948" spans="1:1" x14ac:dyDescent="0.25">
      <c r="A4948" s="66" t="s">
        <v>5390</v>
      </c>
    </row>
    <row r="4949" spans="1:1" x14ac:dyDescent="0.25">
      <c r="A4949" s="66" t="s">
        <v>5391</v>
      </c>
    </row>
    <row r="4950" spans="1:1" x14ac:dyDescent="0.25">
      <c r="A4950" s="66" t="s">
        <v>5392</v>
      </c>
    </row>
    <row r="4951" spans="1:1" x14ac:dyDescent="0.25">
      <c r="A4951" s="66" t="s">
        <v>5393</v>
      </c>
    </row>
    <row r="4952" spans="1:1" x14ac:dyDescent="0.25">
      <c r="A4952" s="66" t="s">
        <v>5394</v>
      </c>
    </row>
    <row r="4953" spans="1:1" x14ac:dyDescent="0.25">
      <c r="A4953" s="66" t="s">
        <v>5395</v>
      </c>
    </row>
    <row r="4954" spans="1:1" x14ac:dyDescent="0.25">
      <c r="A4954" s="66" t="s">
        <v>5396</v>
      </c>
    </row>
    <row r="4955" spans="1:1" x14ac:dyDescent="0.25">
      <c r="A4955" s="66" t="s">
        <v>5397</v>
      </c>
    </row>
    <row r="4956" spans="1:1" x14ac:dyDescent="0.25">
      <c r="A4956" s="66" t="s">
        <v>5398</v>
      </c>
    </row>
    <row r="4957" spans="1:1" x14ac:dyDescent="0.25">
      <c r="A4957" s="66" t="s">
        <v>5399</v>
      </c>
    </row>
    <row r="4958" spans="1:1" x14ac:dyDescent="0.25">
      <c r="A4958" s="66" t="s">
        <v>5400</v>
      </c>
    </row>
    <row r="4959" spans="1:1" x14ac:dyDescent="0.25">
      <c r="A4959" s="66" t="s">
        <v>5401</v>
      </c>
    </row>
    <row r="4960" spans="1:1" x14ac:dyDescent="0.25">
      <c r="A4960" s="66" t="s">
        <v>5402</v>
      </c>
    </row>
    <row r="4961" spans="1:1" x14ac:dyDescent="0.25">
      <c r="A4961" s="56" t="s">
        <v>5403</v>
      </c>
    </row>
    <row r="4962" spans="1:1" x14ac:dyDescent="0.25">
      <c r="A4962" s="66" t="s">
        <v>5404</v>
      </c>
    </row>
    <row r="4963" spans="1:1" x14ac:dyDescent="0.25">
      <c r="A4963" s="56" t="s">
        <v>5405</v>
      </c>
    </row>
    <row r="4964" spans="1:1" x14ac:dyDescent="0.25">
      <c r="A4964" s="66" t="s">
        <v>5406</v>
      </c>
    </row>
    <row r="4965" spans="1:1" x14ac:dyDescent="0.25">
      <c r="A4965" s="66" t="s">
        <v>5407</v>
      </c>
    </row>
    <row r="4966" spans="1:1" x14ac:dyDescent="0.25">
      <c r="A4966" s="66" t="s">
        <v>5408</v>
      </c>
    </row>
    <row r="4967" spans="1:1" x14ac:dyDescent="0.25">
      <c r="A4967" s="66" t="s">
        <v>5409</v>
      </c>
    </row>
    <row r="4968" spans="1:1" x14ac:dyDescent="0.25">
      <c r="A4968" s="66" t="s">
        <v>5410</v>
      </c>
    </row>
    <row r="4969" spans="1:1" x14ac:dyDescent="0.25">
      <c r="A4969" s="66" t="s">
        <v>5411</v>
      </c>
    </row>
    <row r="4970" spans="1:1" x14ac:dyDescent="0.25">
      <c r="A4970" s="66" t="s">
        <v>5412</v>
      </c>
    </row>
    <row r="4971" spans="1:1" x14ac:dyDescent="0.25">
      <c r="A4971" s="66" t="s">
        <v>5413</v>
      </c>
    </row>
    <row r="4972" spans="1:1" x14ac:dyDescent="0.25">
      <c r="A4972" s="66" t="s">
        <v>5414</v>
      </c>
    </row>
    <row r="4973" spans="1:1" x14ac:dyDescent="0.25">
      <c r="A4973" s="66" t="s">
        <v>5415</v>
      </c>
    </row>
    <row r="4974" spans="1:1" x14ac:dyDescent="0.25">
      <c r="A4974" s="56" t="s">
        <v>5416</v>
      </c>
    </row>
    <row r="4975" spans="1:1" x14ac:dyDescent="0.25">
      <c r="A4975" s="66" t="s">
        <v>5417</v>
      </c>
    </row>
    <row r="4976" spans="1:1" x14ac:dyDescent="0.25">
      <c r="A4976" s="56" t="s">
        <v>5418</v>
      </c>
    </row>
    <row r="4977" spans="1:1" x14ac:dyDescent="0.25">
      <c r="A4977" s="66" t="s">
        <v>5419</v>
      </c>
    </row>
    <row r="4978" spans="1:1" x14ac:dyDescent="0.25">
      <c r="A4978" s="66" t="s">
        <v>5420</v>
      </c>
    </row>
    <row r="4979" spans="1:1" x14ac:dyDescent="0.25">
      <c r="A4979" s="66" t="s">
        <v>5421</v>
      </c>
    </row>
    <row r="4980" spans="1:1" x14ac:dyDescent="0.25">
      <c r="A4980" s="66" t="s">
        <v>5422</v>
      </c>
    </row>
    <row r="4981" spans="1:1" x14ac:dyDescent="0.25">
      <c r="A4981" s="66" t="s">
        <v>5423</v>
      </c>
    </row>
    <row r="4982" spans="1:1" x14ac:dyDescent="0.25">
      <c r="A4982" s="66" t="s">
        <v>5424</v>
      </c>
    </row>
    <row r="4983" spans="1:1" x14ac:dyDescent="0.25">
      <c r="A4983" s="66" t="s">
        <v>5425</v>
      </c>
    </row>
    <row r="4984" spans="1:1" x14ac:dyDescent="0.25">
      <c r="A4984" s="66" t="s">
        <v>5426</v>
      </c>
    </row>
    <row r="4985" spans="1:1" x14ac:dyDescent="0.25">
      <c r="A4985" s="66" t="s">
        <v>5427</v>
      </c>
    </row>
    <row r="4986" spans="1:1" x14ac:dyDescent="0.25">
      <c r="A4986" s="66" t="s">
        <v>5428</v>
      </c>
    </row>
    <row r="4987" spans="1:1" x14ac:dyDescent="0.25">
      <c r="A4987" s="66" t="s">
        <v>5429</v>
      </c>
    </row>
    <row r="4988" spans="1:1" x14ac:dyDescent="0.25">
      <c r="A4988" s="66" t="s">
        <v>5430</v>
      </c>
    </row>
    <row r="4989" spans="1:1" x14ac:dyDescent="0.25">
      <c r="A4989" s="66" t="s">
        <v>5431</v>
      </c>
    </row>
    <row r="4990" spans="1:1" x14ac:dyDescent="0.25">
      <c r="A4990" s="66" t="s">
        <v>5432</v>
      </c>
    </row>
    <row r="4991" spans="1:1" x14ac:dyDescent="0.25">
      <c r="A4991" s="66" t="s">
        <v>5433</v>
      </c>
    </row>
    <row r="4992" spans="1:1" x14ac:dyDescent="0.25">
      <c r="A4992" s="66" t="s">
        <v>5434</v>
      </c>
    </row>
    <row r="4993" spans="1:1" x14ac:dyDescent="0.25">
      <c r="A4993" s="66" t="s">
        <v>5435</v>
      </c>
    </row>
    <row r="4994" spans="1:1" x14ac:dyDescent="0.25">
      <c r="A4994" s="66" t="s">
        <v>5436</v>
      </c>
    </row>
    <row r="4995" spans="1:1" x14ac:dyDescent="0.25">
      <c r="A4995" s="66" t="s">
        <v>5437</v>
      </c>
    </row>
    <row r="4996" spans="1:1" x14ac:dyDescent="0.25">
      <c r="A4996" s="66" t="s">
        <v>5438</v>
      </c>
    </row>
    <row r="4997" spans="1:1" x14ac:dyDescent="0.25">
      <c r="A4997" s="66" t="s">
        <v>5439</v>
      </c>
    </row>
    <row r="4998" spans="1:1" x14ac:dyDescent="0.25">
      <c r="A4998" s="66" t="s">
        <v>5440</v>
      </c>
    </row>
    <row r="4999" spans="1:1" x14ac:dyDescent="0.25">
      <c r="A4999" s="66" t="s">
        <v>5441</v>
      </c>
    </row>
    <row r="5000" spans="1:1" x14ac:dyDescent="0.25">
      <c r="A5000" s="66" t="s">
        <v>5442</v>
      </c>
    </row>
    <row r="5001" spans="1:1" x14ac:dyDescent="0.25">
      <c r="A5001" s="66" t="s">
        <v>5443</v>
      </c>
    </row>
    <row r="5002" spans="1:1" x14ac:dyDescent="0.25">
      <c r="A5002" s="66" t="s">
        <v>5444</v>
      </c>
    </row>
    <row r="5003" spans="1:1" x14ac:dyDescent="0.25">
      <c r="A5003" s="66" t="s">
        <v>5445</v>
      </c>
    </row>
    <row r="5004" spans="1:1" x14ac:dyDescent="0.25">
      <c r="A5004" s="66" t="s">
        <v>5446</v>
      </c>
    </row>
    <row r="5005" spans="1:1" x14ac:dyDescent="0.25">
      <c r="A5005" s="66" t="s">
        <v>5447</v>
      </c>
    </row>
    <row r="5006" spans="1:1" x14ac:dyDescent="0.25">
      <c r="A5006" s="66" t="s">
        <v>5448</v>
      </c>
    </row>
    <row r="5007" spans="1:1" x14ac:dyDescent="0.25">
      <c r="A5007" s="66" t="s">
        <v>5449</v>
      </c>
    </row>
    <row r="5008" spans="1:1" x14ac:dyDescent="0.25">
      <c r="A5008" s="66" t="s">
        <v>5450</v>
      </c>
    </row>
    <row r="5009" spans="1:1" x14ac:dyDescent="0.25">
      <c r="A5009" s="66" t="s">
        <v>5451</v>
      </c>
    </row>
    <row r="5010" spans="1:1" x14ac:dyDescent="0.25">
      <c r="A5010" s="66" t="s">
        <v>5452</v>
      </c>
    </row>
    <row r="5011" spans="1:1" x14ac:dyDescent="0.25">
      <c r="A5011" s="66" t="s">
        <v>5453</v>
      </c>
    </row>
    <row r="5012" spans="1:1" x14ac:dyDescent="0.25">
      <c r="A5012" s="66" t="s">
        <v>5454</v>
      </c>
    </row>
    <row r="5013" spans="1:1" x14ac:dyDescent="0.25">
      <c r="A5013" s="66" t="s">
        <v>5455</v>
      </c>
    </row>
    <row r="5014" spans="1:1" x14ac:dyDescent="0.25">
      <c r="A5014" s="66" t="s">
        <v>5456</v>
      </c>
    </row>
    <row r="5015" spans="1:1" x14ac:dyDescent="0.25">
      <c r="A5015" s="66" t="s">
        <v>5457</v>
      </c>
    </row>
    <row r="5016" spans="1:1" x14ac:dyDescent="0.25">
      <c r="A5016" s="66" t="s">
        <v>5458</v>
      </c>
    </row>
    <row r="5017" spans="1:1" x14ac:dyDescent="0.25">
      <c r="A5017" s="66" t="s">
        <v>5459</v>
      </c>
    </row>
    <row r="5018" spans="1:1" x14ac:dyDescent="0.25">
      <c r="A5018" s="66" t="s">
        <v>5460</v>
      </c>
    </row>
    <row r="5019" spans="1:1" x14ac:dyDescent="0.25">
      <c r="A5019" s="66" t="s">
        <v>5461</v>
      </c>
    </row>
    <row r="5020" spans="1:1" x14ac:dyDescent="0.25">
      <c r="A5020" s="66" t="s">
        <v>5462</v>
      </c>
    </row>
    <row r="5021" spans="1:1" x14ac:dyDescent="0.25">
      <c r="A5021" s="66" t="s">
        <v>5463</v>
      </c>
    </row>
    <row r="5022" spans="1:1" x14ac:dyDescent="0.25">
      <c r="A5022" s="66" t="s">
        <v>5464</v>
      </c>
    </row>
    <row r="5023" spans="1:1" x14ac:dyDescent="0.25">
      <c r="A5023" s="66" t="s">
        <v>5465</v>
      </c>
    </row>
    <row r="5024" spans="1:1" x14ac:dyDescent="0.25">
      <c r="A5024" s="66" t="s">
        <v>5466</v>
      </c>
    </row>
    <row r="5025" spans="1:1" x14ac:dyDescent="0.25">
      <c r="A5025" s="66" t="s">
        <v>5467</v>
      </c>
    </row>
    <row r="5026" spans="1:1" x14ac:dyDescent="0.25">
      <c r="A5026" s="66" t="s">
        <v>5468</v>
      </c>
    </row>
    <row r="5027" spans="1:1" x14ac:dyDescent="0.25">
      <c r="A5027" s="66" t="s">
        <v>5469</v>
      </c>
    </row>
    <row r="5028" spans="1:1" x14ac:dyDescent="0.25">
      <c r="A5028" s="66" t="s">
        <v>5470</v>
      </c>
    </row>
    <row r="5029" spans="1:1" x14ac:dyDescent="0.25">
      <c r="A5029" s="67" t="s">
        <v>5471</v>
      </c>
    </row>
    <row r="5030" spans="1:1" x14ac:dyDescent="0.25">
      <c r="A5030" s="66" t="s">
        <v>5472</v>
      </c>
    </row>
    <row r="5031" spans="1:1" x14ac:dyDescent="0.25">
      <c r="A5031" s="66" t="s">
        <v>5473</v>
      </c>
    </row>
    <row r="5032" spans="1:1" x14ac:dyDescent="0.25">
      <c r="A5032" s="66" t="s">
        <v>5474</v>
      </c>
    </row>
    <row r="5033" spans="1:1" x14ac:dyDescent="0.25">
      <c r="A5033" s="66" t="s">
        <v>5475</v>
      </c>
    </row>
    <row r="5034" spans="1:1" x14ac:dyDescent="0.25">
      <c r="A5034" s="66" t="s">
        <v>5476</v>
      </c>
    </row>
    <row r="5035" spans="1:1" x14ac:dyDescent="0.25">
      <c r="A5035" s="56" t="s">
        <v>5477</v>
      </c>
    </row>
    <row r="5036" spans="1:1" x14ac:dyDescent="0.25">
      <c r="A5036" s="66" t="s">
        <v>5478</v>
      </c>
    </row>
    <row r="5037" spans="1:1" x14ac:dyDescent="0.25">
      <c r="A5037" s="56" t="s">
        <v>5479</v>
      </c>
    </row>
    <row r="5038" spans="1:1" x14ac:dyDescent="0.25">
      <c r="A5038" s="66" t="s">
        <v>5480</v>
      </c>
    </row>
    <row r="5039" spans="1:1" x14ac:dyDescent="0.25">
      <c r="A5039" s="56" t="s">
        <v>5481</v>
      </c>
    </row>
    <row r="5040" spans="1:1" x14ac:dyDescent="0.25">
      <c r="A5040" s="66" t="s">
        <v>5482</v>
      </c>
    </row>
    <row r="5041" spans="1:1" x14ac:dyDescent="0.25">
      <c r="A5041" s="66" t="s">
        <v>5483</v>
      </c>
    </row>
    <row r="5042" spans="1:1" x14ac:dyDescent="0.25">
      <c r="A5042" s="66" t="s">
        <v>5484</v>
      </c>
    </row>
    <row r="5043" spans="1:1" x14ac:dyDescent="0.25">
      <c r="A5043" s="66" t="s">
        <v>5485</v>
      </c>
    </row>
    <row r="5044" spans="1:1" x14ac:dyDescent="0.25">
      <c r="A5044" s="66" t="s">
        <v>5486</v>
      </c>
    </row>
    <row r="5045" spans="1:1" x14ac:dyDescent="0.25">
      <c r="A5045" s="66" t="s">
        <v>5487</v>
      </c>
    </row>
    <row r="5046" spans="1:1" x14ac:dyDescent="0.25">
      <c r="A5046" s="66" t="s">
        <v>5488</v>
      </c>
    </row>
    <row r="5047" spans="1:1" x14ac:dyDescent="0.25">
      <c r="A5047" s="66" t="s">
        <v>5489</v>
      </c>
    </row>
    <row r="5048" spans="1:1" x14ac:dyDescent="0.25">
      <c r="A5048" s="66" t="s">
        <v>5490</v>
      </c>
    </row>
    <row r="5049" spans="1:1" x14ac:dyDescent="0.25">
      <c r="A5049" s="66" t="s">
        <v>5491</v>
      </c>
    </row>
    <row r="5050" spans="1:1" x14ac:dyDescent="0.25">
      <c r="A5050" s="66" t="s">
        <v>5492</v>
      </c>
    </row>
    <row r="5051" spans="1:1" x14ac:dyDescent="0.25">
      <c r="A5051" s="66" t="s">
        <v>5493</v>
      </c>
    </row>
    <row r="5052" spans="1:1" x14ac:dyDescent="0.25">
      <c r="A5052" s="66" t="s">
        <v>5494</v>
      </c>
    </row>
    <row r="5053" spans="1:1" x14ac:dyDescent="0.25">
      <c r="A5053" s="66" t="s">
        <v>5495</v>
      </c>
    </row>
    <row r="5054" spans="1:1" x14ac:dyDescent="0.25">
      <c r="A5054" s="66" t="s">
        <v>5496</v>
      </c>
    </row>
    <row r="5055" spans="1:1" x14ac:dyDescent="0.25">
      <c r="A5055" s="66" t="s">
        <v>5497</v>
      </c>
    </row>
    <row r="5056" spans="1:1" x14ac:dyDescent="0.25">
      <c r="A5056" s="66" t="s">
        <v>5498</v>
      </c>
    </row>
    <row r="5057" spans="1:1" x14ac:dyDescent="0.25">
      <c r="A5057" s="66" t="s">
        <v>5499</v>
      </c>
    </row>
    <row r="5058" spans="1:1" x14ac:dyDescent="0.25">
      <c r="A5058" s="66" t="s">
        <v>5500</v>
      </c>
    </row>
    <row r="5059" spans="1:1" x14ac:dyDescent="0.25">
      <c r="A5059" s="66" t="s">
        <v>5501</v>
      </c>
    </row>
    <row r="5060" spans="1:1" x14ac:dyDescent="0.25">
      <c r="A5060" s="66" t="s">
        <v>5502</v>
      </c>
    </row>
    <row r="5061" spans="1:1" x14ac:dyDescent="0.25">
      <c r="A5061" s="66" t="s">
        <v>5503</v>
      </c>
    </row>
    <row r="5062" spans="1:1" x14ac:dyDescent="0.25">
      <c r="A5062" s="56" t="s">
        <v>5504</v>
      </c>
    </row>
    <row r="5063" spans="1:1" x14ac:dyDescent="0.25">
      <c r="A5063" s="66" t="s">
        <v>5505</v>
      </c>
    </row>
    <row r="5064" spans="1:1" x14ac:dyDescent="0.25">
      <c r="A5064" s="66" t="s">
        <v>5506</v>
      </c>
    </row>
    <row r="5065" spans="1:1" x14ac:dyDescent="0.25">
      <c r="A5065" s="66" t="s">
        <v>5507</v>
      </c>
    </row>
    <row r="5066" spans="1:1" x14ac:dyDescent="0.25">
      <c r="A5066" s="66" t="s">
        <v>5508</v>
      </c>
    </row>
    <row r="5067" spans="1:1" x14ac:dyDescent="0.25">
      <c r="A5067" s="66" t="s">
        <v>5509</v>
      </c>
    </row>
    <row r="5068" spans="1:1" x14ac:dyDescent="0.25">
      <c r="A5068" s="66" t="s">
        <v>5510</v>
      </c>
    </row>
    <row r="5069" spans="1:1" x14ac:dyDescent="0.25">
      <c r="A5069" s="66" t="s">
        <v>5511</v>
      </c>
    </row>
    <row r="5070" spans="1:1" x14ac:dyDescent="0.25">
      <c r="A5070" s="66" t="s">
        <v>5512</v>
      </c>
    </row>
    <row r="5071" spans="1:1" x14ac:dyDescent="0.25">
      <c r="A5071" s="66" t="s">
        <v>5513</v>
      </c>
    </row>
    <row r="5072" spans="1:1" x14ac:dyDescent="0.25">
      <c r="A5072" s="66" t="s">
        <v>5514</v>
      </c>
    </row>
    <row r="5073" spans="1:1" x14ac:dyDescent="0.25">
      <c r="A5073" s="66" t="s">
        <v>5515</v>
      </c>
    </row>
    <row r="5074" spans="1:1" x14ac:dyDescent="0.25">
      <c r="A5074" s="66" t="s">
        <v>5516</v>
      </c>
    </row>
    <row r="5075" spans="1:1" x14ac:dyDescent="0.25">
      <c r="A5075" s="66" t="s">
        <v>5517</v>
      </c>
    </row>
    <row r="5076" spans="1:1" x14ac:dyDescent="0.25">
      <c r="A5076" s="66" t="s">
        <v>5518</v>
      </c>
    </row>
    <row r="5077" spans="1:1" x14ac:dyDescent="0.25">
      <c r="A5077" s="66" t="s">
        <v>5519</v>
      </c>
    </row>
    <row r="5078" spans="1:1" x14ac:dyDescent="0.25">
      <c r="A5078" s="66" t="s">
        <v>5520</v>
      </c>
    </row>
    <row r="5079" spans="1:1" x14ac:dyDescent="0.25">
      <c r="A5079" s="66" t="s">
        <v>5521</v>
      </c>
    </row>
    <row r="5080" spans="1:1" x14ac:dyDescent="0.25">
      <c r="A5080" s="66" t="s">
        <v>5522</v>
      </c>
    </row>
    <row r="5081" spans="1:1" x14ac:dyDescent="0.25">
      <c r="A5081" s="66" t="s">
        <v>5523</v>
      </c>
    </row>
    <row r="5082" spans="1:1" x14ac:dyDescent="0.25">
      <c r="A5082" s="66" t="s">
        <v>5524</v>
      </c>
    </row>
    <row r="5083" spans="1:1" x14ac:dyDescent="0.25">
      <c r="A5083" s="66" t="s">
        <v>5525</v>
      </c>
    </row>
    <row r="5084" spans="1:1" x14ac:dyDescent="0.25">
      <c r="A5084" s="66" t="s">
        <v>5526</v>
      </c>
    </row>
    <row r="5085" spans="1:1" x14ac:dyDescent="0.25">
      <c r="A5085" s="66" t="s">
        <v>5527</v>
      </c>
    </row>
    <row r="5086" spans="1:1" x14ac:dyDescent="0.25">
      <c r="A5086" s="66" t="s">
        <v>5528</v>
      </c>
    </row>
    <row r="5087" spans="1:1" x14ac:dyDescent="0.25">
      <c r="A5087" s="66" t="s">
        <v>5529</v>
      </c>
    </row>
    <row r="5088" spans="1:1" x14ac:dyDescent="0.25">
      <c r="A5088" s="66" t="s">
        <v>5530</v>
      </c>
    </row>
    <row r="5089" spans="1:1" x14ac:dyDescent="0.25">
      <c r="A5089" s="66" t="s">
        <v>5531</v>
      </c>
    </row>
    <row r="5090" spans="1:1" x14ac:dyDescent="0.25">
      <c r="A5090" s="66" t="s">
        <v>5532</v>
      </c>
    </row>
    <row r="5091" spans="1:1" x14ac:dyDescent="0.25">
      <c r="A5091" s="66" t="s">
        <v>5533</v>
      </c>
    </row>
    <row r="5092" spans="1:1" x14ac:dyDescent="0.25">
      <c r="A5092" s="66" t="s">
        <v>5534</v>
      </c>
    </row>
    <row r="5093" spans="1:1" x14ac:dyDescent="0.25">
      <c r="A5093" s="66" t="s">
        <v>5535</v>
      </c>
    </row>
    <row r="5094" spans="1:1" x14ac:dyDescent="0.25">
      <c r="A5094" s="66" t="s">
        <v>5536</v>
      </c>
    </row>
    <row r="5095" spans="1:1" x14ac:dyDescent="0.25">
      <c r="A5095" s="66" t="s">
        <v>5537</v>
      </c>
    </row>
    <row r="5096" spans="1:1" x14ac:dyDescent="0.25">
      <c r="A5096" s="66" t="s">
        <v>5538</v>
      </c>
    </row>
    <row r="5097" spans="1:1" x14ac:dyDescent="0.25">
      <c r="A5097" s="66" t="s">
        <v>5539</v>
      </c>
    </row>
    <row r="5098" spans="1:1" x14ac:dyDescent="0.25">
      <c r="A5098" s="66" t="s">
        <v>5540</v>
      </c>
    </row>
    <row r="5099" spans="1:1" x14ac:dyDescent="0.25">
      <c r="A5099" s="66" t="s">
        <v>5541</v>
      </c>
    </row>
    <row r="5100" spans="1:1" x14ac:dyDescent="0.25">
      <c r="A5100" s="66" t="s">
        <v>5542</v>
      </c>
    </row>
    <row r="5101" spans="1:1" x14ac:dyDescent="0.25">
      <c r="A5101" s="66" t="s">
        <v>5543</v>
      </c>
    </row>
    <row r="5102" spans="1:1" x14ac:dyDescent="0.25">
      <c r="A5102" s="66" t="s">
        <v>5544</v>
      </c>
    </row>
    <row r="5103" spans="1:1" x14ac:dyDescent="0.25">
      <c r="A5103" s="66" t="s">
        <v>5545</v>
      </c>
    </row>
    <row r="5104" spans="1:1" x14ac:dyDescent="0.25">
      <c r="A5104" s="66" t="s">
        <v>5546</v>
      </c>
    </row>
    <row r="5105" spans="1:1" x14ac:dyDescent="0.25">
      <c r="A5105" s="66" t="s">
        <v>5547</v>
      </c>
    </row>
    <row r="5106" spans="1:1" x14ac:dyDescent="0.25">
      <c r="A5106" s="66" t="s">
        <v>5548</v>
      </c>
    </row>
    <row r="5107" spans="1:1" x14ac:dyDescent="0.25">
      <c r="A5107" s="66" t="s">
        <v>5549</v>
      </c>
    </row>
    <row r="5108" spans="1:1" x14ac:dyDescent="0.25">
      <c r="A5108" s="66" t="s">
        <v>5550</v>
      </c>
    </row>
    <row r="5109" spans="1:1" x14ac:dyDescent="0.25">
      <c r="A5109" s="56" t="s">
        <v>5551</v>
      </c>
    </row>
    <row r="5110" spans="1:1" x14ac:dyDescent="0.25">
      <c r="A5110" s="66" t="s">
        <v>5552</v>
      </c>
    </row>
    <row r="5111" spans="1:1" x14ac:dyDescent="0.25">
      <c r="A5111" s="66" t="s">
        <v>5553</v>
      </c>
    </row>
    <row r="5112" spans="1:1" x14ac:dyDescent="0.25">
      <c r="A5112" s="66" t="s">
        <v>5554</v>
      </c>
    </row>
    <row r="5113" spans="1:1" x14ac:dyDescent="0.25">
      <c r="A5113" s="66" t="s">
        <v>5555</v>
      </c>
    </row>
    <row r="5114" spans="1:1" x14ac:dyDescent="0.25">
      <c r="A5114" s="66" t="s">
        <v>5556</v>
      </c>
    </row>
    <row r="5115" spans="1:1" x14ac:dyDescent="0.25">
      <c r="A5115" s="66" t="s">
        <v>5557</v>
      </c>
    </row>
    <row r="5116" spans="1:1" x14ac:dyDescent="0.25">
      <c r="A5116" s="66" t="s">
        <v>5558</v>
      </c>
    </row>
    <row r="5117" spans="1:1" x14ac:dyDescent="0.25">
      <c r="A5117" s="66" t="s">
        <v>5559</v>
      </c>
    </row>
    <row r="5118" spans="1:1" x14ac:dyDescent="0.25">
      <c r="A5118" s="66" t="s">
        <v>5560</v>
      </c>
    </row>
    <row r="5119" spans="1:1" x14ac:dyDescent="0.25">
      <c r="A5119" s="66" t="s">
        <v>5561</v>
      </c>
    </row>
    <row r="5120" spans="1:1" x14ac:dyDescent="0.25">
      <c r="A5120" s="66" t="s">
        <v>5562</v>
      </c>
    </row>
    <row r="5121" spans="1:1" x14ac:dyDescent="0.25">
      <c r="A5121" s="66" t="s">
        <v>5563</v>
      </c>
    </row>
    <row r="5122" spans="1:1" x14ac:dyDescent="0.25">
      <c r="A5122" s="66" t="s">
        <v>5564</v>
      </c>
    </row>
    <row r="5123" spans="1:1" x14ac:dyDescent="0.25">
      <c r="A5123" s="66" t="s">
        <v>5565</v>
      </c>
    </row>
    <row r="5124" spans="1:1" x14ac:dyDescent="0.25">
      <c r="A5124" s="66" t="s">
        <v>5566</v>
      </c>
    </row>
    <row r="5125" spans="1:1" x14ac:dyDescent="0.25">
      <c r="A5125" s="66" t="s">
        <v>5567</v>
      </c>
    </row>
    <row r="5126" spans="1:1" x14ac:dyDescent="0.25">
      <c r="A5126" s="66" t="s">
        <v>5568</v>
      </c>
    </row>
    <row r="5127" spans="1:1" x14ac:dyDescent="0.25">
      <c r="A5127" s="66" t="s">
        <v>5569</v>
      </c>
    </row>
    <row r="5128" spans="1:1" x14ac:dyDescent="0.25">
      <c r="A5128" s="66" t="s">
        <v>5570</v>
      </c>
    </row>
    <row r="5129" spans="1:1" x14ac:dyDescent="0.25">
      <c r="A5129" s="66" t="s">
        <v>5571</v>
      </c>
    </row>
    <row r="5130" spans="1:1" x14ac:dyDescent="0.25">
      <c r="A5130" s="66" t="s">
        <v>5572</v>
      </c>
    </row>
    <row r="5131" spans="1:1" x14ac:dyDescent="0.25">
      <c r="A5131" s="66" t="s">
        <v>5573</v>
      </c>
    </row>
    <row r="5132" spans="1:1" x14ac:dyDescent="0.25">
      <c r="A5132" s="66" t="s">
        <v>5574</v>
      </c>
    </row>
    <row r="5133" spans="1:1" x14ac:dyDescent="0.25">
      <c r="A5133" s="66" t="s">
        <v>5575</v>
      </c>
    </row>
    <row r="5134" spans="1:1" x14ac:dyDescent="0.25">
      <c r="A5134" s="56" t="s">
        <v>5576</v>
      </c>
    </row>
    <row r="5135" spans="1:1" x14ac:dyDescent="0.25">
      <c r="A5135" s="66" t="s">
        <v>5577</v>
      </c>
    </row>
    <row r="5136" spans="1:1" x14ac:dyDescent="0.25">
      <c r="A5136" s="66" t="s">
        <v>5578</v>
      </c>
    </row>
    <row r="5137" spans="1:1" x14ac:dyDescent="0.25">
      <c r="A5137" s="66" t="s">
        <v>5579</v>
      </c>
    </row>
    <row r="5138" spans="1:1" x14ac:dyDescent="0.25">
      <c r="A5138" s="66" t="s">
        <v>5580</v>
      </c>
    </row>
    <row r="5139" spans="1:1" x14ac:dyDescent="0.25">
      <c r="A5139" s="66" t="s">
        <v>5581</v>
      </c>
    </row>
    <row r="5140" spans="1:1" x14ac:dyDescent="0.25">
      <c r="A5140" s="66" t="s">
        <v>5582</v>
      </c>
    </row>
    <row r="5141" spans="1:1" x14ac:dyDescent="0.25">
      <c r="A5141" s="66" t="s">
        <v>5583</v>
      </c>
    </row>
    <row r="5142" spans="1:1" x14ac:dyDescent="0.25">
      <c r="A5142" s="66" t="s">
        <v>5584</v>
      </c>
    </row>
    <row r="5143" spans="1:1" x14ac:dyDescent="0.25">
      <c r="A5143" s="66" t="s">
        <v>5585</v>
      </c>
    </row>
    <row r="5144" spans="1:1" x14ac:dyDescent="0.25">
      <c r="A5144" s="66" t="s">
        <v>5586</v>
      </c>
    </row>
    <row r="5145" spans="1:1" x14ac:dyDescent="0.25">
      <c r="A5145" s="66" t="s">
        <v>5587</v>
      </c>
    </row>
    <row r="5146" spans="1:1" x14ac:dyDescent="0.25">
      <c r="A5146" s="66" t="s">
        <v>5588</v>
      </c>
    </row>
    <row r="5147" spans="1:1" x14ac:dyDescent="0.25">
      <c r="A5147" s="66" t="s">
        <v>5589</v>
      </c>
    </row>
    <row r="5148" spans="1:1" x14ac:dyDescent="0.25">
      <c r="A5148" s="66" t="s">
        <v>5590</v>
      </c>
    </row>
    <row r="5149" spans="1:1" x14ac:dyDescent="0.25">
      <c r="A5149" s="66" t="s">
        <v>5591</v>
      </c>
    </row>
    <row r="5150" spans="1:1" x14ac:dyDescent="0.25">
      <c r="A5150" s="66" t="s">
        <v>5592</v>
      </c>
    </row>
    <row r="5151" spans="1:1" x14ac:dyDescent="0.25">
      <c r="A5151" s="66" t="s">
        <v>5593</v>
      </c>
    </row>
    <row r="5152" spans="1:1" x14ac:dyDescent="0.25">
      <c r="A5152" s="66" t="s">
        <v>5594</v>
      </c>
    </row>
    <row r="5153" spans="1:1" x14ac:dyDescent="0.25">
      <c r="A5153" s="66" t="s">
        <v>5595</v>
      </c>
    </row>
    <row r="5154" spans="1:1" x14ac:dyDescent="0.25">
      <c r="A5154" s="66" t="s">
        <v>5596</v>
      </c>
    </row>
    <row r="5155" spans="1:1" x14ac:dyDescent="0.25">
      <c r="A5155" s="66" t="s">
        <v>5597</v>
      </c>
    </row>
    <row r="5156" spans="1:1" x14ac:dyDescent="0.25">
      <c r="A5156" s="66" t="s">
        <v>5598</v>
      </c>
    </row>
    <row r="5157" spans="1:1" x14ac:dyDescent="0.25">
      <c r="A5157" s="66" t="s">
        <v>5599</v>
      </c>
    </row>
    <row r="5158" spans="1:1" x14ac:dyDescent="0.25">
      <c r="A5158" s="66" t="s">
        <v>5600</v>
      </c>
    </row>
    <row r="5159" spans="1:1" x14ac:dyDescent="0.25">
      <c r="A5159" s="66" t="s">
        <v>5601</v>
      </c>
    </row>
    <row r="5160" spans="1:1" x14ac:dyDescent="0.25">
      <c r="A5160" s="66" t="s">
        <v>5602</v>
      </c>
    </row>
    <row r="5161" spans="1:1" x14ac:dyDescent="0.25">
      <c r="A5161" s="66" t="s">
        <v>5603</v>
      </c>
    </row>
    <row r="5162" spans="1:1" x14ac:dyDescent="0.25">
      <c r="A5162" s="66" t="s">
        <v>5604</v>
      </c>
    </row>
    <row r="5163" spans="1:1" x14ac:dyDescent="0.25">
      <c r="A5163" s="66" t="s">
        <v>5605</v>
      </c>
    </row>
    <row r="5164" spans="1:1" x14ac:dyDescent="0.25">
      <c r="A5164" s="66" t="s">
        <v>5606</v>
      </c>
    </row>
    <row r="5165" spans="1:1" x14ac:dyDescent="0.25">
      <c r="A5165" s="66" t="s">
        <v>5607</v>
      </c>
    </row>
    <row r="5166" spans="1:1" x14ac:dyDescent="0.25">
      <c r="A5166" s="66" t="s">
        <v>5608</v>
      </c>
    </row>
    <row r="5167" spans="1:1" x14ac:dyDescent="0.25">
      <c r="A5167" s="66" t="s">
        <v>5609</v>
      </c>
    </row>
    <row r="5168" spans="1:1" x14ac:dyDescent="0.25">
      <c r="A5168" s="66" t="s">
        <v>5610</v>
      </c>
    </row>
    <row r="5169" spans="1:1" x14ac:dyDescent="0.25">
      <c r="A5169" s="66" t="s">
        <v>5611</v>
      </c>
    </row>
    <row r="5170" spans="1:1" x14ac:dyDescent="0.25">
      <c r="A5170" s="66" t="s">
        <v>5612</v>
      </c>
    </row>
    <row r="5171" spans="1:1" x14ac:dyDescent="0.25">
      <c r="A5171" s="66" t="s">
        <v>5613</v>
      </c>
    </row>
    <row r="5172" spans="1:1" x14ac:dyDescent="0.25">
      <c r="A5172" s="66" t="s">
        <v>5614</v>
      </c>
    </row>
    <row r="5173" spans="1:1" x14ac:dyDescent="0.25">
      <c r="A5173" s="66" t="s">
        <v>5615</v>
      </c>
    </row>
    <row r="5174" spans="1:1" x14ac:dyDescent="0.25">
      <c r="A5174" s="66" t="s">
        <v>5616</v>
      </c>
    </row>
    <row r="5175" spans="1:1" x14ac:dyDescent="0.25">
      <c r="A5175" s="66" t="s">
        <v>5617</v>
      </c>
    </row>
    <row r="5176" spans="1:1" x14ac:dyDescent="0.25">
      <c r="A5176" s="66" t="s">
        <v>5618</v>
      </c>
    </row>
    <row r="5177" spans="1:1" x14ac:dyDescent="0.25">
      <c r="A5177" s="66" t="s">
        <v>5619</v>
      </c>
    </row>
    <row r="5178" spans="1:1" x14ac:dyDescent="0.25">
      <c r="A5178" s="66" t="s">
        <v>5620</v>
      </c>
    </row>
    <row r="5179" spans="1:1" x14ac:dyDescent="0.25">
      <c r="A5179" s="66" t="s">
        <v>5621</v>
      </c>
    </row>
    <row r="5180" spans="1:1" x14ac:dyDescent="0.25">
      <c r="A5180" s="66" t="s">
        <v>5622</v>
      </c>
    </row>
    <row r="5181" spans="1:1" x14ac:dyDescent="0.25">
      <c r="A5181" s="66" t="s">
        <v>5623</v>
      </c>
    </row>
    <row r="5182" spans="1:1" x14ac:dyDescent="0.25">
      <c r="A5182" s="66" t="s">
        <v>5624</v>
      </c>
    </row>
    <row r="5183" spans="1:1" x14ac:dyDescent="0.25">
      <c r="A5183" s="66" t="s">
        <v>5625</v>
      </c>
    </row>
    <row r="5184" spans="1:1" x14ac:dyDescent="0.25">
      <c r="A5184" s="66" t="s">
        <v>5626</v>
      </c>
    </row>
    <row r="5185" spans="1:1" x14ac:dyDescent="0.25">
      <c r="A5185" s="66" t="s">
        <v>5627</v>
      </c>
    </row>
    <row r="5186" spans="1:1" x14ac:dyDescent="0.25">
      <c r="A5186" s="66" t="s">
        <v>5628</v>
      </c>
    </row>
    <row r="5187" spans="1:1" x14ac:dyDescent="0.25">
      <c r="A5187" s="66" t="s">
        <v>5629</v>
      </c>
    </row>
    <row r="5188" spans="1:1" x14ac:dyDescent="0.25">
      <c r="A5188" s="66" t="s">
        <v>5630</v>
      </c>
    </row>
    <row r="5189" spans="1:1" x14ac:dyDescent="0.25">
      <c r="A5189" s="66" t="s">
        <v>5631</v>
      </c>
    </row>
    <row r="5190" spans="1:1" x14ac:dyDescent="0.25">
      <c r="A5190" s="66" t="s">
        <v>5632</v>
      </c>
    </row>
    <row r="5191" spans="1:1" x14ac:dyDescent="0.25">
      <c r="A5191" s="66" t="s">
        <v>5633</v>
      </c>
    </row>
    <row r="5192" spans="1:1" x14ac:dyDescent="0.25">
      <c r="A5192" s="66" t="s">
        <v>5634</v>
      </c>
    </row>
    <row r="5193" spans="1:1" x14ac:dyDescent="0.25">
      <c r="A5193" s="66" t="s">
        <v>5635</v>
      </c>
    </row>
    <row r="5194" spans="1:1" x14ac:dyDescent="0.25">
      <c r="A5194" s="66" t="s">
        <v>5636</v>
      </c>
    </row>
    <row r="5195" spans="1:1" x14ac:dyDescent="0.25">
      <c r="A5195" s="66" t="s">
        <v>5637</v>
      </c>
    </row>
    <row r="5196" spans="1:1" x14ac:dyDescent="0.25">
      <c r="A5196" s="66" t="s">
        <v>5638</v>
      </c>
    </row>
    <row r="5197" spans="1:1" x14ac:dyDescent="0.25">
      <c r="A5197" s="66" t="s">
        <v>5639</v>
      </c>
    </row>
    <row r="5198" spans="1:1" x14ac:dyDescent="0.25">
      <c r="A5198" s="66" t="s">
        <v>5640</v>
      </c>
    </row>
    <row r="5199" spans="1:1" x14ac:dyDescent="0.25">
      <c r="A5199" s="66" t="s">
        <v>5641</v>
      </c>
    </row>
    <row r="5200" spans="1:1" x14ac:dyDescent="0.25">
      <c r="A5200" s="66" t="s">
        <v>5642</v>
      </c>
    </row>
    <row r="5201" spans="1:1" x14ac:dyDescent="0.25">
      <c r="A5201" s="66" t="s">
        <v>5643</v>
      </c>
    </row>
    <row r="5202" spans="1:1" x14ac:dyDescent="0.25">
      <c r="A5202" s="66" t="s">
        <v>5644</v>
      </c>
    </row>
    <row r="5203" spans="1:1" x14ac:dyDescent="0.25">
      <c r="A5203" s="66" t="s">
        <v>5645</v>
      </c>
    </row>
    <row r="5204" spans="1:1" x14ac:dyDescent="0.25">
      <c r="A5204" s="66" t="s">
        <v>5646</v>
      </c>
    </row>
    <row r="5205" spans="1:1" x14ac:dyDescent="0.25">
      <c r="A5205" s="66" t="s">
        <v>5647</v>
      </c>
    </row>
    <row r="5206" spans="1:1" x14ac:dyDescent="0.25">
      <c r="A5206" s="66" t="s">
        <v>5648</v>
      </c>
    </row>
    <row r="5207" spans="1:1" x14ac:dyDescent="0.25">
      <c r="A5207" s="66" t="s">
        <v>5649</v>
      </c>
    </row>
    <row r="5208" spans="1:1" x14ac:dyDescent="0.25">
      <c r="A5208" s="66" t="s">
        <v>5650</v>
      </c>
    </row>
    <row r="5209" spans="1:1" x14ac:dyDescent="0.25">
      <c r="A5209" s="66" t="s">
        <v>5651</v>
      </c>
    </row>
    <row r="5210" spans="1:1" x14ac:dyDescent="0.25">
      <c r="A5210" s="66" t="s">
        <v>5652</v>
      </c>
    </row>
    <row r="5211" spans="1:1" x14ac:dyDescent="0.25">
      <c r="A5211" s="66" t="s">
        <v>5653</v>
      </c>
    </row>
    <row r="5212" spans="1:1" x14ac:dyDescent="0.25">
      <c r="A5212" s="66" t="s">
        <v>5654</v>
      </c>
    </row>
    <row r="5213" spans="1:1" x14ac:dyDescent="0.25">
      <c r="A5213" s="66" t="s">
        <v>5655</v>
      </c>
    </row>
    <row r="5214" spans="1:1" x14ac:dyDescent="0.25">
      <c r="A5214" s="66" t="s">
        <v>5656</v>
      </c>
    </row>
    <row r="5215" spans="1:1" x14ac:dyDescent="0.25">
      <c r="A5215" s="66" t="s">
        <v>5657</v>
      </c>
    </row>
    <row r="5216" spans="1:1" x14ac:dyDescent="0.25">
      <c r="A5216" s="66" t="s">
        <v>5658</v>
      </c>
    </row>
    <row r="5217" spans="1:1" x14ac:dyDescent="0.25">
      <c r="A5217" s="66" t="s">
        <v>5659</v>
      </c>
    </row>
    <row r="5218" spans="1:1" x14ac:dyDescent="0.25">
      <c r="A5218" s="66" t="s">
        <v>5660</v>
      </c>
    </row>
    <row r="5219" spans="1:1" x14ac:dyDescent="0.25">
      <c r="A5219" s="66" t="s">
        <v>5661</v>
      </c>
    </row>
    <row r="5220" spans="1:1" x14ac:dyDescent="0.25">
      <c r="A5220" s="66" t="s">
        <v>5662</v>
      </c>
    </row>
    <row r="5221" spans="1:1" x14ac:dyDescent="0.25">
      <c r="A5221" s="66" t="s">
        <v>5663</v>
      </c>
    </row>
    <row r="5222" spans="1:1" x14ac:dyDescent="0.25">
      <c r="A5222" s="66" t="s">
        <v>5664</v>
      </c>
    </row>
    <row r="5223" spans="1:1" x14ac:dyDescent="0.25">
      <c r="A5223" s="66" t="s">
        <v>5665</v>
      </c>
    </row>
    <row r="5224" spans="1:1" x14ac:dyDescent="0.25">
      <c r="A5224" s="66" t="s">
        <v>5666</v>
      </c>
    </row>
    <row r="5225" spans="1:1" x14ac:dyDescent="0.25">
      <c r="A5225" s="66" t="s">
        <v>5667</v>
      </c>
    </row>
    <row r="5226" spans="1:1" x14ac:dyDescent="0.25">
      <c r="A5226" s="66" t="s">
        <v>5668</v>
      </c>
    </row>
    <row r="5227" spans="1:1" x14ac:dyDescent="0.25">
      <c r="A5227" s="66" t="s">
        <v>5669</v>
      </c>
    </row>
    <row r="5228" spans="1:1" x14ac:dyDescent="0.25">
      <c r="A5228" s="66" t="s">
        <v>5670</v>
      </c>
    </row>
    <row r="5229" spans="1:1" x14ac:dyDescent="0.25">
      <c r="A5229" s="66" t="s">
        <v>5671</v>
      </c>
    </row>
    <row r="5230" spans="1:1" x14ac:dyDescent="0.25">
      <c r="A5230" s="66" t="s">
        <v>5672</v>
      </c>
    </row>
    <row r="5231" spans="1:1" x14ac:dyDescent="0.25">
      <c r="A5231" s="56" t="s">
        <v>5673</v>
      </c>
    </row>
    <row r="5232" spans="1:1" x14ac:dyDescent="0.25">
      <c r="A5232" s="66" t="s">
        <v>5674</v>
      </c>
    </row>
    <row r="5233" spans="1:1" x14ac:dyDescent="0.25">
      <c r="A5233" s="56" t="s">
        <v>5675</v>
      </c>
    </row>
    <row r="5234" spans="1:1" x14ac:dyDescent="0.25">
      <c r="A5234" s="66" t="s">
        <v>5676</v>
      </c>
    </row>
    <row r="5235" spans="1:1" x14ac:dyDescent="0.25">
      <c r="A5235" s="56" t="s">
        <v>5677</v>
      </c>
    </row>
    <row r="5236" spans="1:1" x14ac:dyDescent="0.25">
      <c r="A5236" s="66" t="s">
        <v>5678</v>
      </c>
    </row>
    <row r="5237" spans="1:1" x14ac:dyDescent="0.25">
      <c r="A5237" s="56" t="s">
        <v>5679</v>
      </c>
    </row>
    <row r="5238" spans="1:1" x14ac:dyDescent="0.25">
      <c r="A5238" s="66" t="s">
        <v>5680</v>
      </c>
    </row>
    <row r="5239" spans="1:1" x14ac:dyDescent="0.25">
      <c r="A5239" s="56" t="s">
        <v>5681</v>
      </c>
    </row>
    <row r="5240" spans="1:1" x14ac:dyDescent="0.25">
      <c r="A5240" s="66" t="s">
        <v>5682</v>
      </c>
    </row>
    <row r="5241" spans="1:1" x14ac:dyDescent="0.25">
      <c r="A5241" s="56" t="s">
        <v>5683</v>
      </c>
    </row>
    <row r="5242" spans="1:1" x14ac:dyDescent="0.25">
      <c r="A5242" s="66" t="s">
        <v>5684</v>
      </c>
    </row>
    <row r="5243" spans="1:1" x14ac:dyDescent="0.25">
      <c r="A5243" s="66" t="s">
        <v>5685</v>
      </c>
    </row>
    <row r="5244" spans="1:1" x14ac:dyDescent="0.25">
      <c r="A5244" s="66" t="s">
        <v>5686</v>
      </c>
    </row>
    <row r="5245" spans="1:1" x14ac:dyDescent="0.25">
      <c r="A5245" s="66" t="s">
        <v>5687</v>
      </c>
    </row>
    <row r="5246" spans="1:1" x14ac:dyDescent="0.25">
      <c r="A5246" s="66" t="s">
        <v>5688</v>
      </c>
    </row>
    <row r="5247" spans="1:1" x14ac:dyDescent="0.25">
      <c r="A5247" s="66" t="s">
        <v>5689</v>
      </c>
    </row>
    <row r="5248" spans="1:1" x14ac:dyDescent="0.25">
      <c r="A5248" s="66" t="s">
        <v>5690</v>
      </c>
    </row>
    <row r="5249" spans="1:1" x14ac:dyDescent="0.25">
      <c r="A5249" s="66" t="s">
        <v>5691</v>
      </c>
    </row>
    <row r="5250" spans="1:1" x14ac:dyDescent="0.25">
      <c r="A5250" s="66" t="s">
        <v>5692</v>
      </c>
    </row>
    <row r="5251" spans="1:1" x14ac:dyDescent="0.25">
      <c r="A5251" s="66" t="s">
        <v>5693</v>
      </c>
    </row>
    <row r="5252" spans="1:1" x14ac:dyDescent="0.25">
      <c r="A5252" s="66" t="s">
        <v>5694</v>
      </c>
    </row>
    <row r="5253" spans="1:1" x14ac:dyDescent="0.25">
      <c r="A5253" s="66" t="s">
        <v>5695</v>
      </c>
    </row>
    <row r="5254" spans="1:1" x14ac:dyDescent="0.25">
      <c r="A5254" s="66" t="s">
        <v>5696</v>
      </c>
    </row>
    <row r="5255" spans="1:1" x14ac:dyDescent="0.25">
      <c r="A5255" s="66" t="s">
        <v>5697</v>
      </c>
    </row>
    <row r="5256" spans="1:1" x14ac:dyDescent="0.25">
      <c r="A5256" s="66" t="s">
        <v>5698</v>
      </c>
    </row>
    <row r="5257" spans="1:1" x14ac:dyDescent="0.25">
      <c r="A5257" s="66" t="s">
        <v>5699</v>
      </c>
    </row>
    <row r="5258" spans="1:1" x14ac:dyDescent="0.25">
      <c r="A5258" s="66" t="s">
        <v>5700</v>
      </c>
    </row>
    <row r="5259" spans="1:1" x14ac:dyDescent="0.25">
      <c r="A5259" s="66" t="s">
        <v>5701</v>
      </c>
    </row>
    <row r="5260" spans="1:1" x14ac:dyDescent="0.25">
      <c r="A5260" s="66" t="s">
        <v>5702</v>
      </c>
    </row>
    <row r="5261" spans="1:1" x14ac:dyDescent="0.25">
      <c r="A5261" s="66" t="s">
        <v>5703</v>
      </c>
    </row>
    <row r="5262" spans="1:1" x14ac:dyDescent="0.25">
      <c r="A5262" s="66" t="s">
        <v>5704</v>
      </c>
    </row>
    <row r="5263" spans="1:1" x14ac:dyDescent="0.25">
      <c r="A5263" s="66" t="s">
        <v>5705</v>
      </c>
    </row>
    <row r="5264" spans="1:1" x14ac:dyDescent="0.25">
      <c r="A5264" s="66" t="s">
        <v>5706</v>
      </c>
    </row>
    <row r="5265" spans="1:1" x14ac:dyDescent="0.25">
      <c r="A5265" s="66" t="s">
        <v>5707</v>
      </c>
    </row>
    <row r="5266" spans="1:1" x14ac:dyDescent="0.25">
      <c r="A5266" s="66" t="s">
        <v>5708</v>
      </c>
    </row>
    <row r="5267" spans="1:1" x14ac:dyDescent="0.25">
      <c r="A5267" s="66" t="s">
        <v>5709</v>
      </c>
    </row>
    <row r="5268" spans="1:1" x14ac:dyDescent="0.25">
      <c r="A5268" s="66" t="s">
        <v>5710</v>
      </c>
    </row>
    <row r="5269" spans="1:1" x14ac:dyDescent="0.25">
      <c r="A5269" s="66" t="s">
        <v>5711</v>
      </c>
    </row>
    <row r="5270" spans="1:1" x14ac:dyDescent="0.25">
      <c r="A5270" s="66" t="s">
        <v>5712</v>
      </c>
    </row>
    <row r="5271" spans="1:1" x14ac:dyDescent="0.25">
      <c r="A5271" s="66" t="s">
        <v>5713</v>
      </c>
    </row>
    <row r="5272" spans="1:1" x14ac:dyDescent="0.25">
      <c r="A5272" s="66" t="s">
        <v>5714</v>
      </c>
    </row>
    <row r="5273" spans="1:1" x14ac:dyDescent="0.25">
      <c r="A5273" s="66" t="s">
        <v>5715</v>
      </c>
    </row>
    <row r="5274" spans="1:1" x14ac:dyDescent="0.25">
      <c r="A5274" s="66" t="s">
        <v>5716</v>
      </c>
    </row>
    <row r="5275" spans="1:1" x14ac:dyDescent="0.25">
      <c r="A5275" s="66" t="s">
        <v>5717</v>
      </c>
    </row>
    <row r="5276" spans="1:1" x14ac:dyDescent="0.25">
      <c r="A5276" s="66" t="s">
        <v>5718</v>
      </c>
    </row>
    <row r="5277" spans="1:1" x14ac:dyDescent="0.25">
      <c r="A5277" s="66" t="s">
        <v>5719</v>
      </c>
    </row>
    <row r="5278" spans="1:1" x14ac:dyDescent="0.25">
      <c r="A5278" s="66" t="s">
        <v>5720</v>
      </c>
    </row>
    <row r="5279" spans="1:1" x14ac:dyDescent="0.25">
      <c r="A5279" s="66" t="s">
        <v>5721</v>
      </c>
    </row>
    <row r="5280" spans="1:1" x14ac:dyDescent="0.25">
      <c r="A5280" s="66" t="s">
        <v>5722</v>
      </c>
    </row>
    <row r="5281" spans="1:1" x14ac:dyDescent="0.25">
      <c r="A5281" s="66" t="s">
        <v>5723</v>
      </c>
    </row>
    <row r="5282" spans="1:1" x14ac:dyDescent="0.25">
      <c r="A5282" s="66" t="s">
        <v>5724</v>
      </c>
    </row>
    <row r="5283" spans="1:1" x14ac:dyDescent="0.25">
      <c r="A5283" s="66" t="s">
        <v>5725</v>
      </c>
    </row>
    <row r="5284" spans="1:1" x14ac:dyDescent="0.25">
      <c r="A5284" s="66" t="s">
        <v>5726</v>
      </c>
    </row>
    <row r="5285" spans="1:1" x14ac:dyDescent="0.25">
      <c r="A5285" s="66" t="s">
        <v>5727</v>
      </c>
    </row>
    <row r="5286" spans="1:1" x14ac:dyDescent="0.25">
      <c r="A5286" s="66" t="s">
        <v>5728</v>
      </c>
    </row>
    <row r="5287" spans="1:1" x14ac:dyDescent="0.25">
      <c r="A5287" s="66" t="s">
        <v>5729</v>
      </c>
    </row>
    <row r="5288" spans="1:1" x14ac:dyDescent="0.25">
      <c r="A5288" s="56" t="s">
        <v>5730</v>
      </c>
    </row>
    <row r="5289" spans="1:1" x14ac:dyDescent="0.25">
      <c r="A5289" s="66" t="s">
        <v>5731</v>
      </c>
    </row>
    <row r="5290" spans="1:1" x14ac:dyDescent="0.25">
      <c r="A5290" s="56" t="s">
        <v>5732</v>
      </c>
    </row>
    <row r="5291" spans="1:1" x14ac:dyDescent="0.25">
      <c r="A5291" s="66" t="s">
        <v>5733</v>
      </c>
    </row>
    <row r="5292" spans="1:1" x14ac:dyDescent="0.25">
      <c r="A5292" s="66" t="s">
        <v>5734</v>
      </c>
    </row>
    <row r="5293" spans="1:1" x14ac:dyDescent="0.25">
      <c r="A5293" s="66" t="s">
        <v>5735</v>
      </c>
    </row>
    <row r="5294" spans="1:1" x14ac:dyDescent="0.25">
      <c r="A5294" s="66" t="s">
        <v>5736</v>
      </c>
    </row>
    <row r="5295" spans="1:1" x14ac:dyDescent="0.25">
      <c r="A5295" s="66" t="s">
        <v>5737</v>
      </c>
    </row>
    <row r="5296" spans="1:1" x14ac:dyDescent="0.25">
      <c r="A5296" s="66" t="s">
        <v>5738</v>
      </c>
    </row>
    <row r="5297" spans="1:1" x14ac:dyDescent="0.25">
      <c r="A5297" s="66" t="s">
        <v>5739</v>
      </c>
    </row>
    <row r="5298" spans="1:1" x14ac:dyDescent="0.25">
      <c r="A5298" s="66" t="s">
        <v>5740</v>
      </c>
    </row>
    <row r="5299" spans="1:1" x14ac:dyDescent="0.25">
      <c r="A5299" s="66" t="s">
        <v>5741</v>
      </c>
    </row>
    <row r="5300" spans="1:1" x14ac:dyDescent="0.25">
      <c r="A5300" s="66" t="s">
        <v>5742</v>
      </c>
    </row>
    <row r="5301" spans="1:1" x14ac:dyDescent="0.25">
      <c r="A5301" s="66" t="s">
        <v>5743</v>
      </c>
    </row>
    <row r="5302" spans="1:1" x14ac:dyDescent="0.25">
      <c r="A5302" s="66" t="s">
        <v>5744</v>
      </c>
    </row>
    <row r="5303" spans="1:1" x14ac:dyDescent="0.25">
      <c r="A5303" s="66" t="s">
        <v>5745</v>
      </c>
    </row>
    <row r="5304" spans="1:1" x14ac:dyDescent="0.25">
      <c r="A5304" s="66" t="s">
        <v>5746</v>
      </c>
    </row>
    <row r="5305" spans="1:1" x14ac:dyDescent="0.25">
      <c r="A5305" s="66" t="s">
        <v>5747</v>
      </c>
    </row>
    <row r="5306" spans="1:1" x14ac:dyDescent="0.25">
      <c r="A5306" s="66" t="s">
        <v>5748</v>
      </c>
    </row>
    <row r="5307" spans="1:1" x14ac:dyDescent="0.25">
      <c r="A5307" s="66" t="s">
        <v>5749</v>
      </c>
    </row>
    <row r="5308" spans="1:1" x14ac:dyDescent="0.25">
      <c r="A5308" s="66" t="s">
        <v>5750</v>
      </c>
    </row>
    <row r="5309" spans="1:1" x14ac:dyDescent="0.25">
      <c r="A5309" s="66" t="s">
        <v>5751</v>
      </c>
    </row>
    <row r="5310" spans="1:1" x14ac:dyDescent="0.25">
      <c r="A5310" s="66" t="s">
        <v>5752</v>
      </c>
    </row>
    <row r="5311" spans="1:1" x14ac:dyDescent="0.25">
      <c r="A5311" s="56" t="s">
        <v>5753</v>
      </c>
    </row>
    <row r="5312" spans="1:1" x14ac:dyDescent="0.25">
      <c r="A5312" s="66" t="s">
        <v>5754</v>
      </c>
    </row>
    <row r="5313" spans="1:1" x14ac:dyDescent="0.25">
      <c r="A5313" s="56" t="s">
        <v>5755</v>
      </c>
    </row>
    <row r="5314" spans="1:1" x14ac:dyDescent="0.25">
      <c r="A5314" s="66" t="s">
        <v>5756</v>
      </c>
    </row>
    <row r="5315" spans="1:1" x14ac:dyDescent="0.25">
      <c r="A5315" s="66" t="s">
        <v>5757</v>
      </c>
    </row>
    <row r="5316" spans="1:1" x14ac:dyDescent="0.25">
      <c r="A5316" s="66" t="s">
        <v>5758</v>
      </c>
    </row>
    <row r="5317" spans="1:1" x14ac:dyDescent="0.25">
      <c r="A5317" s="66" t="s">
        <v>5759</v>
      </c>
    </row>
    <row r="5318" spans="1:1" x14ac:dyDescent="0.25">
      <c r="A5318" s="66" t="s">
        <v>5760</v>
      </c>
    </row>
    <row r="5319" spans="1:1" x14ac:dyDescent="0.25">
      <c r="A5319" s="66" t="s">
        <v>5761</v>
      </c>
    </row>
    <row r="5320" spans="1:1" x14ac:dyDescent="0.25">
      <c r="A5320" s="66" t="s">
        <v>5762</v>
      </c>
    </row>
    <row r="5321" spans="1:1" x14ac:dyDescent="0.25">
      <c r="A5321" s="66" t="s">
        <v>5763</v>
      </c>
    </row>
    <row r="5322" spans="1:1" x14ac:dyDescent="0.25">
      <c r="A5322" s="66" t="s">
        <v>5764</v>
      </c>
    </row>
    <row r="5323" spans="1:1" x14ac:dyDescent="0.25">
      <c r="A5323" s="66" t="s">
        <v>5765</v>
      </c>
    </row>
    <row r="5324" spans="1:1" x14ac:dyDescent="0.25">
      <c r="A5324" s="66" t="s">
        <v>5766</v>
      </c>
    </row>
    <row r="5325" spans="1:1" x14ac:dyDescent="0.25">
      <c r="A5325" s="66" t="s">
        <v>5767</v>
      </c>
    </row>
    <row r="5326" spans="1:1" x14ac:dyDescent="0.25">
      <c r="A5326" s="66" t="s">
        <v>5768</v>
      </c>
    </row>
    <row r="5327" spans="1:1" x14ac:dyDescent="0.25">
      <c r="A5327" s="66" t="s">
        <v>5769</v>
      </c>
    </row>
    <row r="5328" spans="1:1" x14ac:dyDescent="0.25">
      <c r="A5328" s="66" t="s">
        <v>5770</v>
      </c>
    </row>
    <row r="5329" spans="1:1" x14ac:dyDescent="0.25">
      <c r="A5329" s="66" t="s">
        <v>5771</v>
      </c>
    </row>
    <row r="5330" spans="1:1" x14ac:dyDescent="0.25">
      <c r="A5330" s="66" t="s">
        <v>5772</v>
      </c>
    </row>
    <row r="5331" spans="1:1" x14ac:dyDescent="0.25">
      <c r="A5331" s="66" t="s">
        <v>5773</v>
      </c>
    </row>
    <row r="5332" spans="1:1" x14ac:dyDescent="0.25">
      <c r="A5332" s="66" t="s">
        <v>5774</v>
      </c>
    </row>
    <row r="5333" spans="1:1" x14ac:dyDescent="0.25">
      <c r="A5333" s="66" t="s">
        <v>5775</v>
      </c>
    </row>
    <row r="5334" spans="1:1" x14ac:dyDescent="0.25">
      <c r="A5334" s="66" t="s">
        <v>5776</v>
      </c>
    </row>
    <row r="5335" spans="1:1" x14ac:dyDescent="0.25">
      <c r="A5335" s="66" t="s">
        <v>5777</v>
      </c>
    </row>
    <row r="5336" spans="1:1" x14ac:dyDescent="0.25">
      <c r="A5336" s="66" t="s">
        <v>5778</v>
      </c>
    </row>
    <row r="5337" spans="1:1" x14ac:dyDescent="0.25">
      <c r="A5337" s="66" t="s">
        <v>5779</v>
      </c>
    </row>
    <row r="5338" spans="1:1" x14ac:dyDescent="0.25">
      <c r="A5338" s="66" t="s">
        <v>5780</v>
      </c>
    </row>
    <row r="5339" spans="1:1" x14ac:dyDescent="0.25">
      <c r="A5339" s="66" t="s">
        <v>5781</v>
      </c>
    </row>
    <row r="5340" spans="1:1" x14ac:dyDescent="0.25">
      <c r="A5340" s="66" t="s">
        <v>5782</v>
      </c>
    </row>
    <row r="5341" spans="1:1" x14ac:dyDescent="0.25">
      <c r="A5341" s="66" t="s">
        <v>5783</v>
      </c>
    </row>
    <row r="5342" spans="1:1" x14ac:dyDescent="0.25">
      <c r="A5342" s="66" t="s">
        <v>5784</v>
      </c>
    </row>
    <row r="5343" spans="1:1" x14ac:dyDescent="0.25">
      <c r="A5343" s="67" t="s">
        <v>5785</v>
      </c>
    </row>
    <row r="5344" spans="1:1" x14ac:dyDescent="0.25">
      <c r="A5344" s="66" t="s">
        <v>5786</v>
      </c>
    </row>
    <row r="5345" spans="1:1" x14ac:dyDescent="0.25">
      <c r="A5345" s="66" t="s">
        <v>5787</v>
      </c>
    </row>
    <row r="5346" spans="1:1" x14ac:dyDescent="0.25">
      <c r="A5346" s="66" t="s">
        <v>5788</v>
      </c>
    </row>
    <row r="5347" spans="1:1" x14ac:dyDescent="0.25">
      <c r="A5347" s="66" t="s">
        <v>5789</v>
      </c>
    </row>
    <row r="5348" spans="1:1" x14ac:dyDescent="0.25">
      <c r="A5348" s="66" t="s">
        <v>5790</v>
      </c>
    </row>
    <row r="5349" spans="1:1" x14ac:dyDescent="0.25">
      <c r="A5349" s="66" t="s">
        <v>5791</v>
      </c>
    </row>
    <row r="5350" spans="1:1" x14ac:dyDescent="0.25">
      <c r="A5350" s="66" t="s">
        <v>5792</v>
      </c>
    </row>
    <row r="5351" spans="1:1" x14ac:dyDescent="0.25">
      <c r="A5351" s="66" t="s">
        <v>5793</v>
      </c>
    </row>
    <row r="5352" spans="1:1" x14ac:dyDescent="0.25">
      <c r="A5352" s="66" t="s">
        <v>5794</v>
      </c>
    </row>
    <row r="5353" spans="1:1" x14ac:dyDescent="0.25">
      <c r="A5353" s="66" t="s">
        <v>5795</v>
      </c>
    </row>
    <row r="5354" spans="1:1" x14ac:dyDescent="0.25">
      <c r="A5354" s="66" t="s">
        <v>5796</v>
      </c>
    </row>
    <row r="5355" spans="1:1" x14ac:dyDescent="0.25">
      <c r="A5355" s="66" t="s">
        <v>5797</v>
      </c>
    </row>
    <row r="5356" spans="1:1" x14ac:dyDescent="0.25">
      <c r="A5356" s="66" t="s">
        <v>5798</v>
      </c>
    </row>
    <row r="5357" spans="1:1" x14ac:dyDescent="0.25">
      <c r="A5357" s="66" t="s">
        <v>5799</v>
      </c>
    </row>
    <row r="5358" spans="1:1" x14ac:dyDescent="0.25">
      <c r="A5358" s="66" t="s">
        <v>5800</v>
      </c>
    </row>
    <row r="5359" spans="1:1" x14ac:dyDescent="0.25">
      <c r="A5359" s="66" t="s">
        <v>5801</v>
      </c>
    </row>
    <row r="5360" spans="1:1" x14ac:dyDescent="0.25">
      <c r="A5360" s="66" t="s">
        <v>5802</v>
      </c>
    </row>
    <row r="5361" spans="1:1" x14ac:dyDescent="0.25">
      <c r="A5361" s="66" t="s">
        <v>5803</v>
      </c>
    </row>
    <row r="5362" spans="1:1" x14ac:dyDescent="0.25">
      <c r="A5362" s="66" t="s">
        <v>5804</v>
      </c>
    </row>
    <row r="5363" spans="1:1" x14ac:dyDescent="0.25">
      <c r="A5363" s="66" t="s">
        <v>5805</v>
      </c>
    </row>
    <row r="5364" spans="1:1" x14ac:dyDescent="0.25">
      <c r="A5364" s="66" t="s">
        <v>5806</v>
      </c>
    </row>
    <row r="5365" spans="1:1" x14ac:dyDescent="0.25">
      <c r="A5365" s="66" t="s">
        <v>5807</v>
      </c>
    </row>
    <row r="5366" spans="1:1" x14ac:dyDescent="0.25">
      <c r="A5366" s="66" t="s">
        <v>5808</v>
      </c>
    </row>
    <row r="5367" spans="1:1" x14ac:dyDescent="0.25">
      <c r="A5367" s="66" t="s">
        <v>5809</v>
      </c>
    </row>
    <row r="5368" spans="1:1" x14ac:dyDescent="0.25">
      <c r="A5368" s="66" t="s">
        <v>5810</v>
      </c>
    </row>
    <row r="5369" spans="1:1" x14ac:dyDescent="0.25">
      <c r="A5369" s="66" t="s">
        <v>5811</v>
      </c>
    </row>
    <row r="5370" spans="1:1" x14ac:dyDescent="0.25">
      <c r="A5370" s="66" t="s">
        <v>5812</v>
      </c>
    </row>
    <row r="5371" spans="1:1" x14ac:dyDescent="0.25">
      <c r="A5371" s="66" t="s">
        <v>5813</v>
      </c>
    </row>
    <row r="5372" spans="1:1" x14ac:dyDescent="0.25">
      <c r="A5372" s="66" t="s">
        <v>5814</v>
      </c>
    </row>
    <row r="5373" spans="1:1" x14ac:dyDescent="0.25">
      <c r="A5373" s="66" t="s">
        <v>5815</v>
      </c>
    </row>
    <row r="5374" spans="1:1" x14ac:dyDescent="0.25">
      <c r="A5374" s="66" t="s">
        <v>5816</v>
      </c>
    </row>
    <row r="5375" spans="1:1" x14ac:dyDescent="0.25">
      <c r="A5375" s="66" t="s">
        <v>5817</v>
      </c>
    </row>
    <row r="5376" spans="1:1" x14ac:dyDescent="0.25">
      <c r="A5376" s="66" t="s">
        <v>5818</v>
      </c>
    </row>
    <row r="5377" spans="1:1" x14ac:dyDescent="0.25">
      <c r="A5377" s="56" t="s">
        <v>5819</v>
      </c>
    </row>
    <row r="5378" spans="1:1" x14ac:dyDescent="0.25">
      <c r="A5378" s="66" t="s">
        <v>5820</v>
      </c>
    </row>
    <row r="5379" spans="1:1" x14ac:dyDescent="0.25">
      <c r="A5379" s="56" t="s">
        <v>5821</v>
      </c>
    </row>
    <row r="5380" spans="1:1" x14ac:dyDescent="0.25">
      <c r="A5380" s="66" t="s">
        <v>5822</v>
      </c>
    </row>
    <row r="5381" spans="1:1" x14ac:dyDescent="0.25">
      <c r="A5381" s="66" t="s">
        <v>5823</v>
      </c>
    </row>
    <row r="5382" spans="1:1" x14ac:dyDescent="0.25">
      <c r="A5382" s="66" t="s">
        <v>5824</v>
      </c>
    </row>
    <row r="5383" spans="1:1" x14ac:dyDescent="0.25">
      <c r="A5383" s="66" t="s">
        <v>5825</v>
      </c>
    </row>
    <row r="5384" spans="1:1" x14ac:dyDescent="0.25">
      <c r="A5384" s="66" t="s">
        <v>5826</v>
      </c>
    </row>
    <row r="5385" spans="1:1" x14ac:dyDescent="0.25">
      <c r="A5385" s="66" t="s">
        <v>5827</v>
      </c>
    </row>
    <row r="5386" spans="1:1" x14ac:dyDescent="0.25">
      <c r="A5386" s="66" t="s">
        <v>5828</v>
      </c>
    </row>
    <row r="5387" spans="1:1" x14ac:dyDescent="0.25">
      <c r="A5387" s="66" t="s">
        <v>5829</v>
      </c>
    </row>
    <row r="5388" spans="1:1" x14ac:dyDescent="0.25">
      <c r="A5388" s="66" t="s">
        <v>5830</v>
      </c>
    </row>
    <row r="5389" spans="1:1" x14ac:dyDescent="0.25">
      <c r="A5389" s="66" t="s">
        <v>5831</v>
      </c>
    </row>
    <row r="5390" spans="1:1" x14ac:dyDescent="0.25">
      <c r="A5390" s="66" t="s">
        <v>5832</v>
      </c>
    </row>
    <row r="5391" spans="1:1" x14ac:dyDescent="0.25">
      <c r="A5391" s="66" t="s">
        <v>5833</v>
      </c>
    </row>
    <row r="5392" spans="1:1" x14ac:dyDescent="0.25">
      <c r="A5392" s="66" t="s">
        <v>5834</v>
      </c>
    </row>
    <row r="5393" spans="1:1" x14ac:dyDescent="0.25">
      <c r="A5393" s="66" t="s">
        <v>5835</v>
      </c>
    </row>
    <row r="5394" spans="1:1" x14ac:dyDescent="0.25">
      <c r="A5394" s="66" t="s">
        <v>5836</v>
      </c>
    </row>
    <row r="5395" spans="1:1" x14ac:dyDescent="0.25">
      <c r="A5395" s="66" t="s">
        <v>5837</v>
      </c>
    </row>
    <row r="5396" spans="1:1" x14ac:dyDescent="0.25">
      <c r="A5396" s="56" t="s">
        <v>5838</v>
      </c>
    </row>
    <row r="5397" spans="1:1" x14ac:dyDescent="0.25">
      <c r="A5397" s="66" t="s">
        <v>5839</v>
      </c>
    </row>
    <row r="5398" spans="1:1" x14ac:dyDescent="0.25">
      <c r="A5398" s="56" t="s">
        <v>5840</v>
      </c>
    </row>
    <row r="5399" spans="1:1" x14ac:dyDescent="0.25">
      <c r="A5399" s="66" t="s">
        <v>5841</v>
      </c>
    </row>
    <row r="5400" spans="1:1" x14ac:dyDescent="0.25">
      <c r="A5400" s="56" t="s">
        <v>5842</v>
      </c>
    </row>
    <row r="5401" spans="1:1" x14ac:dyDescent="0.25">
      <c r="A5401" s="66" t="s">
        <v>5843</v>
      </c>
    </row>
    <row r="5402" spans="1:1" x14ac:dyDescent="0.25">
      <c r="A5402" s="56" t="s">
        <v>5844</v>
      </c>
    </row>
    <row r="5403" spans="1:1" x14ac:dyDescent="0.25">
      <c r="A5403" s="66" t="s">
        <v>5845</v>
      </c>
    </row>
    <row r="5404" spans="1:1" x14ac:dyDescent="0.25">
      <c r="A5404" s="56" t="s">
        <v>5846</v>
      </c>
    </row>
    <row r="5405" spans="1:1" x14ac:dyDescent="0.25">
      <c r="A5405" s="66" t="s">
        <v>5847</v>
      </c>
    </row>
    <row r="5406" spans="1:1" x14ac:dyDescent="0.25">
      <c r="A5406" s="56" t="s">
        <v>5848</v>
      </c>
    </row>
    <row r="5407" spans="1:1" x14ac:dyDescent="0.25">
      <c r="A5407" s="66" t="s">
        <v>5849</v>
      </c>
    </row>
    <row r="5408" spans="1:1" x14ac:dyDescent="0.25">
      <c r="A5408" s="56" t="s">
        <v>5850</v>
      </c>
    </row>
    <row r="5409" spans="1:1" x14ac:dyDescent="0.25">
      <c r="A5409" s="66" t="s">
        <v>5851</v>
      </c>
    </row>
    <row r="5410" spans="1:1" x14ac:dyDescent="0.25">
      <c r="A5410" s="56" t="s">
        <v>5852</v>
      </c>
    </row>
    <row r="5411" spans="1:1" x14ac:dyDescent="0.25">
      <c r="A5411" s="66" t="s">
        <v>5853</v>
      </c>
    </row>
    <row r="5412" spans="1:1" x14ac:dyDescent="0.25">
      <c r="A5412" s="66" t="s">
        <v>5854</v>
      </c>
    </row>
    <row r="5413" spans="1:1" x14ac:dyDescent="0.25">
      <c r="A5413" s="66" t="s">
        <v>5855</v>
      </c>
    </row>
    <row r="5414" spans="1:1" x14ac:dyDescent="0.25">
      <c r="A5414" s="66" t="s">
        <v>5856</v>
      </c>
    </row>
    <row r="5415" spans="1:1" x14ac:dyDescent="0.25">
      <c r="A5415" s="66" t="s">
        <v>5857</v>
      </c>
    </row>
    <row r="5416" spans="1:1" x14ac:dyDescent="0.25">
      <c r="A5416" s="66" t="s">
        <v>5858</v>
      </c>
    </row>
    <row r="5417" spans="1:1" x14ac:dyDescent="0.25">
      <c r="A5417" s="66" t="s">
        <v>5859</v>
      </c>
    </row>
    <row r="5418" spans="1:1" x14ac:dyDescent="0.25">
      <c r="A5418" s="66" t="s">
        <v>5860</v>
      </c>
    </row>
    <row r="5419" spans="1:1" x14ac:dyDescent="0.25">
      <c r="A5419" s="66" t="s">
        <v>5861</v>
      </c>
    </row>
    <row r="5420" spans="1:1" x14ac:dyDescent="0.25">
      <c r="A5420" s="66" t="s">
        <v>5862</v>
      </c>
    </row>
    <row r="5421" spans="1:1" x14ac:dyDescent="0.25">
      <c r="A5421" s="66" t="s">
        <v>5863</v>
      </c>
    </row>
    <row r="5422" spans="1:1" x14ac:dyDescent="0.25">
      <c r="A5422" s="66" t="s">
        <v>5864</v>
      </c>
    </row>
    <row r="5423" spans="1:1" x14ac:dyDescent="0.25">
      <c r="A5423" s="66" t="s">
        <v>5865</v>
      </c>
    </row>
    <row r="5424" spans="1:1" x14ac:dyDescent="0.25">
      <c r="A5424" s="66" t="s">
        <v>5866</v>
      </c>
    </row>
    <row r="5425" spans="1:1" x14ac:dyDescent="0.25">
      <c r="A5425" s="66" t="s">
        <v>5867</v>
      </c>
    </row>
    <row r="5426" spans="1:1" x14ac:dyDescent="0.25">
      <c r="A5426" s="66" t="s">
        <v>5868</v>
      </c>
    </row>
    <row r="5427" spans="1:1" x14ac:dyDescent="0.25">
      <c r="A5427" s="66" t="s">
        <v>5869</v>
      </c>
    </row>
    <row r="5428" spans="1:1" x14ac:dyDescent="0.25">
      <c r="A5428" s="66" t="s">
        <v>5870</v>
      </c>
    </row>
    <row r="5429" spans="1:1" x14ac:dyDescent="0.25">
      <c r="A5429" s="66" t="s">
        <v>5871</v>
      </c>
    </row>
    <row r="5430" spans="1:1" x14ac:dyDescent="0.25">
      <c r="A5430" s="66" t="s">
        <v>5872</v>
      </c>
    </row>
    <row r="5431" spans="1:1" x14ac:dyDescent="0.25">
      <c r="A5431" s="66" t="s">
        <v>5873</v>
      </c>
    </row>
    <row r="5432" spans="1:1" x14ac:dyDescent="0.25">
      <c r="A5432" s="66" t="s">
        <v>5874</v>
      </c>
    </row>
    <row r="5433" spans="1:1" x14ac:dyDescent="0.25">
      <c r="A5433" s="66" t="s">
        <v>5875</v>
      </c>
    </row>
    <row r="5434" spans="1:1" x14ac:dyDescent="0.25">
      <c r="A5434" s="66" t="s">
        <v>5876</v>
      </c>
    </row>
    <row r="5435" spans="1:1" x14ac:dyDescent="0.25">
      <c r="A5435" s="66" t="s">
        <v>5877</v>
      </c>
    </row>
    <row r="5436" spans="1:1" x14ac:dyDescent="0.25">
      <c r="A5436" s="66" t="s">
        <v>5878</v>
      </c>
    </row>
    <row r="5437" spans="1:1" x14ac:dyDescent="0.25">
      <c r="A5437" s="66" t="s">
        <v>5879</v>
      </c>
    </row>
    <row r="5438" spans="1:1" x14ac:dyDescent="0.25">
      <c r="A5438" s="66" t="s">
        <v>5880</v>
      </c>
    </row>
    <row r="5439" spans="1:1" x14ac:dyDescent="0.25">
      <c r="A5439" s="66" t="s">
        <v>5881</v>
      </c>
    </row>
    <row r="5440" spans="1:1" x14ac:dyDescent="0.25">
      <c r="A5440" s="66" t="s">
        <v>5882</v>
      </c>
    </row>
    <row r="5441" spans="1:1" x14ac:dyDescent="0.25">
      <c r="A5441" s="66" t="s">
        <v>5883</v>
      </c>
    </row>
    <row r="5442" spans="1:1" x14ac:dyDescent="0.25">
      <c r="A5442" s="56" t="s">
        <v>5884</v>
      </c>
    </row>
    <row r="5443" spans="1:1" x14ac:dyDescent="0.25">
      <c r="A5443" s="66" t="s">
        <v>5885</v>
      </c>
    </row>
    <row r="5444" spans="1:1" x14ac:dyDescent="0.25">
      <c r="A5444" s="56" t="s">
        <v>5886</v>
      </c>
    </row>
    <row r="5445" spans="1:1" x14ac:dyDescent="0.25">
      <c r="A5445" s="66" t="s">
        <v>5887</v>
      </c>
    </row>
    <row r="5446" spans="1:1" x14ac:dyDescent="0.25">
      <c r="A5446" s="56" t="s">
        <v>5888</v>
      </c>
    </row>
    <row r="5447" spans="1:1" x14ac:dyDescent="0.25">
      <c r="A5447" s="66" t="s">
        <v>5889</v>
      </c>
    </row>
    <row r="5448" spans="1:1" x14ac:dyDescent="0.25">
      <c r="A5448" s="56" t="s">
        <v>5890</v>
      </c>
    </row>
    <row r="5449" spans="1:1" x14ac:dyDescent="0.25">
      <c r="A5449" s="66" t="s">
        <v>5891</v>
      </c>
    </row>
    <row r="5450" spans="1:1" x14ac:dyDescent="0.25">
      <c r="A5450" s="66" t="s">
        <v>5892</v>
      </c>
    </row>
    <row r="5451" spans="1:1" x14ac:dyDescent="0.25">
      <c r="A5451" s="66" t="s">
        <v>5893</v>
      </c>
    </row>
    <row r="5452" spans="1:1" x14ac:dyDescent="0.25">
      <c r="A5452" s="66" t="s">
        <v>5894</v>
      </c>
    </row>
    <row r="5453" spans="1:1" x14ac:dyDescent="0.25">
      <c r="A5453" s="66" t="s">
        <v>5895</v>
      </c>
    </row>
    <row r="5454" spans="1:1" x14ac:dyDescent="0.25">
      <c r="A5454" s="66" t="s">
        <v>5896</v>
      </c>
    </row>
    <row r="5455" spans="1:1" x14ac:dyDescent="0.25">
      <c r="A5455" s="66" t="s">
        <v>5897</v>
      </c>
    </row>
    <row r="5456" spans="1:1" x14ac:dyDescent="0.25">
      <c r="A5456" s="66" t="s">
        <v>5898</v>
      </c>
    </row>
    <row r="5457" spans="1:1" x14ac:dyDescent="0.25">
      <c r="A5457" s="66" t="s">
        <v>5899</v>
      </c>
    </row>
    <row r="5458" spans="1:1" x14ac:dyDescent="0.25">
      <c r="A5458" s="66" t="s">
        <v>5900</v>
      </c>
    </row>
    <row r="5459" spans="1:1" x14ac:dyDescent="0.25">
      <c r="A5459" s="66" t="s">
        <v>5901</v>
      </c>
    </row>
    <row r="5460" spans="1:1" x14ac:dyDescent="0.25">
      <c r="A5460" s="66" t="s">
        <v>5902</v>
      </c>
    </row>
    <row r="5461" spans="1:1" x14ac:dyDescent="0.25">
      <c r="A5461" s="66" t="s">
        <v>5903</v>
      </c>
    </row>
    <row r="5462" spans="1:1" x14ac:dyDescent="0.25">
      <c r="A5462" s="66" t="s">
        <v>5904</v>
      </c>
    </row>
    <row r="5463" spans="1:1" x14ac:dyDescent="0.25">
      <c r="A5463" s="66" t="s">
        <v>5905</v>
      </c>
    </row>
    <row r="5464" spans="1:1" x14ac:dyDescent="0.25">
      <c r="A5464" s="66" t="s">
        <v>5906</v>
      </c>
    </row>
    <row r="5465" spans="1:1" x14ac:dyDescent="0.25">
      <c r="A5465" s="66" t="s">
        <v>5907</v>
      </c>
    </row>
    <row r="5466" spans="1:1" x14ac:dyDescent="0.25">
      <c r="A5466" s="66" t="s">
        <v>5908</v>
      </c>
    </row>
    <row r="5467" spans="1:1" x14ac:dyDescent="0.25">
      <c r="A5467" s="66" t="s">
        <v>5909</v>
      </c>
    </row>
    <row r="5468" spans="1:1" x14ac:dyDescent="0.25">
      <c r="A5468" s="66" t="s">
        <v>5910</v>
      </c>
    </row>
    <row r="5469" spans="1:1" x14ac:dyDescent="0.25">
      <c r="A5469" s="66" t="s">
        <v>5911</v>
      </c>
    </row>
    <row r="5470" spans="1:1" x14ac:dyDescent="0.25">
      <c r="A5470" s="66" t="s">
        <v>5912</v>
      </c>
    </row>
    <row r="5471" spans="1:1" x14ac:dyDescent="0.25">
      <c r="A5471" s="66" t="s">
        <v>5913</v>
      </c>
    </row>
    <row r="5472" spans="1:1" x14ac:dyDescent="0.25">
      <c r="A5472" s="66" t="s">
        <v>5914</v>
      </c>
    </row>
    <row r="5473" spans="1:1" x14ac:dyDescent="0.25">
      <c r="A5473" s="66" t="s">
        <v>5915</v>
      </c>
    </row>
    <row r="5474" spans="1:1" x14ac:dyDescent="0.25">
      <c r="A5474" s="66" t="s">
        <v>5916</v>
      </c>
    </row>
    <row r="5475" spans="1:1" x14ac:dyDescent="0.25">
      <c r="A5475" s="56" t="s">
        <v>5917</v>
      </c>
    </row>
    <row r="5476" spans="1:1" x14ac:dyDescent="0.25">
      <c r="A5476" s="66" t="s">
        <v>5918</v>
      </c>
    </row>
    <row r="5477" spans="1:1" x14ac:dyDescent="0.25">
      <c r="A5477" s="56" t="s">
        <v>5919</v>
      </c>
    </row>
    <row r="5478" spans="1:1" x14ac:dyDescent="0.25">
      <c r="A5478" s="66" t="s">
        <v>5920</v>
      </c>
    </row>
    <row r="5479" spans="1:1" x14ac:dyDescent="0.25">
      <c r="A5479" s="56" t="s">
        <v>5921</v>
      </c>
    </row>
    <row r="5480" spans="1:1" x14ac:dyDescent="0.25">
      <c r="A5480" s="66" t="s">
        <v>5922</v>
      </c>
    </row>
    <row r="5481" spans="1:1" x14ac:dyDescent="0.25">
      <c r="A5481" s="56" t="s">
        <v>5923</v>
      </c>
    </row>
    <row r="5482" spans="1:1" x14ac:dyDescent="0.25">
      <c r="A5482" s="66" t="s">
        <v>5924</v>
      </c>
    </row>
    <row r="5483" spans="1:1" x14ac:dyDescent="0.25">
      <c r="A5483" s="66" t="s">
        <v>5925</v>
      </c>
    </row>
    <row r="5484" spans="1:1" x14ac:dyDescent="0.25">
      <c r="A5484" s="66" t="s">
        <v>5926</v>
      </c>
    </row>
    <row r="5485" spans="1:1" x14ac:dyDescent="0.25">
      <c r="A5485" s="66" t="s">
        <v>5927</v>
      </c>
    </row>
    <row r="5486" spans="1:1" x14ac:dyDescent="0.25">
      <c r="A5486" s="66" t="s">
        <v>5928</v>
      </c>
    </row>
    <row r="5487" spans="1:1" x14ac:dyDescent="0.25">
      <c r="A5487" s="66" t="s">
        <v>5929</v>
      </c>
    </row>
    <row r="5488" spans="1:1" x14ac:dyDescent="0.25">
      <c r="A5488" s="66" t="s">
        <v>5930</v>
      </c>
    </row>
    <row r="5489" spans="1:1" x14ac:dyDescent="0.25">
      <c r="A5489" s="66" t="s">
        <v>5931</v>
      </c>
    </row>
    <row r="5490" spans="1:1" x14ac:dyDescent="0.25">
      <c r="A5490" s="66" t="s">
        <v>5932</v>
      </c>
    </row>
    <row r="5491" spans="1:1" x14ac:dyDescent="0.25">
      <c r="A5491" s="66" t="s">
        <v>5933</v>
      </c>
    </row>
    <row r="5492" spans="1:1" x14ac:dyDescent="0.25">
      <c r="A5492" s="66" t="s">
        <v>5934</v>
      </c>
    </row>
    <row r="5493" spans="1:1" x14ac:dyDescent="0.25">
      <c r="A5493" s="66" t="s">
        <v>5935</v>
      </c>
    </row>
    <row r="5494" spans="1:1" x14ac:dyDescent="0.25">
      <c r="A5494" s="66" t="s">
        <v>5936</v>
      </c>
    </row>
    <row r="5495" spans="1:1" x14ac:dyDescent="0.25">
      <c r="A5495" s="66" t="s">
        <v>5937</v>
      </c>
    </row>
    <row r="5496" spans="1:1" x14ac:dyDescent="0.25">
      <c r="A5496" s="66" t="s">
        <v>5938</v>
      </c>
    </row>
    <row r="5497" spans="1:1" x14ac:dyDescent="0.25">
      <c r="A5497" s="66" t="s">
        <v>5939</v>
      </c>
    </row>
    <row r="5498" spans="1:1" x14ac:dyDescent="0.25">
      <c r="A5498" s="66" t="s">
        <v>5940</v>
      </c>
    </row>
    <row r="5499" spans="1:1" x14ac:dyDescent="0.25">
      <c r="A5499" s="66" t="s">
        <v>5941</v>
      </c>
    </row>
    <row r="5500" spans="1:1" x14ac:dyDescent="0.25">
      <c r="A5500" s="56" t="s">
        <v>5942</v>
      </c>
    </row>
    <row r="5501" spans="1:1" x14ac:dyDescent="0.25">
      <c r="A5501" s="66" t="s">
        <v>5943</v>
      </c>
    </row>
    <row r="5502" spans="1:1" x14ac:dyDescent="0.25">
      <c r="A5502" s="56" t="s">
        <v>5944</v>
      </c>
    </row>
    <row r="5503" spans="1:1" x14ac:dyDescent="0.25">
      <c r="A5503" s="66" t="s">
        <v>5945</v>
      </c>
    </row>
    <row r="5504" spans="1:1" x14ac:dyDescent="0.25">
      <c r="A5504" s="56" t="s">
        <v>5946</v>
      </c>
    </row>
    <row r="5505" spans="1:1" x14ac:dyDescent="0.25">
      <c r="A5505" s="66" t="s">
        <v>5947</v>
      </c>
    </row>
    <row r="5506" spans="1:1" x14ac:dyDescent="0.25">
      <c r="A5506" s="56" t="s">
        <v>5948</v>
      </c>
    </row>
    <row r="5507" spans="1:1" x14ac:dyDescent="0.25">
      <c r="A5507" s="66" t="s">
        <v>5949</v>
      </c>
    </row>
    <row r="5508" spans="1:1" x14ac:dyDescent="0.25">
      <c r="A5508" s="66" t="s">
        <v>5950</v>
      </c>
    </row>
    <row r="5509" spans="1:1" x14ac:dyDescent="0.25">
      <c r="A5509" s="66" t="s">
        <v>5951</v>
      </c>
    </row>
    <row r="5510" spans="1:1" x14ac:dyDescent="0.25">
      <c r="A5510" s="66" t="s">
        <v>5952</v>
      </c>
    </row>
    <row r="5511" spans="1:1" x14ac:dyDescent="0.25">
      <c r="A5511" s="66" t="s">
        <v>5953</v>
      </c>
    </row>
    <row r="5512" spans="1:1" x14ac:dyDescent="0.25">
      <c r="A5512" s="66" t="s">
        <v>5954</v>
      </c>
    </row>
    <row r="5513" spans="1:1" x14ac:dyDescent="0.25">
      <c r="A5513" s="66" t="s">
        <v>5955</v>
      </c>
    </row>
    <row r="5514" spans="1:1" x14ac:dyDescent="0.25">
      <c r="A5514" s="66" t="s">
        <v>5956</v>
      </c>
    </row>
    <row r="5515" spans="1:1" x14ac:dyDescent="0.25">
      <c r="A5515" s="66" t="s">
        <v>5957</v>
      </c>
    </row>
    <row r="5516" spans="1:1" x14ac:dyDescent="0.25">
      <c r="A5516" s="66" t="s">
        <v>5958</v>
      </c>
    </row>
    <row r="5517" spans="1:1" x14ac:dyDescent="0.25">
      <c r="A5517" s="66" t="s">
        <v>5959</v>
      </c>
    </row>
    <row r="5518" spans="1:1" x14ac:dyDescent="0.25">
      <c r="A5518" s="66" t="s">
        <v>5960</v>
      </c>
    </row>
    <row r="5519" spans="1:1" x14ac:dyDescent="0.25">
      <c r="A5519" s="66" t="s">
        <v>5961</v>
      </c>
    </row>
    <row r="5520" spans="1:1" x14ac:dyDescent="0.25">
      <c r="A5520" s="66" t="s">
        <v>5962</v>
      </c>
    </row>
    <row r="5521" spans="1:1" x14ac:dyDescent="0.25">
      <c r="A5521" s="66" t="s">
        <v>5963</v>
      </c>
    </row>
    <row r="5522" spans="1:1" x14ac:dyDescent="0.25">
      <c r="A5522" s="66" t="s">
        <v>5964</v>
      </c>
    </row>
    <row r="5523" spans="1:1" x14ac:dyDescent="0.25">
      <c r="A5523" s="66" t="s">
        <v>5965</v>
      </c>
    </row>
    <row r="5524" spans="1:1" x14ac:dyDescent="0.25">
      <c r="A5524" s="66" t="s">
        <v>5966</v>
      </c>
    </row>
    <row r="5525" spans="1:1" x14ac:dyDescent="0.25">
      <c r="A5525" s="66" t="s">
        <v>5967</v>
      </c>
    </row>
    <row r="5526" spans="1:1" x14ac:dyDescent="0.25">
      <c r="A5526" s="66" t="s">
        <v>5968</v>
      </c>
    </row>
    <row r="5527" spans="1:1" x14ac:dyDescent="0.25">
      <c r="A5527" s="66" t="s">
        <v>5969</v>
      </c>
    </row>
    <row r="5528" spans="1:1" x14ac:dyDescent="0.25">
      <c r="A5528" s="66" t="s">
        <v>5970</v>
      </c>
    </row>
    <row r="5529" spans="1:1" x14ac:dyDescent="0.25">
      <c r="A5529" s="66" t="s">
        <v>5971</v>
      </c>
    </row>
    <row r="5530" spans="1:1" x14ac:dyDescent="0.25">
      <c r="A5530" s="66" t="s">
        <v>5972</v>
      </c>
    </row>
    <row r="5531" spans="1:1" x14ac:dyDescent="0.25">
      <c r="A5531" s="66" t="s">
        <v>5973</v>
      </c>
    </row>
    <row r="5532" spans="1:1" x14ac:dyDescent="0.25">
      <c r="A5532" s="66" t="s">
        <v>5974</v>
      </c>
    </row>
    <row r="5533" spans="1:1" x14ac:dyDescent="0.25">
      <c r="A5533" s="66" t="s">
        <v>5975</v>
      </c>
    </row>
    <row r="5534" spans="1:1" x14ac:dyDescent="0.25">
      <c r="A5534" s="66" t="s">
        <v>5976</v>
      </c>
    </row>
    <row r="5535" spans="1:1" x14ac:dyDescent="0.25">
      <c r="A5535" s="66" t="s">
        <v>5977</v>
      </c>
    </row>
    <row r="5536" spans="1:1" x14ac:dyDescent="0.25">
      <c r="A5536" s="66" t="s">
        <v>5978</v>
      </c>
    </row>
    <row r="5537" spans="1:1" x14ac:dyDescent="0.25">
      <c r="A5537" s="66" t="s">
        <v>5979</v>
      </c>
    </row>
    <row r="5538" spans="1:1" x14ac:dyDescent="0.25">
      <c r="A5538" s="66" t="s">
        <v>5980</v>
      </c>
    </row>
    <row r="5539" spans="1:1" x14ac:dyDescent="0.25">
      <c r="A5539" s="66" t="s">
        <v>5981</v>
      </c>
    </row>
    <row r="5540" spans="1:1" x14ac:dyDescent="0.25">
      <c r="A5540" s="66" t="s">
        <v>5982</v>
      </c>
    </row>
    <row r="5541" spans="1:1" x14ac:dyDescent="0.25">
      <c r="A5541" s="66" t="s">
        <v>5983</v>
      </c>
    </row>
    <row r="5542" spans="1:1" x14ac:dyDescent="0.25">
      <c r="A5542" s="66" t="s">
        <v>5984</v>
      </c>
    </row>
    <row r="5543" spans="1:1" x14ac:dyDescent="0.25">
      <c r="A5543" s="66" t="s">
        <v>5985</v>
      </c>
    </row>
    <row r="5544" spans="1:1" x14ac:dyDescent="0.25">
      <c r="A5544" s="66" t="s">
        <v>5986</v>
      </c>
    </row>
    <row r="5545" spans="1:1" x14ac:dyDescent="0.25">
      <c r="A5545" s="66" t="s">
        <v>5987</v>
      </c>
    </row>
    <row r="5546" spans="1:1" x14ac:dyDescent="0.25">
      <c r="A5546" s="66" t="s">
        <v>5988</v>
      </c>
    </row>
    <row r="5547" spans="1:1" x14ac:dyDescent="0.25">
      <c r="A5547" s="66" t="s">
        <v>5989</v>
      </c>
    </row>
    <row r="5548" spans="1:1" x14ac:dyDescent="0.25">
      <c r="A5548" s="66" t="s">
        <v>5990</v>
      </c>
    </row>
    <row r="5549" spans="1:1" x14ac:dyDescent="0.25">
      <c r="A5549" s="66" t="s">
        <v>5991</v>
      </c>
    </row>
    <row r="5550" spans="1:1" x14ac:dyDescent="0.25">
      <c r="A5550" s="66" t="s">
        <v>5992</v>
      </c>
    </row>
    <row r="5551" spans="1:1" x14ac:dyDescent="0.25">
      <c r="A5551" s="66" t="s">
        <v>5993</v>
      </c>
    </row>
    <row r="5552" spans="1:1" x14ac:dyDescent="0.25">
      <c r="A5552" s="66" t="s">
        <v>5994</v>
      </c>
    </row>
    <row r="5553" spans="1:1" x14ac:dyDescent="0.25">
      <c r="A5553" s="56" t="s">
        <v>5995</v>
      </c>
    </row>
    <row r="5554" spans="1:1" x14ac:dyDescent="0.25">
      <c r="A5554" s="66" t="s">
        <v>5996</v>
      </c>
    </row>
    <row r="5555" spans="1:1" x14ac:dyDescent="0.25">
      <c r="A5555" s="56" t="s">
        <v>5997</v>
      </c>
    </row>
    <row r="5556" spans="1:1" x14ac:dyDescent="0.25">
      <c r="A5556" s="66" t="s">
        <v>5998</v>
      </c>
    </row>
    <row r="5557" spans="1:1" x14ac:dyDescent="0.25">
      <c r="A5557" s="66" t="s">
        <v>5999</v>
      </c>
    </row>
    <row r="5558" spans="1:1" x14ac:dyDescent="0.25">
      <c r="A5558" s="66" t="s">
        <v>6000</v>
      </c>
    </row>
    <row r="5559" spans="1:1" x14ac:dyDescent="0.25">
      <c r="A5559" s="66" t="s">
        <v>6001</v>
      </c>
    </row>
    <row r="5560" spans="1:1" x14ac:dyDescent="0.25">
      <c r="A5560" s="66" t="s">
        <v>6002</v>
      </c>
    </row>
    <row r="5561" spans="1:1" x14ac:dyDescent="0.25">
      <c r="A5561" s="66" t="s">
        <v>6003</v>
      </c>
    </row>
    <row r="5562" spans="1:1" x14ac:dyDescent="0.25">
      <c r="A5562" s="66" t="s">
        <v>6004</v>
      </c>
    </row>
    <row r="5563" spans="1:1" x14ac:dyDescent="0.25">
      <c r="A5563" s="66" t="s">
        <v>6005</v>
      </c>
    </row>
    <row r="5564" spans="1:1" x14ac:dyDescent="0.25">
      <c r="A5564" s="66" t="s">
        <v>6006</v>
      </c>
    </row>
    <row r="5565" spans="1:1" x14ac:dyDescent="0.25">
      <c r="A5565" s="66" t="s">
        <v>6007</v>
      </c>
    </row>
    <row r="5566" spans="1:1" x14ac:dyDescent="0.25">
      <c r="A5566" s="66" t="s">
        <v>6008</v>
      </c>
    </row>
    <row r="5567" spans="1:1" x14ac:dyDescent="0.25">
      <c r="A5567" s="66" t="s">
        <v>6009</v>
      </c>
    </row>
    <row r="5568" spans="1:1" x14ac:dyDescent="0.25">
      <c r="A5568" s="66" t="s">
        <v>6010</v>
      </c>
    </row>
    <row r="5569" spans="1:1" x14ac:dyDescent="0.25">
      <c r="A5569" s="66" t="s">
        <v>6011</v>
      </c>
    </row>
    <row r="5570" spans="1:1" x14ac:dyDescent="0.25">
      <c r="A5570" s="66" t="s">
        <v>6012</v>
      </c>
    </row>
    <row r="5571" spans="1:1" x14ac:dyDescent="0.25">
      <c r="A5571" s="66" t="s">
        <v>6013</v>
      </c>
    </row>
    <row r="5572" spans="1:1" x14ac:dyDescent="0.25">
      <c r="A5572" s="66" t="s">
        <v>6014</v>
      </c>
    </row>
    <row r="5573" spans="1:1" x14ac:dyDescent="0.25">
      <c r="A5573" s="66" t="s">
        <v>6015</v>
      </c>
    </row>
    <row r="5574" spans="1:1" x14ac:dyDescent="0.25">
      <c r="A5574" s="66" t="s">
        <v>6016</v>
      </c>
    </row>
    <row r="5575" spans="1:1" x14ac:dyDescent="0.25">
      <c r="A5575" s="66" t="s">
        <v>6017</v>
      </c>
    </row>
    <row r="5576" spans="1:1" x14ac:dyDescent="0.25">
      <c r="A5576" s="66" t="s">
        <v>6018</v>
      </c>
    </row>
    <row r="5577" spans="1:1" x14ac:dyDescent="0.25">
      <c r="A5577" s="66" t="s">
        <v>6019</v>
      </c>
    </row>
    <row r="5578" spans="1:1" x14ac:dyDescent="0.25">
      <c r="A5578" s="66" t="s">
        <v>6020</v>
      </c>
    </row>
    <row r="5579" spans="1:1" x14ac:dyDescent="0.25">
      <c r="A5579" s="66" t="s">
        <v>6021</v>
      </c>
    </row>
    <row r="5580" spans="1:1" x14ac:dyDescent="0.25">
      <c r="A5580" s="66" t="s">
        <v>6022</v>
      </c>
    </row>
    <row r="5581" spans="1:1" x14ac:dyDescent="0.25">
      <c r="A5581" s="66" t="s">
        <v>6023</v>
      </c>
    </row>
    <row r="5582" spans="1:1" x14ac:dyDescent="0.25">
      <c r="A5582" s="66" t="s">
        <v>6024</v>
      </c>
    </row>
    <row r="5583" spans="1:1" x14ac:dyDescent="0.25">
      <c r="A5583" s="66" t="s">
        <v>6025</v>
      </c>
    </row>
    <row r="5584" spans="1:1" x14ac:dyDescent="0.25">
      <c r="A5584" s="66" t="s">
        <v>6026</v>
      </c>
    </row>
    <row r="5585" spans="1:1" x14ac:dyDescent="0.25">
      <c r="A5585" s="66" t="s">
        <v>6027</v>
      </c>
    </row>
    <row r="5586" spans="1:1" x14ac:dyDescent="0.25">
      <c r="A5586" s="66" t="s">
        <v>6028</v>
      </c>
    </row>
    <row r="5587" spans="1:1" x14ac:dyDescent="0.25">
      <c r="A5587" s="66" t="s">
        <v>6029</v>
      </c>
    </row>
    <row r="5588" spans="1:1" x14ac:dyDescent="0.25">
      <c r="A5588" s="66" t="s">
        <v>6030</v>
      </c>
    </row>
    <row r="5589" spans="1:1" x14ac:dyDescent="0.25">
      <c r="A5589" s="66" t="s">
        <v>6031</v>
      </c>
    </row>
    <row r="5590" spans="1:1" x14ac:dyDescent="0.25">
      <c r="A5590" s="66" t="s">
        <v>6032</v>
      </c>
    </row>
    <row r="5591" spans="1:1" x14ac:dyDescent="0.25">
      <c r="A5591" s="66" t="s">
        <v>6033</v>
      </c>
    </row>
    <row r="5592" spans="1:1" x14ac:dyDescent="0.25">
      <c r="A5592" s="66" t="s">
        <v>6034</v>
      </c>
    </row>
    <row r="5593" spans="1:1" x14ac:dyDescent="0.25">
      <c r="A5593" s="66" t="s">
        <v>6035</v>
      </c>
    </row>
    <row r="5594" spans="1:1" x14ac:dyDescent="0.25">
      <c r="A5594" s="66" t="s">
        <v>6036</v>
      </c>
    </row>
    <row r="5595" spans="1:1" x14ac:dyDescent="0.25">
      <c r="A5595" s="66" t="s">
        <v>6037</v>
      </c>
    </row>
    <row r="5596" spans="1:1" x14ac:dyDescent="0.25">
      <c r="A5596" s="66" t="s">
        <v>6038</v>
      </c>
    </row>
    <row r="5597" spans="1:1" x14ac:dyDescent="0.25">
      <c r="A5597" s="66" t="s">
        <v>6039</v>
      </c>
    </row>
    <row r="5598" spans="1:1" x14ac:dyDescent="0.25">
      <c r="A5598" s="66" t="s">
        <v>6040</v>
      </c>
    </row>
    <row r="5599" spans="1:1" x14ac:dyDescent="0.25">
      <c r="A5599" s="66" t="s">
        <v>6041</v>
      </c>
    </row>
    <row r="5600" spans="1:1" x14ac:dyDescent="0.25">
      <c r="A5600" s="66" t="s">
        <v>6042</v>
      </c>
    </row>
    <row r="5601" spans="1:1" x14ac:dyDescent="0.25">
      <c r="A5601" s="66" t="s">
        <v>6043</v>
      </c>
    </row>
    <row r="5602" spans="1:1" x14ac:dyDescent="0.25">
      <c r="A5602" s="66" t="s">
        <v>6044</v>
      </c>
    </row>
    <row r="5603" spans="1:1" x14ac:dyDescent="0.25">
      <c r="A5603" s="66" t="s">
        <v>6045</v>
      </c>
    </row>
    <row r="5604" spans="1:1" x14ac:dyDescent="0.25">
      <c r="A5604" s="66" t="s">
        <v>6046</v>
      </c>
    </row>
    <row r="5605" spans="1:1" x14ac:dyDescent="0.25">
      <c r="A5605" s="66" t="s">
        <v>6047</v>
      </c>
    </row>
    <row r="5606" spans="1:1" x14ac:dyDescent="0.25">
      <c r="A5606" s="66" t="s">
        <v>6048</v>
      </c>
    </row>
    <row r="5607" spans="1:1" x14ac:dyDescent="0.25">
      <c r="A5607" s="66" t="s">
        <v>6049</v>
      </c>
    </row>
    <row r="5608" spans="1:1" x14ac:dyDescent="0.25">
      <c r="A5608" s="66" t="s">
        <v>6050</v>
      </c>
    </row>
    <row r="5609" spans="1:1" x14ac:dyDescent="0.25">
      <c r="A5609" s="66" t="s">
        <v>6051</v>
      </c>
    </row>
    <row r="5610" spans="1:1" x14ac:dyDescent="0.25">
      <c r="A5610" s="66" t="s">
        <v>6052</v>
      </c>
    </row>
    <row r="5611" spans="1:1" x14ac:dyDescent="0.25">
      <c r="A5611" s="66" t="s">
        <v>6053</v>
      </c>
    </row>
    <row r="5612" spans="1:1" x14ac:dyDescent="0.25">
      <c r="A5612" s="66" t="s">
        <v>6054</v>
      </c>
    </row>
    <row r="5613" spans="1:1" x14ac:dyDescent="0.25">
      <c r="A5613" s="66" t="s">
        <v>6055</v>
      </c>
    </row>
    <row r="5614" spans="1:1" x14ac:dyDescent="0.25">
      <c r="A5614" s="66" t="s">
        <v>6056</v>
      </c>
    </row>
    <row r="5615" spans="1:1" x14ac:dyDescent="0.25">
      <c r="A5615" s="56" t="s">
        <v>6057</v>
      </c>
    </row>
    <row r="5616" spans="1:1" x14ac:dyDescent="0.25">
      <c r="A5616" s="66" t="s">
        <v>6058</v>
      </c>
    </row>
    <row r="5617" spans="1:1" x14ac:dyDescent="0.25">
      <c r="A5617" s="56" t="s">
        <v>6059</v>
      </c>
    </row>
    <row r="5618" spans="1:1" x14ac:dyDescent="0.25">
      <c r="A5618" s="66" t="s">
        <v>6060</v>
      </c>
    </row>
    <row r="5619" spans="1:1" x14ac:dyDescent="0.25">
      <c r="A5619" s="66" t="s">
        <v>6061</v>
      </c>
    </row>
    <row r="5620" spans="1:1" x14ac:dyDescent="0.25">
      <c r="A5620" s="66" t="s">
        <v>6062</v>
      </c>
    </row>
    <row r="5621" spans="1:1" x14ac:dyDescent="0.25">
      <c r="A5621" s="66" t="s">
        <v>6063</v>
      </c>
    </row>
    <row r="5622" spans="1:1" x14ac:dyDescent="0.25">
      <c r="A5622" s="66" t="s">
        <v>6064</v>
      </c>
    </row>
    <row r="5623" spans="1:1" x14ac:dyDescent="0.25">
      <c r="A5623" s="66" t="s">
        <v>6065</v>
      </c>
    </row>
    <row r="5624" spans="1:1" x14ac:dyDescent="0.25">
      <c r="A5624" s="66" t="s">
        <v>6066</v>
      </c>
    </row>
    <row r="5625" spans="1:1" x14ac:dyDescent="0.25">
      <c r="A5625" s="66" t="s">
        <v>6067</v>
      </c>
    </row>
    <row r="5626" spans="1:1" x14ac:dyDescent="0.25">
      <c r="A5626" s="66" t="s">
        <v>6068</v>
      </c>
    </row>
    <row r="5627" spans="1:1" x14ac:dyDescent="0.25">
      <c r="A5627" s="66" t="s">
        <v>6069</v>
      </c>
    </row>
    <row r="5628" spans="1:1" x14ac:dyDescent="0.25">
      <c r="A5628" s="66" t="s">
        <v>6070</v>
      </c>
    </row>
    <row r="5629" spans="1:1" x14ac:dyDescent="0.25">
      <c r="A5629" s="66" t="s">
        <v>6071</v>
      </c>
    </row>
    <row r="5630" spans="1:1" x14ac:dyDescent="0.25">
      <c r="A5630" s="66" t="s">
        <v>6072</v>
      </c>
    </row>
    <row r="5631" spans="1:1" x14ac:dyDescent="0.25">
      <c r="A5631" s="66" t="s">
        <v>6073</v>
      </c>
    </row>
    <row r="5632" spans="1:1" x14ac:dyDescent="0.25">
      <c r="A5632" s="66" t="s">
        <v>6074</v>
      </c>
    </row>
    <row r="5633" spans="1:1" x14ac:dyDescent="0.25">
      <c r="A5633" s="66" t="s">
        <v>6075</v>
      </c>
    </row>
    <row r="5634" spans="1:1" x14ac:dyDescent="0.25">
      <c r="A5634" s="66" t="s">
        <v>6076</v>
      </c>
    </row>
    <row r="5635" spans="1:1" x14ac:dyDescent="0.25">
      <c r="A5635" s="66" t="s">
        <v>6077</v>
      </c>
    </row>
    <row r="5636" spans="1:1" x14ac:dyDescent="0.25">
      <c r="A5636" s="66" t="s">
        <v>6078</v>
      </c>
    </row>
    <row r="5637" spans="1:1" x14ac:dyDescent="0.25">
      <c r="A5637" s="66" t="s">
        <v>6079</v>
      </c>
    </row>
    <row r="5638" spans="1:1" x14ac:dyDescent="0.25">
      <c r="A5638" s="66" t="s">
        <v>6080</v>
      </c>
    </row>
    <row r="5639" spans="1:1" x14ac:dyDescent="0.25">
      <c r="A5639" s="66" t="s">
        <v>6081</v>
      </c>
    </row>
    <row r="5640" spans="1:1" x14ac:dyDescent="0.25">
      <c r="A5640" s="66" t="s">
        <v>6082</v>
      </c>
    </row>
    <row r="5641" spans="1:1" x14ac:dyDescent="0.25">
      <c r="A5641" s="66" t="s">
        <v>6083</v>
      </c>
    </row>
    <row r="5642" spans="1:1" x14ac:dyDescent="0.25">
      <c r="A5642" s="66" t="s">
        <v>6084</v>
      </c>
    </row>
    <row r="5643" spans="1:1" x14ac:dyDescent="0.25">
      <c r="A5643" s="56" t="s">
        <v>6085</v>
      </c>
    </row>
    <row r="5644" spans="1:1" x14ac:dyDescent="0.25">
      <c r="A5644" s="66" t="s">
        <v>6086</v>
      </c>
    </row>
    <row r="5645" spans="1:1" x14ac:dyDescent="0.25">
      <c r="A5645" s="56" t="s">
        <v>6087</v>
      </c>
    </row>
    <row r="5646" spans="1:1" x14ac:dyDescent="0.25">
      <c r="A5646" s="66" t="s">
        <v>6088</v>
      </c>
    </row>
    <row r="5647" spans="1:1" x14ac:dyDescent="0.25">
      <c r="A5647" s="56" t="s">
        <v>6089</v>
      </c>
    </row>
    <row r="5648" spans="1:1" x14ac:dyDescent="0.25">
      <c r="A5648" s="66" t="s">
        <v>6090</v>
      </c>
    </row>
    <row r="5649" spans="1:1" x14ac:dyDescent="0.25">
      <c r="A5649" s="56" t="s">
        <v>6091</v>
      </c>
    </row>
    <row r="5650" spans="1:1" x14ac:dyDescent="0.25">
      <c r="A5650" s="66" t="s">
        <v>6092</v>
      </c>
    </row>
    <row r="5651" spans="1:1" x14ac:dyDescent="0.25">
      <c r="A5651" s="56" t="s">
        <v>6093</v>
      </c>
    </row>
    <row r="5652" spans="1:1" x14ac:dyDescent="0.25">
      <c r="A5652" s="66" t="s">
        <v>6094</v>
      </c>
    </row>
    <row r="5653" spans="1:1" x14ac:dyDescent="0.25">
      <c r="A5653" s="56" t="s">
        <v>6095</v>
      </c>
    </row>
    <row r="5654" spans="1:1" x14ac:dyDescent="0.25">
      <c r="A5654" s="66" t="s">
        <v>6096</v>
      </c>
    </row>
    <row r="5655" spans="1:1" x14ac:dyDescent="0.25">
      <c r="A5655" s="56" t="s">
        <v>6097</v>
      </c>
    </row>
    <row r="5656" spans="1:1" x14ac:dyDescent="0.25">
      <c r="A5656" s="66" t="s">
        <v>6098</v>
      </c>
    </row>
    <row r="5657" spans="1:1" x14ac:dyDescent="0.25">
      <c r="A5657" s="56" t="s">
        <v>6099</v>
      </c>
    </row>
    <row r="5658" spans="1:1" x14ac:dyDescent="0.25">
      <c r="A5658" s="66" t="s">
        <v>6100</v>
      </c>
    </row>
    <row r="5659" spans="1:1" x14ac:dyDescent="0.25">
      <c r="A5659" s="66" t="s">
        <v>6101</v>
      </c>
    </row>
    <row r="5660" spans="1:1" x14ac:dyDescent="0.25">
      <c r="A5660" s="66" t="s">
        <v>6102</v>
      </c>
    </row>
    <row r="5661" spans="1:1" x14ac:dyDescent="0.25">
      <c r="A5661" s="66" t="s">
        <v>6103</v>
      </c>
    </row>
    <row r="5662" spans="1:1" x14ac:dyDescent="0.25">
      <c r="A5662" s="66" t="s">
        <v>6104</v>
      </c>
    </row>
    <row r="5663" spans="1:1" x14ac:dyDescent="0.25">
      <c r="A5663" s="66" t="s">
        <v>6105</v>
      </c>
    </row>
    <row r="5664" spans="1:1" x14ac:dyDescent="0.25">
      <c r="A5664" s="66" t="s">
        <v>6106</v>
      </c>
    </row>
    <row r="5665" spans="1:1" x14ac:dyDescent="0.25">
      <c r="A5665" s="66" t="s">
        <v>6107</v>
      </c>
    </row>
    <row r="5666" spans="1:1" x14ac:dyDescent="0.25">
      <c r="A5666" s="66" t="s">
        <v>6108</v>
      </c>
    </row>
    <row r="5667" spans="1:1" x14ac:dyDescent="0.25">
      <c r="A5667" s="66" t="s">
        <v>6109</v>
      </c>
    </row>
    <row r="5668" spans="1:1" x14ac:dyDescent="0.25">
      <c r="A5668" s="66" t="s">
        <v>6110</v>
      </c>
    </row>
    <row r="5669" spans="1:1" x14ac:dyDescent="0.25">
      <c r="A5669" s="66" t="s">
        <v>6111</v>
      </c>
    </row>
    <row r="5670" spans="1:1" x14ac:dyDescent="0.25">
      <c r="A5670" s="66" t="s">
        <v>6112</v>
      </c>
    </row>
    <row r="5671" spans="1:1" x14ac:dyDescent="0.25">
      <c r="A5671" s="66" t="s">
        <v>6113</v>
      </c>
    </row>
    <row r="5672" spans="1:1" x14ac:dyDescent="0.25">
      <c r="A5672" s="66" t="s">
        <v>6114</v>
      </c>
    </row>
    <row r="5673" spans="1:1" x14ac:dyDescent="0.25">
      <c r="A5673" s="66" t="s">
        <v>6115</v>
      </c>
    </row>
    <row r="5674" spans="1:1" x14ac:dyDescent="0.25">
      <c r="A5674" s="66" t="s">
        <v>6116</v>
      </c>
    </row>
    <row r="5675" spans="1:1" x14ac:dyDescent="0.25">
      <c r="A5675" s="66" t="s">
        <v>6117</v>
      </c>
    </row>
    <row r="5676" spans="1:1" x14ac:dyDescent="0.25">
      <c r="A5676" s="66" t="s">
        <v>6118</v>
      </c>
    </row>
    <row r="5677" spans="1:1" x14ac:dyDescent="0.25">
      <c r="A5677" s="66" t="s">
        <v>6119</v>
      </c>
    </row>
    <row r="5678" spans="1:1" x14ac:dyDescent="0.25">
      <c r="A5678" s="66" t="s">
        <v>6120</v>
      </c>
    </row>
    <row r="5679" spans="1:1" x14ac:dyDescent="0.25">
      <c r="A5679" s="66" t="s">
        <v>6121</v>
      </c>
    </row>
    <row r="5680" spans="1:1" x14ac:dyDescent="0.25">
      <c r="A5680" s="66" t="s">
        <v>6122</v>
      </c>
    </row>
    <row r="5681" spans="1:1" x14ac:dyDescent="0.25">
      <c r="A5681" s="66" t="s">
        <v>6123</v>
      </c>
    </row>
    <row r="5682" spans="1:1" x14ac:dyDescent="0.25">
      <c r="A5682" s="66" t="s">
        <v>6124</v>
      </c>
    </row>
    <row r="5683" spans="1:1" x14ac:dyDescent="0.25">
      <c r="A5683" s="66" t="s">
        <v>6125</v>
      </c>
    </row>
    <row r="5684" spans="1:1" x14ac:dyDescent="0.25">
      <c r="A5684" s="66" t="s">
        <v>6126</v>
      </c>
    </row>
    <row r="5685" spans="1:1" x14ac:dyDescent="0.25">
      <c r="A5685" s="66" t="s">
        <v>6127</v>
      </c>
    </row>
    <row r="5686" spans="1:1" x14ac:dyDescent="0.25">
      <c r="A5686" s="66" t="s">
        <v>6128</v>
      </c>
    </row>
    <row r="5687" spans="1:1" x14ac:dyDescent="0.25">
      <c r="A5687" s="66" t="s">
        <v>6129</v>
      </c>
    </row>
    <row r="5688" spans="1:1" x14ac:dyDescent="0.25">
      <c r="A5688" s="66" t="s">
        <v>6130</v>
      </c>
    </row>
    <row r="5689" spans="1:1" x14ac:dyDescent="0.25">
      <c r="A5689" s="66" t="s">
        <v>6131</v>
      </c>
    </row>
    <row r="5690" spans="1:1" x14ac:dyDescent="0.25">
      <c r="A5690" s="66" t="s">
        <v>6132</v>
      </c>
    </row>
    <row r="5691" spans="1:1" x14ac:dyDescent="0.25">
      <c r="A5691" s="66" t="s">
        <v>6133</v>
      </c>
    </row>
    <row r="5692" spans="1:1" x14ac:dyDescent="0.25">
      <c r="A5692" s="66" t="s">
        <v>6134</v>
      </c>
    </row>
    <row r="5693" spans="1:1" x14ac:dyDescent="0.25">
      <c r="A5693" s="66" t="s">
        <v>6135</v>
      </c>
    </row>
    <row r="5694" spans="1:1" x14ac:dyDescent="0.25">
      <c r="A5694" s="66" t="s">
        <v>6136</v>
      </c>
    </row>
    <row r="5695" spans="1:1" x14ac:dyDescent="0.25">
      <c r="A5695" s="66" t="s">
        <v>6137</v>
      </c>
    </row>
    <row r="5696" spans="1:1" x14ac:dyDescent="0.25">
      <c r="A5696" s="66" t="s">
        <v>6138</v>
      </c>
    </row>
    <row r="5697" spans="1:1" x14ac:dyDescent="0.25">
      <c r="A5697" s="66" t="s">
        <v>6139</v>
      </c>
    </row>
    <row r="5698" spans="1:1" x14ac:dyDescent="0.25">
      <c r="A5698" s="66" t="s">
        <v>6140</v>
      </c>
    </row>
    <row r="5699" spans="1:1" x14ac:dyDescent="0.25">
      <c r="A5699" s="66" t="s">
        <v>6141</v>
      </c>
    </row>
    <row r="5700" spans="1:1" x14ac:dyDescent="0.25">
      <c r="A5700" s="66" t="s">
        <v>6142</v>
      </c>
    </row>
    <row r="5701" spans="1:1" x14ac:dyDescent="0.25">
      <c r="A5701" s="67" t="s">
        <v>6143</v>
      </c>
    </row>
    <row r="5702" spans="1:1" x14ac:dyDescent="0.25">
      <c r="A5702" s="66" t="s">
        <v>6144</v>
      </c>
    </row>
    <row r="5703" spans="1:1" x14ac:dyDescent="0.25">
      <c r="A5703" s="66" t="s">
        <v>6145</v>
      </c>
    </row>
    <row r="5704" spans="1:1" x14ac:dyDescent="0.25">
      <c r="A5704" s="66" t="s">
        <v>6146</v>
      </c>
    </row>
    <row r="5705" spans="1:1" x14ac:dyDescent="0.25">
      <c r="A5705" s="66" t="s">
        <v>6147</v>
      </c>
    </row>
    <row r="5706" spans="1:1" x14ac:dyDescent="0.25">
      <c r="A5706" s="66" t="s">
        <v>6148</v>
      </c>
    </row>
    <row r="5707" spans="1:1" x14ac:dyDescent="0.25">
      <c r="A5707" s="66" t="s">
        <v>6149</v>
      </c>
    </row>
    <row r="5708" spans="1:1" x14ac:dyDescent="0.25">
      <c r="A5708" s="66" t="s">
        <v>6150</v>
      </c>
    </row>
    <row r="5709" spans="1:1" x14ac:dyDescent="0.25">
      <c r="A5709" s="66" t="s">
        <v>6151</v>
      </c>
    </row>
    <row r="5710" spans="1:1" x14ac:dyDescent="0.25">
      <c r="A5710" s="66" t="s">
        <v>6152</v>
      </c>
    </row>
    <row r="5711" spans="1:1" x14ac:dyDescent="0.25">
      <c r="A5711" s="66" t="s">
        <v>6153</v>
      </c>
    </row>
    <row r="5712" spans="1:1" x14ac:dyDescent="0.25">
      <c r="A5712" s="66" t="s">
        <v>6154</v>
      </c>
    </row>
    <row r="5713" spans="1:1" x14ac:dyDescent="0.25">
      <c r="A5713" s="66" t="s">
        <v>6155</v>
      </c>
    </row>
    <row r="5714" spans="1:1" x14ac:dyDescent="0.25">
      <c r="A5714" s="66" t="s">
        <v>6156</v>
      </c>
    </row>
    <row r="5715" spans="1:1" x14ac:dyDescent="0.25">
      <c r="A5715" s="66" t="s">
        <v>6157</v>
      </c>
    </row>
    <row r="5716" spans="1:1" x14ac:dyDescent="0.25">
      <c r="A5716" s="66" t="s">
        <v>6158</v>
      </c>
    </row>
    <row r="5717" spans="1:1" x14ac:dyDescent="0.25">
      <c r="A5717" s="66" t="s">
        <v>6159</v>
      </c>
    </row>
    <row r="5718" spans="1:1" x14ac:dyDescent="0.25">
      <c r="A5718" s="66" t="s">
        <v>6160</v>
      </c>
    </row>
    <row r="5719" spans="1:1" x14ac:dyDescent="0.25">
      <c r="A5719" s="66" t="s">
        <v>6161</v>
      </c>
    </row>
    <row r="5720" spans="1:1" x14ac:dyDescent="0.25">
      <c r="A5720" s="66" t="s">
        <v>6162</v>
      </c>
    </row>
    <row r="5721" spans="1:1" x14ac:dyDescent="0.25">
      <c r="A5721" s="66" t="s">
        <v>6163</v>
      </c>
    </row>
    <row r="5722" spans="1:1" x14ac:dyDescent="0.25">
      <c r="A5722" s="66" t="s">
        <v>6164</v>
      </c>
    </row>
    <row r="5723" spans="1:1" x14ac:dyDescent="0.25">
      <c r="A5723" s="66" t="s">
        <v>6165</v>
      </c>
    </row>
    <row r="5724" spans="1:1" x14ac:dyDescent="0.25">
      <c r="A5724" s="66" t="s">
        <v>6166</v>
      </c>
    </row>
    <row r="5725" spans="1:1" x14ac:dyDescent="0.25">
      <c r="A5725" s="66" t="s">
        <v>6167</v>
      </c>
    </row>
    <row r="5726" spans="1:1" x14ac:dyDescent="0.25">
      <c r="A5726" s="66" t="s">
        <v>6168</v>
      </c>
    </row>
    <row r="5727" spans="1:1" x14ac:dyDescent="0.25">
      <c r="A5727" s="66" t="s">
        <v>6169</v>
      </c>
    </row>
    <row r="5728" spans="1:1" x14ac:dyDescent="0.25">
      <c r="A5728" s="66" t="s">
        <v>6170</v>
      </c>
    </row>
    <row r="5729" spans="1:1" x14ac:dyDescent="0.25">
      <c r="A5729" s="66" t="s">
        <v>6171</v>
      </c>
    </row>
    <row r="5730" spans="1:1" x14ac:dyDescent="0.25">
      <c r="A5730" s="66" t="s">
        <v>6172</v>
      </c>
    </row>
    <row r="5731" spans="1:1" x14ac:dyDescent="0.25">
      <c r="A5731" s="66" t="s">
        <v>6173</v>
      </c>
    </row>
    <row r="5732" spans="1:1" x14ac:dyDescent="0.25">
      <c r="A5732" s="66" t="s">
        <v>6174</v>
      </c>
    </row>
    <row r="5733" spans="1:1" x14ac:dyDescent="0.25">
      <c r="A5733" s="66" t="s">
        <v>6175</v>
      </c>
    </row>
    <row r="5734" spans="1:1" x14ac:dyDescent="0.25">
      <c r="A5734" s="66" t="s">
        <v>6176</v>
      </c>
    </row>
    <row r="5735" spans="1:1" x14ac:dyDescent="0.25">
      <c r="A5735" s="66" t="s">
        <v>6177</v>
      </c>
    </row>
    <row r="5736" spans="1:1" x14ac:dyDescent="0.25">
      <c r="A5736" s="66" t="s">
        <v>6178</v>
      </c>
    </row>
    <row r="5737" spans="1:1" x14ac:dyDescent="0.25">
      <c r="A5737" s="66" t="s">
        <v>6179</v>
      </c>
    </row>
    <row r="5738" spans="1:1" x14ac:dyDescent="0.25">
      <c r="A5738" s="66" t="s">
        <v>6180</v>
      </c>
    </row>
    <row r="5739" spans="1:1" x14ac:dyDescent="0.25">
      <c r="A5739" s="66" t="s">
        <v>6181</v>
      </c>
    </row>
    <row r="5740" spans="1:1" x14ac:dyDescent="0.25">
      <c r="A5740" s="66" t="s">
        <v>6182</v>
      </c>
    </row>
    <row r="5741" spans="1:1" x14ac:dyDescent="0.25">
      <c r="A5741" s="66" t="s">
        <v>6183</v>
      </c>
    </row>
    <row r="5742" spans="1:1" x14ac:dyDescent="0.25">
      <c r="A5742" s="66" t="s">
        <v>6184</v>
      </c>
    </row>
    <row r="5743" spans="1:1" x14ac:dyDescent="0.25">
      <c r="A5743" s="66" t="s">
        <v>6185</v>
      </c>
    </row>
    <row r="5744" spans="1:1" x14ac:dyDescent="0.25">
      <c r="A5744" s="66" t="s">
        <v>6186</v>
      </c>
    </row>
    <row r="5745" spans="1:1" x14ac:dyDescent="0.25">
      <c r="A5745" s="66" t="s">
        <v>6187</v>
      </c>
    </row>
    <row r="5746" spans="1:1" x14ac:dyDescent="0.25">
      <c r="A5746" s="66" t="s">
        <v>6188</v>
      </c>
    </row>
    <row r="5747" spans="1:1" x14ac:dyDescent="0.25">
      <c r="A5747" s="66" t="s">
        <v>6189</v>
      </c>
    </row>
    <row r="5748" spans="1:1" x14ac:dyDescent="0.25">
      <c r="A5748" s="66" t="s">
        <v>6190</v>
      </c>
    </row>
    <row r="5749" spans="1:1" x14ac:dyDescent="0.25">
      <c r="A5749" s="66" t="s">
        <v>6191</v>
      </c>
    </row>
    <row r="5750" spans="1:1" x14ac:dyDescent="0.25">
      <c r="A5750" s="66" t="s">
        <v>6192</v>
      </c>
    </row>
    <row r="5751" spans="1:1" x14ac:dyDescent="0.25">
      <c r="A5751" s="56" t="s">
        <v>6193</v>
      </c>
    </row>
    <row r="5752" spans="1:1" x14ac:dyDescent="0.25">
      <c r="A5752" s="66" t="s">
        <v>6194</v>
      </c>
    </row>
    <row r="5753" spans="1:1" x14ac:dyDescent="0.25">
      <c r="A5753" s="56" t="s">
        <v>6195</v>
      </c>
    </row>
    <row r="5754" spans="1:1" x14ac:dyDescent="0.25">
      <c r="A5754" s="66" t="s">
        <v>6196</v>
      </c>
    </row>
    <row r="5755" spans="1:1" x14ac:dyDescent="0.25">
      <c r="A5755" s="66" t="s">
        <v>6197</v>
      </c>
    </row>
    <row r="5756" spans="1:1" x14ac:dyDescent="0.25">
      <c r="A5756" s="66" t="s">
        <v>6198</v>
      </c>
    </row>
    <row r="5757" spans="1:1" x14ac:dyDescent="0.25">
      <c r="A5757" s="66" t="s">
        <v>6199</v>
      </c>
    </row>
    <row r="5758" spans="1:1" x14ac:dyDescent="0.25">
      <c r="A5758" s="66" t="s">
        <v>6200</v>
      </c>
    </row>
    <row r="5759" spans="1:1" x14ac:dyDescent="0.25">
      <c r="A5759" s="66" t="s">
        <v>6201</v>
      </c>
    </row>
    <row r="5760" spans="1:1" x14ac:dyDescent="0.25">
      <c r="A5760" s="66" t="s">
        <v>6202</v>
      </c>
    </row>
    <row r="5761" spans="1:1" x14ac:dyDescent="0.25">
      <c r="A5761" s="66" t="s">
        <v>6203</v>
      </c>
    </row>
    <row r="5762" spans="1:1" x14ac:dyDescent="0.25">
      <c r="A5762" s="66" t="s">
        <v>6204</v>
      </c>
    </row>
    <row r="5763" spans="1:1" x14ac:dyDescent="0.25">
      <c r="A5763" s="66" t="s">
        <v>6205</v>
      </c>
    </row>
    <row r="5764" spans="1:1" x14ac:dyDescent="0.25">
      <c r="A5764" s="66" t="s">
        <v>6206</v>
      </c>
    </row>
    <row r="5765" spans="1:1" x14ac:dyDescent="0.25">
      <c r="A5765" s="66" t="s">
        <v>6207</v>
      </c>
    </row>
    <row r="5766" spans="1:1" x14ac:dyDescent="0.25">
      <c r="A5766" s="66" t="s">
        <v>6208</v>
      </c>
    </row>
    <row r="5767" spans="1:1" x14ac:dyDescent="0.25">
      <c r="A5767" s="66" t="s">
        <v>6209</v>
      </c>
    </row>
    <row r="5768" spans="1:1" x14ac:dyDescent="0.25">
      <c r="A5768" s="66" t="s">
        <v>6210</v>
      </c>
    </row>
    <row r="5769" spans="1:1" x14ac:dyDescent="0.25">
      <c r="A5769" s="66" t="s">
        <v>6211</v>
      </c>
    </row>
    <row r="5770" spans="1:1" x14ac:dyDescent="0.25">
      <c r="A5770" s="66" t="s">
        <v>6212</v>
      </c>
    </row>
    <row r="5771" spans="1:1" x14ac:dyDescent="0.25">
      <c r="A5771" s="66" t="s">
        <v>6213</v>
      </c>
    </row>
    <row r="5772" spans="1:1" x14ac:dyDescent="0.25">
      <c r="A5772" s="66" t="s">
        <v>6214</v>
      </c>
    </row>
    <row r="5773" spans="1:1" x14ac:dyDescent="0.25">
      <c r="A5773" s="66" t="s">
        <v>6215</v>
      </c>
    </row>
    <row r="5774" spans="1:1" x14ac:dyDescent="0.25">
      <c r="A5774" s="66" t="s">
        <v>6216</v>
      </c>
    </row>
    <row r="5775" spans="1:1" x14ac:dyDescent="0.25">
      <c r="A5775" s="66" t="s">
        <v>6217</v>
      </c>
    </row>
    <row r="5776" spans="1:1" x14ac:dyDescent="0.25">
      <c r="A5776" s="66" t="s">
        <v>6218</v>
      </c>
    </row>
    <row r="5777" spans="1:1" x14ac:dyDescent="0.25">
      <c r="A5777" s="66" t="s">
        <v>6219</v>
      </c>
    </row>
    <row r="5778" spans="1:1" x14ac:dyDescent="0.25">
      <c r="A5778" s="66" t="s">
        <v>6220</v>
      </c>
    </row>
    <row r="5779" spans="1:1" x14ac:dyDescent="0.25">
      <c r="A5779" s="66" t="s">
        <v>6221</v>
      </c>
    </row>
    <row r="5780" spans="1:1" x14ac:dyDescent="0.25">
      <c r="A5780" s="66" t="s">
        <v>6222</v>
      </c>
    </row>
    <row r="5781" spans="1:1" x14ac:dyDescent="0.25">
      <c r="A5781" s="66" t="s">
        <v>6223</v>
      </c>
    </row>
    <row r="5782" spans="1:1" x14ac:dyDescent="0.25">
      <c r="A5782" s="66" t="s">
        <v>6224</v>
      </c>
    </row>
    <row r="5783" spans="1:1" x14ac:dyDescent="0.25">
      <c r="A5783" s="66" t="s">
        <v>6225</v>
      </c>
    </row>
    <row r="5784" spans="1:1" x14ac:dyDescent="0.25">
      <c r="A5784" s="66" t="s">
        <v>6226</v>
      </c>
    </row>
    <row r="5785" spans="1:1" x14ac:dyDescent="0.25">
      <c r="A5785" s="66" t="s">
        <v>6227</v>
      </c>
    </row>
    <row r="5786" spans="1:1" x14ac:dyDescent="0.25">
      <c r="A5786" s="66" t="s">
        <v>6228</v>
      </c>
    </row>
    <row r="5787" spans="1:1" x14ac:dyDescent="0.25">
      <c r="A5787" s="66" t="s">
        <v>6229</v>
      </c>
    </row>
    <row r="5788" spans="1:1" x14ac:dyDescent="0.25">
      <c r="A5788" s="66" t="s">
        <v>6230</v>
      </c>
    </row>
    <row r="5789" spans="1:1" x14ac:dyDescent="0.25">
      <c r="A5789" s="66" t="s">
        <v>6231</v>
      </c>
    </row>
    <row r="5790" spans="1:1" x14ac:dyDescent="0.25">
      <c r="A5790" s="66" t="s">
        <v>6232</v>
      </c>
    </row>
    <row r="5791" spans="1:1" x14ac:dyDescent="0.25">
      <c r="A5791" s="66" t="s">
        <v>6233</v>
      </c>
    </row>
    <row r="5792" spans="1:1" x14ac:dyDescent="0.25">
      <c r="A5792" s="66" t="s">
        <v>6234</v>
      </c>
    </row>
    <row r="5793" spans="1:1" x14ac:dyDescent="0.25">
      <c r="A5793" s="66" t="s">
        <v>6235</v>
      </c>
    </row>
    <row r="5794" spans="1:1" x14ac:dyDescent="0.25">
      <c r="A5794" s="66" t="s">
        <v>6236</v>
      </c>
    </row>
    <row r="5795" spans="1:1" x14ac:dyDescent="0.25">
      <c r="A5795" s="66" t="s">
        <v>6237</v>
      </c>
    </row>
    <row r="5796" spans="1:1" x14ac:dyDescent="0.25">
      <c r="A5796" s="66" t="s">
        <v>6238</v>
      </c>
    </row>
    <row r="5797" spans="1:1" x14ac:dyDescent="0.25">
      <c r="A5797" s="66" t="s">
        <v>6239</v>
      </c>
    </row>
    <row r="5798" spans="1:1" x14ac:dyDescent="0.25">
      <c r="A5798" s="66" t="s">
        <v>6240</v>
      </c>
    </row>
    <row r="5799" spans="1:1" x14ac:dyDescent="0.25">
      <c r="A5799" s="66" t="s">
        <v>6241</v>
      </c>
    </row>
    <row r="5800" spans="1:1" x14ac:dyDescent="0.25">
      <c r="A5800" s="56" t="s">
        <v>6242</v>
      </c>
    </row>
    <row r="5801" spans="1:1" x14ac:dyDescent="0.25">
      <c r="A5801" s="66" t="s">
        <v>6243</v>
      </c>
    </row>
    <row r="5802" spans="1:1" x14ac:dyDescent="0.25">
      <c r="A5802" s="56" t="s">
        <v>6244</v>
      </c>
    </row>
    <row r="5803" spans="1:1" x14ac:dyDescent="0.25">
      <c r="A5803" s="66" t="s">
        <v>6245</v>
      </c>
    </row>
    <row r="5804" spans="1:1" x14ac:dyDescent="0.25">
      <c r="A5804" s="56" t="s">
        <v>6246</v>
      </c>
    </row>
    <row r="5805" spans="1:1" x14ac:dyDescent="0.25">
      <c r="A5805" s="66" t="s">
        <v>6247</v>
      </c>
    </row>
    <row r="5806" spans="1:1" x14ac:dyDescent="0.25">
      <c r="A5806" s="56" t="s">
        <v>6248</v>
      </c>
    </row>
    <row r="5807" spans="1:1" x14ac:dyDescent="0.25">
      <c r="A5807" s="66" t="s">
        <v>6249</v>
      </c>
    </row>
    <row r="5808" spans="1:1" x14ac:dyDescent="0.25">
      <c r="A5808" s="66" t="s">
        <v>6250</v>
      </c>
    </row>
    <row r="5809" spans="1:1" x14ac:dyDescent="0.25">
      <c r="A5809" s="66" t="s">
        <v>6251</v>
      </c>
    </row>
    <row r="5810" spans="1:1" x14ac:dyDescent="0.25">
      <c r="A5810" s="66" t="s">
        <v>6252</v>
      </c>
    </row>
    <row r="5811" spans="1:1" x14ac:dyDescent="0.25">
      <c r="A5811" s="66" t="s">
        <v>6253</v>
      </c>
    </row>
    <row r="5812" spans="1:1" x14ac:dyDescent="0.25">
      <c r="A5812" s="66" t="s">
        <v>6254</v>
      </c>
    </row>
    <row r="5813" spans="1:1" x14ac:dyDescent="0.25">
      <c r="A5813" s="66" t="s">
        <v>6255</v>
      </c>
    </row>
    <row r="5814" spans="1:1" x14ac:dyDescent="0.25">
      <c r="A5814" s="66" t="s">
        <v>6256</v>
      </c>
    </row>
    <row r="5815" spans="1:1" x14ac:dyDescent="0.25">
      <c r="A5815" s="66" t="s">
        <v>6257</v>
      </c>
    </row>
    <row r="5816" spans="1:1" x14ac:dyDescent="0.25">
      <c r="A5816" s="66" t="s">
        <v>6258</v>
      </c>
    </row>
    <row r="5817" spans="1:1" x14ac:dyDescent="0.25">
      <c r="A5817" s="66" t="s">
        <v>6259</v>
      </c>
    </row>
    <row r="5818" spans="1:1" x14ac:dyDescent="0.25">
      <c r="A5818" s="66" t="s">
        <v>6260</v>
      </c>
    </row>
    <row r="5819" spans="1:1" x14ac:dyDescent="0.25">
      <c r="A5819" s="66" t="s">
        <v>6261</v>
      </c>
    </row>
    <row r="5820" spans="1:1" x14ac:dyDescent="0.25">
      <c r="A5820" s="66" t="s">
        <v>6262</v>
      </c>
    </row>
    <row r="5821" spans="1:1" x14ac:dyDescent="0.25">
      <c r="A5821" s="66" t="s">
        <v>6263</v>
      </c>
    </row>
    <row r="5822" spans="1:1" x14ac:dyDescent="0.25">
      <c r="A5822" s="66" t="s">
        <v>6264</v>
      </c>
    </row>
    <row r="5823" spans="1:1" x14ac:dyDescent="0.25">
      <c r="A5823" s="66" t="s">
        <v>6265</v>
      </c>
    </row>
    <row r="5824" spans="1:1" x14ac:dyDescent="0.25">
      <c r="A5824" s="66" t="s">
        <v>6266</v>
      </c>
    </row>
    <row r="5825" spans="1:1" x14ac:dyDescent="0.25">
      <c r="A5825" s="66" t="s">
        <v>6267</v>
      </c>
    </row>
    <row r="5826" spans="1:1" x14ac:dyDescent="0.25">
      <c r="A5826" s="66" t="s">
        <v>6268</v>
      </c>
    </row>
    <row r="5827" spans="1:1" x14ac:dyDescent="0.25">
      <c r="A5827" s="66" t="s">
        <v>6269</v>
      </c>
    </row>
    <row r="5828" spans="1:1" x14ac:dyDescent="0.25">
      <c r="A5828" s="66" t="s">
        <v>6270</v>
      </c>
    </row>
    <row r="5829" spans="1:1" x14ac:dyDescent="0.25">
      <c r="A5829" s="66" t="s">
        <v>6271</v>
      </c>
    </row>
    <row r="5830" spans="1:1" x14ac:dyDescent="0.25">
      <c r="A5830" s="66" t="s">
        <v>6272</v>
      </c>
    </row>
    <row r="5831" spans="1:1" x14ac:dyDescent="0.25">
      <c r="A5831" s="56" t="s">
        <v>6273</v>
      </c>
    </row>
    <row r="5832" spans="1:1" x14ac:dyDescent="0.25">
      <c r="A5832" s="66" t="s">
        <v>6274</v>
      </c>
    </row>
    <row r="5833" spans="1:1" x14ac:dyDescent="0.25">
      <c r="A5833" s="56" t="s">
        <v>6275</v>
      </c>
    </row>
    <row r="5834" spans="1:1" x14ac:dyDescent="0.25">
      <c r="A5834" s="66" t="s">
        <v>6276</v>
      </c>
    </row>
    <row r="5835" spans="1:1" x14ac:dyDescent="0.25">
      <c r="A5835" s="66" t="s">
        <v>6277</v>
      </c>
    </row>
    <row r="5836" spans="1:1" x14ac:dyDescent="0.25">
      <c r="A5836" s="66" t="s">
        <v>6278</v>
      </c>
    </row>
    <row r="5837" spans="1:1" x14ac:dyDescent="0.25">
      <c r="A5837" s="66" t="s">
        <v>6279</v>
      </c>
    </row>
    <row r="5838" spans="1:1" x14ac:dyDescent="0.25">
      <c r="A5838" s="66" t="s">
        <v>6280</v>
      </c>
    </row>
    <row r="5839" spans="1:1" x14ac:dyDescent="0.25">
      <c r="A5839" s="66" t="s">
        <v>6281</v>
      </c>
    </row>
    <row r="5840" spans="1:1" x14ac:dyDescent="0.25">
      <c r="A5840" s="66" t="s">
        <v>6282</v>
      </c>
    </row>
    <row r="5841" spans="1:1" x14ac:dyDescent="0.25">
      <c r="A5841" s="66" t="s">
        <v>6283</v>
      </c>
    </row>
    <row r="5842" spans="1:1" x14ac:dyDescent="0.25">
      <c r="A5842" s="66" t="s">
        <v>6284</v>
      </c>
    </row>
    <row r="5843" spans="1:1" x14ac:dyDescent="0.25">
      <c r="A5843" s="66" t="s">
        <v>6285</v>
      </c>
    </row>
    <row r="5844" spans="1:1" x14ac:dyDescent="0.25">
      <c r="A5844" s="66" t="s">
        <v>6286</v>
      </c>
    </row>
    <row r="5845" spans="1:1" x14ac:dyDescent="0.25">
      <c r="A5845" s="66" t="s">
        <v>6287</v>
      </c>
    </row>
    <row r="5846" spans="1:1" x14ac:dyDescent="0.25">
      <c r="A5846" s="66" t="s">
        <v>6288</v>
      </c>
    </row>
    <row r="5847" spans="1:1" x14ac:dyDescent="0.25">
      <c r="A5847" s="66" t="s">
        <v>6289</v>
      </c>
    </row>
    <row r="5848" spans="1:1" x14ac:dyDescent="0.25">
      <c r="A5848" s="66" t="s">
        <v>6290</v>
      </c>
    </row>
    <row r="5849" spans="1:1" x14ac:dyDescent="0.25">
      <c r="A5849" s="66" t="s">
        <v>6291</v>
      </c>
    </row>
    <row r="5850" spans="1:1" x14ac:dyDescent="0.25">
      <c r="A5850" s="66" t="s">
        <v>6292</v>
      </c>
    </row>
    <row r="5851" spans="1:1" x14ac:dyDescent="0.25">
      <c r="A5851" s="56" t="s">
        <v>6293</v>
      </c>
    </row>
    <row r="5852" spans="1:1" x14ac:dyDescent="0.25">
      <c r="A5852" s="66" t="s">
        <v>6294</v>
      </c>
    </row>
    <row r="5853" spans="1:1" x14ac:dyDescent="0.25">
      <c r="A5853" s="56" t="s">
        <v>6295</v>
      </c>
    </row>
    <row r="5854" spans="1:1" x14ac:dyDescent="0.25">
      <c r="A5854" s="66" t="s">
        <v>6296</v>
      </c>
    </row>
    <row r="5855" spans="1:1" x14ac:dyDescent="0.25">
      <c r="A5855" s="66" t="s">
        <v>6297</v>
      </c>
    </row>
    <row r="5856" spans="1:1" x14ac:dyDescent="0.25">
      <c r="A5856" s="66" t="s">
        <v>6298</v>
      </c>
    </row>
    <row r="5857" spans="1:1" x14ac:dyDescent="0.25">
      <c r="A5857" s="66" t="s">
        <v>6299</v>
      </c>
    </row>
    <row r="5858" spans="1:1" x14ac:dyDescent="0.25">
      <c r="A5858" s="66" t="s">
        <v>6300</v>
      </c>
    </row>
    <row r="5859" spans="1:1" x14ac:dyDescent="0.25">
      <c r="A5859" s="66" t="s">
        <v>6301</v>
      </c>
    </row>
    <row r="5860" spans="1:1" x14ac:dyDescent="0.25">
      <c r="A5860" s="66" t="s">
        <v>6302</v>
      </c>
    </row>
    <row r="5861" spans="1:1" x14ac:dyDescent="0.25">
      <c r="A5861" s="66" t="s">
        <v>6303</v>
      </c>
    </row>
    <row r="5862" spans="1:1" x14ac:dyDescent="0.25">
      <c r="A5862" s="66" t="s">
        <v>6304</v>
      </c>
    </row>
    <row r="5863" spans="1:1" x14ac:dyDescent="0.25">
      <c r="A5863" s="66" t="s">
        <v>6305</v>
      </c>
    </row>
    <row r="5864" spans="1:1" x14ac:dyDescent="0.25">
      <c r="A5864" s="66" t="s">
        <v>6306</v>
      </c>
    </row>
    <row r="5865" spans="1:1" x14ac:dyDescent="0.25">
      <c r="A5865" s="66" t="s">
        <v>6307</v>
      </c>
    </row>
    <row r="5866" spans="1:1" x14ac:dyDescent="0.25">
      <c r="A5866" s="66" t="s">
        <v>6308</v>
      </c>
    </row>
    <row r="5867" spans="1:1" x14ac:dyDescent="0.25">
      <c r="A5867" s="66" t="s">
        <v>6309</v>
      </c>
    </row>
    <row r="5868" spans="1:1" x14ac:dyDescent="0.25">
      <c r="A5868" s="66" t="s">
        <v>6310</v>
      </c>
    </row>
    <row r="5869" spans="1:1" x14ac:dyDescent="0.25">
      <c r="A5869" s="66" t="s">
        <v>6311</v>
      </c>
    </row>
    <row r="5870" spans="1:1" x14ac:dyDescent="0.25">
      <c r="A5870" s="56" t="s">
        <v>6312</v>
      </c>
    </row>
    <row r="5871" spans="1:1" x14ac:dyDescent="0.25">
      <c r="A5871" s="66" t="s">
        <v>6313</v>
      </c>
    </row>
    <row r="5872" spans="1:1" x14ac:dyDescent="0.25">
      <c r="A5872" s="56" t="s">
        <v>6314</v>
      </c>
    </row>
    <row r="5873" spans="1:1" x14ac:dyDescent="0.25">
      <c r="A5873" s="66" t="s">
        <v>6315</v>
      </c>
    </row>
    <row r="5874" spans="1:1" x14ac:dyDescent="0.25">
      <c r="A5874" s="66" t="s">
        <v>6316</v>
      </c>
    </row>
    <row r="5875" spans="1:1" x14ac:dyDescent="0.25">
      <c r="A5875" s="66" t="s">
        <v>6317</v>
      </c>
    </row>
    <row r="5876" spans="1:1" x14ac:dyDescent="0.25">
      <c r="A5876" s="66" t="s">
        <v>6318</v>
      </c>
    </row>
    <row r="5877" spans="1:1" x14ac:dyDescent="0.25">
      <c r="A5877" s="66" t="s">
        <v>6319</v>
      </c>
    </row>
    <row r="5878" spans="1:1" x14ac:dyDescent="0.25">
      <c r="A5878" s="66" t="s">
        <v>6320</v>
      </c>
    </row>
    <row r="5879" spans="1:1" x14ac:dyDescent="0.25">
      <c r="A5879" s="66" t="s">
        <v>6321</v>
      </c>
    </row>
    <row r="5880" spans="1:1" x14ac:dyDescent="0.25">
      <c r="A5880" s="66" t="s">
        <v>6322</v>
      </c>
    </row>
    <row r="5881" spans="1:1" x14ac:dyDescent="0.25">
      <c r="A5881" s="66" t="s">
        <v>6323</v>
      </c>
    </row>
    <row r="5882" spans="1:1" x14ac:dyDescent="0.25">
      <c r="A5882" s="66" t="s">
        <v>6324</v>
      </c>
    </row>
    <row r="5883" spans="1:1" x14ac:dyDescent="0.25">
      <c r="A5883" s="66" t="s">
        <v>6325</v>
      </c>
    </row>
    <row r="5884" spans="1:1" x14ac:dyDescent="0.25">
      <c r="A5884" s="66" t="s">
        <v>6326</v>
      </c>
    </row>
    <row r="5885" spans="1:1" x14ac:dyDescent="0.25">
      <c r="A5885" s="66" t="s">
        <v>6327</v>
      </c>
    </row>
    <row r="5886" spans="1:1" x14ac:dyDescent="0.25">
      <c r="A5886" s="66" t="s">
        <v>6328</v>
      </c>
    </row>
    <row r="5887" spans="1:1" x14ac:dyDescent="0.25">
      <c r="A5887" s="66" t="s">
        <v>6329</v>
      </c>
    </row>
    <row r="5888" spans="1:1" x14ac:dyDescent="0.25">
      <c r="A5888" s="66" t="s">
        <v>6330</v>
      </c>
    </row>
    <row r="5889" spans="1:1" x14ac:dyDescent="0.25">
      <c r="A5889" s="66" t="s">
        <v>6331</v>
      </c>
    </row>
    <row r="5890" spans="1:1" x14ac:dyDescent="0.25">
      <c r="A5890" s="66" t="s">
        <v>6332</v>
      </c>
    </row>
    <row r="5891" spans="1:1" x14ac:dyDescent="0.25">
      <c r="A5891" s="66" t="s">
        <v>6333</v>
      </c>
    </row>
    <row r="5892" spans="1:1" x14ac:dyDescent="0.25">
      <c r="A5892" s="66" t="s">
        <v>6334</v>
      </c>
    </row>
    <row r="5893" spans="1:1" x14ac:dyDescent="0.25">
      <c r="A5893" s="66" t="s">
        <v>6335</v>
      </c>
    </row>
    <row r="5894" spans="1:1" x14ac:dyDescent="0.25">
      <c r="A5894" s="66" t="s">
        <v>6336</v>
      </c>
    </row>
    <row r="5895" spans="1:1" x14ac:dyDescent="0.25">
      <c r="A5895" s="66" t="s">
        <v>6337</v>
      </c>
    </row>
    <row r="5896" spans="1:1" x14ac:dyDescent="0.25">
      <c r="A5896" s="66" t="s">
        <v>6338</v>
      </c>
    </row>
    <row r="5897" spans="1:1" x14ac:dyDescent="0.25">
      <c r="A5897" s="66" t="s">
        <v>6339</v>
      </c>
    </row>
    <row r="5898" spans="1:1" x14ac:dyDescent="0.25">
      <c r="A5898" s="66" t="s">
        <v>6340</v>
      </c>
    </row>
    <row r="5899" spans="1:1" x14ac:dyDescent="0.25">
      <c r="A5899" s="66" t="s">
        <v>6341</v>
      </c>
    </row>
    <row r="5900" spans="1:1" x14ac:dyDescent="0.25">
      <c r="A5900" s="66" t="s">
        <v>6342</v>
      </c>
    </row>
    <row r="5901" spans="1:1" x14ac:dyDescent="0.25">
      <c r="A5901" s="66" t="s">
        <v>6343</v>
      </c>
    </row>
    <row r="5902" spans="1:1" x14ac:dyDescent="0.25">
      <c r="A5902" s="66" t="s">
        <v>6344</v>
      </c>
    </row>
    <row r="5903" spans="1:1" x14ac:dyDescent="0.25">
      <c r="A5903" s="66" t="s">
        <v>6345</v>
      </c>
    </row>
    <row r="5904" spans="1:1" x14ac:dyDescent="0.25">
      <c r="A5904" s="66" t="s">
        <v>6346</v>
      </c>
    </row>
    <row r="5905" spans="1:1" x14ac:dyDescent="0.25">
      <c r="A5905" s="66" t="s">
        <v>6347</v>
      </c>
    </row>
    <row r="5906" spans="1:1" x14ac:dyDescent="0.25">
      <c r="A5906" s="66" t="s">
        <v>6348</v>
      </c>
    </row>
    <row r="5907" spans="1:1" x14ac:dyDescent="0.25">
      <c r="A5907" s="66" t="s">
        <v>6349</v>
      </c>
    </row>
    <row r="5908" spans="1:1" x14ac:dyDescent="0.25">
      <c r="A5908" s="66" t="s">
        <v>6350</v>
      </c>
    </row>
    <row r="5909" spans="1:1" x14ac:dyDescent="0.25">
      <c r="A5909" s="66" t="s">
        <v>6351</v>
      </c>
    </row>
    <row r="5910" spans="1:1" x14ac:dyDescent="0.25">
      <c r="A5910" s="66" t="s">
        <v>6352</v>
      </c>
    </row>
    <row r="5911" spans="1:1" x14ac:dyDescent="0.25">
      <c r="A5911" s="66" t="s">
        <v>6353</v>
      </c>
    </row>
    <row r="5912" spans="1:1" x14ac:dyDescent="0.25">
      <c r="A5912" s="66" t="s">
        <v>6354</v>
      </c>
    </row>
    <row r="5913" spans="1:1" x14ac:dyDescent="0.25">
      <c r="A5913" s="66" t="s">
        <v>6355</v>
      </c>
    </row>
    <row r="5914" spans="1:1" x14ac:dyDescent="0.25">
      <c r="A5914" s="66" t="s">
        <v>6356</v>
      </c>
    </row>
    <row r="5915" spans="1:1" x14ac:dyDescent="0.25">
      <c r="A5915" s="66" t="s">
        <v>6357</v>
      </c>
    </row>
    <row r="5916" spans="1:1" x14ac:dyDescent="0.25">
      <c r="A5916" s="66" t="s">
        <v>6358</v>
      </c>
    </row>
    <row r="5917" spans="1:1" x14ac:dyDescent="0.25">
      <c r="A5917" s="66" t="s">
        <v>6359</v>
      </c>
    </row>
    <row r="5918" spans="1:1" x14ac:dyDescent="0.25">
      <c r="A5918" s="66" t="s">
        <v>6360</v>
      </c>
    </row>
    <row r="5919" spans="1:1" x14ac:dyDescent="0.25">
      <c r="A5919" s="66" t="s">
        <v>6361</v>
      </c>
    </row>
    <row r="5920" spans="1:1" x14ac:dyDescent="0.25">
      <c r="A5920" s="66" t="s">
        <v>6362</v>
      </c>
    </row>
    <row r="5921" spans="1:1" x14ac:dyDescent="0.25">
      <c r="A5921" s="66" t="s">
        <v>6363</v>
      </c>
    </row>
    <row r="5922" spans="1:1" x14ac:dyDescent="0.25">
      <c r="A5922" s="66" t="s">
        <v>6364</v>
      </c>
    </row>
    <row r="5923" spans="1:1" x14ac:dyDescent="0.25">
      <c r="A5923" s="66" t="s">
        <v>6365</v>
      </c>
    </row>
    <row r="5924" spans="1:1" x14ac:dyDescent="0.25">
      <c r="A5924" s="66" t="s">
        <v>6366</v>
      </c>
    </row>
    <row r="5925" spans="1:1" x14ac:dyDescent="0.25">
      <c r="A5925" s="66" t="s">
        <v>6367</v>
      </c>
    </row>
    <row r="5926" spans="1:1" x14ac:dyDescent="0.25">
      <c r="A5926" s="66" t="s">
        <v>6368</v>
      </c>
    </row>
    <row r="5927" spans="1:1" x14ac:dyDescent="0.25">
      <c r="A5927" s="66" t="s">
        <v>6369</v>
      </c>
    </row>
    <row r="5928" spans="1:1" x14ac:dyDescent="0.25">
      <c r="A5928" s="66" t="s">
        <v>6370</v>
      </c>
    </row>
    <row r="5929" spans="1:1" x14ac:dyDescent="0.25">
      <c r="A5929" s="66" t="s">
        <v>6371</v>
      </c>
    </row>
    <row r="5930" spans="1:1" x14ac:dyDescent="0.25">
      <c r="A5930" s="66" t="s">
        <v>6372</v>
      </c>
    </row>
    <row r="5931" spans="1:1" x14ac:dyDescent="0.25">
      <c r="A5931" s="66" t="s">
        <v>6373</v>
      </c>
    </row>
    <row r="5932" spans="1:1" x14ac:dyDescent="0.25">
      <c r="A5932" s="66" t="s">
        <v>6374</v>
      </c>
    </row>
    <row r="5933" spans="1:1" x14ac:dyDescent="0.25">
      <c r="A5933" s="66" t="s">
        <v>6375</v>
      </c>
    </row>
    <row r="5934" spans="1:1" x14ac:dyDescent="0.25">
      <c r="A5934" s="66" t="s">
        <v>6376</v>
      </c>
    </row>
    <row r="5935" spans="1:1" x14ac:dyDescent="0.25">
      <c r="A5935" s="66" t="s">
        <v>6377</v>
      </c>
    </row>
    <row r="5936" spans="1:1" x14ac:dyDescent="0.25">
      <c r="A5936" s="66" t="s">
        <v>6378</v>
      </c>
    </row>
    <row r="5937" spans="1:1" x14ac:dyDescent="0.25">
      <c r="A5937" s="66" t="s">
        <v>6379</v>
      </c>
    </row>
    <row r="5938" spans="1:1" x14ac:dyDescent="0.25">
      <c r="A5938" s="66" t="s">
        <v>6380</v>
      </c>
    </row>
    <row r="5939" spans="1:1" x14ac:dyDescent="0.25">
      <c r="A5939" s="66" t="s">
        <v>6381</v>
      </c>
    </row>
    <row r="5940" spans="1:1" x14ac:dyDescent="0.25">
      <c r="A5940" s="66" t="s">
        <v>6382</v>
      </c>
    </row>
    <row r="5941" spans="1:1" x14ac:dyDescent="0.25">
      <c r="A5941" s="66" t="s">
        <v>6383</v>
      </c>
    </row>
    <row r="5942" spans="1:1" x14ac:dyDescent="0.25">
      <c r="A5942" s="66" t="s">
        <v>6384</v>
      </c>
    </row>
    <row r="5943" spans="1:1" x14ac:dyDescent="0.25">
      <c r="A5943" s="66" t="s">
        <v>6385</v>
      </c>
    </row>
    <row r="5944" spans="1:1" x14ac:dyDescent="0.25">
      <c r="A5944" s="66" t="s">
        <v>6386</v>
      </c>
    </row>
    <row r="5945" spans="1:1" x14ac:dyDescent="0.25">
      <c r="A5945" s="66" t="s">
        <v>6387</v>
      </c>
    </row>
    <row r="5946" spans="1:1" x14ac:dyDescent="0.25">
      <c r="A5946" s="66" t="s">
        <v>6388</v>
      </c>
    </row>
    <row r="5947" spans="1:1" x14ac:dyDescent="0.25">
      <c r="A5947" s="66" t="s">
        <v>6389</v>
      </c>
    </row>
    <row r="5948" spans="1:1" x14ac:dyDescent="0.25">
      <c r="A5948" s="66" t="s">
        <v>6390</v>
      </c>
    </row>
    <row r="5949" spans="1:1" x14ac:dyDescent="0.25">
      <c r="A5949" s="66" t="s">
        <v>6391</v>
      </c>
    </row>
    <row r="5950" spans="1:1" x14ac:dyDescent="0.25">
      <c r="A5950" s="66" t="s">
        <v>6392</v>
      </c>
    </row>
    <row r="5951" spans="1:1" x14ac:dyDescent="0.25">
      <c r="A5951" s="66" t="s">
        <v>6393</v>
      </c>
    </row>
    <row r="5952" spans="1:1" x14ac:dyDescent="0.25">
      <c r="A5952" s="66" t="s">
        <v>6394</v>
      </c>
    </row>
    <row r="5953" spans="1:1" x14ac:dyDescent="0.25">
      <c r="A5953" s="66" t="s">
        <v>6395</v>
      </c>
    </row>
    <row r="5954" spans="1:1" x14ac:dyDescent="0.25">
      <c r="A5954" s="66" t="s">
        <v>6396</v>
      </c>
    </row>
    <row r="5955" spans="1:1" x14ac:dyDescent="0.25">
      <c r="A5955" s="66" t="s">
        <v>6397</v>
      </c>
    </row>
    <row r="5956" spans="1:1" x14ac:dyDescent="0.25">
      <c r="A5956" s="66" t="s">
        <v>6398</v>
      </c>
    </row>
    <row r="5957" spans="1:1" x14ac:dyDescent="0.25">
      <c r="A5957" s="66" t="s">
        <v>6399</v>
      </c>
    </row>
    <row r="5958" spans="1:1" x14ac:dyDescent="0.25">
      <c r="A5958" s="66" t="s">
        <v>6400</v>
      </c>
    </row>
    <row r="5959" spans="1:1" x14ac:dyDescent="0.25">
      <c r="A5959" s="66" t="s">
        <v>6401</v>
      </c>
    </row>
    <row r="5960" spans="1:1" x14ac:dyDescent="0.25">
      <c r="A5960" s="66" t="s">
        <v>6402</v>
      </c>
    </row>
    <row r="5961" spans="1:1" x14ac:dyDescent="0.25">
      <c r="A5961" s="66" t="s">
        <v>6403</v>
      </c>
    </row>
    <row r="5962" spans="1:1" x14ac:dyDescent="0.25">
      <c r="A5962" s="66" t="s">
        <v>6404</v>
      </c>
    </row>
    <row r="5963" spans="1:1" x14ac:dyDescent="0.25">
      <c r="A5963" s="66" t="s">
        <v>6405</v>
      </c>
    </row>
    <row r="5964" spans="1:1" x14ac:dyDescent="0.25">
      <c r="A5964" s="56" t="s">
        <v>6406</v>
      </c>
    </row>
    <row r="5965" spans="1:1" x14ac:dyDescent="0.25">
      <c r="A5965" s="66" t="s">
        <v>6407</v>
      </c>
    </row>
    <row r="5966" spans="1:1" x14ac:dyDescent="0.25">
      <c r="A5966" s="56" t="s">
        <v>6408</v>
      </c>
    </row>
    <row r="5967" spans="1:1" x14ac:dyDescent="0.25">
      <c r="A5967" s="66" t="s">
        <v>6409</v>
      </c>
    </row>
    <row r="5968" spans="1:1" x14ac:dyDescent="0.25">
      <c r="A5968" s="56" t="s">
        <v>6410</v>
      </c>
    </row>
    <row r="5969" spans="1:1" x14ac:dyDescent="0.25">
      <c r="A5969" s="66" t="s">
        <v>6411</v>
      </c>
    </row>
    <row r="5970" spans="1:1" x14ac:dyDescent="0.25">
      <c r="A5970" s="66" t="s">
        <v>6412</v>
      </c>
    </row>
    <row r="5971" spans="1:1" x14ac:dyDescent="0.25">
      <c r="A5971" s="66" t="s">
        <v>6413</v>
      </c>
    </row>
    <row r="5972" spans="1:1" x14ac:dyDescent="0.25">
      <c r="A5972" s="66" t="s">
        <v>6414</v>
      </c>
    </row>
    <row r="5973" spans="1:1" x14ac:dyDescent="0.25">
      <c r="A5973" s="66" t="s">
        <v>6415</v>
      </c>
    </row>
    <row r="5974" spans="1:1" x14ac:dyDescent="0.25">
      <c r="A5974" s="66" t="s">
        <v>6416</v>
      </c>
    </row>
    <row r="5975" spans="1:1" x14ac:dyDescent="0.25">
      <c r="A5975" s="66" t="s">
        <v>6417</v>
      </c>
    </row>
    <row r="5976" spans="1:1" x14ac:dyDescent="0.25">
      <c r="A5976" s="66" t="s">
        <v>6418</v>
      </c>
    </row>
    <row r="5977" spans="1:1" x14ac:dyDescent="0.25">
      <c r="A5977" s="66" t="s">
        <v>6419</v>
      </c>
    </row>
    <row r="5978" spans="1:1" x14ac:dyDescent="0.25">
      <c r="A5978" s="66" t="s">
        <v>6420</v>
      </c>
    </row>
    <row r="5979" spans="1:1" x14ac:dyDescent="0.25">
      <c r="A5979" s="56" t="s">
        <v>6421</v>
      </c>
    </row>
    <row r="5980" spans="1:1" x14ac:dyDescent="0.25">
      <c r="A5980" s="66" t="s">
        <v>6422</v>
      </c>
    </row>
    <row r="5981" spans="1:1" x14ac:dyDescent="0.25">
      <c r="A5981" s="56" t="s">
        <v>6423</v>
      </c>
    </row>
    <row r="5982" spans="1:1" x14ac:dyDescent="0.25">
      <c r="A5982" s="66" t="s">
        <v>6424</v>
      </c>
    </row>
    <row r="5983" spans="1:1" x14ac:dyDescent="0.25">
      <c r="A5983" s="66" t="s">
        <v>6425</v>
      </c>
    </row>
    <row r="5984" spans="1:1" x14ac:dyDescent="0.25">
      <c r="A5984" s="66" t="s">
        <v>6426</v>
      </c>
    </row>
    <row r="5985" spans="1:1" x14ac:dyDescent="0.25">
      <c r="A5985" s="66" t="s">
        <v>6427</v>
      </c>
    </row>
    <row r="5986" spans="1:1" x14ac:dyDescent="0.25">
      <c r="A5986" s="66" t="s">
        <v>6428</v>
      </c>
    </row>
    <row r="5987" spans="1:1" x14ac:dyDescent="0.25">
      <c r="A5987" s="66" t="s">
        <v>6429</v>
      </c>
    </row>
    <row r="5988" spans="1:1" x14ac:dyDescent="0.25">
      <c r="A5988" s="66" t="s">
        <v>6430</v>
      </c>
    </row>
    <row r="5989" spans="1:1" x14ac:dyDescent="0.25">
      <c r="A5989" s="66" t="s">
        <v>6431</v>
      </c>
    </row>
    <row r="5990" spans="1:1" x14ac:dyDescent="0.25">
      <c r="A5990" s="66" t="s">
        <v>6432</v>
      </c>
    </row>
    <row r="5991" spans="1:1" x14ac:dyDescent="0.25">
      <c r="A5991" s="66" t="s">
        <v>6433</v>
      </c>
    </row>
    <row r="5992" spans="1:1" x14ac:dyDescent="0.25">
      <c r="A5992" s="66" t="s">
        <v>6434</v>
      </c>
    </row>
    <row r="5993" spans="1:1" x14ac:dyDescent="0.25">
      <c r="A5993" s="66" t="s">
        <v>6435</v>
      </c>
    </row>
    <row r="5994" spans="1:1" x14ac:dyDescent="0.25">
      <c r="A5994" s="66" t="s">
        <v>6436</v>
      </c>
    </row>
    <row r="5995" spans="1:1" x14ac:dyDescent="0.25">
      <c r="A5995" s="66" t="s">
        <v>6437</v>
      </c>
    </row>
    <row r="5996" spans="1:1" x14ac:dyDescent="0.25">
      <c r="A5996" s="66" t="s">
        <v>6438</v>
      </c>
    </row>
    <row r="5997" spans="1:1" x14ac:dyDescent="0.25">
      <c r="A5997" s="66" t="s">
        <v>6439</v>
      </c>
    </row>
    <row r="5998" spans="1:1" x14ac:dyDescent="0.25">
      <c r="A5998" s="56" t="s">
        <v>6440</v>
      </c>
    </row>
    <row r="5999" spans="1:1" x14ac:dyDescent="0.25">
      <c r="A5999" s="66" t="s">
        <v>6441</v>
      </c>
    </row>
    <row r="6000" spans="1:1" x14ac:dyDescent="0.25">
      <c r="A6000" s="66" t="s">
        <v>6442</v>
      </c>
    </row>
    <row r="6001" spans="1:1" x14ac:dyDescent="0.25">
      <c r="A6001" s="66" t="s">
        <v>6443</v>
      </c>
    </row>
    <row r="6002" spans="1:1" x14ac:dyDescent="0.25">
      <c r="A6002" s="66" t="s">
        <v>6444</v>
      </c>
    </row>
    <row r="6003" spans="1:1" x14ac:dyDescent="0.25">
      <c r="A6003" s="66" t="s">
        <v>6445</v>
      </c>
    </row>
    <row r="6004" spans="1:1" x14ac:dyDescent="0.25">
      <c r="A6004" s="66" t="s">
        <v>6446</v>
      </c>
    </row>
    <row r="6005" spans="1:1" x14ac:dyDescent="0.25">
      <c r="A6005" s="66" t="s">
        <v>6447</v>
      </c>
    </row>
    <row r="6006" spans="1:1" x14ac:dyDescent="0.25">
      <c r="A6006" s="66" t="s">
        <v>6448</v>
      </c>
    </row>
    <row r="6007" spans="1:1" x14ac:dyDescent="0.25">
      <c r="A6007" s="66" t="s">
        <v>6449</v>
      </c>
    </row>
    <row r="6008" spans="1:1" x14ac:dyDescent="0.25">
      <c r="A6008" s="66" t="s">
        <v>6450</v>
      </c>
    </row>
    <row r="6009" spans="1:1" x14ac:dyDescent="0.25">
      <c r="A6009" s="66" t="s">
        <v>6451</v>
      </c>
    </row>
    <row r="6010" spans="1:1" x14ac:dyDescent="0.25">
      <c r="A6010" s="66" t="s">
        <v>6452</v>
      </c>
    </row>
    <row r="6011" spans="1:1" x14ac:dyDescent="0.25">
      <c r="A6011" s="66" t="s">
        <v>6453</v>
      </c>
    </row>
    <row r="6012" spans="1:1" x14ac:dyDescent="0.25">
      <c r="A6012" s="66" t="s">
        <v>6454</v>
      </c>
    </row>
    <row r="6013" spans="1:1" x14ac:dyDescent="0.25">
      <c r="A6013" s="66" t="s">
        <v>6455</v>
      </c>
    </row>
    <row r="6014" spans="1:1" x14ac:dyDescent="0.25">
      <c r="A6014" s="66" t="s">
        <v>6456</v>
      </c>
    </row>
    <row r="6015" spans="1:1" x14ac:dyDescent="0.25">
      <c r="A6015" s="66" t="s">
        <v>6457</v>
      </c>
    </row>
    <row r="6016" spans="1:1" x14ac:dyDescent="0.25">
      <c r="A6016" s="66" t="s">
        <v>6458</v>
      </c>
    </row>
    <row r="6017" spans="1:1" x14ac:dyDescent="0.25">
      <c r="A6017" s="66" t="s">
        <v>6459</v>
      </c>
    </row>
    <row r="6018" spans="1:1" x14ac:dyDescent="0.25">
      <c r="A6018" s="66" t="s">
        <v>6460</v>
      </c>
    </row>
    <row r="6019" spans="1:1" x14ac:dyDescent="0.25">
      <c r="A6019" s="66" t="s">
        <v>6461</v>
      </c>
    </row>
    <row r="6020" spans="1:1" x14ac:dyDescent="0.25">
      <c r="A6020" s="66" t="s">
        <v>6462</v>
      </c>
    </row>
    <row r="6021" spans="1:1" x14ac:dyDescent="0.25">
      <c r="A6021" s="66" t="s">
        <v>6463</v>
      </c>
    </row>
    <row r="6022" spans="1:1" x14ac:dyDescent="0.25">
      <c r="A6022" s="66" t="s">
        <v>6464</v>
      </c>
    </row>
    <row r="6023" spans="1:1" x14ac:dyDescent="0.25">
      <c r="A6023" s="66" t="s">
        <v>6465</v>
      </c>
    </row>
    <row r="6024" spans="1:1" x14ac:dyDescent="0.25">
      <c r="A6024" s="66" t="s">
        <v>6466</v>
      </c>
    </row>
    <row r="6025" spans="1:1" x14ac:dyDescent="0.25">
      <c r="A6025" s="66" t="s">
        <v>6467</v>
      </c>
    </row>
    <row r="6026" spans="1:1" x14ac:dyDescent="0.25">
      <c r="A6026" s="66" t="s">
        <v>6468</v>
      </c>
    </row>
    <row r="6027" spans="1:1" x14ac:dyDescent="0.25">
      <c r="A6027" s="66" t="s">
        <v>6469</v>
      </c>
    </row>
    <row r="6028" spans="1:1" x14ac:dyDescent="0.25">
      <c r="A6028" s="66" t="s">
        <v>6470</v>
      </c>
    </row>
    <row r="6029" spans="1:1" x14ac:dyDescent="0.25">
      <c r="A6029" s="66" t="s">
        <v>6471</v>
      </c>
    </row>
    <row r="6030" spans="1:1" x14ac:dyDescent="0.25">
      <c r="A6030" s="66" t="s">
        <v>6472</v>
      </c>
    </row>
    <row r="6031" spans="1:1" x14ac:dyDescent="0.25">
      <c r="A6031" s="66" t="s">
        <v>6473</v>
      </c>
    </row>
    <row r="6032" spans="1:1" x14ac:dyDescent="0.25">
      <c r="A6032" s="66" t="s">
        <v>6474</v>
      </c>
    </row>
    <row r="6033" spans="1:1" x14ac:dyDescent="0.25">
      <c r="A6033" s="66" t="s">
        <v>6475</v>
      </c>
    </row>
    <row r="6034" spans="1:1" x14ac:dyDescent="0.25">
      <c r="A6034" s="66" t="s">
        <v>6476</v>
      </c>
    </row>
    <row r="6035" spans="1:1" x14ac:dyDescent="0.25">
      <c r="A6035" s="66" t="s">
        <v>6477</v>
      </c>
    </row>
    <row r="6036" spans="1:1" x14ac:dyDescent="0.25">
      <c r="A6036" s="66" t="s">
        <v>6478</v>
      </c>
    </row>
    <row r="6037" spans="1:1" x14ac:dyDescent="0.25">
      <c r="A6037" s="66" t="s">
        <v>6479</v>
      </c>
    </row>
    <row r="6038" spans="1:1" x14ac:dyDescent="0.25">
      <c r="A6038" s="66" t="s">
        <v>6480</v>
      </c>
    </row>
    <row r="6039" spans="1:1" x14ac:dyDescent="0.25">
      <c r="A6039" s="66" t="s">
        <v>6481</v>
      </c>
    </row>
    <row r="6040" spans="1:1" x14ac:dyDescent="0.25">
      <c r="A6040" s="66" t="s">
        <v>6482</v>
      </c>
    </row>
    <row r="6041" spans="1:1" x14ac:dyDescent="0.25">
      <c r="A6041" s="66" t="s">
        <v>6483</v>
      </c>
    </row>
    <row r="6042" spans="1:1" x14ac:dyDescent="0.25">
      <c r="A6042" s="66" t="s">
        <v>6484</v>
      </c>
    </row>
    <row r="6043" spans="1:1" x14ac:dyDescent="0.25">
      <c r="A6043" s="66" t="s">
        <v>6485</v>
      </c>
    </row>
    <row r="6044" spans="1:1" x14ac:dyDescent="0.25">
      <c r="A6044" s="66" t="s">
        <v>6486</v>
      </c>
    </row>
    <row r="6045" spans="1:1" x14ac:dyDescent="0.25">
      <c r="A6045" s="66" t="s">
        <v>6487</v>
      </c>
    </row>
    <row r="6046" spans="1:1" x14ac:dyDescent="0.25">
      <c r="A6046" s="66" t="s">
        <v>6488</v>
      </c>
    </row>
    <row r="6047" spans="1:1" x14ac:dyDescent="0.25">
      <c r="A6047" s="66" t="s">
        <v>6489</v>
      </c>
    </row>
    <row r="6048" spans="1:1" x14ac:dyDescent="0.25">
      <c r="A6048" s="66" t="s">
        <v>6490</v>
      </c>
    </row>
    <row r="6049" spans="1:1" x14ac:dyDescent="0.25">
      <c r="A6049" s="66" t="s">
        <v>6491</v>
      </c>
    </row>
    <row r="6050" spans="1:1" x14ac:dyDescent="0.25">
      <c r="A6050" s="66" t="s">
        <v>6492</v>
      </c>
    </row>
    <row r="6051" spans="1:1" x14ac:dyDescent="0.25">
      <c r="A6051" s="66" t="s">
        <v>6493</v>
      </c>
    </row>
    <row r="6052" spans="1:1" x14ac:dyDescent="0.25">
      <c r="A6052" s="66" t="s">
        <v>6494</v>
      </c>
    </row>
    <row r="6053" spans="1:1" x14ac:dyDescent="0.25">
      <c r="A6053" s="66" t="s">
        <v>6495</v>
      </c>
    </row>
    <row r="6054" spans="1:1" x14ac:dyDescent="0.25">
      <c r="A6054" s="66" t="s">
        <v>6496</v>
      </c>
    </row>
    <row r="6055" spans="1:1" x14ac:dyDescent="0.25">
      <c r="A6055" s="66" t="s">
        <v>6497</v>
      </c>
    </row>
    <row r="6056" spans="1:1" x14ac:dyDescent="0.25">
      <c r="A6056" s="66" t="s">
        <v>6498</v>
      </c>
    </row>
    <row r="6057" spans="1:1" x14ac:dyDescent="0.25">
      <c r="A6057" s="66" t="s">
        <v>6499</v>
      </c>
    </row>
    <row r="6058" spans="1:1" x14ac:dyDescent="0.25">
      <c r="A6058" s="66" t="s">
        <v>6500</v>
      </c>
    </row>
    <row r="6059" spans="1:1" x14ac:dyDescent="0.25">
      <c r="A6059" s="67" t="s">
        <v>6501</v>
      </c>
    </row>
    <row r="6060" spans="1:1" x14ac:dyDescent="0.25">
      <c r="A6060" s="67" t="s">
        <v>6502</v>
      </c>
    </row>
    <row r="6061" spans="1:1" x14ac:dyDescent="0.25">
      <c r="A6061" s="56" t="s">
        <v>6503</v>
      </c>
    </row>
    <row r="6062" spans="1:1" x14ac:dyDescent="0.25">
      <c r="A6062" s="66" t="s">
        <v>6504</v>
      </c>
    </row>
    <row r="6063" spans="1:1" x14ac:dyDescent="0.25">
      <c r="A6063" s="66" t="s">
        <v>6505</v>
      </c>
    </row>
    <row r="6064" spans="1:1" x14ac:dyDescent="0.25">
      <c r="A6064" s="66" t="s">
        <v>6506</v>
      </c>
    </row>
    <row r="6065" spans="1:1" x14ac:dyDescent="0.25">
      <c r="A6065" s="66" t="s">
        <v>6507</v>
      </c>
    </row>
    <row r="6066" spans="1:1" x14ac:dyDescent="0.25">
      <c r="A6066" s="67" t="s">
        <v>6508</v>
      </c>
    </row>
    <row r="6067" spans="1:1" x14ac:dyDescent="0.25">
      <c r="A6067" s="67" t="s">
        <v>6509</v>
      </c>
    </row>
    <row r="6068" spans="1:1" x14ac:dyDescent="0.25">
      <c r="A6068" s="56" t="s">
        <v>6510</v>
      </c>
    </row>
    <row r="6069" spans="1:1" x14ac:dyDescent="0.25">
      <c r="A6069" s="66" t="s">
        <v>6511</v>
      </c>
    </row>
    <row r="6070" spans="1:1" x14ac:dyDescent="0.25">
      <c r="A6070" s="66" t="s">
        <v>6512</v>
      </c>
    </row>
    <row r="6071" spans="1:1" x14ac:dyDescent="0.25">
      <c r="A6071" s="66" t="s">
        <v>6513</v>
      </c>
    </row>
    <row r="6072" spans="1:1" x14ac:dyDescent="0.25">
      <c r="A6072" s="66" t="s">
        <v>6514</v>
      </c>
    </row>
    <row r="6073" spans="1:1" x14ac:dyDescent="0.25">
      <c r="A6073" s="67" t="s">
        <v>6515</v>
      </c>
    </row>
    <row r="6074" spans="1:1" x14ac:dyDescent="0.25">
      <c r="A6074" s="67" t="s">
        <v>6516</v>
      </c>
    </row>
    <row r="6075" spans="1:1" x14ac:dyDescent="0.25">
      <c r="A6075" s="56" t="s">
        <v>6517</v>
      </c>
    </row>
    <row r="6076" spans="1:1" x14ac:dyDescent="0.25">
      <c r="A6076" s="66" t="s">
        <v>6518</v>
      </c>
    </row>
    <row r="6077" spans="1:1" x14ac:dyDescent="0.25">
      <c r="A6077" s="66" t="s">
        <v>6519</v>
      </c>
    </row>
    <row r="6078" spans="1:1" x14ac:dyDescent="0.25">
      <c r="A6078" s="66" t="s">
        <v>6520</v>
      </c>
    </row>
    <row r="6079" spans="1:1" x14ac:dyDescent="0.25">
      <c r="A6079" s="66" t="s">
        <v>6521</v>
      </c>
    </row>
    <row r="6080" spans="1:1" x14ac:dyDescent="0.25">
      <c r="A6080" s="67" t="s">
        <v>6522</v>
      </c>
    </row>
    <row r="6081" spans="1:1" x14ac:dyDescent="0.25">
      <c r="A6081" s="67" t="s">
        <v>6523</v>
      </c>
    </row>
    <row r="6082" spans="1:1" x14ac:dyDescent="0.25">
      <c r="A6082" s="56" t="s">
        <v>6524</v>
      </c>
    </row>
    <row r="6083" spans="1:1" x14ac:dyDescent="0.25">
      <c r="A6083" s="66" t="s">
        <v>6525</v>
      </c>
    </row>
    <row r="6084" spans="1:1" x14ac:dyDescent="0.25">
      <c r="A6084" s="66" t="s">
        <v>6526</v>
      </c>
    </row>
    <row r="6085" spans="1:1" x14ac:dyDescent="0.25">
      <c r="A6085" s="66" t="s">
        <v>6527</v>
      </c>
    </row>
    <row r="6086" spans="1:1" x14ac:dyDescent="0.25">
      <c r="A6086" s="66" t="s">
        <v>6528</v>
      </c>
    </row>
    <row r="6087" spans="1:1" x14ac:dyDescent="0.25">
      <c r="A6087" s="67" t="s">
        <v>6529</v>
      </c>
    </row>
    <row r="6088" spans="1:1" x14ac:dyDescent="0.25">
      <c r="A6088" s="67" t="s">
        <v>6530</v>
      </c>
    </row>
    <row r="6089" spans="1:1" x14ac:dyDescent="0.25">
      <c r="A6089" s="56" t="s">
        <v>6531</v>
      </c>
    </row>
    <row r="6090" spans="1:1" x14ac:dyDescent="0.25">
      <c r="A6090" s="66" t="s">
        <v>6532</v>
      </c>
    </row>
    <row r="6091" spans="1:1" x14ac:dyDescent="0.25">
      <c r="A6091" s="66" t="s">
        <v>6533</v>
      </c>
    </row>
    <row r="6092" spans="1:1" x14ac:dyDescent="0.25">
      <c r="A6092" s="66" t="s">
        <v>6534</v>
      </c>
    </row>
    <row r="6093" spans="1:1" x14ac:dyDescent="0.25">
      <c r="A6093" s="66" t="s">
        <v>6535</v>
      </c>
    </row>
    <row r="6094" spans="1:1" x14ac:dyDescent="0.25">
      <c r="A6094" s="67" t="s">
        <v>6536</v>
      </c>
    </row>
    <row r="6095" spans="1:1" x14ac:dyDescent="0.25">
      <c r="A6095" s="67" t="s">
        <v>6537</v>
      </c>
    </row>
    <row r="6096" spans="1:1" x14ac:dyDescent="0.25">
      <c r="A6096" s="56" t="s">
        <v>6538</v>
      </c>
    </row>
    <row r="6097" spans="1:1" x14ac:dyDescent="0.25">
      <c r="A6097" s="66" t="s">
        <v>6539</v>
      </c>
    </row>
    <row r="6098" spans="1:1" x14ac:dyDescent="0.25">
      <c r="A6098" s="66" t="s">
        <v>6540</v>
      </c>
    </row>
    <row r="6099" spans="1:1" x14ac:dyDescent="0.25">
      <c r="A6099" s="66" t="s">
        <v>6541</v>
      </c>
    </row>
    <row r="6100" spans="1:1" x14ac:dyDescent="0.25">
      <c r="A6100" s="66" t="s">
        <v>6542</v>
      </c>
    </row>
    <row r="6101" spans="1:1" x14ac:dyDescent="0.25">
      <c r="A6101" s="67" t="s">
        <v>6543</v>
      </c>
    </row>
    <row r="6102" spans="1:1" x14ac:dyDescent="0.25">
      <c r="A6102" s="67" t="s">
        <v>6544</v>
      </c>
    </row>
    <row r="6103" spans="1:1" x14ac:dyDescent="0.25">
      <c r="A6103" s="56" t="s">
        <v>6545</v>
      </c>
    </row>
    <row r="6104" spans="1:1" x14ac:dyDescent="0.25">
      <c r="A6104" s="66" t="s">
        <v>6546</v>
      </c>
    </row>
    <row r="6105" spans="1:1" x14ac:dyDescent="0.25">
      <c r="A6105" s="66" t="s">
        <v>6547</v>
      </c>
    </row>
    <row r="6106" spans="1:1" x14ac:dyDescent="0.25">
      <c r="A6106" s="66" t="s">
        <v>6548</v>
      </c>
    </row>
    <row r="6107" spans="1:1" x14ac:dyDescent="0.25">
      <c r="A6107" s="66" t="s">
        <v>6549</v>
      </c>
    </row>
    <row r="6108" spans="1:1" x14ac:dyDescent="0.25">
      <c r="A6108" s="67" t="s">
        <v>6550</v>
      </c>
    </row>
    <row r="6109" spans="1:1" x14ac:dyDescent="0.25">
      <c r="A6109" s="67" t="s">
        <v>6551</v>
      </c>
    </row>
    <row r="6110" spans="1:1" x14ac:dyDescent="0.25">
      <c r="A6110" s="56" t="s">
        <v>6552</v>
      </c>
    </row>
    <row r="6111" spans="1:1" x14ac:dyDescent="0.25">
      <c r="A6111" s="66" t="s">
        <v>6553</v>
      </c>
    </row>
    <row r="6112" spans="1:1" x14ac:dyDescent="0.25">
      <c r="A6112" s="66" t="s">
        <v>6554</v>
      </c>
    </row>
    <row r="6113" spans="1:1" x14ac:dyDescent="0.25">
      <c r="A6113" s="66" t="s">
        <v>6555</v>
      </c>
    </row>
    <row r="6114" spans="1:1" x14ac:dyDescent="0.25">
      <c r="A6114" s="66" t="s">
        <v>6556</v>
      </c>
    </row>
    <row r="6115" spans="1:1" x14ac:dyDescent="0.25">
      <c r="A6115" s="67" t="s">
        <v>6557</v>
      </c>
    </row>
    <row r="6116" spans="1:1" x14ac:dyDescent="0.25">
      <c r="A6116" s="67" t="s">
        <v>6558</v>
      </c>
    </row>
    <row r="6117" spans="1:1" x14ac:dyDescent="0.25">
      <c r="A6117" s="56" t="s">
        <v>6559</v>
      </c>
    </row>
    <row r="6118" spans="1:1" x14ac:dyDescent="0.25">
      <c r="A6118" s="66" t="s">
        <v>6560</v>
      </c>
    </row>
    <row r="6119" spans="1:1" x14ac:dyDescent="0.25">
      <c r="A6119" s="66" t="s">
        <v>6561</v>
      </c>
    </row>
    <row r="6120" spans="1:1" x14ac:dyDescent="0.25">
      <c r="A6120" s="66" t="s">
        <v>6562</v>
      </c>
    </row>
    <row r="6121" spans="1:1" x14ac:dyDescent="0.25">
      <c r="A6121" s="66" t="s">
        <v>6563</v>
      </c>
    </row>
    <row r="6122" spans="1:1" x14ac:dyDescent="0.25">
      <c r="A6122" s="67" t="s">
        <v>6564</v>
      </c>
    </row>
    <row r="6123" spans="1:1" x14ac:dyDescent="0.25">
      <c r="A6123" s="67" t="s">
        <v>6565</v>
      </c>
    </row>
    <row r="6124" spans="1:1" x14ac:dyDescent="0.25">
      <c r="A6124" s="56" t="s">
        <v>6566</v>
      </c>
    </row>
    <row r="6125" spans="1:1" x14ac:dyDescent="0.25">
      <c r="A6125" s="66" t="s">
        <v>6567</v>
      </c>
    </row>
    <row r="6126" spans="1:1" x14ac:dyDescent="0.25">
      <c r="A6126" s="66" t="s">
        <v>6568</v>
      </c>
    </row>
    <row r="6127" spans="1:1" x14ac:dyDescent="0.25">
      <c r="A6127" s="66" t="s">
        <v>6569</v>
      </c>
    </row>
    <row r="6128" spans="1:1" x14ac:dyDescent="0.25">
      <c r="A6128" s="66" t="s">
        <v>6570</v>
      </c>
    </row>
    <row r="6129" spans="1:1" x14ac:dyDescent="0.25">
      <c r="A6129" s="67" t="s">
        <v>6571</v>
      </c>
    </row>
    <row r="6130" spans="1:1" x14ac:dyDescent="0.25">
      <c r="A6130" s="67" t="s">
        <v>6572</v>
      </c>
    </row>
    <row r="6131" spans="1:1" x14ac:dyDescent="0.25">
      <c r="A6131" s="56" t="s">
        <v>6573</v>
      </c>
    </row>
    <row r="6132" spans="1:1" x14ac:dyDescent="0.25">
      <c r="A6132" s="66" t="s">
        <v>6574</v>
      </c>
    </row>
    <row r="6133" spans="1:1" x14ac:dyDescent="0.25">
      <c r="A6133" s="66" t="s">
        <v>6575</v>
      </c>
    </row>
    <row r="6134" spans="1:1" x14ac:dyDescent="0.25">
      <c r="A6134" s="66" t="s">
        <v>6576</v>
      </c>
    </row>
    <row r="6135" spans="1:1" x14ac:dyDescent="0.25">
      <c r="A6135" s="66" t="s">
        <v>6577</v>
      </c>
    </row>
    <row r="6136" spans="1:1" x14ac:dyDescent="0.25">
      <c r="A6136" s="67" t="s">
        <v>6578</v>
      </c>
    </row>
    <row r="6137" spans="1:1" x14ac:dyDescent="0.25">
      <c r="A6137" s="67" t="s">
        <v>6579</v>
      </c>
    </row>
    <row r="6138" spans="1:1" x14ac:dyDescent="0.25">
      <c r="A6138" s="56" t="s">
        <v>6580</v>
      </c>
    </row>
    <row r="6139" spans="1:1" x14ac:dyDescent="0.25">
      <c r="A6139" s="66" t="s">
        <v>6581</v>
      </c>
    </row>
    <row r="6140" spans="1:1" x14ac:dyDescent="0.25">
      <c r="A6140" s="66" t="s">
        <v>6582</v>
      </c>
    </row>
    <row r="6141" spans="1:1" x14ac:dyDescent="0.25">
      <c r="A6141" s="66" t="s">
        <v>6583</v>
      </c>
    </row>
    <row r="6142" spans="1:1" x14ac:dyDescent="0.25">
      <c r="A6142" s="66" t="s">
        <v>6584</v>
      </c>
    </row>
    <row r="6143" spans="1:1" x14ac:dyDescent="0.25">
      <c r="A6143" s="67" t="s">
        <v>6585</v>
      </c>
    </row>
    <row r="6144" spans="1:1" x14ac:dyDescent="0.25">
      <c r="A6144" s="67" t="s">
        <v>6586</v>
      </c>
    </row>
    <row r="6145" spans="1:1" x14ac:dyDescent="0.25">
      <c r="A6145" s="56" t="s">
        <v>6587</v>
      </c>
    </row>
    <row r="6146" spans="1:1" x14ac:dyDescent="0.25">
      <c r="A6146" s="66" t="s">
        <v>6588</v>
      </c>
    </row>
    <row r="6147" spans="1:1" x14ac:dyDescent="0.25">
      <c r="A6147" s="66" t="s">
        <v>6589</v>
      </c>
    </row>
    <row r="6148" spans="1:1" x14ac:dyDescent="0.25">
      <c r="A6148" s="66" t="s">
        <v>6590</v>
      </c>
    </row>
    <row r="6149" spans="1:1" x14ac:dyDescent="0.25">
      <c r="A6149" s="66" t="s">
        <v>6591</v>
      </c>
    </row>
    <row r="6150" spans="1:1" x14ac:dyDescent="0.25">
      <c r="A6150" s="67" t="s">
        <v>6592</v>
      </c>
    </row>
    <row r="6151" spans="1:1" x14ac:dyDescent="0.25">
      <c r="A6151" s="67" t="s">
        <v>6593</v>
      </c>
    </row>
    <row r="6152" spans="1:1" x14ac:dyDescent="0.25">
      <c r="A6152" s="56" t="s">
        <v>6594</v>
      </c>
    </row>
    <row r="6153" spans="1:1" x14ac:dyDescent="0.25">
      <c r="A6153" s="66" t="s">
        <v>6595</v>
      </c>
    </row>
    <row r="6154" spans="1:1" x14ac:dyDescent="0.25">
      <c r="A6154" s="66" t="s">
        <v>6596</v>
      </c>
    </row>
    <row r="6155" spans="1:1" x14ac:dyDescent="0.25">
      <c r="A6155" s="66" t="s">
        <v>6597</v>
      </c>
    </row>
    <row r="6156" spans="1:1" x14ac:dyDescent="0.25">
      <c r="A6156" s="66" t="s">
        <v>6598</v>
      </c>
    </row>
    <row r="6157" spans="1:1" x14ac:dyDescent="0.25">
      <c r="A6157" s="67" t="s">
        <v>6599</v>
      </c>
    </row>
    <row r="6158" spans="1:1" x14ac:dyDescent="0.25">
      <c r="A6158" s="67" t="s">
        <v>6600</v>
      </c>
    </row>
    <row r="6159" spans="1:1" x14ac:dyDescent="0.25">
      <c r="A6159" s="56" t="s">
        <v>6601</v>
      </c>
    </row>
    <row r="6160" spans="1:1" x14ac:dyDescent="0.25">
      <c r="A6160" s="66" t="s">
        <v>6602</v>
      </c>
    </row>
    <row r="6161" spans="1:1" x14ac:dyDescent="0.25">
      <c r="A6161" s="66" t="s">
        <v>6603</v>
      </c>
    </row>
    <row r="6162" spans="1:1" x14ac:dyDescent="0.25">
      <c r="A6162" s="66" t="s">
        <v>6604</v>
      </c>
    </row>
    <row r="6163" spans="1:1" x14ac:dyDescent="0.25">
      <c r="A6163" s="66" t="s">
        <v>6605</v>
      </c>
    </row>
    <row r="6164" spans="1:1" x14ac:dyDescent="0.25">
      <c r="A6164" s="67" t="s">
        <v>6606</v>
      </c>
    </row>
    <row r="6165" spans="1:1" x14ac:dyDescent="0.25">
      <c r="A6165" s="67" t="s">
        <v>6607</v>
      </c>
    </row>
    <row r="6166" spans="1:1" x14ac:dyDescent="0.25">
      <c r="A6166" s="56" t="s">
        <v>6608</v>
      </c>
    </row>
    <row r="6167" spans="1:1" x14ac:dyDescent="0.25">
      <c r="A6167" s="66" t="s">
        <v>6609</v>
      </c>
    </row>
    <row r="6168" spans="1:1" x14ac:dyDescent="0.25">
      <c r="A6168" s="66" t="s">
        <v>6610</v>
      </c>
    </row>
    <row r="6169" spans="1:1" x14ac:dyDescent="0.25">
      <c r="A6169" s="66" t="s">
        <v>6611</v>
      </c>
    </row>
    <row r="6170" spans="1:1" x14ac:dyDescent="0.25">
      <c r="A6170" s="66" t="s">
        <v>6612</v>
      </c>
    </row>
    <row r="6171" spans="1:1" x14ac:dyDescent="0.25">
      <c r="A6171" s="66" t="s">
        <v>6613</v>
      </c>
    </row>
    <row r="6172" spans="1:1" x14ac:dyDescent="0.25">
      <c r="A6172" s="66" t="s">
        <v>6614</v>
      </c>
    </row>
    <row r="6173" spans="1:1" x14ac:dyDescent="0.25">
      <c r="A6173" s="66" t="s">
        <v>6615</v>
      </c>
    </row>
    <row r="6174" spans="1:1" x14ac:dyDescent="0.25">
      <c r="A6174" s="66" t="s">
        <v>6616</v>
      </c>
    </row>
    <row r="6175" spans="1:1" x14ac:dyDescent="0.25">
      <c r="A6175" s="66" t="s">
        <v>6617</v>
      </c>
    </row>
    <row r="6176" spans="1:1" x14ac:dyDescent="0.25">
      <c r="A6176" s="66" t="s">
        <v>6618</v>
      </c>
    </row>
    <row r="6177" spans="1:1" x14ac:dyDescent="0.25">
      <c r="A6177" s="66" t="s">
        <v>6619</v>
      </c>
    </row>
    <row r="6178" spans="1:1" x14ac:dyDescent="0.25">
      <c r="A6178" s="66" t="s">
        <v>6620</v>
      </c>
    </row>
    <row r="6179" spans="1:1" x14ac:dyDescent="0.25">
      <c r="A6179" s="56" t="s">
        <v>6621</v>
      </c>
    </row>
    <row r="6180" spans="1:1" x14ac:dyDescent="0.25">
      <c r="A6180" s="66" t="s">
        <v>6622</v>
      </c>
    </row>
    <row r="6181" spans="1:1" x14ac:dyDescent="0.25">
      <c r="A6181" s="56" t="s">
        <v>6623</v>
      </c>
    </row>
    <row r="6182" spans="1:1" x14ac:dyDescent="0.25">
      <c r="A6182" s="66" t="s">
        <v>6624</v>
      </c>
    </row>
    <row r="6183" spans="1:1" x14ac:dyDescent="0.25">
      <c r="A6183" s="66" t="s">
        <v>6625</v>
      </c>
    </row>
    <row r="6184" spans="1:1" x14ac:dyDescent="0.25">
      <c r="A6184" s="66" t="s">
        <v>6626</v>
      </c>
    </row>
    <row r="6185" spans="1:1" x14ac:dyDescent="0.25">
      <c r="A6185" s="66" t="s">
        <v>6627</v>
      </c>
    </row>
    <row r="6186" spans="1:1" x14ac:dyDescent="0.25">
      <c r="A6186" s="66" t="s">
        <v>6628</v>
      </c>
    </row>
    <row r="6187" spans="1:1" x14ac:dyDescent="0.25">
      <c r="A6187" s="66" t="s">
        <v>6629</v>
      </c>
    </row>
    <row r="6188" spans="1:1" x14ac:dyDescent="0.25">
      <c r="A6188" s="66" t="s">
        <v>6630</v>
      </c>
    </row>
    <row r="6189" spans="1:1" x14ac:dyDescent="0.25">
      <c r="A6189" s="66" t="s">
        <v>6631</v>
      </c>
    </row>
    <row r="6190" spans="1:1" x14ac:dyDescent="0.25">
      <c r="A6190" s="66" t="s">
        <v>6632</v>
      </c>
    </row>
    <row r="6191" spans="1:1" x14ac:dyDescent="0.25">
      <c r="A6191" s="66" t="s">
        <v>6633</v>
      </c>
    </row>
    <row r="6192" spans="1:1" x14ac:dyDescent="0.25">
      <c r="A6192" s="66" t="s">
        <v>6634</v>
      </c>
    </row>
    <row r="6193" spans="1:1" x14ac:dyDescent="0.25">
      <c r="A6193" s="66" t="s">
        <v>6635</v>
      </c>
    </row>
    <row r="6194" spans="1:1" x14ac:dyDescent="0.25">
      <c r="A6194" s="66" t="s">
        <v>6636</v>
      </c>
    </row>
    <row r="6195" spans="1:1" x14ac:dyDescent="0.25">
      <c r="A6195" s="66" t="s">
        <v>6637</v>
      </c>
    </row>
    <row r="6196" spans="1:1" x14ac:dyDescent="0.25">
      <c r="A6196" s="66" t="s">
        <v>6638</v>
      </c>
    </row>
    <row r="6197" spans="1:1" x14ac:dyDescent="0.25">
      <c r="A6197" s="66" t="s">
        <v>6639</v>
      </c>
    </row>
    <row r="6198" spans="1:1" x14ac:dyDescent="0.25">
      <c r="A6198" s="66" t="s">
        <v>6640</v>
      </c>
    </row>
    <row r="6199" spans="1:1" x14ac:dyDescent="0.25">
      <c r="A6199" s="66" t="s">
        <v>6641</v>
      </c>
    </row>
    <row r="6200" spans="1:1" x14ac:dyDescent="0.25">
      <c r="A6200" s="66" t="s">
        <v>6642</v>
      </c>
    </row>
    <row r="6201" spans="1:1" x14ac:dyDescent="0.25">
      <c r="A6201" s="66" t="s">
        <v>6643</v>
      </c>
    </row>
    <row r="6202" spans="1:1" x14ac:dyDescent="0.25">
      <c r="A6202" s="66" t="s">
        <v>6644</v>
      </c>
    </row>
    <row r="6203" spans="1:1" x14ac:dyDescent="0.25">
      <c r="A6203" s="66" t="s">
        <v>6645</v>
      </c>
    </row>
    <row r="6204" spans="1:1" x14ac:dyDescent="0.25">
      <c r="A6204" s="66" t="s">
        <v>6646</v>
      </c>
    </row>
    <row r="6205" spans="1:1" x14ac:dyDescent="0.25">
      <c r="A6205" s="66" t="s">
        <v>6647</v>
      </c>
    </row>
    <row r="6206" spans="1:1" x14ac:dyDescent="0.25">
      <c r="A6206" s="66" t="s">
        <v>6648</v>
      </c>
    </row>
    <row r="6207" spans="1:1" x14ac:dyDescent="0.25">
      <c r="A6207" s="66" t="s">
        <v>6649</v>
      </c>
    </row>
    <row r="6208" spans="1:1" x14ac:dyDescent="0.25">
      <c r="A6208" s="66" t="s">
        <v>6650</v>
      </c>
    </row>
    <row r="6209" spans="1:1" x14ac:dyDescent="0.25">
      <c r="A6209" s="66" t="s">
        <v>6651</v>
      </c>
    </row>
    <row r="6210" spans="1:1" x14ac:dyDescent="0.25">
      <c r="A6210" s="66" t="s">
        <v>6652</v>
      </c>
    </row>
    <row r="6211" spans="1:1" x14ac:dyDescent="0.25">
      <c r="A6211" s="66" t="s">
        <v>6653</v>
      </c>
    </row>
    <row r="6212" spans="1:1" x14ac:dyDescent="0.25">
      <c r="A6212" s="66" t="s">
        <v>6654</v>
      </c>
    </row>
    <row r="6213" spans="1:1" x14ac:dyDescent="0.25">
      <c r="A6213" s="66" t="s">
        <v>6655</v>
      </c>
    </row>
    <row r="6214" spans="1:1" x14ac:dyDescent="0.25">
      <c r="A6214" s="66" t="s">
        <v>6656</v>
      </c>
    </row>
    <row r="6215" spans="1:1" x14ac:dyDescent="0.25">
      <c r="A6215" s="66" t="s">
        <v>6657</v>
      </c>
    </row>
    <row r="6216" spans="1:1" x14ac:dyDescent="0.25">
      <c r="A6216" s="66" t="s">
        <v>6658</v>
      </c>
    </row>
    <row r="6217" spans="1:1" x14ac:dyDescent="0.25">
      <c r="A6217" s="66" t="s">
        <v>6659</v>
      </c>
    </row>
    <row r="6218" spans="1:1" x14ac:dyDescent="0.25">
      <c r="A6218" s="66" t="s">
        <v>6660</v>
      </c>
    </row>
    <row r="6219" spans="1:1" x14ac:dyDescent="0.25">
      <c r="A6219" s="66" t="s">
        <v>6661</v>
      </c>
    </row>
    <row r="6220" spans="1:1" x14ac:dyDescent="0.25">
      <c r="A6220" s="66" t="s">
        <v>6662</v>
      </c>
    </row>
    <row r="6221" spans="1:1" x14ac:dyDescent="0.25">
      <c r="A6221" s="66" t="s">
        <v>6663</v>
      </c>
    </row>
    <row r="6222" spans="1:1" x14ac:dyDescent="0.25">
      <c r="A6222" s="66" t="s">
        <v>6664</v>
      </c>
    </row>
    <row r="6223" spans="1:1" x14ac:dyDescent="0.25">
      <c r="A6223" s="66" t="s">
        <v>6665</v>
      </c>
    </row>
    <row r="6224" spans="1:1" x14ac:dyDescent="0.25">
      <c r="A6224" s="66" t="s">
        <v>6666</v>
      </c>
    </row>
    <row r="6225" spans="1:1" x14ac:dyDescent="0.25">
      <c r="A6225" s="66" t="s">
        <v>6667</v>
      </c>
    </row>
    <row r="6226" spans="1:1" x14ac:dyDescent="0.25">
      <c r="A6226" s="66" t="s">
        <v>6668</v>
      </c>
    </row>
    <row r="6227" spans="1:1" x14ac:dyDescent="0.25">
      <c r="A6227" s="66" t="s">
        <v>6669</v>
      </c>
    </row>
    <row r="6228" spans="1:1" x14ac:dyDescent="0.25">
      <c r="A6228" s="66" t="s">
        <v>6670</v>
      </c>
    </row>
    <row r="6229" spans="1:1" x14ac:dyDescent="0.25">
      <c r="A6229" s="66" t="s">
        <v>6671</v>
      </c>
    </row>
    <row r="6230" spans="1:1" x14ac:dyDescent="0.25">
      <c r="A6230" s="66" t="s">
        <v>6672</v>
      </c>
    </row>
    <row r="6231" spans="1:1" x14ac:dyDescent="0.25">
      <c r="A6231" s="66" t="s">
        <v>6673</v>
      </c>
    </row>
    <row r="6232" spans="1:1" x14ac:dyDescent="0.25">
      <c r="A6232" s="66" t="s">
        <v>6674</v>
      </c>
    </row>
    <row r="6233" spans="1:1" x14ac:dyDescent="0.25">
      <c r="A6233" s="66" t="s">
        <v>6675</v>
      </c>
    </row>
    <row r="6234" spans="1:1" x14ac:dyDescent="0.25">
      <c r="A6234" s="66" t="s">
        <v>6676</v>
      </c>
    </row>
    <row r="6235" spans="1:1" x14ac:dyDescent="0.25">
      <c r="A6235" s="66" t="s">
        <v>6677</v>
      </c>
    </row>
    <row r="6236" spans="1:1" x14ac:dyDescent="0.25">
      <c r="A6236" s="67" t="s">
        <v>6678</v>
      </c>
    </row>
    <row r="6237" spans="1:1" x14ac:dyDescent="0.25">
      <c r="A6237" s="66" t="s">
        <v>6679</v>
      </c>
    </row>
    <row r="6238" spans="1:1" x14ac:dyDescent="0.25">
      <c r="A6238" s="66" t="s">
        <v>6680</v>
      </c>
    </row>
    <row r="6239" spans="1:1" x14ac:dyDescent="0.25">
      <c r="A6239" s="66" t="s">
        <v>6681</v>
      </c>
    </row>
    <row r="6240" spans="1:1" x14ac:dyDescent="0.25">
      <c r="A6240" s="66" t="s">
        <v>6682</v>
      </c>
    </row>
    <row r="6241" spans="1:1" x14ac:dyDescent="0.25">
      <c r="A6241" s="66" t="s">
        <v>6683</v>
      </c>
    </row>
    <row r="6242" spans="1:1" x14ac:dyDescent="0.25">
      <c r="A6242" s="66" t="s">
        <v>6684</v>
      </c>
    </row>
    <row r="6243" spans="1:1" x14ac:dyDescent="0.25">
      <c r="A6243" s="66" t="s">
        <v>6685</v>
      </c>
    </row>
    <row r="6244" spans="1:1" x14ac:dyDescent="0.25">
      <c r="A6244" s="66" t="s">
        <v>6686</v>
      </c>
    </row>
    <row r="6245" spans="1:1" x14ac:dyDescent="0.25">
      <c r="A6245" s="56" t="s">
        <v>6687</v>
      </c>
    </row>
    <row r="6246" spans="1:1" x14ac:dyDescent="0.25">
      <c r="A6246" s="66" t="s">
        <v>6688</v>
      </c>
    </row>
    <row r="6247" spans="1:1" x14ac:dyDescent="0.25">
      <c r="A6247" s="56" t="s">
        <v>6689</v>
      </c>
    </row>
    <row r="6248" spans="1:1" x14ac:dyDescent="0.25">
      <c r="A6248" s="66" t="s">
        <v>6690</v>
      </c>
    </row>
    <row r="6249" spans="1:1" x14ac:dyDescent="0.25">
      <c r="A6249" s="66" t="s">
        <v>6691</v>
      </c>
    </row>
    <row r="6250" spans="1:1" x14ac:dyDescent="0.25">
      <c r="A6250" s="66" t="s">
        <v>6692</v>
      </c>
    </row>
    <row r="6251" spans="1:1" x14ac:dyDescent="0.25">
      <c r="A6251" s="66" t="s">
        <v>6693</v>
      </c>
    </row>
    <row r="6252" spans="1:1" x14ac:dyDescent="0.25">
      <c r="A6252" s="66" t="s">
        <v>6694</v>
      </c>
    </row>
    <row r="6253" spans="1:1" x14ac:dyDescent="0.25">
      <c r="A6253" s="66" t="s">
        <v>6695</v>
      </c>
    </row>
    <row r="6254" spans="1:1" x14ac:dyDescent="0.25">
      <c r="A6254" s="66" t="s">
        <v>6696</v>
      </c>
    </row>
    <row r="6255" spans="1:1" x14ac:dyDescent="0.25">
      <c r="A6255" s="66" t="s">
        <v>6697</v>
      </c>
    </row>
    <row r="6256" spans="1:1" x14ac:dyDescent="0.25">
      <c r="A6256" s="66" t="s">
        <v>6698</v>
      </c>
    </row>
    <row r="6257" spans="1:1" x14ac:dyDescent="0.25">
      <c r="A6257" s="66" t="s">
        <v>6699</v>
      </c>
    </row>
    <row r="6258" spans="1:1" x14ac:dyDescent="0.25">
      <c r="A6258" s="66" t="s">
        <v>6700</v>
      </c>
    </row>
    <row r="6259" spans="1:1" x14ac:dyDescent="0.25">
      <c r="A6259" s="66" t="s">
        <v>6701</v>
      </c>
    </row>
    <row r="6260" spans="1:1" x14ac:dyDescent="0.25">
      <c r="A6260" s="66" t="s">
        <v>6702</v>
      </c>
    </row>
    <row r="6261" spans="1:1" x14ac:dyDescent="0.25">
      <c r="A6261" s="56" t="s">
        <v>6703</v>
      </c>
    </row>
    <row r="6262" spans="1:1" x14ac:dyDescent="0.25">
      <c r="A6262" s="66" t="s">
        <v>6704</v>
      </c>
    </row>
    <row r="6263" spans="1:1" x14ac:dyDescent="0.25">
      <c r="A6263" s="56" t="s">
        <v>6705</v>
      </c>
    </row>
    <row r="6264" spans="1:1" x14ac:dyDescent="0.25">
      <c r="A6264" s="66" t="s">
        <v>6706</v>
      </c>
    </row>
    <row r="6265" spans="1:1" x14ac:dyDescent="0.25">
      <c r="A6265" s="56" t="s">
        <v>6707</v>
      </c>
    </row>
    <row r="6266" spans="1:1" x14ac:dyDescent="0.25">
      <c r="A6266" s="66" t="s">
        <v>6708</v>
      </c>
    </row>
    <row r="6267" spans="1:1" x14ac:dyDescent="0.25">
      <c r="A6267" s="66" t="s">
        <v>6709</v>
      </c>
    </row>
    <row r="6268" spans="1:1" x14ac:dyDescent="0.25">
      <c r="A6268" s="66" t="s">
        <v>6710</v>
      </c>
    </row>
    <row r="6269" spans="1:1" x14ac:dyDescent="0.25">
      <c r="A6269" s="66" t="s">
        <v>6711</v>
      </c>
    </row>
    <row r="6270" spans="1:1" x14ac:dyDescent="0.25">
      <c r="A6270" s="66" t="s">
        <v>6712</v>
      </c>
    </row>
    <row r="6271" spans="1:1" x14ac:dyDescent="0.25">
      <c r="A6271" s="66" t="s">
        <v>6713</v>
      </c>
    </row>
    <row r="6272" spans="1:1" x14ac:dyDescent="0.25">
      <c r="A6272" s="66" t="s">
        <v>6714</v>
      </c>
    </row>
    <row r="6273" spans="1:1" x14ac:dyDescent="0.25">
      <c r="A6273" s="66" t="s">
        <v>6715</v>
      </c>
    </row>
    <row r="6274" spans="1:1" x14ac:dyDescent="0.25">
      <c r="A6274" s="66" t="s">
        <v>6716</v>
      </c>
    </row>
    <row r="6275" spans="1:1" x14ac:dyDescent="0.25">
      <c r="A6275" s="66" t="s">
        <v>6717</v>
      </c>
    </row>
    <row r="6276" spans="1:1" x14ac:dyDescent="0.25">
      <c r="A6276" s="66" t="s">
        <v>6718</v>
      </c>
    </row>
    <row r="6277" spans="1:1" x14ac:dyDescent="0.25">
      <c r="A6277" s="66" t="s">
        <v>6719</v>
      </c>
    </row>
    <row r="6278" spans="1:1" x14ac:dyDescent="0.25">
      <c r="A6278" s="66" t="s">
        <v>6720</v>
      </c>
    </row>
    <row r="6279" spans="1:1" x14ac:dyDescent="0.25">
      <c r="A6279" s="66" t="s">
        <v>6721</v>
      </c>
    </row>
    <row r="6280" spans="1:1" x14ac:dyDescent="0.25">
      <c r="A6280" s="66" t="s">
        <v>6722</v>
      </c>
    </row>
    <row r="6281" spans="1:1" x14ac:dyDescent="0.25">
      <c r="A6281" s="66" t="s">
        <v>6723</v>
      </c>
    </row>
    <row r="6282" spans="1:1" x14ac:dyDescent="0.25">
      <c r="A6282" s="66" t="s">
        <v>6724</v>
      </c>
    </row>
    <row r="6283" spans="1:1" x14ac:dyDescent="0.25">
      <c r="A6283" s="66" t="s">
        <v>6725</v>
      </c>
    </row>
    <row r="6284" spans="1:1" x14ac:dyDescent="0.25">
      <c r="A6284" s="66" t="s">
        <v>6726</v>
      </c>
    </row>
    <row r="6285" spans="1:1" x14ac:dyDescent="0.25">
      <c r="A6285" s="66" t="s">
        <v>6727</v>
      </c>
    </row>
    <row r="6286" spans="1:1" x14ac:dyDescent="0.25">
      <c r="A6286" s="66" t="s">
        <v>6728</v>
      </c>
    </row>
    <row r="6287" spans="1:1" x14ac:dyDescent="0.25">
      <c r="A6287" s="66" t="s">
        <v>6729</v>
      </c>
    </row>
    <row r="6288" spans="1:1" x14ac:dyDescent="0.25">
      <c r="A6288" s="66" t="s">
        <v>6730</v>
      </c>
    </row>
    <row r="6289" spans="1:1" x14ac:dyDescent="0.25">
      <c r="A6289" s="66" t="s">
        <v>6731</v>
      </c>
    </row>
    <row r="6290" spans="1:1" x14ac:dyDescent="0.25">
      <c r="A6290" s="56" t="s">
        <v>6732</v>
      </c>
    </row>
    <row r="6291" spans="1:1" x14ac:dyDescent="0.25">
      <c r="A6291" s="66" t="s">
        <v>6733</v>
      </c>
    </row>
    <row r="6292" spans="1:1" x14ac:dyDescent="0.25">
      <c r="A6292" s="56" t="s">
        <v>6734</v>
      </c>
    </row>
    <row r="6293" spans="1:1" x14ac:dyDescent="0.25">
      <c r="A6293" s="66" t="s">
        <v>6735</v>
      </c>
    </row>
    <row r="6294" spans="1:1" x14ac:dyDescent="0.25">
      <c r="A6294" s="56" t="s">
        <v>6736</v>
      </c>
    </row>
    <row r="6295" spans="1:1" x14ac:dyDescent="0.25">
      <c r="A6295" s="66" t="s">
        <v>6737</v>
      </c>
    </row>
    <row r="6296" spans="1:1" x14ac:dyDescent="0.25">
      <c r="A6296" s="56" t="s">
        <v>6738</v>
      </c>
    </row>
    <row r="6297" spans="1:1" x14ac:dyDescent="0.25">
      <c r="A6297" s="66" t="s">
        <v>6739</v>
      </c>
    </row>
    <row r="6298" spans="1:1" x14ac:dyDescent="0.25">
      <c r="A6298" s="56" t="s">
        <v>6740</v>
      </c>
    </row>
    <row r="6299" spans="1:1" x14ac:dyDescent="0.25">
      <c r="A6299" s="66" t="s">
        <v>6741</v>
      </c>
    </row>
    <row r="6300" spans="1:1" x14ac:dyDescent="0.25">
      <c r="A6300" s="66" t="s">
        <v>6742</v>
      </c>
    </row>
    <row r="6301" spans="1:1" x14ac:dyDescent="0.25">
      <c r="A6301" s="66" t="s">
        <v>6743</v>
      </c>
    </row>
    <row r="6302" spans="1:1" x14ac:dyDescent="0.25">
      <c r="A6302" s="66" t="s">
        <v>6744</v>
      </c>
    </row>
    <row r="6303" spans="1:1" x14ac:dyDescent="0.25">
      <c r="A6303" s="66" t="s">
        <v>6745</v>
      </c>
    </row>
    <row r="6304" spans="1:1" x14ac:dyDescent="0.25">
      <c r="A6304" s="66" t="s">
        <v>6746</v>
      </c>
    </row>
    <row r="6305" spans="1:1" x14ac:dyDescent="0.25">
      <c r="A6305" s="66" t="s">
        <v>6747</v>
      </c>
    </row>
    <row r="6306" spans="1:1" x14ac:dyDescent="0.25">
      <c r="A6306" s="66" t="s">
        <v>6748</v>
      </c>
    </row>
    <row r="6307" spans="1:1" x14ac:dyDescent="0.25">
      <c r="A6307" s="56" t="s">
        <v>6749</v>
      </c>
    </row>
    <row r="6308" spans="1:1" x14ac:dyDescent="0.25">
      <c r="A6308" s="66" t="s">
        <v>6750</v>
      </c>
    </row>
    <row r="6309" spans="1:1" x14ac:dyDescent="0.25">
      <c r="A6309" s="56" t="s">
        <v>6751</v>
      </c>
    </row>
    <row r="6310" spans="1:1" x14ac:dyDescent="0.25">
      <c r="A6310" s="66" t="s">
        <v>6752</v>
      </c>
    </row>
    <row r="6311" spans="1:1" x14ac:dyDescent="0.25">
      <c r="A6311" s="56" t="s">
        <v>6753</v>
      </c>
    </row>
    <row r="6312" spans="1:1" x14ac:dyDescent="0.25">
      <c r="A6312" s="66" t="s">
        <v>6754</v>
      </c>
    </row>
    <row r="6313" spans="1:1" x14ac:dyDescent="0.25">
      <c r="A6313" s="56" t="s">
        <v>6755</v>
      </c>
    </row>
    <row r="6314" spans="1:1" x14ac:dyDescent="0.25">
      <c r="A6314" s="66" t="s">
        <v>6756</v>
      </c>
    </row>
    <row r="6315" spans="1:1" x14ac:dyDescent="0.25">
      <c r="A6315" s="56" t="s">
        <v>6757</v>
      </c>
    </row>
    <row r="6316" spans="1:1" x14ac:dyDescent="0.25">
      <c r="A6316" s="66" t="s">
        <v>6758</v>
      </c>
    </row>
    <row r="6317" spans="1:1" x14ac:dyDescent="0.25">
      <c r="A6317" s="56" t="s">
        <v>6759</v>
      </c>
    </row>
    <row r="6318" spans="1:1" x14ac:dyDescent="0.25">
      <c r="A6318" s="66" t="s">
        <v>6760</v>
      </c>
    </row>
    <row r="6319" spans="1:1" x14ac:dyDescent="0.25">
      <c r="A6319" s="56" t="s">
        <v>6761</v>
      </c>
    </row>
    <row r="6320" spans="1:1" x14ac:dyDescent="0.25">
      <c r="A6320" s="66" t="s">
        <v>6762</v>
      </c>
    </row>
    <row r="6321" spans="1:1" x14ac:dyDescent="0.25">
      <c r="A6321" s="56" t="s">
        <v>6763</v>
      </c>
    </row>
    <row r="6322" spans="1:1" x14ac:dyDescent="0.25">
      <c r="A6322" s="66" t="s">
        <v>6764</v>
      </c>
    </row>
    <row r="6323" spans="1:1" x14ac:dyDescent="0.25">
      <c r="A6323" s="56" t="s">
        <v>6765</v>
      </c>
    </row>
    <row r="6324" spans="1:1" x14ac:dyDescent="0.25">
      <c r="A6324" s="66" t="s">
        <v>6766</v>
      </c>
    </row>
    <row r="6325" spans="1:1" x14ac:dyDescent="0.25">
      <c r="A6325" s="56" t="s">
        <v>6767</v>
      </c>
    </row>
    <row r="6326" spans="1:1" x14ac:dyDescent="0.25">
      <c r="A6326" s="66" t="s">
        <v>6768</v>
      </c>
    </row>
    <row r="6327" spans="1:1" x14ac:dyDescent="0.25">
      <c r="A6327" s="56" t="s">
        <v>6769</v>
      </c>
    </row>
    <row r="6328" spans="1:1" x14ac:dyDescent="0.25">
      <c r="A6328" s="66" t="s">
        <v>6770</v>
      </c>
    </row>
    <row r="6329" spans="1:1" x14ac:dyDescent="0.25">
      <c r="A6329" s="66" t="s">
        <v>6771</v>
      </c>
    </row>
    <row r="6330" spans="1:1" x14ac:dyDescent="0.25">
      <c r="A6330" s="66" t="s">
        <v>6772</v>
      </c>
    </row>
    <row r="6331" spans="1:1" x14ac:dyDescent="0.25">
      <c r="A6331" s="66" t="s">
        <v>6773</v>
      </c>
    </row>
    <row r="6332" spans="1:1" x14ac:dyDescent="0.25">
      <c r="A6332" s="66" t="s">
        <v>6774</v>
      </c>
    </row>
    <row r="6333" spans="1:1" x14ac:dyDescent="0.25">
      <c r="A6333" s="66" t="s">
        <v>6775</v>
      </c>
    </row>
    <row r="6334" spans="1:1" x14ac:dyDescent="0.25">
      <c r="A6334" s="66" t="s">
        <v>6776</v>
      </c>
    </row>
    <row r="6335" spans="1:1" x14ac:dyDescent="0.25">
      <c r="A6335" s="66" t="s">
        <v>6777</v>
      </c>
    </row>
    <row r="6336" spans="1:1" x14ac:dyDescent="0.25">
      <c r="A6336" s="66" t="s">
        <v>6778</v>
      </c>
    </row>
    <row r="6337" spans="1:1" x14ac:dyDescent="0.25">
      <c r="A6337" s="66" t="s">
        <v>6779</v>
      </c>
    </row>
    <row r="6338" spans="1:1" x14ac:dyDescent="0.25">
      <c r="A6338" s="66" t="s">
        <v>6780</v>
      </c>
    </row>
    <row r="6339" spans="1:1" x14ac:dyDescent="0.25">
      <c r="A6339" s="66" t="s">
        <v>6781</v>
      </c>
    </row>
    <row r="6340" spans="1:1" x14ac:dyDescent="0.25">
      <c r="A6340" s="66" t="s">
        <v>6782</v>
      </c>
    </row>
    <row r="6341" spans="1:1" x14ac:dyDescent="0.25">
      <c r="A6341" s="66" t="s">
        <v>6783</v>
      </c>
    </row>
    <row r="6342" spans="1:1" x14ac:dyDescent="0.25">
      <c r="A6342" s="66" t="s">
        <v>6784</v>
      </c>
    </row>
    <row r="6343" spans="1:1" x14ac:dyDescent="0.25">
      <c r="A6343" s="66" t="s">
        <v>6785</v>
      </c>
    </row>
    <row r="6344" spans="1:1" x14ac:dyDescent="0.25">
      <c r="A6344" s="66" t="s">
        <v>6786</v>
      </c>
    </row>
    <row r="6345" spans="1:1" x14ac:dyDescent="0.25">
      <c r="A6345" s="66" t="s">
        <v>6787</v>
      </c>
    </row>
    <row r="6346" spans="1:1" x14ac:dyDescent="0.25">
      <c r="A6346" s="66" t="s">
        <v>6788</v>
      </c>
    </row>
    <row r="6347" spans="1:1" x14ac:dyDescent="0.25">
      <c r="A6347" s="66" t="s">
        <v>6789</v>
      </c>
    </row>
    <row r="6348" spans="1:1" x14ac:dyDescent="0.25">
      <c r="A6348" s="66" t="s">
        <v>6790</v>
      </c>
    </row>
    <row r="6349" spans="1:1" x14ac:dyDescent="0.25">
      <c r="A6349" s="66" t="s">
        <v>6791</v>
      </c>
    </row>
    <row r="6350" spans="1:1" x14ac:dyDescent="0.25">
      <c r="A6350" s="66" t="s">
        <v>6792</v>
      </c>
    </row>
    <row r="6351" spans="1:1" x14ac:dyDescent="0.25">
      <c r="A6351" s="66" t="s">
        <v>6793</v>
      </c>
    </row>
    <row r="6352" spans="1:1" x14ac:dyDescent="0.25">
      <c r="A6352" s="66" t="s">
        <v>6794</v>
      </c>
    </row>
    <row r="6353" spans="1:1" x14ac:dyDescent="0.25">
      <c r="A6353" s="66" t="s">
        <v>6795</v>
      </c>
    </row>
    <row r="6354" spans="1:1" x14ac:dyDescent="0.25">
      <c r="A6354" s="66" t="s">
        <v>6796</v>
      </c>
    </row>
    <row r="6355" spans="1:1" x14ac:dyDescent="0.25">
      <c r="A6355" s="66" t="s">
        <v>6797</v>
      </c>
    </row>
    <row r="6356" spans="1:1" x14ac:dyDescent="0.25">
      <c r="A6356" s="66" t="s">
        <v>6798</v>
      </c>
    </row>
    <row r="6357" spans="1:1" x14ac:dyDescent="0.25">
      <c r="A6357" s="66" t="s">
        <v>6799</v>
      </c>
    </row>
    <row r="6358" spans="1:1" x14ac:dyDescent="0.25">
      <c r="A6358" s="66" t="s">
        <v>6800</v>
      </c>
    </row>
    <row r="6359" spans="1:1" x14ac:dyDescent="0.25">
      <c r="A6359" s="66" t="s">
        <v>6801</v>
      </c>
    </row>
    <row r="6360" spans="1:1" x14ac:dyDescent="0.25">
      <c r="A6360" s="66" t="s">
        <v>6802</v>
      </c>
    </row>
    <row r="6361" spans="1:1" x14ac:dyDescent="0.25">
      <c r="A6361" s="66" t="s">
        <v>6803</v>
      </c>
    </row>
    <row r="6362" spans="1:1" x14ac:dyDescent="0.25">
      <c r="A6362" s="66" t="s">
        <v>6804</v>
      </c>
    </row>
    <row r="6363" spans="1:1" x14ac:dyDescent="0.25">
      <c r="A6363" s="66" t="s">
        <v>6805</v>
      </c>
    </row>
    <row r="6364" spans="1:1" x14ac:dyDescent="0.25">
      <c r="A6364" s="66" t="s">
        <v>6806</v>
      </c>
    </row>
    <row r="6365" spans="1:1" x14ac:dyDescent="0.25">
      <c r="A6365" s="66" t="s">
        <v>6807</v>
      </c>
    </row>
    <row r="6366" spans="1:1" x14ac:dyDescent="0.25">
      <c r="A6366" s="66" t="s">
        <v>6808</v>
      </c>
    </row>
    <row r="6367" spans="1:1" x14ac:dyDescent="0.25">
      <c r="A6367" s="66" t="s">
        <v>6809</v>
      </c>
    </row>
    <row r="6368" spans="1:1" x14ac:dyDescent="0.25">
      <c r="A6368" s="66" t="s">
        <v>6810</v>
      </c>
    </row>
    <row r="6369" spans="1:1" x14ac:dyDescent="0.25">
      <c r="A6369" s="66" t="s">
        <v>6811</v>
      </c>
    </row>
    <row r="6370" spans="1:1" x14ac:dyDescent="0.25">
      <c r="A6370" s="66" t="s">
        <v>6812</v>
      </c>
    </row>
    <row r="6371" spans="1:1" x14ac:dyDescent="0.25">
      <c r="A6371" s="66" t="s">
        <v>6813</v>
      </c>
    </row>
    <row r="6372" spans="1:1" x14ac:dyDescent="0.25">
      <c r="A6372" s="66" t="s">
        <v>6814</v>
      </c>
    </row>
    <row r="6373" spans="1:1" x14ac:dyDescent="0.25">
      <c r="A6373" s="66" t="s">
        <v>6815</v>
      </c>
    </row>
    <row r="6374" spans="1:1" x14ac:dyDescent="0.25">
      <c r="A6374" s="56" t="s">
        <v>6816</v>
      </c>
    </row>
    <row r="6375" spans="1:1" x14ac:dyDescent="0.25">
      <c r="A6375" s="66" t="s">
        <v>6817</v>
      </c>
    </row>
    <row r="6376" spans="1:1" x14ac:dyDescent="0.25">
      <c r="A6376" s="56" t="s">
        <v>6818</v>
      </c>
    </row>
    <row r="6377" spans="1:1" x14ac:dyDescent="0.25">
      <c r="A6377" s="66" t="s">
        <v>6819</v>
      </c>
    </row>
    <row r="6378" spans="1:1" x14ac:dyDescent="0.25">
      <c r="A6378" s="56" t="s">
        <v>6820</v>
      </c>
    </row>
    <row r="6379" spans="1:1" x14ac:dyDescent="0.25">
      <c r="A6379" s="66" t="s">
        <v>6821</v>
      </c>
    </row>
    <row r="6380" spans="1:1" x14ac:dyDescent="0.25">
      <c r="A6380" s="56" t="s">
        <v>6822</v>
      </c>
    </row>
    <row r="6381" spans="1:1" x14ac:dyDescent="0.25">
      <c r="A6381" s="66" t="s">
        <v>6823</v>
      </c>
    </row>
    <row r="6382" spans="1:1" x14ac:dyDescent="0.25">
      <c r="A6382" s="56" t="s">
        <v>6824</v>
      </c>
    </row>
    <row r="6383" spans="1:1" x14ac:dyDescent="0.25">
      <c r="A6383" s="66" t="s">
        <v>6825</v>
      </c>
    </row>
    <row r="6384" spans="1:1" x14ac:dyDescent="0.25">
      <c r="A6384" s="66" t="s">
        <v>6826</v>
      </c>
    </row>
    <row r="6385" spans="1:1" x14ac:dyDescent="0.25">
      <c r="A6385" s="66" t="s">
        <v>6827</v>
      </c>
    </row>
    <row r="6386" spans="1:1" x14ac:dyDescent="0.25">
      <c r="A6386" s="66" t="s">
        <v>6828</v>
      </c>
    </row>
    <row r="6387" spans="1:1" x14ac:dyDescent="0.25">
      <c r="A6387" s="66" t="s">
        <v>6829</v>
      </c>
    </row>
    <row r="6388" spans="1:1" x14ac:dyDescent="0.25">
      <c r="A6388" s="66" t="s">
        <v>6830</v>
      </c>
    </row>
    <row r="6389" spans="1:1" x14ac:dyDescent="0.25">
      <c r="A6389" s="66" t="s">
        <v>6831</v>
      </c>
    </row>
    <row r="6390" spans="1:1" x14ac:dyDescent="0.25">
      <c r="A6390" s="66" t="s">
        <v>6832</v>
      </c>
    </row>
    <row r="6391" spans="1:1" x14ac:dyDescent="0.25">
      <c r="A6391" s="56" t="s">
        <v>6833</v>
      </c>
    </row>
    <row r="6392" spans="1:1" x14ac:dyDescent="0.25">
      <c r="A6392" s="66" t="s">
        <v>6834</v>
      </c>
    </row>
    <row r="6393" spans="1:1" x14ac:dyDescent="0.25">
      <c r="A6393" s="56" t="s">
        <v>6835</v>
      </c>
    </row>
    <row r="6394" spans="1:1" x14ac:dyDescent="0.25">
      <c r="A6394" s="66" t="s">
        <v>6836</v>
      </c>
    </row>
    <row r="6395" spans="1:1" x14ac:dyDescent="0.25">
      <c r="A6395" s="56" t="s">
        <v>6837</v>
      </c>
    </row>
    <row r="6396" spans="1:1" x14ac:dyDescent="0.25">
      <c r="A6396" s="66" t="s">
        <v>6838</v>
      </c>
    </row>
    <row r="6397" spans="1:1" x14ac:dyDescent="0.25">
      <c r="A6397" s="66" t="s">
        <v>6839</v>
      </c>
    </row>
    <row r="6398" spans="1:1" x14ac:dyDescent="0.25">
      <c r="A6398" s="66" t="s">
        <v>6840</v>
      </c>
    </row>
    <row r="6399" spans="1:1" x14ac:dyDescent="0.25">
      <c r="A6399" s="66" t="s">
        <v>6841</v>
      </c>
    </row>
    <row r="6400" spans="1:1" x14ac:dyDescent="0.25">
      <c r="A6400" s="66" t="s">
        <v>6842</v>
      </c>
    </row>
    <row r="6401" spans="1:1" x14ac:dyDescent="0.25">
      <c r="A6401" s="66" t="s">
        <v>6843</v>
      </c>
    </row>
    <row r="6402" spans="1:1" x14ac:dyDescent="0.25">
      <c r="A6402" s="66" t="s">
        <v>6844</v>
      </c>
    </row>
    <row r="6403" spans="1:1" x14ac:dyDescent="0.25">
      <c r="A6403" s="66" t="s">
        <v>6845</v>
      </c>
    </row>
    <row r="6404" spans="1:1" x14ac:dyDescent="0.25">
      <c r="A6404" s="66" t="s">
        <v>6846</v>
      </c>
    </row>
    <row r="6405" spans="1:1" x14ac:dyDescent="0.25">
      <c r="A6405" s="66" t="s">
        <v>6847</v>
      </c>
    </row>
    <row r="6406" spans="1:1" x14ac:dyDescent="0.25">
      <c r="A6406" s="66" t="s">
        <v>6848</v>
      </c>
    </row>
    <row r="6407" spans="1:1" x14ac:dyDescent="0.25">
      <c r="A6407" s="66" t="s">
        <v>6849</v>
      </c>
    </row>
    <row r="6408" spans="1:1" x14ac:dyDescent="0.25">
      <c r="A6408" s="66" t="s">
        <v>6850</v>
      </c>
    </row>
    <row r="6409" spans="1:1" x14ac:dyDescent="0.25">
      <c r="A6409" s="66" t="s">
        <v>6851</v>
      </c>
    </row>
    <row r="6410" spans="1:1" x14ac:dyDescent="0.25">
      <c r="A6410" s="66" t="s">
        <v>6852</v>
      </c>
    </row>
    <row r="6411" spans="1:1" x14ac:dyDescent="0.25">
      <c r="A6411" s="66" t="s">
        <v>6853</v>
      </c>
    </row>
    <row r="6412" spans="1:1" x14ac:dyDescent="0.25">
      <c r="A6412" s="66" t="s">
        <v>6854</v>
      </c>
    </row>
    <row r="6413" spans="1:1" x14ac:dyDescent="0.25">
      <c r="A6413" s="66" t="s">
        <v>6855</v>
      </c>
    </row>
    <row r="6414" spans="1:1" x14ac:dyDescent="0.25">
      <c r="A6414" s="66" t="s">
        <v>6856</v>
      </c>
    </row>
    <row r="6415" spans="1:1" x14ac:dyDescent="0.25">
      <c r="A6415" s="66" t="s">
        <v>6857</v>
      </c>
    </row>
    <row r="6416" spans="1:1" x14ac:dyDescent="0.25">
      <c r="A6416" s="66" t="s">
        <v>6858</v>
      </c>
    </row>
    <row r="6417" spans="1:1" x14ac:dyDescent="0.25">
      <c r="A6417" s="66" t="s">
        <v>6859</v>
      </c>
    </row>
    <row r="6418" spans="1:1" x14ac:dyDescent="0.25">
      <c r="A6418" s="66" t="s">
        <v>6860</v>
      </c>
    </row>
    <row r="6419" spans="1:1" x14ac:dyDescent="0.25">
      <c r="A6419" s="66" t="s">
        <v>6861</v>
      </c>
    </row>
    <row r="6420" spans="1:1" x14ac:dyDescent="0.25">
      <c r="A6420" s="66" t="s">
        <v>6862</v>
      </c>
    </row>
    <row r="6421" spans="1:1" x14ac:dyDescent="0.25">
      <c r="A6421" s="66" t="s">
        <v>6863</v>
      </c>
    </row>
    <row r="6422" spans="1:1" x14ac:dyDescent="0.25">
      <c r="A6422" s="66" t="s">
        <v>6864</v>
      </c>
    </row>
    <row r="6423" spans="1:1" x14ac:dyDescent="0.25">
      <c r="A6423" s="66" t="s">
        <v>6865</v>
      </c>
    </row>
    <row r="6424" spans="1:1" x14ac:dyDescent="0.25">
      <c r="A6424" s="66" t="s">
        <v>6866</v>
      </c>
    </row>
    <row r="6425" spans="1:1" x14ac:dyDescent="0.25">
      <c r="A6425" s="66" t="s">
        <v>6867</v>
      </c>
    </row>
    <row r="6426" spans="1:1" x14ac:dyDescent="0.25">
      <c r="A6426" s="66" t="s">
        <v>6868</v>
      </c>
    </row>
    <row r="6427" spans="1:1" x14ac:dyDescent="0.25">
      <c r="A6427" s="66" t="s">
        <v>6869</v>
      </c>
    </row>
    <row r="6428" spans="1:1" x14ac:dyDescent="0.25">
      <c r="A6428" s="66" t="s">
        <v>6870</v>
      </c>
    </row>
    <row r="6429" spans="1:1" x14ac:dyDescent="0.25">
      <c r="A6429" s="66" t="s">
        <v>6871</v>
      </c>
    </row>
    <row r="6430" spans="1:1" x14ac:dyDescent="0.25">
      <c r="A6430" s="66" t="s">
        <v>6872</v>
      </c>
    </row>
    <row r="6431" spans="1:1" x14ac:dyDescent="0.25">
      <c r="A6431" s="66" t="s">
        <v>6873</v>
      </c>
    </row>
    <row r="6432" spans="1:1" x14ac:dyDescent="0.25">
      <c r="A6432" s="56" t="s">
        <v>6874</v>
      </c>
    </row>
    <row r="6433" spans="1:1" x14ac:dyDescent="0.25">
      <c r="A6433" s="66" t="s">
        <v>6875</v>
      </c>
    </row>
    <row r="6434" spans="1:1" x14ac:dyDescent="0.25">
      <c r="A6434" s="56" t="s">
        <v>6876</v>
      </c>
    </row>
    <row r="6435" spans="1:1" x14ac:dyDescent="0.25">
      <c r="A6435" s="66" t="s">
        <v>6877</v>
      </c>
    </row>
    <row r="6436" spans="1:1" x14ac:dyDescent="0.25">
      <c r="A6436" s="56" t="s">
        <v>6878</v>
      </c>
    </row>
    <row r="6437" spans="1:1" x14ac:dyDescent="0.25">
      <c r="A6437" s="66" t="s">
        <v>6879</v>
      </c>
    </row>
    <row r="6438" spans="1:1" x14ac:dyDescent="0.25">
      <c r="A6438" s="56" t="s">
        <v>6880</v>
      </c>
    </row>
    <row r="6439" spans="1:1" x14ac:dyDescent="0.25">
      <c r="A6439" s="66" t="s">
        <v>6881</v>
      </c>
    </row>
    <row r="6440" spans="1:1" x14ac:dyDescent="0.25">
      <c r="A6440" s="66" t="s">
        <v>6882</v>
      </c>
    </row>
    <row r="6441" spans="1:1" x14ac:dyDescent="0.25">
      <c r="A6441" s="66" t="s">
        <v>6883</v>
      </c>
    </row>
    <row r="6442" spans="1:1" x14ac:dyDescent="0.25">
      <c r="A6442" s="66" t="s">
        <v>6884</v>
      </c>
    </row>
    <row r="6443" spans="1:1" x14ac:dyDescent="0.25">
      <c r="A6443" s="66" t="s">
        <v>6885</v>
      </c>
    </row>
    <row r="6444" spans="1:1" x14ac:dyDescent="0.25">
      <c r="A6444" s="66" t="s">
        <v>6886</v>
      </c>
    </row>
    <row r="6445" spans="1:1" x14ac:dyDescent="0.25">
      <c r="A6445" s="66" t="s">
        <v>6887</v>
      </c>
    </row>
    <row r="6446" spans="1:1" x14ac:dyDescent="0.25">
      <c r="A6446" s="66" t="s">
        <v>6888</v>
      </c>
    </row>
    <row r="6447" spans="1:1" x14ac:dyDescent="0.25">
      <c r="A6447" s="66" t="s">
        <v>6889</v>
      </c>
    </row>
    <row r="6448" spans="1:1" x14ac:dyDescent="0.25">
      <c r="A6448" s="66" t="s">
        <v>6890</v>
      </c>
    </row>
    <row r="6449" spans="1:1" x14ac:dyDescent="0.25">
      <c r="A6449" s="66" t="s">
        <v>6891</v>
      </c>
    </row>
    <row r="6450" spans="1:1" x14ac:dyDescent="0.25">
      <c r="A6450" s="66" t="s">
        <v>6892</v>
      </c>
    </row>
    <row r="6451" spans="1:1" x14ac:dyDescent="0.25">
      <c r="A6451" s="66" t="s">
        <v>6893</v>
      </c>
    </row>
    <row r="6452" spans="1:1" x14ac:dyDescent="0.25">
      <c r="A6452" s="66" t="s">
        <v>6894</v>
      </c>
    </row>
    <row r="6453" spans="1:1" x14ac:dyDescent="0.25">
      <c r="A6453" s="66" t="s">
        <v>6895</v>
      </c>
    </row>
    <row r="6454" spans="1:1" x14ac:dyDescent="0.25">
      <c r="A6454" s="66" t="s">
        <v>6896</v>
      </c>
    </row>
    <row r="6455" spans="1:1" x14ac:dyDescent="0.25">
      <c r="A6455" s="66" t="s">
        <v>6897</v>
      </c>
    </row>
    <row r="6456" spans="1:1" x14ac:dyDescent="0.25">
      <c r="A6456" s="66" t="s">
        <v>6898</v>
      </c>
    </row>
    <row r="6457" spans="1:1" x14ac:dyDescent="0.25">
      <c r="A6457" s="66" t="s">
        <v>6899</v>
      </c>
    </row>
    <row r="6458" spans="1:1" x14ac:dyDescent="0.25">
      <c r="A6458" s="56" t="s">
        <v>6900</v>
      </c>
    </row>
    <row r="6459" spans="1:1" x14ac:dyDescent="0.25">
      <c r="A6459" s="66" t="s">
        <v>6901</v>
      </c>
    </row>
    <row r="6460" spans="1:1" x14ac:dyDescent="0.25">
      <c r="A6460" s="56" t="s">
        <v>6902</v>
      </c>
    </row>
    <row r="6461" spans="1:1" x14ac:dyDescent="0.25">
      <c r="A6461" s="66" t="s">
        <v>6903</v>
      </c>
    </row>
    <row r="6462" spans="1:1" x14ac:dyDescent="0.25">
      <c r="A6462" s="56" t="s">
        <v>6904</v>
      </c>
    </row>
    <row r="6463" spans="1:1" x14ac:dyDescent="0.25">
      <c r="A6463" s="66" t="s">
        <v>6905</v>
      </c>
    </row>
    <row r="6464" spans="1:1" x14ac:dyDescent="0.25">
      <c r="A6464" s="56" t="s">
        <v>6906</v>
      </c>
    </row>
    <row r="6465" spans="1:1" x14ac:dyDescent="0.25">
      <c r="A6465" s="66" t="s">
        <v>6907</v>
      </c>
    </row>
    <row r="6466" spans="1:1" x14ac:dyDescent="0.25">
      <c r="A6466" s="66" t="s">
        <v>6908</v>
      </c>
    </row>
    <row r="6467" spans="1:1" x14ac:dyDescent="0.25">
      <c r="A6467" s="66" t="s">
        <v>6909</v>
      </c>
    </row>
    <row r="6468" spans="1:1" x14ac:dyDescent="0.25">
      <c r="A6468" s="66" t="s">
        <v>6910</v>
      </c>
    </row>
    <row r="6469" spans="1:1" x14ac:dyDescent="0.25">
      <c r="A6469" s="66" t="s">
        <v>6911</v>
      </c>
    </row>
    <row r="6470" spans="1:1" x14ac:dyDescent="0.25">
      <c r="A6470" s="66" t="s">
        <v>6912</v>
      </c>
    </row>
    <row r="6471" spans="1:1" x14ac:dyDescent="0.25">
      <c r="A6471" s="66" t="s">
        <v>6913</v>
      </c>
    </row>
    <row r="6472" spans="1:1" x14ac:dyDescent="0.25">
      <c r="A6472" s="66" t="s">
        <v>6914</v>
      </c>
    </row>
    <row r="6473" spans="1:1" x14ac:dyDescent="0.25">
      <c r="A6473" s="66" t="s">
        <v>6915</v>
      </c>
    </row>
    <row r="6474" spans="1:1" x14ac:dyDescent="0.25">
      <c r="A6474" s="66" t="s">
        <v>6916</v>
      </c>
    </row>
    <row r="6475" spans="1:1" x14ac:dyDescent="0.25">
      <c r="A6475" s="66" t="s">
        <v>6917</v>
      </c>
    </row>
    <row r="6476" spans="1:1" x14ac:dyDescent="0.25">
      <c r="A6476" s="66" t="s">
        <v>6918</v>
      </c>
    </row>
    <row r="6477" spans="1:1" x14ac:dyDescent="0.25">
      <c r="A6477" s="66" t="s">
        <v>6919</v>
      </c>
    </row>
    <row r="6478" spans="1:1" x14ac:dyDescent="0.25">
      <c r="A6478" s="66" t="s">
        <v>6920</v>
      </c>
    </row>
    <row r="6479" spans="1:1" x14ac:dyDescent="0.25">
      <c r="A6479" s="66" t="s">
        <v>6921</v>
      </c>
    </row>
    <row r="6480" spans="1:1" x14ac:dyDescent="0.25">
      <c r="A6480" s="66" t="s">
        <v>6922</v>
      </c>
    </row>
    <row r="6481" spans="1:1" x14ac:dyDescent="0.25">
      <c r="A6481" s="66" t="s">
        <v>6923</v>
      </c>
    </row>
    <row r="6482" spans="1:1" x14ac:dyDescent="0.25">
      <c r="A6482" s="66" t="s">
        <v>6924</v>
      </c>
    </row>
    <row r="6483" spans="1:1" x14ac:dyDescent="0.25">
      <c r="A6483" s="66" t="s">
        <v>6925</v>
      </c>
    </row>
    <row r="6484" spans="1:1" x14ac:dyDescent="0.25">
      <c r="A6484" s="66" t="s">
        <v>6926</v>
      </c>
    </row>
    <row r="6485" spans="1:1" x14ac:dyDescent="0.25">
      <c r="A6485" s="66" t="s">
        <v>6927</v>
      </c>
    </row>
    <row r="6486" spans="1:1" x14ac:dyDescent="0.25">
      <c r="A6486" s="66" t="s">
        <v>6928</v>
      </c>
    </row>
    <row r="6487" spans="1:1" x14ac:dyDescent="0.25">
      <c r="A6487" s="66" t="s">
        <v>6929</v>
      </c>
    </row>
    <row r="6488" spans="1:1" x14ac:dyDescent="0.25">
      <c r="A6488" s="66" t="s">
        <v>6930</v>
      </c>
    </row>
    <row r="6489" spans="1:1" x14ac:dyDescent="0.25">
      <c r="A6489" s="66" t="s">
        <v>6931</v>
      </c>
    </row>
    <row r="6490" spans="1:1" x14ac:dyDescent="0.25">
      <c r="A6490" s="66" t="s">
        <v>6932</v>
      </c>
    </row>
    <row r="6491" spans="1:1" x14ac:dyDescent="0.25">
      <c r="A6491" s="66" t="s">
        <v>6933</v>
      </c>
    </row>
    <row r="6492" spans="1:1" x14ac:dyDescent="0.25">
      <c r="A6492" s="66" t="s">
        <v>6934</v>
      </c>
    </row>
    <row r="6493" spans="1:1" x14ac:dyDescent="0.25">
      <c r="A6493" s="66" t="s">
        <v>6935</v>
      </c>
    </row>
    <row r="6494" spans="1:1" x14ac:dyDescent="0.25">
      <c r="A6494" s="66" t="s">
        <v>6936</v>
      </c>
    </row>
    <row r="6495" spans="1:1" x14ac:dyDescent="0.25">
      <c r="A6495" s="66" t="s">
        <v>6937</v>
      </c>
    </row>
    <row r="6496" spans="1:1" x14ac:dyDescent="0.25">
      <c r="A6496" s="66" t="s">
        <v>6938</v>
      </c>
    </row>
    <row r="6497" spans="1:1" x14ac:dyDescent="0.25">
      <c r="A6497" s="66" t="s">
        <v>6939</v>
      </c>
    </row>
    <row r="6498" spans="1:1" x14ac:dyDescent="0.25">
      <c r="A6498" s="66" t="s">
        <v>6940</v>
      </c>
    </row>
    <row r="6499" spans="1:1" x14ac:dyDescent="0.25">
      <c r="A6499" s="66" t="s">
        <v>6941</v>
      </c>
    </row>
    <row r="6500" spans="1:1" x14ac:dyDescent="0.25">
      <c r="A6500" s="66" t="s">
        <v>6942</v>
      </c>
    </row>
    <row r="6501" spans="1:1" x14ac:dyDescent="0.25">
      <c r="A6501" s="66" t="s">
        <v>6943</v>
      </c>
    </row>
    <row r="6502" spans="1:1" x14ac:dyDescent="0.25">
      <c r="A6502" s="66" t="s">
        <v>6944</v>
      </c>
    </row>
    <row r="6503" spans="1:1" x14ac:dyDescent="0.25">
      <c r="A6503" s="66" t="s">
        <v>6945</v>
      </c>
    </row>
    <row r="6504" spans="1:1" x14ac:dyDescent="0.25">
      <c r="A6504" s="66" t="s">
        <v>6946</v>
      </c>
    </row>
    <row r="6505" spans="1:1" x14ac:dyDescent="0.25">
      <c r="A6505" s="66" t="s">
        <v>6947</v>
      </c>
    </row>
    <row r="6506" spans="1:1" x14ac:dyDescent="0.25">
      <c r="A6506" s="66" t="s">
        <v>6948</v>
      </c>
    </row>
    <row r="6507" spans="1:1" x14ac:dyDescent="0.25">
      <c r="A6507" s="66" t="s">
        <v>6949</v>
      </c>
    </row>
    <row r="6508" spans="1:1" x14ac:dyDescent="0.25">
      <c r="A6508" s="66" t="s">
        <v>6950</v>
      </c>
    </row>
    <row r="6509" spans="1:1" x14ac:dyDescent="0.25">
      <c r="A6509" s="66" t="s">
        <v>6951</v>
      </c>
    </row>
    <row r="6510" spans="1:1" x14ac:dyDescent="0.25">
      <c r="A6510" s="66" t="s">
        <v>6952</v>
      </c>
    </row>
    <row r="6511" spans="1:1" x14ac:dyDescent="0.25">
      <c r="A6511" s="56" t="s">
        <v>6953</v>
      </c>
    </row>
    <row r="6512" spans="1:1" x14ac:dyDescent="0.25">
      <c r="A6512" s="66" t="s">
        <v>6954</v>
      </c>
    </row>
    <row r="6513" spans="1:1" x14ac:dyDescent="0.25">
      <c r="A6513" s="56" t="s">
        <v>6955</v>
      </c>
    </row>
    <row r="6514" spans="1:1" x14ac:dyDescent="0.25">
      <c r="A6514" s="66" t="s">
        <v>6956</v>
      </c>
    </row>
    <row r="6515" spans="1:1" x14ac:dyDescent="0.25">
      <c r="A6515" s="56" t="s">
        <v>6957</v>
      </c>
    </row>
    <row r="6516" spans="1:1" x14ac:dyDescent="0.25">
      <c r="A6516" s="66" t="s">
        <v>6958</v>
      </c>
    </row>
    <row r="6517" spans="1:1" x14ac:dyDescent="0.25">
      <c r="A6517" s="56" t="s">
        <v>6959</v>
      </c>
    </row>
    <row r="6518" spans="1:1" x14ac:dyDescent="0.25">
      <c r="A6518" s="66" t="s">
        <v>6960</v>
      </c>
    </row>
    <row r="6519" spans="1:1" x14ac:dyDescent="0.25">
      <c r="A6519" s="56" t="s">
        <v>6961</v>
      </c>
    </row>
    <row r="6520" spans="1:1" x14ac:dyDescent="0.25">
      <c r="A6520" s="66" t="s">
        <v>6962</v>
      </c>
    </row>
    <row r="6521" spans="1:1" x14ac:dyDescent="0.25">
      <c r="A6521" s="56" t="s">
        <v>6963</v>
      </c>
    </row>
    <row r="6522" spans="1:1" x14ac:dyDescent="0.25">
      <c r="A6522" s="66" t="s">
        <v>6964</v>
      </c>
    </row>
    <row r="6523" spans="1:1" x14ac:dyDescent="0.25">
      <c r="A6523" s="56" t="s">
        <v>6965</v>
      </c>
    </row>
    <row r="6524" spans="1:1" x14ac:dyDescent="0.25">
      <c r="A6524" s="66" t="s">
        <v>6966</v>
      </c>
    </row>
    <row r="6525" spans="1:1" x14ac:dyDescent="0.25">
      <c r="A6525" s="56" t="s">
        <v>6967</v>
      </c>
    </row>
    <row r="6526" spans="1:1" x14ac:dyDescent="0.25">
      <c r="A6526" s="66" t="s">
        <v>6968</v>
      </c>
    </row>
    <row r="6527" spans="1:1" x14ac:dyDescent="0.25">
      <c r="A6527" s="66" t="s">
        <v>6969</v>
      </c>
    </row>
    <row r="6528" spans="1:1" x14ac:dyDescent="0.25">
      <c r="A6528" s="66" t="s">
        <v>6970</v>
      </c>
    </row>
    <row r="6529" spans="1:1" x14ac:dyDescent="0.25">
      <c r="A6529" s="66" t="s">
        <v>6971</v>
      </c>
    </row>
    <row r="6530" spans="1:1" x14ac:dyDescent="0.25">
      <c r="A6530" s="66" t="s">
        <v>6972</v>
      </c>
    </row>
    <row r="6531" spans="1:1" x14ac:dyDescent="0.25">
      <c r="A6531" s="66" t="s">
        <v>6973</v>
      </c>
    </row>
    <row r="6532" spans="1:1" x14ac:dyDescent="0.25">
      <c r="A6532" s="66" t="s">
        <v>6974</v>
      </c>
    </row>
    <row r="6533" spans="1:1" x14ac:dyDescent="0.25">
      <c r="A6533" s="66" t="s">
        <v>6975</v>
      </c>
    </row>
    <row r="6534" spans="1:1" x14ac:dyDescent="0.25">
      <c r="A6534" s="66" t="s">
        <v>6976</v>
      </c>
    </row>
    <row r="6535" spans="1:1" x14ac:dyDescent="0.25">
      <c r="A6535" s="66" t="s">
        <v>6977</v>
      </c>
    </row>
    <row r="6536" spans="1:1" x14ac:dyDescent="0.25">
      <c r="A6536" s="66" t="s">
        <v>6978</v>
      </c>
    </row>
    <row r="6537" spans="1:1" x14ac:dyDescent="0.25">
      <c r="A6537" s="66" t="s">
        <v>6979</v>
      </c>
    </row>
    <row r="6538" spans="1:1" x14ac:dyDescent="0.25">
      <c r="A6538" s="66" t="s">
        <v>6980</v>
      </c>
    </row>
    <row r="6539" spans="1:1" x14ac:dyDescent="0.25">
      <c r="A6539" s="66" t="s">
        <v>6981</v>
      </c>
    </row>
    <row r="6540" spans="1:1" x14ac:dyDescent="0.25">
      <c r="A6540" s="66" t="s">
        <v>6982</v>
      </c>
    </row>
    <row r="6541" spans="1:1" x14ac:dyDescent="0.25">
      <c r="A6541" s="66" t="s">
        <v>6983</v>
      </c>
    </row>
    <row r="6542" spans="1:1" x14ac:dyDescent="0.25">
      <c r="A6542" s="66" t="s">
        <v>6984</v>
      </c>
    </row>
    <row r="6543" spans="1:1" x14ac:dyDescent="0.25">
      <c r="A6543" s="66" t="s">
        <v>6985</v>
      </c>
    </row>
    <row r="6544" spans="1:1" x14ac:dyDescent="0.25">
      <c r="A6544" s="66" t="s">
        <v>6986</v>
      </c>
    </row>
    <row r="6545" spans="1:1" x14ac:dyDescent="0.25">
      <c r="A6545" s="66" t="s">
        <v>6987</v>
      </c>
    </row>
    <row r="6546" spans="1:1" x14ac:dyDescent="0.25">
      <c r="A6546" s="66" t="s">
        <v>6988</v>
      </c>
    </row>
    <row r="6547" spans="1:1" x14ac:dyDescent="0.25">
      <c r="A6547" s="66" t="s">
        <v>6989</v>
      </c>
    </row>
    <row r="6548" spans="1:1" x14ac:dyDescent="0.25">
      <c r="A6548" s="66" t="s">
        <v>6990</v>
      </c>
    </row>
    <row r="6549" spans="1:1" x14ac:dyDescent="0.25">
      <c r="A6549" s="56" t="s">
        <v>6991</v>
      </c>
    </row>
    <row r="6550" spans="1:1" x14ac:dyDescent="0.25">
      <c r="A6550" s="66" t="s">
        <v>6992</v>
      </c>
    </row>
    <row r="6551" spans="1:1" x14ac:dyDescent="0.25">
      <c r="A6551" s="56" t="s">
        <v>6993</v>
      </c>
    </row>
    <row r="6552" spans="1:1" x14ac:dyDescent="0.25">
      <c r="A6552" s="66" t="s">
        <v>6994</v>
      </c>
    </row>
    <row r="6553" spans="1:1" x14ac:dyDescent="0.25">
      <c r="A6553" s="56" t="s">
        <v>6995</v>
      </c>
    </row>
    <row r="6554" spans="1:1" x14ac:dyDescent="0.25">
      <c r="A6554" s="66" t="s">
        <v>6996</v>
      </c>
    </row>
    <row r="6555" spans="1:1" x14ac:dyDescent="0.25">
      <c r="A6555" s="56" t="s">
        <v>6997</v>
      </c>
    </row>
    <row r="6556" spans="1:1" x14ac:dyDescent="0.25">
      <c r="A6556" s="66" t="s">
        <v>6998</v>
      </c>
    </row>
    <row r="6557" spans="1:1" x14ac:dyDescent="0.25">
      <c r="A6557" s="66" t="s">
        <v>6999</v>
      </c>
    </row>
    <row r="6558" spans="1:1" x14ac:dyDescent="0.25">
      <c r="A6558" s="66" t="s">
        <v>7000</v>
      </c>
    </row>
    <row r="6559" spans="1:1" x14ac:dyDescent="0.25">
      <c r="A6559" s="66" t="s">
        <v>7001</v>
      </c>
    </row>
    <row r="6560" spans="1:1" x14ac:dyDescent="0.25">
      <c r="A6560" s="66" t="s">
        <v>7002</v>
      </c>
    </row>
    <row r="6561" spans="1:1" x14ac:dyDescent="0.25">
      <c r="A6561" s="66" t="s">
        <v>7003</v>
      </c>
    </row>
    <row r="6562" spans="1:1" x14ac:dyDescent="0.25">
      <c r="A6562" s="66" t="s">
        <v>7004</v>
      </c>
    </row>
    <row r="6563" spans="1:1" x14ac:dyDescent="0.25">
      <c r="A6563" s="66" t="s">
        <v>7005</v>
      </c>
    </row>
    <row r="6564" spans="1:1" x14ac:dyDescent="0.25">
      <c r="A6564" s="67" t="s">
        <v>7006</v>
      </c>
    </row>
    <row r="6565" spans="1:1" x14ac:dyDescent="0.25">
      <c r="A6565" s="66" t="s">
        <v>7007</v>
      </c>
    </row>
    <row r="6566" spans="1:1" x14ac:dyDescent="0.25">
      <c r="A6566" s="66" t="s">
        <v>7008</v>
      </c>
    </row>
    <row r="6567" spans="1:1" x14ac:dyDescent="0.25">
      <c r="A6567" s="66" t="s">
        <v>7009</v>
      </c>
    </row>
    <row r="6568" spans="1:1" x14ac:dyDescent="0.25">
      <c r="A6568" s="66" t="s">
        <v>7010</v>
      </c>
    </row>
    <row r="6569" spans="1:1" x14ac:dyDescent="0.25">
      <c r="A6569" s="66" t="s">
        <v>7011</v>
      </c>
    </row>
    <row r="6570" spans="1:1" x14ac:dyDescent="0.25">
      <c r="A6570" s="66" t="s">
        <v>7012</v>
      </c>
    </row>
    <row r="6571" spans="1:1" x14ac:dyDescent="0.25">
      <c r="A6571" s="66" t="s">
        <v>7013</v>
      </c>
    </row>
    <row r="6572" spans="1:1" x14ac:dyDescent="0.25">
      <c r="A6572" s="66" t="s">
        <v>7014</v>
      </c>
    </row>
    <row r="6573" spans="1:1" x14ac:dyDescent="0.25">
      <c r="A6573" s="66" t="s">
        <v>7015</v>
      </c>
    </row>
    <row r="6574" spans="1:1" x14ac:dyDescent="0.25">
      <c r="A6574" s="66" t="s">
        <v>7016</v>
      </c>
    </row>
    <row r="6575" spans="1:1" x14ac:dyDescent="0.25">
      <c r="A6575" s="66" t="s">
        <v>7017</v>
      </c>
    </row>
    <row r="6576" spans="1:1" x14ac:dyDescent="0.25">
      <c r="A6576" s="66" t="s">
        <v>7018</v>
      </c>
    </row>
    <row r="6577" spans="1:1" x14ac:dyDescent="0.25">
      <c r="A6577" s="66" t="s">
        <v>7019</v>
      </c>
    </row>
    <row r="6578" spans="1:1" x14ac:dyDescent="0.25">
      <c r="A6578" s="66" t="s">
        <v>7020</v>
      </c>
    </row>
    <row r="6579" spans="1:1" x14ac:dyDescent="0.25">
      <c r="A6579" s="66" t="s">
        <v>7021</v>
      </c>
    </row>
    <row r="6580" spans="1:1" x14ac:dyDescent="0.25">
      <c r="A6580" s="66" t="s">
        <v>7022</v>
      </c>
    </row>
    <row r="6581" spans="1:1" x14ac:dyDescent="0.25">
      <c r="A6581" s="66" t="s">
        <v>7023</v>
      </c>
    </row>
    <row r="6582" spans="1:1" x14ac:dyDescent="0.25">
      <c r="A6582" s="66" t="s">
        <v>7024</v>
      </c>
    </row>
    <row r="6583" spans="1:1" x14ac:dyDescent="0.25">
      <c r="A6583" s="66" t="s">
        <v>7025</v>
      </c>
    </row>
    <row r="6584" spans="1:1" x14ac:dyDescent="0.25">
      <c r="A6584" s="66" t="s">
        <v>7026</v>
      </c>
    </row>
    <row r="6585" spans="1:1" x14ac:dyDescent="0.25">
      <c r="A6585" s="66" t="s">
        <v>7027</v>
      </c>
    </row>
    <row r="6586" spans="1:1" x14ac:dyDescent="0.25">
      <c r="A6586" s="66" t="s">
        <v>7028</v>
      </c>
    </row>
    <row r="6587" spans="1:1" x14ac:dyDescent="0.25">
      <c r="A6587" s="66" t="s">
        <v>7029</v>
      </c>
    </row>
    <row r="6588" spans="1:1" x14ac:dyDescent="0.25">
      <c r="A6588" s="66" t="s">
        <v>7030</v>
      </c>
    </row>
    <row r="6589" spans="1:1" x14ac:dyDescent="0.25">
      <c r="A6589" s="66" t="s">
        <v>7031</v>
      </c>
    </row>
    <row r="6590" spans="1:1" x14ac:dyDescent="0.25">
      <c r="A6590" s="66" t="s">
        <v>7032</v>
      </c>
    </row>
    <row r="6591" spans="1:1" x14ac:dyDescent="0.25">
      <c r="A6591" s="66" t="s">
        <v>7033</v>
      </c>
    </row>
    <row r="6592" spans="1:1" x14ac:dyDescent="0.25">
      <c r="A6592" s="66" t="s">
        <v>7034</v>
      </c>
    </row>
    <row r="6593" spans="1:1" x14ac:dyDescent="0.25">
      <c r="A6593" s="66" t="s">
        <v>7035</v>
      </c>
    </row>
    <row r="6594" spans="1:1" x14ac:dyDescent="0.25">
      <c r="A6594" s="66" t="s">
        <v>7036</v>
      </c>
    </row>
    <row r="6595" spans="1:1" x14ac:dyDescent="0.25">
      <c r="A6595" s="66" t="s">
        <v>7037</v>
      </c>
    </row>
    <row r="6596" spans="1:1" x14ac:dyDescent="0.25">
      <c r="A6596" s="66" t="s">
        <v>7038</v>
      </c>
    </row>
    <row r="6597" spans="1:1" x14ac:dyDescent="0.25">
      <c r="A6597" s="66" t="s">
        <v>7039</v>
      </c>
    </row>
    <row r="6598" spans="1:1" x14ac:dyDescent="0.25">
      <c r="A6598" s="66" t="s">
        <v>7040</v>
      </c>
    </row>
    <row r="6599" spans="1:1" x14ac:dyDescent="0.25">
      <c r="A6599" s="66" t="s">
        <v>7041</v>
      </c>
    </row>
    <row r="6600" spans="1:1" x14ac:dyDescent="0.25">
      <c r="A6600" s="66" t="s">
        <v>7042</v>
      </c>
    </row>
    <row r="6601" spans="1:1" x14ac:dyDescent="0.25">
      <c r="A6601" s="66" t="s">
        <v>7043</v>
      </c>
    </row>
    <row r="6602" spans="1:1" x14ac:dyDescent="0.25">
      <c r="A6602" s="66" t="s">
        <v>7044</v>
      </c>
    </row>
    <row r="6603" spans="1:1" x14ac:dyDescent="0.25">
      <c r="A6603" s="56" t="s">
        <v>7045</v>
      </c>
    </row>
    <row r="6604" spans="1:1" x14ac:dyDescent="0.25">
      <c r="A6604" s="66" t="s">
        <v>7046</v>
      </c>
    </row>
    <row r="6605" spans="1:1" x14ac:dyDescent="0.25">
      <c r="A6605" s="56" t="s">
        <v>7047</v>
      </c>
    </row>
    <row r="6606" spans="1:1" x14ac:dyDescent="0.25">
      <c r="A6606" s="66" t="s">
        <v>7048</v>
      </c>
    </row>
    <row r="6607" spans="1:1" x14ac:dyDescent="0.25">
      <c r="A6607" s="56" t="s">
        <v>7049</v>
      </c>
    </row>
    <row r="6608" spans="1:1" x14ac:dyDescent="0.25">
      <c r="A6608" s="66" t="s">
        <v>7050</v>
      </c>
    </row>
    <row r="6609" spans="1:1" x14ac:dyDescent="0.25">
      <c r="A6609" s="56" t="s">
        <v>7051</v>
      </c>
    </row>
    <row r="6610" spans="1:1" x14ac:dyDescent="0.25">
      <c r="A6610" s="66" t="s">
        <v>7052</v>
      </c>
    </row>
    <row r="6611" spans="1:1" x14ac:dyDescent="0.25">
      <c r="A6611" s="56" t="s">
        <v>7053</v>
      </c>
    </row>
    <row r="6612" spans="1:1" x14ac:dyDescent="0.25">
      <c r="A6612" s="66" t="s">
        <v>7054</v>
      </c>
    </row>
    <row r="6613" spans="1:1" x14ac:dyDescent="0.25">
      <c r="A6613" s="56" t="s">
        <v>7055</v>
      </c>
    </row>
    <row r="6614" spans="1:1" x14ac:dyDescent="0.25">
      <c r="A6614" s="66" t="s">
        <v>7056</v>
      </c>
    </row>
    <row r="6615" spans="1:1" x14ac:dyDescent="0.25">
      <c r="A6615" s="66" t="s">
        <v>7057</v>
      </c>
    </row>
    <row r="6616" spans="1:1" x14ac:dyDescent="0.25">
      <c r="A6616" s="66" t="s">
        <v>7058</v>
      </c>
    </row>
    <row r="6617" spans="1:1" x14ac:dyDescent="0.25">
      <c r="A6617" s="66" t="s">
        <v>7059</v>
      </c>
    </row>
    <row r="6618" spans="1:1" x14ac:dyDescent="0.25">
      <c r="A6618" s="66" t="s">
        <v>7060</v>
      </c>
    </row>
    <row r="6619" spans="1:1" x14ac:dyDescent="0.25">
      <c r="A6619" s="66" t="s">
        <v>7061</v>
      </c>
    </row>
    <row r="6620" spans="1:1" x14ac:dyDescent="0.25">
      <c r="A6620" s="66" t="s">
        <v>7062</v>
      </c>
    </row>
    <row r="6621" spans="1:1" x14ac:dyDescent="0.25">
      <c r="A6621" s="66" t="s">
        <v>7063</v>
      </c>
    </row>
    <row r="6622" spans="1:1" x14ac:dyDescent="0.25">
      <c r="A6622" s="66" t="s">
        <v>7064</v>
      </c>
    </row>
    <row r="6623" spans="1:1" x14ac:dyDescent="0.25">
      <c r="A6623" s="66" t="s">
        <v>7065</v>
      </c>
    </row>
    <row r="6624" spans="1:1" x14ac:dyDescent="0.25">
      <c r="A6624" s="66" t="s">
        <v>7066</v>
      </c>
    </row>
    <row r="6625" spans="1:1" x14ac:dyDescent="0.25">
      <c r="A6625" s="66" t="s">
        <v>7067</v>
      </c>
    </row>
    <row r="6626" spans="1:1" x14ac:dyDescent="0.25">
      <c r="A6626" s="66" t="s">
        <v>7068</v>
      </c>
    </row>
    <row r="6627" spans="1:1" x14ac:dyDescent="0.25">
      <c r="A6627" s="66" t="s">
        <v>7069</v>
      </c>
    </row>
    <row r="6628" spans="1:1" x14ac:dyDescent="0.25">
      <c r="A6628" s="66" t="s">
        <v>7070</v>
      </c>
    </row>
    <row r="6629" spans="1:1" x14ac:dyDescent="0.25">
      <c r="A6629" s="66" t="s">
        <v>7071</v>
      </c>
    </row>
    <row r="6630" spans="1:1" x14ac:dyDescent="0.25">
      <c r="A6630" s="66" t="s">
        <v>7072</v>
      </c>
    </row>
    <row r="6631" spans="1:1" x14ac:dyDescent="0.25">
      <c r="A6631" s="66" t="s">
        <v>7073</v>
      </c>
    </row>
    <row r="6632" spans="1:1" x14ac:dyDescent="0.25">
      <c r="A6632" s="66" t="s">
        <v>7074</v>
      </c>
    </row>
    <row r="6633" spans="1:1" x14ac:dyDescent="0.25">
      <c r="A6633" s="66" t="s">
        <v>7075</v>
      </c>
    </row>
    <row r="6634" spans="1:1" x14ac:dyDescent="0.25">
      <c r="A6634" s="66" t="s">
        <v>7076</v>
      </c>
    </row>
    <row r="6635" spans="1:1" x14ac:dyDescent="0.25">
      <c r="A6635" s="66" t="s">
        <v>7077</v>
      </c>
    </row>
    <row r="6636" spans="1:1" x14ac:dyDescent="0.25">
      <c r="A6636" s="66" t="s">
        <v>7078</v>
      </c>
    </row>
    <row r="6637" spans="1:1" x14ac:dyDescent="0.25">
      <c r="A6637" s="66" t="s">
        <v>7079</v>
      </c>
    </row>
    <row r="6638" spans="1:1" x14ac:dyDescent="0.25">
      <c r="A6638" s="66" t="s">
        <v>7080</v>
      </c>
    </row>
    <row r="6639" spans="1:1" x14ac:dyDescent="0.25">
      <c r="A6639" s="66" t="s">
        <v>7081</v>
      </c>
    </row>
    <row r="6640" spans="1:1" x14ac:dyDescent="0.25">
      <c r="A6640" s="66" t="s">
        <v>7082</v>
      </c>
    </row>
    <row r="6641" spans="1:1" x14ac:dyDescent="0.25">
      <c r="A6641" s="66" t="s">
        <v>7083</v>
      </c>
    </row>
    <row r="6642" spans="1:1" x14ac:dyDescent="0.25">
      <c r="A6642" s="66" t="s">
        <v>7084</v>
      </c>
    </row>
    <row r="6643" spans="1:1" x14ac:dyDescent="0.25">
      <c r="A6643" s="66" t="s">
        <v>7085</v>
      </c>
    </row>
    <row r="6644" spans="1:1" x14ac:dyDescent="0.25">
      <c r="A6644" s="66" t="s">
        <v>7086</v>
      </c>
    </row>
    <row r="6645" spans="1:1" x14ac:dyDescent="0.25">
      <c r="A6645" s="66" t="s">
        <v>7087</v>
      </c>
    </row>
    <row r="6646" spans="1:1" x14ac:dyDescent="0.25">
      <c r="A6646" s="66" t="s">
        <v>7088</v>
      </c>
    </row>
    <row r="6647" spans="1:1" x14ac:dyDescent="0.25">
      <c r="A6647" s="66" t="s">
        <v>7089</v>
      </c>
    </row>
    <row r="6648" spans="1:1" x14ac:dyDescent="0.25">
      <c r="A6648" s="66" t="s">
        <v>7090</v>
      </c>
    </row>
    <row r="6649" spans="1:1" x14ac:dyDescent="0.25">
      <c r="A6649" s="66" t="s">
        <v>7091</v>
      </c>
    </row>
    <row r="6650" spans="1:1" x14ac:dyDescent="0.25">
      <c r="A6650" s="66" t="s">
        <v>7092</v>
      </c>
    </row>
    <row r="6651" spans="1:1" x14ac:dyDescent="0.25">
      <c r="A6651" s="66" t="s">
        <v>7093</v>
      </c>
    </row>
    <row r="6652" spans="1:1" x14ac:dyDescent="0.25">
      <c r="A6652" s="66" t="s">
        <v>7094</v>
      </c>
    </row>
    <row r="6653" spans="1:1" x14ac:dyDescent="0.25">
      <c r="A6653" s="66" t="s">
        <v>7095</v>
      </c>
    </row>
    <row r="6654" spans="1:1" x14ac:dyDescent="0.25">
      <c r="A6654" s="66" t="s">
        <v>7096</v>
      </c>
    </row>
    <row r="6655" spans="1:1" x14ac:dyDescent="0.25">
      <c r="A6655" s="66" t="s">
        <v>7097</v>
      </c>
    </row>
    <row r="6656" spans="1:1" x14ac:dyDescent="0.25">
      <c r="A6656" s="66" t="s">
        <v>7098</v>
      </c>
    </row>
    <row r="6657" spans="1:1" x14ac:dyDescent="0.25">
      <c r="A6657" s="66" t="s">
        <v>7099</v>
      </c>
    </row>
    <row r="6658" spans="1:1" x14ac:dyDescent="0.25">
      <c r="A6658" s="66" t="s">
        <v>7100</v>
      </c>
    </row>
    <row r="6659" spans="1:1" x14ac:dyDescent="0.25">
      <c r="A6659" s="66" t="s">
        <v>7101</v>
      </c>
    </row>
    <row r="6660" spans="1:1" x14ac:dyDescent="0.25">
      <c r="A6660" s="66" t="s">
        <v>7102</v>
      </c>
    </row>
    <row r="6661" spans="1:1" x14ac:dyDescent="0.25">
      <c r="A6661" s="66" t="s">
        <v>7103</v>
      </c>
    </row>
    <row r="6662" spans="1:1" x14ac:dyDescent="0.25">
      <c r="A6662" s="66" t="s">
        <v>7104</v>
      </c>
    </row>
    <row r="6663" spans="1:1" x14ac:dyDescent="0.25">
      <c r="A6663" s="66" t="s">
        <v>7105</v>
      </c>
    </row>
    <row r="6664" spans="1:1" x14ac:dyDescent="0.25">
      <c r="A6664" s="66" t="s">
        <v>7106</v>
      </c>
    </row>
    <row r="6665" spans="1:1" x14ac:dyDescent="0.25">
      <c r="A6665" s="66" t="s">
        <v>7107</v>
      </c>
    </row>
    <row r="6666" spans="1:1" x14ac:dyDescent="0.25">
      <c r="A6666" s="66" t="s">
        <v>7108</v>
      </c>
    </row>
    <row r="6667" spans="1:1" x14ac:dyDescent="0.25">
      <c r="A6667" s="66" t="s">
        <v>7109</v>
      </c>
    </row>
    <row r="6668" spans="1:1" x14ac:dyDescent="0.25">
      <c r="A6668" s="66" t="s">
        <v>7110</v>
      </c>
    </row>
    <row r="6669" spans="1:1" x14ac:dyDescent="0.25">
      <c r="A6669" s="66" t="s">
        <v>7111</v>
      </c>
    </row>
    <row r="6670" spans="1:1" x14ac:dyDescent="0.25">
      <c r="A6670" s="66" t="s">
        <v>7112</v>
      </c>
    </row>
    <row r="6671" spans="1:1" x14ac:dyDescent="0.25">
      <c r="A6671" s="66" t="s">
        <v>7113</v>
      </c>
    </row>
    <row r="6672" spans="1:1" x14ac:dyDescent="0.25">
      <c r="A6672" s="66" t="s">
        <v>7114</v>
      </c>
    </row>
    <row r="6673" spans="1:1" x14ac:dyDescent="0.25">
      <c r="A6673" s="66" t="s">
        <v>7115</v>
      </c>
    </row>
    <row r="6674" spans="1:1" x14ac:dyDescent="0.25">
      <c r="A6674" s="66" t="s">
        <v>7116</v>
      </c>
    </row>
    <row r="6675" spans="1:1" x14ac:dyDescent="0.25">
      <c r="A6675" s="56" t="s">
        <v>7117</v>
      </c>
    </row>
    <row r="6676" spans="1:1" x14ac:dyDescent="0.25">
      <c r="A6676" s="66" t="s">
        <v>7118</v>
      </c>
    </row>
    <row r="6677" spans="1:1" x14ac:dyDescent="0.25">
      <c r="A6677" s="66" t="s">
        <v>7119</v>
      </c>
    </row>
    <row r="6678" spans="1:1" x14ac:dyDescent="0.25">
      <c r="A6678" s="66" t="s">
        <v>7120</v>
      </c>
    </row>
    <row r="6679" spans="1:1" x14ac:dyDescent="0.25">
      <c r="A6679" s="66" t="s">
        <v>7121</v>
      </c>
    </row>
    <row r="6680" spans="1:1" x14ac:dyDescent="0.25">
      <c r="A6680" s="67" t="s">
        <v>7122</v>
      </c>
    </row>
    <row r="6681" spans="1:1" x14ac:dyDescent="0.25">
      <c r="A6681" s="67" t="s">
        <v>7123</v>
      </c>
    </row>
    <row r="6682" spans="1:1" x14ac:dyDescent="0.25">
      <c r="A6682" s="67" t="s">
        <v>7124</v>
      </c>
    </row>
    <row r="6683" spans="1:1" x14ac:dyDescent="0.25">
      <c r="A6683" s="67" t="s">
        <v>7125</v>
      </c>
    </row>
    <row r="6684" spans="1:1" x14ac:dyDescent="0.25">
      <c r="A6684" s="67" t="s">
        <v>7126</v>
      </c>
    </row>
    <row r="6685" spans="1:1" x14ac:dyDescent="0.25">
      <c r="A6685" s="67" t="s">
        <v>7127</v>
      </c>
    </row>
    <row r="6686" spans="1:1" x14ac:dyDescent="0.25">
      <c r="A6686" s="56" t="s">
        <v>7128</v>
      </c>
    </row>
    <row r="6687" spans="1:1" x14ac:dyDescent="0.25">
      <c r="A6687" s="66" t="s">
        <v>7129</v>
      </c>
    </row>
    <row r="6688" spans="1:1" x14ac:dyDescent="0.25">
      <c r="A6688" s="66" t="s">
        <v>7130</v>
      </c>
    </row>
    <row r="6689" spans="1:1" x14ac:dyDescent="0.25">
      <c r="A6689" s="66" t="s">
        <v>7131</v>
      </c>
    </row>
    <row r="6690" spans="1:1" x14ac:dyDescent="0.25">
      <c r="A6690" s="66" t="s">
        <v>7132</v>
      </c>
    </row>
    <row r="6691" spans="1:1" x14ac:dyDescent="0.25">
      <c r="A6691" s="67" t="s">
        <v>7133</v>
      </c>
    </row>
    <row r="6692" spans="1:1" x14ac:dyDescent="0.25">
      <c r="A6692" s="67" t="s">
        <v>7134</v>
      </c>
    </row>
    <row r="6693" spans="1:1" x14ac:dyDescent="0.25">
      <c r="A6693" s="56" t="s">
        <v>7135</v>
      </c>
    </row>
    <row r="6694" spans="1:1" x14ac:dyDescent="0.25">
      <c r="A6694" s="66" t="s">
        <v>7136</v>
      </c>
    </row>
    <row r="6695" spans="1:1" x14ac:dyDescent="0.25">
      <c r="A6695" s="56" t="s">
        <v>7137</v>
      </c>
    </row>
    <row r="6696" spans="1:1" x14ac:dyDescent="0.25">
      <c r="A6696" s="66" t="s">
        <v>7138</v>
      </c>
    </row>
    <row r="6697" spans="1:1" x14ac:dyDescent="0.25">
      <c r="A6697" s="66" t="s">
        <v>7139</v>
      </c>
    </row>
    <row r="6698" spans="1:1" x14ac:dyDescent="0.25">
      <c r="A6698" s="66" t="s">
        <v>7140</v>
      </c>
    </row>
    <row r="6699" spans="1:1" x14ac:dyDescent="0.25">
      <c r="A6699" s="66" t="s">
        <v>7141</v>
      </c>
    </row>
    <row r="6700" spans="1:1" x14ac:dyDescent="0.25">
      <c r="A6700" s="66" t="s">
        <v>7142</v>
      </c>
    </row>
    <row r="6701" spans="1:1" x14ac:dyDescent="0.25">
      <c r="A6701" s="66" t="s">
        <v>7143</v>
      </c>
    </row>
    <row r="6702" spans="1:1" x14ac:dyDescent="0.25">
      <c r="A6702" s="66" t="s">
        <v>7144</v>
      </c>
    </row>
    <row r="6703" spans="1:1" x14ac:dyDescent="0.25">
      <c r="A6703" s="66" t="s">
        <v>7145</v>
      </c>
    </row>
    <row r="6704" spans="1:1" x14ac:dyDescent="0.25">
      <c r="A6704" s="66" t="s">
        <v>7146</v>
      </c>
    </row>
    <row r="6705" spans="1:1" x14ac:dyDescent="0.25">
      <c r="A6705" s="66" t="s">
        <v>7147</v>
      </c>
    </row>
    <row r="6706" spans="1:1" x14ac:dyDescent="0.25">
      <c r="A6706" s="66" t="s">
        <v>7148</v>
      </c>
    </row>
    <row r="6707" spans="1:1" x14ac:dyDescent="0.25">
      <c r="A6707" s="66" t="s">
        <v>7149</v>
      </c>
    </row>
    <row r="6708" spans="1:1" x14ac:dyDescent="0.25">
      <c r="A6708" s="66" t="s">
        <v>7150</v>
      </c>
    </row>
    <row r="6709" spans="1:1" x14ac:dyDescent="0.25">
      <c r="A6709" s="66" t="s">
        <v>7151</v>
      </c>
    </row>
    <row r="6710" spans="1:1" x14ac:dyDescent="0.25">
      <c r="A6710" s="66" t="s">
        <v>7152</v>
      </c>
    </row>
    <row r="6711" spans="1:1" x14ac:dyDescent="0.25">
      <c r="A6711" s="66" t="s">
        <v>7153</v>
      </c>
    </row>
    <row r="6712" spans="1:1" x14ac:dyDescent="0.25">
      <c r="A6712" s="56" t="s">
        <v>7154</v>
      </c>
    </row>
    <row r="6713" spans="1:1" x14ac:dyDescent="0.25">
      <c r="A6713" s="66" t="s">
        <v>7155</v>
      </c>
    </row>
    <row r="6714" spans="1:1" x14ac:dyDescent="0.25">
      <c r="A6714" s="56" t="s">
        <v>7156</v>
      </c>
    </row>
    <row r="6715" spans="1:1" x14ac:dyDescent="0.25">
      <c r="A6715" s="66" t="s">
        <v>7157</v>
      </c>
    </row>
    <row r="6716" spans="1:1" x14ac:dyDescent="0.25">
      <c r="A6716" s="56" t="s">
        <v>7158</v>
      </c>
    </row>
    <row r="6717" spans="1:1" x14ac:dyDescent="0.25">
      <c r="A6717" s="66" t="s">
        <v>7159</v>
      </c>
    </row>
    <row r="6718" spans="1:1" x14ac:dyDescent="0.25">
      <c r="A6718" s="56" t="s">
        <v>7160</v>
      </c>
    </row>
    <row r="6719" spans="1:1" x14ac:dyDescent="0.25">
      <c r="A6719" s="66" t="s">
        <v>7161</v>
      </c>
    </row>
    <row r="6720" spans="1:1" x14ac:dyDescent="0.25">
      <c r="A6720" s="56" t="s">
        <v>7162</v>
      </c>
    </row>
    <row r="6721" spans="1:1" x14ac:dyDescent="0.25">
      <c r="A6721" s="66" t="s">
        <v>7163</v>
      </c>
    </row>
    <row r="6722" spans="1:1" x14ac:dyDescent="0.25">
      <c r="A6722" s="56" t="s">
        <v>7164</v>
      </c>
    </row>
    <row r="6723" spans="1:1" x14ac:dyDescent="0.25">
      <c r="A6723" s="66" t="s">
        <v>7165</v>
      </c>
    </row>
    <row r="6724" spans="1:1" x14ac:dyDescent="0.25">
      <c r="A6724" s="56" t="s">
        <v>7166</v>
      </c>
    </row>
    <row r="6725" spans="1:1" x14ac:dyDescent="0.25">
      <c r="A6725" s="66" t="s">
        <v>7167</v>
      </c>
    </row>
    <row r="6726" spans="1:1" x14ac:dyDescent="0.25">
      <c r="A6726" s="56" t="s">
        <v>7168</v>
      </c>
    </row>
    <row r="6727" spans="1:1" x14ac:dyDescent="0.25">
      <c r="A6727" s="66" t="s">
        <v>7169</v>
      </c>
    </row>
    <row r="6728" spans="1:1" x14ac:dyDescent="0.25">
      <c r="A6728" s="66" t="s">
        <v>7170</v>
      </c>
    </row>
    <row r="6729" spans="1:1" x14ac:dyDescent="0.25">
      <c r="A6729" s="66" t="s">
        <v>7171</v>
      </c>
    </row>
    <row r="6730" spans="1:1" x14ac:dyDescent="0.25">
      <c r="A6730" s="66" t="s">
        <v>7172</v>
      </c>
    </row>
    <row r="6731" spans="1:1" x14ac:dyDescent="0.25">
      <c r="A6731" s="66" t="s">
        <v>7173</v>
      </c>
    </row>
    <row r="6732" spans="1:1" x14ac:dyDescent="0.25">
      <c r="A6732" s="66" t="s">
        <v>7174</v>
      </c>
    </row>
    <row r="6733" spans="1:1" x14ac:dyDescent="0.25">
      <c r="A6733" s="66" t="s">
        <v>7175</v>
      </c>
    </row>
    <row r="6734" spans="1:1" x14ac:dyDescent="0.25">
      <c r="A6734" s="66" t="s">
        <v>7176</v>
      </c>
    </row>
    <row r="6735" spans="1:1" x14ac:dyDescent="0.25">
      <c r="A6735" s="66" t="s">
        <v>7177</v>
      </c>
    </row>
    <row r="6736" spans="1:1" x14ac:dyDescent="0.25">
      <c r="A6736" s="66" t="s">
        <v>7178</v>
      </c>
    </row>
    <row r="6737" spans="1:1" x14ac:dyDescent="0.25">
      <c r="A6737" s="66" t="s">
        <v>7179</v>
      </c>
    </row>
    <row r="6738" spans="1:1" x14ac:dyDescent="0.25">
      <c r="A6738" s="66" t="s">
        <v>7180</v>
      </c>
    </row>
    <row r="6739" spans="1:1" x14ac:dyDescent="0.25">
      <c r="A6739" s="66" t="s">
        <v>7181</v>
      </c>
    </row>
    <row r="6740" spans="1:1" x14ac:dyDescent="0.25">
      <c r="A6740" s="66" t="s">
        <v>7182</v>
      </c>
    </row>
    <row r="6741" spans="1:1" x14ac:dyDescent="0.25">
      <c r="A6741" s="66" t="s">
        <v>7183</v>
      </c>
    </row>
    <row r="6742" spans="1:1" x14ac:dyDescent="0.25">
      <c r="A6742" s="66" t="s">
        <v>7184</v>
      </c>
    </row>
    <row r="6743" spans="1:1" x14ac:dyDescent="0.25">
      <c r="A6743" s="66" t="s">
        <v>7185</v>
      </c>
    </row>
    <row r="6744" spans="1:1" x14ac:dyDescent="0.25">
      <c r="A6744" s="66" t="s">
        <v>7186</v>
      </c>
    </row>
    <row r="6745" spans="1:1" x14ac:dyDescent="0.25">
      <c r="A6745" s="66" t="s">
        <v>7187</v>
      </c>
    </row>
    <row r="6746" spans="1:1" x14ac:dyDescent="0.25">
      <c r="A6746" s="66" t="s">
        <v>7188</v>
      </c>
    </row>
    <row r="6747" spans="1:1" x14ac:dyDescent="0.25">
      <c r="A6747" s="66" t="s">
        <v>7189</v>
      </c>
    </row>
    <row r="6748" spans="1:1" x14ac:dyDescent="0.25">
      <c r="A6748" s="66" t="s">
        <v>7190</v>
      </c>
    </row>
    <row r="6749" spans="1:1" x14ac:dyDescent="0.25">
      <c r="A6749" s="66" t="s">
        <v>7191</v>
      </c>
    </row>
    <row r="6750" spans="1:1" x14ac:dyDescent="0.25">
      <c r="A6750" s="66" t="s">
        <v>7192</v>
      </c>
    </row>
    <row r="6751" spans="1:1" x14ac:dyDescent="0.25">
      <c r="A6751" s="66" t="s">
        <v>7193</v>
      </c>
    </row>
    <row r="6752" spans="1:1" x14ac:dyDescent="0.25">
      <c r="A6752" s="66" t="s">
        <v>7194</v>
      </c>
    </row>
    <row r="6753" spans="1:1" x14ac:dyDescent="0.25">
      <c r="A6753" s="66" t="s">
        <v>7195</v>
      </c>
    </row>
    <row r="6754" spans="1:1" x14ac:dyDescent="0.25">
      <c r="A6754" s="66" t="s">
        <v>7196</v>
      </c>
    </row>
    <row r="6755" spans="1:1" x14ac:dyDescent="0.25">
      <c r="A6755" s="66" t="s">
        <v>7197</v>
      </c>
    </row>
    <row r="6756" spans="1:1" x14ac:dyDescent="0.25">
      <c r="A6756" s="66" t="s">
        <v>7198</v>
      </c>
    </row>
    <row r="6757" spans="1:1" x14ac:dyDescent="0.25">
      <c r="A6757" s="66" t="s">
        <v>7199</v>
      </c>
    </row>
    <row r="6758" spans="1:1" x14ac:dyDescent="0.25">
      <c r="A6758" s="66" t="s">
        <v>7200</v>
      </c>
    </row>
    <row r="6759" spans="1:1" x14ac:dyDescent="0.25">
      <c r="A6759" s="66" t="s">
        <v>7201</v>
      </c>
    </row>
    <row r="6760" spans="1:1" x14ac:dyDescent="0.25">
      <c r="A6760" s="66" t="s">
        <v>7202</v>
      </c>
    </row>
    <row r="6761" spans="1:1" x14ac:dyDescent="0.25">
      <c r="A6761" s="66" t="s">
        <v>7203</v>
      </c>
    </row>
    <row r="6762" spans="1:1" x14ac:dyDescent="0.25">
      <c r="A6762" s="66" t="s">
        <v>7204</v>
      </c>
    </row>
    <row r="6763" spans="1:1" x14ac:dyDescent="0.25">
      <c r="A6763" s="66" t="s">
        <v>7205</v>
      </c>
    </row>
    <row r="6764" spans="1:1" x14ac:dyDescent="0.25">
      <c r="A6764" s="66" t="s">
        <v>7206</v>
      </c>
    </row>
    <row r="6765" spans="1:1" x14ac:dyDescent="0.25">
      <c r="A6765" s="66" t="s">
        <v>7207</v>
      </c>
    </row>
    <row r="6766" spans="1:1" x14ac:dyDescent="0.25">
      <c r="A6766" s="66" t="s">
        <v>7208</v>
      </c>
    </row>
    <row r="6767" spans="1:1" x14ac:dyDescent="0.25">
      <c r="A6767" s="66" t="s">
        <v>7209</v>
      </c>
    </row>
    <row r="6768" spans="1:1" x14ac:dyDescent="0.25">
      <c r="A6768" s="66" t="s">
        <v>7210</v>
      </c>
    </row>
    <row r="6769" spans="1:1" x14ac:dyDescent="0.25">
      <c r="A6769" s="66" t="s">
        <v>7211</v>
      </c>
    </row>
    <row r="6770" spans="1:1" x14ac:dyDescent="0.25">
      <c r="A6770" s="66" t="s">
        <v>7212</v>
      </c>
    </row>
    <row r="6771" spans="1:1" x14ac:dyDescent="0.25">
      <c r="A6771" s="66" t="s">
        <v>7213</v>
      </c>
    </row>
    <row r="6772" spans="1:1" x14ac:dyDescent="0.25">
      <c r="A6772" s="66" t="s">
        <v>7214</v>
      </c>
    </row>
    <row r="6773" spans="1:1" x14ac:dyDescent="0.25">
      <c r="A6773" s="56" t="s">
        <v>7215</v>
      </c>
    </row>
    <row r="6774" spans="1:1" x14ac:dyDescent="0.25">
      <c r="A6774" s="66" t="s">
        <v>7216</v>
      </c>
    </row>
    <row r="6775" spans="1:1" x14ac:dyDescent="0.25">
      <c r="A6775" s="56" t="s">
        <v>7217</v>
      </c>
    </row>
    <row r="6776" spans="1:1" x14ac:dyDescent="0.25">
      <c r="A6776" s="66" t="s">
        <v>7218</v>
      </c>
    </row>
    <row r="6777" spans="1:1" x14ac:dyDescent="0.25">
      <c r="A6777" s="66" t="s">
        <v>7219</v>
      </c>
    </row>
    <row r="6778" spans="1:1" x14ac:dyDescent="0.25">
      <c r="A6778" s="66" t="s">
        <v>7220</v>
      </c>
    </row>
    <row r="6779" spans="1:1" x14ac:dyDescent="0.25">
      <c r="A6779" s="66" t="s">
        <v>7221</v>
      </c>
    </row>
    <row r="6780" spans="1:1" x14ac:dyDescent="0.25">
      <c r="A6780" s="66" t="s">
        <v>7222</v>
      </c>
    </row>
    <row r="6781" spans="1:1" x14ac:dyDescent="0.25">
      <c r="A6781" s="66" t="s">
        <v>7223</v>
      </c>
    </row>
    <row r="6782" spans="1:1" x14ac:dyDescent="0.25">
      <c r="A6782" s="66" t="s">
        <v>7224</v>
      </c>
    </row>
    <row r="6783" spans="1:1" x14ac:dyDescent="0.25">
      <c r="A6783" s="66" t="s">
        <v>7225</v>
      </c>
    </row>
    <row r="6784" spans="1:1" x14ac:dyDescent="0.25">
      <c r="A6784" s="66" t="s">
        <v>7226</v>
      </c>
    </row>
    <row r="6785" spans="1:1" x14ac:dyDescent="0.25">
      <c r="A6785" s="66" t="s">
        <v>7227</v>
      </c>
    </row>
    <row r="6786" spans="1:1" x14ac:dyDescent="0.25">
      <c r="A6786" s="66" t="s">
        <v>7228</v>
      </c>
    </row>
    <row r="6787" spans="1:1" x14ac:dyDescent="0.25">
      <c r="A6787" s="66" t="s">
        <v>7229</v>
      </c>
    </row>
    <row r="6788" spans="1:1" x14ac:dyDescent="0.25">
      <c r="A6788" s="66" t="s">
        <v>7230</v>
      </c>
    </row>
    <row r="6789" spans="1:1" x14ac:dyDescent="0.25">
      <c r="A6789" s="66" t="s">
        <v>7231</v>
      </c>
    </row>
    <row r="6790" spans="1:1" x14ac:dyDescent="0.25">
      <c r="A6790" s="66" t="s">
        <v>7232</v>
      </c>
    </row>
    <row r="6791" spans="1:1" x14ac:dyDescent="0.25">
      <c r="A6791" s="66" t="s">
        <v>7233</v>
      </c>
    </row>
    <row r="6792" spans="1:1" x14ac:dyDescent="0.25">
      <c r="A6792" s="56" t="s">
        <v>7234</v>
      </c>
    </row>
    <row r="6793" spans="1:1" x14ac:dyDescent="0.25">
      <c r="A6793" s="66" t="s">
        <v>7235</v>
      </c>
    </row>
    <row r="6794" spans="1:1" x14ac:dyDescent="0.25">
      <c r="A6794" s="56" t="s">
        <v>7236</v>
      </c>
    </row>
    <row r="6795" spans="1:1" x14ac:dyDescent="0.25">
      <c r="A6795" s="66" t="s">
        <v>7237</v>
      </c>
    </row>
    <row r="6796" spans="1:1" x14ac:dyDescent="0.25">
      <c r="A6796" s="56" t="s">
        <v>7238</v>
      </c>
    </row>
    <row r="6797" spans="1:1" x14ac:dyDescent="0.25">
      <c r="A6797" s="66" t="s">
        <v>7239</v>
      </c>
    </row>
    <row r="6798" spans="1:1" x14ac:dyDescent="0.25">
      <c r="A6798" s="56" t="s">
        <v>7240</v>
      </c>
    </row>
    <row r="6799" spans="1:1" x14ac:dyDescent="0.25">
      <c r="A6799" s="66" t="s">
        <v>7241</v>
      </c>
    </row>
    <row r="6800" spans="1:1" x14ac:dyDescent="0.25">
      <c r="A6800" s="56" t="s">
        <v>7242</v>
      </c>
    </row>
    <row r="6801" spans="1:1" x14ac:dyDescent="0.25">
      <c r="A6801" s="66" t="s">
        <v>7243</v>
      </c>
    </row>
    <row r="6802" spans="1:1" x14ac:dyDescent="0.25">
      <c r="A6802" s="56" t="s">
        <v>7244</v>
      </c>
    </row>
    <row r="6803" spans="1:1" x14ac:dyDescent="0.25">
      <c r="A6803" s="66" t="s">
        <v>7245</v>
      </c>
    </row>
    <row r="6804" spans="1:1" x14ac:dyDescent="0.25">
      <c r="A6804" s="66" t="s">
        <v>7246</v>
      </c>
    </row>
    <row r="6805" spans="1:1" x14ac:dyDescent="0.25">
      <c r="A6805" s="66" t="s">
        <v>7247</v>
      </c>
    </row>
    <row r="6806" spans="1:1" x14ac:dyDescent="0.25">
      <c r="A6806" s="66" t="s">
        <v>7248</v>
      </c>
    </row>
    <row r="6807" spans="1:1" x14ac:dyDescent="0.25">
      <c r="A6807" s="66" t="s">
        <v>7249</v>
      </c>
    </row>
    <row r="6808" spans="1:1" x14ac:dyDescent="0.25">
      <c r="A6808" s="66" t="s">
        <v>7250</v>
      </c>
    </row>
    <row r="6809" spans="1:1" x14ac:dyDescent="0.25">
      <c r="A6809" s="66" t="s">
        <v>7251</v>
      </c>
    </row>
    <row r="6810" spans="1:1" x14ac:dyDescent="0.25">
      <c r="A6810" s="66" t="s">
        <v>7252</v>
      </c>
    </row>
    <row r="6811" spans="1:1" x14ac:dyDescent="0.25">
      <c r="A6811" s="66" t="s">
        <v>7253</v>
      </c>
    </row>
    <row r="6812" spans="1:1" x14ac:dyDescent="0.25">
      <c r="A6812" s="66" t="s">
        <v>7254</v>
      </c>
    </row>
    <row r="6813" spans="1:1" x14ac:dyDescent="0.25">
      <c r="A6813" s="66" t="s">
        <v>7255</v>
      </c>
    </row>
    <row r="6814" spans="1:1" x14ac:dyDescent="0.25">
      <c r="A6814" s="66" t="s">
        <v>7256</v>
      </c>
    </row>
    <row r="6815" spans="1:1" x14ac:dyDescent="0.25">
      <c r="A6815" s="66" t="s">
        <v>7257</v>
      </c>
    </row>
    <row r="6816" spans="1:1" x14ac:dyDescent="0.25">
      <c r="A6816" s="66" t="s">
        <v>7258</v>
      </c>
    </row>
    <row r="6817" spans="1:1" x14ac:dyDescent="0.25">
      <c r="A6817" s="66" t="s">
        <v>7259</v>
      </c>
    </row>
    <row r="6818" spans="1:1" x14ac:dyDescent="0.25">
      <c r="A6818" s="66" t="s">
        <v>7260</v>
      </c>
    </row>
    <row r="6819" spans="1:1" x14ac:dyDescent="0.25">
      <c r="A6819" s="66" t="s">
        <v>7261</v>
      </c>
    </row>
    <row r="6820" spans="1:1" x14ac:dyDescent="0.25">
      <c r="A6820" s="66" t="s">
        <v>7262</v>
      </c>
    </row>
    <row r="6821" spans="1:1" x14ac:dyDescent="0.25">
      <c r="A6821" s="66" t="s">
        <v>7263</v>
      </c>
    </row>
    <row r="6822" spans="1:1" x14ac:dyDescent="0.25">
      <c r="A6822" s="66" t="s">
        <v>7264</v>
      </c>
    </row>
    <row r="6823" spans="1:1" x14ac:dyDescent="0.25">
      <c r="A6823" s="66" t="s">
        <v>7265</v>
      </c>
    </row>
    <row r="6824" spans="1:1" x14ac:dyDescent="0.25">
      <c r="A6824" s="66" t="s">
        <v>7266</v>
      </c>
    </row>
    <row r="6825" spans="1:1" x14ac:dyDescent="0.25">
      <c r="A6825" s="66" t="s">
        <v>7267</v>
      </c>
    </row>
    <row r="6826" spans="1:1" x14ac:dyDescent="0.25">
      <c r="A6826" s="66" t="s">
        <v>7268</v>
      </c>
    </row>
    <row r="6827" spans="1:1" x14ac:dyDescent="0.25">
      <c r="A6827" s="66" t="s">
        <v>7269</v>
      </c>
    </row>
    <row r="6828" spans="1:1" x14ac:dyDescent="0.25">
      <c r="A6828" s="66" t="s">
        <v>7270</v>
      </c>
    </row>
    <row r="6829" spans="1:1" x14ac:dyDescent="0.25">
      <c r="A6829" s="66" t="s">
        <v>7271</v>
      </c>
    </row>
    <row r="6830" spans="1:1" x14ac:dyDescent="0.25">
      <c r="A6830" s="66" t="s">
        <v>7272</v>
      </c>
    </row>
    <row r="6831" spans="1:1" x14ac:dyDescent="0.25">
      <c r="A6831" s="66" t="s">
        <v>7273</v>
      </c>
    </row>
    <row r="6832" spans="1:1" x14ac:dyDescent="0.25">
      <c r="A6832" s="66" t="s">
        <v>7274</v>
      </c>
    </row>
    <row r="6833" spans="1:1" x14ac:dyDescent="0.25">
      <c r="A6833" s="66" t="s">
        <v>7275</v>
      </c>
    </row>
    <row r="6834" spans="1:1" x14ac:dyDescent="0.25">
      <c r="A6834" s="66" t="s">
        <v>7276</v>
      </c>
    </row>
    <row r="6835" spans="1:1" x14ac:dyDescent="0.25">
      <c r="A6835" s="66" t="s">
        <v>7277</v>
      </c>
    </row>
    <row r="6836" spans="1:1" x14ac:dyDescent="0.25">
      <c r="A6836" s="66" t="s">
        <v>7278</v>
      </c>
    </row>
    <row r="6837" spans="1:1" x14ac:dyDescent="0.25">
      <c r="A6837" s="66" t="s">
        <v>7279</v>
      </c>
    </row>
    <row r="6838" spans="1:1" x14ac:dyDescent="0.25">
      <c r="A6838" s="66" t="s">
        <v>7280</v>
      </c>
    </row>
    <row r="6839" spans="1:1" x14ac:dyDescent="0.25">
      <c r="A6839" s="66" t="s">
        <v>7281</v>
      </c>
    </row>
    <row r="6840" spans="1:1" x14ac:dyDescent="0.25">
      <c r="A6840" s="66" t="s">
        <v>7282</v>
      </c>
    </row>
    <row r="6841" spans="1:1" x14ac:dyDescent="0.25">
      <c r="A6841" s="66" t="s">
        <v>7283</v>
      </c>
    </row>
    <row r="6842" spans="1:1" x14ac:dyDescent="0.25">
      <c r="A6842" s="66" t="s">
        <v>7284</v>
      </c>
    </row>
    <row r="6843" spans="1:1" x14ac:dyDescent="0.25">
      <c r="A6843" s="66" t="s">
        <v>7285</v>
      </c>
    </row>
    <row r="6844" spans="1:1" x14ac:dyDescent="0.25">
      <c r="A6844" s="66" t="s">
        <v>7286</v>
      </c>
    </row>
    <row r="6845" spans="1:1" x14ac:dyDescent="0.25">
      <c r="A6845" s="66" t="s">
        <v>7287</v>
      </c>
    </row>
    <row r="6846" spans="1:1" x14ac:dyDescent="0.25">
      <c r="A6846" s="66" t="s">
        <v>7288</v>
      </c>
    </row>
    <row r="6847" spans="1:1" x14ac:dyDescent="0.25">
      <c r="A6847" s="66" t="s">
        <v>7289</v>
      </c>
    </row>
    <row r="6848" spans="1:1" x14ac:dyDescent="0.25">
      <c r="A6848" s="66" t="s">
        <v>7290</v>
      </c>
    </row>
    <row r="6849" spans="1:1" x14ac:dyDescent="0.25">
      <c r="A6849" s="56" t="s">
        <v>7291</v>
      </c>
    </row>
    <row r="6850" spans="1:1" x14ac:dyDescent="0.25">
      <c r="A6850" s="66" t="s">
        <v>7292</v>
      </c>
    </row>
    <row r="6851" spans="1:1" x14ac:dyDescent="0.25">
      <c r="A6851" s="56" t="s">
        <v>7293</v>
      </c>
    </row>
    <row r="6852" spans="1:1" x14ac:dyDescent="0.25">
      <c r="A6852" s="66" t="s">
        <v>7294</v>
      </c>
    </row>
    <row r="6853" spans="1:1" x14ac:dyDescent="0.25">
      <c r="A6853" s="56" t="s">
        <v>7295</v>
      </c>
    </row>
    <row r="6854" spans="1:1" x14ac:dyDescent="0.25">
      <c r="A6854" s="66" t="s">
        <v>7296</v>
      </c>
    </row>
    <row r="6855" spans="1:1" x14ac:dyDescent="0.25">
      <c r="A6855" s="56" t="s">
        <v>7297</v>
      </c>
    </row>
    <row r="6856" spans="1:1" x14ac:dyDescent="0.25">
      <c r="A6856" s="66" t="s">
        <v>7298</v>
      </c>
    </row>
    <row r="6857" spans="1:1" x14ac:dyDescent="0.25">
      <c r="A6857" s="56" t="s">
        <v>7299</v>
      </c>
    </row>
    <row r="6858" spans="1:1" x14ac:dyDescent="0.25">
      <c r="A6858" s="66" t="s">
        <v>7300</v>
      </c>
    </row>
    <row r="6859" spans="1:1" x14ac:dyDescent="0.25">
      <c r="A6859" s="56" t="s">
        <v>7301</v>
      </c>
    </row>
    <row r="6860" spans="1:1" x14ac:dyDescent="0.25">
      <c r="A6860" s="66" t="s">
        <v>7302</v>
      </c>
    </row>
    <row r="6861" spans="1:1" x14ac:dyDescent="0.25">
      <c r="A6861" s="66" t="s">
        <v>7303</v>
      </c>
    </row>
    <row r="6862" spans="1:1" x14ac:dyDescent="0.25">
      <c r="A6862" s="66" t="s">
        <v>7304</v>
      </c>
    </row>
    <row r="6863" spans="1:1" x14ac:dyDescent="0.25">
      <c r="A6863" s="66" t="s">
        <v>7305</v>
      </c>
    </row>
    <row r="6864" spans="1:1" x14ac:dyDescent="0.25">
      <c r="A6864" s="66" t="s">
        <v>7306</v>
      </c>
    </row>
    <row r="6865" spans="1:1" x14ac:dyDescent="0.25">
      <c r="A6865" s="66" t="s">
        <v>7307</v>
      </c>
    </row>
    <row r="6866" spans="1:1" x14ac:dyDescent="0.25">
      <c r="A6866" s="66" t="s">
        <v>7308</v>
      </c>
    </row>
    <row r="6867" spans="1:1" x14ac:dyDescent="0.25">
      <c r="A6867" s="66" t="s">
        <v>7309</v>
      </c>
    </row>
    <row r="6868" spans="1:1" x14ac:dyDescent="0.25">
      <c r="A6868" s="66" t="s">
        <v>7310</v>
      </c>
    </row>
    <row r="6869" spans="1:1" x14ac:dyDescent="0.25">
      <c r="A6869" s="66" t="s">
        <v>7311</v>
      </c>
    </row>
    <row r="6870" spans="1:1" x14ac:dyDescent="0.25">
      <c r="A6870" s="66" t="s">
        <v>7312</v>
      </c>
    </row>
    <row r="6871" spans="1:1" x14ac:dyDescent="0.25">
      <c r="A6871" s="66" t="s">
        <v>7313</v>
      </c>
    </row>
    <row r="6872" spans="1:1" x14ac:dyDescent="0.25">
      <c r="A6872" s="66" t="s">
        <v>7314</v>
      </c>
    </row>
    <row r="6873" spans="1:1" x14ac:dyDescent="0.25">
      <c r="A6873" s="66" t="s">
        <v>7315</v>
      </c>
    </row>
    <row r="6874" spans="1:1" x14ac:dyDescent="0.25">
      <c r="A6874" s="66" t="s">
        <v>7316</v>
      </c>
    </row>
    <row r="6875" spans="1:1" x14ac:dyDescent="0.25">
      <c r="A6875" s="66" t="s">
        <v>7317</v>
      </c>
    </row>
    <row r="6876" spans="1:1" x14ac:dyDescent="0.25">
      <c r="A6876" s="56" t="s">
        <v>7318</v>
      </c>
    </row>
    <row r="6877" spans="1:1" x14ac:dyDescent="0.25">
      <c r="A6877" s="66" t="s">
        <v>7319</v>
      </c>
    </row>
    <row r="6878" spans="1:1" x14ac:dyDescent="0.25">
      <c r="A6878" s="56" t="s">
        <v>7320</v>
      </c>
    </row>
    <row r="6879" spans="1:1" x14ac:dyDescent="0.25">
      <c r="A6879" s="66" t="s">
        <v>7321</v>
      </c>
    </row>
    <row r="6880" spans="1:1" x14ac:dyDescent="0.25">
      <c r="A6880" s="56" t="s">
        <v>7322</v>
      </c>
    </row>
    <row r="6881" spans="1:1" x14ac:dyDescent="0.25">
      <c r="A6881" s="66" t="s">
        <v>7323</v>
      </c>
    </row>
    <row r="6882" spans="1:1" x14ac:dyDescent="0.25">
      <c r="A6882" s="56" t="s">
        <v>7324</v>
      </c>
    </row>
    <row r="6883" spans="1:1" x14ac:dyDescent="0.25">
      <c r="A6883" s="66" t="s">
        <v>7325</v>
      </c>
    </row>
    <row r="6884" spans="1:1" x14ac:dyDescent="0.25">
      <c r="A6884" s="56" t="s">
        <v>7326</v>
      </c>
    </row>
    <row r="6885" spans="1:1" x14ac:dyDescent="0.25">
      <c r="A6885" s="66" t="s">
        <v>7327</v>
      </c>
    </row>
    <row r="6886" spans="1:1" x14ac:dyDescent="0.25">
      <c r="A6886" s="56" t="s">
        <v>7328</v>
      </c>
    </row>
    <row r="6887" spans="1:1" x14ac:dyDescent="0.25">
      <c r="A6887" s="66" t="s">
        <v>7329</v>
      </c>
    </row>
    <row r="6888" spans="1:1" x14ac:dyDescent="0.25">
      <c r="A6888" s="56" t="s">
        <v>7330</v>
      </c>
    </row>
    <row r="6889" spans="1:1" x14ac:dyDescent="0.25">
      <c r="A6889" s="66" t="s">
        <v>7331</v>
      </c>
    </row>
    <row r="6890" spans="1:1" x14ac:dyDescent="0.25">
      <c r="A6890" s="56" t="s">
        <v>7332</v>
      </c>
    </row>
    <row r="6891" spans="1:1" x14ac:dyDescent="0.25">
      <c r="A6891" s="66" t="s">
        <v>7333</v>
      </c>
    </row>
    <row r="6892" spans="1:1" x14ac:dyDescent="0.25">
      <c r="A6892" s="66" t="s">
        <v>7334</v>
      </c>
    </row>
    <row r="6893" spans="1:1" x14ac:dyDescent="0.25">
      <c r="A6893" s="66" t="s">
        <v>7335</v>
      </c>
    </row>
    <row r="6894" spans="1:1" x14ac:dyDescent="0.25">
      <c r="A6894" s="66" t="s">
        <v>7336</v>
      </c>
    </row>
    <row r="6895" spans="1:1" x14ac:dyDescent="0.25">
      <c r="A6895" s="66" t="s">
        <v>7337</v>
      </c>
    </row>
    <row r="6896" spans="1:1" x14ac:dyDescent="0.25">
      <c r="A6896" s="66" t="s">
        <v>7338</v>
      </c>
    </row>
    <row r="6897" spans="1:1" x14ac:dyDescent="0.25">
      <c r="A6897" s="66" t="s">
        <v>7339</v>
      </c>
    </row>
    <row r="6898" spans="1:1" x14ac:dyDescent="0.25">
      <c r="A6898" s="66" t="s">
        <v>7340</v>
      </c>
    </row>
    <row r="6899" spans="1:1" x14ac:dyDescent="0.25">
      <c r="A6899" s="66" t="s">
        <v>7341</v>
      </c>
    </row>
    <row r="6900" spans="1:1" x14ac:dyDescent="0.25">
      <c r="A6900" s="66" t="s">
        <v>7342</v>
      </c>
    </row>
    <row r="6901" spans="1:1" x14ac:dyDescent="0.25">
      <c r="A6901" s="66" t="s">
        <v>7343</v>
      </c>
    </row>
    <row r="6902" spans="1:1" x14ac:dyDescent="0.25">
      <c r="A6902" s="66" t="s">
        <v>7344</v>
      </c>
    </row>
    <row r="6903" spans="1:1" x14ac:dyDescent="0.25">
      <c r="A6903" s="66" t="s">
        <v>7345</v>
      </c>
    </row>
    <row r="6904" spans="1:1" x14ac:dyDescent="0.25">
      <c r="A6904" s="66" t="s">
        <v>7346</v>
      </c>
    </row>
    <row r="6905" spans="1:1" x14ac:dyDescent="0.25">
      <c r="A6905" s="66" t="s">
        <v>7347</v>
      </c>
    </row>
    <row r="6906" spans="1:1" x14ac:dyDescent="0.25">
      <c r="A6906" s="66" t="s">
        <v>7348</v>
      </c>
    </row>
    <row r="6907" spans="1:1" x14ac:dyDescent="0.25">
      <c r="A6907" s="66" t="s">
        <v>7349</v>
      </c>
    </row>
    <row r="6908" spans="1:1" x14ac:dyDescent="0.25">
      <c r="A6908" s="66" t="s">
        <v>7350</v>
      </c>
    </row>
    <row r="6909" spans="1:1" x14ac:dyDescent="0.25">
      <c r="A6909" s="66" t="s">
        <v>7351</v>
      </c>
    </row>
    <row r="6910" spans="1:1" x14ac:dyDescent="0.25">
      <c r="A6910" s="66" t="s">
        <v>7352</v>
      </c>
    </row>
    <row r="6911" spans="1:1" x14ac:dyDescent="0.25">
      <c r="A6911" s="66" t="s">
        <v>7353</v>
      </c>
    </row>
    <row r="6912" spans="1:1" x14ac:dyDescent="0.25">
      <c r="A6912" s="66" t="s">
        <v>7354</v>
      </c>
    </row>
    <row r="6913" spans="1:1" x14ac:dyDescent="0.25">
      <c r="A6913" s="66" t="s">
        <v>7355</v>
      </c>
    </row>
    <row r="6914" spans="1:1" x14ac:dyDescent="0.25">
      <c r="A6914" s="66" t="s">
        <v>7356</v>
      </c>
    </row>
    <row r="6915" spans="1:1" x14ac:dyDescent="0.25">
      <c r="A6915" s="66" t="s">
        <v>7357</v>
      </c>
    </row>
    <row r="6916" spans="1:1" x14ac:dyDescent="0.25">
      <c r="A6916" s="66" t="s">
        <v>7358</v>
      </c>
    </row>
    <row r="6917" spans="1:1" x14ac:dyDescent="0.25">
      <c r="A6917" s="66" t="s">
        <v>7359</v>
      </c>
    </row>
    <row r="6918" spans="1:1" x14ac:dyDescent="0.25">
      <c r="A6918" s="66" t="s">
        <v>7360</v>
      </c>
    </row>
    <row r="6919" spans="1:1" x14ac:dyDescent="0.25">
      <c r="A6919" s="66" t="s">
        <v>7361</v>
      </c>
    </row>
    <row r="6920" spans="1:1" x14ac:dyDescent="0.25">
      <c r="A6920" s="66" t="s">
        <v>7362</v>
      </c>
    </row>
    <row r="6921" spans="1:1" x14ac:dyDescent="0.25">
      <c r="A6921" s="66" t="s">
        <v>7363</v>
      </c>
    </row>
    <row r="6922" spans="1:1" x14ac:dyDescent="0.25">
      <c r="A6922" s="66" t="s">
        <v>7364</v>
      </c>
    </row>
    <row r="6923" spans="1:1" x14ac:dyDescent="0.25">
      <c r="A6923" s="66" t="s">
        <v>7365</v>
      </c>
    </row>
    <row r="6924" spans="1:1" x14ac:dyDescent="0.25">
      <c r="A6924" s="66" t="s">
        <v>7366</v>
      </c>
    </row>
    <row r="6925" spans="1:1" x14ac:dyDescent="0.25">
      <c r="A6925" s="66" t="s">
        <v>7367</v>
      </c>
    </row>
    <row r="6926" spans="1:1" x14ac:dyDescent="0.25">
      <c r="A6926" s="66" t="s">
        <v>7368</v>
      </c>
    </row>
    <row r="6927" spans="1:1" x14ac:dyDescent="0.25">
      <c r="A6927" s="66" t="s">
        <v>7369</v>
      </c>
    </row>
    <row r="6928" spans="1:1" x14ac:dyDescent="0.25">
      <c r="A6928" s="66" t="s">
        <v>7370</v>
      </c>
    </row>
    <row r="6929" spans="1:1" x14ac:dyDescent="0.25">
      <c r="A6929" s="66" t="s">
        <v>7371</v>
      </c>
    </row>
    <row r="6930" spans="1:1" x14ac:dyDescent="0.25">
      <c r="A6930" s="66" t="s">
        <v>7372</v>
      </c>
    </row>
    <row r="6931" spans="1:1" x14ac:dyDescent="0.25">
      <c r="A6931" s="66" t="s">
        <v>7373</v>
      </c>
    </row>
    <row r="6932" spans="1:1" x14ac:dyDescent="0.25">
      <c r="A6932" s="66" t="s">
        <v>7374</v>
      </c>
    </row>
    <row r="6933" spans="1:1" x14ac:dyDescent="0.25">
      <c r="A6933" s="66" t="s">
        <v>7375</v>
      </c>
    </row>
    <row r="6934" spans="1:1" x14ac:dyDescent="0.25">
      <c r="A6934" s="66" t="s">
        <v>7376</v>
      </c>
    </row>
    <row r="6935" spans="1:1" x14ac:dyDescent="0.25">
      <c r="A6935" s="66" t="s">
        <v>7377</v>
      </c>
    </row>
    <row r="6936" spans="1:1" x14ac:dyDescent="0.25">
      <c r="A6936" s="66" t="s">
        <v>7378</v>
      </c>
    </row>
    <row r="6937" spans="1:1" x14ac:dyDescent="0.25">
      <c r="A6937" s="56" t="s">
        <v>7379</v>
      </c>
    </row>
    <row r="6938" spans="1:1" x14ac:dyDescent="0.25">
      <c r="A6938" s="66" t="s">
        <v>7380</v>
      </c>
    </row>
    <row r="6939" spans="1:1" x14ac:dyDescent="0.25">
      <c r="A6939" s="56" t="s">
        <v>7381</v>
      </c>
    </row>
    <row r="6940" spans="1:1" x14ac:dyDescent="0.25">
      <c r="A6940" s="66" t="s">
        <v>7382</v>
      </c>
    </row>
    <row r="6941" spans="1:1" x14ac:dyDescent="0.25">
      <c r="A6941" s="56" t="s">
        <v>7383</v>
      </c>
    </row>
    <row r="6942" spans="1:1" x14ac:dyDescent="0.25">
      <c r="A6942" s="66" t="s">
        <v>7384</v>
      </c>
    </row>
    <row r="6943" spans="1:1" x14ac:dyDescent="0.25">
      <c r="A6943" s="56" t="s">
        <v>7385</v>
      </c>
    </row>
    <row r="6944" spans="1:1" x14ac:dyDescent="0.25">
      <c r="A6944" s="66" t="s">
        <v>7386</v>
      </c>
    </row>
    <row r="6945" spans="1:1" x14ac:dyDescent="0.25">
      <c r="A6945" s="56" t="s">
        <v>7387</v>
      </c>
    </row>
    <row r="6946" spans="1:1" x14ac:dyDescent="0.25">
      <c r="A6946" s="66" t="s">
        <v>7388</v>
      </c>
    </row>
    <row r="6947" spans="1:1" x14ac:dyDescent="0.25">
      <c r="A6947" s="56" t="s">
        <v>7389</v>
      </c>
    </row>
    <row r="6948" spans="1:1" x14ac:dyDescent="0.25">
      <c r="A6948" s="66" t="s">
        <v>7390</v>
      </c>
    </row>
    <row r="6949" spans="1:1" x14ac:dyDescent="0.25">
      <c r="A6949" s="66" t="s">
        <v>7391</v>
      </c>
    </row>
    <row r="6950" spans="1:1" x14ac:dyDescent="0.25">
      <c r="A6950" s="66" t="s">
        <v>7392</v>
      </c>
    </row>
    <row r="6951" spans="1:1" x14ac:dyDescent="0.25">
      <c r="A6951" s="66" t="s">
        <v>7393</v>
      </c>
    </row>
    <row r="6952" spans="1:1" x14ac:dyDescent="0.25">
      <c r="A6952" s="66" t="s">
        <v>7394</v>
      </c>
    </row>
    <row r="6953" spans="1:1" x14ac:dyDescent="0.25">
      <c r="A6953" s="66" t="s">
        <v>7395</v>
      </c>
    </row>
    <row r="6954" spans="1:1" x14ac:dyDescent="0.25">
      <c r="A6954" s="66" t="s">
        <v>7396</v>
      </c>
    </row>
    <row r="6955" spans="1:1" x14ac:dyDescent="0.25">
      <c r="A6955" s="66" t="s">
        <v>7397</v>
      </c>
    </row>
    <row r="6956" spans="1:1" x14ac:dyDescent="0.25">
      <c r="A6956" s="66" t="s">
        <v>7398</v>
      </c>
    </row>
    <row r="6957" spans="1:1" x14ac:dyDescent="0.25">
      <c r="A6957" s="66" t="s">
        <v>7399</v>
      </c>
    </row>
    <row r="6958" spans="1:1" x14ac:dyDescent="0.25">
      <c r="A6958" s="66" t="s">
        <v>7400</v>
      </c>
    </row>
    <row r="6959" spans="1:1" x14ac:dyDescent="0.25">
      <c r="A6959" s="66" t="s">
        <v>7401</v>
      </c>
    </row>
    <row r="6960" spans="1:1" x14ac:dyDescent="0.25">
      <c r="A6960" s="66" t="s">
        <v>7402</v>
      </c>
    </row>
    <row r="6961" spans="1:1" x14ac:dyDescent="0.25">
      <c r="A6961" s="66" t="s">
        <v>7403</v>
      </c>
    </row>
    <row r="6962" spans="1:1" x14ac:dyDescent="0.25">
      <c r="A6962" s="66" t="s">
        <v>7404</v>
      </c>
    </row>
    <row r="6963" spans="1:1" x14ac:dyDescent="0.25">
      <c r="A6963" s="66" t="s">
        <v>7405</v>
      </c>
    </row>
    <row r="6964" spans="1:1" x14ac:dyDescent="0.25">
      <c r="A6964" s="56" t="s">
        <v>7406</v>
      </c>
    </row>
    <row r="6965" spans="1:1" x14ac:dyDescent="0.25">
      <c r="A6965" s="66" t="s">
        <v>7407</v>
      </c>
    </row>
    <row r="6966" spans="1:1" x14ac:dyDescent="0.25">
      <c r="A6966" s="66" t="s">
        <v>7408</v>
      </c>
    </row>
    <row r="6967" spans="1:1" x14ac:dyDescent="0.25">
      <c r="A6967" s="66" t="s">
        <v>7409</v>
      </c>
    </row>
    <row r="6968" spans="1:1" x14ac:dyDescent="0.25">
      <c r="A6968" s="66" t="s">
        <v>7410</v>
      </c>
    </row>
    <row r="6969" spans="1:1" x14ac:dyDescent="0.25">
      <c r="A6969" s="66" t="s">
        <v>7411</v>
      </c>
    </row>
    <row r="6970" spans="1:1" x14ac:dyDescent="0.25">
      <c r="A6970" s="66" t="s">
        <v>7412</v>
      </c>
    </row>
    <row r="6971" spans="1:1" x14ac:dyDescent="0.25">
      <c r="A6971" s="66" t="s">
        <v>7413</v>
      </c>
    </row>
    <row r="6972" spans="1:1" x14ac:dyDescent="0.25">
      <c r="A6972" s="66" t="s">
        <v>7414</v>
      </c>
    </row>
    <row r="6973" spans="1:1" x14ac:dyDescent="0.25">
      <c r="A6973" s="66" t="s">
        <v>7415</v>
      </c>
    </row>
    <row r="6974" spans="1:1" x14ac:dyDescent="0.25">
      <c r="A6974" s="66" t="s">
        <v>7416</v>
      </c>
    </row>
    <row r="6975" spans="1:1" x14ac:dyDescent="0.25">
      <c r="A6975" s="66" t="s">
        <v>7417</v>
      </c>
    </row>
    <row r="6976" spans="1:1" x14ac:dyDescent="0.25">
      <c r="A6976" s="66" t="s">
        <v>7418</v>
      </c>
    </row>
    <row r="6977" spans="1:1" x14ac:dyDescent="0.25">
      <c r="A6977" s="66" t="s">
        <v>7419</v>
      </c>
    </row>
    <row r="6978" spans="1:1" x14ac:dyDescent="0.25">
      <c r="A6978" s="66" t="s">
        <v>7420</v>
      </c>
    </row>
    <row r="6979" spans="1:1" x14ac:dyDescent="0.25">
      <c r="A6979" s="66" t="s">
        <v>7421</v>
      </c>
    </row>
    <row r="6980" spans="1:1" x14ac:dyDescent="0.25">
      <c r="A6980" s="66" t="s">
        <v>7422</v>
      </c>
    </row>
    <row r="6981" spans="1:1" x14ac:dyDescent="0.25">
      <c r="A6981" s="66" t="s">
        <v>7423</v>
      </c>
    </row>
    <row r="6982" spans="1:1" x14ac:dyDescent="0.25">
      <c r="A6982" s="66" t="s">
        <v>7424</v>
      </c>
    </row>
    <row r="6983" spans="1:1" x14ac:dyDescent="0.25">
      <c r="A6983" s="66" t="s">
        <v>7425</v>
      </c>
    </row>
    <row r="6984" spans="1:1" x14ac:dyDescent="0.25">
      <c r="A6984" s="66" t="s">
        <v>7426</v>
      </c>
    </row>
    <row r="6985" spans="1:1" x14ac:dyDescent="0.25">
      <c r="A6985" s="66" t="s">
        <v>7427</v>
      </c>
    </row>
    <row r="6986" spans="1:1" x14ac:dyDescent="0.25">
      <c r="A6986" s="66" t="s">
        <v>7428</v>
      </c>
    </row>
    <row r="6987" spans="1:1" x14ac:dyDescent="0.25">
      <c r="A6987" s="66" t="s">
        <v>7429</v>
      </c>
    </row>
    <row r="6988" spans="1:1" x14ac:dyDescent="0.25">
      <c r="A6988" s="66" t="s">
        <v>7430</v>
      </c>
    </row>
    <row r="6989" spans="1:1" x14ac:dyDescent="0.25">
      <c r="A6989" s="66" t="s">
        <v>7431</v>
      </c>
    </row>
    <row r="6990" spans="1:1" x14ac:dyDescent="0.25">
      <c r="A6990" s="66" t="s">
        <v>7432</v>
      </c>
    </row>
    <row r="6991" spans="1:1" x14ac:dyDescent="0.25">
      <c r="A6991" s="66" t="s">
        <v>7433</v>
      </c>
    </row>
    <row r="6992" spans="1:1" x14ac:dyDescent="0.25">
      <c r="A6992" s="66" t="s">
        <v>7434</v>
      </c>
    </row>
    <row r="6993" spans="1:1" x14ac:dyDescent="0.25">
      <c r="A6993" s="66" t="s">
        <v>7435</v>
      </c>
    </row>
    <row r="6994" spans="1:1" x14ac:dyDescent="0.25">
      <c r="A6994" s="66" t="s">
        <v>7436</v>
      </c>
    </row>
    <row r="6995" spans="1:1" x14ac:dyDescent="0.25">
      <c r="A6995" s="66" t="s">
        <v>7437</v>
      </c>
    </row>
    <row r="6996" spans="1:1" x14ac:dyDescent="0.25">
      <c r="A6996" s="66" t="s">
        <v>7438</v>
      </c>
    </row>
    <row r="6997" spans="1:1" x14ac:dyDescent="0.25">
      <c r="A6997" s="66" t="s">
        <v>7439</v>
      </c>
    </row>
    <row r="6998" spans="1:1" x14ac:dyDescent="0.25">
      <c r="A6998" s="66" t="s">
        <v>7440</v>
      </c>
    </row>
    <row r="6999" spans="1:1" x14ac:dyDescent="0.25">
      <c r="A6999" s="66" t="s">
        <v>7441</v>
      </c>
    </row>
    <row r="7000" spans="1:1" x14ac:dyDescent="0.25">
      <c r="A7000" s="66" t="s">
        <v>7442</v>
      </c>
    </row>
    <row r="7001" spans="1:1" x14ac:dyDescent="0.25">
      <c r="A7001" s="66" t="s">
        <v>7443</v>
      </c>
    </row>
    <row r="7002" spans="1:1" x14ac:dyDescent="0.25">
      <c r="A7002" s="66" t="s">
        <v>7444</v>
      </c>
    </row>
    <row r="7003" spans="1:1" x14ac:dyDescent="0.25">
      <c r="A7003" s="66" t="s">
        <v>7445</v>
      </c>
    </row>
    <row r="7004" spans="1:1" x14ac:dyDescent="0.25">
      <c r="A7004" s="66" t="s">
        <v>7446</v>
      </c>
    </row>
    <row r="7005" spans="1:1" x14ac:dyDescent="0.25">
      <c r="A7005" s="66" t="s">
        <v>7447</v>
      </c>
    </row>
    <row r="7006" spans="1:1" x14ac:dyDescent="0.25">
      <c r="A7006" s="66" t="s">
        <v>7448</v>
      </c>
    </row>
    <row r="7007" spans="1:1" x14ac:dyDescent="0.25">
      <c r="A7007" s="66" t="s">
        <v>7449</v>
      </c>
    </row>
    <row r="7008" spans="1:1" x14ac:dyDescent="0.25">
      <c r="A7008" s="66" t="s">
        <v>7450</v>
      </c>
    </row>
    <row r="7009" spans="1:1" x14ac:dyDescent="0.25">
      <c r="A7009" s="56" t="s">
        <v>7451</v>
      </c>
    </row>
    <row r="7010" spans="1:1" x14ac:dyDescent="0.25">
      <c r="A7010" s="66" t="s">
        <v>7452</v>
      </c>
    </row>
    <row r="7011" spans="1:1" x14ac:dyDescent="0.25">
      <c r="A7011" s="56" t="s">
        <v>7453</v>
      </c>
    </row>
    <row r="7012" spans="1:1" x14ac:dyDescent="0.25">
      <c r="A7012" s="66" t="s">
        <v>7454</v>
      </c>
    </row>
    <row r="7013" spans="1:1" x14ac:dyDescent="0.25">
      <c r="A7013" s="56" t="s">
        <v>7455</v>
      </c>
    </row>
    <row r="7014" spans="1:1" x14ac:dyDescent="0.25">
      <c r="A7014" s="66" t="s">
        <v>7456</v>
      </c>
    </row>
    <row r="7015" spans="1:1" x14ac:dyDescent="0.25">
      <c r="A7015" s="56" t="s">
        <v>7457</v>
      </c>
    </row>
    <row r="7016" spans="1:1" x14ac:dyDescent="0.25">
      <c r="A7016" s="66" t="s">
        <v>7458</v>
      </c>
    </row>
    <row r="7017" spans="1:1" x14ac:dyDescent="0.25">
      <c r="A7017" s="56" t="s">
        <v>7459</v>
      </c>
    </row>
    <row r="7018" spans="1:1" x14ac:dyDescent="0.25">
      <c r="A7018" s="66" t="s">
        <v>7460</v>
      </c>
    </row>
    <row r="7019" spans="1:1" x14ac:dyDescent="0.25">
      <c r="A7019" s="56" t="s">
        <v>7461</v>
      </c>
    </row>
    <row r="7020" spans="1:1" x14ac:dyDescent="0.25">
      <c r="A7020" s="66" t="s">
        <v>7462</v>
      </c>
    </row>
    <row r="7021" spans="1:1" x14ac:dyDescent="0.25">
      <c r="A7021" s="56" t="s">
        <v>7463</v>
      </c>
    </row>
    <row r="7022" spans="1:1" x14ac:dyDescent="0.25">
      <c r="A7022" s="66" t="s">
        <v>7464</v>
      </c>
    </row>
    <row r="7023" spans="1:1" x14ac:dyDescent="0.25">
      <c r="A7023" s="56" t="s">
        <v>7465</v>
      </c>
    </row>
    <row r="7024" spans="1:1" x14ac:dyDescent="0.25">
      <c r="A7024" s="66" t="s">
        <v>7466</v>
      </c>
    </row>
    <row r="7025" spans="1:1" x14ac:dyDescent="0.25">
      <c r="A7025" s="56" t="s">
        <v>7467</v>
      </c>
    </row>
    <row r="7026" spans="1:1" x14ac:dyDescent="0.25">
      <c r="A7026" s="66" t="s">
        <v>7468</v>
      </c>
    </row>
    <row r="7027" spans="1:1" x14ac:dyDescent="0.25">
      <c r="A7027" s="56" t="s">
        <v>7469</v>
      </c>
    </row>
    <row r="7028" spans="1:1" x14ac:dyDescent="0.25">
      <c r="A7028" s="66" t="s">
        <v>7470</v>
      </c>
    </row>
    <row r="7029" spans="1:1" x14ac:dyDescent="0.25">
      <c r="A7029" s="56" t="s">
        <v>7471</v>
      </c>
    </row>
    <row r="7030" spans="1:1" x14ac:dyDescent="0.25">
      <c r="A7030" s="66" t="s">
        <v>7472</v>
      </c>
    </row>
    <row r="7031" spans="1:1" x14ac:dyDescent="0.25">
      <c r="A7031" s="56" t="s">
        <v>7473</v>
      </c>
    </row>
    <row r="7032" spans="1:1" x14ac:dyDescent="0.25">
      <c r="A7032" s="67" t="s">
        <v>7474</v>
      </c>
    </row>
    <row r="7033" spans="1:1" x14ac:dyDescent="0.25">
      <c r="A7033" s="66" t="s">
        <v>7475</v>
      </c>
    </row>
    <row r="7034" spans="1:1" x14ac:dyDescent="0.25">
      <c r="A7034" s="66" t="s">
        <v>7476</v>
      </c>
    </row>
    <row r="7035" spans="1:1" x14ac:dyDescent="0.25">
      <c r="A7035" s="56" t="s">
        <v>7477</v>
      </c>
    </row>
    <row r="7036" spans="1:1" x14ac:dyDescent="0.25">
      <c r="A7036" s="66" t="s">
        <v>7478</v>
      </c>
    </row>
    <row r="7037" spans="1:1" x14ac:dyDescent="0.25">
      <c r="A7037" s="56" t="s">
        <v>7479</v>
      </c>
    </row>
    <row r="7038" spans="1:1" x14ac:dyDescent="0.25">
      <c r="A7038" s="66" t="s">
        <v>7480</v>
      </c>
    </row>
    <row r="7039" spans="1:1" x14ac:dyDescent="0.25">
      <c r="A7039" s="56" t="s">
        <v>7481</v>
      </c>
    </row>
    <row r="7040" spans="1:1" x14ac:dyDescent="0.25">
      <c r="A7040" s="66" t="s">
        <v>7482</v>
      </c>
    </row>
    <row r="7041" spans="1:1" x14ac:dyDescent="0.25">
      <c r="A7041" s="56" t="s">
        <v>7483</v>
      </c>
    </row>
    <row r="7042" spans="1:1" x14ac:dyDescent="0.25">
      <c r="A7042" s="66" t="s">
        <v>7484</v>
      </c>
    </row>
    <row r="7043" spans="1:1" x14ac:dyDescent="0.25">
      <c r="A7043" s="56" t="s">
        <v>7485</v>
      </c>
    </row>
    <row r="7044" spans="1:1" x14ac:dyDescent="0.25">
      <c r="A7044" s="66" t="s">
        <v>7486</v>
      </c>
    </row>
    <row r="7045" spans="1:1" x14ac:dyDescent="0.25">
      <c r="A7045" s="66" t="s">
        <v>7487</v>
      </c>
    </row>
    <row r="7046" spans="1:1" x14ac:dyDescent="0.25">
      <c r="A7046" s="66" t="s">
        <v>7488</v>
      </c>
    </row>
    <row r="7047" spans="1:1" x14ac:dyDescent="0.25">
      <c r="A7047" s="66" t="s">
        <v>7489</v>
      </c>
    </row>
    <row r="7048" spans="1:1" x14ac:dyDescent="0.25">
      <c r="A7048" s="66" t="s">
        <v>7490</v>
      </c>
    </row>
    <row r="7049" spans="1:1" x14ac:dyDescent="0.25">
      <c r="A7049" s="66" t="s">
        <v>7491</v>
      </c>
    </row>
    <row r="7050" spans="1:1" x14ac:dyDescent="0.25">
      <c r="A7050" s="56" t="s">
        <v>7492</v>
      </c>
    </row>
    <row r="7051" spans="1:1" x14ac:dyDescent="0.25">
      <c r="A7051" s="66" t="s">
        <v>7493</v>
      </c>
    </row>
    <row r="7052" spans="1:1" x14ac:dyDescent="0.25">
      <c r="A7052" s="56" t="s">
        <v>7494</v>
      </c>
    </row>
    <row r="7053" spans="1:1" x14ac:dyDescent="0.25">
      <c r="A7053" s="66" t="s">
        <v>7495</v>
      </c>
    </row>
    <row r="7054" spans="1:1" x14ac:dyDescent="0.25">
      <c r="A7054" s="56" t="s">
        <v>7496</v>
      </c>
    </row>
    <row r="7055" spans="1:1" x14ac:dyDescent="0.25">
      <c r="A7055" s="66" t="s">
        <v>7497</v>
      </c>
    </row>
    <row r="7056" spans="1:1" x14ac:dyDescent="0.25">
      <c r="A7056" s="56" t="s">
        <v>7498</v>
      </c>
    </row>
    <row r="7057" spans="1:1" x14ac:dyDescent="0.25">
      <c r="A7057" s="66" t="s">
        <v>7499</v>
      </c>
    </row>
    <row r="7058" spans="1:1" x14ac:dyDescent="0.25">
      <c r="A7058" s="66" t="s">
        <v>7500</v>
      </c>
    </row>
    <row r="7059" spans="1:1" x14ac:dyDescent="0.25">
      <c r="A7059" s="66" t="s">
        <v>7501</v>
      </c>
    </row>
    <row r="7060" spans="1:1" x14ac:dyDescent="0.25">
      <c r="A7060" s="66" t="s">
        <v>7502</v>
      </c>
    </row>
    <row r="7061" spans="1:1" x14ac:dyDescent="0.25">
      <c r="A7061" s="66" t="s">
        <v>7503</v>
      </c>
    </row>
    <row r="7062" spans="1:1" x14ac:dyDescent="0.25">
      <c r="A7062" s="66" t="s">
        <v>7504</v>
      </c>
    </row>
    <row r="7063" spans="1:1" x14ac:dyDescent="0.25">
      <c r="A7063" s="66" t="s">
        <v>7505</v>
      </c>
    </row>
    <row r="7064" spans="1:1" x14ac:dyDescent="0.25">
      <c r="A7064" s="66" t="s">
        <v>7506</v>
      </c>
    </row>
    <row r="7065" spans="1:1" x14ac:dyDescent="0.25">
      <c r="A7065" s="66" t="s">
        <v>7507</v>
      </c>
    </row>
    <row r="7066" spans="1:1" x14ac:dyDescent="0.25">
      <c r="A7066" s="66" t="s">
        <v>7508</v>
      </c>
    </row>
    <row r="7067" spans="1:1" x14ac:dyDescent="0.25">
      <c r="A7067" s="66" t="s">
        <v>7509</v>
      </c>
    </row>
    <row r="7068" spans="1:1" x14ac:dyDescent="0.25">
      <c r="A7068" s="66" t="s">
        <v>7510</v>
      </c>
    </row>
    <row r="7069" spans="1:1" x14ac:dyDescent="0.25">
      <c r="A7069" s="66" t="s">
        <v>7511</v>
      </c>
    </row>
    <row r="7070" spans="1:1" x14ac:dyDescent="0.25">
      <c r="A7070" s="66" t="s">
        <v>7512</v>
      </c>
    </row>
    <row r="7071" spans="1:1" x14ac:dyDescent="0.25">
      <c r="A7071" s="66" t="s">
        <v>7513</v>
      </c>
    </row>
    <row r="7072" spans="1:1" x14ac:dyDescent="0.25">
      <c r="A7072" s="66" t="s">
        <v>7514</v>
      </c>
    </row>
    <row r="7073" spans="1:1" x14ac:dyDescent="0.25">
      <c r="A7073" s="66" t="s">
        <v>7515</v>
      </c>
    </row>
    <row r="7074" spans="1:1" x14ac:dyDescent="0.25">
      <c r="A7074" s="66" t="s">
        <v>7516</v>
      </c>
    </row>
    <row r="7075" spans="1:1" x14ac:dyDescent="0.25">
      <c r="A7075" s="66" t="s">
        <v>7517</v>
      </c>
    </row>
    <row r="7076" spans="1:1" x14ac:dyDescent="0.25">
      <c r="A7076" s="66" t="s">
        <v>7518</v>
      </c>
    </row>
    <row r="7077" spans="1:1" x14ac:dyDescent="0.25">
      <c r="A7077" s="66" t="s">
        <v>7519</v>
      </c>
    </row>
    <row r="7078" spans="1:1" x14ac:dyDescent="0.25">
      <c r="A7078" s="66" t="s">
        <v>7520</v>
      </c>
    </row>
    <row r="7079" spans="1:1" x14ac:dyDescent="0.25">
      <c r="A7079" s="66" t="s">
        <v>7521</v>
      </c>
    </row>
    <row r="7080" spans="1:1" x14ac:dyDescent="0.25">
      <c r="A7080" s="66" t="s">
        <v>7522</v>
      </c>
    </row>
    <row r="7081" spans="1:1" x14ac:dyDescent="0.25">
      <c r="A7081" s="66" t="s">
        <v>7523</v>
      </c>
    </row>
    <row r="7082" spans="1:1" x14ac:dyDescent="0.25">
      <c r="A7082" s="66" t="s">
        <v>7524</v>
      </c>
    </row>
    <row r="7083" spans="1:1" x14ac:dyDescent="0.25">
      <c r="A7083" s="66" t="s">
        <v>7525</v>
      </c>
    </row>
    <row r="7084" spans="1:1" x14ac:dyDescent="0.25">
      <c r="A7084" s="56" t="s">
        <v>7526</v>
      </c>
    </row>
    <row r="7085" spans="1:1" x14ac:dyDescent="0.25">
      <c r="A7085" s="66" t="s">
        <v>7527</v>
      </c>
    </row>
    <row r="7086" spans="1:1" x14ac:dyDescent="0.25">
      <c r="A7086" s="56" t="s">
        <v>7528</v>
      </c>
    </row>
    <row r="7087" spans="1:1" x14ac:dyDescent="0.25">
      <c r="A7087" s="66" t="s">
        <v>7529</v>
      </c>
    </row>
    <row r="7088" spans="1:1" x14ac:dyDescent="0.25">
      <c r="A7088" s="66" t="s">
        <v>7530</v>
      </c>
    </row>
    <row r="7089" spans="1:1" x14ac:dyDescent="0.25">
      <c r="A7089" s="66" t="s">
        <v>7531</v>
      </c>
    </row>
    <row r="7090" spans="1:1" x14ac:dyDescent="0.25">
      <c r="A7090" s="66" t="s">
        <v>7532</v>
      </c>
    </row>
    <row r="7091" spans="1:1" x14ac:dyDescent="0.25">
      <c r="A7091" s="66" t="s">
        <v>7533</v>
      </c>
    </row>
    <row r="7092" spans="1:1" x14ac:dyDescent="0.25">
      <c r="A7092" s="66" t="s">
        <v>7534</v>
      </c>
    </row>
    <row r="7093" spans="1:1" x14ac:dyDescent="0.25">
      <c r="A7093" s="66" t="s">
        <v>7535</v>
      </c>
    </row>
    <row r="7094" spans="1:1" x14ac:dyDescent="0.25">
      <c r="A7094" s="66" t="s">
        <v>7536</v>
      </c>
    </row>
    <row r="7095" spans="1:1" x14ac:dyDescent="0.25">
      <c r="A7095" s="66" t="s">
        <v>7537</v>
      </c>
    </row>
    <row r="7096" spans="1:1" x14ac:dyDescent="0.25">
      <c r="A7096" s="66" t="s">
        <v>7538</v>
      </c>
    </row>
    <row r="7097" spans="1:1" x14ac:dyDescent="0.25">
      <c r="A7097" s="66" t="s">
        <v>7539</v>
      </c>
    </row>
    <row r="7098" spans="1:1" x14ac:dyDescent="0.25">
      <c r="A7098" s="66" t="s">
        <v>7540</v>
      </c>
    </row>
    <row r="7099" spans="1:1" x14ac:dyDescent="0.25">
      <c r="A7099" s="66" t="s">
        <v>7541</v>
      </c>
    </row>
    <row r="7100" spans="1:1" x14ac:dyDescent="0.25">
      <c r="A7100" s="66" t="s">
        <v>7542</v>
      </c>
    </row>
    <row r="7101" spans="1:1" x14ac:dyDescent="0.25">
      <c r="A7101" s="66" t="s">
        <v>7543</v>
      </c>
    </row>
    <row r="7102" spans="1:1" x14ac:dyDescent="0.25">
      <c r="A7102" s="66" t="s">
        <v>7544</v>
      </c>
    </row>
    <row r="7103" spans="1:1" x14ac:dyDescent="0.25">
      <c r="A7103" s="66" t="s">
        <v>7545</v>
      </c>
    </row>
    <row r="7104" spans="1:1" x14ac:dyDescent="0.25">
      <c r="A7104" s="66" t="s">
        <v>7546</v>
      </c>
    </row>
    <row r="7105" spans="1:1" x14ac:dyDescent="0.25">
      <c r="A7105" s="66" t="s">
        <v>7547</v>
      </c>
    </row>
    <row r="7106" spans="1:1" x14ac:dyDescent="0.25">
      <c r="A7106" s="66" t="s">
        <v>7548</v>
      </c>
    </row>
    <row r="7107" spans="1:1" x14ac:dyDescent="0.25">
      <c r="A7107" s="66" t="s">
        <v>7549</v>
      </c>
    </row>
    <row r="7108" spans="1:1" x14ac:dyDescent="0.25">
      <c r="A7108" s="66" t="s">
        <v>7550</v>
      </c>
    </row>
    <row r="7109" spans="1:1" x14ac:dyDescent="0.25">
      <c r="A7109" s="66" t="s">
        <v>7551</v>
      </c>
    </row>
    <row r="7110" spans="1:1" x14ac:dyDescent="0.25">
      <c r="A7110" s="66" t="s">
        <v>7552</v>
      </c>
    </row>
    <row r="7111" spans="1:1" x14ac:dyDescent="0.25">
      <c r="A7111" s="66" t="s">
        <v>7553</v>
      </c>
    </row>
    <row r="7112" spans="1:1" x14ac:dyDescent="0.25">
      <c r="A7112" s="66" t="s">
        <v>7554</v>
      </c>
    </row>
    <row r="7113" spans="1:1" x14ac:dyDescent="0.25">
      <c r="A7113" s="66" t="s">
        <v>7555</v>
      </c>
    </row>
    <row r="7114" spans="1:1" x14ac:dyDescent="0.25">
      <c r="A7114" s="66" t="s">
        <v>7556</v>
      </c>
    </row>
    <row r="7115" spans="1:1" x14ac:dyDescent="0.25">
      <c r="A7115" s="66" t="s">
        <v>7557</v>
      </c>
    </row>
    <row r="7116" spans="1:1" x14ac:dyDescent="0.25">
      <c r="A7116" s="66" t="s">
        <v>7558</v>
      </c>
    </row>
    <row r="7117" spans="1:1" x14ac:dyDescent="0.25">
      <c r="A7117" s="66" t="s">
        <v>7559</v>
      </c>
    </row>
    <row r="7118" spans="1:1" x14ac:dyDescent="0.25">
      <c r="A7118" s="66" t="s">
        <v>7560</v>
      </c>
    </row>
    <row r="7119" spans="1:1" x14ac:dyDescent="0.25">
      <c r="A7119" s="66" t="s">
        <v>7561</v>
      </c>
    </row>
    <row r="7120" spans="1:1" x14ac:dyDescent="0.25">
      <c r="A7120" s="66" t="s">
        <v>7562</v>
      </c>
    </row>
    <row r="7121" spans="1:1" x14ac:dyDescent="0.25">
      <c r="A7121" s="66" t="s">
        <v>7563</v>
      </c>
    </row>
    <row r="7122" spans="1:1" x14ac:dyDescent="0.25">
      <c r="A7122" s="66" t="s">
        <v>7564</v>
      </c>
    </row>
    <row r="7123" spans="1:1" x14ac:dyDescent="0.25">
      <c r="A7123" s="66" t="s">
        <v>7565</v>
      </c>
    </row>
    <row r="7124" spans="1:1" x14ac:dyDescent="0.25">
      <c r="A7124" s="66" t="s">
        <v>7566</v>
      </c>
    </row>
    <row r="7125" spans="1:1" x14ac:dyDescent="0.25">
      <c r="A7125" s="66" t="s">
        <v>7567</v>
      </c>
    </row>
    <row r="7126" spans="1:1" x14ac:dyDescent="0.25">
      <c r="A7126" s="66" t="s">
        <v>7568</v>
      </c>
    </row>
    <row r="7127" spans="1:1" x14ac:dyDescent="0.25">
      <c r="A7127" s="66" t="s">
        <v>7569</v>
      </c>
    </row>
    <row r="7128" spans="1:1" x14ac:dyDescent="0.25">
      <c r="A7128" s="66" t="s">
        <v>7570</v>
      </c>
    </row>
    <row r="7129" spans="1:1" x14ac:dyDescent="0.25">
      <c r="A7129" s="66" t="s">
        <v>7571</v>
      </c>
    </row>
    <row r="7130" spans="1:1" x14ac:dyDescent="0.25">
      <c r="A7130" s="66" t="s">
        <v>7572</v>
      </c>
    </row>
    <row r="7131" spans="1:1" x14ac:dyDescent="0.25">
      <c r="A7131" s="66" t="s">
        <v>7573</v>
      </c>
    </row>
    <row r="7132" spans="1:1" x14ac:dyDescent="0.25">
      <c r="A7132" s="66" t="s">
        <v>7574</v>
      </c>
    </row>
    <row r="7133" spans="1:1" x14ac:dyDescent="0.25">
      <c r="A7133" s="56" t="s">
        <v>7575</v>
      </c>
    </row>
    <row r="7134" spans="1:1" x14ac:dyDescent="0.25">
      <c r="A7134" s="66" t="s">
        <v>7576</v>
      </c>
    </row>
    <row r="7135" spans="1:1" x14ac:dyDescent="0.25">
      <c r="A7135" s="56" t="s">
        <v>7577</v>
      </c>
    </row>
    <row r="7136" spans="1:1" x14ac:dyDescent="0.25">
      <c r="A7136" s="66" t="s">
        <v>7578</v>
      </c>
    </row>
    <row r="7137" spans="1:1" x14ac:dyDescent="0.25">
      <c r="A7137" s="66" t="s">
        <v>7579</v>
      </c>
    </row>
    <row r="7138" spans="1:1" x14ac:dyDescent="0.25">
      <c r="A7138" s="66" t="s">
        <v>7580</v>
      </c>
    </row>
    <row r="7139" spans="1:1" x14ac:dyDescent="0.25">
      <c r="A7139" s="66" t="s">
        <v>7581</v>
      </c>
    </row>
    <row r="7140" spans="1:1" x14ac:dyDescent="0.25">
      <c r="A7140" s="66" t="s">
        <v>7582</v>
      </c>
    </row>
    <row r="7141" spans="1:1" x14ac:dyDescent="0.25">
      <c r="A7141" s="66" t="s">
        <v>7583</v>
      </c>
    </row>
    <row r="7142" spans="1:1" x14ac:dyDescent="0.25">
      <c r="A7142" s="66" t="s">
        <v>7584</v>
      </c>
    </row>
    <row r="7143" spans="1:1" x14ac:dyDescent="0.25">
      <c r="A7143" s="66" t="s">
        <v>7585</v>
      </c>
    </row>
    <row r="7144" spans="1:1" x14ac:dyDescent="0.25">
      <c r="A7144" s="66" t="s">
        <v>7586</v>
      </c>
    </row>
    <row r="7145" spans="1:1" x14ac:dyDescent="0.25">
      <c r="A7145" s="66" t="s">
        <v>7587</v>
      </c>
    </row>
    <row r="7146" spans="1:1" x14ac:dyDescent="0.25">
      <c r="A7146" s="66" t="s">
        <v>7588</v>
      </c>
    </row>
    <row r="7147" spans="1:1" x14ac:dyDescent="0.25">
      <c r="A7147" s="66" t="s">
        <v>7589</v>
      </c>
    </row>
    <row r="7148" spans="1:1" x14ac:dyDescent="0.25">
      <c r="A7148" s="66" t="s">
        <v>7590</v>
      </c>
    </row>
    <row r="7149" spans="1:1" x14ac:dyDescent="0.25">
      <c r="A7149" s="66" t="s">
        <v>7591</v>
      </c>
    </row>
    <row r="7150" spans="1:1" x14ac:dyDescent="0.25">
      <c r="A7150" s="66" t="s">
        <v>7592</v>
      </c>
    </row>
    <row r="7151" spans="1:1" x14ac:dyDescent="0.25">
      <c r="A7151" s="66" t="s">
        <v>7593</v>
      </c>
    </row>
    <row r="7152" spans="1:1" x14ac:dyDescent="0.25">
      <c r="A7152" s="66" t="s">
        <v>7594</v>
      </c>
    </row>
    <row r="7153" spans="1:1" x14ac:dyDescent="0.25">
      <c r="A7153" s="66" t="s">
        <v>7595</v>
      </c>
    </row>
    <row r="7154" spans="1:1" x14ac:dyDescent="0.25">
      <c r="A7154" s="66" t="s">
        <v>7596</v>
      </c>
    </row>
    <row r="7155" spans="1:1" x14ac:dyDescent="0.25">
      <c r="A7155" s="66" t="s">
        <v>7597</v>
      </c>
    </row>
    <row r="7156" spans="1:1" x14ac:dyDescent="0.25">
      <c r="A7156" s="66" t="s">
        <v>7598</v>
      </c>
    </row>
    <row r="7157" spans="1:1" x14ac:dyDescent="0.25">
      <c r="A7157" s="66" t="s">
        <v>7599</v>
      </c>
    </row>
    <row r="7158" spans="1:1" x14ac:dyDescent="0.25">
      <c r="A7158" s="66" t="s">
        <v>7600</v>
      </c>
    </row>
    <row r="7159" spans="1:1" x14ac:dyDescent="0.25">
      <c r="A7159" s="66" t="s">
        <v>7601</v>
      </c>
    </row>
    <row r="7160" spans="1:1" x14ac:dyDescent="0.25">
      <c r="A7160" s="66" t="s">
        <v>7602</v>
      </c>
    </row>
    <row r="7161" spans="1:1" x14ac:dyDescent="0.25">
      <c r="A7161" s="66" t="s">
        <v>7603</v>
      </c>
    </row>
    <row r="7162" spans="1:1" x14ac:dyDescent="0.25">
      <c r="A7162" s="66" t="s">
        <v>7604</v>
      </c>
    </row>
    <row r="7163" spans="1:1" x14ac:dyDescent="0.25">
      <c r="A7163" s="66" t="s">
        <v>7605</v>
      </c>
    </row>
    <row r="7164" spans="1:1" x14ac:dyDescent="0.25">
      <c r="A7164" s="66" t="s">
        <v>7606</v>
      </c>
    </row>
    <row r="7165" spans="1:1" x14ac:dyDescent="0.25">
      <c r="A7165" s="66" t="s">
        <v>7607</v>
      </c>
    </row>
    <row r="7166" spans="1:1" x14ac:dyDescent="0.25">
      <c r="A7166" s="66" t="s">
        <v>7608</v>
      </c>
    </row>
    <row r="7167" spans="1:1" x14ac:dyDescent="0.25">
      <c r="A7167" s="66" t="s">
        <v>7609</v>
      </c>
    </row>
    <row r="7168" spans="1:1" x14ac:dyDescent="0.25">
      <c r="A7168" s="66" t="s">
        <v>7610</v>
      </c>
    </row>
    <row r="7169" spans="1:1" x14ac:dyDescent="0.25">
      <c r="A7169" s="66" t="s">
        <v>7611</v>
      </c>
    </row>
    <row r="7170" spans="1:1" x14ac:dyDescent="0.25">
      <c r="A7170" s="66" t="s">
        <v>7612</v>
      </c>
    </row>
    <row r="7171" spans="1:1" x14ac:dyDescent="0.25">
      <c r="A7171" s="66" t="s">
        <v>7613</v>
      </c>
    </row>
    <row r="7172" spans="1:1" x14ac:dyDescent="0.25">
      <c r="A7172" s="66" t="s">
        <v>7614</v>
      </c>
    </row>
    <row r="7173" spans="1:1" x14ac:dyDescent="0.25">
      <c r="A7173" s="66" t="s">
        <v>7615</v>
      </c>
    </row>
    <row r="7174" spans="1:1" x14ac:dyDescent="0.25">
      <c r="A7174" s="66" t="s">
        <v>7616</v>
      </c>
    </row>
    <row r="7175" spans="1:1" x14ac:dyDescent="0.25">
      <c r="A7175" s="66" t="s">
        <v>7617</v>
      </c>
    </row>
    <row r="7176" spans="1:1" x14ac:dyDescent="0.25">
      <c r="A7176" s="66" t="s">
        <v>7618</v>
      </c>
    </row>
    <row r="7177" spans="1:1" x14ac:dyDescent="0.25">
      <c r="A7177" s="66" t="s">
        <v>7619</v>
      </c>
    </row>
    <row r="7178" spans="1:1" x14ac:dyDescent="0.25">
      <c r="A7178" s="66" t="s">
        <v>7620</v>
      </c>
    </row>
    <row r="7179" spans="1:1" x14ac:dyDescent="0.25">
      <c r="A7179" s="66" t="s">
        <v>7621</v>
      </c>
    </row>
    <row r="7180" spans="1:1" x14ac:dyDescent="0.25">
      <c r="A7180" s="66" t="s">
        <v>7622</v>
      </c>
    </row>
    <row r="7181" spans="1:1" x14ac:dyDescent="0.25">
      <c r="A7181" s="66" t="s">
        <v>7623</v>
      </c>
    </row>
    <row r="7182" spans="1:1" x14ac:dyDescent="0.25">
      <c r="A7182" s="66" t="s">
        <v>7624</v>
      </c>
    </row>
    <row r="7183" spans="1:1" x14ac:dyDescent="0.25">
      <c r="A7183" s="66" t="s">
        <v>7625</v>
      </c>
    </row>
    <row r="7184" spans="1:1" x14ac:dyDescent="0.25">
      <c r="A7184" s="66" t="s">
        <v>7626</v>
      </c>
    </row>
    <row r="7185" spans="1:1" x14ac:dyDescent="0.25">
      <c r="A7185" s="66" t="s">
        <v>7627</v>
      </c>
    </row>
    <row r="7186" spans="1:1" x14ac:dyDescent="0.25">
      <c r="A7186" s="66" t="s">
        <v>7628</v>
      </c>
    </row>
    <row r="7187" spans="1:1" x14ac:dyDescent="0.25">
      <c r="A7187" s="66" t="s">
        <v>7629</v>
      </c>
    </row>
    <row r="7188" spans="1:1" x14ac:dyDescent="0.25">
      <c r="A7188" s="66" t="s">
        <v>7630</v>
      </c>
    </row>
    <row r="7189" spans="1:1" x14ac:dyDescent="0.25">
      <c r="A7189" s="66" t="s">
        <v>7631</v>
      </c>
    </row>
    <row r="7190" spans="1:1" x14ac:dyDescent="0.25">
      <c r="A7190" s="66" t="s">
        <v>7632</v>
      </c>
    </row>
    <row r="7191" spans="1:1" x14ac:dyDescent="0.25">
      <c r="A7191" s="66" t="s">
        <v>7633</v>
      </c>
    </row>
    <row r="7192" spans="1:1" x14ac:dyDescent="0.25">
      <c r="A7192" s="66" t="s">
        <v>7634</v>
      </c>
    </row>
    <row r="7193" spans="1:1" x14ac:dyDescent="0.25">
      <c r="A7193" s="66" t="s">
        <v>7635</v>
      </c>
    </row>
    <row r="7194" spans="1:1" x14ac:dyDescent="0.25">
      <c r="A7194" s="66" t="s">
        <v>7636</v>
      </c>
    </row>
    <row r="7195" spans="1:1" x14ac:dyDescent="0.25">
      <c r="A7195" s="66" t="s">
        <v>7637</v>
      </c>
    </row>
    <row r="7196" spans="1:1" x14ac:dyDescent="0.25">
      <c r="A7196" s="66" t="s">
        <v>7638</v>
      </c>
    </row>
    <row r="7197" spans="1:1" x14ac:dyDescent="0.25">
      <c r="A7197" s="66" t="s">
        <v>7639</v>
      </c>
    </row>
    <row r="7198" spans="1:1" x14ac:dyDescent="0.25">
      <c r="A7198" s="66" t="s">
        <v>7640</v>
      </c>
    </row>
    <row r="7199" spans="1:1" x14ac:dyDescent="0.25">
      <c r="A7199" s="66" t="s">
        <v>7641</v>
      </c>
    </row>
    <row r="7200" spans="1:1" x14ac:dyDescent="0.25">
      <c r="A7200" s="56" t="s">
        <v>7642</v>
      </c>
    </row>
    <row r="7201" spans="1:1" x14ac:dyDescent="0.25">
      <c r="A7201" s="66" t="s">
        <v>7643</v>
      </c>
    </row>
    <row r="7202" spans="1:1" x14ac:dyDescent="0.25">
      <c r="A7202" s="56" t="s">
        <v>7644</v>
      </c>
    </row>
    <row r="7203" spans="1:1" x14ac:dyDescent="0.25">
      <c r="A7203" s="66" t="s">
        <v>7645</v>
      </c>
    </row>
    <row r="7204" spans="1:1" x14ac:dyDescent="0.25">
      <c r="A7204" s="56" t="s">
        <v>7646</v>
      </c>
    </row>
    <row r="7205" spans="1:1" x14ac:dyDescent="0.25">
      <c r="A7205" s="66" t="s">
        <v>7647</v>
      </c>
    </row>
    <row r="7206" spans="1:1" x14ac:dyDescent="0.25">
      <c r="A7206" s="56" t="s">
        <v>7648</v>
      </c>
    </row>
    <row r="7207" spans="1:1" x14ac:dyDescent="0.25">
      <c r="A7207" s="66" t="s">
        <v>7649</v>
      </c>
    </row>
    <row r="7208" spans="1:1" x14ac:dyDescent="0.25">
      <c r="A7208" s="66" t="s">
        <v>7650</v>
      </c>
    </row>
    <row r="7209" spans="1:1" x14ac:dyDescent="0.25">
      <c r="A7209" s="66" t="s">
        <v>7651</v>
      </c>
    </row>
    <row r="7210" spans="1:1" x14ac:dyDescent="0.25">
      <c r="A7210" s="66" t="s">
        <v>7652</v>
      </c>
    </row>
    <row r="7211" spans="1:1" x14ac:dyDescent="0.25">
      <c r="A7211" s="66" t="s">
        <v>7653</v>
      </c>
    </row>
    <row r="7212" spans="1:1" x14ac:dyDescent="0.25">
      <c r="A7212" s="66" t="s">
        <v>7654</v>
      </c>
    </row>
    <row r="7213" spans="1:1" x14ac:dyDescent="0.25">
      <c r="A7213" s="66" t="s">
        <v>7655</v>
      </c>
    </row>
    <row r="7214" spans="1:1" x14ac:dyDescent="0.25">
      <c r="A7214" s="66" t="s">
        <v>7656</v>
      </c>
    </row>
    <row r="7215" spans="1:1" x14ac:dyDescent="0.25">
      <c r="A7215" s="66" t="s">
        <v>7657</v>
      </c>
    </row>
    <row r="7216" spans="1:1" x14ac:dyDescent="0.25">
      <c r="A7216" s="66" t="s">
        <v>7658</v>
      </c>
    </row>
    <row r="7217" spans="1:1" x14ac:dyDescent="0.25">
      <c r="A7217" s="66" t="s">
        <v>7659</v>
      </c>
    </row>
    <row r="7218" spans="1:1" x14ac:dyDescent="0.25">
      <c r="A7218" s="66" t="s">
        <v>7660</v>
      </c>
    </row>
    <row r="7219" spans="1:1" x14ac:dyDescent="0.25">
      <c r="A7219" s="66" t="s">
        <v>7661</v>
      </c>
    </row>
    <row r="7220" spans="1:1" x14ac:dyDescent="0.25">
      <c r="A7220" s="66" t="s">
        <v>7662</v>
      </c>
    </row>
    <row r="7221" spans="1:1" x14ac:dyDescent="0.25">
      <c r="A7221" s="66" t="s">
        <v>7663</v>
      </c>
    </row>
    <row r="7222" spans="1:1" x14ac:dyDescent="0.25">
      <c r="A7222" s="66" t="s">
        <v>7664</v>
      </c>
    </row>
    <row r="7223" spans="1:1" x14ac:dyDescent="0.25">
      <c r="A7223" s="66" t="s">
        <v>7665</v>
      </c>
    </row>
    <row r="7224" spans="1:1" x14ac:dyDescent="0.25">
      <c r="A7224" s="66" t="s">
        <v>7666</v>
      </c>
    </row>
    <row r="7225" spans="1:1" x14ac:dyDescent="0.25">
      <c r="A7225" s="66" t="s">
        <v>7667</v>
      </c>
    </row>
    <row r="7226" spans="1:1" x14ac:dyDescent="0.25">
      <c r="A7226" s="66" t="s">
        <v>7668</v>
      </c>
    </row>
    <row r="7227" spans="1:1" x14ac:dyDescent="0.25">
      <c r="A7227" s="66" t="s">
        <v>7669</v>
      </c>
    </row>
    <row r="7228" spans="1:1" x14ac:dyDescent="0.25">
      <c r="A7228" s="66" t="s">
        <v>7670</v>
      </c>
    </row>
    <row r="7229" spans="1:1" x14ac:dyDescent="0.25">
      <c r="A7229" s="66" t="s">
        <v>7671</v>
      </c>
    </row>
    <row r="7230" spans="1:1" x14ac:dyDescent="0.25">
      <c r="A7230" s="66" t="s">
        <v>7672</v>
      </c>
    </row>
    <row r="7231" spans="1:1" x14ac:dyDescent="0.25">
      <c r="A7231" s="66" t="s">
        <v>7673</v>
      </c>
    </row>
    <row r="7232" spans="1:1" x14ac:dyDescent="0.25">
      <c r="A7232" s="66" t="s">
        <v>7674</v>
      </c>
    </row>
    <row r="7233" spans="1:1" x14ac:dyDescent="0.25">
      <c r="A7233" s="66" t="s">
        <v>7675</v>
      </c>
    </row>
    <row r="7234" spans="1:1" x14ac:dyDescent="0.25">
      <c r="A7234" s="66" t="s">
        <v>7676</v>
      </c>
    </row>
    <row r="7235" spans="1:1" x14ac:dyDescent="0.25">
      <c r="A7235" s="66" t="s">
        <v>7677</v>
      </c>
    </row>
    <row r="7236" spans="1:1" x14ac:dyDescent="0.25">
      <c r="A7236" s="66" t="s">
        <v>7678</v>
      </c>
    </row>
    <row r="7237" spans="1:1" x14ac:dyDescent="0.25">
      <c r="A7237" s="66" t="s">
        <v>7679</v>
      </c>
    </row>
    <row r="7238" spans="1:1" x14ac:dyDescent="0.25">
      <c r="A7238" s="66" t="s">
        <v>7680</v>
      </c>
    </row>
    <row r="7239" spans="1:1" x14ac:dyDescent="0.25">
      <c r="A7239" s="66" t="s">
        <v>7681</v>
      </c>
    </row>
    <row r="7240" spans="1:1" x14ac:dyDescent="0.25">
      <c r="A7240" s="66" t="s">
        <v>7682</v>
      </c>
    </row>
    <row r="7241" spans="1:1" x14ac:dyDescent="0.25">
      <c r="A7241" s="66" t="s">
        <v>7683</v>
      </c>
    </row>
    <row r="7242" spans="1:1" x14ac:dyDescent="0.25">
      <c r="A7242" s="66" t="s">
        <v>7684</v>
      </c>
    </row>
    <row r="7243" spans="1:1" x14ac:dyDescent="0.25">
      <c r="A7243" s="66" t="s">
        <v>7685</v>
      </c>
    </row>
    <row r="7244" spans="1:1" x14ac:dyDescent="0.25">
      <c r="A7244" s="66" t="s">
        <v>7686</v>
      </c>
    </row>
    <row r="7245" spans="1:1" x14ac:dyDescent="0.25">
      <c r="A7245" s="66" t="s">
        <v>7687</v>
      </c>
    </row>
    <row r="7246" spans="1:1" x14ac:dyDescent="0.25">
      <c r="A7246" s="66" t="s">
        <v>7688</v>
      </c>
    </row>
    <row r="7247" spans="1:1" x14ac:dyDescent="0.25">
      <c r="A7247" s="66" t="s">
        <v>7689</v>
      </c>
    </row>
    <row r="7248" spans="1:1" x14ac:dyDescent="0.25">
      <c r="A7248" s="66" t="s">
        <v>7690</v>
      </c>
    </row>
    <row r="7249" spans="1:1" x14ac:dyDescent="0.25">
      <c r="A7249" s="66" t="s">
        <v>7691</v>
      </c>
    </row>
    <row r="7250" spans="1:1" x14ac:dyDescent="0.25">
      <c r="A7250" s="66" t="s">
        <v>7692</v>
      </c>
    </row>
    <row r="7251" spans="1:1" x14ac:dyDescent="0.25">
      <c r="A7251" s="66" t="s">
        <v>7693</v>
      </c>
    </row>
    <row r="7252" spans="1:1" x14ac:dyDescent="0.25">
      <c r="A7252" s="66" t="s">
        <v>7694</v>
      </c>
    </row>
    <row r="7253" spans="1:1" x14ac:dyDescent="0.25">
      <c r="A7253" s="66" t="s">
        <v>7695</v>
      </c>
    </row>
    <row r="7254" spans="1:1" x14ac:dyDescent="0.25">
      <c r="A7254" s="66" t="s">
        <v>7696</v>
      </c>
    </row>
    <row r="7255" spans="1:1" x14ac:dyDescent="0.25">
      <c r="A7255" s="66" t="s">
        <v>7697</v>
      </c>
    </row>
    <row r="7256" spans="1:1" x14ac:dyDescent="0.25">
      <c r="A7256" s="56" t="s">
        <v>7698</v>
      </c>
    </row>
    <row r="7257" spans="1:1" x14ac:dyDescent="0.25">
      <c r="A7257" s="66" t="s">
        <v>7699</v>
      </c>
    </row>
    <row r="7258" spans="1:1" x14ac:dyDescent="0.25">
      <c r="A7258" s="56" t="s">
        <v>7700</v>
      </c>
    </row>
    <row r="7259" spans="1:1" x14ac:dyDescent="0.25">
      <c r="A7259" s="66" t="s">
        <v>7701</v>
      </c>
    </row>
    <row r="7260" spans="1:1" x14ac:dyDescent="0.25">
      <c r="A7260" s="56" t="s">
        <v>7702</v>
      </c>
    </row>
    <row r="7261" spans="1:1" x14ac:dyDescent="0.25">
      <c r="A7261" s="66" t="s">
        <v>7703</v>
      </c>
    </row>
    <row r="7262" spans="1:1" x14ac:dyDescent="0.25">
      <c r="A7262" s="56" t="s">
        <v>7704</v>
      </c>
    </row>
    <row r="7263" spans="1:1" x14ac:dyDescent="0.25">
      <c r="A7263" s="66" t="s">
        <v>7705</v>
      </c>
    </row>
    <row r="7264" spans="1:1" x14ac:dyDescent="0.25">
      <c r="A7264" s="56" t="s">
        <v>7706</v>
      </c>
    </row>
    <row r="7265" spans="1:1" x14ac:dyDescent="0.25">
      <c r="A7265" s="66" t="s">
        <v>7707</v>
      </c>
    </row>
    <row r="7266" spans="1:1" x14ac:dyDescent="0.25">
      <c r="A7266" s="56" t="s">
        <v>7708</v>
      </c>
    </row>
    <row r="7267" spans="1:1" x14ac:dyDescent="0.25">
      <c r="A7267" s="66" t="s">
        <v>7709</v>
      </c>
    </row>
    <row r="7268" spans="1:1" x14ac:dyDescent="0.25">
      <c r="A7268" s="66" t="s">
        <v>7710</v>
      </c>
    </row>
    <row r="7269" spans="1:1" x14ac:dyDescent="0.25">
      <c r="A7269" s="66" t="s">
        <v>7711</v>
      </c>
    </row>
    <row r="7270" spans="1:1" x14ac:dyDescent="0.25">
      <c r="A7270" s="66" t="s">
        <v>7712</v>
      </c>
    </row>
    <row r="7271" spans="1:1" x14ac:dyDescent="0.25">
      <c r="A7271" s="66" t="s">
        <v>7713</v>
      </c>
    </row>
    <row r="7272" spans="1:1" x14ac:dyDescent="0.25">
      <c r="A7272" s="66" t="s">
        <v>7714</v>
      </c>
    </row>
    <row r="7273" spans="1:1" x14ac:dyDescent="0.25">
      <c r="A7273" s="66" t="s">
        <v>7715</v>
      </c>
    </row>
    <row r="7274" spans="1:1" x14ac:dyDescent="0.25">
      <c r="A7274" s="66" t="s">
        <v>7716</v>
      </c>
    </row>
    <row r="7275" spans="1:1" x14ac:dyDescent="0.25">
      <c r="A7275" s="66" t="s">
        <v>7717</v>
      </c>
    </row>
    <row r="7276" spans="1:1" x14ac:dyDescent="0.25">
      <c r="A7276" s="66" t="s">
        <v>7718</v>
      </c>
    </row>
    <row r="7277" spans="1:1" x14ac:dyDescent="0.25">
      <c r="A7277" s="66" t="s">
        <v>7719</v>
      </c>
    </row>
    <row r="7278" spans="1:1" x14ac:dyDescent="0.25">
      <c r="A7278" s="66" t="s">
        <v>7720</v>
      </c>
    </row>
    <row r="7279" spans="1:1" x14ac:dyDescent="0.25">
      <c r="A7279" s="66" t="s">
        <v>7721</v>
      </c>
    </row>
    <row r="7280" spans="1:1" x14ac:dyDescent="0.25">
      <c r="A7280" s="66" t="s">
        <v>7722</v>
      </c>
    </row>
    <row r="7281" spans="1:1" x14ac:dyDescent="0.25">
      <c r="A7281" s="66" t="s">
        <v>7723</v>
      </c>
    </row>
    <row r="7282" spans="1:1" x14ac:dyDescent="0.25">
      <c r="A7282" s="66" t="s">
        <v>7724</v>
      </c>
    </row>
    <row r="7283" spans="1:1" x14ac:dyDescent="0.25">
      <c r="A7283" s="56" t="s">
        <v>7725</v>
      </c>
    </row>
    <row r="7284" spans="1:1" x14ac:dyDescent="0.25">
      <c r="A7284" s="66" t="s">
        <v>7726</v>
      </c>
    </row>
    <row r="7285" spans="1:1" x14ac:dyDescent="0.25">
      <c r="A7285" s="56" t="s">
        <v>7727</v>
      </c>
    </row>
    <row r="7286" spans="1:1" x14ac:dyDescent="0.25">
      <c r="A7286" s="66" t="s">
        <v>7728</v>
      </c>
    </row>
    <row r="7287" spans="1:1" x14ac:dyDescent="0.25">
      <c r="A7287" s="66" t="s">
        <v>7729</v>
      </c>
    </row>
    <row r="7288" spans="1:1" x14ac:dyDescent="0.25">
      <c r="A7288" s="66" t="s">
        <v>7730</v>
      </c>
    </row>
    <row r="7289" spans="1:1" x14ac:dyDescent="0.25">
      <c r="A7289" s="66" t="s">
        <v>7731</v>
      </c>
    </row>
    <row r="7290" spans="1:1" x14ac:dyDescent="0.25">
      <c r="A7290" s="66" t="s">
        <v>7732</v>
      </c>
    </row>
    <row r="7291" spans="1:1" x14ac:dyDescent="0.25">
      <c r="A7291" s="66" t="s">
        <v>7733</v>
      </c>
    </row>
    <row r="7292" spans="1:1" x14ac:dyDescent="0.25">
      <c r="A7292" s="66" t="s">
        <v>7734</v>
      </c>
    </row>
    <row r="7293" spans="1:1" x14ac:dyDescent="0.25">
      <c r="A7293" s="66" t="s">
        <v>7735</v>
      </c>
    </row>
    <row r="7294" spans="1:1" x14ac:dyDescent="0.25">
      <c r="A7294" s="66" t="s">
        <v>7736</v>
      </c>
    </row>
    <row r="7295" spans="1:1" x14ac:dyDescent="0.25">
      <c r="A7295" s="66" t="s">
        <v>7737</v>
      </c>
    </row>
    <row r="7296" spans="1:1" x14ac:dyDescent="0.25">
      <c r="A7296" s="66" t="s">
        <v>7738</v>
      </c>
    </row>
    <row r="7297" spans="1:1" x14ac:dyDescent="0.25">
      <c r="A7297" s="66" t="s">
        <v>7739</v>
      </c>
    </row>
    <row r="7298" spans="1:1" x14ac:dyDescent="0.25">
      <c r="A7298" s="66" t="s">
        <v>7740</v>
      </c>
    </row>
    <row r="7299" spans="1:1" x14ac:dyDescent="0.25">
      <c r="A7299" s="66" t="s">
        <v>7741</v>
      </c>
    </row>
    <row r="7300" spans="1:1" x14ac:dyDescent="0.25">
      <c r="A7300" s="66" t="s">
        <v>7742</v>
      </c>
    </row>
    <row r="7301" spans="1:1" x14ac:dyDescent="0.25">
      <c r="A7301" s="66" t="s">
        <v>7743</v>
      </c>
    </row>
    <row r="7302" spans="1:1" x14ac:dyDescent="0.25">
      <c r="A7302" s="66" t="s">
        <v>7744</v>
      </c>
    </row>
    <row r="7303" spans="1:1" x14ac:dyDescent="0.25">
      <c r="A7303" s="66" t="s">
        <v>7745</v>
      </c>
    </row>
    <row r="7304" spans="1:1" x14ac:dyDescent="0.25">
      <c r="A7304" s="66" t="s">
        <v>7746</v>
      </c>
    </row>
    <row r="7305" spans="1:1" x14ac:dyDescent="0.25">
      <c r="A7305" s="66" t="s">
        <v>7747</v>
      </c>
    </row>
    <row r="7306" spans="1:1" x14ac:dyDescent="0.25">
      <c r="A7306" s="66" t="s">
        <v>7748</v>
      </c>
    </row>
    <row r="7307" spans="1:1" x14ac:dyDescent="0.25">
      <c r="A7307" s="66" t="s">
        <v>7749</v>
      </c>
    </row>
    <row r="7308" spans="1:1" x14ac:dyDescent="0.25">
      <c r="A7308" s="66" t="s">
        <v>7750</v>
      </c>
    </row>
    <row r="7309" spans="1:1" x14ac:dyDescent="0.25">
      <c r="A7309" s="66" t="s">
        <v>7751</v>
      </c>
    </row>
    <row r="7310" spans="1:1" x14ac:dyDescent="0.25">
      <c r="A7310" s="66" t="s">
        <v>7752</v>
      </c>
    </row>
    <row r="7311" spans="1:1" x14ac:dyDescent="0.25">
      <c r="A7311" s="66" t="s">
        <v>7753</v>
      </c>
    </row>
    <row r="7312" spans="1:1" x14ac:dyDescent="0.25">
      <c r="A7312" s="66" t="s">
        <v>7754</v>
      </c>
    </row>
    <row r="7313" spans="1:1" x14ac:dyDescent="0.25">
      <c r="A7313" s="66" t="s">
        <v>7755</v>
      </c>
    </row>
    <row r="7314" spans="1:1" x14ac:dyDescent="0.25">
      <c r="A7314" s="66" t="s">
        <v>7756</v>
      </c>
    </row>
    <row r="7315" spans="1:1" x14ac:dyDescent="0.25">
      <c r="A7315" s="66" t="s">
        <v>7757</v>
      </c>
    </row>
    <row r="7316" spans="1:1" x14ac:dyDescent="0.25">
      <c r="A7316" s="66" t="s">
        <v>7758</v>
      </c>
    </row>
    <row r="7317" spans="1:1" x14ac:dyDescent="0.25">
      <c r="A7317" s="66" t="s">
        <v>7759</v>
      </c>
    </row>
    <row r="7318" spans="1:1" x14ac:dyDescent="0.25">
      <c r="A7318" s="66" t="s">
        <v>7760</v>
      </c>
    </row>
    <row r="7319" spans="1:1" x14ac:dyDescent="0.25">
      <c r="A7319" s="66" t="s">
        <v>7761</v>
      </c>
    </row>
    <row r="7320" spans="1:1" x14ac:dyDescent="0.25">
      <c r="A7320" s="66" t="s">
        <v>7762</v>
      </c>
    </row>
    <row r="7321" spans="1:1" x14ac:dyDescent="0.25">
      <c r="A7321" s="66" t="s">
        <v>7763</v>
      </c>
    </row>
    <row r="7322" spans="1:1" x14ac:dyDescent="0.25">
      <c r="A7322" s="66" t="s">
        <v>7764</v>
      </c>
    </row>
    <row r="7323" spans="1:1" x14ac:dyDescent="0.25">
      <c r="A7323" s="66" t="s">
        <v>7765</v>
      </c>
    </row>
    <row r="7324" spans="1:1" x14ac:dyDescent="0.25">
      <c r="A7324" s="66" t="s">
        <v>7766</v>
      </c>
    </row>
    <row r="7325" spans="1:1" x14ac:dyDescent="0.25">
      <c r="A7325" s="66" t="s">
        <v>7767</v>
      </c>
    </row>
    <row r="7326" spans="1:1" x14ac:dyDescent="0.25">
      <c r="A7326" s="66" t="s">
        <v>7768</v>
      </c>
    </row>
    <row r="7327" spans="1:1" x14ac:dyDescent="0.25">
      <c r="A7327" s="66" t="s">
        <v>7769</v>
      </c>
    </row>
    <row r="7328" spans="1:1" x14ac:dyDescent="0.25">
      <c r="A7328" s="66" t="s">
        <v>7770</v>
      </c>
    </row>
    <row r="7329" spans="1:1" x14ac:dyDescent="0.25">
      <c r="A7329" s="66" t="s">
        <v>7771</v>
      </c>
    </row>
    <row r="7330" spans="1:1" x14ac:dyDescent="0.25">
      <c r="A7330" s="66" t="s">
        <v>7772</v>
      </c>
    </row>
    <row r="7331" spans="1:1" x14ac:dyDescent="0.25">
      <c r="A7331" s="66" t="s">
        <v>7773</v>
      </c>
    </row>
    <row r="7332" spans="1:1" x14ac:dyDescent="0.25">
      <c r="A7332" s="66" t="s">
        <v>7774</v>
      </c>
    </row>
    <row r="7333" spans="1:1" x14ac:dyDescent="0.25">
      <c r="A7333" s="66" t="s">
        <v>7775</v>
      </c>
    </row>
    <row r="7334" spans="1:1" x14ac:dyDescent="0.25">
      <c r="A7334" s="66" t="s">
        <v>7776</v>
      </c>
    </row>
    <row r="7335" spans="1:1" x14ac:dyDescent="0.25">
      <c r="A7335" s="66" t="s">
        <v>7777</v>
      </c>
    </row>
    <row r="7336" spans="1:1" x14ac:dyDescent="0.25">
      <c r="A7336" s="66" t="s">
        <v>7778</v>
      </c>
    </row>
    <row r="7337" spans="1:1" x14ac:dyDescent="0.25">
      <c r="A7337" s="66" t="s">
        <v>7779</v>
      </c>
    </row>
    <row r="7338" spans="1:1" x14ac:dyDescent="0.25">
      <c r="A7338" s="66" t="s">
        <v>7780</v>
      </c>
    </row>
    <row r="7339" spans="1:1" x14ac:dyDescent="0.25">
      <c r="A7339" s="66" t="s">
        <v>7781</v>
      </c>
    </row>
    <row r="7340" spans="1:1" x14ac:dyDescent="0.25">
      <c r="A7340" s="66" t="s">
        <v>7782</v>
      </c>
    </row>
    <row r="7341" spans="1:1" x14ac:dyDescent="0.25">
      <c r="A7341" s="66" t="s">
        <v>7783</v>
      </c>
    </row>
    <row r="7342" spans="1:1" x14ac:dyDescent="0.25">
      <c r="A7342" s="66" t="s">
        <v>7784</v>
      </c>
    </row>
    <row r="7343" spans="1:1" x14ac:dyDescent="0.25">
      <c r="A7343" s="66" t="s">
        <v>7785</v>
      </c>
    </row>
    <row r="7344" spans="1:1" x14ac:dyDescent="0.25">
      <c r="A7344" s="66" t="s">
        <v>7786</v>
      </c>
    </row>
    <row r="7345" spans="1:1" x14ac:dyDescent="0.25">
      <c r="A7345" s="66" t="s">
        <v>7787</v>
      </c>
    </row>
    <row r="7346" spans="1:1" x14ac:dyDescent="0.25">
      <c r="A7346" s="66" t="s">
        <v>7788</v>
      </c>
    </row>
    <row r="7347" spans="1:1" x14ac:dyDescent="0.25">
      <c r="A7347" s="66" t="s">
        <v>7789</v>
      </c>
    </row>
    <row r="7348" spans="1:1" x14ac:dyDescent="0.25">
      <c r="A7348" s="66" t="s">
        <v>7790</v>
      </c>
    </row>
    <row r="7349" spans="1:1" x14ac:dyDescent="0.25">
      <c r="A7349" s="66" t="s">
        <v>7791</v>
      </c>
    </row>
    <row r="7350" spans="1:1" x14ac:dyDescent="0.25">
      <c r="A7350" s="66" t="s">
        <v>7792</v>
      </c>
    </row>
    <row r="7351" spans="1:1" x14ac:dyDescent="0.25">
      <c r="A7351" s="66" t="s">
        <v>7793</v>
      </c>
    </row>
    <row r="7352" spans="1:1" x14ac:dyDescent="0.25">
      <c r="A7352" s="66" t="s">
        <v>7794</v>
      </c>
    </row>
    <row r="7353" spans="1:1" x14ac:dyDescent="0.25">
      <c r="A7353" s="66" t="s">
        <v>7795</v>
      </c>
    </row>
    <row r="7354" spans="1:1" x14ac:dyDescent="0.25">
      <c r="A7354" s="66" t="s">
        <v>7796</v>
      </c>
    </row>
    <row r="7355" spans="1:1" x14ac:dyDescent="0.25">
      <c r="A7355" s="66" t="s">
        <v>7797</v>
      </c>
    </row>
    <row r="7356" spans="1:1" x14ac:dyDescent="0.25">
      <c r="A7356" s="66" t="s">
        <v>7798</v>
      </c>
    </row>
    <row r="7357" spans="1:1" x14ac:dyDescent="0.25">
      <c r="A7357" s="66" t="s">
        <v>7799</v>
      </c>
    </row>
    <row r="7358" spans="1:1" x14ac:dyDescent="0.25">
      <c r="A7358" s="66" t="s">
        <v>7800</v>
      </c>
    </row>
    <row r="7359" spans="1:1" x14ac:dyDescent="0.25">
      <c r="A7359" s="66" t="s">
        <v>7801</v>
      </c>
    </row>
    <row r="7360" spans="1:1" x14ac:dyDescent="0.25">
      <c r="A7360" s="66" t="s">
        <v>7802</v>
      </c>
    </row>
    <row r="7361" spans="1:1" x14ac:dyDescent="0.25">
      <c r="A7361" s="66" t="s">
        <v>7803</v>
      </c>
    </row>
    <row r="7362" spans="1:1" x14ac:dyDescent="0.25">
      <c r="A7362" s="66" t="s">
        <v>7804</v>
      </c>
    </row>
    <row r="7363" spans="1:1" x14ac:dyDescent="0.25">
      <c r="A7363" s="66" t="s">
        <v>7805</v>
      </c>
    </row>
    <row r="7364" spans="1:1" x14ac:dyDescent="0.25">
      <c r="A7364" s="66" t="s">
        <v>7806</v>
      </c>
    </row>
    <row r="7365" spans="1:1" x14ac:dyDescent="0.25">
      <c r="A7365" s="66" t="s">
        <v>7807</v>
      </c>
    </row>
    <row r="7366" spans="1:1" x14ac:dyDescent="0.25">
      <c r="A7366" s="66" t="s">
        <v>7808</v>
      </c>
    </row>
    <row r="7367" spans="1:1" x14ac:dyDescent="0.25">
      <c r="A7367" s="66" t="s">
        <v>7809</v>
      </c>
    </row>
    <row r="7368" spans="1:1" x14ac:dyDescent="0.25">
      <c r="A7368" s="66" t="s">
        <v>7810</v>
      </c>
    </row>
    <row r="7369" spans="1:1" x14ac:dyDescent="0.25">
      <c r="A7369" s="66" t="s">
        <v>7811</v>
      </c>
    </row>
    <row r="7370" spans="1:1" x14ac:dyDescent="0.25">
      <c r="A7370" s="66" t="s">
        <v>7812</v>
      </c>
    </row>
    <row r="7371" spans="1:1" x14ac:dyDescent="0.25">
      <c r="A7371" s="66" t="s">
        <v>7813</v>
      </c>
    </row>
    <row r="7372" spans="1:1" x14ac:dyDescent="0.25">
      <c r="A7372" s="66" t="s">
        <v>7814</v>
      </c>
    </row>
    <row r="7373" spans="1:1" x14ac:dyDescent="0.25">
      <c r="A7373" s="66" t="s">
        <v>7815</v>
      </c>
    </row>
    <row r="7374" spans="1:1" x14ac:dyDescent="0.25">
      <c r="A7374" s="66" t="s">
        <v>7816</v>
      </c>
    </row>
    <row r="7375" spans="1:1" x14ac:dyDescent="0.25">
      <c r="A7375" s="66" t="s">
        <v>7817</v>
      </c>
    </row>
    <row r="7376" spans="1:1" x14ac:dyDescent="0.25">
      <c r="A7376" s="66" t="s">
        <v>7818</v>
      </c>
    </row>
    <row r="7377" spans="1:1" x14ac:dyDescent="0.25">
      <c r="A7377" s="56" t="s">
        <v>7819</v>
      </c>
    </row>
    <row r="7378" spans="1:1" x14ac:dyDescent="0.25">
      <c r="A7378" s="66" t="s">
        <v>7820</v>
      </c>
    </row>
    <row r="7379" spans="1:1" x14ac:dyDescent="0.25">
      <c r="A7379" s="56" t="s">
        <v>7821</v>
      </c>
    </row>
    <row r="7380" spans="1:1" x14ac:dyDescent="0.25">
      <c r="A7380" s="66" t="s">
        <v>7822</v>
      </c>
    </row>
    <row r="7381" spans="1:1" x14ac:dyDescent="0.25">
      <c r="A7381" s="56" t="s">
        <v>7823</v>
      </c>
    </row>
    <row r="7382" spans="1:1" x14ac:dyDescent="0.25">
      <c r="A7382" s="66" t="s">
        <v>7824</v>
      </c>
    </row>
    <row r="7383" spans="1:1" x14ac:dyDescent="0.25">
      <c r="A7383" s="56" t="s">
        <v>7825</v>
      </c>
    </row>
    <row r="7384" spans="1:1" x14ac:dyDescent="0.25">
      <c r="A7384" s="66" t="s">
        <v>7826</v>
      </c>
    </row>
    <row r="7385" spans="1:1" x14ac:dyDescent="0.25">
      <c r="A7385" s="66" t="s">
        <v>7827</v>
      </c>
    </row>
    <row r="7386" spans="1:1" x14ac:dyDescent="0.25">
      <c r="A7386" s="66" t="s">
        <v>7828</v>
      </c>
    </row>
    <row r="7387" spans="1:1" x14ac:dyDescent="0.25">
      <c r="A7387" s="66" t="s">
        <v>7829</v>
      </c>
    </row>
    <row r="7388" spans="1:1" x14ac:dyDescent="0.25">
      <c r="A7388" s="66" t="s">
        <v>7830</v>
      </c>
    </row>
    <row r="7389" spans="1:1" x14ac:dyDescent="0.25">
      <c r="A7389" s="66" t="s">
        <v>7831</v>
      </c>
    </row>
    <row r="7390" spans="1:1" x14ac:dyDescent="0.25">
      <c r="A7390" s="66" t="s">
        <v>7832</v>
      </c>
    </row>
    <row r="7391" spans="1:1" x14ac:dyDescent="0.25">
      <c r="A7391" s="66" t="s">
        <v>7833</v>
      </c>
    </row>
    <row r="7392" spans="1:1" x14ac:dyDescent="0.25">
      <c r="A7392" s="66" t="s">
        <v>7834</v>
      </c>
    </row>
    <row r="7393" spans="1:1" x14ac:dyDescent="0.25">
      <c r="A7393" s="66" t="s">
        <v>7835</v>
      </c>
    </row>
    <row r="7394" spans="1:1" x14ac:dyDescent="0.25">
      <c r="A7394" s="66" t="s">
        <v>7836</v>
      </c>
    </row>
    <row r="7395" spans="1:1" x14ac:dyDescent="0.25">
      <c r="A7395" s="66" t="s">
        <v>7837</v>
      </c>
    </row>
    <row r="7396" spans="1:1" x14ac:dyDescent="0.25">
      <c r="A7396" s="66" t="s">
        <v>7838</v>
      </c>
    </row>
    <row r="7397" spans="1:1" x14ac:dyDescent="0.25">
      <c r="A7397" s="66" t="s">
        <v>7839</v>
      </c>
    </row>
    <row r="7398" spans="1:1" x14ac:dyDescent="0.25">
      <c r="A7398" s="66" t="s">
        <v>7840</v>
      </c>
    </row>
    <row r="7399" spans="1:1" x14ac:dyDescent="0.25">
      <c r="A7399" s="66" t="s">
        <v>7841</v>
      </c>
    </row>
    <row r="7400" spans="1:1" x14ac:dyDescent="0.25">
      <c r="A7400" s="66" t="s">
        <v>7842</v>
      </c>
    </row>
    <row r="7401" spans="1:1" x14ac:dyDescent="0.25">
      <c r="A7401" s="66" t="s">
        <v>7843</v>
      </c>
    </row>
    <row r="7402" spans="1:1" x14ac:dyDescent="0.25">
      <c r="A7402" s="66" t="s">
        <v>7844</v>
      </c>
    </row>
    <row r="7403" spans="1:1" x14ac:dyDescent="0.25">
      <c r="A7403" s="66" t="s">
        <v>7845</v>
      </c>
    </row>
    <row r="7404" spans="1:1" x14ac:dyDescent="0.25">
      <c r="A7404" s="66" t="s">
        <v>7846</v>
      </c>
    </row>
    <row r="7405" spans="1:1" x14ac:dyDescent="0.25">
      <c r="A7405" s="56" t="s">
        <v>7847</v>
      </c>
    </row>
    <row r="7406" spans="1:1" x14ac:dyDescent="0.25">
      <c r="A7406" s="66" t="s">
        <v>7848</v>
      </c>
    </row>
    <row r="7407" spans="1:1" x14ac:dyDescent="0.25">
      <c r="A7407" s="66" t="s">
        <v>7849</v>
      </c>
    </row>
    <row r="7408" spans="1:1" x14ac:dyDescent="0.25">
      <c r="A7408" s="66" t="s">
        <v>7850</v>
      </c>
    </row>
    <row r="7409" spans="1:1" x14ac:dyDescent="0.25">
      <c r="A7409" s="66" t="s">
        <v>7851</v>
      </c>
    </row>
    <row r="7410" spans="1:1" x14ac:dyDescent="0.25">
      <c r="A7410" s="66" t="s">
        <v>7852</v>
      </c>
    </row>
    <row r="7411" spans="1:1" x14ac:dyDescent="0.25">
      <c r="A7411" s="66" t="s">
        <v>7853</v>
      </c>
    </row>
    <row r="7412" spans="1:1" x14ac:dyDescent="0.25">
      <c r="A7412" s="66" t="s">
        <v>7854</v>
      </c>
    </row>
    <row r="7413" spans="1:1" x14ac:dyDescent="0.25">
      <c r="A7413" s="66" t="s">
        <v>7855</v>
      </c>
    </row>
    <row r="7414" spans="1:1" x14ac:dyDescent="0.25">
      <c r="A7414" s="66" t="s">
        <v>7856</v>
      </c>
    </row>
    <row r="7415" spans="1:1" x14ac:dyDescent="0.25">
      <c r="A7415" s="66" t="s">
        <v>7857</v>
      </c>
    </row>
    <row r="7416" spans="1:1" x14ac:dyDescent="0.25">
      <c r="A7416" s="66" t="s">
        <v>7858</v>
      </c>
    </row>
    <row r="7417" spans="1:1" x14ac:dyDescent="0.25">
      <c r="A7417" s="66" t="s">
        <v>7859</v>
      </c>
    </row>
    <row r="7418" spans="1:1" x14ac:dyDescent="0.25">
      <c r="A7418" s="66" t="s">
        <v>7860</v>
      </c>
    </row>
    <row r="7419" spans="1:1" x14ac:dyDescent="0.25">
      <c r="A7419" s="66" t="s">
        <v>7861</v>
      </c>
    </row>
    <row r="7420" spans="1:1" x14ac:dyDescent="0.25">
      <c r="A7420" s="66" t="s">
        <v>7862</v>
      </c>
    </row>
    <row r="7421" spans="1:1" x14ac:dyDescent="0.25">
      <c r="A7421" s="66" t="s">
        <v>7863</v>
      </c>
    </row>
    <row r="7422" spans="1:1" x14ac:dyDescent="0.25">
      <c r="A7422" s="56" t="s">
        <v>7864</v>
      </c>
    </row>
    <row r="7423" spans="1:1" x14ac:dyDescent="0.25">
      <c r="A7423" s="66" t="s">
        <v>7865</v>
      </c>
    </row>
    <row r="7424" spans="1:1" x14ac:dyDescent="0.25">
      <c r="A7424" s="56" t="s">
        <v>7866</v>
      </c>
    </row>
    <row r="7425" spans="1:1" x14ac:dyDescent="0.25">
      <c r="A7425" s="66" t="s">
        <v>7867</v>
      </c>
    </row>
    <row r="7426" spans="1:1" x14ac:dyDescent="0.25">
      <c r="A7426" s="56" t="s">
        <v>7868</v>
      </c>
    </row>
    <row r="7427" spans="1:1" x14ac:dyDescent="0.25">
      <c r="A7427" s="66" t="s">
        <v>7869</v>
      </c>
    </row>
    <row r="7428" spans="1:1" x14ac:dyDescent="0.25">
      <c r="A7428" s="56" t="s">
        <v>7870</v>
      </c>
    </row>
    <row r="7429" spans="1:1" x14ac:dyDescent="0.25">
      <c r="A7429" s="66" t="s">
        <v>7871</v>
      </c>
    </row>
    <row r="7430" spans="1:1" x14ac:dyDescent="0.25">
      <c r="A7430" s="56" t="s">
        <v>7872</v>
      </c>
    </row>
    <row r="7431" spans="1:1" x14ac:dyDescent="0.25">
      <c r="A7431" s="66" t="s">
        <v>7873</v>
      </c>
    </row>
    <row r="7432" spans="1:1" x14ac:dyDescent="0.25">
      <c r="A7432" s="66" t="s">
        <v>7874</v>
      </c>
    </row>
    <row r="7433" spans="1:1" x14ac:dyDescent="0.25">
      <c r="A7433" s="66" t="s">
        <v>7875</v>
      </c>
    </row>
    <row r="7434" spans="1:1" x14ac:dyDescent="0.25">
      <c r="A7434" s="66" t="s">
        <v>7876</v>
      </c>
    </row>
    <row r="7435" spans="1:1" x14ac:dyDescent="0.25">
      <c r="A7435" s="66" t="s">
        <v>7877</v>
      </c>
    </row>
    <row r="7436" spans="1:1" x14ac:dyDescent="0.25">
      <c r="A7436" s="66" t="s">
        <v>7878</v>
      </c>
    </row>
    <row r="7437" spans="1:1" x14ac:dyDescent="0.25">
      <c r="A7437" s="66" t="s">
        <v>7879</v>
      </c>
    </row>
    <row r="7438" spans="1:1" x14ac:dyDescent="0.25">
      <c r="A7438" s="66" t="s">
        <v>7880</v>
      </c>
    </row>
    <row r="7439" spans="1:1" x14ac:dyDescent="0.25">
      <c r="A7439" s="66" t="s">
        <v>7881</v>
      </c>
    </row>
    <row r="7440" spans="1:1" x14ac:dyDescent="0.25">
      <c r="A7440" s="66" t="s">
        <v>7882</v>
      </c>
    </row>
    <row r="7441" spans="1:1" x14ac:dyDescent="0.25">
      <c r="A7441" s="66" t="s">
        <v>7883</v>
      </c>
    </row>
    <row r="7442" spans="1:1" x14ac:dyDescent="0.25">
      <c r="A7442" s="66" t="s">
        <v>7884</v>
      </c>
    </row>
    <row r="7443" spans="1:1" x14ac:dyDescent="0.25">
      <c r="A7443" s="66" t="s">
        <v>7885</v>
      </c>
    </row>
    <row r="7444" spans="1:1" x14ac:dyDescent="0.25">
      <c r="A7444" s="66" t="s">
        <v>7886</v>
      </c>
    </row>
    <row r="7445" spans="1:1" x14ac:dyDescent="0.25">
      <c r="A7445" s="66" t="s">
        <v>7887</v>
      </c>
    </row>
    <row r="7446" spans="1:1" x14ac:dyDescent="0.25">
      <c r="A7446" s="66" t="s">
        <v>7888</v>
      </c>
    </row>
    <row r="7447" spans="1:1" x14ac:dyDescent="0.25">
      <c r="A7447" s="66" t="s">
        <v>7889</v>
      </c>
    </row>
    <row r="7448" spans="1:1" x14ac:dyDescent="0.25">
      <c r="A7448" s="66" t="s">
        <v>7890</v>
      </c>
    </row>
    <row r="7449" spans="1:1" x14ac:dyDescent="0.25">
      <c r="A7449" s="66" t="s">
        <v>7891</v>
      </c>
    </row>
    <row r="7450" spans="1:1" x14ac:dyDescent="0.25">
      <c r="A7450" s="66" t="s">
        <v>7892</v>
      </c>
    </row>
    <row r="7451" spans="1:1" x14ac:dyDescent="0.25">
      <c r="A7451" s="66" t="s">
        <v>7893</v>
      </c>
    </row>
    <row r="7452" spans="1:1" x14ac:dyDescent="0.25">
      <c r="A7452" s="66" t="s">
        <v>7894</v>
      </c>
    </row>
    <row r="7453" spans="1:1" x14ac:dyDescent="0.25">
      <c r="A7453" s="66" t="s">
        <v>7895</v>
      </c>
    </row>
    <row r="7454" spans="1:1" x14ac:dyDescent="0.25">
      <c r="A7454" s="66" t="s">
        <v>7896</v>
      </c>
    </row>
    <row r="7455" spans="1:1" x14ac:dyDescent="0.25">
      <c r="A7455" s="66" t="s">
        <v>7897</v>
      </c>
    </row>
    <row r="7456" spans="1:1" x14ac:dyDescent="0.25">
      <c r="A7456" s="66" t="s">
        <v>7898</v>
      </c>
    </row>
    <row r="7457" spans="1:1" x14ac:dyDescent="0.25">
      <c r="A7457" s="66" t="s">
        <v>7899</v>
      </c>
    </row>
    <row r="7458" spans="1:1" x14ac:dyDescent="0.25">
      <c r="A7458" s="66" t="s">
        <v>7900</v>
      </c>
    </row>
    <row r="7459" spans="1:1" x14ac:dyDescent="0.25">
      <c r="A7459" s="66" t="s">
        <v>7901</v>
      </c>
    </row>
    <row r="7460" spans="1:1" x14ac:dyDescent="0.25">
      <c r="A7460" s="66" t="s">
        <v>7902</v>
      </c>
    </row>
    <row r="7461" spans="1:1" x14ac:dyDescent="0.25">
      <c r="A7461" s="66" t="s">
        <v>7903</v>
      </c>
    </row>
    <row r="7462" spans="1:1" x14ac:dyDescent="0.25">
      <c r="A7462" s="56" t="s">
        <v>7904</v>
      </c>
    </row>
    <row r="7463" spans="1:1" x14ac:dyDescent="0.25">
      <c r="A7463" s="66" t="s">
        <v>7905</v>
      </c>
    </row>
    <row r="7464" spans="1:1" x14ac:dyDescent="0.25">
      <c r="A7464" s="56" t="s">
        <v>7906</v>
      </c>
    </row>
    <row r="7465" spans="1:1" x14ac:dyDescent="0.25">
      <c r="A7465" s="66" t="s">
        <v>7907</v>
      </c>
    </row>
    <row r="7466" spans="1:1" x14ac:dyDescent="0.25">
      <c r="A7466" s="66" t="s">
        <v>7908</v>
      </c>
    </row>
    <row r="7467" spans="1:1" x14ac:dyDescent="0.25">
      <c r="A7467" s="66" t="s">
        <v>7909</v>
      </c>
    </row>
    <row r="7468" spans="1:1" x14ac:dyDescent="0.25">
      <c r="A7468" s="66" t="s">
        <v>7910</v>
      </c>
    </row>
    <row r="7469" spans="1:1" x14ac:dyDescent="0.25">
      <c r="A7469" s="66" t="s">
        <v>7911</v>
      </c>
    </row>
    <row r="7470" spans="1:1" x14ac:dyDescent="0.25">
      <c r="A7470" s="66" t="s">
        <v>7912</v>
      </c>
    </row>
    <row r="7471" spans="1:1" x14ac:dyDescent="0.25">
      <c r="A7471" s="66" t="s">
        <v>7913</v>
      </c>
    </row>
    <row r="7472" spans="1:1" x14ac:dyDescent="0.25">
      <c r="A7472" s="66" t="s">
        <v>7914</v>
      </c>
    </row>
    <row r="7473" spans="1:1" x14ac:dyDescent="0.25">
      <c r="A7473" s="66" t="s">
        <v>7915</v>
      </c>
    </row>
    <row r="7474" spans="1:1" x14ac:dyDescent="0.25">
      <c r="A7474" s="66" t="s">
        <v>7916</v>
      </c>
    </row>
    <row r="7475" spans="1:1" x14ac:dyDescent="0.25">
      <c r="A7475" s="66" t="s">
        <v>7917</v>
      </c>
    </row>
    <row r="7476" spans="1:1" x14ac:dyDescent="0.25">
      <c r="A7476" s="66" t="s">
        <v>7918</v>
      </c>
    </row>
    <row r="7477" spans="1:1" x14ac:dyDescent="0.25">
      <c r="A7477" s="66" t="s">
        <v>7919</v>
      </c>
    </row>
    <row r="7478" spans="1:1" x14ac:dyDescent="0.25">
      <c r="A7478" s="66" t="s">
        <v>7920</v>
      </c>
    </row>
    <row r="7479" spans="1:1" x14ac:dyDescent="0.25">
      <c r="A7479" s="66" t="s">
        <v>7921</v>
      </c>
    </row>
    <row r="7480" spans="1:1" x14ac:dyDescent="0.25">
      <c r="A7480" s="66" t="s">
        <v>7922</v>
      </c>
    </row>
    <row r="7481" spans="1:1" x14ac:dyDescent="0.25">
      <c r="A7481" s="56" t="s">
        <v>7923</v>
      </c>
    </row>
    <row r="7482" spans="1:1" x14ac:dyDescent="0.25">
      <c r="A7482" s="66" t="s">
        <v>7924</v>
      </c>
    </row>
    <row r="7483" spans="1:1" x14ac:dyDescent="0.25">
      <c r="A7483" s="56" t="s">
        <v>7925</v>
      </c>
    </row>
    <row r="7484" spans="1:1" x14ac:dyDescent="0.25">
      <c r="A7484" s="66" t="s">
        <v>7926</v>
      </c>
    </row>
    <row r="7485" spans="1:1" x14ac:dyDescent="0.25">
      <c r="A7485" s="56" t="s">
        <v>7927</v>
      </c>
    </row>
    <row r="7486" spans="1:1" x14ac:dyDescent="0.25">
      <c r="A7486" s="66" t="s">
        <v>7928</v>
      </c>
    </row>
    <row r="7487" spans="1:1" x14ac:dyDescent="0.25">
      <c r="A7487" s="56" t="s">
        <v>7929</v>
      </c>
    </row>
    <row r="7488" spans="1:1" x14ac:dyDescent="0.25">
      <c r="A7488" s="66" t="s">
        <v>7930</v>
      </c>
    </row>
    <row r="7489" spans="1:1" x14ac:dyDescent="0.25">
      <c r="A7489" s="66" t="s">
        <v>7931</v>
      </c>
    </row>
    <row r="7490" spans="1:1" x14ac:dyDescent="0.25">
      <c r="A7490" s="66" t="s">
        <v>7932</v>
      </c>
    </row>
    <row r="7491" spans="1:1" x14ac:dyDescent="0.25">
      <c r="A7491" s="66" t="s">
        <v>7933</v>
      </c>
    </row>
    <row r="7492" spans="1:1" x14ac:dyDescent="0.25">
      <c r="A7492" s="66" t="s">
        <v>7934</v>
      </c>
    </row>
    <row r="7493" spans="1:1" x14ac:dyDescent="0.25">
      <c r="A7493" s="66" t="s">
        <v>7935</v>
      </c>
    </row>
    <row r="7494" spans="1:1" x14ac:dyDescent="0.25">
      <c r="A7494" s="66" t="s">
        <v>7936</v>
      </c>
    </row>
    <row r="7495" spans="1:1" x14ac:dyDescent="0.25">
      <c r="A7495" s="66" t="s">
        <v>7937</v>
      </c>
    </row>
    <row r="7496" spans="1:1" x14ac:dyDescent="0.25">
      <c r="A7496" s="66" t="s">
        <v>7938</v>
      </c>
    </row>
    <row r="7497" spans="1:1" x14ac:dyDescent="0.25">
      <c r="A7497" s="66" t="s">
        <v>7939</v>
      </c>
    </row>
    <row r="7498" spans="1:1" x14ac:dyDescent="0.25">
      <c r="A7498" s="66" t="s">
        <v>7940</v>
      </c>
    </row>
    <row r="7499" spans="1:1" x14ac:dyDescent="0.25">
      <c r="A7499" s="66" t="s">
        <v>7941</v>
      </c>
    </row>
    <row r="7500" spans="1:1" x14ac:dyDescent="0.25">
      <c r="A7500" s="66" t="s">
        <v>7942</v>
      </c>
    </row>
    <row r="7501" spans="1:1" x14ac:dyDescent="0.25">
      <c r="A7501" s="66" t="s">
        <v>7943</v>
      </c>
    </row>
    <row r="7502" spans="1:1" x14ac:dyDescent="0.25">
      <c r="A7502" s="66" t="s">
        <v>7944</v>
      </c>
    </row>
    <row r="7503" spans="1:1" x14ac:dyDescent="0.25">
      <c r="A7503" s="66" t="s">
        <v>7945</v>
      </c>
    </row>
    <row r="7504" spans="1:1" x14ac:dyDescent="0.25">
      <c r="A7504" s="66" t="s">
        <v>7946</v>
      </c>
    </row>
    <row r="7505" spans="1:1" x14ac:dyDescent="0.25">
      <c r="A7505" s="66" t="s">
        <v>7947</v>
      </c>
    </row>
    <row r="7506" spans="1:1" x14ac:dyDescent="0.25">
      <c r="A7506" s="66" t="s">
        <v>7948</v>
      </c>
    </row>
    <row r="7507" spans="1:1" x14ac:dyDescent="0.25">
      <c r="A7507" s="66" t="s">
        <v>7949</v>
      </c>
    </row>
    <row r="7508" spans="1:1" x14ac:dyDescent="0.25">
      <c r="A7508" s="66" t="s">
        <v>7950</v>
      </c>
    </row>
    <row r="7509" spans="1:1" x14ac:dyDescent="0.25">
      <c r="A7509" s="66" t="s">
        <v>7951</v>
      </c>
    </row>
    <row r="7510" spans="1:1" x14ac:dyDescent="0.25">
      <c r="A7510" s="66" t="s">
        <v>7952</v>
      </c>
    </row>
    <row r="7511" spans="1:1" x14ac:dyDescent="0.25">
      <c r="A7511" s="66" t="s">
        <v>7953</v>
      </c>
    </row>
    <row r="7512" spans="1:1" x14ac:dyDescent="0.25">
      <c r="A7512" s="66" t="s">
        <v>7954</v>
      </c>
    </row>
    <row r="7513" spans="1:1" x14ac:dyDescent="0.25">
      <c r="A7513" s="66" t="s">
        <v>7955</v>
      </c>
    </row>
    <row r="7514" spans="1:1" x14ac:dyDescent="0.25">
      <c r="A7514" s="66" t="s">
        <v>7956</v>
      </c>
    </row>
    <row r="7515" spans="1:1" x14ac:dyDescent="0.25">
      <c r="A7515" s="66" t="s">
        <v>7957</v>
      </c>
    </row>
    <row r="7516" spans="1:1" x14ac:dyDescent="0.25">
      <c r="A7516" s="66" t="s">
        <v>7958</v>
      </c>
    </row>
    <row r="7517" spans="1:1" x14ac:dyDescent="0.25">
      <c r="A7517" s="66" t="s">
        <v>7959</v>
      </c>
    </row>
    <row r="7518" spans="1:1" x14ac:dyDescent="0.25">
      <c r="A7518" s="56" t="s">
        <v>7960</v>
      </c>
    </row>
    <row r="7519" spans="1:1" x14ac:dyDescent="0.25">
      <c r="A7519" s="66" t="s">
        <v>7961</v>
      </c>
    </row>
    <row r="7520" spans="1:1" x14ac:dyDescent="0.25">
      <c r="A7520" s="56" t="s">
        <v>7962</v>
      </c>
    </row>
    <row r="7521" spans="1:1" x14ac:dyDescent="0.25">
      <c r="A7521" s="66" t="s">
        <v>7963</v>
      </c>
    </row>
    <row r="7522" spans="1:1" x14ac:dyDescent="0.25">
      <c r="A7522" s="56" t="s">
        <v>7964</v>
      </c>
    </row>
    <row r="7523" spans="1:1" x14ac:dyDescent="0.25">
      <c r="A7523" s="66" t="s">
        <v>7965</v>
      </c>
    </row>
    <row r="7524" spans="1:1" x14ac:dyDescent="0.25">
      <c r="A7524" s="56" t="s">
        <v>7966</v>
      </c>
    </row>
    <row r="7525" spans="1:1" x14ac:dyDescent="0.25">
      <c r="A7525" s="66" t="s">
        <v>7967</v>
      </c>
    </row>
    <row r="7526" spans="1:1" x14ac:dyDescent="0.25">
      <c r="A7526" s="56" t="s">
        <v>7968</v>
      </c>
    </row>
    <row r="7527" spans="1:1" x14ac:dyDescent="0.25">
      <c r="A7527" s="66" t="s">
        <v>7969</v>
      </c>
    </row>
    <row r="7528" spans="1:1" x14ac:dyDescent="0.25">
      <c r="A7528" s="66" t="s">
        <v>7970</v>
      </c>
    </row>
    <row r="7529" spans="1:1" x14ac:dyDescent="0.25">
      <c r="A7529" s="66" t="s">
        <v>7971</v>
      </c>
    </row>
    <row r="7530" spans="1:1" x14ac:dyDescent="0.25">
      <c r="A7530" s="66" t="s">
        <v>7972</v>
      </c>
    </row>
    <row r="7531" spans="1:1" x14ac:dyDescent="0.25">
      <c r="A7531" s="66" t="s">
        <v>7973</v>
      </c>
    </row>
    <row r="7532" spans="1:1" x14ac:dyDescent="0.25">
      <c r="A7532" s="66" t="s">
        <v>7974</v>
      </c>
    </row>
    <row r="7533" spans="1:1" x14ac:dyDescent="0.25">
      <c r="A7533" s="66" t="s">
        <v>7975</v>
      </c>
    </row>
    <row r="7534" spans="1:1" x14ac:dyDescent="0.25">
      <c r="A7534" s="66" t="s">
        <v>7976</v>
      </c>
    </row>
    <row r="7535" spans="1:1" x14ac:dyDescent="0.25">
      <c r="A7535" s="66" t="s">
        <v>7977</v>
      </c>
    </row>
    <row r="7536" spans="1:1" x14ac:dyDescent="0.25">
      <c r="A7536" s="66" t="s">
        <v>7978</v>
      </c>
    </row>
    <row r="7537" spans="1:1" x14ac:dyDescent="0.25">
      <c r="A7537" s="66" t="s">
        <v>7979</v>
      </c>
    </row>
    <row r="7538" spans="1:1" x14ac:dyDescent="0.25">
      <c r="A7538" s="66" t="s">
        <v>7980</v>
      </c>
    </row>
    <row r="7539" spans="1:1" x14ac:dyDescent="0.25">
      <c r="A7539" s="66" t="s">
        <v>7981</v>
      </c>
    </row>
    <row r="7540" spans="1:1" x14ac:dyDescent="0.25">
      <c r="A7540" s="66" t="s">
        <v>7982</v>
      </c>
    </row>
    <row r="7541" spans="1:1" x14ac:dyDescent="0.25">
      <c r="A7541" s="66" t="s">
        <v>7983</v>
      </c>
    </row>
    <row r="7542" spans="1:1" x14ac:dyDescent="0.25">
      <c r="A7542" s="66" t="s">
        <v>7984</v>
      </c>
    </row>
    <row r="7543" spans="1:1" x14ac:dyDescent="0.25">
      <c r="A7543" s="56" t="s">
        <v>7985</v>
      </c>
    </row>
    <row r="7544" spans="1:1" x14ac:dyDescent="0.25">
      <c r="A7544" s="66" t="s">
        <v>7986</v>
      </c>
    </row>
    <row r="7545" spans="1:1" x14ac:dyDescent="0.25">
      <c r="A7545" s="56" t="s">
        <v>7987</v>
      </c>
    </row>
    <row r="7546" spans="1:1" x14ac:dyDescent="0.25">
      <c r="A7546" s="66" t="s">
        <v>7988</v>
      </c>
    </row>
    <row r="7547" spans="1:1" x14ac:dyDescent="0.25">
      <c r="A7547" s="56" t="s">
        <v>7989</v>
      </c>
    </row>
    <row r="7548" spans="1:1" x14ac:dyDescent="0.25">
      <c r="A7548" s="66" t="s">
        <v>7990</v>
      </c>
    </row>
    <row r="7549" spans="1:1" x14ac:dyDescent="0.25">
      <c r="A7549" s="66" t="s">
        <v>7991</v>
      </c>
    </row>
    <row r="7550" spans="1:1" x14ac:dyDescent="0.25">
      <c r="A7550" s="66" t="s">
        <v>7992</v>
      </c>
    </row>
    <row r="7551" spans="1:1" x14ac:dyDescent="0.25">
      <c r="A7551" s="66" t="s">
        <v>7993</v>
      </c>
    </row>
    <row r="7552" spans="1:1" x14ac:dyDescent="0.25">
      <c r="A7552" s="66" t="s">
        <v>7994</v>
      </c>
    </row>
    <row r="7553" spans="1:1" x14ac:dyDescent="0.25">
      <c r="A7553" s="66" t="s">
        <v>7995</v>
      </c>
    </row>
    <row r="7554" spans="1:1" x14ac:dyDescent="0.25">
      <c r="A7554" s="66" t="s">
        <v>7996</v>
      </c>
    </row>
    <row r="7555" spans="1:1" x14ac:dyDescent="0.25">
      <c r="A7555" s="66" t="s">
        <v>7997</v>
      </c>
    </row>
    <row r="7556" spans="1:1" x14ac:dyDescent="0.25">
      <c r="A7556" s="66" t="s">
        <v>7998</v>
      </c>
    </row>
    <row r="7557" spans="1:1" x14ac:dyDescent="0.25">
      <c r="A7557" s="66" t="s">
        <v>7999</v>
      </c>
    </row>
    <row r="7558" spans="1:1" x14ac:dyDescent="0.25">
      <c r="A7558" s="66" t="s">
        <v>8000</v>
      </c>
    </row>
    <row r="7559" spans="1:1" x14ac:dyDescent="0.25">
      <c r="A7559" s="66" t="s">
        <v>8001</v>
      </c>
    </row>
    <row r="7560" spans="1:1" x14ac:dyDescent="0.25">
      <c r="A7560" s="66" t="s">
        <v>8002</v>
      </c>
    </row>
    <row r="7561" spans="1:1" x14ac:dyDescent="0.25">
      <c r="A7561" s="66" t="s">
        <v>8003</v>
      </c>
    </row>
    <row r="7562" spans="1:1" x14ac:dyDescent="0.25">
      <c r="A7562" s="66" t="s">
        <v>8004</v>
      </c>
    </row>
    <row r="7563" spans="1:1" x14ac:dyDescent="0.25">
      <c r="A7563" s="66" t="s">
        <v>8005</v>
      </c>
    </row>
    <row r="7564" spans="1:1" x14ac:dyDescent="0.25">
      <c r="A7564" s="66" t="s">
        <v>8006</v>
      </c>
    </row>
    <row r="7565" spans="1:1" x14ac:dyDescent="0.25">
      <c r="A7565" s="66" t="s">
        <v>8007</v>
      </c>
    </row>
    <row r="7566" spans="1:1" x14ac:dyDescent="0.25">
      <c r="A7566" s="66" t="s">
        <v>8008</v>
      </c>
    </row>
    <row r="7567" spans="1:1" x14ac:dyDescent="0.25">
      <c r="A7567" s="66" t="s">
        <v>8009</v>
      </c>
    </row>
    <row r="7568" spans="1:1" x14ac:dyDescent="0.25">
      <c r="A7568" s="66" t="s">
        <v>8010</v>
      </c>
    </row>
    <row r="7569" spans="1:1" x14ac:dyDescent="0.25">
      <c r="A7569" s="66" t="s">
        <v>8011</v>
      </c>
    </row>
    <row r="7570" spans="1:1" x14ac:dyDescent="0.25">
      <c r="A7570" s="66" t="s">
        <v>8012</v>
      </c>
    </row>
    <row r="7571" spans="1:1" x14ac:dyDescent="0.25">
      <c r="A7571" s="66" t="s">
        <v>8013</v>
      </c>
    </row>
    <row r="7572" spans="1:1" x14ac:dyDescent="0.25">
      <c r="A7572" s="66" t="s">
        <v>8014</v>
      </c>
    </row>
    <row r="7573" spans="1:1" x14ac:dyDescent="0.25">
      <c r="A7573" s="66" t="s">
        <v>8015</v>
      </c>
    </row>
    <row r="7574" spans="1:1" x14ac:dyDescent="0.25">
      <c r="A7574" s="66" t="s">
        <v>8016</v>
      </c>
    </row>
    <row r="7575" spans="1:1" x14ac:dyDescent="0.25">
      <c r="A7575" s="66" t="s">
        <v>8017</v>
      </c>
    </row>
    <row r="7576" spans="1:1" x14ac:dyDescent="0.25">
      <c r="A7576" s="66" t="s">
        <v>8018</v>
      </c>
    </row>
    <row r="7577" spans="1:1" x14ac:dyDescent="0.25">
      <c r="A7577" s="66" t="s">
        <v>8019</v>
      </c>
    </row>
    <row r="7578" spans="1:1" x14ac:dyDescent="0.25">
      <c r="A7578" s="66" t="s">
        <v>8020</v>
      </c>
    </row>
    <row r="7579" spans="1:1" x14ac:dyDescent="0.25">
      <c r="A7579" s="56" t="s">
        <v>8021</v>
      </c>
    </row>
    <row r="7580" spans="1:1" x14ac:dyDescent="0.25">
      <c r="A7580" s="66" t="s">
        <v>8022</v>
      </c>
    </row>
    <row r="7581" spans="1:1" x14ac:dyDescent="0.25">
      <c r="A7581" s="56" t="s">
        <v>8023</v>
      </c>
    </row>
    <row r="7582" spans="1:1" x14ac:dyDescent="0.25">
      <c r="A7582" s="66" t="s">
        <v>8024</v>
      </c>
    </row>
    <row r="7583" spans="1:1" x14ac:dyDescent="0.25">
      <c r="A7583" s="66" t="s">
        <v>8025</v>
      </c>
    </row>
    <row r="7584" spans="1:1" x14ac:dyDescent="0.25">
      <c r="A7584" s="66" t="s">
        <v>8026</v>
      </c>
    </row>
    <row r="7585" spans="1:1" x14ac:dyDescent="0.25">
      <c r="A7585" s="66" t="s">
        <v>8027</v>
      </c>
    </row>
    <row r="7586" spans="1:1" x14ac:dyDescent="0.25">
      <c r="A7586" s="66" t="s">
        <v>8028</v>
      </c>
    </row>
    <row r="7587" spans="1:1" x14ac:dyDescent="0.25">
      <c r="A7587" s="66" t="s">
        <v>8029</v>
      </c>
    </row>
    <row r="7588" spans="1:1" x14ac:dyDescent="0.25">
      <c r="A7588" s="66" t="s">
        <v>8030</v>
      </c>
    </row>
    <row r="7589" spans="1:1" x14ac:dyDescent="0.25">
      <c r="A7589" s="66" t="s">
        <v>8031</v>
      </c>
    </row>
    <row r="7590" spans="1:1" x14ac:dyDescent="0.25">
      <c r="A7590" s="66" t="s">
        <v>8032</v>
      </c>
    </row>
    <row r="7591" spans="1:1" x14ac:dyDescent="0.25">
      <c r="A7591" s="66" t="s">
        <v>8033</v>
      </c>
    </row>
    <row r="7592" spans="1:1" x14ac:dyDescent="0.25">
      <c r="A7592" s="66" t="s">
        <v>8034</v>
      </c>
    </row>
    <row r="7593" spans="1:1" x14ac:dyDescent="0.25">
      <c r="A7593" s="66" t="s">
        <v>8035</v>
      </c>
    </row>
    <row r="7594" spans="1:1" x14ac:dyDescent="0.25">
      <c r="A7594" s="66" t="s">
        <v>8036</v>
      </c>
    </row>
    <row r="7595" spans="1:1" x14ac:dyDescent="0.25">
      <c r="A7595" s="66" t="s">
        <v>8037</v>
      </c>
    </row>
    <row r="7596" spans="1:1" x14ac:dyDescent="0.25">
      <c r="A7596" s="66" t="s">
        <v>8038</v>
      </c>
    </row>
    <row r="7597" spans="1:1" x14ac:dyDescent="0.25">
      <c r="A7597" s="66" t="s">
        <v>8039</v>
      </c>
    </row>
    <row r="7598" spans="1:1" x14ac:dyDescent="0.25">
      <c r="A7598" s="66" t="s">
        <v>8040</v>
      </c>
    </row>
    <row r="7599" spans="1:1" x14ac:dyDescent="0.25">
      <c r="A7599" s="66" t="s">
        <v>8041</v>
      </c>
    </row>
    <row r="7600" spans="1:1" x14ac:dyDescent="0.25">
      <c r="A7600" s="66" t="s">
        <v>8042</v>
      </c>
    </row>
    <row r="7601" spans="1:1" x14ac:dyDescent="0.25">
      <c r="A7601" s="66" t="s">
        <v>8043</v>
      </c>
    </row>
    <row r="7602" spans="1:1" x14ac:dyDescent="0.25">
      <c r="A7602" s="66" t="s">
        <v>8044</v>
      </c>
    </row>
    <row r="7603" spans="1:1" x14ac:dyDescent="0.25">
      <c r="A7603" s="66" t="s">
        <v>8045</v>
      </c>
    </row>
    <row r="7604" spans="1:1" x14ac:dyDescent="0.25">
      <c r="A7604" s="66" t="s">
        <v>8046</v>
      </c>
    </row>
    <row r="7605" spans="1:1" x14ac:dyDescent="0.25">
      <c r="A7605" s="66" t="s">
        <v>8047</v>
      </c>
    </row>
    <row r="7606" spans="1:1" x14ac:dyDescent="0.25">
      <c r="A7606" s="66" t="s">
        <v>8048</v>
      </c>
    </row>
    <row r="7607" spans="1:1" x14ac:dyDescent="0.25">
      <c r="A7607" s="66" t="s">
        <v>8049</v>
      </c>
    </row>
    <row r="7608" spans="1:1" x14ac:dyDescent="0.25">
      <c r="A7608" s="66" t="s">
        <v>8050</v>
      </c>
    </row>
    <row r="7609" spans="1:1" x14ac:dyDescent="0.25">
      <c r="A7609" s="66" t="s">
        <v>8051</v>
      </c>
    </row>
    <row r="7610" spans="1:1" x14ac:dyDescent="0.25">
      <c r="A7610" s="66" t="s">
        <v>8052</v>
      </c>
    </row>
    <row r="7611" spans="1:1" x14ac:dyDescent="0.25">
      <c r="A7611" s="66" t="s">
        <v>8053</v>
      </c>
    </row>
    <row r="7612" spans="1:1" x14ac:dyDescent="0.25">
      <c r="A7612" s="66" t="s">
        <v>8054</v>
      </c>
    </row>
    <row r="7613" spans="1:1" x14ac:dyDescent="0.25">
      <c r="A7613" s="66" t="s">
        <v>8055</v>
      </c>
    </row>
    <row r="7614" spans="1:1" x14ac:dyDescent="0.25">
      <c r="A7614" s="66" t="s">
        <v>8056</v>
      </c>
    </row>
    <row r="7615" spans="1:1" x14ac:dyDescent="0.25">
      <c r="A7615" s="66" t="s">
        <v>8057</v>
      </c>
    </row>
    <row r="7616" spans="1:1" x14ac:dyDescent="0.25">
      <c r="A7616" s="66" t="s">
        <v>8058</v>
      </c>
    </row>
    <row r="7617" spans="1:1" x14ac:dyDescent="0.25">
      <c r="A7617" s="66" t="s">
        <v>8059</v>
      </c>
    </row>
    <row r="7618" spans="1:1" x14ac:dyDescent="0.25">
      <c r="A7618" s="66" t="s">
        <v>8060</v>
      </c>
    </row>
    <row r="7619" spans="1:1" x14ac:dyDescent="0.25">
      <c r="A7619" s="66" t="s">
        <v>8061</v>
      </c>
    </row>
    <row r="7620" spans="1:1" x14ac:dyDescent="0.25">
      <c r="A7620" s="66" t="s">
        <v>8062</v>
      </c>
    </row>
    <row r="7621" spans="1:1" x14ac:dyDescent="0.25">
      <c r="A7621" s="66" t="s">
        <v>8063</v>
      </c>
    </row>
    <row r="7622" spans="1:1" x14ac:dyDescent="0.25">
      <c r="A7622" s="66" t="s">
        <v>8064</v>
      </c>
    </row>
    <row r="7623" spans="1:1" x14ac:dyDescent="0.25">
      <c r="A7623" s="66" t="s">
        <v>8065</v>
      </c>
    </row>
    <row r="7624" spans="1:1" x14ac:dyDescent="0.25">
      <c r="A7624" s="66" t="s">
        <v>8066</v>
      </c>
    </row>
    <row r="7625" spans="1:1" x14ac:dyDescent="0.25">
      <c r="A7625" s="66" t="s">
        <v>8067</v>
      </c>
    </row>
    <row r="7626" spans="1:1" x14ac:dyDescent="0.25">
      <c r="A7626" s="66" t="s">
        <v>8068</v>
      </c>
    </row>
    <row r="7627" spans="1:1" x14ac:dyDescent="0.25">
      <c r="A7627" s="66" t="s">
        <v>8069</v>
      </c>
    </row>
    <row r="7628" spans="1:1" x14ac:dyDescent="0.25">
      <c r="A7628" s="66" t="s">
        <v>8070</v>
      </c>
    </row>
    <row r="7629" spans="1:1" x14ac:dyDescent="0.25">
      <c r="A7629" s="66" t="s">
        <v>8071</v>
      </c>
    </row>
    <row r="7630" spans="1:1" x14ac:dyDescent="0.25">
      <c r="A7630" s="66" t="s">
        <v>8072</v>
      </c>
    </row>
    <row r="7631" spans="1:1" x14ac:dyDescent="0.25">
      <c r="A7631" s="66" t="s">
        <v>8073</v>
      </c>
    </row>
    <row r="7632" spans="1:1" x14ac:dyDescent="0.25">
      <c r="A7632" s="66" t="s">
        <v>8074</v>
      </c>
    </row>
    <row r="7633" spans="1:1" x14ac:dyDescent="0.25">
      <c r="A7633" s="66" t="s">
        <v>8075</v>
      </c>
    </row>
    <row r="7634" spans="1:1" x14ac:dyDescent="0.25">
      <c r="A7634" s="66" t="s">
        <v>8076</v>
      </c>
    </row>
    <row r="7635" spans="1:1" x14ac:dyDescent="0.25">
      <c r="A7635" s="66" t="s">
        <v>8077</v>
      </c>
    </row>
    <row r="7636" spans="1:1" x14ac:dyDescent="0.25">
      <c r="A7636" s="66" t="s">
        <v>8078</v>
      </c>
    </row>
    <row r="7637" spans="1:1" x14ac:dyDescent="0.25">
      <c r="A7637" s="66" t="s">
        <v>8079</v>
      </c>
    </row>
    <row r="7638" spans="1:1" x14ac:dyDescent="0.25">
      <c r="A7638" s="66" t="s">
        <v>8080</v>
      </c>
    </row>
    <row r="7639" spans="1:1" x14ac:dyDescent="0.25">
      <c r="A7639" s="66" t="s">
        <v>8081</v>
      </c>
    </row>
    <row r="7640" spans="1:1" x14ac:dyDescent="0.25">
      <c r="A7640" s="66" t="s">
        <v>8082</v>
      </c>
    </row>
    <row r="7641" spans="1:1" x14ac:dyDescent="0.25">
      <c r="A7641" s="66" t="s">
        <v>8083</v>
      </c>
    </row>
    <row r="7642" spans="1:1" x14ac:dyDescent="0.25">
      <c r="A7642" s="56" t="s">
        <v>8084</v>
      </c>
    </row>
    <row r="7643" spans="1:1" x14ac:dyDescent="0.25">
      <c r="A7643" s="66" t="s">
        <v>8085</v>
      </c>
    </row>
    <row r="7644" spans="1:1" x14ac:dyDescent="0.25">
      <c r="A7644" s="56" t="s">
        <v>8086</v>
      </c>
    </row>
    <row r="7645" spans="1:1" x14ac:dyDescent="0.25">
      <c r="A7645" s="66" t="s">
        <v>8087</v>
      </c>
    </row>
    <row r="7646" spans="1:1" x14ac:dyDescent="0.25">
      <c r="A7646" s="56" t="s">
        <v>8088</v>
      </c>
    </row>
    <row r="7647" spans="1:1" x14ac:dyDescent="0.25">
      <c r="A7647" s="66" t="s">
        <v>8089</v>
      </c>
    </row>
    <row r="7648" spans="1:1" x14ac:dyDescent="0.25">
      <c r="A7648" s="56" t="s">
        <v>8090</v>
      </c>
    </row>
    <row r="7649" spans="1:1" x14ac:dyDescent="0.25">
      <c r="A7649" s="66" t="s">
        <v>8091</v>
      </c>
    </row>
    <row r="7650" spans="1:1" x14ac:dyDescent="0.25">
      <c r="A7650" s="56" t="s">
        <v>8092</v>
      </c>
    </row>
    <row r="7651" spans="1:1" x14ac:dyDescent="0.25">
      <c r="A7651" s="66" t="s">
        <v>8093</v>
      </c>
    </row>
    <row r="7652" spans="1:1" x14ac:dyDescent="0.25">
      <c r="A7652" s="56" t="s">
        <v>8094</v>
      </c>
    </row>
    <row r="7653" spans="1:1" x14ac:dyDescent="0.25">
      <c r="A7653" s="66" t="s">
        <v>8095</v>
      </c>
    </row>
    <row r="7654" spans="1:1" x14ac:dyDescent="0.25">
      <c r="A7654" s="56" t="s">
        <v>8096</v>
      </c>
    </row>
    <row r="7655" spans="1:1" x14ac:dyDescent="0.25">
      <c r="A7655" s="66" t="s">
        <v>8097</v>
      </c>
    </row>
    <row r="7656" spans="1:1" x14ac:dyDescent="0.25">
      <c r="A7656" s="56" t="s">
        <v>8098</v>
      </c>
    </row>
    <row r="7657" spans="1:1" x14ac:dyDescent="0.25">
      <c r="A7657" s="66" t="s">
        <v>8099</v>
      </c>
    </row>
    <row r="7658" spans="1:1" x14ac:dyDescent="0.25">
      <c r="A7658" s="56" t="s">
        <v>8100</v>
      </c>
    </row>
    <row r="7659" spans="1:1" x14ac:dyDescent="0.25">
      <c r="A7659" s="66" t="s">
        <v>8101</v>
      </c>
    </row>
    <row r="7660" spans="1:1" x14ac:dyDescent="0.25">
      <c r="A7660" s="66" t="s">
        <v>8102</v>
      </c>
    </row>
    <row r="7661" spans="1:1" x14ac:dyDescent="0.25">
      <c r="A7661" s="66" t="s">
        <v>8103</v>
      </c>
    </row>
    <row r="7662" spans="1:1" x14ac:dyDescent="0.25">
      <c r="A7662" s="66" t="s">
        <v>8104</v>
      </c>
    </row>
    <row r="7663" spans="1:1" x14ac:dyDescent="0.25">
      <c r="A7663" s="66" t="s">
        <v>8105</v>
      </c>
    </row>
    <row r="7664" spans="1:1" x14ac:dyDescent="0.25">
      <c r="A7664" s="66" t="s">
        <v>8106</v>
      </c>
    </row>
    <row r="7665" spans="1:1" x14ac:dyDescent="0.25">
      <c r="A7665" s="56" t="s">
        <v>8107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V93"/>
  <sheetViews>
    <sheetView workbookViewId="0">
      <selection activeCell="B39" sqref="B39"/>
    </sheetView>
  </sheetViews>
  <sheetFormatPr defaultRowHeight="15" x14ac:dyDescent="0.25"/>
  <cols>
    <col min="12" max="12" width="10.28515625" customWidth="1"/>
    <col min="13" max="13" width="9.5703125" customWidth="1"/>
    <col min="14" max="14" width="10.5703125" customWidth="1"/>
    <col min="15" max="15" width="10.85546875" customWidth="1"/>
    <col min="40" max="40" width="11.7109375" customWidth="1"/>
  </cols>
  <sheetData>
    <row r="1" spans="1:48" x14ac:dyDescent="0.25">
      <c r="A1" s="73" t="s">
        <v>100</v>
      </c>
      <c r="B1" s="74"/>
      <c r="C1" s="74"/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4"/>
      <c r="V1" s="74"/>
      <c r="W1" s="74"/>
      <c r="X1" s="74"/>
      <c r="Y1" s="74"/>
      <c r="Z1" s="74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32"/>
      <c r="AP1" s="32"/>
      <c r="AQ1" s="32"/>
      <c r="AR1" s="32"/>
      <c r="AS1" s="32"/>
      <c r="AT1" s="32"/>
      <c r="AU1" s="32"/>
      <c r="AV1" s="33"/>
    </row>
    <row r="2" spans="1:48" x14ac:dyDescent="0.25">
      <c r="A2" s="77" t="s">
        <v>63</v>
      </c>
      <c r="B2" s="78"/>
      <c r="C2" s="78"/>
      <c r="D2" s="78"/>
      <c r="E2" s="78"/>
      <c r="F2" s="78"/>
      <c r="G2" s="78"/>
      <c r="H2" s="78"/>
      <c r="I2" s="78"/>
      <c r="J2" s="78"/>
      <c r="K2" s="78"/>
      <c r="L2" s="79"/>
      <c r="M2" s="98" t="s">
        <v>64</v>
      </c>
      <c r="N2" s="98"/>
      <c r="O2" s="98"/>
      <c r="P2" s="98"/>
      <c r="Q2" s="98"/>
      <c r="R2" s="98" t="s">
        <v>65</v>
      </c>
      <c r="S2" s="98"/>
      <c r="T2" s="98"/>
      <c r="U2" s="98"/>
      <c r="V2" s="98"/>
      <c r="W2" s="98"/>
      <c r="X2" s="98"/>
      <c r="Y2" s="80" t="s">
        <v>84</v>
      </c>
      <c r="Z2" s="81"/>
      <c r="AA2" s="81"/>
      <c r="AB2" s="81"/>
      <c r="AC2" s="81"/>
      <c r="AD2" s="81"/>
      <c r="AE2" s="81"/>
      <c r="AF2" s="81"/>
      <c r="AG2" s="81"/>
      <c r="AH2" s="81"/>
      <c r="AI2" s="81"/>
      <c r="AJ2" s="81"/>
      <c r="AK2" s="81"/>
      <c r="AL2" s="82"/>
      <c r="AM2" s="82"/>
      <c r="AN2" s="82"/>
    </row>
    <row r="3" spans="1:48" x14ac:dyDescent="0.25">
      <c r="A3" s="21" t="s">
        <v>5</v>
      </c>
      <c r="B3" s="21" t="s">
        <v>6</v>
      </c>
      <c r="C3" s="21" t="s">
        <v>7</v>
      </c>
      <c r="D3" s="21" t="s">
        <v>8</v>
      </c>
      <c r="E3" s="21" t="s">
        <v>9</v>
      </c>
      <c r="F3" s="21" t="s">
        <v>10</v>
      </c>
      <c r="G3" s="21" t="s">
        <v>11</v>
      </c>
      <c r="H3" s="21" t="s">
        <v>68</v>
      </c>
      <c r="I3" s="21" t="s">
        <v>13</v>
      </c>
      <c r="J3" s="21" t="s">
        <v>14</v>
      </c>
      <c r="K3" s="21" t="s">
        <v>15</v>
      </c>
      <c r="L3" s="21" t="s">
        <v>69</v>
      </c>
      <c r="M3" s="21" t="s">
        <v>70</v>
      </c>
      <c r="N3" s="21" t="s">
        <v>71</v>
      </c>
      <c r="O3" s="21" t="s">
        <v>72</v>
      </c>
      <c r="P3" s="21" t="s">
        <v>73</v>
      </c>
      <c r="Q3" s="21" t="s">
        <v>98</v>
      </c>
      <c r="R3" s="21" t="s">
        <v>74</v>
      </c>
      <c r="S3" s="21" t="s">
        <v>22</v>
      </c>
      <c r="T3" s="21" t="s">
        <v>75</v>
      </c>
      <c r="U3" s="21" t="s">
        <v>76</v>
      </c>
      <c r="V3" s="21" t="s">
        <v>77</v>
      </c>
      <c r="W3" s="21" t="s">
        <v>78</v>
      </c>
      <c r="X3" s="21" t="s">
        <v>99</v>
      </c>
      <c r="Y3" s="21" t="s">
        <v>85</v>
      </c>
      <c r="Z3" s="21" t="s">
        <v>86</v>
      </c>
      <c r="AA3" s="21" t="s">
        <v>87</v>
      </c>
      <c r="AB3" s="21" t="s">
        <v>67</v>
      </c>
      <c r="AC3" s="21" t="s">
        <v>11</v>
      </c>
      <c r="AD3" s="21" t="s">
        <v>88</v>
      </c>
      <c r="AE3" s="21" t="s">
        <v>71</v>
      </c>
      <c r="AF3" s="21" t="s">
        <v>89</v>
      </c>
      <c r="AG3" s="21" t="s">
        <v>90</v>
      </c>
      <c r="AH3" s="21" t="s">
        <v>91</v>
      </c>
      <c r="AI3" s="21" t="s">
        <v>92</v>
      </c>
      <c r="AJ3" s="21" t="s">
        <v>93</v>
      </c>
      <c r="AK3" s="21" t="s">
        <v>94</v>
      </c>
      <c r="AL3" s="21" t="s">
        <v>95</v>
      </c>
      <c r="AM3" s="21" t="s">
        <v>96</v>
      </c>
      <c r="AN3" s="21" t="s">
        <v>97</v>
      </c>
    </row>
    <row r="4" spans="1:48" x14ac:dyDescent="0.25">
      <c r="A4" s="2"/>
      <c r="B4" s="2"/>
      <c r="C4" s="2"/>
      <c r="D4" s="22"/>
      <c r="E4" s="2"/>
      <c r="F4" s="2"/>
      <c r="G4" s="2"/>
      <c r="H4" s="2"/>
      <c r="I4" s="2"/>
      <c r="J4" s="2"/>
      <c r="K4" s="2"/>
      <c r="L4" s="2"/>
      <c r="M4" s="23"/>
      <c r="N4" s="23"/>
      <c r="O4" s="23"/>
      <c r="P4" s="23"/>
      <c r="Q4" s="23"/>
      <c r="R4" s="2"/>
      <c r="S4" s="2"/>
      <c r="T4" s="2"/>
      <c r="U4" s="2"/>
      <c r="V4" s="2"/>
      <c r="W4" s="2"/>
      <c r="X4" s="2"/>
      <c r="Y4" s="23"/>
      <c r="Z4" s="29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</row>
    <row r="5" spans="1:48" x14ac:dyDescent="0.25">
      <c r="A5" s="2"/>
      <c r="B5" s="2"/>
      <c r="C5" s="2"/>
      <c r="D5" s="22"/>
      <c r="E5" s="2"/>
      <c r="F5" s="2"/>
      <c r="G5" s="2"/>
      <c r="H5" s="2"/>
      <c r="I5" s="2"/>
      <c r="J5" s="2"/>
      <c r="K5" s="2"/>
      <c r="L5" s="2"/>
      <c r="M5" s="23"/>
      <c r="N5" s="23"/>
      <c r="O5" s="23"/>
      <c r="P5" s="30"/>
      <c r="Q5" s="23"/>
      <c r="R5" s="2"/>
      <c r="S5" s="2"/>
      <c r="T5" s="2"/>
      <c r="U5" s="2"/>
      <c r="V5" s="2"/>
      <c r="W5" s="2"/>
      <c r="X5" s="2"/>
      <c r="Y5" s="23"/>
      <c r="Z5" s="29"/>
      <c r="AA5" s="23"/>
      <c r="AB5" s="30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</row>
    <row r="6" spans="1:48" x14ac:dyDescent="0.25">
      <c r="A6" s="2"/>
      <c r="B6" s="2"/>
      <c r="C6" s="2"/>
      <c r="D6" s="22"/>
      <c r="E6" s="2"/>
      <c r="F6" s="2"/>
      <c r="G6" s="2"/>
      <c r="H6" s="2"/>
      <c r="I6" s="2"/>
      <c r="J6" s="2"/>
      <c r="K6" s="2"/>
      <c r="L6" s="2"/>
      <c r="M6" s="23"/>
      <c r="N6" s="23"/>
      <c r="O6" s="23"/>
      <c r="P6" s="30"/>
      <c r="Q6" s="23"/>
      <c r="R6" s="2"/>
      <c r="S6" s="2"/>
      <c r="T6" s="2"/>
      <c r="U6" s="2"/>
      <c r="V6" s="2"/>
      <c r="W6" s="2"/>
      <c r="X6" s="2"/>
      <c r="Y6" s="23"/>
      <c r="Z6" s="29"/>
      <c r="AA6" s="23"/>
      <c r="AB6" s="30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</row>
    <row r="7" spans="1:48" x14ac:dyDescent="0.25">
      <c r="A7" s="2"/>
      <c r="B7" s="2"/>
      <c r="C7" s="2"/>
      <c r="D7" s="22"/>
      <c r="E7" s="2"/>
      <c r="F7" s="2"/>
      <c r="G7" s="2"/>
      <c r="H7" s="2"/>
      <c r="I7" s="2"/>
      <c r="J7" s="2"/>
      <c r="K7" s="2"/>
      <c r="L7" s="2"/>
      <c r="M7" s="23"/>
      <c r="N7" s="23"/>
      <c r="O7" s="23"/>
      <c r="P7" s="30"/>
      <c r="Q7" s="23"/>
      <c r="R7" s="2"/>
      <c r="S7" s="2"/>
      <c r="T7" s="2"/>
      <c r="U7" s="2"/>
      <c r="V7" s="2"/>
      <c r="W7" s="2"/>
      <c r="X7" s="2"/>
      <c r="Y7" s="23"/>
      <c r="Z7" s="29"/>
      <c r="AA7" s="23"/>
      <c r="AB7" s="30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  <c r="AN7" s="23"/>
    </row>
    <row r="8" spans="1:48" x14ac:dyDescent="0.25">
      <c r="A8" s="2"/>
      <c r="B8" s="2"/>
      <c r="C8" s="2"/>
      <c r="D8" s="22"/>
      <c r="E8" s="2"/>
      <c r="F8" s="2"/>
      <c r="G8" s="2"/>
      <c r="H8" s="2"/>
      <c r="I8" s="2"/>
      <c r="J8" s="2"/>
      <c r="K8" s="2"/>
      <c r="L8" s="2"/>
      <c r="M8" s="23"/>
      <c r="N8" s="23"/>
      <c r="O8" s="23"/>
      <c r="P8" s="30"/>
      <c r="Q8" s="23"/>
      <c r="R8" s="2"/>
      <c r="S8" s="2"/>
      <c r="T8" s="2"/>
      <c r="U8" s="2"/>
      <c r="V8" s="2"/>
      <c r="W8" s="2"/>
      <c r="X8" s="2"/>
      <c r="Y8" s="23"/>
      <c r="Z8" s="29"/>
      <c r="AA8" s="23"/>
      <c r="AB8" s="30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</row>
    <row r="9" spans="1:48" x14ac:dyDescent="0.25">
      <c r="A9" s="2"/>
      <c r="B9" s="2"/>
      <c r="C9" s="2"/>
      <c r="D9" s="22"/>
      <c r="E9" s="2"/>
      <c r="F9" s="2"/>
      <c r="G9" s="2"/>
      <c r="H9" s="2"/>
      <c r="I9" s="2"/>
      <c r="J9" s="2"/>
      <c r="K9" s="2"/>
      <c r="L9" s="2"/>
      <c r="M9" s="23"/>
      <c r="N9" s="23"/>
      <c r="O9" s="23"/>
      <c r="P9" s="30"/>
      <c r="Q9" s="23"/>
      <c r="R9" s="2"/>
      <c r="S9" s="2"/>
      <c r="T9" s="2"/>
      <c r="U9" s="2"/>
      <c r="V9" s="2"/>
      <c r="W9" s="2"/>
      <c r="X9" s="2"/>
      <c r="Y9" s="23"/>
      <c r="Z9" s="29"/>
      <c r="AA9" s="23"/>
      <c r="AB9" s="30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</row>
    <row r="10" spans="1:48" x14ac:dyDescent="0.25">
      <c r="A10" s="2"/>
      <c r="B10" s="2"/>
      <c r="C10" s="2"/>
      <c r="D10" s="22"/>
      <c r="E10" s="2"/>
      <c r="F10" s="2"/>
      <c r="G10" s="2"/>
      <c r="H10" s="2"/>
      <c r="I10" s="2"/>
      <c r="J10" s="2"/>
      <c r="K10" s="2"/>
      <c r="L10" s="2"/>
      <c r="M10" s="23"/>
      <c r="N10" s="23"/>
      <c r="O10" s="23"/>
      <c r="P10" s="30"/>
      <c r="Q10" s="23"/>
      <c r="R10" s="2"/>
      <c r="S10" s="2"/>
      <c r="T10" s="2"/>
      <c r="U10" s="2"/>
      <c r="V10" s="2"/>
      <c r="W10" s="2"/>
      <c r="X10" s="2"/>
      <c r="Y10" s="23"/>
      <c r="Z10" s="29"/>
      <c r="AA10" s="23"/>
      <c r="AB10" s="30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</row>
    <row r="11" spans="1:48" x14ac:dyDescent="0.25">
      <c r="A11" s="2"/>
      <c r="B11" s="2"/>
      <c r="C11" s="2"/>
      <c r="D11" s="22"/>
      <c r="E11" s="2"/>
      <c r="F11" s="2"/>
      <c r="G11" s="2"/>
      <c r="H11" s="2"/>
      <c r="I11" s="2"/>
      <c r="J11" s="2"/>
      <c r="K11" s="2"/>
      <c r="L11" s="2"/>
      <c r="M11" s="23"/>
      <c r="N11" s="23"/>
      <c r="O11" s="23"/>
      <c r="P11" s="30"/>
      <c r="Q11" s="23"/>
      <c r="R11" s="2"/>
      <c r="S11" s="2"/>
      <c r="T11" s="2"/>
      <c r="U11" s="2"/>
      <c r="V11" s="2"/>
      <c r="W11" s="2"/>
      <c r="X11" s="2"/>
      <c r="Y11" s="23"/>
      <c r="Z11" s="29"/>
      <c r="AA11" s="23"/>
      <c r="AB11" s="30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</row>
    <row r="12" spans="1:48" x14ac:dyDescent="0.25">
      <c r="A12" s="2"/>
      <c r="B12" s="2"/>
      <c r="C12" s="2"/>
      <c r="D12" s="22"/>
      <c r="E12" s="2"/>
      <c r="F12" s="2"/>
      <c r="G12" s="2"/>
      <c r="H12" s="2"/>
      <c r="I12" s="2"/>
      <c r="J12" s="2"/>
      <c r="K12" s="2"/>
      <c r="L12" s="2"/>
      <c r="M12" s="23"/>
      <c r="N12" s="23"/>
      <c r="O12" s="23"/>
      <c r="P12" s="30"/>
      <c r="Q12" s="23"/>
      <c r="R12" s="2"/>
      <c r="S12" s="2"/>
      <c r="T12" s="2"/>
      <c r="U12" s="2"/>
      <c r="V12" s="2"/>
      <c r="W12" s="2"/>
      <c r="X12" s="2"/>
      <c r="Y12" s="23"/>
      <c r="Z12" s="29"/>
      <c r="AA12" s="23"/>
      <c r="AB12" s="30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</row>
    <row r="13" spans="1:48" x14ac:dyDescent="0.25">
      <c r="A13" s="2"/>
      <c r="B13" s="2"/>
      <c r="C13" s="2"/>
      <c r="D13" s="22"/>
      <c r="E13" s="2"/>
      <c r="F13" s="2"/>
      <c r="G13" s="2"/>
      <c r="H13" s="2"/>
      <c r="I13" s="2"/>
      <c r="J13" s="2"/>
      <c r="K13" s="2"/>
      <c r="L13" s="2"/>
      <c r="M13" s="23"/>
      <c r="N13" s="23"/>
      <c r="O13" s="23"/>
      <c r="P13" s="30"/>
      <c r="Q13" s="23"/>
      <c r="R13" s="2"/>
      <c r="S13" s="2"/>
      <c r="T13" s="2"/>
      <c r="U13" s="2"/>
      <c r="V13" s="2"/>
      <c r="W13" s="2"/>
      <c r="X13" s="2"/>
      <c r="Y13" s="23"/>
      <c r="Z13" s="29"/>
      <c r="AA13" s="23"/>
      <c r="AB13" s="30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3"/>
    </row>
    <row r="14" spans="1:48" x14ac:dyDescent="0.25">
      <c r="A14" s="2"/>
      <c r="B14" s="2"/>
      <c r="C14" s="2"/>
      <c r="D14" s="22"/>
      <c r="E14" s="2"/>
      <c r="F14" s="2"/>
      <c r="G14" s="2"/>
      <c r="H14" s="2"/>
      <c r="I14" s="2"/>
      <c r="J14" s="2"/>
      <c r="K14" s="2"/>
      <c r="L14" s="2"/>
      <c r="M14" s="23"/>
      <c r="N14" s="23"/>
      <c r="O14" s="23"/>
      <c r="P14" s="30"/>
      <c r="Q14" s="23"/>
      <c r="R14" s="2"/>
      <c r="S14" s="2"/>
      <c r="T14" s="2"/>
      <c r="U14" s="2"/>
      <c r="V14" s="2"/>
      <c r="W14" s="2"/>
      <c r="X14" s="2"/>
      <c r="Y14" s="23"/>
      <c r="Z14" s="29"/>
      <c r="AA14" s="23"/>
      <c r="AB14" s="30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3"/>
    </row>
    <row r="15" spans="1:48" x14ac:dyDescent="0.25">
      <c r="A15" s="2"/>
      <c r="B15" s="2"/>
      <c r="C15" s="2"/>
      <c r="D15" s="22"/>
      <c r="E15" s="2"/>
      <c r="F15" s="2"/>
      <c r="G15" s="2"/>
      <c r="H15" s="2"/>
      <c r="I15" s="2"/>
      <c r="J15" s="2"/>
      <c r="K15" s="2"/>
      <c r="L15" s="2"/>
      <c r="M15" s="23"/>
      <c r="N15" s="23"/>
      <c r="O15" s="23"/>
      <c r="P15" s="30"/>
      <c r="Q15" s="23"/>
      <c r="R15" s="2"/>
      <c r="S15" s="2"/>
      <c r="T15" s="2"/>
      <c r="U15" s="2"/>
      <c r="V15" s="2"/>
      <c r="W15" s="2"/>
      <c r="X15" s="2"/>
      <c r="Y15" s="23"/>
      <c r="Z15" s="29"/>
      <c r="AA15" s="23"/>
      <c r="AB15" s="30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</row>
    <row r="16" spans="1:48" x14ac:dyDescent="0.25">
      <c r="A16" s="2"/>
      <c r="B16" s="2"/>
      <c r="C16" s="2"/>
      <c r="D16" s="22"/>
      <c r="E16" s="2"/>
      <c r="F16" s="2"/>
      <c r="G16" s="2"/>
      <c r="H16" s="2"/>
      <c r="I16" s="2"/>
      <c r="J16" s="2"/>
      <c r="K16" s="2"/>
      <c r="L16" s="2"/>
      <c r="M16" s="23"/>
      <c r="N16" s="23"/>
      <c r="O16" s="23"/>
      <c r="P16" s="30"/>
      <c r="Q16" s="23"/>
      <c r="R16" s="2"/>
      <c r="S16" s="2"/>
      <c r="T16" s="2"/>
      <c r="U16" s="2"/>
      <c r="V16" s="2"/>
      <c r="W16" s="2"/>
      <c r="X16" s="2"/>
      <c r="Y16" s="23"/>
      <c r="Z16" s="29"/>
      <c r="AA16" s="23"/>
      <c r="AB16" s="30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3"/>
    </row>
    <row r="17" spans="1:40" x14ac:dyDescent="0.25">
      <c r="A17" s="2"/>
      <c r="B17" s="2"/>
      <c r="C17" s="2"/>
      <c r="D17" s="22"/>
      <c r="E17" s="2"/>
      <c r="F17" s="2"/>
      <c r="G17" s="2"/>
      <c r="H17" s="2"/>
      <c r="I17" s="2"/>
      <c r="J17" s="2"/>
      <c r="K17" s="2"/>
      <c r="L17" s="2"/>
      <c r="M17" s="23"/>
      <c r="N17" s="23"/>
      <c r="O17" s="23"/>
      <c r="P17" s="30"/>
      <c r="Q17" s="23"/>
      <c r="R17" s="2"/>
      <c r="S17" s="2"/>
      <c r="T17" s="2"/>
      <c r="U17" s="2"/>
      <c r="V17" s="2"/>
      <c r="W17" s="2"/>
      <c r="X17" s="2"/>
      <c r="Y17" s="23"/>
      <c r="Z17" s="29"/>
      <c r="AA17" s="23"/>
      <c r="AB17" s="30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</row>
    <row r="18" spans="1:40" x14ac:dyDescent="0.25">
      <c r="A18" s="2"/>
      <c r="B18" s="2"/>
      <c r="C18" s="2"/>
      <c r="D18" s="22"/>
      <c r="E18" s="2"/>
      <c r="F18" s="2"/>
      <c r="G18" s="2"/>
      <c r="H18" s="2"/>
      <c r="I18" s="2"/>
      <c r="J18" s="2"/>
      <c r="K18" s="2"/>
      <c r="L18" s="2"/>
      <c r="M18" s="23"/>
      <c r="N18" s="23"/>
      <c r="O18" s="23"/>
      <c r="P18" s="30"/>
      <c r="Q18" s="23"/>
      <c r="R18" s="2"/>
      <c r="S18" s="2"/>
      <c r="T18" s="2"/>
      <c r="U18" s="2"/>
      <c r="V18" s="2"/>
      <c r="W18" s="2"/>
      <c r="X18" s="2"/>
      <c r="Y18" s="23"/>
      <c r="Z18" s="29"/>
      <c r="AA18" s="23"/>
      <c r="AB18" s="30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</row>
    <row r="19" spans="1:40" x14ac:dyDescent="0.25">
      <c r="A19" s="2"/>
      <c r="B19" s="2"/>
      <c r="C19" s="2"/>
      <c r="D19" s="22"/>
      <c r="E19" s="2"/>
      <c r="F19" s="2"/>
      <c r="G19" s="2"/>
      <c r="H19" s="2"/>
      <c r="I19" s="2"/>
      <c r="J19" s="2"/>
      <c r="K19" s="2"/>
      <c r="L19" s="2"/>
      <c r="M19" s="23"/>
      <c r="N19" s="23"/>
      <c r="O19" s="23"/>
      <c r="P19" s="30"/>
      <c r="Q19" s="23"/>
      <c r="R19" s="2"/>
      <c r="S19" s="2"/>
      <c r="T19" s="2"/>
      <c r="U19" s="2"/>
      <c r="V19" s="2"/>
      <c r="W19" s="2"/>
      <c r="X19" s="2"/>
      <c r="Y19" s="23"/>
      <c r="Z19" s="29"/>
      <c r="AA19" s="23"/>
      <c r="AB19" s="30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</row>
    <row r="20" spans="1:40" x14ac:dyDescent="0.25">
      <c r="A20" s="2"/>
      <c r="B20" s="2"/>
      <c r="C20" s="2"/>
      <c r="D20" s="22"/>
      <c r="E20" s="2"/>
      <c r="F20" s="2"/>
      <c r="G20" s="2"/>
      <c r="H20" s="2"/>
      <c r="I20" s="2"/>
      <c r="J20" s="2"/>
      <c r="K20" s="2"/>
      <c r="L20" s="2"/>
      <c r="M20" s="23"/>
      <c r="N20" s="23"/>
      <c r="O20" s="23"/>
      <c r="P20" s="30"/>
      <c r="Q20" s="23"/>
      <c r="R20" s="2"/>
      <c r="S20" s="2"/>
      <c r="T20" s="2"/>
      <c r="U20" s="2"/>
      <c r="V20" s="2"/>
      <c r="W20" s="2"/>
      <c r="X20" s="2"/>
      <c r="Y20" s="23"/>
      <c r="Z20" s="29"/>
      <c r="AA20" s="23"/>
      <c r="AB20" s="30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</row>
    <row r="21" spans="1:40" x14ac:dyDescent="0.25">
      <c r="A21" s="2"/>
      <c r="B21" s="2"/>
      <c r="C21" s="2"/>
      <c r="D21" s="22"/>
      <c r="E21" s="2"/>
      <c r="F21" s="2"/>
      <c r="G21" s="2"/>
      <c r="H21" s="2"/>
      <c r="I21" s="2"/>
      <c r="J21" s="2"/>
      <c r="K21" s="2"/>
      <c r="L21" s="2"/>
      <c r="M21" s="23"/>
      <c r="N21" s="23"/>
      <c r="O21" s="23"/>
      <c r="P21" s="30"/>
      <c r="Q21" s="23"/>
      <c r="R21" s="2"/>
      <c r="S21" s="2"/>
      <c r="T21" s="2"/>
      <c r="U21" s="2"/>
      <c r="V21" s="2"/>
      <c r="W21" s="2"/>
      <c r="X21" s="2"/>
      <c r="Y21" s="23"/>
      <c r="Z21" s="29"/>
      <c r="AA21" s="23"/>
      <c r="AB21" s="30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</row>
    <row r="22" spans="1:40" x14ac:dyDescent="0.25">
      <c r="A22" s="2"/>
      <c r="B22" s="2"/>
      <c r="C22" s="2"/>
      <c r="D22" s="22"/>
      <c r="E22" s="2"/>
      <c r="F22" s="2"/>
      <c r="G22" s="2"/>
      <c r="H22" s="2"/>
      <c r="I22" s="2"/>
      <c r="J22" s="2"/>
      <c r="K22" s="2"/>
      <c r="L22" s="2"/>
      <c r="M22" s="23"/>
      <c r="N22" s="23"/>
      <c r="O22" s="23"/>
      <c r="P22" s="30"/>
      <c r="Q22" s="23"/>
      <c r="R22" s="2"/>
      <c r="S22" s="2"/>
      <c r="T22" s="2"/>
      <c r="U22" s="2"/>
      <c r="V22" s="2"/>
      <c r="W22" s="2"/>
      <c r="X22" s="2"/>
      <c r="Y22" s="23"/>
      <c r="Z22" s="29"/>
      <c r="AA22" s="23"/>
      <c r="AB22" s="30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3"/>
    </row>
    <row r="23" spans="1:40" x14ac:dyDescent="0.25">
      <c r="A23" s="2"/>
      <c r="B23" s="2"/>
      <c r="C23" s="2"/>
      <c r="D23" s="22"/>
      <c r="E23" s="2"/>
      <c r="F23" s="2"/>
      <c r="G23" s="2"/>
      <c r="H23" s="2"/>
      <c r="I23" s="2"/>
      <c r="J23" s="2"/>
      <c r="K23" s="2"/>
      <c r="L23" s="2"/>
      <c r="M23" s="23"/>
      <c r="N23" s="23"/>
      <c r="O23" s="23"/>
      <c r="P23" s="30"/>
      <c r="Q23" s="23"/>
      <c r="R23" s="2"/>
      <c r="S23" s="2"/>
      <c r="T23" s="2"/>
      <c r="U23" s="2"/>
      <c r="V23" s="2"/>
      <c r="W23" s="2"/>
      <c r="X23" s="2"/>
      <c r="Y23" s="23"/>
      <c r="Z23" s="29"/>
      <c r="AA23" s="23"/>
      <c r="AB23" s="30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3"/>
    </row>
    <row r="24" spans="1:40" x14ac:dyDescent="0.25">
      <c r="A24" s="2"/>
      <c r="B24" s="2"/>
      <c r="C24" s="2"/>
      <c r="D24" s="22"/>
      <c r="E24" s="2"/>
      <c r="F24" s="2"/>
      <c r="G24" s="2"/>
      <c r="H24" s="2"/>
      <c r="I24" s="2"/>
      <c r="J24" s="2"/>
      <c r="K24" s="2"/>
      <c r="L24" s="2"/>
      <c r="M24" s="23"/>
      <c r="N24" s="23"/>
      <c r="O24" s="23"/>
      <c r="P24" s="30"/>
      <c r="Q24" s="23"/>
      <c r="R24" s="2"/>
      <c r="S24" s="2"/>
      <c r="T24" s="2"/>
      <c r="U24" s="2"/>
      <c r="V24" s="2"/>
      <c r="W24" s="2"/>
      <c r="X24" s="2"/>
      <c r="Y24" s="23"/>
      <c r="Z24" s="29"/>
      <c r="AA24" s="23"/>
      <c r="AB24" s="30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</row>
    <row r="25" spans="1:40" x14ac:dyDescent="0.25">
      <c r="A25" s="2"/>
      <c r="B25" s="2"/>
      <c r="C25" s="2"/>
      <c r="D25" s="22"/>
      <c r="E25" s="2"/>
      <c r="F25" s="2"/>
      <c r="G25" s="2"/>
      <c r="H25" s="2"/>
      <c r="I25" s="2"/>
      <c r="J25" s="2"/>
      <c r="K25" s="2"/>
      <c r="L25" s="2"/>
      <c r="M25" s="23"/>
      <c r="N25" s="23"/>
      <c r="O25" s="23"/>
      <c r="P25" s="30"/>
      <c r="Q25" s="23"/>
      <c r="R25" s="2"/>
      <c r="S25" s="2"/>
      <c r="T25" s="2"/>
      <c r="U25" s="2"/>
      <c r="V25" s="2"/>
      <c r="W25" s="2"/>
      <c r="X25" s="2"/>
      <c r="Y25" s="23"/>
      <c r="Z25" s="29"/>
      <c r="AA25" s="23"/>
      <c r="AB25" s="30"/>
      <c r="AC25" s="23"/>
      <c r="AD25" s="23"/>
      <c r="AE25" s="23"/>
      <c r="AF25" s="23"/>
      <c r="AG25" s="23"/>
      <c r="AH25" s="23"/>
      <c r="AI25" s="23"/>
      <c r="AJ25" s="23"/>
      <c r="AK25" s="23"/>
      <c r="AL25" s="23"/>
      <c r="AM25" s="23"/>
      <c r="AN25" s="23"/>
    </row>
    <row r="26" spans="1:40" x14ac:dyDescent="0.25">
      <c r="A26" s="2"/>
      <c r="B26" s="2"/>
      <c r="C26" s="2"/>
      <c r="D26" s="22"/>
      <c r="E26" s="2"/>
      <c r="F26" s="2"/>
      <c r="G26" s="2"/>
      <c r="H26" s="2"/>
      <c r="I26" s="2"/>
      <c r="J26" s="2"/>
      <c r="K26" s="2"/>
      <c r="L26" s="2"/>
      <c r="M26" s="23"/>
      <c r="N26" s="23"/>
      <c r="O26" s="23"/>
      <c r="P26" s="30"/>
      <c r="Q26" s="23"/>
      <c r="R26" s="2"/>
      <c r="S26" s="2"/>
      <c r="T26" s="2"/>
      <c r="U26" s="2"/>
      <c r="V26" s="2"/>
      <c r="W26" s="2"/>
      <c r="X26" s="2"/>
      <c r="Y26" s="23"/>
      <c r="Z26" s="29"/>
      <c r="AA26" s="23"/>
      <c r="AB26" s="30"/>
      <c r="AC26" s="23"/>
      <c r="AD26" s="23"/>
      <c r="AE26" s="23"/>
      <c r="AF26" s="23"/>
      <c r="AG26" s="23"/>
      <c r="AH26" s="23"/>
      <c r="AI26" s="23"/>
      <c r="AJ26" s="23"/>
      <c r="AK26" s="23"/>
      <c r="AL26" s="23"/>
      <c r="AM26" s="23"/>
      <c r="AN26" s="23"/>
    </row>
    <row r="27" spans="1:40" x14ac:dyDescent="0.25">
      <c r="A27" s="2"/>
      <c r="B27" s="2"/>
      <c r="C27" s="2"/>
      <c r="D27" s="22"/>
      <c r="E27" s="2"/>
      <c r="F27" s="2"/>
      <c r="G27" s="2"/>
      <c r="H27" s="2"/>
      <c r="I27" s="2"/>
      <c r="J27" s="2"/>
      <c r="K27" s="2"/>
      <c r="L27" s="2"/>
      <c r="M27" s="23"/>
      <c r="N27" s="23"/>
      <c r="O27" s="23"/>
      <c r="P27" s="30"/>
      <c r="Q27" s="23"/>
      <c r="R27" s="2"/>
      <c r="S27" s="2"/>
      <c r="T27" s="2"/>
      <c r="U27" s="2"/>
      <c r="V27" s="2"/>
      <c r="W27" s="2"/>
      <c r="X27" s="2"/>
      <c r="Y27" s="23"/>
      <c r="Z27" s="29"/>
      <c r="AA27" s="23"/>
      <c r="AB27" s="30"/>
      <c r="AC27" s="23"/>
      <c r="AD27" s="23"/>
      <c r="AE27" s="23"/>
      <c r="AF27" s="23"/>
      <c r="AG27" s="23"/>
      <c r="AH27" s="23"/>
      <c r="AI27" s="23"/>
      <c r="AJ27" s="23"/>
      <c r="AK27" s="23"/>
      <c r="AL27" s="23"/>
      <c r="AM27" s="23"/>
      <c r="AN27" s="23"/>
    </row>
    <row r="28" spans="1:40" x14ac:dyDescent="0.25">
      <c r="A28" s="2"/>
      <c r="B28" s="2"/>
      <c r="C28" s="2"/>
      <c r="D28" s="22"/>
      <c r="E28" s="2"/>
      <c r="F28" s="2"/>
      <c r="G28" s="2"/>
      <c r="H28" s="2"/>
      <c r="I28" s="2"/>
      <c r="J28" s="2"/>
      <c r="K28" s="2"/>
      <c r="L28" s="2"/>
      <c r="M28" s="23"/>
      <c r="N28" s="23"/>
      <c r="O28" s="23"/>
      <c r="P28" s="30"/>
      <c r="Q28" s="23"/>
      <c r="R28" s="2"/>
      <c r="S28" s="2"/>
      <c r="T28" s="2"/>
      <c r="U28" s="2"/>
      <c r="V28" s="2"/>
      <c r="W28" s="2"/>
      <c r="X28" s="2"/>
      <c r="Y28" s="23"/>
      <c r="Z28" s="29"/>
      <c r="AA28" s="23"/>
      <c r="AB28" s="30"/>
      <c r="AC28" s="23"/>
      <c r="AD28" s="23"/>
      <c r="AE28" s="23"/>
      <c r="AF28" s="23"/>
      <c r="AG28" s="23"/>
      <c r="AH28" s="23"/>
      <c r="AI28" s="23"/>
      <c r="AJ28" s="23"/>
      <c r="AK28" s="23"/>
      <c r="AL28" s="23"/>
      <c r="AM28" s="23"/>
      <c r="AN28" s="23"/>
    </row>
    <row r="29" spans="1:40" x14ac:dyDescent="0.25">
      <c r="A29" s="2"/>
      <c r="B29" s="2"/>
      <c r="C29" s="2"/>
      <c r="D29" s="22"/>
      <c r="E29" s="2"/>
      <c r="F29" s="2"/>
      <c r="G29" s="2"/>
      <c r="H29" s="2"/>
      <c r="I29" s="2"/>
      <c r="J29" s="2"/>
      <c r="K29" s="2"/>
      <c r="L29" s="2"/>
      <c r="M29" s="23"/>
      <c r="N29" s="23"/>
      <c r="O29" s="23"/>
      <c r="P29" s="30"/>
      <c r="Q29" s="23"/>
      <c r="R29" s="2"/>
      <c r="S29" s="2"/>
      <c r="T29" s="2"/>
      <c r="U29" s="2"/>
      <c r="V29" s="2"/>
      <c r="W29" s="2"/>
      <c r="X29" s="2"/>
      <c r="Y29" s="23"/>
      <c r="Z29" s="29"/>
      <c r="AA29" s="23"/>
      <c r="AB29" s="30"/>
      <c r="AC29" s="23"/>
      <c r="AD29" s="23"/>
      <c r="AE29" s="23"/>
      <c r="AF29" s="23"/>
      <c r="AG29" s="23"/>
      <c r="AH29" s="23"/>
      <c r="AI29" s="23"/>
      <c r="AJ29" s="23"/>
      <c r="AK29" s="23"/>
      <c r="AL29" s="23"/>
      <c r="AM29" s="23"/>
      <c r="AN29" s="23"/>
    </row>
    <row r="30" spans="1:40" x14ac:dyDescent="0.25">
      <c r="A30" s="2"/>
      <c r="B30" s="2"/>
      <c r="C30" s="2"/>
      <c r="D30" s="22"/>
      <c r="E30" s="2"/>
      <c r="F30" s="2"/>
      <c r="G30" s="2"/>
      <c r="H30" s="2"/>
      <c r="I30" s="2"/>
      <c r="J30" s="2"/>
      <c r="K30" s="2"/>
      <c r="L30" s="2"/>
      <c r="M30" s="23"/>
      <c r="N30" s="23"/>
      <c r="O30" s="23"/>
      <c r="P30" s="30"/>
      <c r="Q30" s="23"/>
      <c r="R30" s="2"/>
      <c r="S30" s="2"/>
      <c r="T30" s="2"/>
      <c r="U30" s="2"/>
      <c r="V30" s="2"/>
      <c r="W30" s="2"/>
      <c r="X30" s="2"/>
      <c r="Y30" s="23"/>
      <c r="Z30" s="29"/>
      <c r="AA30" s="23"/>
      <c r="AB30" s="30"/>
      <c r="AC30" s="23"/>
      <c r="AD30" s="23"/>
      <c r="AE30" s="23"/>
      <c r="AF30" s="23"/>
      <c r="AG30" s="23"/>
      <c r="AH30" s="23"/>
      <c r="AI30" s="23"/>
      <c r="AJ30" s="23"/>
      <c r="AK30" s="23"/>
      <c r="AL30" s="23"/>
      <c r="AM30" s="23"/>
      <c r="AN30" s="23"/>
    </row>
    <row r="31" spans="1:40" x14ac:dyDescent="0.25">
      <c r="A31" s="2"/>
      <c r="B31" s="2"/>
      <c r="C31" s="2"/>
      <c r="D31" s="22"/>
      <c r="E31" s="2"/>
      <c r="F31" s="2"/>
      <c r="G31" s="2"/>
      <c r="H31" s="2"/>
      <c r="I31" s="2"/>
      <c r="J31" s="2"/>
      <c r="K31" s="2"/>
      <c r="L31" s="2"/>
      <c r="M31" s="23"/>
      <c r="N31" s="23"/>
      <c r="O31" s="23"/>
      <c r="P31" s="30"/>
      <c r="Q31" s="23"/>
      <c r="R31" s="2"/>
      <c r="S31" s="2"/>
      <c r="T31" s="2"/>
      <c r="U31" s="2"/>
      <c r="V31" s="2"/>
      <c r="W31" s="2"/>
      <c r="X31" s="2"/>
      <c r="Y31" s="23"/>
      <c r="Z31" s="29"/>
      <c r="AA31" s="23"/>
      <c r="AB31" s="30"/>
      <c r="AC31" s="23"/>
      <c r="AD31" s="23"/>
      <c r="AE31" s="23"/>
      <c r="AF31" s="23"/>
      <c r="AG31" s="23"/>
      <c r="AH31" s="23"/>
      <c r="AI31" s="23"/>
      <c r="AJ31" s="23"/>
      <c r="AK31" s="23"/>
      <c r="AL31" s="23"/>
      <c r="AM31" s="23"/>
      <c r="AN31" s="23"/>
    </row>
    <row r="32" spans="1:40" x14ac:dyDescent="0.25">
      <c r="A32" s="2"/>
      <c r="B32" s="2"/>
      <c r="C32" s="2"/>
      <c r="D32" s="22"/>
      <c r="E32" s="2"/>
      <c r="F32" s="2"/>
      <c r="G32" s="2"/>
      <c r="H32" s="2"/>
      <c r="I32" s="2"/>
      <c r="J32" s="2"/>
      <c r="K32" s="2"/>
      <c r="L32" s="2"/>
      <c r="M32" s="23"/>
      <c r="N32" s="23"/>
      <c r="O32" s="23"/>
      <c r="P32" s="30"/>
      <c r="Q32" s="23"/>
      <c r="R32" s="2"/>
      <c r="S32" s="2"/>
      <c r="T32" s="2"/>
      <c r="U32" s="2"/>
      <c r="V32" s="2"/>
      <c r="W32" s="2"/>
      <c r="X32" s="2"/>
      <c r="Y32" s="23"/>
      <c r="Z32" s="29"/>
      <c r="AA32" s="23"/>
      <c r="AB32" s="30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</row>
    <row r="33" spans="1:40" x14ac:dyDescent="0.25">
      <c r="A33" s="2"/>
      <c r="B33" s="2"/>
      <c r="C33" s="2"/>
      <c r="D33" s="22"/>
      <c r="E33" s="2"/>
      <c r="F33" s="2"/>
      <c r="G33" s="2"/>
      <c r="H33" s="2"/>
      <c r="I33" s="2"/>
      <c r="J33" s="2"/>
      <c r="K33" s="2"/>
      <c r="L33" s="2"/>
      <c r="M33" s="23"/>
      <c r="N33" s="23"/>
      <c r="O33" s="23"/>
      <c r="P33" s="30"/>
      <c r="Q33" s="23"/>
      <c r="R33" s="2"/>
      <c r="S33" s="2"/>
      <c r="T33" s="2"/>
      <c r="U33" s="2"/>
      <c r="V33" s="2"/>
      <c r="W33" s="2"/>
      <c r="X33" s="2"/>
      <c r="Y33" s="23"/>
      <c r="Z33" s="29"/>
      <c r="AA33" s="23"/>
      <c r="AB33" s="30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</row>
    <row r="34" spans="1:40" x14ac:dyDescent="0.25">
      <c r="A34" s="2"/>
      <c r="B34" s="2"/>
      <c r="C34" s="2"/>
      <c r="D34" s="22"/>
      <c r="E34" s="2"/>
      <c r="F34" s="2"/>
      <c r="G34" s="2"/>
      <c r="H34" s="2"/>
      <c r="I34" s="2"/>
      <c r="J34" s="2"/>
      <c r="K34" s="2"/>
      <c r="L34" s="2"/>
      <c r="M34" s="23"/>
      <c r="N34" s="23"/>
      <c r="O34" s="23"/>
      <c r="P34" s="30"/>
      <c r="Q34" s="23"/>
      <c r="R34" s="2"/>
      <c r="S34" s="2"/>
      <c r="T34" s="2"/>
      <c r="U34" s="2"/>
      <c r="V34" s="2"/>
      <c r="W34" s="2"/>
      <c r="X34" s="2"/>
      <c r="Y34" s="23"/>
      <c r="Z34" s="29"/>
      <c r="AA34" s="23"/>
      <c r="AB34" s="30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</row>
    <row r="35" spans="1:40" x14ac:dyDescent="0.25">
      <c r="A35" s="2"/>
      <c r="B35" s="2"/>
      <c r="C35" s="2"/>
      <c r="D35" s="22"/>
      <c r="E35" s="2"/>
      <c r="F35" s="2"/>
      <c r="G35" s="2"/>
      <c r="H35" s="2"/>
      <c r="I35" s="2"/>
      <c r="J35" s="2"/>
      <c r="K35" s="2"/>
      <c r="L35" s="2"/>
      <c r="M35" s="23"/>
      <c r="N35" s="23"/>
      <c r="O35" s="23"/>
      <c r="P35" s="30"/>
      <c r="Q35" s="23"/>
      <c r="R35" s="2"/>
      <c r="S35" s="2"/>
      <c r="T35" s="2"/>
      <c r="U35" s="2"/>
      <c r="V35" s="2"/>
      <c r="W35" s="2"/>
      <c r="X35" s="2"/>
      <c r="Y35" s="23"/>
      <c r="Z35" s="29"/>
      <c r="AA35" s="23"/>
      <c r="AB35" s="30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</row>
    <row r="36" spans="1:40" x14ac:dyDescent="0.25">
      <c r="A36" s="2"/>
      <c r="B36" s="2"/>
      <c r="C36" s="2"/>
      <c r="D36" s="22"/>
      <c r="E36" s="2"/>
      <c r="F36" s="2"/>
      <c r="G36" s="2"/>
      <c r="H36" s="2"/>
      <c r="I36" s="2"/>
      <c r="J36" s="2"/>
      <c r="K36" s="2"/>
      <c r="L36" s="2"/>
      <c r="M36" s="23"/>
      <c r="N36" s="23"/>
      <c r="O36" s="23"/>
      <c r="P36" s="30"/>
      <c r="Q36" s="23"/>
      <c r="R36" s="2"/>
      <c r="S36" s="2"/>
      <c r="T36" s="2"/>
      <c r="U36" s="2"/>
      <c r="V36" s="2"/>
      <c r="W36" s="2"/>
      <c r="X36" s="2"/>
      <c r="Y36" s="23"/>
      <c r="Z36" s="29"/>
      <c r="AA36" s="23"/>
      <c r="AB36" s="30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</row>
    <row r="37" spans="1:40" x14ac:dyDescent="0.25">
      <c r="A37" s="2"/>
      <c r="B37" s="2"/>
      <c r="C37" s="2"/>
      <c r="D37" s="22"/>
      <c r="E37" s="2"/>
      <c r="F37" s="2"/>
      <c r="G37" s="2"/>
      <c r="H37" s="2"/>
      <c r="I37" s="2"/>
      <c r="J37" s="2"/>
      <c r="K37" s="2"/>
      <c r="L37" s="2"/>
      <c r="M37" s="23"/>
      <c r="N37" s="23"/>
      <c r="O37" s="23"/>
      <c r="P37" s="30"/>
      <c r="Q37" s="23"/>
      <c r="R37" s="2"/>
      <c r="S37" s="2"/>
      <c r="T37" s="2"/>
      <c r="U37" s="2"/>
      <c r="V37" s="2"/>
      <c r="W37" s="2"/>
      <c r="X37" s="2"/>
      <c r="Y37" s="23"/>
      <c r="Z37" s="29"/>
      <c r="AA37" s="23"/>
      <c r="AB37" s="30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</row>
    <row r="38" spans="1:40" x14ac:dyDescent="0.25">
      <c r="A38" s="2"/>
      <c r="B38" s="2"/>
      <c r="C38" s="2"/>
      <c r="D38" s="22"/>
      <c r="E38" s="2"/>
      <c r="F38" s="2"/>
      <c r="G38" s="2"/>
      <c r="H38" s="2"/>
      <c r="I38" s="2"/>
      <c r="J38" s="2"/>
      <c r="K38" s="2"/>
      <c r="L38" s="2"/>
      <c r="M38" s="23"/>
      <c r="N38" s="23"/>
      <c r="O38" s="23"/>
      <c r="P38" s="30"/>
      <c r="Q38" s="23"/>
      <c r="R38" s="2"/>
      <c r="S38" s="2"/>
      <c r="T38" s="2"/>
      <c r="U38" s="2"/>
      <c r="V38" s="2"/>
      <c r="W38" s="2"/>
      <c r="X38" s="2"/>
      <c r="Y38" s="23"/>
      <c r="Z38" s="29"/>
      <c r="AA38" s="23"/>
      <c r="AB38" s="30"/>
      <c r="AC38" s="23"/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3"/>
    </row>
    <row r="39" spans="1:40" x14ac:dyDescent="0.25">
      <c r="A39" s="2"/>
      <c r="B39" s="2"/>
      <c r="C39" s="2"/>
      <c r="D39" s="22"/>
      <c r="E39" s="2"/>
      <c r="F39" s="2"/>
      <c r="G39" s="2"/>
      <c r="H39" s="2"/>
      <c r="I39" s="2"/>
      <c r="J39" s="2"/>
      <c r="K39" s="2"/>
      <c r="L39" s="2"/>
      <c r="M39" s="23"/>
      <c r="N39" s="23"/>
      <c r="O39" s="23"/>
      <c r="P39" s="30"/>
      <c r="Q39" s="23"/>
      <c r="R39" s="2"/>
      <c r="S39" s="2"/>
      <c r="T39" s="2"/>
      <c r="U39" s="2"/>
      <c r="V39" s="2"/>
      <c r="W39" s="2"/>
      <c r="X39" s="2"/>
      <c r="Y39" s="23"/>
      <c r="Z39" s="29"/>
      <c r="AA39" s="23"/>
      <c r="AB39" s="30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</row>
    <row r="40" spans="1:40" x14ac:dyDescent="0.25">
      <c r="A40" s="2"/>
      <c r="B40" s="2"/>
      <c r="C40" s="2"/>
      <c r="D40" s="22"/>
      <c r="E40" s="2"/>
      <c r="F40" s="2"/>
      <c r="G40" s="2"/>
      <c r="H40" s="2"/>
      <c r="I40" s="2"/>
      <c r="J40" s="2"/>
      <c r="K40" s="2"/>
      <c r="L40" s="2"/>
      <c r="M40" s="23"/>
      <c r="N40" s="23"/>
      <c r="O40" s="23"/>
      <c r="P40" s="30"/>
      <c r="Q40" s="23"/>
      <c r="R40" s="2"/>
      <c r="S40" s="2"/>
      <c r="T40" s="2"/>
      <c r="U40" s="2"/>
      <c r="V40" s="2"/>
      <c r="W40" s="2"/>
      <c r="X40" s="2"/>
      <c r="Y40" s="23"/>
      <c r="Z40" s="29"/>
      <c r="AA40" s="23"/>
      <c r="AB40" s="30"/>
      <c r="AC40" s="23"/>
      <c r="AD40" s="23"/>
      <c r="AE40" s="23"/>
      <c r="AF40" s="23"/>
      <c r="AG40" s="23"/>
      <c r="AH40" s="23"/>
      <c r="AI40" s="23"/>
      <c r="AJ40" s="23"/>
      <c r="AK40" s="23"/>
      <c r="AL40" s="23"/>
      <c r="AM40" s="23"/>
      <c r="AN40" s="23"/>
    </row>
    <row r="41" spans="1:40" x14ac:dyDescent="0.25">
      <c r="A41" s="2"/>
      <c r="B41" s="2"/>
      <c r="C41" s="2"/>
      <c r="D41" s="22"/>
      <c r="E41" s="2"/>
      <c r="F41" s="2"/>
      <c r="G41" s="2"/>
      <c r="H41" s="2"/>
      <c r="I41" s="2"/>
      <c r="J41" s="2"/>
      <c r="K41" s="2"/>
      <c r="L41" s="2"/>
      <c r="M41" s="23"/>
      <c r="N41" s="23"/>
      <c r="O41" s="23"/>
      <c r="P41" s="30"/>
      <c r="Q41" s="23"/>
      <c r="R41" s="2"/>
      <c r="S41" s="2"/>
      <c r="T41" s="2"/>
      <c r="U41" s="2"/>
      <c r="V41" s="2"/>
      <c r="W41" s="2"/>
      <c r="X41" s="2"/>
      <c r="Y41" s="23"/>
      <c r="Z41" s="29"/>
      <c r="AA41" s="23"/>
      <c r="AB41" s="30"/>
      <c r="AC41" s="23"/>
      <c r="AD41" s="23"/>
      <c r="AE41" s="23"/>
      <c r="AF41" s="23"/>
      <c r="AG41" s="23"/>
      <c r="AH41" s="23"/>
      <c r="AI41" s="23"/>
      <c r="AJ41" s="23"/>
      <c r="AK41" s="23"/>
      <c r="AL41" s="23"/>
      <c r="AM41" s="23"/>
      <c r="AN41" s="23"/>
    </row>
    <row r="42" spans="1:40" x14ac:dyDescent="0.25">
      <c r="A42" s="2"/>
      <c r="B42" s="2"/>
      <c r="C42" s="2"/>
      <c r="D42" s="22"/>
      <c r="E42" s="2"/>
      <c r="F42" s="2"/>
      <c r="G42" s="2"/>
      <c r="H42" s="2"/>
      <c r="I42" s="2"/>
      <c r="J42" s="2"/>
      <c r="K42" s="2"/>
      <c r="L42" s="2"/>
      <c r="M42" s="23"/>
      <c r="N42" s="23"/>
      <c r="O42" s="23"/>
      <c r="P42" s="30"/>
      <c r="Q42" s="23"/>
      <c r="R42" s="2"/>
      <c r="S42" s="2"/>
      <c r="T42" s="2"/>
      <c r="U42" s="2"/>
      <c r="V42" s="2"/>
      <c r="W42" s="2"/>
      <c r="X42" s="2"/>
      <c r="Y42" s="23"/>
      <c r="Z42" s="29"/>
      <c r="AA42" s="23"/>
      <c r="AB42" s="30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</row>
    <row r="43" spans="1:40" x14ac:dyDescent="0.25">
      <c r="A43" s="2"/>
      <c r="B43" s="2"/>
      <c r="C43" s="2"/>
      <c r="D43" s="22"/>
      <c r="E43" s="2"/>
      <c r="F43" s="2"/>
      <c r="G43" s="2"/>
      <c r="H43" s="2"/>
      <c r="I43" s="2"/>
      <c r="J43" s="2"/>
      <c r="K43" s="2"/>
      <c r="L43" s="2"/>
      <c r="M43" s="23"/>
      <c r="N43" s="23"/>
      <c r="O43" s="23"/>
      <c r="P43" s="30"/>
      <c r="Q43" s="23"/>
      <c r="R43" s="2"/>
      <c r="S43" s="2"/>
      <c r="T43" s="2"/>
      <c r="U43" s="2"/>
      <c r="V43" s="2"/>
      <c r="W43" s="2"/>
      <c r="X43" s="2"/>
      <c r="Y43" s="23"/>
      <c r="Z43" s="29"/>
      <c r="AA43" s="23"/>
      <c r="AB43" s="30"/>
      <c r="AC43" s="23"/>
      <c r="AD43" s="23"/>
      <c r="AE43" s="23"/>
      <c r="AF43" s="23"/>
      <c r="AG43" s="23"/>
      <c r="AH43" s="23"/>
      <c r="AI43" s="23"/>
      <c r="AJ43" s="23"/>
      <c r="AK43" s="23"/>
      <c r="AL43" s="23"/>
      <c r="AM43" s="23"/>
      <c r="AN43" s="23"/>
    </row>
    <row r="44" spans="1:40" x14ac:dyDescent="0.25">
      <c r="A44" s="2"/>
      <c r="B44" s="2"/>
      <c r="C44" s="2"/>
      <c r="D44" s="22"/>
      <c r="E44" s="2"/>
      <c r="F44" s="2"/>
      <c r="G44" s="2"/>
      <c r="H44" s="2"/>
      <c r="I44" s="2"/>
      <c r="J44" s="2"/>
      <c r="K44" s="2"/>
      <c r="L44" s="2"/>
      <c r="M44" s="23"/>
      <c r="N44" s="23"/>
      <c r="O44" s="23"/>
      <c r="P44" s="30"/>
      <c r="Q44" s="23"/>
      <c r="R44" s="2"/>
      <c r="S44" s="2"/>
      <c r="T44" s="2"/>
      <c r="U44" s="2"/>
      <c r="V44" s="2"/>
      <c r="W44" s="2"/>
      <c r="X44" s="2"/>
      <c r="Y44" s="23"/>
      <c r="Z44" s="29"/>
      <c r="AA44" s="23"/>
      <c r="AB44" s="30"/>
      <c r="AC44" s="23"/>
      <c r="AD44" s="23"/>
      <c r="AE44" s="23"/>
      <c r="AF44" s="23"/>
      <c r="AG44" s="23"/>
      <c r="AH44" s="23"/>
      <c r="AI44" s="23"/>
      <c r="AJ44" s="23"/>
      <c r="AK44" s="23"/>
      <c r="AL44" s="23"/>
      <c r="AM44" s="23"/>
      <c r="AN44" s="23"/>
    </row>
    <row r="45" spans="1:40" x14ac:dyDescent="0.25">
      <c r="A45" s="2"/>
      <c r="B45" s="2"/>
      <c r="C45" s="2"/>
      <c r="D45" s="22"/>
      <c r="E45" s="2"/>
      <c r="F45" s="2"/>
      <c r="G45" s="2"/>
      <c r="H45" s="2"/>
      <c r="I45" s="2"/>
      <c r="J45" s="2"/>
      <c r="K45" s="2"/>
      <c r="L45" s="2"/>
      <c r="M45" s="23"/>
      <c r="N45" s="23"/>
      <c r="O45" s="23"/>
      <c r="P45" s="30"/>
      <c r="Q45" s="23"/>
      <c r="R45" s="2"/>
      <c r="S45" s="2"/>
      <c r="T45" s="2"/>
      <c r="U45" s="2"/>
      <c r="V45" s="2"/>
      <c r="W45" s="2"/>
      <c r="X45" s="2"/>
      <c r="Y45" s="23"/>
      <c r="Z45" s="29"/>
      <c r="AA45" s="23"/>
      <c r="AB45" s="30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</row>
    <row r="46" spans="1:40" x14ac:dyDescent="0.25">
      <c r="A46" s="2"/>
      <c r="B46" s="2"/>
      <c r="C46" s="2"/>
      <c r="D46" s="22"/>
      <c r="E46" s="2"/>
      <c r="F46" s="2"/>
      <c r="G46" s="2"/>
      <c r="H46" s="2"/>
      <c r="I46" s="2"/>
      <c r="J46" s="2"/>
      <c r="K46" s="2"/>
      <c r="L46" s="2"/>
      <c r="M46" s="23"/>
      <c r="N46" s="23"/>
      <c r="O46" s="23"/>
      <c r="P46" s="30"/>
      <c r="Q46" s="23"/>
      <c r="R46" s="2"/>
      <c r="S46" s="2"/>
      <c r="T46" s="2"/>
      <c r="U46" s="2"/>
      <c r="V46" s="2"/>
      <c r="W46" s="2"/>
      <c r="X46" s="2"/>
      <c r="Y46" s="23"/>
      <c r="Z46" s="29"/>
      <c r="AA46" s="23"/>
      <c r="AB46" s="30"/>
      <c r="AC46" s="23"/>
      <c r="AD46" s="23"/>
      <c r="AE46" s="23"/>
      <c r="AF46" s="23"/>
      <c r="AG46" s="23"/>
      <c r="AH46" s="23"/>
      <c r="AI46" s="23"/>
      <c r="AJ46" s="23"/>
      <c r="AK46" s="23"/>
      <c r="AL46" s="23"/>
      <c r="AM46" s="23"/>
      <c r="AN46" s="23"/>
    </row>
    <row r="47" spans="1:40" x14ac:dyDescent="0.25">
      <c r="A47" s="2"/>
      <c r="B47" s="2"/>
      <c r="C47" s="2"/>
      <c r="D47" s="22"/>
      <c r="E47" s="2"/>
      <c r="F47" s="2"/>
      <c r="G47" s="2"/>
      <c r="H47" s="2"/>
      <c r="I47" s="2"/>
      <c r="J47" s="2"/>
      <c r="K47" s="2"/>
      <c r="L47" s="2"/>
      <c r="M47" s="23"/>
      <c r="N47" s="23"/>
      <c r="O47" s="23"/>
      <c r="P47" s="30"/>
      <c r="Q47" s="23"/>
      <c r="R47" s="2"/>
      <c r="S47" s="2"/>
      <c r="T47" s="2"/>
      <c r="U47" s="2"/>
      <c r="V47" s="2"/>
      <c r="W47" s="2"/>
      <c r="X47" s="2"/>
      <c r="Y47" s="23"/>
      <c r="Z47" s="29"/>
      <c r="AA47" s="23"/>
      <c r="AB47" s="30"/>
      <c r="AC47" s="23"/>
      <c r="AD47" s="23"/>
      <c r="AE47" s="23"/>
      <c r="AF47" s="23"/>
      <c r="AG47" s="23"/>
      <c r="AH47" s="23"/>
      <c r="AI47" s="23"/>
      <c r="AJ47" s="23"/>
      <c r="AK47" s="23"/>
      <c r="AL47" s="23"/>
      <c r="AM47" s="23"/>
      <c r="AN47" s="23"/>
    </row>
    <row r="48" spans="1:40" x14ac:dyDescent="0.25">
      <c r="A48" s="2"/>
      <c r="B48" s="2"/>
      <c r="C48" s="2"/>
      <c r="D48" s="22"/>
      <c r="E48" s="2"/>
      <c r="F48" s="2"/>
      <c r="G48" s="2"/>
      <c r="H48" s="2"/>
      <c r="I48" s="2"/>
      <c r="J48" s="2"/>
      <c r="K48" s="2"/>
      <c r="L48" s="2"/>
      <c r="M48" s="23"/>
      <c r="N48" s="23"/>
      <c r="O48" s="23"/>
      <c r="P48" s="30"/>
      <c r="Q48" s="23"/>
      <c r="R48" s="2"/>
      <c r="S48" s="2"/>
      <c r="T48" s="2"/>
      <c r="U48" s="2"/>
      <c r="V48" s="2"/>
      <c r="W48" s="2"/>
      <c r="X48" s="2"/>
      <c r="Y48" s="23"/>
      <c r="Z48" s="29"/>
      <c r="AA48" s="23"/>
      <c r="AB48" s="30"/>
      <c r="AC48" s="23"/>
      <c r="AD48" s="23"/>
      <c r="AE48" s="23"/>
      <c r="AF48" s="23"/>
      <c r="AG48" s="23"/>
      <c r="AH48" s="23"/>
      <c r="AI48" s="23"/>
      <c r="AJ48" s="23"/>
      <c r="AK48" s="23"/>
      <c r="AL48" s="23"/>
      <c r="AM48" s="23"/>
      <c r="AN48" s="23"/>
    </row>
    <row r="49" spans="1:40" x14ac:dyDescent="0.25">
      <c r="A49" s="2"/>
      <c r="B49" s="2"/>
      <c r="C49" s="2"/>
      <c r="D49" s="22"/>
      <c r="E49" s="2"/>
      <c r="F49" s="2"/>
      <c r="G49" s="2"/>
      <c r="H49" s="2"/>
      <c r="I49" s="2"/>
      <c r="J49" s="2"/>
      <c r="K49" s="2"/>
      <c r="L49" s="2"/>
      <c r="M49" s="23"/>
      <c r="N49" s="23"/>
      <c r="O49" s="23"/>
      <c r="P49" s="30"/>
      <c r="Q49" s="23"/>
      <c r="R49" s="2"/>
      <c r="S49" s="2"/>
      <c r="T49" s="2"/>
      <c r="U49" s="2"/>
      <c r="V49" s="2"/>
      <c r="W49" s="2"/>
      <c r="X49" s="2"/>
      <c r="Y49" s="23"/>
      <c r="Z49" s="29"/>
      <c r="AA49" s="23"/>
      <c r="AB49" s="30"/>
      <c r="AC49" s="23"/>
      <c r="AD49" s="23"/>
      <c r="AE49" s="23"/>
      <c r="AF49" s="23"/>
      <c r="AG49" s="23"/>
      <c r="AH49" s="23"/>
      <c r="AI49" s="23"/>
      <c r="AJ49" s="23"/>
      <c r="AK49" s="23"/>
      <c r="AL49" s="23"/>
      <c r="AM49" s="23"/>
      <c r="AN49" s="23"/>
    </row>
    <row r="50" spans="1:40" x14ac:dyDescent="0.25">
      <c r="A50" s="2"/>
      <c r="B50" s="2"/>
      <c r="C50" s="2"/>
      <c r="D50" s="22"/>
      <c r="E50" s="2"/>
      <c r="F50" s="2"/>
      <c r="G50" s="2"/>
      <c r="H50" s="2"/>
      <c r="I50" s="2"/>
      <c r="J50" s="2"/>
      <c r="K50" s="2"/>
      <c r="L50" s="2"/>
      <c r="M50" s="23"/>
      <c r="N50" s="23"/>
      <c r="O50" s="23"/>
      <c r="P50" s="30"/>
      <c r="Q50" s="23"/>
      <c r="R50" s="2"/>
      <c r="S50" s="2"/>
      <c r="T50" s="2"/>
      <c r="U50" s="2"/>
      <c r="V50" s="2"/>
      <c r="W50" s="2"/>
      <c r="X50" s="2"/>
      <c r="Y50" s="23"/>
      <c r="Z50" s="29"/>
      <c r="AA50" s="23"/>
      <c r="AB50" s="30"/>
      <c r="AC50" s="23"/>
      <c r="AD50" s="23"/>
      <c r="AE50" s="23"/>
      <c r="AF50" s="23"/>
      <c r="AG50" s="23"/>
      <c r="AH50" s="23"/>
      <c r="AI50" s="23"/>
      <c r="AJ50" s="23"/>
      <c r="AK50" s="23"/>
      <c r="AL50" s="23"/>
      <c r="AM50" s="23"/>
      <c r="AN50" s="23"/>
    </row>
    <row r="51" spans="1:40" x14ac:dyDescent="0.25">
      <c r="A51" s="2"/>
      <c r="B51" s="2"/>
      <c r="C51" s="2"/>
      <c r="D51" s="22"/>
      <c r="E51" s="2"/>
      <c r="F51" s="2"/>
      <c r="G51" s="2"/>
      <c r="H51" s="2"/>
      <c r="I51" s="2"/>
      <c r="J51" s="2"/>
      <c r="K51" s="2"/>
      <c r="L51" s="2"/>
      <c r="M51" s="23"/>
      <c r="N51" s="23"/>
      <c r="O51" s="23"/>
      <c r="P51" s="30"/>
      <c r="Q51" s="23"/>
      <c r="R51" s="2"/>
      <c r="S51" s="2"/>
      <c r="T51" s="2"/>
      <c r="U51" s="2"/>
      <c r="V51" s="2"/>
      <c r="W51" s="2"/>
      <c r="X51" s="2"/>
      <c r="Y51" s="23"/>
      <c r="Z51" s="29"/>
      <c r="AA51" s="23"/>
      <c r="AB51" s="30"/>
      <c r="AC51" s="23"/>
      <c r="AD51" s="23"/>
      <c r="AE51" s="23"/>
      <c r="AF51" s="23"/>
      <c r="AG51" s="23"/>
      <c r="AH51" s="23"/>
      <c r="AI51" s="23"/>
      <c r="AJ51" s="23"/>
      <c r="AK51" s="23"/>
      <c r="AL51" s="23"/>
      <c r="AM51" s="23"/>
      <c r="AN51" s="23"/>
    </row>
    <row r="52" spans="1:40" x14ac:dyDescent="0.25">
      <c r="A52" s="2"/>
      <c r="B52" s="2"/>
      <c r="C52" s="2"/>
      <c r="D52" s="22"/>
      <c r="E52" s="2"/>
      <c r="F52" s="2"/>
      <c r="G52" s="2"/>
      <c r="H52" s="2"/>
      <c r="I52" s="2"/>
      <c r="J52" s="2"/>
      <c r="K52" s="2"/>
      <c r="L52" s="2"/>
      <c r="M52" s="23"/>
      <c r="N52" s="23"/>
      <c r="O52" s="23"/>
      <c r="P52" s="30"/>
      <c r="Q52" s="23"/>
      <c r="R52" s="2"/>
      <c r="S52" s="2"/>
      <c r="T52" s="2"/>
      <c r="U52" s="2"/>
      <c r="V52" s="2"/>
      <c r="W52" s="2"/>
      <c r="X52" s="2"/>
      <c r="Y52" s="23"/>
      <c r="Z52" s="29"/>
      <c r="AA52" s="23"/>
      <c r="AB52" s="30"/>
      <c r="AC52" s="23"/>
      <c r="AD52" s="23"/>
      <c r="AE52" s="23"/>
      <c r="AF52" s="23"/>
      <c r="AG52" s="23"/>
      <c r="AH52" s="23"/>
      <c r="AI52" s="23"/>
      <c r="AJ52" s="23"/>
      <c r="AK52" s="23"/>
      <c r="AL52" s="23"/>
      <c r="AM52" s="23"/>
      <c r="AN52" s="23"/>
    </row>
    <row r="53" spans="1:40" x14ac:dyDescent="0.25">
      <c r="A53" s="2"/>
      <c r="B53" s="2"/>
      <c r="C53" s="2"/>
      <c r="D53" s="22"/>
      <c r="E53" s="2"/>
      <c r="F53" s="2"/>
      <c r="G53" s="2"/>
      <c r="H53" s="2"/>
      <c r="I53" s="2"/>
      <c r="J53" s="2"/>
      <c r="K53" s="2"/>
      <c r="L53" s="2"/>
      <c r="M53" s="23"/>
      <c r="N53" s="23"/>
      <c r="O53" s="23"/>
      <c r="P53" s="30"/>
      <c r="Q53" s="23"/>
      <c r="R53" s="2"/>
      <c r="S53" s="2"/>
      <c r="T53" s="2"/>
      <c r="U53" s="2"/>
      <c r="V53" s="2"/>
      <c r="W53" s="2"/>
      <c r="X53" s="2"/>
      <c r="Y53" s="23"/>
      <c r="Z53" s="29"/>
      <c r="AA53" s="23"/>
      <c r="AB53" s="30"/>
      <c r="AC53" s="23"/>
      <c r="AD53" s="23"/>
      <c r="AE53" s="23"/>
      <c r="AF53" s="23"/>
      <c r="AG53" s="23"/>
      <c r="AH53" s="23"/>
      <c r="AI53" s="23"/>
      <c r="AJ53" s="23"/>
      <c r="AK53" s="23"/>
      <c r="AL53" s="23"/>
      <c r="AM53" s="23"/>
      <c r="AN53" s="23"/>
    </row>
    <row r="54" spans="1:40" x14ac:dyDescent="0.25">
      <c r="A54" s="2"/>
      <c r="B54" s="2"/>
      <c r="C54" s="2"/>
      <c r="D54" s="22"/>
      <c r="E54" s="2"/>
      <c r="F54" s="2"/>
      <c r="G54" s="2"/>
      <c r="H54" s="2"/>
      <c r="I54" s="2"/>
      <c r="J54" s="2"/>
      <c r="K54" s="2"/>
      <c r="L54" s="2"/>
      <c r="M54" s="23"/>
      <c r="N54" s="23"/>
      <c r="O54" s="23"/>
      <c r="P54" s="30"/>
      <c r="Q54" s="23"/>
      <c r="R54" s="2"/>
      <c r="S54" s="2"/>
      <c r="T54" s="2"/>
      <c r="U54" s="2"/>
      <c r="V54" s="2"/>
      <c r="W54" s="2"/>
      <c r="X54" s="2"/>
      <c r="Y54" s="23"/>
      <c r="Z54" s="29"/>
      <c r="AA54" s="23"/>
      <c r="AB54" s="30"/>
      <c r="AC54" s="23"/>
      <c r="AD54" s="23"/>
      <c r="AE54" s="23"/>
      <c r="AF54" s="23"/>
      <c r="AG54" s="23"/>
      <c r="AH54" s="23"/>
      <c r="AI54" s="23"/>
      <c r="AJ54" s="23"/>
      <c r="AK54" s="23"/>
      <c r="AL54" s="23"/>
      <c r="AM54" s="23"/>
      <c r="AN54" s="23"/>
    </row>
    <row r="55" spans="1:40" x14ac:dyDescent="0.25">
      <c r="A55" s="2"/>
      <c r="B55" s="2"/>
      <c r="C55" s="2"/>
      <c r="D55" s="22"/>
      <c r="E55" s="2"/>
      <c r="F55" s="2"/>
      <c r="G55" s="2"/>
      <c r="H55" s="2"/>
      <c r="I55" s="2"/>
      <c r="J55" s="2"/>
      <c r="K55" s="2"/>
      <c r="L55" s="2"/>
      <c r="M55" s="23"/>
      <c r="N55" s="23"/>
      <c r="O55" s="23"/>
      <c r="P55" s="30"/>
      <c r="Q55" s="23"/>
      <c r="R55" s="2"/>
      <c r="S55" s="2"/>
      <c r="T55" s="2"/>
      <c r="U55" s="2"/>
      <c r="V55" s="2"/>
      <c r="W55" s="2"/>
      <c r="X55" s="2"/>
      <c r="Y55" s="23"/>
      <c r="Z55" s="29"/>
      <c r="AA55" s="23"/>
      <c r="AB55" s="30"/>
      <c r="AC55" s="23"/>
      <c r="AD55" s="23"/>
      <c r="AE55" s="23"/>
      <c r="AF55" s="23"/>
      <c r="AG55" s="23"/>
      <c r="AH55" s="23"/>
      <c r="AI55" s="23"/>
      <c r="AJ55" s="23"/>
      <c r="AK55" s="23"/>
      <c r="AL55" s="23"/>
      <c r="AM55" s="23"/>
      <c r="AN55" s="23"/>
    </row>
    <row r="56" spans="1:40" x14ac:dyDescent="0.25">
      <c r="A56" s="2"/>
      <c r="B56" s="2"/>
      <c r="C56" s="2"/>
      <c r="D56" s="22"/>
      <c r="E56" s="2"/>
      <c r="F56" s="2"/>
      <c r="G56" s="2"/>
      <c r="H56" s="2"/>
      <c r="I56" s="2"/>
      <c r="J56" s="2"/>
      <c r="K56" s="2"/>
      <c r="L56" s="2"/>
      <c r="M56" s="23"/>
      <c r="N56" s="23"/>
      <c r="O56" s="23"/>
      <c r="P56" s="30"/>
      <c r="Q56" s="23"/>
      <c r="R56" s="2"/>
      <c r="S56" s="2"/>
      <c r="T56" s="2"/>
      <c r="U56" s="2"/>
      <c r="V56" s="2"/>
      <c r="W56" s="2"/>
      <c r="X56" s="2"/>
      <c r="Y56" s="23"/>
      <c r="Z56" s="29"/>
      <c r="AA56" s="23"/>
      <c r="AB56" s="30"/>
      <c r="AC56" s="23"/>
      <c r="AD56" s="23"/>
      <c r="AE56" s="23"/>
      <c r="AF56" s="23"/>
      <c r="AG56" s="23"/>
      <c r="AH56" s="23"/>
      <c r="AI56" s="23"/>
      <c r="AJ56" s="23"/>
      <c r="AK56" s="23"/>
      <c r="AL56" s="23"/>
      <c r="AM56" s="23"/>
      <c r="AN56" s="23"/>
    </row>
    <row r="57" spans="1:40" x14ac:dyDescent="0.25">
      <c r="A57" s="2"/>
      <c r="B57" s="2"/>
      <c r="C57" s="2"/>
      <c r="D57" s="22"/>
      <c r="E57" s="2"/>
      <c r="F57" s="2"/>
      <c r="G57" s="2"/>
      <c r="H57" s="2"/>
      <c r="I57" s="2"/>
      <c r="J57" s="2"/>
      <c r="K57" s="2"/>
      <c r="L57" s="2"/>
      <c r="M57" s="23"/>
      <c r="N57" s="23"/>
      <c r="O57" s="23"/>
      <c r="P57" s="30"/>
      <c r="Q57" s="23"/>
      <c r="R57" s="2"/>
      <c r="S57" s="2"/>
      <c r="T57" s="2"/>
      <c r="U57" s="2"/>
      <c r="V57" s="2"/>
      <c r="W57" s="2"/>
      <c r="X57" s="2"/>
      <c r="Y57" s="23"/>
      <c r="Z57" s="29"/>
      <c r="AA57" s="23"/>
      <c r="AB57" s="30"/>
      <c r="AC57" s="23"/>
      <c r="AD57" s="23"/>
      <c r="AE57" s="23"/>
      <c r="AF57" s="23"/>
      <c r="AG57" s="23"/>
      <c r="AH57" s="23"/>
      <c r="AI57" s="23"/>
      <c r="AJ57" s="23"/>
      <c r="AK57" s="23"/>
      <c r="AL57" s="23"/>
      <c r="AM57" s="23"/>
      <c r="AN57" s="23"/>
    </row>
    <row r="58" spans="1:40" x14ac:dyDescent="0.25">
      <c r="A58" s="2"/>
      <c r="B58" s="2"/>
      <c r="C58" s="2"/>
      <c r="D58" s="22"/>
      <c r="E58" s="2"/>
      <c r="F58" s="2"/>
      <c r="G58" s="2"/>
      <c r="H58" s="2"/>
      <c r="I58" s="2"/>
      <c r="J58" s="2"/>
      <c r="K58" s="2"/>
      <c r="L58" s="2"/>
      <c r="M58" s="23"/>
      <c r="N58" s="23"/>
      <c r="O58" s="23"/>
      <c r="P58" s="30"/>
      <c r="Q58" s="23"/>
      <c r="R58" s="2"/>
      <c r="S58" s="2"/>
      <c r="T58" s="2"/>
      <c r="U58" s="2"/>
      <c r="V58" s="2"/>
      <c r="W58" s="2"/>
      <c r="X58" s="2"/>
      <c r="Y58" s="23"/>
      <c r="Z58" s="29"/>
      <c r="AA58" s="23"/>
      <c r="AB58" s="30"/>
      <c r="AC58" s="23"/>
      <c r="AD58" s="23"/>
      <c r="AE58" s="23"/>
      <c r="AF58" s="23"/>
      <c r="AG58" s="23"/>
      <c r="AH58" s="23"/>
      <c r="AI58" s="23"/>
      <c r="AJ58" s="23"/>
      <c r="AK58" s="23"/>
      <c r="AL58" s="23"/>
      <c r="AM58" s="23"/>
      <c r="AN58" s="23"/>
    </row>
    <row r="59" spans="1:40" x14ac:dyDescent="0.25">
      <c r="A59" s="2"/>
      <c r="B59" s="2"/>
      <c r="C59" s="2"/>
      <c r="D59" s="22"/>
      <c r="E59" s="2"/>
      <c r="F59" s="2"/>
      <c r="G59" s="2"/>
      <c r="H59" s="2"/>
      <c r="I59" s="2"/>
      <c r="J59" s="2"/>
      <c r="K59" s="2"/>
      <c r="L59" s="2"/>
      <c r="M59" s="23"/>
      <c r="N59" s="23"/>
      <c r="O59" s="23"/>
      <c r="P59" s="30"/>
      <c r="Q59" s="23"/>
      <c r="R59" s="2"/>
      <c r="S59" s="2"/>
      <c r="T59" s="2"/>
      <c r="U59" s="2"/>
      <c r="V59" s="2"/>
      <c r="W59" s="2"/>
      <c r="X59" s="2"/>
      <c r="Y59" s="23"/>
      <c r="Z59" s="29"/>
      <c r="AA59" s="23"/>
      <c r="AB59" s="30"/>
      <c r="AC59" s="23"/>
      <c r="AD59" s="23"/>
      <c r="AE59" s="23"/>
      <c r="AF59" s="23"/>
      <c r="AG59" s="23"/>
      <c r="AH59" s="23"/>
      <c r="AI59" s="23"/>
      <c r="AJ59" s="23"/>
      <c r="AK59" s="23"/>
      <c r="AL59" s="23"/>
      <c r="AM59" s="23"/>
      <c r="AN59" s="23"/>
    </row>
    <row r="60" spans="1:40" x14ac:dyDescent="0.25">
      <c r="A60" s="2"/>
      <c r="B60" s="2"/>
      <c r="C60" s="2"/>
      <c r="D60" s="22"/>
      <c r="E60" s="2"/>
      <c r="F60" s="2"/>
      <c r="G60" s="2"/>
      <c r="H60" s="2"/>
      <c r="I60" s="2"/>
      <c r="J60" s="2"/>
      <c r="K60" s="2"/>
      <c r="L60" s="2"/>
      <c r="M60" s="23"/>
      <c r="N60" s="23"/>
      <c r="O60" s="23"/>
      <c r="P60" s="30"/>
      <c r="Q60" s="23"/>
      <c r="R60" s="2"/>
      <c r="S60" s="2"/>
      <c r="T60" s="2"/>
      <c r="U60" s="2"/>
      <c r="V60" s="2"/>
      <c r="W60" s="2"/>
      <c r="X60" s="2"/>
      <c r="Y60" s="23"/>
      <c r="Z60" s="29"/>
      <c r="AA60" s="23"/>
      <c r="AB60" s="30"/>
      <c r="AC60" s="23"/>
      <c r="AD60" s="23"/>
      <c r="AE60" s="23"/>
      <c r="AF60" s="23"/>
      <c r="AG60" s="23"/>
      <c r="AH60" s="23"/>
      <c r="AI60" s="23"/>
      <c r="AJ60" s="23"/>
      <c r="AK60" s="23"/>
      <c r="AL60" s="23"/>
      <c r="AM60" s="23"/>
      <c r="AN60" s="23"/>
    </row>
    <row r="61" spans="1:40" x14ac:dyDescent="0.25">
      <c r="A61" s="2"/>
      <c r="B61" s="2"/>
      <c r="C61" s="2"/>
      <c r="D61" s="22"/>
      <c r="E61" s="2"/>
      <c r="F61" s="2"/>
      <c r="G61" s="2"/>
      <c r="H61" s="2"/>
      <c r="I61" s="2"/>
      <c r="J61" s="2"/>
      <c r="K61" s="2"/>
      <c r="L61" s="2"/>
      <c r="M61" s="23"/>
      <c r="N61" s="23"/>
      <c r="O61" s="23"/>
      <c r="P61" s="30"/>
      <c r="Q61" s="23"/>
      <c r="R61" s="2"/>
      <c r="S61" s="2"/>
      <c r="T61" s="2"/>
      <c r="U61" s="2"/>
      <c r="V61" s="2"/>
      <c r="W61" s="2"/>
      <c r="X61" s="2"/>
      <c r="Y61" s="23"/>
      <c r="Z61" s="29"/>
      <c r="AA61" s="23"/>
      <c r="AB61" s="30"/>
      <c r="AC61" s="23"/>
      <c r="AD61" s="23"/>
      <c r="AE61" s="23"/>
      <c r="AF61" s="23"/>
      <c r="AG61" s="23"/>
      <c r="AH61" s="23"/>
      <c r="AI61" s="23"/>
      <c r="AJ61" s="23"/>
      <c r="AK61" s="23"/>
      <c r="AL61" s="23"/>
      <c r="AM61" s="23"/>
      <c r="AN61" s="23"/>
    </row>
    <row r="62" spans="1:40" x14ac:dyDescent="0.25">
      <c r="A62" s="2"/>
      <c r="B62" s="2"/>
      <c r="C62" s="2"/>
      <c r="D62" s="22"/>
      <c r="E62" s="2"/>
      <c r="F62" s="2"/>
      <c r="G62" s="2"/>
      <c r="H62" s="2"/>
      <c r="I62" s="2"/>
      <c r="J62" s="2"/>
      <c r="K62" s="2"/>
      <c r="L62" s="2"/>
      <c r="M62" s="23"/>
      <c r="N62" s="23"/>
      <c r="O62" s="23"/>
      <c r="P62" s="30"/>
      <c r="Q62" s="23"/>
      <c r="R62" s="2"/>
      <c r="S62" s="2"/>
      <c r="T62" s="2"/>
      <c r="U62" s="2"/>
      <c r="V62" s="2"/>
      <c r="W62" s="2"/>
      <c r="X62" s="2"/>
      <c r="Y62" s="23"/>
      <c r="Z62" s="29"/>
      <c r="AA62" s="23"/>
      <c r="AB62" s="30"/>
      <c r="AC62" s="23"/>
      <c r="AD62" s="23"/>
      <c r="AE62" s="23"/>
      <c r="AF62" s="23"/>
      <c r="AG62" s="23"/>
      <c r="AH62" s="23"/>
      <c r="AI62" s="23"/>
      <c r="AJ62" s="23"/>
      <c r="AK62" s="23"/>
      <c r="AL62" s="23"/>
      <c r="AM62" s="23"/>
      <c r="AN62" s="23"/>
    </row>
    <row r="63" spans="1:40" x14ac:dyDescent="0.25">
      <c r="A63" s="2"/>
      <c r="B63" s="2"/>
      <c r="C63" s="2"/>
      <c r="D63" s="22"/>
      <c r="E63" s="2"/>
      <c r="F63" s="2"/>
      <c r="G63" s="2"/>
      <c r="H63" s="2"/>
      <c r="I63" s="2"/>
      <c r="J63" s="2"/>
      <c r="K63" s="2"/>
      <c r="L63" s="2"/>
      <c r="M63" s="23"/>
      <c r="N63" s="23"/>
      <c r="O63" s="23"/>
      <c r="P63" s="30"/>
      <c r="Q63" s="23"/>
      <c r="R63" s="2"/>
      <c r="S63" s="2"/>
      <c r="T63" s="2"/>
      <c r="U63" s="2"/>
      <c r="V63" s="2"/>
      <c r="W63" s="2"/>
      <c r="X63" s="2"/>
      <c r="Y63" s="23"/>
      <c r="Z63" s="29"/>
      <c r="AA63" s="23"/>
      <c r="AB63" s="30"/>
      <c r="AC63" s="23"/>
      <c r="AD63" s="23"/>
      <c r="AE63" s="23"/>
      <c r="AF63" s="23"/>
      <c r="AG63" s="23"/>
      <c r="AH63" s="23"/>
      <c r="AI63" s="23"/>
      <c r="AJ63" s="23"/>
      <c r="AK63" s="23"/>
      <c r="AL63" s="23"/>
      <c r="AM63" s="23"/>
      <c r="AN63" s="23"/>
    </row>
    <row r="64" spans="1:40" x14ac:dyDescent="0.25">
      <c r="A64" s="2"/>
      <c r="B64" s="2"/>
      <c r="C64" s="2"/>
      <c r="D64" s="22"/>
      <c r="E64" s="2"/>
      <c r="F64" s="2"/>
      <c r="G64" s="2"/>
      <c r="H64" s="2"/>
      <c r="I64" s="2"/>
      <c r="J64" s="2"/>
      <c r="K64" s="2"/>
      <c r="L64" s="2"/>
      <c r="M64" s="23"/>
      <c r="N64" s="23"/>
      <c r="O64" s="23"/>
      <c r="P64" s="30"/>
      <c r="Q64" s="23"/>
      <c r="R64" s="2"/>
      <c r="S64" s="2"/>
      <c r="T64" s="2"/>
      <c r="U64" s="2"/>
      <c r="V64" s="2"/>
      <c r="W64" s="2"/>
      <c r="X64" s="2"/>
      <c r="Y64" s="23"/>
      <c r="Z64" s="29"/>
      <c r="AA64" s="23"/>
      <c r="AB64" s="30"/>
      <c r="AC64" s="23"/>
      <c r="AD64" s="23"/>
      <c r="AE64" s="23"/>
      <c r="AF64" s="23"/>
      <c r="AG64" s="23"/>
      <c r="AH64" s="23"/>
      <c r="AI64" s="23"/>
      <c r="AJ64" s="23"/>
      <c r="AK64" s="23"/>
      <c r="AL64" s="23"/>
      <c r="AM64" s="23"/>
      <c r="AN64" s="23"/>
    </row>
    <row r="65" spans="1:40" x14ac:dyDescent="0.25">
      <c r="A65" s="2"/>
      <c r="B65" s="2"/>
      <c r="C65" s="2"/>
      <c r="D65" s="22"/>
      <c r="E65" s="2"/>
      <c r="F65" s="2"/>
      <c r="G65" s="2"/>
      <c r="H65" s="2"/>
      <c r="I65" s="2"/>
      <c r="J65" s="2"/>
      <c r="K65" s="2"/>
      <c r="L65" s="2"/>
      <c r="M65" s="23"/>
      <c r="N65" s="23"/>
      <c r="O65" s="23"/>
      <c r="P65" s="30"/>
      <c r="Q65" s="23"/>
      <c r="R65" s="2"/>
      <c r="S65" s="2"/>
      <c r="T65" s="2"/>
      <c r="U65" s="2"/>
      <c r="V65" s="2"/>
      <c r="W65" s="2"/>
      <c r="X65" s="2"/>
      <c r="Y65" s="23"/>
      <c r="Z65" s="29"/>
      <c r="AA65" s="23"/>
      <c r="AB65" s="30"/>
      <c r="AC65" s="23"/>
      <c r="AD65" s="23"/>
      <c r="AE65" s="23"/>
      <c r="AF65" s="23"/>
      <c r="AG65" s="23"/>
      <c r="AH65" s="23"/>
      <c r="AI65" s="23"/>
      <c r="AJ65" s="23"/>
      <c r="AK65" s="23"/>
      <c r="AL65" s="23"/>
      <c r="AM65" s="23"/>
      <c r="AN65" s="23"/>
    </row>
    <row r="66" spans="1:40" x14ac:dyDescent="0.25">
      <c r="A66" s="2"/>
      <c r="B66" s="2"/>
      <c r="C66" s="2"/>
      <c r="D66" s="22"/>
      <c r="E66" s="2"/>
      <c r="F66" s="2"/>
      <c r="G66" s="2"/>
      <c r="H66" s="2"/>
      <c r="I66" s="2"/>
      <c r="J66" s="2"/>
      <c r="K66" s="2"/>
      <c r="L66" s="2"/>
      <c r="M66" s="23"/>
      <c r="N66" s="23"/>
      <c r="O66" s="23"/>
      <c r="P66" s="30"/>
      <c r="Q66" s="23"/>
      <c r="R66" s="2"/>
      <c r="S66" s="2"/>
      <c r="T66" s="2"/>
      <c r="U66" s="2"/>
      <c r="V66" s="2"/>
      <c r="W66" s="2"/>
      <c r="X66" s="2"/>
      <c r="Y66" s="23"/>
      <c r="Z66" s="29"/>
      <c r="AA66" s="23"/>
      <c r="AB66" s="30"/>
      <c r="AC66" s="23"/>
      <c r="AD66" s="23"/>
      <c r="AE66" s="23"/>
      <c r="AF66" s="23"/>
      <c r="AG66" s="23"/>
      <c r="AH66" s="23"/>
      <c r="AI66" s="23"/>
      <c r="AJ66" s="23"/>
      <c r="AK66" s="23"/>
      <c r="AL66" s="23"/>
      <c r="AM66" s="23"/>
      <c r="AN66" s="23"/>
    </row>
    <row r="67" spans="1:40" x14ac:dyDescent="0.25">
      <c r="A67" s="2"/>
      <c r="B67" s="2"/>
      <c r="C67" s="2"/>
      <c r="D67" s="22"/>
      <c r="E67" s="2"/>
      <c r="F67" s="2"/>
      <c r="G67" s="2"/>
      <c r="H67" s="2"/>
      <c r="I67" s="2"/>
      <c r="J67" s="2"/>
      <c r="K67" s="2"/>
      <c r="L67" s="2"/>
      <c r="M67" s="23"/>
      <c r="N67" s="23"/>
      <c r="O67" s="23"/>
      <c r="P67" s="30"/>
      <c r="Q67" s="23"/>
      <c r="R67" s="2"/>
      <c r="S67" s="2"/>
      <c r="T67" s="2"/>
      <c r="U67" s="2"/>
      <c r="V67" s="2"/>
      <c r="W67" s="2"/>
      <c r="X67" s="2"/>
      <c r="Y67" s="23"/>
      <c r="Z67" s="29"/>
      <c r="AA67" s="23"/>
      <c r="AB67" s="30"/>
      <c r="AC67" s="23"/>
      <c r="AD67" s="23"/>
      <c r="AE67" s="23"/>
      <c r="AF67" s="23"/>
      <c r="AG67" s="23"/>
      <c r="AH67" s="23"/>
      <c r="AI67" s="23"/>
      <c r="AJ67" s="23"/>
      <c r="AK67" s="23"/>
      <c r="AL67" s="23"/>
      <c r="AM67" s="23"/>
      <c r="AN67" s="23"/>
    </row>
    <row r="68" spans="1:40" x14ac:dyDescent="0.25">
      <c r="A68" s="2"/>
      <c r="B68" s="2"/>
      <c r="C68" s="2"/>
      <c r="D68" s="22"/>
      <c r="E68" s="2"/>
      <c r="F68" s="2"/>
      <c r="G68" s="2"/>
      <c r="H68" s="2"/>
      <c r="I68" s="2"/>
      <c r="J68" s="2"/>
      <c r="K68" s="2"/>
      <c r="L68" s="2"/>
      <c r="M68" s="23"/>
      <c r="N68" s="23"/>
      <c r="O68" s="23"/>
      <c r="P68" s="30"/>
      <c r="Q68" s="23"/>
      <c r="R68" s="2"/>
      <c r="S68" s="2"/>
      <c r="T68" s="2"/>
      <c r="U68" s="2"/>
      <c r="V68" s="2"/>
      <c r="W68" s="2"/>
      <c r="X68" s="2"/>
      <c r="Y68" s="23"/>
      <c r="Z68" s="29"/>
      <c r="AA68" s="23"/>
      <c r="AB68" s="30"/>
      <c r="AC68" s="23"/>
      <c r="AD68" s="23"/>
      <c r="AE68" s="23"/>
      <c r="AF68" s="23"/>
      <c r="AG68" s="23"/>
      <c r="AH68" s="23"/>
      <c r="AI68" s="23"/>
      <c r="AJ68" s="23"/>
      <c r="AK68" s="23"/>
      <c r="AL68" s="23"/>
      <c r="AM68" s="23"/>
      <c r="AN68" s="23"/>
    </row>
    <row r="69" spans="1:40" x14ac:dyDescent="0.25">
      <c r="A69" s="2"/>
      <c r="B69" s="2"/>
      <c r="C69" s="2"/>
      <c r="D69" s="22"/>
      <c r="E69" s="2"/>
      <c r="F69" s="2"/>
      <c r="G69" s="2"/>
      <c r="H69" s="2"/>
      <c r="I69" s="2"/>
      <c r="J69" s="2"/>
      <c r="K69" s="2"/>
      <c r="L69" s="2"/>
      <c r="M69" s="23"/>
      <c r="N69" s="23"/>
      <c r="O69" s="23"/>
      <c r="P69" s="30"/>
      <c r="Q69" s="23"/>
      <c r="R69" s="2"/>
      <c r="S69" s="2"/>
      <c r="T69" s="2"/>
      <c r="U69" s="2"/>
      <c r="V69" s="2"/>
      <c r="W69" s="2"/>
      <c r="X69" s="2"/>
      <c r="Y69" s="23"/>
      <c r="Z69" s="29"/>
      <c r="AA69" s="23"/>
      <c r="AB69" s="30"/>
      <c r="AC69" s="23"/>
      <c r="AD69" s="23"/>
      <c r="AE69" s="23"/>
      <c r="AF69" s="23"/>
      <c r="AG69" s="23"/>
      <c r="AH69" s="23"/>
      <c r="AI69" s="23"/>
      <c r="AJ69" s="23"/>
      <c r="AK69" s="23"/>
      <c r="AL69" s="23"/>
      <c r="AM69" s="23"/>
      <c r="AN69" s="23"/>
    </row>
    <row r="70" spans="1:40" x14ac:dyDescent="0.25">
      <c r="A70" s="2"/>
      <c r="B70" s="2"/>
      <c r="C70" s="2"/>
      <c r="D70" s="22"/>
      <c r="E70" s="2"/>
      <c r="F70" s="2"/>
      <c r="G70" s="2"/>
      <c r="H70" s="2"/>
      <c r="I70" s="2"/>
      <c r="J70" s="2"/>
      <c r="K70" s="2"/>
      <c r="L70" s="2"/>
      <c r="M70" s="23"/>
      <c r="N70" s="23"/>
      <c r="O70" s="23"/>
      <c r="P70" s="30"/>
      <c r="Q70" s="23"/>
      <c r="R70" s="2"/>
      <c r="S70" s="2"/>
      <c r="T70" s="2"/>
      <c r="U70" s="2"/>
      <c r="V70" s="2"/>
      <c r="W70" s="2"/>
      <c r="X70" s="2"/>
      <c r="Y70" s="23"/>
      <c r="Z70" s="29"/>
      <c r="AA70" s="23"/>
      <c r="AB70" s="30"/>
      <c r="AC70" s="23"/>
      <c r="AD70" s="23"/>
      <c r="AE70" s="23"/>
      <c r="AF70" s="23"/>
      <c r="AG70" s="23"/>
      <c r="AH70" s="23"/>
      <c r="AI70" s="23"/>
      <c r="AJ70" s="23"/>
      <c r="AK70" s="23"/>
      <c r="AL70" s="23"/>
      <c r="AM70" s="23"/>
      <c r="AN70" s="23"/>
    </row>
    <row r="71" spans="1:40" x14ac:dyDescent="0.25">
      <c r="A71" s="2"/>
      <c r="B71" s="2"/>
      <c r="C71" s="2"/>
      <c r="D71" s="22"/>
      <c r="E71" s="2"/>
      <c r="F71" s="2"/>
      <c r="G71" s="2"/>
      <c r="H71" s="2"/>
      <c r="I71" s="2"/>
      <c r="J71" s="2"/>
      <c r="K71" s="2"/>
      <c r="L71" s="2"/>
      <c r="M71" s="23"/>
      <c r="N71" s="23"/>
      <c r="O71" s="23"/>
      <c r="P71" s="30"/>
      <c r="Q71" s="23"/>
      <c r="R71" s="2"/>
      <c r="S71" s="2"/>
      <c r="T71" s="2"/>
      <c r="U71" s="2"/>
      <c r="V71" s="2"/>
      <c r="W71" s="2"/>
      <c r="X71" s="2"/>
      <c r="Y71" s="23"/>
      <c r="Z71" s="29"/>
      <c r="AA71" s="23"/>
      <c r="AB71" s="30"/>
      <c r="AC71" s="23"/>
      <c r="AD71" s="23"/>
      <c r="AE71" s="23"/>
      <c r="AF71" s="23"/>
      <c r="AG71" s="23"/>
      <c r="AH71" s="23"/>
      <c r="AI71" s="23"/>
      <c r="AJ71" s="23"/>
      <c r="AK71" s="23"/>
      <c r="AL71" s="23"/>
      <c r="AM71" s="23"/>
      <c r="AN71" s="23"/>
    </row>
    <row r="72" spans="1:40" x14ac:dyDescent="0.25">
      <c r="A72" s="2"/>
      <c r="B72" s="2"/>
      <c r="C72" s="2"/>
      <c r="D72" s="22"/>
      <c r="E72" s="2"/>
      <c r="F72" s="2"/>
      <c r="G72" s="2"/>
      <c r="H72" s="2"/>
      <c r="I72" s="2"/>
      <c r="J72" s="2"/>
      <c r="K72" s="2"/>
      <c r="L72" s="2"/>
      <c r="M72" s="23"/>
      <c r="N72" s="23"/>
      <c r="O72" s="23"/>
      <c r="P72" s="30"/>
      <c r="Q72" s="23"/>
      <c r="R72" s="2"/>
      <c r="S72" s="2"/>
      <c r="T72" s="2"/>
      <c r="U72" s="2"/>
      <c r="V72" s="2"/>
      <c r="W72" s="2"/>
      <c r="X72" s="2"/>
      <c r="Y72" s="23"/>
      <c r="Z72" s="29"/>
      <c r="AA72" s="23"/>
      <c r="AB72" s="30"/>
      <c r="AC72" s="23"/>
      <c r="AD72" s="23"/>
      <c r="AE72" s="23"/>
      <c r="AF72" s="23"/>
      <c r="AG72" s="23"/>
      <c r="AH72" s="23"/>
      <c r="AI72" s="23"/>
      <c r="AJ72" s="23"/>
      <c r="AK72" s="23"/>
      <c r="AL72" s="23"/>
      <c r="AM72" s="23"/>
      <c r="AN72" s="23"/>
    </row>
    <row r="73" spans="1:40" x14ac:dyDescent="0.25">
      <c r="A73" s="2"/>
      <c r="B73" s="2"/>
      <c r="C73" s="2"/>
      <c r="D73" s="22"/>
      <c r="E73" s="2"/>
      <c r="F73" s="2"/>
      <c r="G73" s="2"/>
      <c r="H73" s="2"/>
      <c r="I73" s="2"/>
      <c r="J73" s="2"/>
      <c r="K73" s="2"/>
      <c r="L73" s="2"/>
      <c r="M73" s="23"/>
      <c r="N73" s="23"/>
      <c r="O73" s="23"/>
      <c r="P73" s="30"/>
      <c r="Q73" s="23"/>
      <c r="R73" s="2"/>
      <c r="S73" s="2"/>
      <c r="T73" s="2"/>
      <c r="U73" s="2"/>
      <c r="V73" s="2"/>
      <c r="W73" s="2"/>
      <c r="X73" s="2"/>
      <c r="Y73" s="23"/>
      <c r="Z73" s="29"/>
      <c r="AA73" s="23"/>
      <c r="AB73" s="30"/>
      <c r="AC73" s="23"/>
      <c r="AD73" s="23"/>
      <c r="AE73" s="23"/>
      <c r="AF73" s="23"/>
      <c r="AG73" s="23"/>
      <c r="AH73" s="23"/>
      <c r="AI73" s="23"/>
      <c r="AJ73" s="23"/>
      <c r="AK73" s="23"/>
      <c r="AL73" s="23"/>
      <c r="AM73" s="23"/>
      <c r="AN73" s="23"/>
    </row>
    <row r="74" spans="1:40" x14ac:dyDescent="0.25">
      <c r="A74" s="2"/>
      <c r="B74" s="2"/>
      <c r="C74" s="2"/>
      <c r="D74" s="22"/>
      <c r="E74" s="2"/>
      <c r="F74" s="2"/>
      <c r="G74" s="2"/>
      <c r="H74" s="2"/>
      <c r="I74" s="2"/>
      <c r="J74" s="2"/>
      <c r="K74" s="2"/>
      <c r="L74" s="2"/>
      <c r="M74" s="23"/>
      <c r="N74" s="23"/>
      <c r="O74" s="23"/>
      <c r="P74" s="30"/>
      <c r="Q74" s="23"/>
      <c r="R74" s="2"/>
      <c r="S74" s="2"/>
      <c r="T74" s="2"/>
      <c r="U74" s="2"/>
      <c r="V74" s="2"/>
      <c r="W74" s="2"/>
      <c r="X74" s="2"/>
      <c r="Y74" s="23"/>
      <c r="Z74" s="29"/>
      <c r="AA74" s="23"/>
      <c r="AB74" s="30"/>
      <c r="AC74" s="23"/>
      <c r="AD74" s="23"/>
      <c r="AE74" s="23"/>
      <c r="AF74" s="23"/>
      <c r="AG74" s="23"/>
      <c r="AH74" s="23"/>
      <c r="AI74" s="23"/>
      <c r="AJ74" s="23"/>
      <c r="AK74" s="23"/>
      <c r="AL74" s="23"/>
      <c r="AM74" s="23"/>
      <c r="AN74" s="23"/>
    </row>
    <row r="75" spans="1:40" x14ac:dyDescent="0.25">
      <c r="A75" s="2"/>
      <c r="B75" s="2"/>
      <c r="C75" s="2"/>
      <c r="D75" s="22"/>
      <c r="E75" s="2"/>
      <c r="F75" s="2"/>
      <c r="G75" s="2"/>
      <c r="H75" s="2"/>
      <c r="I75" s="2"/>
      <c r="J75" s="2"/>
      <c r="K75" s="2"/>
      <c r="L75" s="2"/>
      <c r="M75" s="23"/>
      <c r="N75" s="23"/>
      <c r="O75" s="23"/>
      <c r="P75" s="30"/>
      <c r="Q75" s="23"/>
      <c r="R75" s="2"/>
      <c r="S75" s="2"/>
      <c r="T75" s="2"/>
      <c r="U75" s="2"/>
      <c r="V75" s="2"/>
      <c r="W75" s="2"/>
      <c r="X75" s="2"/>
      <c r="Y75" s="23"/>
      <c r="Z75" s="29"/>
      <c r="AA75" s="23"/>
      <c r="AB75" s="30"/>
      <c r="AC75" s="23"/>
      <c r="AD75" s="23"/>
      <c r="AE75" s="23"/>
      <c r="AF75" s="23"/>
      <c r="AG75" s="23"/>
      <c r="AH75" s="23"/>
      <c r="AI75" s="23"/>
      <c r="AJ75" s="23"/>
      <c r="AK75" s="23"/>
      <c r="AL75" s="23"/>
      <c r="AM75" s="23"/>
      <c r="AN75" s="23"/>
    </row>
    <row r="76" spans="1:40" x14ac:dyDescent="0.25">
      <c r="A76" s="2"/>
      <c r="B76" s="2"/>
      <c r="C76" s="2"/>
      <c r="D76" s="22"/>
      <c r="E76" s="2"/>
      <c r="F76" s="2"/>
      <c r="G76" s="2"/>
      <c r="H76" s="2"/>
      <c r="I76" s="2"/>
      <c r="J76" s="2"/>
      <c r="K76" s="2"/>
      <c r="L76" s="2"/>
      <c r="M76" s="23"/>
      <c r="N76" s="23"/>
      <c r="O76" s="23"/>
      <c r="P76" s="30"/>
      <c r="Q76" s="23"/>
      <c r="R76" s="2"/>
      <c r="S76" s="2"/>
      <c r="T76" s="2"/>
      <c r="U76" s="2"/>
      <c r="V76" s="2"/>
      <c r="W76" s="2"/>
      <c r="X76" s="2"/>
      <c r="Y76" s="23"/>
      <c r="Z76" s="29"/>
      <c r="AA76" s="23"/>
      <c r="AB76" s="30"/>
      <c r="AC76" s="23"/>
      <c r="AD76" s="23"/>
      <c r="AE76" s="23"/>
      <c r="AF76" s="23"/>
      <c r="AG76" s="23"/>
      <c r="AH76" s="23"/>
      <c r="AI76" s="23"/>
      <c r="AJ76" s="23"/>
      <c r="AK76" s="23"/>
      <c r="AL76" s="23"/>
      <c r="AM76" s="23"/>
      <c r="AN76" s="23"/>
    </row>
    <row r="77" spans="1:40" x14ac:dyDescent="0.25">
      <c r="A77" s="2"/>
      <c r="B77" s="2"/>
      <c r="C77" s="2"/>
      <c r="D77" s="22"/>
      <c r="E77" s="2"/>
      <c r="F77" s="2"/>
      <c r="G77" s="2"/>
      <c r="H77" s="2"/>
      <c r="I77" s="2"/>
      <c r="J77" s="2"/>
      <c r="K77" s="2"/>
      <c r="L77" s="2"/>
      <c r="M77" s="23"/>
      <c r="N77" s="23"/>
      <c r="O77" s="23"/>
      <c r="P77" s="30"/>
      <c r="Q77" s="23"/>
      <c r="R77" s="2"/>
      <c r="S77" s="2"/>
      <c r="T77" s="2"/>
      <c r="U77" s="2"/>
      <c r="V77" s="2"/>
      <c r="W77" s="2"/>
      <c r="X77" s="2"/>
      <c r="Y77" s="23"/>
      <c r="Z77" s="29"/>
      <c r="AA77" s="23"/>
      <c r="AB77" s="30"/>
      <c r="AC77" s="23"/>
      <c r="AD77" s="23"/>
      <c r="AE77" s="23"/>
      <c r="AF77" s="23"/>
      <c r="AG77" s="23"/>
      <c r="AH77" s="23"/>
      <c r="AI77" s="23"/>
      <c r="AJ77" s="23"/>
      <c r="AK77" s="23"/>
      <c r="AL77" s="23"/>
      <c r="AM77" s="23"/>
      <c r="AN77" s="23"/>
    </row>
    <row r="78" spans="1:40" x14ac:dyDescent="0.25">
      <c r="A78" s="2"/>
      <c r="B78" s="2"/>
      <c r="C78" s="2"/>
      <c r="D78" s="22"/>
      <c r="E78" s="2"/>
      <c r="F78" s="2"/>
      <c r="G78" s="2"/>
      <c r="H78" s="2"/>
      <c r="I78" s="2"/>
      <c r="J78" s="2"/>
      <c r="K78" s="2"/>
      <c r="L78" s="2"/>
      <c r="M78" s="23"/>
      <c r="N78" s="23"/>
      <c r="O78" s="23"/>
      <c r="P78" s="30"/>
      <c r="Q78" s="23"/>
      <c r="R78" s="2"/>
      <c r="S78" s="2"/>
      <c r="T78" s="2"/>
      <c r="U78" s="2"/>
      <c r="V78" s="2"/>
      <c r="W78" s="2"/>
      <c r="X78" s="2"/>
      <c r="Y78" s="23"/>
      <c r="Z78" s="29"/>
      <c r="AA78" s="23"/>
      <c r="AB78" s="30"/>
      <c r="AC78" s="23"/>
      <c r="AD78" s="23"/>
      <c r="AE78" s="23"/>
      <c r="AF78" s="23"/>
      <c r="AG78" s="23"/>
      <c r="AH78" s="23"/>
      <c r="AI78" s="23"/>
      <c r="AJ78" s="23"/>
      <c r="AK78" s="23"/>
      <c r="AL78" s="23"/>
      <c r="AM78" s="23"/>
      <c r="AN78" s="23"/>
    </row>
    <row r="79" spans="1:40" x14ac:dyDescent="0.25">
      <c r="A79" s="2"/>
      <c r="B79" s="2"/>
      <c r="C79" s="2"/>
      <c r="D79" s="22"/>
      <c r="E79" s="2"/>
      <c r="F79" s="2"/>
      <c r="G79" s="2"/>
      <c r="H79" s="2"/>
      <c r="I79" s="2"/>
      <c r="J79" s="2"/>
      <c r="K79" s="2"/>
      <c r="L79" s="2"/>
      <c r="M79" s="23"/>
      <c r="N79" s="23"/>
      <c r="O79" s="23"/>
      <c r="P79" s="30"/>
      <c r="Q79" s="23"/>
      <c r="R79" s="2"/>
      <c r="S79" s="2"/>
      <c r="T79" s="2"/>
      <c r="U79" s="2"/>
      <c r="V79" s="2"/>
      <c r="W79" s="2"/>
      <c r="X79" s="2"/>
      <c r="Y79" s="23"/>
      <c r="Z79" s="29"/>
      <c r="AA79" s="23"/>
      <c r="AB79" s="30"/>
      <c r="AC79" s="23"/>
      <c r="AD79" s="23"/>
      <c r="AE79" s="23"/>
      <c r="AF79" s="23"/>
      <c r="AG79" s="23"/>
      <c r="AH79" s="23"/>
      <c r="AI79" s="23"/>
      <c r="AJ79" s="23"/>
      <c r="AK79" s="23"/>
      <c r="AL79" s="23"/>
      <c r="AM79" s="23"/>
      <c r="AN79" s="23"/>
    </row>
    <row r="80" spans="1:40" x14ac:dyDescent="0.25">
      <c r="A80" s="2"/>
      <c r="B80" s="2"/>
      <c r="C80" s="2"/>
      <c r="D80" s="22"/>
      <c r="E80" s="2"/>
      <c r="F80" s="2"/>
      <c r="G80" s="2"/>
      <c r="H80" s="2"/>
      <c r="I80" s="2"/>
      <c r="J80" s="2"/>
      <c r="K80" s="2"/>
      <c r="L80" s="2"/>
      <c r="M80" s="23"/>
      <c r="N80" s="23"/>
      <c r="O80" s="23"/>
      <c r="P80" s="30"/>
      <c r="Q80" s="23"/>
      <c r="R80" s="2"/>
      <c r="S80" s="2"/>
      <c r="T80" s="2"/>
      <c r="U80" s="2"/>
      <c r="V80" s="2"/>
      <c r="W80" s="2"/>
      <c r="X80" s="2"/>
      <c r="Y80" s="23"/>
      <c r="Z80" s="29"/>
      <c r="AA80" s="23"/>
      <c r="AB80" s="30"/>
      <c r="AC80" s="23"/>
      <c r="AD80" s="23"/>
      <c r="AE80" s="23"/>
      <c r="AF80" s="23"/>
      <c r="AG80" s="23"/>
      <c r="AH80" s="23"/>
      <c r="AI80" s="23"/>
      <c r="AJ80" s="23"/>
      <c r="AK80" s="23"/>
      <c r="AL80" s="23"/>
      <c r="AM80" s="23"/>
      <c r="AN80" s="23"/>
    </row>
    <row r="81" spans="1:40" x14ac:dyDescent="0.25">
      <c r="A81" s="2"/>
      <c r="B81" s="2"/>
      <c r="C81" s="2"/>
      <c r="D81" s="22"/>
      <c r="E81" s="2"/>
      <c r="F81" s="2"/>
      <c r="G81" s="2"/>
      <c r="H81" s="2"/>
      <c r="I81" s="2"/>
      <c r="J81" s="2"/>
      <c r="K81" s="2"/>
      <c r="L81" s="2"/>
      <c r="M81" s="23"/>
      <c r="N81" s="23"/>
      <c r="O81" s="23"/>
      <c r="P81" s="30"/>
      <c r="Q81" s="23"/>
      <c r="R81" s="2"/>
      <c r="S81" s="2"/>
      <c r="T81" s="2"/>
      <c r="U81" s="2"/>
      <c r="V81" s="2"/>
      <c r="W81" s="2"/>
      <c r="X81" s="2"/>
      <c r="Y81" s="23"/>
      <c r="Z81" s="29"/>
      <c r="AA81" s="23"/>
      <c r="AB81" s="30"/>
      <c r="AC81" s="23"/>
      <c r="AD81" s="23"/>
      <c r="AE81" s="23"/>
      <c r="AF81" s="23"/>
      <c r="AG81" s="23"/>
      <c r="AH81" s="23"/>
      <c r="AI81" s="23"/>
      <c r="AJ81" s="23"/>
      <c r="AK81" s="23"/>
      <c r="AL81" s="23"/>
      <c r="AM81" s="23"/>
      <c r="AN81" s="23"/>
    </row>
    <row r="82" spans="1:40" x14ac:dyDescent="0.25">
      <c r="A82" s="2"/>
      <c r="B82" s="2"/>
      <c r="C82" s="2"/>
      <c r="D82" s="22"/>
      <c r="E82" s="2"/>
      <c r="F82" s="2"/>
      <c r="G82" s="2"/>
      <c r="H82" s="2"/>
      <c r="I82" s="2"/>
      <c r="J82" s="2"/>
      <c r="K82" s="2"/>
      <c r="L82" s="2"/>
      <c r="M82" s="23"/>
      <c r="N82" s="23"/>
      <c r="O82" s="23"/>
      <c r="P82" s="30"/>
      <c r="Q82" s="23"/>
      <c r="R82" s="2"/>
      <c r="S82" s="2"/>
      <c r="T82" s="2"/>
      <c r="U82" s="2"/>
      <c r="V82" s="2"/>
      <c r="W82" s="2"/>
      <c r="X82" s="2"/>
      <c r="Y82" s="23"/>
      <c r="Z82" s="29"/>
      <c r="AA82" s="23"/>
      <c r="AB82" s="30"/>
      <c r="AC82" s="23"/>
      <c r="AD82" s="23"/>
      <c r="AE82" s="23"/>
      <c r="AF82" s="23"/>
      <c r="AG82" s="23"/>
      <c r="AH82" s="23"/>
      <c r="AI82" s="23"/>
      <c r="AJ82" s="23"/>
      <c r="AK82" s="23"/>
      <c r="AL82" s="23"/>
      <c r="AM82" s="23"/>
      <c r="AN82" s="23"/>
    </row>
    <row r="83" spans="1:40" x14ac:dyDescent="0.25">
      <c r="A83" s="2"/>
      <c r="B83" s="2"/>
      <c r="C83" s="2"/>
      <c r="D83" s="22"/>
      <c r="E83" s="2"/>
      <c r="F83" s="2"/>
      <c r="G83" s="2"/>
      <c r="H83" s="2"/>
      <c r="I83" s="2"/>
      <c r="J83" s="2"/>
      <c r="K83" s="2"/>
      <c r="L83" s="2"/>
      <c r="M83" s="23"/>
      <c r="N83" s="23"/>
      <c r="O83" s="23"/>
      <c r="P83" s="30"/>
      <c r="Q83" s="23"/>
      <c r="R83" s="2"/>
      <c r="S83" s="2"/>
      <c r="T83" s="2"/>
      <c r="U83" s="2"/>
      <c r="V83" s="2"/>
      <c r="W83" s="2"/>
      <c r="X83" s="2"/>
      <c r="Y83" s="23"/>
      <c r="Z83" s="29"/>
      <c r="AA83" s="23"/>
      <c r="AB83" s="30"/>
      <c r="AC83" s="23"/>
      <c r="AD83" s="23"/>
      <c r="AE83" s="23"/>
      <c r="AF83" s="23"/>
      <c r="AG83" s="23"/>
      <c r="AH83" s="23"/>
      <c r="AI83" s="23"/>
      <c r="AJ83" s="23"/>
      <c r="AK83" s="23"/>
      <c r="AL83" s="23"/>
      <c r="AM83" s="23"/>
      <c r="AN83" s="23"/>
    </row>
    <row r="84" spans="1:40" x14ac:dyDescent="0.25">
      <c r="A84" s="2"/>
      <c r="B84" s="2"/>
      <c r="C84" s="2"/>
      <c r="D84" s="22"/>
      <c r="E84" s="2"/>
      <c r="F84" s="2"/>
      <c r="G84" s="2"/>
      <c r="H84" s="2"/>
      <c r="I84" s="2"/>
      <c r="J84" s="2"/>
      <c r="K84" s="2"/>
      <c r="L84" s="2"/>
      <c r="M84" s="23"/>
      <c r="N84" s="23"/>
      <c r="O84" s="23"/>
      <c r="P84" s="30"/>
      <c r="Q84" s="23"/>
      <c r="R84" s="2"/>
      <c r="S84" s="2"/>
      <c r="T84" s="2"/>
      <c r="U84" s="2"/>
      <c r="V84" s="2"/>
      <c r="W84" s="2"/>
      <c r="X84" s="2"/>
      <c r="Y84" s="23"/>
      <c r="Z84" s="29"/>
      <c r="AA84" s="23"/>
      <c r="AB84" s="30"/>
      <c r="AC84" s="23"/>
      <c r="AD84" s="23"/>
      <c r="AE84" s="23"/>
      <c r="AF84" s="23"/>
      <c r="AG84" s="23"/>
      <c r="AH84" s="23"/>
      <c r="AI84" s="23"/>
      <c r="AJ84" s="23"/>
      <c r="AK84" s="23"/>
      <c r="AL84" s="23"/>
      <c r="AM84" s="23"/>
      <c r="AN84" s="23"/>
    </row>
    <row r="85" spans="1:40" x14ac:dyDescent="0.25">
      <c r="A85" s="2"/>
      <c r="B85" s="2"/>
      <c r="C85" s="2"/>
      <c r="D85" s="22"/>
      <c r="E85" s="2"/>
      <c r="F85" s="2"/>
      <c r="G85" s="2"/>
      <c r="H85" s="2"/>
      <c r="I85" s="2"/>
      <c r="J85" s="2"/>
      <c r="K85" s="2"/>
      <c r="L85" s="2"/>
      <c r="M85" s="23"/>
      <c r="N85" s="23"/>
      <c r="O85" s="23"/>
      <c r="P85" s="30"/>
      <c r="Q85" s="23"/>
      <c r="R85" s="2"/>
      <c r="S85" s="2"/>
      <c r="T85" s="2"/>
      <c r="U85" s="2"/>
      <c r="V85" s="2"/>
      <c r="W85" s="2"/>
      <c r="X85" s="2"/>
      <c r="Y85" s="23"/>
      <c r="Z85" s="29"/>
      <c r="AA85" s="23"/>
      <c r="AB85" s="30"/>
      <c r="AC85" s="23"/>
      <c r="AD85" s="23"/>
      <c r="AE85" s="23"/>
      <c r="AF85" s="23"/>
      <c r="AG85" s="23"/>
      <c r="AH85" s="23"/>
      <c r="AI85" s="23"/>
      <c r="AJ85" s="23"/>
      <c r="AK85" s="23"/>
      <c r="AL85" s="23"/>
      <c r="AM85" s="23"/>
      <c r="AN85" s="23"/>
    </row>
    <row r="86" spans="1:40" x14ac:dyDescent="0.25">
      <c r="A86" s="2"/>
      <c r="B86" s="2"/>
      <c r="C86" s="2"/>
      <c r="D86" s="22"/>
      <c r="E86" s="2"/>
      <c r="F86" s="2"/>
      <c r="G86" s="2"/>
      <c r="H86" s="2"/>
      <c r="I86" s="2"/>
      <c r="J86" s="2"/>
      <c r="K86" s="2"/>
      <c r="L86" s="2"/>
      <c r="M86" s="23"/>
      <c r="N86" s="23"/>
      <c r="O86" s="23"/>
      <c r="P86" s="30"/>
      <c r="Q86" s="23"/>
      <c r="R86" s="2"/>
      <c r="S86" s="2"/>
      <c r="T86" s="2"/>
      <c r="U86" s="2"/>
      <c r="V86" s="2"/>
      <c r="W86" s="2"/>
      <c r="X86" s="2"/>
      <c r="Y86" s="23"/>
      <c r="Z86" s="29"/>
      <c r="AA86" s="23"/>
      <c r="AB86" s="30"/>
      <c r="AC86" s="23"/>
      <c r="AD86" s="23"/>
      <c r="AE86" s="23"/>
      <c r="AF86" s="23"/>
      <c r="AG86" s="23"/>
      <c r="AH86" s="23"/>
      <c r="AI86" s="23"/>
      <c r="AJ86" s="23"/>
      <c r="AK86" s="23"/>
      <c r="AL86" s="23"/>
      <c r="AM86" s="23"/>
      <c r="AN86" s="23"/>
    </row>
    <row r="87" spans="1:40" x14ac:dyDescent="0.25">
      <c r="A87" s="2"/>
      <c r="B87" s="2"/>
      <c r="C87" s="2"/>
      <c r="D87" s="22"/>
      <c r="E87" s="2"/>
      <c r="F87" s="2"/>
      <c r="G87" s="2"/>
      <c r="H87" s="2"/>
      <c r="I87" s="2"/>
      <c r="J87" s="2"/>
      <c r="K87" s="2"/>
      <c r="L87" s="2"/>
      <c r="M87" s="23"/>
      <c r="N87" s="23"/>
      <c r="O87" s="23"/>
      <c r="P87" s="30"/>
      <c r="Q87" s="23"/>
      <c r="R87" s="2"/>
      <c r="S87" s="2"/>
      <c r="T87" s="2"/>
      <c r="U87" s="2"/>
      <c r="V87" s="2"/>
      <c r="W87" s="2"/>
      <c r="X87" s="2"/>
      <c r="Y87" s="23"/>
      <c r="Z87" s="29"/>
      <c r="AA87" s="23"/>
      <c r="AB87" s="30"/>
      <c r="AC87" s="23"/>
      <c r="AD87" s="23"/>
      <c r="AE87" s="23"/>
      <c r="AF87" s="23"/>
      <c r="AG87" s="23"/>
      <c r="AH87" s="23"/>
      <c r="AI87" s="23"/>
      <c r="AJ87" s="23"/>
      <c r="AK87" s="23"/>
      <c r="AL87" s="23"/>
      <c r="AM87" s="23"/>
      <c r="AN87" s="23"/>
    </row>
    <row r="88" spans="1:40" x14ac:dyDescent="0.25">
      <c r="A88" s="2"/>
      <c r="B88" s="2"/>
      <c r="C88" s="2"/>
      <c r="D88" s="22"/>
      <c r="E88" s="2"/>
      <c r="F88" s="2"/>
      <c r="G88" s="2"/>
      <c r="H88" s="2"/>
      <c r="I88" s="2"/>
      <c r="J88" s="2"/>
      <c r="K88" s="2"/>
      <c r="L88" s="2"/>
      <c r="M88" s="23"/>
      <c r="N88" s="23"/>
      <c r="O88" s="23"/>
      <c r="P88" s="30"/>
      <c r="Q88" s="23"/>
      <c r="R88" s="2"/>
      <c r="S88" s="2"/>
      <c r="T88" s="2"/>
      <c r="U88" s="2"/>
      <c r="V88" s="2"/>
      <c r="W88" s="2"/>
      <c r="X88" s="2"/>
      <c r="Y88" s="23"/>
      <c r="Z88" s="29"/>
      <c r="AA88" s="23"/>
      <c r="AB88" s="30"/>
      <c r="AC88" s="23"/>
      <c r="AD88" s="23"/>
      <c r="AE88" s="23"/>
      <c r="AF88" s="23"/>
      <c r="AG88" s="23"/>
      <c r="AH88" s="23"/>
      <c r="AI88" s="23"/>
      <c r="AJ88" s="23"/>
      <c r="AK88" s="23"/>
      <c r="AL88" s="23"/>
      <c r="AM88" s="23"/>
      <c r="AN88" s="23"/>
    </row>
    <row r="89" spans="1:40" x14ac:dyDescent="0.25">
      <c r="A89" s="2"/>
      <c r="B89" s="2"/>
      <c r="C89" s="2"/>
      <c r="D89" s="22"/>
      <c r="E89" s="2"/>
      <c r="F89" s="2"/>
      <c r="G89" s="2"/>
      <c r="H89" s="2"/>
      <c r="I89" s="2"/>
      <c r="J89" s="2"/>
      <c r="K89" s="2"/>
      <c r="L89" s="2"/>
      <c r="M89" s="23"/>
      <c r="N89" s="23"/>
      <c r="O89" s="23"/>
      <c r="P89" s="30"/>
      <c r="Q89" s="23"/>
      <c r="R89" s="2"/>
      <c r="S89" s="2"/>
      <c r="T89" s="2"/>
      <c r="U89" s="2"/>
      <c r="V89" s="2"/>
      <c r="W89" s="2"/>
      <c r="X89" s="2"/>
      <c r="Y89" s="23"/>
      <c r="Z89" s="29"/>
      <c r="AA89" s="23"/>
      <c r="AB89" s="30"/>
      <c r="AC89" s="23"/>
      <c r="AD89" s="23"/>
      <c r="AE89" s="23"/>
      <c r="AF89" s="23"/>
      <c r="AG89" s="23"/>
      <c r="AH89" s="23"/>
      <c r="AI89" s="23"/>
      <c r="AJ89" s="23"/>
      <c r="AK89" s="23"/>
      <c r="AL89" s="23"/>
      <c r="AM89" s="23"/>
      <c r="AN89" s="23"/>
    </row>
    <row r="90" spans="1:40" x14ac:dyDescent="0.25">
      <c r="A90" s="2"/>
      <c r="B90" s="2"/>
      <c r="C90" s="2"/>
      <c r="D90" s="22"/>
      <c r="E90" s="2"/>
      <c r="F90" s="2"/>
      <c r="G90" s="2"/>
      <c r="H90" s="2"/>
      <c r="I90" s="2"/>
      <c r="J90" s="2"/>
      <c r="K90" s="2"/>
      <c r="L90" s="2"/>
      <c r="M90" s="23"/>
      <c r="N90" s="23"/>
      <c r="O90" s="23"/>
      <c r="P90" s="30"/>
      <c r="Q90" s="23"/>
      <c r="R90" s="2"/>
      <c r="S90" s="2"/>
      <c r="T90" s="2"/>
      <c r="U90" s="2"/>
      <c r="V90" s="2"/>
      <c r="W90" s="2"/>
      <c r="X90" s="2"/>
      <c r="Y90" s="23"/>
      <c r="Z90" s="29"/>
      <c r="AA90" s="23"/>
      <c r="AB90" s="30"/>
      <c r="AC90" s="23"/>
      <c r="AD90" s="23"/>
      <c r="AE90" s="23"/>
      <c r="AF90" s="23"/>
      <c r="AG90" s="23"/>
      <c r="AH90" s="23"/>
      <c r="AI90" s="23"/>
      <c r="AJ90" s="23"/>
      <c r="AK90" s="23"/>
      <c r="AL90" s="23"/>
      <c r="AM90" s="23"/>
      <c r="AN90" s="23"/>
    </row>
    <row r="91" spans="1:40" x14ac:dyDescent="0.25">
      <c r="A91" s="2"/>
      <c r="B91" s="2"/>
      <c r="C91" s="2"/>
      <c r="D91" s="22"/>
      <c r="E91" s="2"/>
      <c r="F91" s="2"/>
      <c r="G91" s="2"/>
      <c r="H91" s="2"/>
      <c r="I91" s="2"/>
      <c r="J91" s="2"/>
      <c r="K91" s="2"/>
      <c r="L91" s="2"/>
      <c r="M91" s="23"/>
      <c r="N91" s="23"/>
      <c r="O91" s="23"/>
      <c r="P91" s="30"/>
      <c r="Q91" s="23"/>
      <c r="R91" s="2"/>
      <c r="S91" s="2"/>
      <c r="T91" s="2"/>
      <c r="U91" s="2"/>
      <c r="V91" s="2"/>
      <c r="W91" s="2"/>
      <c r="X91" s="2"/>
      <c r="Y91" s="23"/>
      <c r="Z91" s="29"/>
      <c r="AA91" s="23"/>
      <c r="AB91" s="30"/>
      <c r="AC91" s="23"/>
      <c r="AD91" s="23"/>
      <c r="AE91" s="23"/>
      <c r="AF91" s="23"/>
      <c r="AG91" s="23"/>
      <c r="AH91" s="23"/>
      <c r="AI91" s="23"/>
      <c r="AJ91" s="23"/>
      <c r="AK91" s="23"/>
      <c r="AL91" s="23"/>
      <c r="AM91" s="23"/>
      <c r="AN91" s="23"/>
    </row>
    <row r="92" spans="1:40" x14ac:dyDescent="0.25">
      <c r="A92" s="2"/>
      <c r="B92" s="2"/>
      <c r="C92" s="2"/>
      <c r="D92" s="22"/>
      <c r="E92" s="2"/>
      <c r="F92" s="2"/>
      <c r="G92" s="2"/>
      <c r="H92" s="2"/>
      <c r="I92" s="2"/>
      <c r="J92" s="2"/>
      <c r="K92" s="2"/>
      <c r="L92" s="2"/>
      <c r="M92" s="23"/>
      <c r="N92" s="23"/>
      <c r="O92" s="23"/>
      <c r="P92" s="30"/>
      <c r="Q92" s="23"/>
      <c r="R92" s="2"/>
      <c r="S92" s="2"/>
      <c r="T92" s="2"/>
      <c r="U92" s="2"/>
      <c r="V92" s="2"/>
      <c r="W92" s="2"/>
      <c r="X92" s="2"/>
      <c r="Y92" s="23"/>
      <c r="Z92" s="29"/>
      <c r="AA92" s="23"/>
      <c r="AB92" s="30"/>
      <c r="AC92" s="23"/>
      <c r="AD92" s="23"/>
      <c r="AE92" s="23"/>
      <c r="AF92" s="23"/>
      <c r="AG92" s="23"/>
      <c r="AH92" s="23"/>
      <c r="AI92" s="23"/>
      <c r="AJ92" s="23"/>
      <c r="AK92" s="23"/>
      <c r="AL92" s="23"/>
      <c r="AM92" s="23"/>
      <c r="AN92" s="23"/>
    </row>
    <row r="93" spans="1:40" x14ac:dyDescent="0.25">
      <c r="A93" s="2"/>
      <c r="B93" s="2"/>
      <c r="C93" s="2"/>
      <c r="D93" s="22"/>
      <c r="E93" s="2"/>
      <c r="F93" s="2"/>
      <c r="G93" s="2"/>
      <c r="H93" s="2"/>
      <c r="I93" s="2"/>
      <c r="J93" s="2"/>
      <c r="K93" s="2"/>
      <c r="L93" s="2"/>
      <c r="M93" s="23"/>
      <c r="N93" s="23"/>
      <c r="O93" s="23"/>
      <c r="P93" s="30"/>
      <c r="Q93" s="23"/>
      <c r="R93" s="2"/>
      <c r="S93" s="2"/>
      <c r="T93" s="2"/>
      <c r="U93" s="2"/>
      <c r="V93" s="2"/>
      <c r="W93" s="2"/>
      <c r="X93" s="2"/>
      <c r="Y93" s="23"/>
      <c r="Z93" s="29"/>
      <c r="AA93" s="23"/>
      <c r="AB93" s="30"/>
      <c r="AC93" s="23"/>
      <c r="AD93" s="23"/>
      <c r="AE93" s="23"/>
      <c r="AF93" s="23"/>
      <c r="AG93" s="23"/>
      <c r="AH93" s="23"/>
      <c r="AI93" s="23"/>
      <c r="AJ93" s="23"/>
      <c r="AK93" s="23"/>
      <c r="AL93" s="23"/>
      <c r="AM93" s="23"/>
      <c r="AN93" s="23"/>
    </row>
  </sheetData>
  <mergeCells count="5">
    <mergeCell ref="A2:L2"/>
    <mergeCell ref="M2:Q2"/>
    <mergeCell ref="R2:X2"/>
    <mergeCell ref="Y2:AN2"/>
    <mergeCell ref="A1:AN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31"/>
  <sheetViews>
    <sheetView workbookViewId="0">
      <selection activeCell="A2" sqref="A2"/>
    </sheetView>
  </sheetViews>
  <sheetFormatPr defaultRowHeight="15" x14ac:dyDescent="0.25"/>
  <sheetData>
    <row r="1" spans="1:1" x14ac:dyDescent="0.25">
      <c r="A1" t="s">
        <v>122</v>
      </c>
    </row>
    <row r="2" spans="1:1" x14ac:dyDescent="0.25">
      <c r="A2" t="s">
        <v>123</v>
      </c>
    </row>
    <row r="29" spans="5:13" x14ac:dyDescent="0.25">
      <c r="E29">
        <v>1.675</v>
      </c>
      <c r="I29">
        <v>1.68</v>
      </c>
      <c r="M29">
        <v>73</v>
      </c>
    </row>
    <row r="30" spans="5:13" x14ac:dyDescent="0.25">
      <c r="E30">
        <v>16</v>
      </c>
      <c r="I30">
        <v>33</v>
      </c>
      <c r="M30">
        <v>70</v>
      </c>
    </row>
    <row r="31" spans="5:13" x14ac:dyDescent="0.25">
      <c r="E31">
        <v>0</v>
      </c>
      <c r="I31">
        <v>0</v>
      </c>
      <c r="M31">
        <v>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S17"/>
  <sheetViews>
    <sheetView topLeftCell="L1" workbookViewId="0">
      <selection activeCell="S17" sqref="A1:S17"/>
    </sheetView>
  </sheetViews>
  <sheetFormatPr defaultRowHeight="15" x14ac:dyDescent="0.25"/>
  <cols>
    <col min="1" max="1" width="18" customWidth="1"/>
    <col min="2" max="2" width="20" customWidth="1"/>
    <col min="4" max="4" width="13.85546875" customWidth="1"/>
    <col min="5" max="5" width="13.28515625" customWidth="1"/>
    <col min="6" max="6" width="35.28515625" customWidth="1"/>
    <col min="7" max="7" width="22" customWidth="1"/>
    <col min="9" max="9" width="10.85546875" customWidth="1"/>
    <col min="10" max="10" width="11.85546875" customWidth="1"/>
    <col min="11" max="11" width="14.28515625" customWidth="1"/>
    <col min="12" max="12" width="17.140625" customWidth="1"/>
    <col min="13" max="13" width="13" customWidth="1"/>
    <col min="14" max="14" width="12.5703125" customWidth="1"/>
    <col min="17" max="17" width="12" customWidth="1"/>
    <col min="18" max="18" width="36.42578125" customWidth="1"/>
    <col min="19" max="19" width="23" customWidth="1"/>
  </cols>
  <sheetData>
    <row r="1" spans="1:19" x14ac:dyDescent="0.25">
      <c r="A1" t="s">
        <v>124</v>
      </c>
      <c r="B1" t="s">
        <v>125</v>
      </c>
      <c r="C1" t="s">
        <v>126</v>
      </c>
      <c r="D1" t="s">
        <v>127</v>
      </c>
      <c r="E1" t="s">
        <v>128</v>
      </c>
      <c r="F1" t="s">
        <v>129</v>
      </c>
      <c r="G1" t="s">
        <v>130</v>
      </c>
      <c r="H1" t="s">
        <v>131</v>
      </c>
      <c r="I1" t="s">
        <v>132</v>
      </c>
      <c r="J1" t="s">
        <v>133</v>
      </c>
      <c r="K1" t="s">
        <v>134</v>
      </c>
      <c r="L1" t="s">
        <v>135</v>
      </c>
      <c r="M1" t="s">
        <v>136</v>
      </c>
      <c r="N1" t="s">
        <v>137</v>
      </c>
      <c r="O1" t="s">
        <v>138</v>
      </c>
      <c r="P1" t="s">
        <v>139</v>
      </c>
      <c r="Q1" t="s">
        <v>140</v>
      </c>
      <c r="R1" t="s">
        <v>141</v>
      </c>
      <c r="S1" t="s">
        <v>142</v>
      </c>
    </row>
    <row r="2" spans="1:19" x14ac:dyDescent="0.25">
      <c r="A2">
        <v>118903009</v>
      </c>
      <c r="B2" t="s">
        <v>116</v>
      </c>
      <c r="C2" t="s">
        <v>40</v>
      </c>
      <c r="E2">
        <v>20140616</v>
      </c>
      <c r="F2" t="s">
        <v>143</v>
      </c>
      <c r="G2" t="s">
        <v>144</v>
      </c>
      <c r="H2" t="s">
        <v>49</v>
      </c>
      <c r="I2">
        <v>1E-4</v>
      </c>
      <c r="J2">
        <v>62500</v>
      </c>
      <c r="K2">
        <v>1</v>
      </c>
      <c r="L2" t="s">
        <v>41</v>
      </c>
      <c r="M2">
        <v>0</v>
      </c>
      <c r="N2" t="s">
        <v>48</v>
      </c>
      <c r="O2">
        <v>0</v>
      </c>
      <c r="P2" t="s">
        <v>39</v>
      </c>
      <c r="Q2" t="s">
        <v>49</v>
      </c>
      <c r="R2" t="s">
        <v>145</v>
      </c>
      <c r="S2">
        <v>12087797</v>
      </c>
    </row>
    <row r="3" spans="1:19" x14ac:dyDescent="0.25">
      <c r="A3">
        <v>139782041</v>
      </c>
      <c r="B3" t="s">
        <v>104</v>
      </c>
      <c r="C3" t="s">
        <v>40</v>
      </c>
      <c r="E3">
        <v>20140606</v>
      </c>
      <c r="F3" t="s">
        <v>143</v>
      </c>
      <c r="G3" t="s">
        <v>144</v>
      </c>
      <c r="H3" t="s">
        <v>49</v>
      </c>
      <c r="I3">
        <v>1E-4</v>
      </c>
      <c r="J3">
        <v>62500</v>
      </c>
      <c r="K3">
        <v>1</v>
      </c>
      <c r="L3" t="s">
        <v>41</v>
      </c>
      <c r="M3" t="s">
        <v>102</v>
      </c>
      <c r="N3" t="s">
        <v>101</v>
      </c>
      <c r="O3">
        <v>1.605</v>
      </c>
      <c r="P3" t="s">
        <v>39</v>
      </c>
      <c r="Q3" t="s">
        <v>49</v>
      </c>
      <c r="R3" t="s">
        <v>145</v>
      </c>
      <c r="S3">
        <v>118903009</v>
      </c>
    </row>
    <row r="4" spans="1:19" x14ac:dyDescent="0.25">
      <c r="A4">
        <v>129090171</v>
      </c>
      <c r="B4" t="s">
        <v>105</v>
      </c>
      <c r="C4" t="s">
        <v>40</v>
      </c>
      <c r="E4">
        <v>20140606</v>
      </c>
      <c r="F4" t="s">
        <v>143</v>
      </c>
      <c r="G4" t="s">
        <v>144</v>
      </c>
      <c r="H4" t="s">
        <v>49</v>
      </c>
      <c r="I4">
        <v>1E-4</v>
      </c>
      <c r="J4">
        <v>62500</v>
      </c>
      <c r="K4">
        <v>1</v>
      </c>
      <c r="L4" t="s">
        <v>41</v>
      </c>
      <c r="M4" t="s">
        <v>102</v>
      </c>
      <c r="N4" t="s">
        <v>101</v>
      </c>
      <c r="O4">
        <v>1.61</v>
      </c>
      <c r="P4" t="s">
        <v>39</v>
      </c>
      <c r="Q4" t="s">
        <v>49</v>
      </c>
      <c r="R4" t="s">
        <v>145</v>
      </c>
      <c r="S4">
        <v>118903009</v>
      </c>
    </row>
    <row r="5" spans="1:19" x14ac:dyDescent="0.25">
      <c r="A5">
        <v>139783580</v>
      </c>
      <c r="B5" t="s">
        <v>106</v>
      </c>
      <c r="C5" t="s">
        <v>40</v>
      </c>
      <c r="E5">
        <v>20140606</v>
      </c>
      <c r="F5" t="s">
        <v>143</v>
      </c>
      <c r="G5" t="s">
        <v>144</v>
      </c>
      <c r="H5" t="s">
        <v>49</v>
      </c>
      <c r="I5">
        <v>1E-4</v>
      </c>
      <c r="J5">
        <v>62500</v>
      </c>
      <c r="K5">
        <v>1</v>
      </c>
      <c r="L5" t="s">
        <v>41</v>
      </c>
      <c r="M5" t="s">
        <v>102</v>
      </c>
      <c r="N5" t="s">
        <v>101</v>
      </c>
      <c r="O5">
        <v>1.615</v>
      </c>
      <c r="P5" t="s">
        <v>39</v>
      </c>
      <c r="Q5" t="s">
        <v>49</v>
      </c>
      <c r="R5" t="s">
        <v>145</v>
      </c>
      <c r="S5">
        <v>118903009</v>
      </c>
    </row>
    <row r="6" spans="1:19" x14ac:dyDescent="0.25">
      <c r="A6">
        <v>129090077</v>
      </c>
      <c r="B6" t="s">
        <v>107</v>
      </c>
      <c r="C6" t="s">
        <v>40</v>
      </c>
      <c r="E6">
        <v>20140606</v>
      </c>
      <c r="F6" t="s">
        <v>143</v>
      </c>
      <c r="G6" t="s">
        <v>144</v>
      </c>
      <c r="H6" t="s">
        <v>49</v>
      </c>
      <c r="I6">
        <v>1E-4</v>
      </c>
      <c r="J6">
        <v>62500</v>
      </c>
      <c r="K6">
        <v>1</v>
      </c>
      <c r="L6" t="s">
        <v>41</v>
      </c>
      <c r="M6" t="s">
        <v>102</v>
      </c>
      <c r="N6" t="s">
        <v>101</v>
      </c>
      <c r="O6">
        <v>1.64</v>
      </c>
      <c r="P6" t="s">
        <v>39</v>
      </c>
      <c r="Q6" t="s">
        <v>49</v>
      </c>
      <c r="R6" t="s">
        <v>145</v>
      </c>
      <c r="S6">
        <v>118903009</v>
      </c>
    </row>
    <row r="7" spans="1:19" x14ac:dyDescent="0.25">
      <c r="A7">
        <v>139782285</v>
      </c>
      <c r="B7" t="s">
        <v>108</v>
      </c>
      <c r="C7" t="s">
        <v>40</v>
      </c>
      <c r="E7">
        <v>20140606</v>
      </c>
      <c r="F7" t="s">
        <v>143</v>
      </c>
      <c r="G7" t="s">
        <v>144</v>
      </c>
      <c r="H7" t="s">
        <v>49</v>
      </c>
      <c r="I7">
        <v>1E-4</v>
      </c>
      <c r="J7">
        <v>62500</v>
      </c>
      <c r="K7">
        <v>1</v>
      </c>
      <c r="L7" t="s">
        <v>41</v>
      </c>
      <c r="M7" t="s">
        <v>103</v>
      </c>
      <c r="N7" t="s">
        <v>101</v>
      </c>
      <c r="O7">
        <v>1.645</v>
      </c>
      <c r="P7" t="s">
        <v>39</v>
      </c>
      <c r="Q7" t="s">
        <v>49</v>
      </c>
      <c r="R7" t="s">
        <v>145</v>
      </c>
      <c r="S7">
        <v>118903009</v>
      </c>
    </row>
    <row r="8" spans="1:19" x14ac:dyDescent="0.25">
      <c r="A8">
        <v>129090202</v>
      </c>
      <c r="B8" t="s">
        <v>109</v>
      </c>
      <c r="C8" t="s">
        <v>40</v>
      </c>
      <c r="E8">
        <v>20140606</v>
      </c>
      <c r="F8" t="s">
        <v>143</v>
      </c>
      <c r="G8" t="s">
        <v>144</v>
      </c>
      <c r="H8" t="s">
        <v>49</v>
      </c>
      <c r="I8">
        <v>1E-4</v>
      </c>
      <c r="J8">
        <v>62500</v>
      </c>
      <c r="K8">
        <v>1</v>
      </c>
      <c r="L8" t="s">
        <v>41</v>
      </c>
      <c r="M8" t="s">
        <v>103</v>
      </c>
      <c r="N8" t="s">
        <v>101</v>
      </c>
      <c r="O8">
        <v>1.65</v>
      </c>
      <c r="P8" t="s">
        <v>39</v>
      </c>
      <c r="Q8" t="s">
        <v>49</v>
      </c>
      <c r="R8" t="s">
        <v>145</v>
      </c>
      <c r="S8">
        <v>118903009</v>
      </c>
    </row>
    <row r="9" spans="1:19" x14ac:dyDescent="0.25">
      <c r="A9">
        <v>139782264</v>
      </c>
      <c r="B9" t="s">
        <v>110</v>
      </c>
      <c r="C9" t="s">
        <v>40</v>
      </c>
      <c r="E9">
        <v>20140606</v>
      </c>
      <c r="F9" t="s">
        <v>143</v>
      </c>
      <c r="G9" t="s">
        <v>144</v>
      </c>
      <c r="H9" t="s">
        <v>49</v>
      </c>
      <c r="I9">
        <v>1E-4</v>
      </c>
      <c r="J9">
        <v>62500</v>
      </c>
      <c r="K9">
        <v>1</v>
      </c>
      <c r="L9" t="s">
        <v>41</v>
      </c>
      <c r="M9" t="s">
        <v>102</v>
      </c>
      <c r="N9" t="s">
        <v>101</v>
      </c>
      <c r="O9">
        <v>1.645</v>
      </c>
      <c r="P9" t="s">
        <v>39</v>
      </c>
      <c r="Q9" t="s">
        <v>49</v>
      </c>
      <c r="R9" t="s">
        <v>145</v>
      </c>
      <c r="S9">
        <v>118903009</v>
      </c>
    </row>
    <row r="10" spans="1:19" x14ac:dyDescent="0.25">
      <c r="A10">
        <v>129090285</v>
      </c>
      <c r="B10" t="s">
        <v>111</v>
      </c>
      <c r="C10" t="s">
        <v>40</v>
      </c>
      <c r="E10">
        <v>20140606</v>
      </c>
      <c r="F10" t="s">
        <v>143</v>
      </c>
      <c r="G10" t="s">
        <v>144</v>
      </c>
      <c r="H10" t="s">
        <v>49</v>
      </c>
      <c r="I10">
        <v>1E-4</v>
      </c>
      <c r="J10">
        <v>62500</v>
      </c>
      <c r="K10">
        <v>1</v>
      </c>
      <c r="L10" t="s">
        <v>41</v>
      </c>
      <c r="M10" t="s">
        <v>102</v>
      </c>
      <c r="N10" t="s">
        <v>101</v>
      </c>
      <c r="O10">
        <v>1.65</v>
      </c>
      <c r="P10" t="s">
        <v>39</v>
      </c>
      <c r="Q10" t="s">
        <v>49</v>
      </c>
      <c r="R10" t="s">
        <v>145</v>
      </c>
      <c r="S10">
        <v>118903009</v>
      </c>
    </row>
    <row r="11" spans="1:19" x14ac:dyDescent="0.25">
      <c r="A11">
        <v>139781555</v>
      </c>
      <c r="B11" t="s">
        <v>112</v>
      </c>
      <c r="C11" t="s">
        <v>40</v>
      </c>
      <c r="E11">
        <v>20140606</v>
      </c>
      <c r="F11" t="s">
        <v>143</v>
      </c>
      <c r="G11" t="s">
        <v>144</v>
      </c>
      <c r="H11" t="s">
        <v>49</v>
      </c>
      <c r="I11">
        <v>1E-4</v>
      </c>
      <c r="J11">
        <v>62500</v>
      </c>
      <c r="K11">
        <v>1</v>
      </c>
      <c r="L11" t="s">
        <v>41</v>
      </c>
      <c r="M11" t="s">
        <v>103</v>
      </c>
      <c r="N11" t="s">
        <v>101</v>
      </c>
      <c r="O11">
        <v>1.655</v>
      </c>
      <c r="P11" t="s">
        <v>39</v>
      </c>
      <c r="Q11" t="s">
        <v>49</v>
      </c>
      <c r="R11" t="s">
        <v>145</v>
      </c>
      <c r="S11">
        <v>118903009</v>
      </c>
    </row>
    <row r="12" spans="1:19" x14ac:dyDescent="0.25">
      <c r="A12">
        <v>129090190</v>
      </c>
      <c r="B12" t="s">
        <v>113</v>
      </c>
      <c r="C12" t="s">
        <v>40</v>
      </c>
      <c r="E12">
        <v>20140606</v>
      </c>
      <c r="F12" t="s">
        <v>143</v>
      </c>
      <c r="G12" t="s">
        <v>144</v>
      </c>
      <c r="H12" t="s">
        <v>49</v>
      </c>
      <c r="I12">
        <v>1E-4</v>
      </c>
      <c r="J12">
        <v>62500</v>
      </c>
      <c r="K12">
        <v>1</v>
      </c>
      <c r="L12" t="s">
        <v>41</v>
      </c>
      <c r="M12" t="s">
        <v>103</v>
      </c>
      <c r="N12" t="s">
        <v>101</v>
      </c>
      <c r="O12">
        <v>1.66</v>
      </c>
      <c r="P12" t="s">
        <v>39</v>
      </c>
      <c r="Q12" t="s">
        <v>49</v>
      </c>
      <c r="R12" t="s">
        <v>145</v>
      </c>
      <c r="S12">
        <v>118903009</v>
      </c>
    </row>
    <row r="13" spans="1:19" x14ac:dyDescent="0.25">
      <c r="A13">
        <v>129090140</v>
      </c>
      <c r="B13" t="s">
        <v>114</v>
      </c>
      <c r="C13" t="s">
        <v>40</v>
      </c>
      <c r="E13">
        <v>20140606</v>
      </c>
      <c r="F13" t="s">
        <v>143</v>
      </c>
      <c r="G13" t="s">
        <v>144</v>
      </c>
      <c r="H13" t="s">
        <v>49</v>
      </c>
      <c r="I13">
        <v>1E-4</v>
      </c>
      <c r="J13">
        <v>62500</v>
      </c>
      <c r="K13">
        <v>1</v>
      </c>
      <c r="L13" t="s">
        <v>41</v>
      </c>
      <c r="M13" t="s">
        <v>102</v>
      </c>
      <c r="N13" t="s">
        <v>101</v>
      </c>
      <c r="O13">
        <v>1.66</v>
      </c>
      <c r="P13" t="s">
        <v>39</v>
      </c>
      <c r="Q13" t="s">
        <v>49</v>
      </c>
      <c r="R13" t="s">
        <v>145</v>
      </c>
      <c r="S13">
        <v>118903009</v>
      </c>
    </row>
    <row r="14" spans="1:19" x14ac:dyDescent="0.25">
      <c r="A14">
        <v>129090084</v>
      </c>
      <c r="B14" t="s">
        <v>115</v>
      </c>
      <c r="C14" t="s">
        <v>40</v>
      </c>
      <c r="E14">
        <v>20140606</v>
      </c>
      <c r="F14" t="s">
        <v>143</v>
      </c>
      <c r="G14" t="s">
        <v>144</v>
      </c>
      <c r="H14" t="s">
        <v>49</v>
      </c>
      <c r="I14">
        <v>1E-4</v>
      </c>
      <c r="J14">
        <v>62500</v>
      </c>
      <c r="K14">
        <v>1</v>
      </c>
      <c r="L14" t="s">
        <v>41</v>
      </c>
      <c r="M14" t="s">
        <v>103</v>
      </c>
      <c r="N14" t="s">
        <v>101</v>
      </c>
      <c r="O14">
        <v>1.67</v>
      </c>
      <c r="P14" t="s">
        <v>39</v>
      </c>
      <c r="Q14" t="s">
        <v>49</v>
      </c>
      <c r="R14" t="s">
        <v>145</v>
      </c>
      <c r="S14">
        <v>118903009</v>
      </c>
    </row>
    <row r="15" spans="1:19" x14ac:dyDescent="0.25">
      <c r="A15">
        <v>139782641</v>
      </c>
      <c r="B15" t="s">
        <v>119</v>
      </c>
      <c r="C15" t="s">
        <v>40</v>
      </c>
      <c r="E15">
        <v>20140606</v>
      </c>
      <c r="F15" t="s">
        <v>143</v>
      </c>
      <c r="G15" t="s">
        <v>144</v>
      </c>
      <c r="H15" t="s">
        <v>49</v>
      </c>
      <c r="I15">
        <v>1E-4</v>
      </c>
      <c r="J15">
        <v>62500</v>
      </c>
      <c r="K15">
        <v>1</v>
      </c>
      <c r="L15" t="s">
        <v>41</v>
      </c>
      <c r="M15" t="s">
        <v>103</v>
      </c>
      <c r="N15" t="s">
        <v>101</v>
      </c>
      <c r="O15">
        <v>1.675</v>
      </c>
      <c r="P15" t="s">
        <v>39</v>
      </c>
      <c r="Q15" t="s">
        <v>49</v>
      </c>
      <c r="R15" t="s">
        <v>145</v>
      </c>
      <c r="S15">
        <v>118903009</v>
      </c>
    </row>
    <row r="16" spans="1:19" x14ac:dyDescent="0.25">
      <c r="A16">
        <v>129090240</v>
      </c>
      <c r="B16" t="s">
        <v>120</v>
      </c>
      <c r="C16" t="s">
        <v>40</v>
      </c>
      <c r="E16">
        <v>20140606</v>
      </c>
      <c r="F16" t="s">
        <v>143</v>
      </c>
      <c r="G16" t="s">
        <v>144</v>
      </c>
      <c r="H16" t="s">
        <v>49</v>
      </c>
      <c r="I16">
        <v>1E-4</v>
      </c>
      <c r="J16">
        <v>62500</v>
      </c>
      <c r="K16">
        <v>1</v>
      </c>
      <c r="L16" t="s">
        <v>41</v>
      </c>
      <c r="M16" t="s">
        <v>103</v>
      </c>
      <c r="N16" t="s">
        <v>101</v>
      </c>
      <c r="O16">
        <v>1.68</v>
      </c>
      <c r="P16" t="s">
        <v>39</v>
      </c>
      <c r="Q16" t="s">
        <v>49</v>
      </c>
      <c r="R16" t="s">
        <v>145</v>
      </c>
      <c r="S16">
        <v>118903009</v>
      </c>
    </row>
    <row r="17" spans="1:19" x14ac:dyDescent="0.25">
      <c r="A17">
        <v>139781633</v>
      </c>
      <c r="B17" t="s">
        <v>121</v>
      </c>
      <c r="C17" t="s">
        <v>40</v>
      </c>
      <c r="E17">
        <v>20140606</v>
      </c>
      <c r="F17" t="s">
        <v>143</v>
      </c>
      <c r="G17" t="s">
        <v>144</v>
      </c>
      <c r="H17" t="s">
        <v>49</v>
      </c>
      <c r="I17">
        <v>1E-4</v>
      </c>
      <c r="J17">
        <v>62500</v>
      </c>
      <c r="K17">
        <v>1</v>
      </c>
      <c r="L17" t="s">
        <v>41</v>
      </c>
      <c r="M17" t="s">
        <v>102</v>
      </c>
      <c r="N17" t="s">
        <v>101</v>
      </c>
      <c r="O17">
        <v>1.675</v>
      </c>
      <c r="P17" t="s">
        <v>39</v>
      </c>
      <c r="Q17" t="s">
        <v>49</v>
      </c>
      <c r="R17" t="s">
        <v>145</v>
      </c>
      <c r="S17">
        <v>118903009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S88"/>
  <sheetViews>
    <sheetView topLeftCell="F63" workbookViewId="0">
      <selection activeCell="S59" sqref="S59"/>
    </sheetView>
  </sheetViews>
  <sheetFormatPr defaultRowHeight="15" x14ac:dyDescent="0.25"/>
  <cols>
    <col min="7" max="8" width="20.28515625" customWidth="1"/>
    <col min="10" max="10" width="18.42578125" customWidth="1"/>
    <col min="11" max="11" width="15.7109375" customWidth="1"/>
    <col min="14" max="14" width="11.7109375" customWidth="1"/>
    <col min="15" max="15" width="15.85546875" customWidth="1"/>
    <col min="16" max="16" width="18.42578125" customWidth="1"/>
  </cols>
  <sheetData>
    <row r="1" spans="1:18" x14ac:dyDescent="0.25">
      <c r="A1" t="s">
        <v>153</v>
      </c>
    </row>
    <row r="4" spans="1:18" x14ac:dyDescent="0.25">
      <c r="A4" t="s">
        <v>154</v>
      </c>
    </row>
    <row r="5" spans="1:18" x14ac:dyDescent="0.25">
      <c r="H5" t="s">
        <v>203</v>
      </c>
      <c r="I5" t="s">
        <v>176</v>
      </c>
      <c r="J5" t="s">
        <v>196</v>
      </c>
      <c r="K5" t="s">
        <v>197</v>
      </c>
      <c r="L5" t="s">
        <v>177</v>
      </c>
      <c r="M5" t="s">
        <v>152</v>
      </c>
      <c r="N5" t="s">
        <v>195</v>
      </c>
      <c r="O5" t="s">
        <v>201</v>
      </c>
      <c r="P5" t="s">
        <v>202</v>
      </c>
      <c r="Q5" t="s">
        <v>188</v>
      </c>
      <c r="R5" t="s">
        <v>189</v>
      </c>
    </row>
    <row r="6" spans="1:18" x14ac:dyDescent="0.25">
      <c r="A6" t="s">
        <v>155</v>
      </c>
      <c r="B6" t="s">
        <v>156</v>
      </c>
      <c r="I6" s="39" t="s">
        <v>178</v>
      </c>
      <c r="J6" s="39" t="s">
        <v>198</v>
      </c>
      <c r="K6" s="39" t="s">
        <v>198</v>
      </c>
      <c r="L6" s="40">
        <v>0</v>
      </c>
      <c r="M6" s="39" t="s">
        <v>179</v>
      </c>
      <c r="N6" s="39"/>
      <c r="O6" s="39" t="s">
        <v>199</v>
      </c>
      <c r="P6" s="39" t="s">
        <v>200</v>
      </c>
      <c r="Q6" s="39">
        <v>0</v>
      </c>
      <c r="R6" s="39">
        <v>0</v>
      </c>
    </row>
    <row r="7" spans="1:18" x14ac:dyDescent="0.25">
      <c r="A7" t="s">
        <v>157</v>
      </c>
      <c r="B7" t="s">
        <v>158</v>
      </c>
      <c r="I7" s="39" t="s">
        <v>178</v>
      </c>
      <c r="J7" s="39" t="s">
        <v>198</v>
      </c>
      <c r="K7" s="39" t="s">
        <v>198</v>
      </c>
      <c r="L7" s="40">
        <v>0</v>
      </c>
      <c r="M7" s="39" t="s">
        <v>161</v>
      </c>
      <c r="N7" s="39"/>
      <c r="O7" s="39" t="s">
        <v>180</v>
      </c>
      <c r="P7" s="39" t="s">
        <v>200</v>
      </c>
      <c r="Q7" s="39">
        <v>0</v>
      </c>
      <c r="R7" s="39">
        <v>0</v>
      </c>
    </row>
    <row r="8" spans="1:18" x14ac:dyDescent="0.25">
      <c r="A8" t="s">
        <v>159</v>
      </c>
      <c r="B8" t="s">
        <v>160</v>
      </c>
      <c r="I8" s="39" t="s">
        <v>178</v>
      </c>
      <c r="J8" s="39" t="s">
        <v>198</v>
      </c>
      <c r="K8" s="39" t="s">
        <v>198</v>
      </c>
      <c r="L8" s="40" t="s">
        <v>169</v>
      </c>
      <c r="M8" s="39" t="s">
        <v>179</v>
      </c>
      <c r="N8" s="39"/>
      <c r="O8" s="39" t="s">
        <v>181</v>
      </c>
      <c r="P8" s="39" t="s">
        <v>200</v>
      </c>
      <c r="Q8" s="39">
        <v>0</v>
      </c>
      <c r="R8" s="39">
        <v>1</v>
      </c>
    </row>
    <row r="9" spans="1:18" x14ac:dyDescent="0.25">
      <c r="A9" t="s">
        <v>161</v>
      </c>
      <c r="B9" t="s">
        <v>162</v>
      </c>
      <c r="I9" s="39" t="s">
        <v>178</v>
      </c>
      <c r="J9" s="39" t="s">
        <v>198</v>
      </c>
      <c r="K9" s="39" t="s">
        <v>198</v>
      </c>
      <c r="L9" s="40" t="s">
        <v>169</v>
      </c>
      <c r="M9" s="39" t="s">
        <v>161</v>
      </c>
      <c r="N9" s="39"/>
      <c r="O9" s="39" t="s">
        <v>181</v>
      </c>
      <c r="P9" s="39" t="s">
        <v>200</v>
      </c>
      <c r="Q9" s="39">
        <v>0</v>
      </c>
      <c r="R9" s="39">
        <v>1</v>
      </c>
    </row>
    <row r="10" spans="1:18" x14ac:dyDescent="0.25">
      <c r="A10" t="s">
        <v>163</v>
      </c>
      <c r="B10" t="s">
        <v>164</v>
      </c>
      <c r="I10" s="39" t="s">
        <v>178</v>
      </c>
      <c r="J10" s="39" t="s">
        <v>198</v>
      </c>
      <c r="K10" s="39" t="s">
        <v>198</v>
      </c>
      <c r="L10" s="40" t="s">
        <v>168</v>
      </c>
      <c r="M10" s="39" t="s">
        <v>179</v>
      </c>
      <c r="N10" s="39"/>
      <c r="O10" s="39" t="s">
        <v>181</v>
      </c>
      <c r="P10" s="39" t="s">
        <v>200</v>
      </c>
      <c r="Q10" s="39">
        <v>1</v>
      </c>
      <c r="R10" s="39">
        <v>0</v>
      </c>
    </row>
    <row r="11" spans="1:18" x14ac:dyDescent="0.25">
      <c r="A11" t="s">
        <v>165</v>
      </c>
      <c r="B11" t="s">
        <v>166</v>
      </c>
      <c r="I11" s="39" t="s">
        <v>178</v>
      </c>
      <c r="J11" s="39" t="s">
        <v>198</v>
      </c>
      <c r="K11" s="39" t="s">
        <v>198</v>
      </c>
      <c r="L11" s="40" t="s">
        <v>168</v>
      </c>
      <c r="M11" s="39" t="s">
        <v>161</v>
      </c>
      <c r="N11" s="39"/>
      <c r="O11" s="39" t="s">
        <v>181</v>
      </c>
      <c r="P11" s="39" t="s">
        <v>200</v>
      </c>
      <c r="Q11" s="39">
        <v>1</v>
      </c>
      <c r="R11" s="39">
        <v>0</v>
      </c>
    </row>
    <row r="12" spans="1:18" x14ac:dyDescent="0.25">
      <c r="L12" s="34"/>
    </row>
    <row r="13" spans="1:18" x14ac:dyDescent="0.25">
      <c r="I13" s="39" t="s">
        <v>157</v>
      </c>
      <c r="J13" s="39" t="s">
        <v>182</v>
      </c>
      <c r="K13" s="39" t="s">
        <v>182</v>
      </c>
      <c r="L13" s="40">
        <v>0</v>
      </c>
      <c r="M13" s="39" t="s">
        <v>179</v>
      </c>
      <c r="N13" s="39"/>
      <c r="O13" s="39" t="s">
        <v>180</v>
      </c>
      <c r="P13" s="39" t="s">
        <v>180</v>
      </c>
      <c r="Q13" s="39">
        <v>0</v>
      </c>
      <c r="R13" s="39">
        <v>0</v>
      </c>
    </row>
    <row r="14" spans="1:18" x14ac:dyDescent="0.25">
      <c r="A14" t="s">
        <v>167</v>
      </c>
      <c r="I14" s="39" t="s">
        <v>157</v>
      </c>
      <c r="J14" s="39" t="s">
        <v>182</v>
      </c>
      <c r="K14" s="39" t="s">
        <v>182</v>
      </c>
      <c r="L14" s="40">
        <v>0</v>
      </c>
      <c r="M14" s="39" t="s">
        <v>161</v>
      </c>
      <c r="N14" s="39"/>
      <c r="O14" s="39" t="s">
        <v>180</v>
      </c>
      <c r="P14" s="39" t="s">
        <v>180</v>
      </c>
      <c r="Q14" s="39">
        <v>0</v>
      </c>
      <c r="R14" s="39">
        <v>0</v>
      </c>
    </row>
    <row r="15" spans="1:18" x14ac:dyDescent="0.25">
      <c r="A15" t="s">
        <v>168</v>
      </c>
      <c r="B15" t="s">
        <v>185</v>
      </c>
      <c r="I15" s="39" t="s">
        <v>157</v>
      </c>
      <c r="J15" s="39" t="s">
        <v>182</v>
      </c>
      <c r="K15" s="39" t="s">
        <v>182</v>
      </c>
      <c r="L15" s="40" t="s">
        <v>169</v>
      </c>
      <c r="M15" s="39" t="s">
        <v>179</v>
      </c>
      <c r="N15" s="39"/>
      <c r="O15" s="39" t="s">
        <v>181</v>
      </c>
      <c r="P15" s="39" t="s">
        <v>180</v>
      </c>
      <c r="Q15" s="39">
        <v>-1</v>
      </c>
      <c r="R15" s="39">
        <v>0</v>
      </c>
    </row>
    <row r="16" spans="1:18" x14ac:dyDescent="0.25">
      <c r="A16" t="s">
        <v>169</v>
      </c>
      <c r="B16" t="s">
        <v>186</v>
      </c>
      <c r="I16" s="39" t="s">
        <v>157</v>
      </c>
      <c r="J16" s="39" t="s">
        <v>182</v>
      </c>
      <c r="K16" s="39" t="s">
        <v>182</v>
      </c>
      <c r="L16" s="40" t="s">
        <v>169</v>
      </c>
      <c r="M16" s="39" t="s">
        <v>161</v>
      </c>
      <c r="N16" s="39"/>
      <c r="O16" s="39" t="s">
        <v>181</v>
      </c>
      <c r="P16" s="39" t="s">
        <v>180</v>
      </c>
      <c r="Q16" s="39">
        <v>-1</v>
      </c>
      <c r="R16" s="39">
        <v>0</v>
      </c>
    </row>
    <row r="17" spans="1:19" x14ac:dyDescent="0.25">
      <c r="A17">
        <v>0</v>
      </c>
      <c r="B17" t="s">
        <v>170</v>
      </c>
      <c r="I17" s="39" t="s">
        <v>157</v>
      </c>
      <c r="J17" s="39" t="s">
        <v>182</v>
      </c>
      <c r="K17" s="39" t="s">
        <v>182</v>
      </c>
      <c r="L17" s="40" t="s">
        <v>168</v>
      </c>
      <c r="M17" s="39" t="s">
        <v>179</v>
      </c>
      <c r="N17" s="39"/>
      <c r="O17" s="39" t="s">
        <v>181</v>
      </c>
      <c r="P17" s="39" t="s">
        <v>180</v>
      </c>
      <c r="Q17" s="39">
        <v>1</v>
      </c>
      <c r="R17" s="39">
        <v>0</v>
      </c>
    </row>
    <row r="18" spans="1:19" x14ac:dyDescent="0.25">
      <c r="I18" s="39" t="s">
        <v>157</v>
      </c>
      <c r="J18" s="39" t="s">
        <v>182</v>
      </c>
      <c r="K18" s="39" t="s">
        <v>182</v>
      </c>
      <c r="L18" s="40" t="s">
        <v>168</v>
      </c>
      <c r="M18" s="39" t="s">
        <v>161</v>
      </c>
      <c r="N18" s="39"/>
      <c r="O18" s="39" t="s">
        <v>181</v>
      </c>
      <c r="P18" s="39" t="s">
        <v>180</v>
      </c>
      <c r="Q18" s="39">
        <v>1</v>
      </c>
      <c r="R18" s="39">
        <v>0</v>
      </c>
    </row>
    <row r="19" spans="1:19" x14ac:dyDescent="0.25">
      <c r="A19" t="s">
        <v>171</v>
      </c>
      <c r="I19" s="39" t="s">
        <v>157</v>
      </c>
      <c r="J19" s="39" t="s">
        <v>183</v>
      </c>
      <c r="K19" s="39" t="s">
        <v>182</v>
      </c>
      <c r="L19" s="40">
        <v>0</v>
      </c>
      <c r="M19" s="39" t="s">
        <v>179</v>
      </c>
      <c r="N19" s="39"/>
      <c r="O19" s="39" t="s">
        <v>180</v>
      </c>
      <c r="P19" s="39" t="s">
        <v>180</v>
      </c>
      <c r="Q19" s="39">
        <v>0</v>
      </c>
      <c r="R19" s="39">
        <v>0</v>
      </c>
      <c r="S19" t="s">
        <v>208</v>
      </c>
    </row>
    <row r="20" spans="1:19" x14ac:dyDescent="0.25">
      <c r="A20" t="s">
        <v>172</v>
      </c>
      <c r="B20" t="s">
        <v>173</v>
      </c>
      <c r="I20" s="41" t="s">
        <v>157</v>
      </c>
      <c r="J20" s="41" t="s">
        <v>183</v>
      </c>
      <c r="K20" s="41" t="s">
        <v>182</v>
      </c>
      <c r="L20" s="42">
        <v>0</v>
      </c>
      <c r="M20" s="41" t="s">
        <v>161</v>
      </c>
      <c r="N20" s="41"/>
      <c r="O20" s="41" t="s">
        <v>187</v>
      </c>
      <c r="P20" s="41" t="s">
        <v>180</v>
      </c>
      <c r="Q20" s="41">
        <v>0</v>
      </c>
      <c r="R20" s="41">
        <v>0</v>
      </c>
    </row>
    <row r="21" spans="1:19" x14ac:dyDescent="0.25">
      <c r="A21" t="s">
        <v>174</v>
      </c>
      <c r="B21" t="s">
        <v>175</v>
      </c>
      <c r="I21" s="41" t="s">
        <v>157</v>
      </c>
      <c r="J21" s="41" t="s">
        <v>183</v>
      </c>
      <c r="K21" s="41" t="s">
        <v>182</v>
      </c>
      <c r="L21" s="42" t="s">
        <v>169</v>
      </c>
      <c r="M21" s="41" t="s">
        <v>179</v>
      </c>
      <c r="N21" s="41"/>
      <c r="O21" s="41" t="s">
        <v>180</v>
      </c>
      <c r="P21" s="41" t="s">
        <v>180</v>
      </c>
      <c r="Q21" s="41">
        <v>-1</v>
      </c>
      <c r="R21" s="41">
        <v>0</v>
      </c>
      <c r="S21" t="s">
        <v>190</v>
      </c>
    </row>
    <row r="22" spans="1:19" x14ac:dyDescent="0.25">
      <c r="I22" s="41" t="s">
        <v>157</v>
      </c>
      <c r="J22" s="41" t="s">
        <v>183</v>
      </c>
      <c r="K22" s="41" t="s">
        <v>182</v>
      </c>
      <c r="L22" s="42" t="s">
        <v>169</v>
      </c>
      <c r="M22" s="41" t="s">
        <v>161</v>
      </c>
      <c r="N22" s="41"/>
      <c r="O22" s="41" t="s">
        <v>180</v>
      </c>
      <c r="P22" s="41" t="s">
        <v>180</v>
      </c>
      <c r="Q22" s="41">
        <v>-1</v>
      </c>
      <c r="R22" s="41">
        <v>0</v>
      </c>
    </row>
    <row r="23" spans="1:19" x14ac:dyDescent="0.25">
      <c r="A23" t="s">
        <v>204</v>
      </c>
      <c r="I23" s="39" t="s">
        <v>157</v>
      </c>
      <c r="J23" s="39" t="s">
        <v>183</v>
      </c>
      <c r="K23" s="39" t="s">
        <v>182</v>
      </c>
      <c r="L23" s="40" t="s">
        <v>168</v>
      </c>
      <c r="M23" s="39" t="s">
        <v>179</v>
      </c>
      <c r="N23" s="39"/>
      <c r="O23" s="39" t="s">
        <v>181</v>
      </c>
      <c r="P23" s="39" t="s">
        <v>180</v>
      </c>
      <c r="Q23" s="39">
        <v>1</v>
      </c>
      <c r="R23" s="39">
        <v>0</v>
      </c>
      <c r="S23" t="s">
        <v>191</v>
      </c>
    </row>
    <row r="24" spans="1:19" x14ac:dyDescent="0.25">
      <c r="I24" s="39" t="s">
        <v>157</v>
      </c>
      <c r="J24" s="39" t="s">
        <v>183</v>
      </c>
      <c r="K24" s="39" t="s">
        <v>182</v>
      </c>
      <c r="L24" s="40" t="s">
        <v>168</v>
      </c>
      <c r="M24" s="39" t="s">
        <v>161</v>
      </c>
      <c r="N24" s="39"/>
      <c r="O24" s="39" t="s">
        <v>181</v>
      </c>
      <c r="P24" s="39" t="s">
        <v>180</v>
      </c>
      <c r="Q24" s="39">
        <v>1</v>
      </c>
      <c r="R24" s="39">
        <v>0</v>
      </c>
      <c r="S24" t="s">
        <v>192</v>
      </c>
    </row>
    <row r="25" spans="1:19" x14ac:dyDescent="0.25">
      <c r="L25" s="34"/>
    </row>
    <row r="26" spans="1:19" x14ac:dyDescent="0.25">
      <c r="I26" s="39" t="s">
        <v>157</v>
      </c>
      <c r="J26" s="39" t="s">
        <v>182</v>
      </c>
      <c r="K26" s="39" t="s">
        <v>183</v>
      </c>
      <c r="L26" s="40">
        <v>0</v>
      </c>
      <c r="M26" s="39" t="s">
        <v>179</v>
      </c>
      <c r="N26" s="39"/>
      <c r="O26" s="39" t="s">
        <v>180</v>
      </c>
      <c r="P26" s="39"/>
      <c r="Q26" s="39">
        <v>0</v>
      </c>
      <c r="R26" s="39">
        <v>0</v>
      </c>
      <c r="S26" t="s">
        <v>193</v>
      </c>
    </row>
    <row r="27" spans="1:19" x14ac:dyDescent="0.25">
      <c r="I27" s="39" t="s">
        <v>157</v>
      </c>
      <c r="J27" s="39" t="s">
        <v>182</v>
      </c>
      <c r="K27" s="39" t="s">
        <v>183</v>
      </c>
      <c r="L27" s="40">
        <v>0</v>
      </c>
      <c r="M27" s="39" t="s">
        <v>161</v>
      </c>
      <c r="N27" s="39"/>
      <c r="O27" s="39" t="s">
        <v>180</v>
      </c>
      <c r="P27" s="39"/>
      <c r="Q27" s="39">
        <v>0</v>
      </c>
      <c r="R27" s="39">
        <v>0</v>
      </c>
      <c r="S27" t="s">
        <v>194</v>
      </c>
    </row>
    <row r="28" spans="1:19" x14ac:dyDescent="0.25">
      <c r="I28" s="39" t="s">
        <v>157</v>
      </c>
      <c r="J28" s="39" t="s">
        <v>182</v>
      </c>
      <c r="K28" s="39" t="s">
        <v>183</v>
      </c>
      <c r="L28" s="40" t="s">
        <v>169</v>
      </c>
      <c r="M28" s="39" t="s">
        <v>179</v>
      </c>
      <c r="N28" s="39"/>
      <c r="O28" s="39" t="s">
        <v>181</v>
      </c>
      <c r="P28" s="39"/>
      <c r="Q28" s="39">
        <v>-1</v>
      </c>
      <c r="R28" s="39">
        <v>0</v>
      </c>
      <c r="S28" t="s">
        <v>190</v>
      </c>
    </row>
    <row r="29" spans="1:19" x14ac:dyDescent="0.25">
      <c r="I29" s="39" t="s">
        <v>157</v>
      </c>
      <c r="J29" s="39" t="s">
        <v>182</v>
      </c>
      <c r="K29" s="39" t="s">
        <v>183</v>
      </c>
      <c r="L29" s="40" t="s">
        <v>169</v>
      </c>
      <c r="M29" s="39" t="s">
        <v>161</v>
      </c>
      <c r="N29" s="39"/>
      <c r="O29" s="39" t="s">
        <v>181</v>
      </c>
      <c r="P29" s="39"/>
      <c r="Q29" s="39">
        <v>-1</v>
      </c>
      <c r="R29" s="39">
        <v>0</v>
      </c>
      <c r="S29" t="s">
        <v>190</v>
      </c>
    </row>
    <row r="30" spans="1:19" x14ac:dyDescent="0.25">
      <c r="I30" s="39" t="s">
        <v>157</v>
      </c>
      <c r="J30" s="39" t="s">
        <v>182</v>
      </c>
      <c r="K30" s="39" t="s">
        <v>183</v>
      </c>
      <c r="L30" s="40" t="s">
        <v>168</v>
      </c>
      <c r="M30" s="39" t="s">
        <v>179</v>
      </c>
      <c r="N30" s="39"/>
      <c r="O30" s="39" t="s">
        <v>181</v>
      </c>
      <c r="P30" s="39"/>
      <c r="Q30" s="39">
        <v>1</v>
      </c>
      <c r="R30" s="39">
        <v>0</v>
      </c>
      <c r="S30" t="s">
        <v>190</v>
      </c>
    </row>
    <row r="31" spans="1:19" x14ac:dyDescent="0.25">
      <c r="I31" s="39" t="s">
        <v>157</v>
      </c>
      <c r="J31" s="39" t="s">
        <v>182</v>
      </c>
      <c r="K31" s="39" t="s">
        <v>183</v>
      </c>
      <c r="L31" s="40" t="s">
        <v>168</v>
      </c>
      <c r="M31" s="39" t="s">
        <v>161</v>
      </c>
      <c r="N31" s="39"/>
      <c r="O31" s="39" t="s">
        <v>181</v>
      </c>
      <c r="P31" s="39"/>
      <c r="Q31" s="39">
        <v>1</v>
      </c>
      <c r="R31" s="39">
        <v>0</v>
      </c>
      <c r="S31" t="s">
        <v>190</v>
      </c>
    </row>
    <row r="32" spans="1:19" x14ac:dyDescent="0.25">
      <c r="L32" s="34"/>
    </row>
    <row r="33" spans="9:19" x14ac:dyDescent="0.25">
      <c r="L33" s="34"/>
    </row>
    <row r="34" spans="9:19" x14ac:dyDescent="0.25">
      <c r="I34" s="39" t="s">
        <v>103</v>
      </c>
      <c r="J34" s="39" t="s">
        <v>183</v>
      </c>
      <c r="K34" s="39" t="s">
        <v>182</v>
      </c>
      <c r="L34" s="40">
        <v>0</v>
      </c>
      <c r="M34" s="39" t="s">
        <v>179</v>
      </c>
      <c r="N34" s="39"/>
      <c r="O34" s="39" t="s">
        <v>180</v>
      </c>
      <c r="P34" s="39" t="s">
        <v>209</v>
      </c>
      <c r="Q34" s="39">
        <v>0</v>
      </c>
      <c r="R34" s="39">
        <v>0</v>
      </c>
      <c r="S34" t="s">
        <v>205</v>
      </c>
    </row>
    <row r="35" spans="9:19" x14ac:dyDescent="0.25">
      <c r="I35" s="37" t="s">
        <v>103</v>
      </c>
      <c r="J35" s="37" t="s">
        <v>183</v>
      </c>
      <c r="K35" s="37" t="s">
        <v>182</v>
      </c>
      <c r="L35" s="38">
        <v>0</v>
      </c>
      <c r="M35" s="37" t="s">
        <v>161</v>
      </c>
      <c r="N35" s="37"/>
      <c r="O35" s="37" t="s">
        <v>187</v>
      </c>
      <c r="P35" s="37" t="s">
        <v>209</v>
      </c>
      <c r="Q35" s="37">
        <v>0</v>
      </c>
      <c r="R35" s="37">
        <v>0</v>
      </c>
    </row>
    <row r="36" spans="9:19" x14ac:dyDescent="0.25">
      <c r="I36" s="37" t="s">
        <v>103</v>
      </c>
      <c r="J36" s="37" t="s">
        <v>183</v>
      </c>
      <c r="K36" s="37" t="s">
        <v>182</v>
      </c>
      <c r="L36" s="38" t="s">
        <v>169</v>
      </c>
      <c r="M36" s="37" t="s">
        <v>179</v>
      </c>
      <c r="N36" s="37"/>
      <c r="O36" s="37" t="s">
        <v>180</v>
      </c>
      <c r="P36" s="37" t="s">
        <v>209</v>
      </c>
      <c r="Q36" s="37">
        <v>-1</v>
      </c>
      <c r="R36" s="37">
        <v>0</v>
      </c>
      <c r="S36" t="s">
        <v>190</v>
      </c>
    </row>
    <row r="37" spans="9:19" x14ac:dyDescent="0.25">
      <c r="I37" s="37" t="s">
        <v>103</v>
      </c>
      <c r="J37" s="37" t="s">
        <v>183</v>
      </c>
      <c r="K37" s="37" t="s">
        <v>182</v>
      </c>
      <c r="L37" s="38" t="s">
        <v>169</v>
      </c>
      <c r="M37" s="37" t="s">
        <v>161</v>
      </c>
      <c r="N37" s="37"/>
      <c r="O37" s="37" t="s">
        <v>180</v>
      </c>
      <c r="P37" s="37" t="s">
        <v>209</v>
      </c>
      <c r="Q37" s="37">
        <v>-1</v>
      </c>
      <c r="R37" s="37">
        <v>0</v>
      </c>
    </row>
    <row r="38" spans="9:19" x14ac:dyDescent="0.25">
      <c r="I38" s="39" t="s">
        <v>103</v>
      </c>
      <c r="J38" s="39" t="s">
        <v>183</v>
      </c>
      <c r="K38" s="39" t="s">
        <v>182</v>
      </c>
      <c r="L38" s="40" t="s">
        <v>168</v>
      </c>
      <c r="M38" s="39" t="s">
        <v>179</v>
      </c>
      <c r="N38" s="39"/>
      <c r="O38" s="39" t="s">
        <v>211</v>
      </c>
      <c r="P38" s="39" t="s">
        <v>209</v>
      </c>
      <c r="Q38" s="39">
        <v>1</v>
      </c>
      <c r="R38" s="39">
        <v>0</v>
      </c>
      <c r="S38" t="s">
        <v>206</v>
      </c>
    </row>
    <row r="39" spans="9:19" x14ac:dyDescent="0.25">
      <c r="I39" s="37" t="s">
        <v>103</v>
      </c>
      <c r="J39" s="37" t="s">
        <v>183</v>
      </c>
      <c r="K39" s="37" t="s">
        <v>182</v>
      </c>
      <c r="L39" s="38" t="s">
        <v>168</v>
      </c>
      <c r="M39" s="37" t="s">
        <v>161</v>
      </c>
      <c r="N39" s="37"/>
      <c r="O39" s="37" t="s">
        <v>187</v>
      </c>
      <c r="P39" s="37" t="s">
        <v>209</v>
      </c>
      <c r="Q39" s="37">
        <v>1</v>
      </c>
      <c r="R39" s="37">
        <v>0</v>
      </c>
      <c r="S39" t="s">
        <v>206</v>
      </c>
    </row>
    <row r="40" spans="9:19" x14ac:dyDescent="0.25">
      <c r="L40" s="34"/>
    </row>
    <row r="41" spans="9:19" x14ac:dyDescent="0.25">
      <c r="I41" s="39" t="s">
        <v>103</v>
      </c>
      <c r="J41" s="39" t="s">
        <v>182</v>
      </c>
      <c r="K41" s="39" t="s">
        <v>183</v>
      </c>
      <c r="L41" s="40">
        <v>0</v>
      </c>
      <c r="M41" s="39" t="s">
        <v>179</v>
      </c>
      <c r="N41" s="39"/>
      <c r="O41" s="39" t="s">
        <v>180</v>
      </c>
      <c r="P41" s="39" t="s">
        <v>209</v>
      </c>
      <c r="Q41" s="39">
        <v>0</v>
      </c>
      <c r="R41" s="39">
        <v>0</v>
      </c>
      <c r="S41" t="s">
        <v>193</v>
      </c>
    </row>
    <row r="42" spans="9:19" x14ac:dyDescent="0.25">
      <c r="I42" s="39" t="s">
        <v>103</v>
      </c>
      <c r="J42" s="39" t="s">
        <v>182</v>
      </c>
      <c r="K42" s="39" t="s">
        <v>183</v>
      </c>
      <c r="L42" s="40">
        <v>0</v>
      </c>
      <c r="M42" s="39" t="s">
        <v>161</v>
      </c>
      <c r="N42" s="39"/>
      <c r="O42" s="39" t="s">
        <v>180</v>
      </c>
      <c r="P42" s="39" t="s">
        <v>209</v>
      </c>
      <c r="Q42" s="39">
        <v>0</v>
      </c>
      <c r="R42" s="39">
        <v>0</v>
      </c>
      <c r="S42" t="s">
        <v>194</v>
      </c>
    </row>
    <row r="43" spans="9:19" x14ac:dyDescent="0.25">
      <c r="I43" s="39" t="s">
        <v>103</v>
      </c>
      <c r="J43" s="39" t="s">
        <v>182</v>
      </c>
      <c r="K43" s="39" t="s">
        <v>183</v>
      </c>
      <c r="L43" s="40" t="s">
        <v>169</v>
      </c>
      <c r="M43" s="39" t="s">
        <v>179</v>
      </c>
      <c r="N43" s="39"/>
      <c r="O43" s="39" t="s">
        <v>181</v>
      </c>
      <c r="P43" s="39" t="s">
        <v>209</v>
      </c>
      <c r="Q43" s="39">
        <v>0</v>
      </c>
      <c r="R43" s="39">
        <v>1</v>
      </c>
      <c r="S43" t="s">
        <v>190</v>
      </c>
    </row>
    <row r="44" spans="9:19" x14ac:dyDescent="0.25">
      <c r="I44" s="39" t="s">
        <v>103</v>
      </c>
      <c r="J44" s="39" t="s">
        <v>182</v>
      </c>
      <c r="K44" s="39" t="s">
        <v>183</v>
      </c>
      <c r="L44" s="40" t="s">
        <v>169</v>
      </c>
      <c r="M44" s="39" t="s">
        <v>161</v>
      </c>
      <c r="N44" s="39"/>
      <c r="O44" s="39" t="s">
        <v>181</v>
      </c>
      <c r="P44" s="39" t="s">
        <v>209</v>
      </c>
      <c r="Q44" s="39">
        <v>0</v>
      </c>
      <c r="R44" s="39">
        <v>1</v>
      </c>
      <c r="S44" t="s">
        <v>190</v>
      </c>
    </row>
    <row r="45" spans="9:19" x14ac:dyDescent="0.25">
      <c r="I45" s="39" t="s">
        <v>103</v>
      </c>
      <c r="J45" s="39" t="s">
        <v>182</v>
      </c>
      <c r="K45" s="39" t="s">
        <v>183</v>
      </c>
      <c r="L45" s="40" t="s">
        <v>168</v>
      </c>
      <c r="M45" s="39" t="s">
        <v>179</v>
      </c>
      <c r="N45" s="39"/>
      <c r="O45" s="39" t="s">
        <v>181</v>
      </c>
      <c r="P45" s="39" t="s">
        <v>209</v>
      </c>
      <c r="Q45" s="39">
        <v>2</v>
      </c>
      <c r="R45" s="39">
        <v>1</v>
      </c>
      <c r="S45" t="s">
        <v>190</v>
      </c>
    </row>
    <row r="46" spans="9:19" x14ac:dyDescent="0.25">
      <c r="I46" s="39" t="s">
        <v>103</v>
      </c>
      <c r="J46" s="39" t="s">
        <v>182</v>
      </c>
      <c r="K46" s="39" t="s">
        <v>183</v>
      </c>
      <c r="L46" s="40" t="s">
        <v>168</v>
      </c>
      <c r="M46" s="39" t="s">
        <v>161</v>
      </c>
      <c r="N46" s="39"/>
      <c r="O46" s="39" t="s">
        <v>181</v>
      </c>
      <c r="P46" s="39" t="s">
        <v>209</v>
      </c>
      <c r="Q46" s="39">
        <v>1</v>
      </c>
      <c r="R46" s="39">
        <v>0</v>
      </c>
      <c r="S46" t="s">
        <v>190</v>
      </c>
    </row>
    <row r="47" spans="9:19" x14ac:dyDescent="0.25">
      <c r="L47" s="34"/>
    </row>
    <row r="48" spans="9:19" x14ac:dyDescent="0.25">
      <c r="L48" s="34"/>
    </row>
    <row r="49" spans="9:19" x14ac:dyDescent="0.25">
      <c r="I49" s="39" t="s">
        <v>161</v>
      </c>
      <c r="J49" s="39" t="s">
        <v>183</v>
      </c>
      <c r="K49" s="39" t="s">
        <v>182</v>
      </c>
      <c r="L49" s="40">
        <v>0</v>
      </c>
      <c r="M49" s="39" t="s">
        <v>179</v>
      </c>
      <c r="N49" s="39"/>
      <c r="O49" s="39" t="s">
        <v>180</v>
      </c>
      <c r="P49" s="39" t="s">
        <v>210</v>
      </c>
      <c r="Q49" s="39">
        <v>0</v>
      </c>
      <c r="R49" s="39">
        <v>0</v>
      </c>
      <c r="S49" t="s">
        <v>205</v>
      </c>
    </row>
    <row r="50" spans="9:19" x14ac:dyDescent="0.25">
      <c r="I50" s="37" t="s">
        <v>161</v>
      </c>
      <c r="J50" s="37" t="s">
        <v>183</v>
      </c>
      <c r="K50" s="37" t="s">
        <v>182</v>
      </c>
      <c r="L50" s="38">
        <v>0</v>
      </c>
      <c r="M50" s="37" t="s">
        <v>161</v>
      </c>
      <c r="N50" s="37"/>
      <c r="O50" s="37" t="s">
        <v>187</v>
      </c>
      <c r="P50" s="37" t="s">
        <v>210</v>
      </c>
      <c r="Q50" s="37">
        <v>0</v>
      </c>
      <c r="R50" s="37">
        <v>0</v>
      </c>
    </row>
    <row r="51" spans="9:19" x14ac:dyDescent="0.25">
      <c r="I51" s="37" t="s">
        <v>161</v>
      </c>
      <c r="J51" s="37" t="s">
        <v>183</v>
      </c>
      <c r="K51" s="37" t="s">
        <v>182</v>
      </c>
      <c r="L51" s="38" t="s">
        <v>169</v>
      </c>
      <c r="M51" s="37" t="s">
        <v>179</v>
      </c>
      <c r="N51" s="37"/>
      <c r="O51" s="37" t="s">
        <v>180</v>
      </c>
      <c r="P51" s="37" t="s">
        <v>210</v>
      </c>
      <c r="Q51" s="37">
        <v>-1</v>
      </c>
      <c r="R51" s="37">
        <v>0</v>
      </c>
      <c r="S51" t="s">
        <v>190</v>
      </c>
    </row>
    <row r="52" spans="9:19" x14ac:dyDescent="0.25">
      <c r="I52" s="37" t="s">
        <v>161</v>
      </c>
      <c r="J52" s="37" t="s">
        <v>183</v>
      </c>
      <c r="K52" s="37" t="s">
        <v>182</v>
      </c>
      <c r="L52" s="38" t="s">
        <v>169</v>
      </c>
      <c r="M52" s="37" t="s">
        <v>161</v>
      </c>
      <c r="N52" s="37"/>
      <c r="O52" s="37" t="s">
        <v>180</v>
      </c>
      <c r="P52" s="37" t="s">
        <v>210</v>
      </c>
      <c r="Q52" s="37">
        <v>-1</v>
      </c>
      <c r="R52" s="37">
        <v>0</v>
      </c>
    </row>
    <row r="53" spans="9:19" x14ac:dyDescent="0.25">
      <c r="I53" s="37" t="s">
        <v>161</v>
      </c>
      <c r="J53" s="37" t="s">
        <v>183</v>
      </c>
      <c r="K53" s="37" t="s">
        <v>182</v>
      </c>
      <c r="L53" s="38" t="s">
        <v>168</v>
      </c>
      <c r="M53" s="37" t="s">
        <v>179</v>
      </c>
      <c r="N53" s="37"/>
      <c r="O53" s="37" t="s">
        <v>187</v>
      </c>
      <c r="P53" s="37" t="s">
        <v>210</v>
      </c>
      <c r="Q53" s="37">
        <v>1</v>
      </c>
      <c r="R53" s="37">
        <v>0</v>
      </c>
      <c r="S53" t="s">
        <v>206</v>
      </c>
    </row>
    <row r="54" spans="9:19" x14ac:dyDescent="0.25">
      <c r="I54" s="37" t="s">
        <v>161</v>
      </c>
      <c r="J54" s="37" t="s">
        <v>183</v>
      </c>
      <c r="K54" s="37" t="s">
        <v>182</v>
      </c>
      <c r="L54" s="38" t="s">
        <v>168</v>
      </c>
      <c r="M54" s="37" t="s">
        <v>161</v>
      </c>
      <c r="N54" s="37"/>
      <c r="O54" s="37" t="s">
        <v>187</v>
      </c>
      <c r="P54" s="37" t="s">
        <v>210</v>
      </c>
      <c r="Q54" s="37">
        <v>1</v>
      </c>
      <c r="R54" s="37">
        <v>0</v>
      </c>
      <c r="S54" t="s">
        <v>206</v>
      </c>
    </row>
    <row r="55" spans="9:19" x14ac:dyDescent="0.25">
      <c r="L55" s="34"/>
    </row>
    <row r="56" spans="9:19" x14ac:dyDescent="0.25">
      <c r="I56" s="43" t="s">
        <v>161</v>
      </c>
      <c r="J56" s="43" t="s">
        <v>182</v>
      </c>
      <c r="K56" s="43" t="s">
        <v>183</v>
      </c>
      <c r="L56" s="44">
        <v>0</v>
      </c>
      <c r="M56" s="43" t="s">
        <v>179</v>
      </c>
      <c r="N56" s="43"/>
      <c r="O56" s="43" t="s">
        <v>184</v>
      </c>
      <c r="P56" s="43" t="s">
        <v>210</v>
      </c>
      <c r="Q56" s="43">
        <v>0</v>
      </c>
      <c r="R56" s="43">
        <v>0</v>
      </c>
      <c r="S56" t="s">
        <v>193</v>
      </c>
    </row>
    <row r="57" spans="9:19" x14ac:dyDescent="0.25">
      <c r="I57" s="43" t="s">
        <v>161</v>
      </c>
      <c r="J57" s="43" t="s">
        <v>182</v>
      </c>
      <c r="K57" s="43" t="s">
        <v>183</v>
      </c>
      <c r="L57" s="44">
        <v>0</v>
      </c>
      <c r="M57" s="43" t="s">
        <v>161</v>
      </c>
      <c r="N57" s="43"/>
      <c r="O57" s="43" t="s">
        <v>184</v>
      </c>
      <c r="P57" s="43" t="s">
        <v>210</v>
      </c>
      <c r="Q57" s="43">
        <v>0</v>
      </c>
      <c r="R57" s="43">
        <v>0</v>
      </c>
      <c r="S57" t="s">
        <v>194</v>
      </c>
    </row>
    <row r="58" spans="9:19" x14ac:dyDescent="0.25">
      <c r="I58" s="43" t="s">
        <v>161</v>
      </c>
      <c r="J58" s="43" t="s">
        <v>182</v>
      </c>
      <c r="K58" s="43" t="s">
        <v>183</v>
      </c>
      <c r="L58" s="44" t="s">
        <v>169</v>
      </c>
      <c r="M58" s="43" t="s">
        <v>179</v>
      </c>
      <c r="N58" s="43"/>
      <c r="O58" s="43" t="s">
        <v>184</v>
      </c>
      <c r="P58" s="43" t="s">
        <v>210</v>
      </c>
      <c r="Q58" s="43">
        <v>0</v>
      </c>
      <c r="R58" s="43">
        <v>1</v>
      </c>
      <c r="S58" t="s">
        <v>190</v>
      </c>
    </row>
    <row r="59" spans="9:19" x14ac:dyDescent="0.25">
      <c r="I59" s="39" t="s">
        <v>161</v>
      </c>
      <c r="J59" s="39" t="s">
        <v>182</v>
      </c>
      <c r="K59" s="39" t="s">
        <v>183</v>
      </c>
      <c r="L59" s="40" t="s">
        <v>169</v>
      </c>
      <c r="M59" s="39" t="s">
        <v>161</v>
      </c>
      <c r="N59" s="39"/>
      <c r="O59" s="39" t="s">
        <v>180</v>
      </c>
      <c r="P59" s="39" t="s">
        <v>210</v>
      </c>
      <c r="Q59" s="39">
        <v>-1</v>
      </c>
      <c r="R59" s="39">
        <v>0</v>
      </c>
    </row>
    <row r="60" spans="9:19" x14ac:dyDescent="0.25">
      <c r="I60" s="43" t="s">
        <v>161</v>
      </c>
      <c r="J60" s="43" t="s">
        <v>182</v>
      </c>
      <c r="K60" s="43" t="s">
        <v>183</v>
      </c>
      <c r="L60" s="44" t="s">
        <v>168</v>
      </c>
      <c r="M60" s="43" t="s">
        <v>179</v>
      </c>
      <c r="N60" s="43"/>
      <c r="O60" s="43" t="s">
        <v>180</v>
      </c>
      <c r="P60" s="43" t="s">
        <v>210</v>
      </c>
      <c r="Q60" s="43">
        <v>2</v>
      </c>
      <c r="R60" s="43">
        <v>1</v>
      </c>
      <c r="S60" t="s">
        <v>190</v>
      </c>
    </row>
    <row r="61" spans="9:19" x14ac:dyDescent="0.25">
      <c r="I61" s="43" t="s">
        <v>161</v>
      </c>
      <c r="J61" s="43" t="s">
        <v>182</v>
      </c>
      <c r="K61" s="43" t="s">
        <v>183</v>
      </c>
      <c r="L61" s="44" t="s">
        <v>168</v>
      </c>
      <c r="M61" s="43" t="s">
        <v>161</v>
      </c>
      <c r="N61" s="43"/>
      <c r="O61" s="43" t="s">
        <v>180</v>
      </c>
      <c r="P61" s="43" t="s">
        <v>210</v>
      </c>
      <c r="Q61" s="43">
        <v>1</v>
      </c>
      <c r="R61" s="43">
        <v>0</v>
      </c>
      <c r="S61" t="s">
        <v>190</v>
      </c>
    </row>
    <row r="64" spans="9:19" x14ac:dyDescent="0.25">
      <c r="I64" s="39" t="s">
        <v>163</v>
      </c>
      <c r="J64" s="39" t="s">
        <v>182</v>
      </c>
      <c r="K64" s="39" t="s">
        <v>182</v>
      </c>
      <c r="L64" s="40">
        <v>0</v>
      </c>
      <c r="M64" s="39" t="s">
        <v>179</v>
      </c>
      <c r="N64" s="39"/>
      <c r="O64" s="39" t="s">
        <v>180</v>
      </c>
      <c r="P64" s="39" t="s">
        <v>180</v>
      </c>
      <c r="Q64" s="39">
        <v>0</v>
      </c>
      <c r="R64" s="39">
        <v>0</v>
      </c>
    </row>
    <row r="65" spans="9:19" x14ac:dyDescent="0.25">
      <c r="I65" s="39" t="s">
        <v>163</v>
      </c>
      <c r="J65" s="39" t="s">
        <v>182</v>
      </c>
      <c r="K65" s="39" t="s">
        <v>182</v>
      </c>
      <c r="L65" s="40">
        <v>0</v>
      </c>
      <c r="M65" s="39" t="s">
        <v>161</v>
      </c>
      <c r="N65" s="39"/>
      <c r="O65" s="39" t="s">
        <v>180</v>
      </c>
      <c r="P65" s="39" t="s">
        <v>180</v>
      </c>
      <c r="Q65" s="39">
        <v>0</v>
      </c>
      <c r="R65" s="39">
        <v>0</v>
      </c>
    </row>
    <row r="66" spans="9:19" x14ac:dyDescent="0.25">
      <c r="I66" s="39" t="s">
        <v>163</v>
      </c>
      <c r="J66" s="39" t="s">
        <v>182</v>
      </c>
      <c r="K66" s="39" t="s">
        <v>182</v>
      </c>
      <c r="L66" s="40" t="s">
        <v>169</v>
      </c>
      <c r="M66" s="39" t="s">
        <v>179</v>
      </c>
      <c r="N66" s="39"/>
      <c r="O66" s="39" t="s">
        <v>181</v>
      </c>
      <c r="P66" s="39" t="s">
        <v>180</v>
      </c>
      <c r="Q66" s="39">
        <v>-1</v>
      </c>
      <c r="R66" s="39">
        <v>0</v>
      </c>
    </row>
    <row r="67" spans="9:19" x14ac:dyDescent="0.25">
      <c r="I67" s="39" t="s">
        <v>163</v>
      </c>
      <c r="J67" s="39" t="s">
        <v>182</v>
      </c>
      <c r="K67" s="39" t="s">
        <v>182</v>
      </c>
      <c r="L67" s="40" t="s">
        <v>169</v>
      </c>
      <c r="M67" s="39" t="s">
        <v>161</v>
      </c>
      <c r="N67" s="39"/>
      <c r="O67" s="39" t="s">
        <v>181</v>
      </c>
      <c r="P67" s="39" t="s">
        <v>180</v>
      </c>
      <c r="Q67" s="39">
        <v>-1</v>
      </c>
      <c r="R67" s="39">
        <v>0</v>
      </c>
    </row>
    <row r="68" spans="9:19" x14ac:dyDescent="0.25">
      <c r="I68" s="39" t="s">
        <v>163</v>
      </c>
      <c r="J68" s="39" t="s">
        <v>182</v>
      </c>
      <c r="K68" s="39" t="s">
        <v>182</v>
      </c>
      <c r="L68" s="40" t="s">
        <v>168</v>
      </c>
      <c r="M68" s="39" t="s">
        <v>179</v>
      </c>
      <c r="N68" s="39"/>
      <c r="O68" s="39" t="s">
        <v>181</v>
      </c>
      <c r="P68" s="39" t="s">
        <v>180</v>
      </c>
      <c r="Q68" s="39">
        <v>1</v>
      </c>
      <c r="R68" s="39">
        <v>0</v>
      </c>
    </row>
    <row r="69" spans="9:19" x14ac:dyDescent="0.25">
      <c r="I69" s="39" t="s">
        <v>163</v>
      </c>
      <c r="J69" s="39" t="s">
        <v>182</v>
      </c>
      <c r="K69" s="39" t="s">
        <v>182</v>
      </c>
      <c r="L69" s="40" t="s">
        <v>168</v>
      </c>
      <c r="M69" s="39" t="s">
        <v>161</v>
      </c>
      <c r="N69" s="39"/>
      <c r="O69" s="39" t="s">
        <v>181</v>
      </c>
      <c r="P69" s="39" t="s">
        <v>180</v>
      </c>
      <c r="Q69" s="39">
        <v>1</v>
      </c>
      <c r="R69" s="39">
        <v>0</v>
      </c>
    </row>
    <row r="70" spans="9:19" x14ac:dyDescent="0.25">
      <c r="I70" s="39" t="s">
        <v>163</v>
      </c>
      <c r="J70" s="39" t="s">
        <v>183</v>
      </c>
      <c r="K70" s="39" t="s">
        <v>182</v>
      </c>
      <c r="L70" s="40">
        <v>0</v>
      </c>
      <c r="M70" s="39" t="s">
        <v>179</v>
      </c>
      <c r="N70" s="39"/>
      <c r="O70" s="39" t="s">
        <v>180</v>
      </c>
      <c r="P70" s="39" t="s">
        <v>180</v>
      </c>
      <c r="Q70" s="39">
        <v>0</v>
      </c>
      <c r="R70" s="39">
        <v>0</v>
      </c>
    </row>
    <row r="71" spans="9:19" x14ac:dyDescent="0.25">
      <c r="I71" s="39" t="s">
        <v>163</v>
      </c>
      <c r="J71" s="39" t="s">
        <v>183</v>
      </c>
      <c r="K71" s="39" t="s">
        <v>182</v>
      </c>
      <c r="L71" s="40">
        <v>0</v>
      </c>
      <c r="M71" s="39" t="s">
        <v>161</v>
      </c>
      <c r="N71" s="39"/>
      <c r="O71" s="39" t="s">
        <v>180</v>
      </c>
      <c r="P71" s="39" t="s">
        <v>180</v>
      </c>
      <c r="Q71" s="39">
        <v>0</v>
      </c>
      <c r="R71" s="39">
        <v>0</v>
      </c>
    </row>
    <row r="72" spans="9:19" x14ac:dyDescent="0.25">
      <c r="I72" s="39" t="s">
        <v>163</v>
      </c>
      <c r="J72" s="39" t="s">
        <v>183</v>
      </c>
      <c r="K72" s="39" t="s">
        <v>182</v>
      </c>
      <c r="L72" s="40" t="s">
        <v>169</v>
      </c>
      <c r="M72" s="39" t="s">
        <v>179</v>
      </c>
      <c r="N72" s="39"/>
      <c r="O72" s="39" t="s">
        <v>181</v>
      </c>
      <c r="P72" s="39" t="s">
        <v>180</v>
      </c>
      <c r="Q72" s="39">
        <v>-1</v>
      </c>
      <c r="R72" s="39">
        <v>0</v>
      </c>
      <c r="S72" t="s">
        <v>190</v>
      </c>
    </row>
    <row r="73" spans="9:19" x14ac:dyDescent="0.25">
      <c r="I73" s="39" t="s">
        <v>163</v>
      </c>
      <c r="J73" s="39" t="s">
        <v>183</v>
      </c>
      <c r="K73" s="39" t="s">
        <v>182</v>
      </c>
      <c r="L73" s="40" t="s">
        <v>169</v>
      </c>
      <c r="M73" s="39" t="s">
        <v>161</v>
      </c>
      <c r="N73" s="39"/>
      <c r="O73" s="39" t="s">
        <v>181</v>
      </c>
      <c r="P73" s="39" t="s">
        <v>180</v>
      </c>
      <c r="Q73" s="39">
        <v>-1</v>
      </c>
      <c r="R73" s="39">
        <v>0</v>
      </c>
    </row>
    <row r="74" spans="9:19" x14ac:dyDescent="0.25">
      <c r="I74" s="39" t="s">
        <v>163</v>
      </c>
      <c r="J74" s="39" t="s">
        <v>183</v>
      </c>
      <c r="K74" s="39" t="s">
        <v>182</v>
      </c>
      <c r="L74" s="40" t="s">
        <v>168</v>
      </c>
      <c r="M74" s="39" t="s">
        <v>179</v>
      </c>
      <c r="N74" s="39"/>
      <c r="O74" s="39" t="s">
        <v>181</v>
      </c>
      <c r="P74" s="39" t="s">
        <v>180</v>
      </c>
      <c r="Q74" s="39">
        <v>1</v>
      </c>
      <c r="R74" s="39">
        <v>0</v>
      </c>
      <c r="S74" t="s">
        <v>191</v>
      </c>
    </row>
    <row r="75" spans="9:19" x14ac:dyDescent="0.25">
      <c r="I75" s="39" t="s">
        <v>163</v>
      </c>
      <c r="J75" s="39" t="s">
        <v>183</v>
      </c>
      <c r="K75" s="39" t="s">
        <v>182</v>
      </c>
      <c r="L75" s="40" t="s">
        <v>168</v>
      </c>
      <c r="M75" s="39" t="s">
        <v>161</v>
      </c>
      <c r="N75" s="39"/>
      <c r="O75" s="39" t="s">
        <v>181</v>
      </c>
      <c r="P75" s="39" t="s">
        <v>180</v>
      </c>
      <c r="Q75" s="39">
        <v>1</v>
      </c>
      <c r="R75" s="39">
        <v>0</v>
      </c>
      <c r="S75" t="s">
        <v>192</v>
      </c>
    </row>
    <row r="76" spans="9:19" x14ac:dyDescent="0.25">
      <c r="L76" s="34"/>
    </row>
    <row r="77" spans="9:19" x14ac:dyDescent="0.25">
      <c r="I77" s="35" t="s">
        <v>163</v>
      </c>
      <c r="J77" s="35" t="s">
        <v>182</v>
      </c>
      <c r="K77" s="35" t="s">
        <v>183</v>
      </c>
      <c r="L77" s="36">
        <v>0</v>
      </c>
      <c r="M77" s="35" t="s">
        <v>179</v>
      </c>
      <c r="N77" s="35"/>
      <c r="O77" s="35" t="s">
        <v>212</v>
      </c>
      <c r="P77" s="35"/>
      <c r="Q77" s="35">
        <v>0</v>
      </c>
      <c r="R77" s="35">
        <v>0</v>
      </c>
      <c r="S77" t="s">
        <v>193</v>
      </c>
    </row>
    <row r="78" spans="9:19" x14ac:dyDescent="0.25">
      <c r="I78" s="39" t="s">
        <v>163</v>
      </c>
      <c r="J78" s="39" t="s">
        <v>182</v>
      </c>
      <c r="K78" s="39" t="s">
        <v>183</v>
      </c>
      <c r="L78" s="40">
        <v>0</v>
      </c>
      <c r="M78" s="39" t="s">
        <v>161</v>
      </c>
      <c r="N78" s="39"/>
      <c r="O78" s="39" t="s">
        <v>180</v>
      </c>
      <c r="P78" s="39"/>
      <c r="Q78" s="39">
        <v>0</v>
      </c>
      <c r="R78" s="39">
        <v>0</v>
      </c>
      <c r="S78" t="s">
        <v>194</v>
      </c>
    </row>
    <row r="79" spans="9:19" x14ac:dyDescent="0.25">
      <c r="I79" s="39" t="s">
        <v>163</v>
      </c>
      <c r="J79" s="39" t="s">
        <v>182</v>
      </c>
      <c r="K79" s="39" t="s">
        <v>183</v>
      </c>
      <c r="L79" s="40" t="s">
        <v>169</v>
      </c>
      <c r="M79" s="39" t="s">
        <v>179</v>
      </c>
      <c r="N79" s="39"/>
      <c r="O79" s="39" t="s">
        <v>181</v>
      </c>
      <c r="P79" s="39"/>
      <c r="Q79" s="39">
        <v>-1</v>
      </c>
      <c r="R79" s="39">
        <v>0</v>
      </c>
      <c r="S79" t="s">
        <v>190</v>
      </c>
    </row>
    <row r="80" spans="9:19" x14ac:dyDescent="0.25">
      <c r="I80" s="39" t="s">
        <v>163</v>
      </c>
      <c r="J80" s="39" t="s">
        <v>182</v>
      </c>
      <c r="K80" s="39" t="s">
        <v>183</v>
      </c>
      <c r="L80" s="40" t="s">
        <v>169</v>
      </c>
      <c r="M80" s="39" t="s">
        <v>161</v>
      </c>
      <c r="N80" s="39"/>
      <c r="O80" s="39" t="s">
        <v>181</v>
      </c>
      <c r="P80" s="39"/>
      <c r="Q80" s="39">
        <v>-1</v>
      </c>
      <c r="R80" s="39">
        <v>0</v>
      </c>
      <c r="S80" t="s">
        <v>190</v>
      </c>
    </row>
    <row r="81" spans="9:19" x14ac:dyDescent="0.25">
      <c r="I81" s="35" t="s">
        <v>163</v>
      </c>
      <c r="J81" s="35" t="s">
        <v>182</v>
      </c>
      <c r="K81" s="35" t="s">
        <v>183</v>
      </c>
      <c r="L81" s="36" t="s">
        <v>168</v>
      </c>
      <c r="M81" s="35" t="s">
        <v>179</v>
      </c>
      <c r="N81" s="35"/>
      <c r="O81" s="35" t="s">
        <v>180</v>
      </c>
      <c r="P81" s="35"/>
      <c r="Q81" s="35">
        <v>1</v>
      </c>
      <c r="R81" s="35">
        <v>0</v>
      </c>
      <c r="S81" t="s">
        <v>190</v>
      </c>
    </row>
    <row r="82" spans="9:19" x14ac:dyDescent="0.25">
      <c r="I82" s="35" t="s">
        <v>163</v>
      </c>
      <c r="J82" s="35" t="s">
        <v>182</v>
      </c>
      <c r="K82" s="35" t="s">
        <v>183</v>
      </c>
      <c r="L82" s="36" t="s">
        <v>168</v>
      </c>
      <c r="M82" s="35" t="s">
        <v>161</v>
      </c>
      <c r="N82" s="35"/>
      <c r="O82" s="35" t="s">
        <v>180</v>
      </c>
      <c r="P82" s="35"/>
      <c r="Q82" s="35">
        <v>1</v>
      </c>
      <c r="R82" s="35">
        <v>0</v>
      </c>
      <c r="S82" t="s">
        <v>190</v>
      </c>
    </row>
    <row r="83" spans="9:19" x14ac:dyDescent="0.25">
      <c r="L83" s="34"/>
    </row>
    <row r="84" spans="9:19" x14ac:dyDescent="0.25">
      <c r="L84" s="34"/>
    </row>
    <row r="85" spans="9:19" x14ac:dyDescent="0.25">
      <c r="L85" s="34"/>
    </row>
    <row r="86" spans="9:19" x14ac:dyDescent="0.25">
      <c r="L86" s="34"/>
    </row>
    <row r="87" spans="9:19" x14ac:dyDescent="0.25">
      <c r="L87" s="34"/>
    </row>
    <row r="88" spans="9:19" x14ac:dyDescent="0.25">
      <c r="L88" s="34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P23"/>
  <sheetViews>
    <sheetView workbookViewId="0">
      <selection activeCell="K15" sqref="K15"/>
    </sheetView>
  </sheetViews>
  <sheetFormatPr defaultRowHeight="15" x14ac:dyDescent="0.25"/>
  <cols>
    <col min="7" max="8" width="20.28515625" customWidth="1"/>
    <col min="12" max="12" width="11.7109375" customWidth="1"/>
    <col min="13" max="13" width="15.85546875" customWidth="1"/>
    <col min="14" max="14" width="18.42578125" customWidth="1"/>
  </cols>
  <sheetData>
    <row r="1" spans="1:16" x14ac:dyDescent="0.25">
      <c r="A1" t="s">
        <v>153</v>
      </c>
    </row>
    <row r="2" spans="1:16" x14ac:dyDescent="0.25">
      <c r="A2" t="s">
        <v>213</v>
      </c>
      <c r="D2" t="s">
        <v>214</v>
      </c>
    </row>
    <row r="4" spans="1:16" x14ac:dyDescent="0.25">
      <c r="A4" t="s">
        <v>154</v>
      </c>
    </row>
    <row r="5" spans="1:16" x14ac:dyDescent="0.25">
      <c r="H5" t="s">
        <v>203</v>
      </c>
      <c r="I5" t="s">
        <v>176</v>
      </c>
      <c r="J5" t="s">
        <v>177</v>
      </c>
      <c r="K5" t="s">
        <v>152</v>
      </c>
      <c r="L5" t="s">
        <v>195</v>
      </c>
      <c r="M5" t="s">
        <v>201</v>
      </c>
      <c r="N5" t="s">
        <v>202</v>
      </c>
      <c r="O5" t="s">
        <v>188</v>
      </c>
      <c r="P5" t="s">
        <v>189</v>
      </c>
    </row>
    <row r="6" spans="1:16" x14ac:dyDescent="0.25">
      <c r="A6" t="s">
        <v>155</v>
      </c>
      <c r="B6" t="s">
        <v>156</v>
      </c>
      <c r="I6" s="39" t="s">
        <v>178</v>
      </c>
      <c r="J6" s="40">
        <v>0</v>
      </c>
      <c r="K6" s="39" t="s">
        <v>179</v>
      </c>
      <c r="L6" s="39"/>
      <c r="M6" s="39" t="s">
        <v>199</v>
      </c>
      <c r="N6" s="39" t="s">
        <v>200</v>
      </c>
      <c r="O6" s="39">
        <v>0</v>
      </c>
      <c r="P6" s="39">
        <v>0</v>
      </c>
    </row>
    <row r="7" spans="1:16" x14ac:dyDescent="0.25">
      <c r="A7" t="s">
        <v>157</v>
      </c>
      <c r="B7" t="s">
        <v>158</v>
      </c>
      <c r="I7" s="39" t="s">
        <v>178</v>
      </c>
      <c r="J7" s="40">
        <v>0</v>
      </c>
      <c r="K7" s="39" t="s">
        <v>161</v>
      </c>
      <c r="L7" s="39"/>
      <c r="M7" s="39" t="s">
        <v>180</v>
      </c>
      <c r="N7" s="39" t="s">
        <v>200</v>
      </c>
      <c r="O7" s="39">
        <v>0</v>
      </c>
      <c r="P7" s="39">
        <v>0</v>
      </c>
    </row>
    <row r="8" spans="1:16" x14ac:dyDescent="0.25">
      <c r="A8" t="s">
        <v>159</v>
      </c>
      <c r="B8" t="s">
        <v>160</v>
      </c>
      <c r="I8" s="39" t="s">
        <v>178</v>
      </c>
      <c r="J8" s="40" t="s">
        <v>169</v>
      </c>
      <c r="K8" s="39" t="s">
        <v>179</v>
      </c>
      <c r="L8" s="39"/>
      <c r="M8" s="39" t="s">
        <v>181</v>
      </c>
      <c r="N8" s="39" t="s">
        <v>200</v>
      </c>
      <c r="O8" s="39">
        <v>0</v>
      </c>
      <c r="P8" s="39">
        <v>1</v>
      </c>
    </row>
    <row r="9" spans="1:16" x14ac:dyDescent="0.25">
      <c r="A9" t="s">
        <v>161</v>
      </c>
      <c r="B9" t="s">
        <v>162</v>
      </c>
      <c r="I9" s="37" t="s">
        <v>178</v>
      </c>
      <c r="J9" s="38" t="s">
        <v>169</v>
      </c>
      <c r="K9" s="37" t="s">
        <v>161</v>
      </c>
      <c r="L9" s="37"/>
      <c r="M9" s="37" t="s">
        <v>180</v>
      </c>
      <c r="N9" s="37" t="s">
        <v>200</v>
      </c>
      <c r="O9" s="37">
        <v>0</v>
      </c>
      <c r="P9" s="37">
        <v>1</v>
      </c>
    </row>
    <row r="10" spans="1:16" x14ac:dyDescent="0.25">
      <c r="A10" t="s">
        <v>163</v>
      </c>
      <c r="B10" t="s">
        <v>164</v>
      </c>
      <c r="I10" s="35" t="s">
        <v>178</v>
      </c>
      <c r="J10" s="36" t="s">
        <v>168</v>
      </c>
      <c r="K10" s="35" t="s">
        <v>179</v>
      </c>
      <c r="L10" s="35"/>
      <c r="M10" s="35" t="s">
        <v>181</v>
      </c>
      <c r="N10" s="35" t="s">
        <v>200</v>
      </c>
      <c r="O10" s="35">
        <v>1</v>
      </c>
      <c r="P10" s="35">
        <v>0</v>
      </c>
    </row>
    <row r="11" spans="1:16" x14ac:dyDescent="0.25">
      <c r="A11" t="s">
        <v>165</v>
      </c>
      <c r="B11" t="s">
        <v>166</v>
      </c>
      <c r="I11" s="39" t="s">
        <v>178</v>
      </c>
      <c r="J11" s="40" t="s">
        <v>168</v>
      </c>
      <c r="K11" s="39" t="s">
        <v>161</v>
      </c>
      <c r="L11" s="39"/>
      <c r="M11" s="39" t="s">
        <v>181</v>
      </c>
      <c r="N11" s="39" t="s">
        <v>200</v>
      </c>
      <c r="O11" s="39">
        <v>1</v>
      </c>
      <c r="P11" s="39">
        <v>0</v>
      </c>
    </row>
    <row r="12" spans="1:16" x14ac:dyDescent="0.25">
      <c r="J12" s="34"/>
    </row>
    <row r="13" spans="1:16" x14ac:dyDescent="0.25">
      <c r="J13" s="34"/>
    </row>
    <row r="14" spans="1:16" x14ac:dyDescent="0.25">
      <c r="A14" t="s">
        <v>167</v>
      </c>
      <c r="J14" s="34"/>
    </row>
    <row r="15" spans="1:16" x14ac:dyDescent="0.25">
      <c r="A15" t="s">
        <v>168</v>
      </c>
      <c r="B15" t="s">
        <v>185</v>
      </c>
      <c r="J15" s="34"/>
    </row>
    <row r="16" spans="1:16" x14ac:dyDescent="0.25">
      <c r="A16" t="s">
        <v>169</v>
      </c>
      <c r="B16" t="s">
        <v>186</v>
      </c>
      <c r="J16" s="34"/>
    </row>
    <row r="17" spans="1:10" x14ac:dyDescent="0.25">
      <c r="A17">
        <v>0</v>
      </c>
      <c r="B17" t="s">
        <v>170</v>
      </c>
      <c r="J17" s="34"/>
    </row>
    <row r="18" spans="1:10" x14ac:dyDescent="0.25">
      <c r="J18" s="34"/>
    </row>
    <row r="19" spans="1:10" x14ac:dyDescent="0.25">
      <c r="A19" t="s">
        <v>171</v>
      </c>
    </row>
    <row r="20" spans="1:10" x14ac:dyDescent="0.25">
      <c r="A20" t="s">
        <v>172</v>
      </c>
      <c r="B20" t="s">
        <v>173</v>
      </c>
    </row>
    <row r="21" spans="1:10" x14ac:dyDescent="0.25">
      <c r="A21" t="s">
        <v>174</v>
      </c>
      <c r="B21" t="s">
        <v>175</v>
      </c>
    </row>
    <row r="23" spans="1:10" x14ac:dyDescent="0.25">
      <c r="A23" t="s">
        <v>204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23"/>
  <sheetViews>
    <sheetView workbookViewId="0">
      <selection activeCell="L8" sqref="L8"/>
    </sheetView>
  </sheetViews>
  <sheetFormatPr defaultRowHeight="15" x14ac:dyDescent="0.25"/>
  <cols>
    <col min="7" max="8" width="20.28515625" customWidth="1"/>
    <col min="11" max="11" width="11.7109375" customWidth="1"/>
    <col min="12" max="12" width="15.85546875" customWidth="1"/>
    <col min="13" max="13" width="18.42578125" customWidth="1"/>
  </cols>
  <sheetData>
    <row r="1" spans="1:15" x14ac:dyDescent="0.25">
      <c r="A1" t="s">
        <v>153</v>
      </c>
    </row>
    <row r="2" spans="1:15" x14ac:dyDescent="0.25">
      <c r="A2" t="s">
        <v>213</v>
      </c>
      <c r="D2" t="s">
        <v>214</v>
      </c>
    </row>
    <row r="4" spans="1:15" x14ac:dyDescent="0.25">
      <c r="A4" t="s">
        <v>154</v>
      </c>
    </row>
    <row r="5" spans="1:15" x14ac:dyDescent="0.25">
      <c r="H5" t="s">
        <v>203</v>
      </c>
      <c r="I5" t="s">
        <v>176</v>
      </c>
      <c r="J5" t="s">
        <v>177</v>
      </c>
      <c r="K5" t="s">
        <v>195</v>
      </c>
      <c r="L5" t="s">
        <v>201</v>
      </c>
      <c r="N5" t="s">
        <v>188</v>
      </c>
      <c r="O5" t="s">
        <v>189</v>
      </c>
    </row>
    <row r="6" spans="1:15" x14ac:dyDescent="0.25">
      <c r="A6" t="s">
        <v>155</v>
      </c>
      <c r="B6" t="s">
        <v>156</v>
      </c>
      <c r="I6" s="39" t="s">
        <v>178</v>
      </c>
      <c r="J6" s="40">
        <v>0</v>
      </c>
      <c r="K6" s="39"/>
      <c r="L6" s="39" t="s">
        <v>180</v>
      </c>
      <c r="M6" s="39"/>
      <c r="N6" s="39">
        <v>0</v>
      </c>
      <c r="O6" s="39">
        <v>0</v>
      </c>
    </row>
    <row r="7" spans="1:15" x14ac:dyDescent="0.25">
      <c r="A7" t="s">
        <v>157</v>
      </c>
      <c r="B7" t="s">
        <v>158</v>
      </c>
      <c r="I7" s="39" t="s">
        <v>178</v>
      </c>
      <c r="J7" s="40" t="s">
        <v>169</v>
      </c>
      <c r="K7" s="39"/>
      <c r="L7" s="39" t="s">
        <v>181</v>
      </c>
      <c r="M7" s="39"/>
      <c r="N7" s="39">
        <v>0</v>
      </c>
      <c r="O7" s="39">
        <v>1</v>
      </c>
    </row>
    <row r="8" spans="1:15" x14ac:dyDescent="0.25">
      <c r="A8" t="s">
        <v>159</v>
      </c>
      <c r="B8" t="s">
        <v>160</v>
      </c>
      <c r="I8" s="39" t="s">
        <v>178</v>
      </c>
      <c r="J8" s="40" t="s">
        <v>168</v>
      </c>
      <c r="K8" s="39"/>
      <c r="L8" s="39" t="s">
        <v>181</v>
      </c>
      <c r="M8" s="39"/>
      <c r="N8" s="39">
        <v>0</v>
      </c>
      <c r="O8" s="39">
        <v>1</v>
      </c>
    </row>
    <row r="9" spans="1:15" x14ac:dyDescent="0.25">
      <c r="A9" t="s">
        <v>161</v>
      </c>
      <c r="B9" t="s">
        <v>162</v>
      </c>
      <c r="J9" s="34"/>
    </row>
    <row r="10" spans="1:15" x14ac:dyDescent="0.25">
      <c r="A10" t="s">
        <v>163</v>
      </c>
      <c r="B10" t="s">
        <v>164</v>
      </c>
      <c r="J10" s="34"/>
    </row>
    <row r="11" spans="1:15" x14ac:dyDescent="0.25">
      <c r="A11" t="s">
        <v>165</v>
      </c>
      <c r="B11" t="s">
        <v>166</v>
      </c>
      <c r="J11" s="34"/>
    </row>
    <row r="12" spans="1:15" x14ac:dyDescent="0.25">
      <c r="J12" s="34"/>
    </row>
    <row r="13" spans="1:15" x14ac:dyDescent="0.25">
      <c r="J13" s="34"/>
    </row>
    <row r="14" spans="1:15" x14ac:dyDescent="0.25">
      <c r="A14" t="s">
        <v>167</v>
      </c>
      <c r="J14" s="34"/>
    </row>
    <row r="15" spans="1:15" x14ac:dyDescent="0.25">
      <c r="A15" t="s">
        <v>168</v>
      </c>
      <c r="B15" t="s">
        <v>185</v>
      </c>
      <c r="J15" s="34"/>
    </row>
    <row r="16" spans="1:15" x14ac:dyDescent="0.25">
      <c r="A16" t="s">
        <v>169</v>
      </c>
      <c r="B16" t="s">
        <v>186</v>
      </c>
    </row>
    <row r="17" spans="1:2" x14ac:dyDescent="0.25">
      <c r="A17">
        <v>0</v>
      </c>
      <c r="B17" t="s">
        <v>170</v>
      </c>
    </row>
    <row r="19" spans="1:2" x14ac:dyDescent="0.25">
      <c r="A19" t="s">
        <v>171</v>
      </c>
    </row>
    <row r="20" spans="1:2" x14ac:dyDescent="0.25">
      <c r="A20" t="s">
        <v>172</v>
      </c>
      <c r="B20" t="s">
        <v>173</v>
      </c>
    </row>
    <row r="21" spans="1:2" x14ac:dyDescent="0.25">
      <c r="A21" t="s">
        <v>174</v>
      </c>
      <c r="B21" t="s">
        <v>175</v>
      </c>
    </row>
    <row r="23" spans="1:2" x14ac:dyDescent="0.25">
      <c r="A23" t="s">
        <v>204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N207"/>
  <sheetViews>
    <sheetView topLeftCell="B16" workbookViewId="0">
      <selection activeCell="D41" sqref="D41"/>
    </sheetView>
  </sheetViews>
  <sheetFormatPr defaultRowHeight="15" x14ac:dyDescent="0.25"/>
  <sheetData>
    <row r="1" spans="1:1" x14ac:dyDescent="0.25">
      <c r="A1" t="s">
        <v>218</v>
      </c>
    </row>
    <row r="2" spans="1:1" x14ac:dyDescent="0.25">
      <c r="A2" t="s">
        <v>219</v>
      </c>
    </row>
    <row r="3" spans="1:1" x14ac:dyDescent="0.25">
      <c r="A3" t="s">
        <v>220</v>
      </c>
    </row>
    <row r="4" spans="1:1" x14ac:dyDescent="0.25">
      <c r="A4" t="s">
        <v>221</v>
      </c>
    </row>
    <row r="5" spans="1:1" x14ac:dyDescent="0.25">
      <c r="A5" t="s">
        <v>222</v>
      </c>
    </row>
    <row r="6" spans="1:1" x14ac:dyDescent="0.25">
      <c r="A6" t="s">
        <v>223</v>
      </c>
    </row>
    <row r="7" spans="1:1" x14ac:dyDescent="0.25">
      <c r="A7" t="s">
        <v>216</v>
      </c>
    </row>
    <row r="8" spans="1:1" x14ac:dyDescent="0.25">
      <c r="A8" t="s">
        <v>217</v>
      </c>
    </row>
    <row r="9" spans="1:1" x14ac:dyDescent="0.25">
      <c r="A9" t="s">
        <v>218</v>
      </c>
    </row>
    <row r="10" spans="1:1" x14ac:dyDescent="0.25">
      <c r="A10" t="s">
        <v>219</v>
      </c>
    </row>
    <row r="11" spans="1:1" x14ac:dyDescent="0.25">
      <c r="A11" t="s">
        <v>220</v>
      </c>
    </row>
    <row r="12" spans="1:1" x14ac:dyDescent="0.25">
      <c r="A12" t="s">
        <v>221</v>
      </c>
    </row>
    <row r="13" spans="1:1" x14ac:dyDescent="0.25">
      <c r="A13" t="s">
        <v>222</v>
      </c>
    </row>
    <row r="14" spans="1:1" x14ac:dyDescent="0.25">
      <c r="A14" t="s">
        <v>223</v>
      </c>
    </row>
    <row r="15" spans="1:1" x14ac:dyDescent="0.25">
      <c r="A15" t="s">
        <v>216</v>
      </c>
    </row>
    <row r="16" spans="1:1" x14ac:dyDescent="0.25">
      <c r="A16" t="s">
        <v>217</v>
      </c>
    </row>
    <row r="17" spans="1:1" x14ac:dyDescent="0.25">
      <c r="A17" t="s">
        <v>224</v>
      </c>
    </row>
    <row r="18" spans="1:1" x14ac:dyDescent="0.25">
      <c r="A18" t="s">
        <v>225</v>
      </c>
    </row>
    <row r="19" spans="1:1" x14ac:dyDescent="0.25">
      <c r="A19" t="s">
        <v>226</v>
      </c>
    </row>
    <row r="20" spans="1:1" x14ac:dyDescent="0.25">
      <c r="A20" t="s">
        <v>227</v>
      </c>
    </row>
    <row r="21" spans="1:1" x14ac:dyDescent="0.25">
      <c r="A21" t="s">
        <v>228</v>
      </c>
    </row>
    <row r="22" spans="1:1" x14ac:dyDescent="0.25">
      <c r="A22" t="s">
        <v>229</v>
      </c>
    </row>
    <row r="23" spans="1:1" x14ac:dyDescent="0.25">
      <c r="A23" t="s">
        <v>230</v>
      </c>
    </row>
    <row r="24" spans="1:1" x14ac:dyDescent="0.25">
      <c r="A24" t="s">
        <v>231</v>
      </c>
    </row>
    <row r="25" spans="1:1" s="56" customFormat="1" x14ac:dyDescent="0.25">
      <c r="A25" s="56" t="s">
        <v>232</v>
      </c>
    </row>
    <row r="26" spans="1:1" s="56" customFormat="1" x14ac:dyDescent="0.25">
      <c r="A26" s="56" t="s">
        <v>233</v>
      </c>
    </row>
    <row r="27" spans="1:1" x14ac:dyDescent="0.25">
      <c r="A27" t="s">
        <v>234</v>
      </c>
    </row>
    <row r="28" spans="1:1" x14ac:dyDescent="0.25">
      <c r="A28" t="s">
        <v>235</v>
      </c>
    </row>
    <row r="29" spans="1:1" x14ac:dyDescent="0.25">
      <c r="A29" t="s">
        <v>236</v>
      </c>
    </row>
    <row r="30" spans="1:1" x14ac:dyDescent="0.25">
      <c r="A30" t="s">
        <v>237</v>
      </c>
    </row>
    <row r="31" spans="1:1" x14ac:dyDescent="0.25">
      <c r="A31" t="s">
        <v>238</v>
      </c>
    </row>
    <row r="32" spans="1:1" x14ac:dyDescent="0.25">
      <c r="A32" t="s">
        <v>239</v>
      </c>
    </row>
    <row r="33" spans="1:14" x14ac:dyDescent="0.25">
      <c r="A33" t="s">
        <v>240</v>
      </c>
    </row>
    <row r="34" spans="1:14" x14ac:dyDescent="0.25">
      <c r="A34" t="s">
        <v>241</v>
      </c>
    </row>
    <row r="35" spans="1:14" x14ac:dyDescent="0.25">
      <c r="A35" t="s">
        <v>242</v>
      </c>
    </row>
    <row r="36" spans="1:14" x14ac:dyDescent="0.25">
      <c r="A36" t="s">
        <v>243</v>
      </c>
    </row>
    <row r="37" spans="1:14" x14ac:dyDescent="0.25">
      <c r="A37" t="s">
        <v>244</v>
      </c>
    </row>
    <row r="38" spans="1:14" x14ac:dyDescent="0.25">
      <c r="A38" t="s">
        <v>245</v>
      </c>
    </row>
    <row r="39" spans="1:14" x14ac:dyDescent="0.25">
      <c r="A39" t="s">
        <v>246</v>
      </c>
    </row>
    <row r="40" spans="1:14" x14ac:dyDescent="0.25">
      <c r="A40" t="s">
        <v>247</v>
      </c>
    </row>
    <row r="41" spans="1:14" x14ac:dyDescent="0.25">
      <c r="A41" t="s">
        <v>248</v>
      </c>
    </row>
    <row r="42" spans="1:14" x14ac:dyDescent="0.25">
      <c r="A42" t="s">
        <v>249</v>
      </c>
    </row>
    <row r="43" spans="1:14" x14ac:dyDescent="0.25">
      <c r="A43" s="56" t="s">
        <v>250</v>
      </c>
      <c r="B43" s="56"/>
      <c r="C43" s="56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</row>
    <row r="44" spans="1:14" x14ac:dyDescent="0.25">
      <c r="A44" s="56" t="s">
        <v>251</v>
      </c>
      <c r="B44" s="56"/>
      <c r="C44" s="56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</row>
    <row r="45" spans="1:14" x14ac:dyDescent="0.25">
      <c r="A45" s="56" t="s">
        <v>252</v>
      </c>
      <c r="B45" s="56"/>
      <c r="C45" s="56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</row>
    <row r="46" spans="1:14" x14ac:dyDescent="0.25">
      <c r="A46" s="56" t="s">
        <v>253</v>
      </c>
      <c r="B46" s="56"/>
      <c r="C46" s="56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</row>
    <row r="47" spans="1:14" x14ac:dyDescent="0.25">
      <c r="A47" t="s">
        <v>254</v>
      </c>
    </row>
    <row r="48" spans="1:14" x14ac:dyDescent="0.25">
      <c r="A48" t="s">
        <v>255</v>
      </c>
    </row>
    <row r="49" spans="1:1" x14ac:dyDescent="0.25">
      <c r="A49" t="s">
        <v>254</v>
      </c>
    </row>
    <row r="50" spans="1:1" x14ac:dyDescent="0.25">
      <c r="A50" t="s">
        <v>255</v>
      </c>
    </row>
    <row r="51" spans="1:1" x14ac:dyDescent="0.25">
      <c r="A51" t="s">
        <v>256</v>
      </c>
    </row>
    <row r="52" spans="1:1" x14ac:dyDescent="0.25">
      <c r="A52" t="s">
        <v>257</v>
      </c>
    </row>
    <row r="53" spans="1:1" x14ac:dyDescent="0.25">
      <c r="A53" t="s">
        <v>258</v>
      </c>
    </row>
    <row r="54" spans="1:1" x14ac:dyDescent="0.25">
      <c r="A54" t="s">
        <v>259</v>
      </c>
    </row>
    <row r="55" spans="1:1" x14ac:dyDescent="0.25">
      <c r="A55" t="s">
        <v>260</v>
      </c>
    </row>
    <row r="56" spans="1:1" x14ac:dyDescent="0.25">
      <c r="A56" t="s">
        <v>261</v>
      </c>
    </row>
    <row r="57" spans="1:1" x14ac:dyDescent="0.25">
      <c r="A57" t="s">
        <v>262</v>
      </c>
    </row>
    <row r="58" spans="1:1" x14ac:dyDescent="0.25">
      <c r="A58" t="s">
        <v>263</v>
      </c>
    </row>
    <row r="59" spans="1:1" x14ac:dyDescent="0.25">
      <c r="A59" t="s">
        <v>264</v>
      </c>
    </row>
    <row r="60" spans="1:1" x14ac:dyDescent="0.25">
      <c r="A60" t="s">
        <v>265</v>
      </c>
    </row>
    <row r="61" spans="1:1" x14ac:dyDescent="0.25">
      <c r="A61" t="s">
        <v>264</v>
      </c>
    </row>
    <row r="62" spans="1:1" x14ac:dyDescent="0.25">
      <c r="A62" t="s">
        <v>265</v>
      </c>
    </row>
    <row r="63" spans="1:1" x14ac:dyDescent="0.25">
      <c r="A63" t="s">
        <v>264</v>
      </c>
    </row>
    <row r="64" spans="1:1" x14ac:dyDescent="0.25">
      <c r="A64" t="s">
        <v>265</v>
      </c>
    </row>
    <row r="65" spans="1:1" x14ac:dyDescent="0.25">
      <c r="A65" t="s">
        <v>266</v>
      </c>
    </row>
    <row r="66" spans="1:1" x14ac:dyDescent="0.25">
      <c r="A66" t="s">
        <v>267</v>
      </c>
    </row>
    <row r="67" spans="1:1" x14ac:dyDescent="0.25">
      <c r="A67" t="s">
        <v>266</v>
      </c>
    </row>
    <row r="68" spans="1:1" x14ac:dyDescent="0.25">
      <c r="A68" t="s">
        <v>267</v>
      </c>
    </row>
    <row r="69" spans="1:1" x14ac:dyDescent="0.25">
      <c r="A69" t="s">
        <v>268</v>
      </c>
    </row>
    <row r="70" spans="1:1" x14ac:dyDescent="0.25">
      <c r="A70" t="s">
        <v>269</v>
      </c>
    </row>
    <row r="71" spans="1:1" x14ac:dyDescent="0.25">
      <c r="A71" t="s">
        <v>270</v>
      </c>
    </row>
    <row r="72" spans="1:1" x14ac:dyDescent="0.25">
      <c r="A72" t="s">
        <v>271</v>
      </c>
    </row>
    <row r="73" spans="1:1" x14ac:dyDescent="0.25">
      <c r="A73" t="s">
        <v>270</v>
      </c>
    </row>
    <row r="74" spans="1:1" x14ac:dyDescent="0.25">
      <c r="A74" t="s">
        <v>271</v>
      </c>
    </row>
    <row r="75" spans="1:1" x14ac:dyDescent="0.25">
      <c r="A75" t="s">
        <v>272</v>
      </c>
    </row>
    <row r="76" spans="1:1" x14ac:dyDescent="0.25">
      <c r="A76" t="s">
        <v>273</v>
      </c>
    </row>
    <row r="77" spans="1:1" x14ac:dyDescent="0.25">
      <c r="A77" t="s">
        <v>274</v>
      </c>
    </row>
    <row r="78" spans="1:1" x14ac:dyDescent="0.25">
      <c r="A78" t="s">
        <v>275</v>
      </c>
    </row>
    <row r="79" spans="1:1" x14ac:dyDescent="0.25">
      <c r="A79" t="s">
        <v>276</v>
      </c>
    </row>
    <row r="80" spans="1:1" x14ac:dyDescent="0.25">
      <c r="A80" t="s">
        <v>277</v>
      </c>
    </row>
    <row r="81" spans="1:1" x14ac:dyDescent="0.25">
      <c r="A81" t="s">
        <v>276</v>
      </c>
    </row>
    <row r="82" spans="1:1" x14ac:dyDescent="0.25">
      <c r="A82" t="s">
        <v>277</v>
      </c>
    </row>
    <row r="83" spans="1:1" x14ac:dyDescent="0.25">
      <c r="A83" t="s">
        <v>278</v>
      </c>
    </row>
    <row r="84" spans="1:1" x14ac:dyDescent="0.25">
      <c r="A84" t="s">
        <v>279</v>
      </c>
    </row>
    <row r="85" spans="1:1" x14ac:dyDescent="0.25">
      <c r="A85" t="s">
        <v>280</v>
      </c>
    </row>
    <row r="86" spans="1:1" x14ac:dyDescent="0.25">
      <c r="A86" t="s">
        <v>281</v>
      </c>
    </row>
    <row r="87" spans="1:1" x14ac:dyDescent="0.25">
      <c r="A87" t="s">
        <v>282</v>
      </c>
    </row>
    <row r="88" spans="1:1" x14ac:dyDescent="0.25">
      <c r="A88" t="s">
        <v>283</v>
      </c>
    </row>
    <row r="89" spans="1:1" x14ac:dyDescent="0.25">
      <c r="A89" t="s">
        <v>284</v>
      </c>
    </row>
    <row r="90" spans="1:1" x14ac:dyDescent="0.25">
      <c r="A90" t="s">
        <v>285</v>
      </c>
    </row>
    <row r="91" spans="1:1" x14ac:dyDescent="0.25">
      <c r="A91" t="s">
        <v>286</v>
      </c>
    </row>
    <row r="92" spans="1:1" x14ac:dyDescent="0.25">
      <c r="A92" t="s">
        <v>287</v>
      </c>
    </row>
    <row r="93" spans="1:1" x14ac:dyDescent="0.25">
      <c r="A93" t="s">
        <v>288</v>
      </c>
    </row>
    <row r="94" spans="1:1" x14ac:dyDescent="0.25">
      <c r="A94" t="s">
        <v>289</v>
      </c>
    </row>
    <row r="95" spans="1:1" x14ac:dyDescent="0.25">
      <c r="A95" t="s">
        <v>290</v>
      </c>
    </row>
    <row r="96" spans="1:1" x14ac:dyDescent="0.25">
      <c r="A96" t="s">
        <v>291</v>
      </c>
    </row>
    <row r="97" spans="1:1" x14ac:dyDescent="0.25">
      <c r="A97" t="s">
        <v>290</v>
      </c>
    </row>
    <row r="98" spans="1:1" x14ac:dyDescent="0.25">
      <c r="A98" t="s">
        <v>291</v>
      </c>
    </row>
    <row r="99" spans="1:1" x14ac:dyDescent="0.25">
      <c r="A99" t="s">
        <v>292</v>
      </c>
    </row>
    <row r="100" spans="1:1" x14ac:dyDescent="0.25">
      <c r="A100" t="s">
        <v>293</v>
      </c>
    </row>
    <row r="101" spans="1:1" x14ac:dyDescent="0.25">
      <c r="A101" t="s">
        <v>294</v>
      </c>
    </row>
    <row r="102" spans="1:1" x14ac:dyDescent="0.25">
      <c r="A102" t="s">
        <v>295</v>
      </c>
    </row>
    <row r="103" spans="1:1" x14ac:dyDescent="0.25">
      <c r="A103" t="s">
        <v>296</v>
      </c>
    </row>
    <row r="104" spans="1:1" x14ac:dyDescent="0.25">
      <c r="A104" t="s">
        <v>297</v>
      </c>
    </row>
    <row r="105" spans="1:1" x14ac:dyDescent="0.25">
      <c r="A105" t="s">
        <v>298</v>
      </c>
    </row>
    <row r="106" spans="1:1" x14ac:dyDescent="0.25">
      <c r="A106" t="s">
        <v>299</v>
      </c>
    </row>
    <row r="107" spans="1:1" x14ac:dyDescent="0.25">
      <c r="A107" t="s">
        <v>300</v>
      </c>
    </row>
    <row r="108" spans="1:1" x14ac:dyDescent="0.25">
      <c r="A108" t="s">
        <v>301</v>
      </c>
    </row>
    <row r="109" spans="1:1" x14ac:dyDescent="0.25">
      <c r="A109" t="s">
        <v>302</v>
      </c>
    </row>
    <row r="110" spans="1:1" x14ac:dyDescent="0.25">
      <c r="A110" t="s">
        <v>303</v>
      </c>
    </row>
    <row r="111" spans="1:1" x14ac:dyDescent="0.25">
      <c r="A111" t="s">
        <v>296</v>
      </c>
    </row>
    <row r="112" spans="1:1" x14ac:dyDescent="0.25">
      <c r="A112" t="s">
        <v>297</v>
      </c>
    </row>
    <row r="113" spans="1:1" x14ac:dyDescent="0.25">
      <c r="A113" t="s">
        <v>298</v>
      </c>
    </row>
    <row r="114" spans="1:1" x14ac:dyDescent="0.25">
      <c r="A114" t="s">
        <v>299</v>
      </c>
    </row>
    <row r="115" spans="1:1" x14ac:dyDescent="0.25">
      <c r="A115" t="s">
        <v>300</v>
      </c>
    </row>
    <row r="116" spans="1:1" x14ac:dyDescent="0.25">
      <c r="A116" t="s">
        <v>301</v>
      </c>
    </row>
    <row r="117" spans="1:1" x14ac:dyDescent="0.25">
      <c r="A117" t="s">
        <v>302</v>
      </c>
    </row>
    <row r="118" spans="1:1" x14ac:dyDescent="0.25">
      <c r="A118" t="s">
        <v>303</v>
      </c>
    </row>
    <row r="119" spans="1:1" x14ac:dyDescent="0.25">
      <c r="A119" t="s">
        <v>296</v>
      </c>
    </row>
    <row r="120" spans="1:1" x14ac:dyDescent="0.25">
      <c r="A120" t="s">
        <v>297</v>
      </c>
    </row>
    <row r="121" spans="1:1" x14ac:dyDescent="0.25">
      <c r="A121" t="s">
        <v>298</v>
      </c>
    </row>
    <row r="122" spans="1:1" x14ac:dyDescent="0.25">
      <c r="A122" t="s">
        <v>299</v>
      </c>
    </row>
    <row r="123" spans="1:1" x14ac:dyDescent="0.25">
      <c r="A123" t="s">
        <v>300</v>
      </c>
    </row>
    <row r="124" spans="1:1" x14ac:dyDescent="0.25">
      <c r="A124" t="s">
        <v>301</v>
      </c>
    </row>
    <row r="125" spans="1:1" x14ac:dyDescent="0.25">
      <c r="A125" t="s">
        <v>302</v>
      </c>
    </row>
    <row r="126" spans="1:1" x14ac:dyDescent="0.25">
      <c r="A126" t="s">
        <v>303</v>
      </c>
    </row>
    <row r="127" spans="1:1" x14ac:dyDescent="0.25">
      <c r="A127" t="s">
        <v>296</v>
      </c>
    </row>
    <row r="128" spans="1:1" x14ac:dyDescent="0.25">
      <c r="A128" t="s">
        <v>297</v>
      </c>
    </row>
    <row r="129" spans="1:1" x14ac:dyDescent="0.25">
      <c r="A129" t="s">
        <v>298</v>
      </c>
    </row>
    <row r="130" spans="1:1" x14ac:dyDescent="0.25">
      <c r="A130" t="s">
        <v>299</v>
      </c>
    </row>
    <row r="131" spans="1:1" x14ac:dyDescent="0.25">
      <c r="A131" t="s">
        <v>300</v>
      </c>
    </row>
    <row r="132" spans="1:1" x14ac:dyDescent="0.25">
      <c r="A132" t="s">
        <v>301</v>
      </c>
    </row>
    <row r="133" spans="1:1" x14ac:dyDescent="0.25">
      <c r="A133" t="s">
        <v>302</v>
      </c>
    </row>
    <row r="134" spans="1:1" x14ac:dyDescent="0.25">
      <c r="A134" t="s">
        <v>303</v>
      </c>
    </row>
    <row r="135" spans="1:1" x14ac:dyDescent="0.25">
      <c r="A135" t="s">
        <v>296</v>
      </c>
    </row>
    <row r="136" spans="1:1" x14ac:dyDescent="0.25">
      <c r="A136" t="s">
        <v>297</v>
      </c>
    </row>
    <row r="137" spans="1:1" x14ac:dyDescent="0.25">
      <c r="A137" t="s">
        <v>298</v>
      </c>
    </row>
    <row r="138" spans="1:1" x14ac:dyDescent="0.25">
      <c r="A138" t="s">
        <v>299</v>
      </c>
    </row>
    <row r="139" spans="1:1" x14ac:dyDescent="0.25">
      <c r="A139" t="s">
        <v>300</v>
      </c>
    </row>
    <row r="140" spans="1:1" x14ac:dyDescent="0.25">
      <c r="A140" t="s">
        <v>301</v>
      </c>
    </row>
    <row r="141" spans="1:1" x14ac:dyDescent="0.25">
      <c r="A141" t="s">
        <v>302</v>
      </c>
    </row>
    <row r="142" spans="1:1" x14ac:dyDescent="0.25">
      <c r="A142" t="s">
        <v>303</v>
      </c>
    </row>
    <row r="143" spans="1:1" x14ac:dyDescent="0.25">
      <c r="A143" t="s">
        <v>296</v>
      </c>
    </row>
    <row r="144" spans="1:1" x14ac:dyDescent="0.25">
      <c r="A144" t="s">
        <v>297</v>
      </c>
    </row>
    <row r="145" spans="1:1" x14ac:dyDescent="0.25">
      <c r="A145" t="s">
        <v>298</v>
      </c>
    </row>
    <row r="146" spans="1:1" x14ac:dyDescent="0.25">
      <c r="A146" t="s">
        <v>299</v>
      </c>
    </row>
    <row r="147" spans="1:1" x14ac:dyDescent="0.25">
      <c r="A147" t="s">
        <v>300</v>
      </c>
    </row>
    <row r="148" spans="1:1" x14ac:dyDescent="0.25">
      <c r="A148" t="s">
        <v>301</v>
      </c>
    </row>
    <row r="149" spans="1:1" x14ac:dyDescent="0.25">
      <c r="A149" t="s">
        <v>302</v>
      </c>
    </row>
    <row r="150" spans="1:1" x14ac:dyDescent="0.25">
      <c r="A150" t="s">
        <v>303</v>
      </c>
    </row>
    <row r="151" spans="1:1" x14ac:dyDescent="0.25">
      <c r="A151" t="s">
        <v>296</v>
      </c>
    </row>
    <row r="152" spans="1:1" x14ac:dyDescent="0.25">
      <c r="A152" t="s">
        <v>297</v>
      </c>
    </row>
    <row r="153" spans="1:1" x14ac:dyDescent="0.25">
      <c r="A153" t="s">
        <v>298</v>
      </c>
    </row>
    <row r="154" spans="1:1" x14ac:dyDescent="0.25">
      <c r="A154" t="s">
        <v>299</v>
      </c>
    </row>
    <row r="155" spans="1:1" x14ac:dyDescent="0.25">
      <c r="A155" t="s">
        <v>300</v>
      </c>
    </row>
    <row r="156" spans="1:1" x14ac:dyDescent="0.25">
      <c r="A156" t="s">
        <v>301</v>
      </c>
    </row>
    <row r="157" spans="1:1" x14ac:dyDescent="0.25">
      <c r="A157" t="s">
        <v>302</v>
      </c>
    </row>
    <row r="158" spans="1:1" x14ac:dyDescent="0.25">
      <c r="A158" t="s">
        <v>303</v>
      </c>
    </row>
    <row r="159" spans="1:1" x14ac:dyDescent="0.25">
      <c r="A159" t="s">
        <v>304</v>
      </c>
    </row>
    <row r="160" spans="1:1" x14ac:dyDescent="0.25">
      <c r="A160" t="s">
        <v>305</v>
      </c>
    </row>
    <row r="161" spans="1:1" x14ac:dyDescent="0.25">
      <c r="A161" t="s">
        <v>304</v>
      </c>
    </row>
    <row r="162" spans="1:1" x14ac:dyDescent="0.25">
      <c r="A162" t="s">
        <v>305</v>
      </c>
    </row>
    <row r="163" spans="1:1" x14ac:dyDescent="0.25">
      <c r="A163" t="s">
        <v>306</v>
      </c>
    </row>
    <row r="164" spans="1:1" x14ac:dyDescent="0.25">
      <c r="A164" t="s">
        <v>307</v>
      </c>
    </row>
    <row r="165" spans="1:1" x14ac:dyDescent="0.25">
      <c r="A165" t="s">
        <v>308</v>
      </c>
    </row>
    <row r="166" spans="1:1" x14ac:dyDescent="0.25">
      <c r="A166" t="s">
        <v>309</v>
      </c>
    </row>
    <row r="167" spans="1:1" x14ac:dyDescent="0.25">
      <c r="A167" t="s">
        <v>310</v>
      </c>
    </row>
    <row r="168" spans="1:1" x14ac:dyDescent="0.25">
      <c r="A168" t="s">
        <v>311</v>
      </c>
    </row>
    <row r="169" spans="1:1" x14ac:dyDescent="0.25">
      <c r="A169" t="s">
        <v>312</v>
      </c>
    </row>
    <row r="170" spans="1:1" x14ac:dyDescent="0.25">
      <c r="A170" t="s">
        <v>313</v>
      </c>
    </row>
    <row r="171" spans="1:1" x14ac:dyDescent="0.25">
      <c r="A171" t="s">
        <v>314</v>
      </c>
    </row>
    <row r="172" spans="1:1" x14ac:dyDescent="0.25">
      <c r="A172" t="s">
        <v>315</v>
      </c>
    </row>
    <row r="173" spans="1:1" x14ac:dyDescent="0.25">
      <c r="A173" t="s">
        <v>316</v>
      </c>
    </row>
    <row r="174" spans="1:1" x14ac:dyDescent="0.25">
      <c r="A174" t="s">
        <v>317</v>
      </c>
    </row>
    <row r="175" spans="1:1" x14ac:dyDescent="0.25">
      <c r="A175" t="s">
        <v>318</v>
      </c>
    </row>
    <row r="176" spans="1:1" x14ac:dyDescent="0.25">
      <c r="A176" t="s">
        <v>319</v>
      </c>
    </row>
    <row r="177" spans="1:1" x14ac:dyDescent="0.25">
      <c r="A177" t="s">
        <v>320</v>
      </c>
    </row>
    <row r="178" spans="1:1" x14ac:dyDescent="0.25">
      <c r="A178" t="s">
        <v>321</v>
      </c>
    </row>
    <row r="179" spans="1:1" x14ac:dyDescent="0.25">
      <c r="A179" t="s">
        <v>322</v>
      </c>
    </row>
    <row r="180" spans="1:1" x14ac:dyDescent="0.25">
      <c r="A180" t="s">
        <v>323</v>
      </c>
    </row>
    <row r="181" spans="1:1" x14ac:dyDescent="0.25">
      <c r="A181" t="s">
        <v>324</v>
      </c>
    </row>
    <row r="182" spans="1:1" x14ac:dyDescent="0.25">
      <c r="A182" t="s">
        <v>325</v>
      </c>
    </row>
    <row r="183" spans="1:1" x14ac:dyDescent="0.25">
      <c r="A183" t="s">
        <v>326</v>
      </c>
    </row>
    <row r="184" spans="1:1" x14ac:dyDescent="0.25">
      <c r="A184" t="s">
        <v>327</v>
      </c>
    </row>
    <row r="185" spans="1:1" x14ac:dyDescent="0.25">
      <c r="A185" t="s">
        <v>328</v>
      </c>
    </row>
    <row r="186" spans="1:1" x14ac:dyDescent="0.25">
      <c r="A186" t="s">
        <v>329</v>
      </c>
    </row>
    <row r="187" spans="1:1" x14ac:dyDescent="0.25">
      <c r="A187" t="s">
        <v>330</v>
      </c>
    </row>
    <row r="188" spans="1:1" x14ac:dyDescent="0.25">
      <c r="A188" t="s">
        <v>331</v>
      </c>
    </row>
    <row r="189" spans="1:1" x14ac:dyDescent="0.25">
      <c r="A189" t="s">
        <v>332</v>
      </c>
    </row>
    <row r="190" spans="1:1" x14ac:dyDescent="0.25">
      <c r="A190" t="s">
        <v>333</v>
      </c>
    </row>
    <row r="191" spans="1:1" x14ac:dyDescent="0.25">
      <c r="A191" t="s">
        <v>334</v>
      </c>
    </row>
    <row r="192" spans="1:1" x14ac:dyDescent="0.25">
      <c r="A192" t="s">
        <v>335</v>
      </c>
    </row>
    <row r="193" spans="1:1" x14ac:dyDescent="0.25">
      <c r="A193" t="s">
        <v>336</v>
      </c>
    </row>
    <row r="194" spans="1:1" x14ac:dyDescent="0.25">
      <c r="A194" t="s">
        <v>337</v>
      </c>
    </row>
    <row r="195" spans="1:1" x14ac:dyDescent="0.25">
      <c r="A195" t="s">
        <v>338</v>
      </c>
    </row>
    <row r="196" spans="1:1" x14ac:dyDescent="0.25">
      <c r="A196" t="s">
        <v>339</v>
      </c>
    </row>
    <row r="197" spans="1:1" x14ac:dyDescent="0.25">
      <c r="A197" t="s">
        <v>340</v>
      </c>
    </row>
    <row r="198" spans="1:1" x14ac:dyDescent="0.25">
      <c r="A198" t="s">
        <v>341</v>
      </c>
    </row>
    <row r="199" spans="1:1" x14ac:dyDescent="0.25">
      <c r="A199" t="s">
        <v>342</v>
      </c>
    </row>
    <row r="200" spans="1:1" x14ac:dyDescent="0.25">
      <c r="A200" t="s">
        <v>343</v>
      </c>
    </row>
    <row r="201" spans="1:1" x14ac:dyDescent="0.25">
      <c r="A201" t="s">
        <v>344</v>
      </c>
    </row>
    <row r="202" spans="1:1" x14ac:dyDescent="0.25">
      <c r="A202" t="s">
        <v>345</v>
      </c>
    </row>
    <row r="203" spans="1:1" x14ac:dyDescent="0.25">
      <c r="A203" t="s">
        <v>346</v>
      </c>
    </row>
    <row r="204" spans="1:1" x14ac:dyDescent="0.25">
      <c r="A204" t="s">
        <v>347</v>
      </c>
    </row>
    <row r="205" spans="1:1" x14ac:dyDescent="0.25">
      <c r="A205" t="s">
        <v>348</v>
      </c>
    </row>
    <row r="206" spans="1:1" x14ac:dyDescent="0.25">
      <c r="A206" t="s">
        <v>349</v>
      </c>
    </row>
    <row r="207" spans="1:1" x14ac:dyDescent="0.25">
      <c r="A207" t="s">
        <v>350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9"/>
  <sheetViews>
    <sheetView topLeftCell="A10" workbookViewId="0">
      <selection activeCell="L11" sqref="L11"/>
    </sheetView>
  </sheetViews>
  <sheetFormatPr defaultRowHeight="15" x14ac:dyDescent="0.25"/>
  <cols>
    <col min="1" max="1" width="15" customWidth="1"/>
    <col min="2" max="2" width="21.5703125" bestFit="1" customWidth="1"/>
    <col min="3" max="3" width="9.5703125" customWidth="1"/>
    <col min="4" max="4" width="18.7109375" bestFit="1" customWidth="1"/>
    <col min="5" max="5" width="17.85546875" bestFit="1" customWidth="1"/>
    <col min="6" max="6" width="8" bestFit="1" customWidth="1"/>
    <col min="8" max="8" width="11.42578125" bestFit="1" customWidth="1"/>
    <col min="9" max="9" width="9" customWidth="1"/>
    <col min="10" max="10" width="11.7109375" customWidth="1"/>
    <col min="11" max="11" width="12" customWidth="1"/>
    <col min="12" max="12" width="10.7109375" customWidth="1"/>
  </cols>
  <sheetData>
    <row r="1" spans="1:12" x14ac:dyDescent="0.25">
      <c r="A1" t="s">
        <v>351</v>
      </c>
      <c r="B1" t="s">
        <v>352</v>
      </c>
      <c r="C1" t="s">
        <v>152</v>
      </c>
      <c r="D1" t="s">
        <v>353</v>
      </c>
      <c r="E1" t="s">
        <v>354</v>
      </c>
      <c r="F1" t="s">
        <v>355</v>
      </c>
      <c r="G1" t="s">
        <v>356</v>
      </c>
      <c r="H1" t="s">
        <v>357</v>
      </c>
      <c r="I1" t="s">
        <v>358</v>
      </c>
      <c r="J1" t="s">
        <v>359</v>
      </c>
      <c r="K1" t="s">
        <v>360</v>
      </c>
      <c r="L1" t="s">
        <v>85</v>
      </c>
    </row>
    <row r="2" spans="1:12" x14ac:dyDescent="0.25">
      <c r="A2">
        <v>1</v>
      </c>
      <c r="B2">
        <v>-1</v>
      </c>
      <c r="C2">
        <v>-1</v>
      </c>
      <c r="D2" s="59">
        <v>41792.780312499999</v>
      </c>
      <c r="E2" s="59">
        <v>41792.781331018516</v>
      </c>
      <c r="F2" s="60">
        <v>1.6740999999999999</v>
      </c>
      <c r="G2">
        <v>1.6741999999999999</v>
      </c>
      <c r="H2">
        <v>1</v>
      </c>
      <c r="I2">
        <v>0</v>
      </c>
      <c r="J2" s="60">
        <v>1.6741999999999999</v>
      </c>
      <c r="K2" s="60">
        <v>1.6740999999999999</v>
      </c>
      <c r="L2">
        <v>58</v>
      </c>
    </row>
    <row r="3" spans="1:12" x14ac:dyDescent="0.25">
      <c r="A3">
        <v>2</v>
      </c>
      <c r="B3">
        <v>-10</v>
      </c>
      <c r="C3">
        <v>-1</v>
      </c>
      <c r="D3" s="59">
        <v>41792.782141203701</v>
      </c>
      <c r="E3" s="59">
        <v>41792.782476851855</v>
      </c>
      <c r="F3" s="60">
        <v>1.6739999999999999</v>
      </c>
      <c r="G3">
        <v>1.6741999999999999</v>
      </c>
      <c r="H3">
        <v>3</v>
      </c>
      <c r="I3">
        <v>12.4999999999986</v>
      </c>
      <c r="J3" s="60">
        <v>1.6739999999999999</v>
      </c>
      <c r="K3" s="60">
        <v>1.6739999999999999</v>
      </c>
      <c r="L3">
        <v>61</v>
      </c>
    </row>
    <row r="4" spans="1:12" x14ac:dyDescent="0.25">
      <c r="A4">
        <v>3</v>
      </c>
      <c r="B4">
        <v>3</v>
      </c>
      <c r="C4">
        <v>1</v>
      </c>
      <c r="D4" s="59">
        <v>41792.782476851855</v>
      </c>
      <c r="E4" s="59">
        <v>41792.783460648148</v>
      </c>
      <c r="F4" s="60">
        <v>1.6739999999999999</v>
      </c>
      <c r="G4">
        <v>1.6740999999999999</v>
      </c>
      <c r="H4">
        <v>3</v>
      </c>
      <c r="I4">
        <v>0</v>
      </c>
      <c r="J4" s="60">
        <v>1.6739999999999999</v>
      </c>
      <c r="K4" s="60">
        <v>1.6739999999999999</v>
      </c>
      <c r="L4">
        <v>64</v>
      </c>
    </row>
    <row r="5" spans="1:12" x14ac:dyDescent="0.25">
      <c r="A5">
        <v>4</v>
      </c>
      <c r="B5">
        <v>-1</v>
      </c>
      <c r="C5">
        <v>-1</v>
      </c>
      <c r="D5" s="59">
        <v>41792.792025462964</v>
      </c>
      <c r="E5" s="59">
        <v>41792.79210648148</v>
      </c>
      <c r="F5" s="60">
        <v>1.6742999999999999</v>
      </c>
      <c r="G5">
        <v>1.6745000000000001</v>
      </c>
      <c r="H5">
        <v>1</v>
      </c>
      <c r="I5">
        <v>12.5000000000125</v>
      </c>
      <c r="J5" s="60">
        <v>1.6742999999999999</v>
      </c>
      <c r="K5" s="60">
        <v>1.6742999999999999</v>
      </c>
      <c r="L5">
        <v>65</v>
      </c>
    </row>
    <row r="6" spans="1:12" x14ac:dyDescent="0.25">
      <c r="A6">
        <v>5</v>
      </c>
      <c r="B6">
        <v>-1</v>
      </c>
      <c r="C6">
        <v>-1</v>
      </c>
      <c r="D6" s="59">
        <v>41792.793912037036</v>
      </c>
      <c r="E6" s="59">
        <v>41792.793923611112</v>
      </c>
      <c r="F6" s="60">
        <v>1.6740999999999999</v>
      </c>
      <c r="G6">
        <v>1.6742999999999999</v>
      </c>
      <c r="H6">
        <v>1</v>
      </c>
      <c r="I6">
        <v>12.4999999999986</v>
      </c>
      <c r="J6" s="60">
        <v>1.6740999999999999</v>
      </c>
      <c r="K6" s="60">
        <v>1.6740999999999999</v>
      </c>
      <c r="L6">
        <v>66</v>
      </c>
    </row>
    <row r="7" spans="1:12" x14ac:dyDescent="0.25">
      <c r="A7">
        <v>6</v>
      </c>
      <c r="B7">
        <v>-10</v>
      </c>
      <c r="C7">
        <v>-1</v>
      </c>
      <c r="D7" s="59">
        <v>41792.795208333337</v>
      </c>
      <c r="E7" s="59">
        <v>41792.796493055554</v>
      </c>
      <c r="F7" s="60">
        <v>1.6740999999999999</v>
      </c>
      <c r="G7">
        <v>1.6742999999999999</v>
      </c>
      <c r="H7">
        <v>10</v>
      </c>
      <c r="I7">
        <v>18.7499999999979</v>
      </c>
      <c r="J7" s="60">
        <v>1.6739999999999999</v>
      </c>
      <c r="K7" s="60">
        <v>1.6739999999999999</v>
      </c>
      <c r="L7">
        <v>76</v>
      </c>
    </row>
    <row r="8" spans="1:12" x14ac:dyDescent="0.25">
      <c r="A8">
        <v>7</v>
      </c>
      <c r="B8">
        <v>10</v>
      </c>
      <c r="C8">
        <v>1</v>
      </c>
      <c r="D8" s="59">
        <v>41792.798877314817</v>
      </c>
      <c r="E8" s="59">
        <v>41792.799467592595</v>
      </c>
      <c r="F8" s="60">
        <v>1.6738999999999999</v>
      </c>
      <c r="G8">
        <v>1.6740999999999999</v>
      </c>
      <c r="H8">
        <v>10</v>
      </c>
      <c r="I8">
        <v>12.4999999999986</v>
      </c>
      <c r="J8" s="60">
        <v>1.6740999999999999</v>
      </c>
      <c r="K8" s="60">
        <v>1.6740999999999999</v>
      </c>
      <c r="L8">
        <v>86</v>
      </c>
    </row>
    <row r="9" spans="1:12" x14ac:dyDescent="0.25">
      <c r="A9">
        <v>8</v>
      </c>
      <c r="B9">
        <v>28</v>
      </c>
      <c r="C9">
        <v>1</v>
      </c>
      <c r="D9" s="59">
        <v>41792.801226851851</v>
      </c>
      <c r="E9" s="59">
        <v>41792.805208333331</v>
      </c>
      <c r="F9" s="60">
        <v>1.6739999999999999</v>
      </c>
      <c r="G9">
        <v>1.6740999999999999</v>
      </c>
      <c r="H9">
        <v>28</v>
      </c>
      <c r="I9">
        <v>12.4999999999986</v>
      </c>
      <c r="J9" s="60">
        <v>1.6741999999999999</v>
      </c>
      <c r="K9" s="60">
        <v>1.6741999999999999</v>
      </c>
      <c r="L9">
        <v>114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L4"/>
  <sheetViews>
    <sheetView workbookViewId="0">
      <selection activeCell="L4" sqref="L4"/>
    </sheetView>
  </sheetViews>
  <sheetFormatPr defaultRowHeight="15" x14ac:dyDescent="0.25"/>
  <cols>
    <col min="4" max="4" width="15.140625" customWidth="1"/>
    <col min="5" max="5" width="17.85546875" customWidth="1"/>
    <col min="6" max="6" width="11.7109375" customWidth="1"/>
    <col min="7" max="7" width="14.5703125" customWidth="1"/>
    <col min="8" max="8" width="12.5703125" customWidth="1"/>
    <col min="9" max="9" width="10.28515625" customWidth="1"/>
    <col min="10" max="10" width="10.5703125" customWidth="1"/>
    <col min="11" max="11" width="12.28515625" customWidth="1"/>
    <col min="12" max="12" width="15" customWidth="1"/>
  </cols>
  <sheetData>
    <row r="1" spans="1:12" x14ac:dyDescent="0.25">
      <c r="A1" t="s">
        <v>351</v>
      </c>
      <c r="B1" t="s">
        <v>352</v>
      </c>
      <c r="C1" t="s">
        <v>152</v>
      </c>
      <c r="D1" t="s">
        <v>353</v>
      </c>
      <c r="E1" t="s">
        <v>354</v>
      </c>
      <c r="F1" t="s">
        <v>355</v>
      </c>
      <c r="G1" t="s">
        <v>356</v>
      </c>
      <c r="H1" t="s">
        <v>357</v>
      </c>
      <c r="I1" t="s">
        <v>358</v>
      </c>
      <c r="J1" t="s">
        <v>359</v>
      </c>
      <c r="K1" t="s">
        <v>360</v>
      </c>
      <c r="L1" t="s">
        <v>85</v>
      </c>
    </row>
    <row r="2" spans="1:12" x14ac:dyDescent="0.25">
      <c r="A2">
        <v>1</v>
      </c>
      <c r="B2">
        <v>10</v>
      </c>
      <c r="C2">
        <v>1</v>
      </c>
      <c r="D2" s="59">
        <v>41795.772986111115</v>
      </c>
      <c r="E2" s="59">
        <v>41795.774467592593</v>
      </c>
      <c r="F2">
        <v>1.6802999999999999</v>
      </c>
      <c r="G2">
        <v>0</v>
      </c>
      <c r="H2">
        <v>15</v>
      </c>
      <c r="I2">
        <v>-6.25</v>
      </c>
      <c r="J2">
        <v>1.6801999999999999</v>
      </c>
      <c r="K2">
        <v>1.6802999999999999</v>
      </c>
      <c r="L2">
        <v>126</v>
      </c>
    </row>
    <row r="3" spans="1:12" x14ac:dyDescent="0.25">
      <c r="A3">
        <v>2</v>
      </c>
      <c r="B3">
        <v>-1</v>
      </c>
      <c r="C3">
        <v>-1</v>
      </c>
      <c r="D3" s="59">
        <v>41795.775104166663</v>
      </c>
      <c r="E3" s="59">
        <v>41795.775439814817</v>
      </c>
      <c r="F3">
        <v>1.6801999999999999</v>
      </c>
      <c r="G3">
        <v>1.6802999999999999</v>
      </c>
      <c r="H3">
        <v>2</v>
      </c>
      <c r="I3">
        <v>0</v>
      </c>
      <c r="J3">
        <v>1.6802999999999999</v>
      </c>
      <c r="K3">
        <v>1.6802999999999999</v>
      </c>
      <c r="L3">
        <v>127</v>
      </c>
    </row>
    <row r="4" spans="1:12" x14ac:dyDescent="0.25">
      <c r="A4">
        <v>3</v>
      </c>
      <c r="B4">
        <v>-7</v>
      </c>
      <c r="C4">
        <v>-1</v>
      </c>
      <c r="D4" s="59">
        <v>41795.777430555558</v>
      </c>
      <c r="E4" s="59">
        <v>41795.778587962966</v>
      </c>
      <c r="F4">
        <v>1.6802999999999999</v>
      </c>
      <c r="G4">
        <v>1.6805000000000001</v>
      </c>
      <c r="H4">
        <v>8</v>
      </c>
      <c r="I4">
        <v>6.25</v>
      </c>
      <c r="J4">
        <v>1.6803999999999999</v>
      </c>
      <c r="K4">
        <v>1.6803999999999999</v>
      </c>
      <c r="L4">
        <v>134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Sheet1</vt:lpstr>
      <vt:lpstr>Log</vt:lpstr>
      <vt:lpstr>OrderHistory</vt:lpstr>
      <vt:lpstr>Sheet3</vt:lpstr>
      <vt:lpstr>Contracts</vt:lpstr>
      <vt:lpstr>Complex Hysterisis</vt:lpstr>
      <vt:lpstr>Simple Hysterisis</vt:lpstr>
      <vt:lpstr>Simplest - No Hysterysis</vt:lpstr>
      <vt:lpstr>debug log 523</vt:lpstr>
      <vt:lpstr>Sheet2</vt:lpstr>
      <vt:lpstr>Sheet4</vt:lpstr>
      <vt:lpstr>Profile</vt:lpstr>
    </vt:vector>
  </TitlesOfParts>
  <Company>GETCO LLC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rsmith</dc:creator>
  <cp:lastModifiedBy>AFT</cp:lastModifiedBy>
  <dcterms:created xsi:type="dcterms:W3CDTF">2014-01-13T23:28:27Z</dcterms:created>
  <dcterms:modified xsi:type="dcterms:W3CDTF">2014-11-26T16:32:45Z</dcterms:modified>
</cp:coreProperties>
</file>