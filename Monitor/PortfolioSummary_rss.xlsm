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drawings/drawing4.xml" ContentType="application/vnd.openxmlformats-officedocument.drawing+xml"/>
  <Override PartName="/xl/activeX/activeX1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minimized="1" xWindow="240" yWindow="105" windowWidth="6210" windowHeight="1290"/>
  </bookViews>
  <sheets>
    <sheet name="Account" sheetId="41" r:id="rId1"/>
    <sheet name="General" sheetId="1" r:id="rId2"/>
    <sheet name="Monitor" sheetId="40" r:id="rId3"/>
    <sheet name="Portfolio" sheetId="9" r:id="rId4"/>
    <sheet name="Log" sheetId="21" r:id="rId5"/>
  </sheets>
  <functionGroups builtInGroupCount="18"/>
  <calcPr calcId="152511"/>
</workbook>
</file>

<file path=xl/calcChain.xml><?xml version="1.0" encoding="utf-8"?>
<calcChain xmlns="http://schemas.openxmlformats.org/spreadsheetml/2006/main">
  <c r="A13" i="40" l="1"/>
  <c r="B13" i="40"/>
  <c r="C13" i="40"/>
  <c r="D13" i="40"/>
  <c r="E13" i="40"/>
  <c r="F13" i="40"/>
  <c r="G13" i="40"/>
  <c r="H13" i="40"/>
  <c r="I13" i="40"/>
  <c r="J13" i="40"/>
  <c r="K13" i="40"/>
  <c r="L13" i="40"/>
  <c r="M13" i="40"/>
  <c r="N13" i="40"/>
  <c r="O13" i="40"/>
  <c r="P13" i="40"/>
  <c r="Q13" i="40"/>
  <c r="R13" i="40"/>
  <c r="S13" i="40"/>
  <c r="T13" i="40"/>
  <c r="U13" i="40" s="1"/>
  <c r="V13" i="40"/>
  <c r="A14" i="40"/>
  <c r="B14" i="40"/>
  <c r="C14" i="40"/>
  <c r="D14" i="40"/>
  <c r="E14" i="40"/>
  <c r="F14" i="40"/>
  <c r="G14" i="40"/>
  <c r="H14" i="40"/>
  <c r="I14" i="40"/>
  <c r="J14" i="40"/>
  <c r="K14" i="40"/>
  <c r="L14" i="40"/>
  <c r="M14" i="40"/>
  <c r="N14" i="40"/>
  <c r="O14" i="40"/>
  <c r="P14" i="40"/>
  <c r="Q14" i="40"/>
  <c r="R14" i="40"/>
  <c r="S14" i="40"/>
  <c r="T14" i="40"/>
  <c r="U14" i="40" s="1"/>
  <c r="V14" i="40"/>
  <c r="A15" i="40"/>
  <c r="B15" i="40"/>
  <c r="C15" i="40"/>
  <c r="D15" i="40"/>
  <c r="E15" i="40"/>
  <c r="F15" i="40"/>
  <c r="G15" i="40"/>
  <c r="H15" i="40"/>
  <c r="I15" i="40"/>
  <c r="J15" i="40"/>
  <c r="K15" i="40"/>
  <c r="L15" i="40"/>
  <c r="M15" i="40"/>
  <c r="N15" i="40"/>
  <c r="O15" i="40"/>
  <c r="P15" i="40"/>
  <c r="Q15" i="40"/>
  <c r="R15" i="40"/>
  <c r="S15" i="40"/>
  <c r="T15" i="40"/>
  <c r="U15" i="40" s="1"/>
  <c r="V15" i="40"/>
  <c r="A16" i="40"/>
  <c r="B16" i="40"/>
  <c r="C16" i="40"/>
  <c r="D16" i="40"/>
  <c r="E16" i="40"/>
  <c r="F16" i="40"/>
  <c r="G16" i="40"/>
  <c r="H16" i="40"/>
  <c r="I16" i="40"/>
  <c r="J16" i="40"/>
  <c r="K16" i="40"/>
  <c r="L16" i="40"/>
  <c r="M16" i="40"/>
  <c r="N16" i="40"/>
  <c r="O16" i="40"/>
  <c r="P16" i="40"/>
  <c r="Q16" i="40"/>
  <c r="R16" i="40"/>
  <c r="S16" i="40"/>
  <c r="T16" i="40"/>
  <c r="U16" i="40" s="1"/>
  <c r="V16" i="40"/>
  <c r="A17" i="40"/>
  <c r="B17" i="40"/>
  <c r="C17" i="40"/>
  <c r="D17" i="40"/>
  <c r="E17" i="40"/>
  <c r="F17" i="40"/>
  <c r="G17" i="40"/>
  <c r="H17" i="40"/>
  <c r="I17" i="40"/>
  <c r="J17" i="40"/>
  <c r="K17" i="40"/>
  <c r="L17" i="40"/>
  <c r="M17" i="40"/>
  <c r="N17" i="40"/>
  <c r="O17" i="40"/>
  <c r="P17" i="40"/>
  <c r="Q17" i="40"/>
  <c r="R17" i="40"/>
  <c r="S17" i="40"/>
  <c r="T17" i="40"/>
  <c r="U17" i="40" s="1"/>
  <c r="V17" i="40"/>
  <c r="A18" i="40"/>
  <c r="B18" i="40"/>
  <c r="C18" i="40"/>
  <c r="D18" i="40"/>
  <c r="E18" i="40"/>
  <c r="F18" i="40"/>
  <c r="G18" i="40"/>
  <c r="H18" i="40"/>
  <c r="I18" i="40"/>
  <c r="J18" i="40"/>
  <c r="K18" i="40"/>
  <c r="L18" i="40"/>
  <c r="M18" i="40"/>
  <c r="N18" i="40"/>
  <c r="O18" i="40"/>
  <c r="P18" i="40"/>
  <c r="Q18" i="40"/>
  <c r="R18" i="40"/>
  <c r="S18" i="40"/>
  <c r="T18" i="40"/>
  <c r="U18" i="40" s="1"/>
  <c r="V18" i="40"/>
  <c r="A19" i="40"/>
  <c r="B19" i="40"/>
  <c r="C19" i="40"/>
  <c r="D19" i="40"/>
  <c r="E19" i="40"/>
  <c r="F19" i="40"/>
  <c r="G19" i="40"/>
  <c r="H19" i="40"/>
  <c r="I19" i="40"/>
  <c r="J19" i="40"/>
  <c r="K19" i="40"/>
  <c r="L19" i="40"/>
  <c r="M19" i="40"/>
  <c r="N19" i="40"/>
  <c r="O19" i="40"/>
  <c r="P19" i="40"/>
  <c r="Q19" i="40"/>
  <c r="R19" i="40"/>
  <c r="S19" i="40"/>
  <c r="T19" i="40"/>
  <c r="U19" i="40" s="1"/>
  <c r="V19" i="40"/>
  <c r="A20" i="40"/>
  <c r="B20" i="40"/>
  <c r="C20" i="40"/>
  <c r="D20" i="40"/>
  <c r="E20" i="40"/>
  <c r="F20" i="40"/>
  <c r="G20" i="40"/>
  <c r="H20" i="40"/>
  <c r="I20" i="40"/>
  <c r="J20" i="40"/>
  <c r="K20" i="40"/>
  <c r="L20" i="40"/>
  <c r="M20" i="40"/>
  <c r="N20" i="40"/>
  <c r="O20" i="40"/>
  <c r="P20" i="40"/>
  <c r="Q20" i="40"/>
  <c r="R20" i="40"/>
  <c r="S20" i="40"/>
  <c r="T20" i="40"/>
  <c r="U20" i="40" s="1"/>
  <c r="V20" i="40"/>
  <c r="A21" i="40"/>
  <c r="B21" i="40"/>
  <c r="C21" i="40"/>
  <c r="D21" i="40"/>
  <c r="E21" i="40"/>
  <c r="F21" i="40"/>
  <c r="G21" i="40"/>
  <c r="H21" i="40"/>
  <c r="I21" i="40"/>
  <c r="J21" i="40"/>
  <c r="K21" i="40"/>
  <c r="L21" i="40"/>
  <c r="M21" i="40"/>
  <c r="N21" i="40"/>
  <c r="O21" i="40"/>
  <c r="P21" i="40"/>
  <c r="Q21" i="40"/>
  <c r="R21" i="40"/>
  <c r="S21" i="40"/>
  <c r="T21" i="40"/>
  <c r="U21" i="40" s="1"/>
  <c r="V21" i="40"/>
  <c r="A22" i="40"/>
  <c r="B22" i="40"/>
  <c r="C22" i="40"/>
  <c r="D22" i="40"/>
  <c r="E22" i="40"/>
  <c r="F22" i="40"/>
  <c r="G22" i="40"/>
  <c r="H22" i="40"/>
  <c r="I22" i="40"/>
  <c r="J22" i="40"/>
  <c r="K22" i="40"/>
  <c r="L22" i="40"/>
  <c r="M22" i="40"/>
  <c r="N22" i="40"/>
  <c r="O22" i="40"/>
  <c r="P22" i="40"/>
  <c r="Q22" i="40"/>
  <c r="R22" i="40"/>
  <c r="S22" i="40"/>
  <c r="T22" i="40"/>
  <c r="V22" i="40"/>
  <c r="A23" i="40"/>
  <c r="B23" i="40"/>
  <c r="C23" i="40"/>
  <c r="D23" i="40"/>
  <c r="E23" i="40"/>
  <c r="F23" i="40"/>
  <c r="G23" i="40"/>
  <c r="H23" i="40"/>
  <c r="I23" i="40"/>
  <c r="J23" i="40"/>
  <c r="K23" i="40"/>
  <c r="L23" i="40"/>
  <c r="M23" i="40"/>
  <c r="N23" i="40"/>
  <c r="O23" i="40"/>
  <c r="P23" i="40"/>
  <c r="Q23" i="40"/>
  <c r="R23" i="40"/>
  <c r="S23" i="40"/>
  <c r="T23" i="40"/>
  <c r="V23" i="40"/>
  <c r="A24" i="40"/>
  <c r="B24" i="40"/>
  <c r="C24" i="40"/>
  <c r="D24" i="40"/>
  <c r="E24" i="40"/>
  <c r="F24" i="40"/>
  <c r="G24" i="40"/>
  <c r="H24" i="40"/>
  <c r="I24" i="40"/>
  <c r="J24" i="40"/>
  <c r="K24" i="40"/>
  <c r="L24" i="40"/>
  <c r="M24" i="40"/>
  <c r="N24" i="40"/>
  <c r="O24" i="40"/>
  <c r="P24" i="40"/>
  <c r="Q24" i="40"/>
  <c r="R24" i="40"/>
  <c r="S24" i="40"/>
  <c r="T24" i="40"/>
  <c r="V24" i="40"/>
  <c r="A25" i="40"/>
  <c r="B25" i="40"/>
  <c r="C25" i="40"/>
  <c r="D25" i="40"/>
  <c r="E25" i="40"/>
  <c r="F25" i="40"/>
  <c r="G25" i="40"/>
  <c r="H25" i="40"/>
  <c r="I25" i="40"/>
  <c r="J25" i="40"/>
  <c r="K25" i="40"/>
  <c r="L25" i="40"/>
  <c r="M25" i="40"/>
  <c r="N25" i="40"/>
  <c r="O25" i="40"/>
  <c r="P25" i="40"/>
  <c r="Q25" i="40"/>
  <c r="R25" i="40"/>
  <c r="S25" i="40"/>
  <c r="T25" i="40"/>
  <c r="V25" i="40"/>
  <c r="A26" i="40"/>
  <c r="B26" i="40"/>
  <c r="C26" i="40"/>
  <c r="D26" i="40"/>
  <c r="E26" i="40"/>
  <c r="F26" i="40"/>
  <c r="G26" i="40"/>
  <c r="H26" i="40"/>
  <c r="I26" i="40"/>
  <c r="J26" i="40"/>
  <c r="K26" i="40"/>
  <c r="L26" i="40"/>
  <c r="M26" i="40"/>
  <c r="N26" i="40"/>
  <c r="O26" i="40"/>
  <c r="P26" i="40"/>
  <c r="Q26" i="40"/>
  <c r="R26" i="40"/>
  <c r="S26" i="40"/>
  <c r="T26" i="40"/>
  <c r="V26" i="40"/>
  <c r="A27" i="40"/>
  <c r="B27" i="40"/>
  <c r="C27" i="40"/>
  <c r="D27" i="40"/>
  <c r="E27" i="40"/>
  <c r="F27" i="40"/>
  <c r="G27" i="40"/>
  <c r="H27" i="40"/>
  <c r="I27" i="40"/>
  <c r="J27" i="40"/>
  <c r="K27" i="40"/>
  <c r="L27" i="40"/>
  <c r="M27" i="40"/>
  <c r="N27" i="40"/>
  <c r="O27" i="40"/>
  <c r="P27" i="40"/>
  <c r="Q27" i="40"/>
  <c r="R27" i="40"/>
  <c r="S27" i="40"/>
  <c r="T27" i="40"/>
  <c r="V27" i="40"/>
  <c r="O12" i="40"/>
  <c r="Q12" i="40"/>
  <c r="R12" i="40"/>
  <c r="S12" i="40"/>
  <c r="T12" i="40"/>
  <c r="V12" i="40"/>
  <c r="N12" i="40"/>
  <c r="I12" i="40"/>
  <c r="J12" i="40"/>
  <c r="K12" i="40"/>
  <c r="L12" i="40"/>
  <c r="M12" i="40"/>
  <c r="H12" i="40"/>
  <c r="F12" i="40"/>
  <c r="G12" i="40"/>
  <c r="B12" i="40"/>
  <c r="U12" i="40"/>
  <c r="C12" i="40"/>
  <c r="D12" i="40"/>
  <c r="G5" i="40" s="1"/>
  <c r="E12" i="40"/>
  <c r="A12" i="40"/>
  <c r="P12" i="40"/>
  <c r="D5" i="40" s="1"/>
  <c r="U27" i="40" l="1"/>
  <c r="U26" i="40"/>
  <c r="U25" i="40"/>
  <c r="U24" i="40"/>
  <c r="U23" i="40"/>
  <c r="U22" i="40"/>
  <c r="E5" i="40" s="1"/>
  <c r="H5" i="40"/>
  <c r="H6" i="40"/>
  <c r="H7" i="40" s="1"/>
  <c r="G6" i="40"/>
  <c r="G7" i="40" s="1"/>
  <c r="E6" i="40"/>
  <c r="F6" i="40" s="1"/>
  <c r="D6" i="40"/>
  <c r="D7" i="40"/>
  <c r="E7" i="40" l="1"/>
  <c r="F5" i="40"/>
  <c r="F7" i="40" s="1"/>
</calcChain>
</file>

<file path=xl/connections.xml><?xml version="1.0" encoding="utf-8"?>
<connections xmlns="http://schemas.openxmlformats.org/spreadsheetml/2006/main">
  <connection id="1" name="tickers100" type="6" refreshedVersion="3" background="1">
    <textPr codePage="10006" sourceFile="C:\IBWorkspace\QAModules\TWS\API\actions\APItesting\tickers100.csv" comma="1">
      <textFields count="10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<sst xmlns="http://schemas.openxmlformats.org/spreadsheetml/2006/main" count="101" uniqueCount="76">
  <si>
    <t>Toolbar</t>
  </si>
  <si>
    <t>Host</t>
  </si>
  <si>
    <t>Port</t>
  </si>
  <si>
    <t>ClientID</t>
  </si>
  <si>
    <t>Log Level</t>
  </si>
  <si>
    <t>Current Time</t>
  </si>
  <si>
    <t>Symbol</t>
  </si>
  <si>
    <t>Type</t>
  </si>
  <si>
    <t>Expiry</t>
  </si>
  <si>
    <t>Strike</t>
  </si>
  <si>
    <t>P/C</t>
  </si>
  <si>
    <t>Multiplier</t>
  </si>
  <si>
    <t>Exchange</t>
  </si>
  <si>
    <t>Currency</t>
  </si>
  <si>
    <t>Last Time Stamp</t>
  </si>
  <si>
    <t>Bid Size</t>
  </si>
  <si>
    <t>Bid Price</t>
  </si>
  <si>
    <t>Ask Price</t>
  </si>
  <si>
    <t>Ask Size</t>
  </si>
  <si>
    <t>Last Price</t>
  </si>
  <si>
    <t>Close</t>
  </si>
  <si>
    <t>Mark</t>
  </si>
  <si>
    <t>Delta</t>
  </si>
  <si>
    <t>Subscription Status</t>
  </si>
  <si>
    <t>Id</t>
  </si>
  <si>
    <t>Status</t>
  </si>
  <si>
    <t>Value</t>
  </si>
  <si>
    <t>Parameters</t>
  </si>
  <si>
    <t>Acct Code</t>
  </si>
  <si>
    <t>FA Data Type (1=GROUPS, 2=PROFILE, 3=ACCOUNT ALIASES)</t>
  </si>
  <si>
    <t>Last Update Time</t>
  </si>
  <si>
    <t>Managed Accounts</t>
  </si>
  <si>
    <t>TimeStamp</t>
  </si>
  <si>
    <t>IB Trader Workstation - Account Values</t>
  </si>
  <si>
    <t>Key</t>
  </si>
  <si>
    <t>Account Name</t>
  </si>
  <si>
    <t>IB Trader Workstation - Portfolio</t>
  </si>
  <si>
    <t>Local Symbol</t>
  </si>
  <si>
    <t>Primary Exchange</t>
  </si>
  <si>
    <t>Position</t>
  </si>
  <si>
    <t>Market price</t>
  </si>
  <si>
    <t>Market Value</t>
  </si>
  <si>
    <t>Avg Cost</t>
  </si>
  <si>
    <t>UnrealizedPNL</t>
  </si>
  <si>
    <t>RealizedPNL</t>
  </si>
  <si>
    <t>Acct</t>
  </si>
  <si>
    <t>ConId</t>
  </si>
  <si>
    <t>NOTE: Subscription for Portfolio Updates can be made on Account Page by pressing "Request Account Updates" button.</t>
  </si>
  <si>
    <t>Time</t>
  </si>
  <si>
    <t>IB Trader Workstation - Log Messages</t>
  </si>
  <si>
    <t>Error Code</t>
  </si>
  <si>
    <t>Error Message</t>
  </si>
  <si>
    <t>ImplVol</t>
  </si>
  <si>
    <t>OptPrice</t>
  </si>
  <si>
    <t>Gamma</t>
  </si>
  <si>
    <t>Vega</t>
  </si>
  <si>
    <t>Theta</t>
  </si>
  <si>
    <t>UndPrice</t>
  </si>
  <si>
    <t>MktDataType</t>
  </si>
  <si>
    <t>U597591</t>
  </si>
  <si>
    <t>Portfolio</t>
  </si>
  <si>
    <t>Portfolio Summary</t>
  </si>
  <si>
    <t>Position Delta</t>
  </si>
  <si>
    <t>Position Theta</t>
  </si>
  <si>
    <t>Hedging</t>
  </si>
  <si>
    <t>Core Short</t>
  </si>
  <si>
    <t>Tail Risk</t>
  </si>
  <si>
    <t>Theta $</t>
  </si>
  <si>
    <t>Total</t>
  </si>
  <si>
    <t>PnL</t>
  </si>
  <si>
    <t>Und Price</t>
  </si>
  <si>
    <t>Subscribed</t>
  </si>
  <si>
    <t>Generic Tick List</t>
  </si>
  <si>
    <t>100,101,104,105,106,107,165,221,225,233,236,258,293,294,295,318</t>
  </si>
  <si>
    <t>Bad message</t>
  </si>
  <si>
    <t>Not connected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</si>
</sst>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0.0%"/>
    <numFmt numFmtId="165" formatCode="0.0000"/>
    <numFmt numFmtId="166" formatCode="0.000000"/>
  </numFmts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8">
    <xf numFmtId="0" fontId="0" fillId="0" borderId="0" xfId="0"/>
    <xf numFmtId="0" fontId="5" fillId="2" borderId="1" xfId="0" applyFont="1" applyFill="1" applyBorder="1"/>
    <xf numFmtId="0" fontId="4" fillId="3" borderId="2" xfId="0" applyFont="1" applyFill="1" applyBorder="1" applyAlignment="1">
      <alignment horizontal="center"/>
    </xf>
    <xf numFmtId="0" fontId="3" fillId="5" borderId="1" xfId="0" applyFont="1" applyFill="1" applyBorder="1" applyAlignment="1"/>
    <xf numFmtId="0" fontId="4" fillId="3" borderId="1" xfId="0" applyFont="1" applyFill="1" applyBorder="1" applyAlignment="1">
      <alignment horizontal="center" wrapText="1"/>
    </xf>
    <xf numFmtId="0" fontId="0" fillId="0" borderId="1" xfId="0" applyBorder="1"/>
    <xf numFmtId="0" fontId="0" fillId="3" borderId="1" xfId="0" applyFill="1" applyBorder="1" applyAlignment="1"/>
    <xf numFmtId="0" fontId="0" fillId="2" borderId="1" xfId="0" applyFill="1" applyBorder="1"/>
    <xf numFmtId="20" fontId="0" fillId="2" borderId="1" xfId="0" applyNumberFormat="1" applyFill="1" applyBorder="1"/>
    <xf numFmtId="0" fontId="4" fillId="3" borderId="1" xfId="0" applyFont="1" applyFill="1" applyBorder="1" applyAlignment="1">
      <alignment horizontal="left"/>
    </xf>
    <xf numFmtId="22" fontId="0" fillId="0" borderId="0" xfId="0" applyNumberFormat="1"/>
    <xf numFmtId="0" fontId="0" fillId="0" borderId="0" xfId="0" applyAlignment="1">
      <alignment wrapText="1"/>
    </xf>
    <xf numFmtId="0" fontId="6" fillId="4" borderId="1" xfId="0" applyFont="1" applyFill="1" applyBorder="1" applyProtection="1"/>
    <xf numFmtId="22" fontId="6" fillId="4" borderId="1" xfId="0" applyNumberFormat="1" applyFont="1" applyFill="1" applyBorder="1" applyProtection="1"/>
    <xf numFmtId="0" fontId="3" fillId="5" borderId="3" xfId="0" applyFont="1" applyFill="1" applyBorder="1" applyAlignment="1">
      <alignment horizontal="center"/>
    </xf>
    <xf numFmtId="1" fontId="6" fillId="4" borderId="1" xfId="0" applyNumberFormat="1" applyFont="1" applyFill="1" applyBorder="1" applyProtection="1"/>
    <xf numFmtId="0" fontId="0" fillId="3" borderId="1" xfId="0" applyFill="1" applyBorder="1"/>
    <xf numFmtId="0" fontId="0" fillId="5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164" fontId="10" fillId="0" borderId="0" xfId="2" applyNumberFormat="1" applyFont="1"/>
    <xf numFmtId="165" fontId="10" fillId="0" borderId="0" xfId="0" applyNumberFormat="1" applyFont="1"/>
    <xf numFmtId="166" fontId="7" fillId="0" borderId="0" xfId="0" applyNumberFormat="1" applyFont="1"/>
    <xf numFmtId="44" fontId="7" fillId="0" borderId="0" xfId="1" applyFont="1"/>
    <xf numFmtId="166" fontId="11" fillId="0" borderId="0" xfId="0" applyNumberFormat="1" applyFont="1"/>
    <xf numFmtId="44" fontId="11" fillId="0" borderId="0" xfId="1" applyFont="1"/>
    <xf numFmtId="0" fontId="3" fillId="5" borderId="2" xfId="0" applyFont="1" applyFill="1" applyBorder="1" applyAlignment="1"/>
    <xf numFmtId="0" fontId="3" fillId="5" borderId="0" xfId="0" applyFont="1" applyFill="1" applyBorder="1" applyAlignment="1"/>
    <xf numFmtId="0" fontId="0" fillId="4" borderId="2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3" fillId="5" borderId="1" xfId="0" applyFont="1" applyFill="1" applyBorder="1" applyAlignment="1"/>
    <xf numFmtId="0" fontId="3" fillId="5" borderId="2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0" xfId="0" applyFont="1" applyFill="1" applyAlignment="1">
      <alignment horizontal="left"/>
    </xf>
    <xf numFmtId="0" fontId="0" fillId="4" borderId="0" xfId="0" applyFill="1" applyAlignment="1"/>
    <xf numFmtId="0" fontId="2" fillId="6" borderId="1" xfId="0" applyFont="1" applyFill="1" applyBorder="1" applyAlignment="1"/>
    <xf numFmtId="0" fontId="5" fillId="2" borderId="1" xfId="0" applyFont="1" applyFill="1" applyBorder="1" applyAlignment="1"/>
    <xf numFmtId="22" fontId="6" fillId="3" borderId="1" xfId="0" applyNumberFormat="1" applyFont="1" applyFill="1" applyBorder="1" applyAlignment="1"/>
    <xf numFmtId="0" fontId="6" fillId="3" borderId="1" xfId="0" applyFont="1" applyFill="1" applyBorder="1" applyAlignment="1"/>
    <xf numFmtId="0" fontId="3" fillId="5" borderId="2" xfId="0" applyFont="1" applyFill="1" applyBorder="1" applyAlignment="1">
      <alignment horizontal="left"/>
    </xf>
    <xf numFmtId="0" fontId="3" fillId="5" borderId="0" xfId="0" applyFont="1" applyFill="1" applyBorder="1" applyAlignment="1">
      <alignment horizontal="left"/>
    </xf>
    <xf numFmtId="0" fontId="0" fillId="4" borderId="2" xfId="0" applyFill="1" applyBorder="1" applyAlignment="1"/>
    <xf numFmtId="0" fontId="0" fillId="4" borderId="0" xfId="0" applyFill="1" applyBorder="1" applyAlignment="1"/>
    <xf numFmtId="0" fontId="0" fillId="0" borderId="0" xfId="0" applyBorder="1" applyAlignment="1"/>
    <xf numFmtId="0" fontId="0" fillId="0" borderId="0" xfId="0" applyAlignment="1"/>
    <xf numFmtId="0" fontId="3" fillId="5" borderId="4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 wrapText="1"/>
    </xf>
    <xf numFmtId="0" fontId="3" fillId="5" borderId="4" xfId="0" applyFont="1" applyFill="1" applyBorder="1" applyAlignment="1"/>
    <xf numFmtId="0" fontId="3" fillId="5" borderId="5" xfId="0" applyFont="1" applyFill="1" applyBorder="1" applyAlignment="1"/>
    <xf numFmtId="0" fontId="0" fillId="2" borderId="4" xfId="0" quotePrefix="1" applyFill="1" applyBorder="1" applyAlignment="1"/>
    <xf numFmtId="0" fontId="0" fillId="0" borderId="3" xfId="0" applyBorder="1"/>
    <xf numFmtId="0" fontId="0" fillId="0" borderId="5" xfId="0" applyBorder="1"/>
    <xf numFmtId="0" fontId="0" fillId="0" borderId="1" xfId="0" applyBorder="1" applyAlignment="1"/>
    <xf numFmtId="0" fontId="0" fillId="4" borderId="1" xfId="0" applyFill="1" applyBorder="1" applyAlignment="1"/>
    <xf numFmtId="0" fontId="3" fillId="5" borderId="1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0</xdr:rowOff>
        </xdr:from>
        <xdr:to>
          <xdr:col>0</xdr:col>
          <xdr:colOff>1714500</xdr:colOff>
          <xdr:row>2</xdr:row>
          <xdr:rowOff>0</xdr:rowOff>
        </xdr:to>
        <xdr:sp macro="" textlink="">
          <xdr:nvSpPr>
            <xdr:cNvPr id="29697" name="RequestAccountUpdates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1714500</xdr:colOff>
          <xdr:row>1</xdr:row>
          <xdr:rowOff>0</xdr:rowOff>
        </xdr:from>
        <xdr:to>
          <xdr:col>1</xdr:col>
          <xdr:colOff>904875</xdr:colOff>
          <xdr:row>2</xdr:row>
          <xdr:rowOff>0</xdr:rowOff>
        </xdr:to>
        <xdr:sp macro="" textlink="">
          <xdr:nvSpPr>
            <xdr:cNvPr id="29698" name="CancelAccountUpdates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1057275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29701" name="ClearAccountData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0</xdr:rowOff>
        </xdr:from>
        <xdr:to>
          <xdr:col>2</xdr:col>
          <xdr:colOff>66675</xdr:colOff>
          <xdr:row>2</xdr:row>
          <xdr:rowOff>0</xdr:rowOff>
        </xdr:to>
        <xdr:sp macro="" textlink="">
          <xdr:nvSpPr>
            <xdr:cNvPr id="1027" name="ConnectToTW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66675</xdr:colOff>
          <xdr:row>1</xdr:row>
          <xdr:rowOff>0</xdr:rowOff>
        </xdr:from>
        <xdr:to>
          <xdr:col>4</xdr:col>
          <xdr:colOff>266700</xdr:colOff>
          <xdr:row>2</xdr:row>
          <xdr:rowOff>0</xdr:rowOff>
        </xdr:to>
        <xdr:sp macro="" textlink="">
          <xdr:nvSpPr>
            <xdr:cNvPr id="1028" name="DisconnectFromTW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266700</xdr:colOff>
          <xdr:row>1</xdr:row>
          <xdr:rowOff>0</xdr:rowOff>
        </xdr:from>
        <xdr:to>
          <xdr:col>6</xdr:col>
          <xdr:colOff>514350</xdr:colOff>
          <xdr:row>2</xdr:row>
          <xdr:rowOff>0</xdr:rowOff>
        </xdr:to>
        <xdr:sp macro="" textlink="">
          <xdr:nvSpPr>
            <xdr:cNvPr id="1029" name="SetServerLogLeve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</xdr:row>
          <xdr:rowOff>0</xdr:rowOff>
        </xdr:from>
        <xdr:to>
          <xdr:col>9</xdr:col>
          <xdr:colOff>219075</xdr:colOff>
          <xdr:row>2</xdr:row>
          <xdr:rowOff>0</xdr:rowOff>
        </xdr:to>
        <xdr:sp macro="" textlink="">
          <xdr:nvSpPr>
            <xdr:cNvPr id="1030" name="RequestCurrentTim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381000</xdr:colOff>
          <xdr:row>1</xdr:row>
          <xdr:rowOff>47625</xdr:rowOff>
        </xdr:from>
        <xdr:to>
          <xdr:col>17</xdr:col>
          <xdr:colOff>371475</xdr:colOff>
          <xdr:row>1</xdr:row>
          <xdr:rowOff>304800</xdr:rowOff>
        </xdr:to>
        <xdr:sp macro="" textlink="">
          <xdr:nvSpPr>
            <xdr:cNvPr id="1034" name="ShowErrorsMsgBox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</xdr:row>
          <xdr:rowOff>0</xdr:rowOff>
        </xdr:from>
        <xdr:to>
          <xdr:col>12</xdr:col>
          <xdr:colOff>57150</xdr:colOff>
          <xdr:row>2</xdr:row>
          <xdr:rowOff>0</xdr:rowOff>
        </xdr:to>
        <xdr:sp macro="" textlink="">
          <xdr:nvSpPr>
            <xdr:cNvPr id="1035" name="RequestGlobalCance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447675</xdr:colOff>
          <xdr:row>1</xdr:row>
          <xdr:rowOff>28575</xdr:rowOff>
        </xdr:from>
        <xdr:to>
          <xdr:col>4</xdr:col>
          <xdr:colOff>590550</xdr:colOff>
          <xdr:row>2</xdr:row>
          <xdr:rowOff>28575</xdr:rowOff>
        </xdr:to>
        <xdr:sp macro="" textlink="">
          <xdr:nvSpPr>
            <xdr:cNvPr id="9220" name="ClearPortfolioData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9525</xdr:rowOff>
        </xdr:from>
        <xdr:to>
          <xdr:col>2</xdr:col>
          <xdr:colOff>409575</xdr:colOff>
          <xdr:row>2</xdr:row>
          <xdr:rowOff>38100</xdr:rowOff>
        </xdr:to>
        <xdr:sp macro="" textlink="">
          <xdr:nvSpPr>
            <xdr:cNvPr id="9222" name="RequestMarketData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19050</xdr:rowOff>
        </xdr:from>
        <xdr:to>
          <xdr:col>1</xdr:col>
          <xdr:colOff>590550</xdr:colOff>
          <xdr:row>2</xdr:row>
          <xdr:rowOff>0</xdr:rowOff>
        </xdr:to>
        <xdr:sp macro="" textlink="">
          <xdr:nvSpPr>
            <xdr:cNvPr id="22529" name="ClearLog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00"/>
  <sheetViews>
    <sheetView tabSelected="1" zoomScale="75" zoomScaleNormal="75" workbookViewId="0">
      <pane ySplit="14" topLeftCell="A15" activePane="bottomLeft" state="frozen"/>
      <selection pane="bottomLeft" activeCell="A6" sqref="A6"/>
    </sheetView>
  </sheetViews>
  <sheetFormatPr defaultRowHeight="15" x14ac:dyDescent="0.25"/>
  <cols>
    <col min="1" max="1" width="36" customWidth="1"/>
    <col min="2" max="2" width="37" customWidth="1"/>
    <col min="3" max="3" width="32.85546875" customWidth="1"/>
    <col min="4" max="4" width="36.7109375" customWidth="1"/>
  </cols>
  <sheetData>
    <row r="1" spans="1:4" x14ac:dyDescent="0.25">
      <c r="A1" s="28" t="s">
        <v>0</v>
      </c>
      <c r="B1" s="29"/>
      <c r="C1" s="29"/>
      <c r="D1" s="29"/>
    </row>
    <row r="2" spans="1:4" ht="30" customHeight="1" x14ac:dyDescent="0.25">
      <c r="A2" s="30"/>
      <c r="B2" s="31"/>
      <c r="C2" s="31"/>
      <c r="D2" s="31"/>
    </row>
    <row r="4" spans="1:4" x14ac:dyDescent="0.25">
      <c r="A4" s="32" t="s">
        <v>27</v>
      </c>
      <c r="B4" s="32"/>
      <c r="C4" s="32"/>
      <c r="D4" s="32"/>
    </row>
    <row r="5" spans="1:4" x14ac:dyDescent="0.25">
      <c r="A5" s="6" t="s">
        <v>28</v>
      </c>
      <c r="B5" s="6"/>
      <c r="C5" s="6" t="s">
        <v>29</v>
      </c>
      <c r="D5" s="6"/>
    </row>
    <row r="6" spans="1:4" x14ac:dyDescent="0.25">
      <c r="A6" s="7"/>
      <c r="B6" s="16"/>
      <c r="C6" s="5">
        <v>3</v>
      </c>
      <c r="D6" s="16"/>
    </row>
    <row r="8" spans="1:4" x14ac:dyDescent="0.25">
      <c r="A8" s="3" t="s">
        <v>30</v>
      </c>
      <c r="B8" s="3"/>
      <c r="C8" s="3"/>
      <c r="D8" s="3" t="s">
        <v>31</v>
      </c>
    </row>
    <row r="9" spans="1:4" x14ac:dyDescent="0.25">
      <c r="A9" s="6" t="s">
        <v>32</v>
      </c>
      <c r="B9" s="8"/>
      <c r="C9" s="16"/>
      <c r="D9" s="7" t="s">
        <v>59</v>
      </c>
    </row>
    <row r="10" spans="1:4" x14ac:dyDescent="0.25">
      <c r="A10" s="3" t="s">
        <v>23</v>
      </c>
      <c r="B10" s="16"/>
      <c r="C10" s="16"/>
      <c r="D10" s="16"/>
    </row>
    <row r="11" spans="1:4" x14ac:dyDescent="0.25">
      <c r="A11" s="7" t="s">
        <v>71</v>
      </c>
      <c r="B11" s="16"/>
      <c r="C11" s="16"/>
      <c r="D11" s="16"/>
    </row>
    <row r="13" spans="1:4" x14ac:dyDescent="0.25">
      <c r="A13" s="33" t="s">
        <v>33</v>
      </c>
      <c r="B13" s="34"/>
      <c r="C13" s="34"/>
      <c r="D13" s="34"/>
    </row>
    <row r="14" spans="1:4" x14ac:dyDescent="0.25">
      <c r="A14" s="6" t="s">
        <v>34</v>
      </c>
      <c r="B14" s="6" t="s">
        <v>26</v>
      </c>
      <c r="C14" s="6" t="s">
        <v>13</v>
      </c>
      <c r="D14" s="6" t="s">
        <v>35</v>
      </c>
    </row>
    <row r="15" spans="1:4" x14ac:dyDescent="0.25">
      <c r="A15" s="7"/>
      <c r="B15" s="7"/>
      <c r="C15" s="7"/>
      <c r="D15" s="7"/>
    </row>
    <row r="16" spans="1:4" x14ac:dyDescent="0.25">
      <c r="A16" s="7"/>
      <c r="B16" s="7"/>
      <c r="C16" s="7"/>
      <c r="D16" s="7"/>
    </row>
    <row r="17" spans="1:4" x14ac:dyDescent="0.25">
      <c r="A17" s="7"/>
      <c r="B17" s="7"/>
      <c r="C17" s="7"/>
      <c r="D17" s="7"/>
    </row>
    <row r="18" spans="1:4" x14ac:dyDescent="0.25">
      <c r="A18" s="7"/>
      <c r="B18" s="7"/>
      <c r="C18" s="7"/>
      <c r="D18" s="7"/>
    </row>
    <row r="19" spans="1:4" x14ac:dyDescent="0.25">
      <c r="A19" s="7"/>
      <c r="B19" s="7"/>
      <c r="C19" s="7"/>
      <c r="D19" s="7"/>
    </row>
    <row r="20" spans="1:4" x14ac:dyDescent="0.25">
      <c r="A20" s="7"/>
      <c r="B20" s="7"/>
      <c r="C20" s="7"/>
      <c r="D20" s="7"/>
    </row>
    <row r="21" spans="1:4" x14ac:dyDescent="0.25">
      <c r="A21" s="7"/>
      <c r="B21" s="7"/>
      <c r="C21" s="7"/>
      <c r="D21" s="7"/>
    </row>
    <row r="22" spans="1:4" x14ac:dyDescent="0.25">
      <c r="A22" s="7"/>
      <c r="B22" s="7"/>
      <c r="C22" s="7"/>
      <c r="D22" s="7"/>
    </row>
    <row r="23" spans="1:4" x14ac:dyDescent="0.25">
      <c r="A23" s="7"/>
      <c r="B23" s="7"/>
      <c r="C23" s="7"/>
      <c r="D23" s="7"/>
    </row>
    <row r="24" spans="1:4" x14ac:dyDescent="0.25">
      <c r="A24" s="7"/>
      <c r="B24" s="7"/>
      <c r="C24" s="7"/>
      <c r="D24" s="7"/>
    </row>
    <row r="25" spans="1:4" x14ac:dyDescent="0.25">
      <c r="A25" s="7"/>
      <c r="B25" s="7"/>
      <c r="C25" s="7"/>
      <c r="D25" s="7"/>
    </row>
    <row r="26" spans="1:4" x14ac:dyDescent="0.25">
      <c r="A26" s="7"/>
      <c r="B26" s="7"/>
      <c r="C26" s="7"/>
      <c r="D26" s="7"/>
    </row>
    <row r="27" spans="1:4" x14ac:dyDescent="0.25">
      <c r="A27" s="7"/>
      <c r="B27" s="7"/>
      <c r="C27" s="7"/>
      <c r="D27" s="7"/>
    </row>
    <row r="28" spans="1:4" x14ac:dyDescent="0.25">
      <c r="A28" s="7"/>
      <c r="B28" s="7"/>
      <c r="C28" s="7"/>
      <c r="D28" s="7"/>
    </row>
    <row r="29" spans="1:4" x14ac:dyDescent="0.25">
      <c r="A29" s="7"/>
      <c r="B29" s="7"/>
      <c r="C29" s="7"/>
      <c r="D29" s="7"/>
    </row>
    <row r="30" spans="1:4" x14ac:dyDescent="0.25">
      <c r="A30" s="7"/>
      <c r="B30" s="7"/>
      <c r="C30" s="7"/>
      <c r="D30" s="7"/>
    </row>
    <row r="31" spans="1:4" x14ac:dyDescent="0.25">
      <c r="A31" s="7"/>
      <c r="B31" s="7"/>
      <c r="C31" s="7"/>
      <c r="D31" s="7"/>
    </row>
    <row r="32" spans="1:4" x14ac:dyDescent="0.25">
      <c r="A32" s="7"/>
      <c r="B32" s="7"/>
      <c r="C32" s="7"/>
      <c r="D32" s="7"/>
    </row>
    <row r="33" spans="1:4" x14ac:dyDescent="0.25">
      <c r="A33" s="7"/>
      <c r="B33" s="7"/>
      <c r="C33" s="7"/>
      <c r="D33" s="7"/>
    </row>
    <row r="34" spans="1:4" x14ac:dyDescent="0.25">
      <c r="A34" s="7"/>
      <c r="B34" s="7"/>
      <c r="C34" s="7"/>
      <c r="D34" s="7"/>
    </row>
    <row r="35" spans="1:4" x14ac:dyDescent="0.25">
      <c r="A35" s="7"/>
      <c r="B35" s="7"/>
      <c r="C35" s="7"/>
      <c r="D35" s="7"/>
    </row>
    <row r="36" spans="1:4" x14ac:dyDescent="0.25">
      <c r="A36" s="7"/>
      <c r="B36" s="7"/>
      <c r="C36" s="7"/>
      <c r="D36" s="7"/>
    </row>
    <row r="37" spans="1:4" x14ac:dyDescent="0.25">
      <c r="A37" s="7"/>
      <c r="B37" s="7"/>
      <c r="C37" s="7"/>
      <c r="D37" s="7"/>
    </row>
    <row r="38" spans="1:4" x14ac:dyDescent="0.25">
      <c r="A38" s="7"/>
      <c r="B38" s="7"/>
      <c r="C38" s="7"/>
      <c r="D38" s="7"/>
    </row>
    <row r="39" spans="1:4" x14ac:dyDescent="0.25">
      <c r="A39" s="7"/>
      <c r="B39" s="7"/>
      <c r="C39" s="7"/>
      <c r="D39" s="7"/>
    </row>
    <row r="40" spans="1:4" x14ac:dyDescent="0.25">
      <c r="A40" s="7"/>
      <c r="B40" s="7"/>
      <c r="C40" s="7"/>
      <c r="D40" s="7"/>
    </row>
    <row r="41" spans="1:4" x14ac:dyDescent="0.25">
      <c r="A41" s="7"/>
      <c r="B41" s="7"/>
      <c r="C41" s="7"/>
      <c r="D41" s="7"/>
    </row>
    <row r="42" spans="1:4" x14ac:dyDescent="0.25">
      <c r="A42" s="7"/>
      <c r="B42" s="7"/>
      <c r="C42" s="7"/>
      <c r="D42" s="7"/>
    </row>
    <row r="43" spans="1:4" x14ac:dyDescent="0.25">
      <c r="A43" s="7"/>
      <c r="B43" s="7"/>
      <c r="C43" s="7"/>
      <c r="D43" s="7"/>
    </row>
    <row r="44" spans="1:4" x14ac:dyDescent="0.25">
      <c r="A44" s="7"/>
      <c r="B44" s="7"/>
      <c r="C44" s="7"/>
      <c r="D44" s="7"/>
    </row>
    <row r="45" spans="1:4" x14ac:dyDescent="0.25">
      <c r="A45" s="7"/>
      <c r="B45" s="7"/>
      <c r="C45" s="7"/>
      <c r="D45" s="7"/>
    </row>
    <row r="46" spans="1:4" x14ac:dyDescent="0.25">
      <c r="A46" s="7"/>
      <c r="B46" s="7"/>
      <c r="C46" s="7"/>
      <c r="D46" s="7"/>
    </row>
    <row r="47" spans="1:4" x14ac:dyDescent="0.25">
      <c r="A47" s="7"/>
      <c r="B47" s="7"/>
      <c r="C47" s="7"/>
      <c r="D47" s="7"/>
    </row>
    <row r="48" spans="1:4" x14ac:dyDescent="0.25">
      <c r="A48" s="7"/>
      <c r="B48" s="7"/>
      <c r="C48" s="7"/>
      <c r="D48" s="7"/>
    </row>
    <row r="49" spans="1:4" x14ac:dyDescent="0.25">
      <c r="A49" s="7"/>
      <c r="B49" s="7"/>
      <c r="C49" s="7"/>
      <c r="D49" s="7"/>
    </row>
    <row r="50" spans="1:4" x14ac:dyDescent="0.25">
      <c r="A50" s="7"/>
      <c r="B50" s="7"/>
      <c r="C50" s="7"/>
      <c r="D50" s="7"/>
    </row>
    <row r="51" spans="1:4" x14ac:dyDescent="0.25">
      <c r="A51" s="7"/>
      <c r="B51" s="7"/>
      <c r="C51" s="7"/>
      <c r="D51" s="7"/>
    </row>
    <row r="52" spans="1:4" x14ac:dyDescent="0.25">
      <c r="A52" s="7"/>
      <c r="B52" s="7"/>
      <c r="C52" s="7"/>
      <c r="D52" s="7"/>
    </row>
    <row r="53" spans="1:4" x14ac:dyDescent="0.25">
      <c r="A53" s="7"/>
      <c r="B53" s="7"/>
      <c r="C53" s="7"/>
      <c r="D53" s="7"/>
    </row>
    <row r="54" spans="1:4" x14ac:dyDescent="0.25">
      <c r="A54" s="7"/>
      <c r="B54" s="7"/>
      <c r="C54" s="7"/>
      <c r="D54" s="7"/>
    </row>
    <row r="55" spans="1:4" x14ac:dyDescent="0.25">
      <c r="A55" s="7"/>
      <c r="B55" s="7"/>
      <c r="C55" s="7"/>
      <c r="D55" s="7"/>
    </row>
    <row r="56" spans="1:4" x14ac:dyDescent="0.25">
      <c r="A56" s="7"/>
      <c r="B56" s="7"/>
      <c r="C56" s="7"/>
      <c r="D56" s="7"/>
    </row>
    <row r="57" spans="1:4" x14ac:dyDescent="0.25">
      <c r="A57" s="7"/>
      <c r="B57" s="7"/>
      <c r="C57" s="7"/>
      <c r="D57" s="7"/>
    </row>
    <row r="58" spans="1:4" x14ac:dyDescent="0.25">
      <c r="A58" s="7"/>
      <c r="B58" s="7"/>
      <c r="C58" s="7"/>
      <c r="D58" s="7"/>
    </row>
    <row r="59" spans="1:4" x14ac:dyDescent="0.25">
      <c r="A59" s="7"/>
      <c r="B59" s="7"/>
      <c r="C59" s="7"/>
      <c r="D59" s="7"/>
    </row>
    <row r="60" spans="1:4" x14ac:dyDescent="0.25">
      <c r="A60" s="7"/>
      <c r="B60" s="7"/>
      <c r="C60" s="7"/>
      <c r="D60" s="7"/>
    </row>
    <row r="61" spans="1:4" x14ac:dyDescent="0.25">
      <c r="A61" s="7"/>
      <c r="B61" s="7"/>
      <c r="C61" s="7"/>
      <c r="D61" s="7"/>
    </row>
    <row r="62" spans="1:4" x14ac:dyDescent="0.25">
      <c r="A62" s="7"/>
      <c r="B62" s="7"/>
      <c r="C62" s="7"/>
      <c r="D62" s="7"/>
    </row>
    <row r="63" spans="1:4" x14ac:dyDescent="0.25">
      <c r="A63" s="7"/>
      <c r="B63" s="7"/>
      <c r="C63" s="7"/>
      <c r="D63" s="7"/>
    </row>
    <row r="64" spans="1:4" x14ac:dyDescent="0.25">
      <c r="A64" s="7"/>
      <c r="B64" s="7"/>
      <c r="C64" s="7"/>
      <c r="D64" s="7"/>
    </row>
    <row r="65" spans="1:4" x14ac:dyDescent="0.25">
      <c r="A65" s="7"/>
      <c r="B65" s="7"/>
      <c r="C65" s="7"/>
      <c r="D65" s="7"/>
    </row>
    <row r="66" spans="1:4" x14ac:dyDescent="0.25">
      <c r="A66" s="7"/>
      <c r="B66" s="7"/>
      <c r="C66" s="7"/>
      <c r="D66" s="7"/>
    </row>
    <row r="67" spans="1:4" x14ac:dyDescent="0.25">
      <c r="A67" s="7"/>
      <c r="B67" s="7"/>
      <c r="C67" s="7"/>
      <c r="D67" s="7"/>
    </row>
    <row r="68" spans="1:4" x14ac:dyDescent="0.25">
      <c r="A68" s="7"/>
      <c r="B68" s="7"/>
      <c r="C68" s="7"/>
      <c r="D68" s="7"/>
    </row>
    <row r="69" spans="1:4" x14ac:dyDescent="0.25">
      <c r="A69" s="7"/>
      <c r="B69" s="7"/>
      <c r="C69" s="7"/>
      <c r="D69" s="7"/>
    </row>
    <row r="70" spans="1:4" x14ac:dyDescent="0.25">
      <c r="A70" s="7"/>
      <c r="B70" s="7"/>
      <c r="C70" s="7"/>
      <c r="D70" s="7"/>
    </row>
    <row r="71" spans="1:4" x14ac:dyDescent="0.25">
      <c r="A71" s="7"/>
      <c r="B71" s="7"/>
      <c r="C71" s="7"/>
      <c r="D71" s="7"/>
    </row>
    <row r="72" spans="1:4" x14ac:dyDescent="0.25">
      <c r="A72" s="7"/>
      <c r="B72" s="7"/>
      <c r="C72" s="7"/>
      <c r="D72" s="7"/>
    </row>
    <row r="73" spans="1:4" x14ac:dyDescent="0.25">
      <c r="A73" s="7"/>
      <c r="B73" s="7"/>
      <c r="C73" s="7"/>
      <c r="D73" s="7"/>
    </row>
    <row r="74" spans="1:4" x14ac:dyDescent="0.25">
      <c r="A74" s="7"/>
      <c r="B74" s="7"/>
      <c r="C74" s="7"/>
      <c r="D74" s="7"/>
    </row>
    <row r="75" spans="1:4" x14ac:dyDescent="0.25">
      <c r="A75" s="7"/>
      <c r="B75" s="7"/>
      <c r="C75" s="7"/>
      <c r="D75" s="7"/>
    </row>
    <row r="76" spans="1:4" x14ac:dyDescent="0.25">
      <c r="A76" s="7"/>
      <c r="B76" s="7"/>
      <c r="C76" s="7"/>
      <c r="D76" s="7"/>
    </row>
    <row r="77" spans="1:4" x14ac:dyDescent="0.25">
      <c r="A77" s="7"/>
      <c r="B77" s="7"/>
      <c r="C77" s="7"/>
      <c r="D77" s="7"/>
    </row>
    <row r="78" spans="1:4" x14ac:dyDescent="0.25">
      <c r="A78" s="7"/>
      <c r="B78" s="7"/>
      <c r="C78" s="7"/>
      <c r="D78" s="7"/>
    </row>
    <row r="79" spans="1:4" x14ac:dyDescent="0.25">
      <c r="A79" s="7"/>
      <c r="B79" s="7"/>
      <c r="C79" s="7"/>
      <c r="D79" s="7"/>
    </row>
    <row r="80" spans="1:4" x14ac:dyDescent="0.25">
      <c r="A80" s="7"/>
      <c r="B80" s="7"/>
      <c r="C80" s="7"/>
      <c r="D80" s="7"/>
    </row>
    <row r="81" spans="1:4" x14ac:dyDescent="0.25">
      <c r="A81" s="7"/>
      <c r="B81" s="7"/>
      <c r="C81" s="7"/>
      <c r="D81" s="7"/>
    </row>
    <row r="82" spans="1:4" x14ac:dyDescent="0.25">
      <c r="A82" s="7"/>
      <c r="B82" s="7"/>
      <c r="C82" s="7"/>
      <c r="D82" s="7"/>
    </row>
    <row r="83" spans="1:4" x14ac:dyDescent="0.25">
      <c r="A83" s="7"/>
      <c r="B83" s="7"/>
      <c r="C83" s="7"/>
      <c r="D83" s="7"/>
    </row>
    <row r="84" spans="1:4" x14ac:dyDescent="0.25">
      <c r="A84" s="7"/>
      <c r="B84" s="7"/>
      <c r="C84" s="7"/>
      <c r="D84" s="7"/>
    </row>
    <row r="85" spans="1:4" x14ac:dyDescent="0.25">
      <c r="A85" s="7"/>
      <c r="B85" s="7"/>
      <c r="C85" s="7"/>
      <c r="D85" s="7"/>
    </row>
    <row r="86" spans="1:4" x14ac:dyDescent="0.25">
      <c r="A86" s="7"/>
      <c r="B86" s="7"/>
      <c r="C86" s="7"/>
      <c r="D86" s="7"/>
    </row>
    <row r="87" spans="1:4" x14ac:dyDescent="0.25">
      <c r="A87" s="7"/>
      <c r="B87" s="7"/>
      <c r="C87" s="7"/>
      <c r="D87" s="7"/>
    </row>
    <row r="88" spans="1:4" x14ac:dyDescent="0.25">
      <c r="A88" s="7"/>
      <c r="B88" s="7"/>
      <c r="C88" s="7"/>
      <c r="D88" s="7"/>
    </row>
    <row r="89" spans="1:4" x14ac:dyDescent="0.25">
      <c r="A89" s="7"/>
      <c r="B89" s="7"/>
      <c r="C89" s="7"/>
      <c r="D89" s="7"/>
    </row>
    <row r="90" spans="1:4" x14ac:dyDescent="0.25">
      <c r="A90" s="7"/>
      <c r="B90" s="7"/>
      <c r="C90" s="7"/>
      <c r="D90" s="7"/>
    </row>
    <row r="91" spans="1:4" x14ac:dyDescent="0.25">
      <c r="A91" s="7"/>
      <c r="B91" s="7"/>
      <c r="C91" s="7"/>
      <c r="D91" s="7"/>
    </row>
    <row r="92" spans="1:4" x14ac:dyDescent="0.25">
      <c r="A92" s="7"/>
      <c r="B92" s="7"/>
      <c r="C92" s="7"/>
      <c r="D92" s="7"/>
    </row>
    <row r="93" spans="1:4" x14ac:dyDescent="0.25">
      <c r="A93" s="7"/>
      <c r="B93" s="7"/>
      <c r="C93" s="7"/>
      <c r="D93" s="7"/>
    </row>
    <row r="94" spans="1:4" x14ac:dyDescent="0.25">
      <c r="A94" s="7"/>
      <c r="B94" s="7"/>
      <c r="C94" s="7"/>
      <c r="D94" s="7"/>
    </row>
    <row r="95" spans="1:4" x14ac:dyDescent="0.25">
      <c r="A95" s="7"/>
      <c r="B95" s="7"/>
      <c r="C95" s="7"/>
      <c r="D95" s="7"/>
    </row>
    <row r="96" spans="1:4" x14ac:dyDescent="0.25">
      <c r="A96" s="7"/>
      <c r="B96" s="7"/>
      <c r="C96" s="7"/>
      <c r="D96" s="7"/>
    </row>
    <row r="97" spans="1:4" x14ac:dyDescent="0.25">
      <c r="A97" s="7"/>
      <c r="B97" s="7"/>
      <c r="C97" s="7"/>
      <c r="D97" s="7"/>
    </row>
    <row r="98" spans="1:4" x14ac:dyDescent="0.25">
      <c r="A98" s="7"/>
      <c r="B98" s="7"/>
      <c r="C98" s="7"/>
      <c r="D98" s="7"/>
    </row>
    <row r="99" spans="1:4" x14ac:dyDescent="0.25">
      <c r="A99" s="7"/>
      <c r="B99" s="7"/>
      <c r="C99" s="7"/>
      <c r="D99" s="7"/>
    </row>
    <row r="100" spans="1:4" x14ac:dyDescent="0.25">
      <c r="A100" s="7"/>
      <c r="B100" s="7"/>
      <c r="C100" s="7"/>
      <c r="D100" s="7"/>
    </row>
    <row r="101" spans="1:4" x14ac:dyDescent="0.25">
      <c r="A101" s="7"/>
      <c r="B101" s="7"/>
      <c r="C101" s="7"/>
      <c r="D101" s="7"/>
    </row>
    <row r="102" spans="1:4" x14ac:dyDescent="0.25">
      <c r="A102" s="7"/>
      <c r="B102" s="7"/>
      <c r="C102" s="7"/>
      <c r="D102" s="7"/>
    </row>
    <row r="103" spans="1:4" x14ac:dyDescent="0.25">
      <c r="A103" s="7"/>
      <c r="B103" s="7"/>
      <c r="C103" s="7"/>
      <c r="D103" s="7"/>
    </row>
    <row r="104" spans="1:4" x14ac:dyDescent="0.25">
      <c r="A104" s="7"/>
      <c r="B104" s="7"/>
      <c r="C104" s="7"/>
      <c r="D104" s="7"/>
    </row>
    <row r="105" spans="1:4" x14ac:dyDescent="0.25">
      <c r="A105" s="7"/>
      <c r="B105" s="7"/>
      <c r="C105" s="7"/>
      <c r="D105" s="7"/>
    </row>
    <row r="106" spans="1:4" x14ac:dyDescent="0.25">
      <c r="A106" s="7"/>
      <c r="B106" s="7"/>
      <c r="C106" s="7"/>
      <c r="D106" s="7"/>
    </row>
    <row r="107" spans="1:4" x14ac:dyDescent="0.25">
      <c r="A107" s="7"/>
      <c r="B107" s="7"/>
      <c r="C107" s="7"/>
      <c r="D107" s="7"/>
    </row>
    <row r="108" spans="1:4" x14ac:dyDescent="0.25">
      <c r="A108" s="7"/>
      <c r="B108" s="7"/>
      <c r="C108" s="7"/>
      <c r="D108" s="7"/>
    </row>
    <row r="109" spans="1:4" x14ac:dyDescent="0.25">
      <c r="A109" s="7"/>
      <c r="B109" s="7"/>
      <c r="C109" s="7"/>
      <c r="D109" s="7"/>
    </row>
    <row r="110" spans="1:4" x14ac:dyDescent="0.25">
      <c r="A110" s="7"/>
      <c r="B110" s="7"/>
      <c r="C110" s="7"/>
      <c r="D110" s="7"/>
    </row>
    <row r="111" spans="1:4" x14ac:dyDescent="0.25">
      <c r="A111" s="7"/>
      <c r="B111" s="7"/>
      <c r="C111" s="7"/>
      <c r="D111" s="7"/>
    </row>
    <row r="112" spans="1:4" x14ac:dyDescent="0.25">
      <c r="A112" s="7"/>
      <c r="B112" s="7"/>
      <c r="C112" s="7"/>
      <c r="D112" s="7"/>
    </row>
    <row r="113" spans="1:4" x14ac:dyDescent="0.25">
      <c r="A113" s="7"/>
      <c r="B113" s="7"/>
      <c r="C113" s="7"/>
      <c r="D113" s="7"/>
    </row>
    <row r="114" spans="1:4" x14ac:dyDescent="0.25">
      <c r="A114" s="7"/>
      <c r="B114" s="7"/>
      <c r="C114" s="7"/>
      <c r="D114" s="7"/>
    </row>
    <row r="115" spans="1:4" x14ac:dyDescent="0.25">
      <c r="A115" s="7"/>
      <c r="B115" s="7"/>
      <c r="C115" s="7"/>
      <c r="D115" s="7"/>
    </row>
    <row r="116" spans="1:4" x14ac:dyDescent="0.25">
      <c r="A116" s="7"/>
      <c r="B116" s="7"/>
      <c r="C116" s="7"/>
      <c r="D116" s="7"/>
    </row>
    <row r="117" spans="1:4" x14ac:dyDescent="0.25">
      <c r="A117" s="7"/>
      <c r="B117" s="7"/>
      <c r="C117" s="7"/>
      <c r="D117" s="7"/>
    </row>
    <row r="118" spans="1:4" x14ac:dyDescent="0.25">
      <c r="A118" s="7"/>
      <c r="B118" s="7"/>
      <c r="C118" s="7"/>
      <c r="D118" s="7"/>
    </row>
    <row r="119" spans="1:4" x14ac:dyDescent="0.25">
      <c r="A119" s="7"/>
      <c r="B119" s="7"/>
      <c r="C119" s="7"/>
      <c r="D119" s="7"/>
    </row>
    <row r="120" spans="1:4" x14ac:dyDescent="0.25">
      <c r="A120" s="7"/>
      <c r="B120" s="7"/>
      <c r="C120" s="7"/>
      <c r="D120" s="7"/>
    </row>
    <row r="121" spans="1:4" x14ac:dyDescent="0.25">
      <c r="A121" s="7"/>
      <c r="B121" s="7"/>
      <c r="C121" s="7"/>
      <c r="D121" s="7"/>
    </row>
    <row r="122" spans="1:4" x14ac:dyDescent="0.25">
      <c r="A122" s="7"/>
      <c r="B122" s="7"/>
      <c r="C122" s="7"/>
      <c r="D122" s="7"/>
    </row>
    <row r="123" spans="1:4" x14ac:dyDescent="0.25">
      <c r="A123" s="7"/>
      <c r="B123" s="7"/>
      <c r="C123" s="7"/>
      <c r="D123" s="7"/>
    </row>
    <row r="124" spans="1:4" x14ac:dyDescent="0.25">
      <c r="A124" s="7"/>
      <c r="B124" s="7"/>
      <c r="C124" s="7"/>
      <c r="D124" s="7"/>
    </row>
    <row r="125" spans="1:4" x14ac:dyDescent="0.25">
      <c r="A125" s="7"/>
      <c r="B125" s="7"/>
      <c r="C125" s="7"/>
      <c r="D125" s="7"/>
    </row>
    <row r="126" spans="1:4" x14ac:dyDescent="0.25">
      <c r="A126" s="7"/>
      <c r="B126" s="7"/>
      <c r="C126" s="7"/>
      <c r="D126" s="7"/>
    </row>
    <row r="127" spans="1:4" x14ac:dyDescent="0.25">
      <c r="A127" s="7"/>
      <c r="B127" s="7"/>
      <c r="C127" s="7"/>
      <c r="D127" s="7"/>
    </row>
    <row r="128" spans="1:4" x14ac:dyDescent="0.25">
      <c r="A128" s="7"/>
      <c r="B128" s="7"/>
      <c r="C128" s="7"/>
      <c r="D128" s="7"/>
    </row>
    <row r="129" spans="1:4" x14ac:dyDescent="0.25">
      <c r="A129" s="7"/>
      <c r="B129" s="7"/>
      <c r="C129" s="7"/>
      <c r="D129" s="7"/>
    </row>
    <row r="130" spans="1:4" x14ac:dyDescent="0.25">
      <c r="A130" s="7"/>
      <c r="B130" s="7"/>
      <c r="C130" s="7"/>
      <c r="D130" s="7"/>
    </row>
    <row r="131" spans="1:4" x14ac:dyDescent="0.25">
      <c r="A131" s="7"/>
      <c r="B131" s="7"/>
      <c r="C131" s="7"/>
      <c r="D131" s="7"/>
    </row>
    <row r="132" spans="1:4" x14ac:dyDescent="0.25">
      <c r="A132" s="7"/>
      <c r="B132" s="7"/>
      <c r="C132" s="7"/>
      <c r="D132" s="7"/>
    </row>
    <row r="133" spans="1:4" x14ac:dyDescent="0.25">
      <c r="A133" s="7"/>
      <c r="B133" s="7"/>
      <c r="C133" s="7"/>
      <c r="D133" s="7"/>
    </row>
    <row r="134" spans="1:4" x14ac:dyDescent="0.25">
      <c r="A134" s="7"/>
      <c r="B134" s="7"/>
      <c r="C134" s="7"/>
      <c r="D134" s="7"/>
    </row>
    <row r="135" spans="1:4" x14ac:dyDescent="0.25">
      <c r="A135" s="7"/>
      <c r="B135" s="7"/>
      <c r="C135" s="7"/>
      <c r="D135" s="7"/>
    </row>
    <row r="136" spans="1:4" x14ac:dyDescent="0.25">
      <c r="A136" s="7"/>
      <c r="B136" s="7"/>
      <c r="C136" s="7"/>
      <c r="D136" s="7"/>
    </row>
    <row r="137" spans="1:4" x14ac:dyDescent="0.25">
      <c r="A137" s="7"/>
      <c r="B137" s="7"/>
      <c r="C137" s="7"/>
      <c r="D137" s="7"/>
    </row>
    <row r="138" spans="1:4" x14ac:dyDescent="0.25">
      <c r="A138" s="7"/>
      <c r="B138" s="7"/>
      <c r="C138" s="7"/>
      <c r="D138" s="7"/>
    </row>
    <row r="139" spans="1:4" x14ac:dyDescent="0.25">
      <c r="A139" s="7"/>
      <c r="B139" s="7"/>
      <c r="C139" s="7"/>
      <c r="D139" s="7"/>
    </row>
    <row r="140" spans="1:4" x14ac:dyDescent="0.25">
      <c r="A140" s="7"/>
      <c r="B140" s="7"/>
      <c r="C140" s="7"/>
      <c r="D140" s="7"/>
    </row>
    <row r="141" spans="1:4" x14ac:dyDescent="0.25">
      <c r="A141" s="7"/>
      <c r="B141" s="7"/>
      <c r="C141" s="7"/>
      <c r="D141" s="7"/>
    </row>
    <row r="142" spans="1:4" x14ac:dyDescent="0.25">
      <c r="A142" s="7"/>
      <c r="B142" s="7"/>
      <c r="C142" s="7"/>
      <c r="D142" s="7"/>
    </row>
    <row r="143" spans="1:4" x14ac:dyDescent="0.25">
      <c r="A143" s="7"/>
      <c r="B143" s="7"/>
      <c r="C143" s="7"/>
      <c r="D143" s="7"/>
    </row>
    <row r="144" spans="1:4" x14ac:dyDescent="0.25">
      <c r="A144" s="7"/>
      <c r="B144" s="7"/>
      <c r="C144" s="7"/>
      <c r="D144" s="7"/>
    </row>
    <row r="145" spans="1:4" x14ac:dyDescent="0.25">
      <c r="A145" s="7"/>
      <c r="B145" s="7"/>
      <c r="C145" s="7"/>
      <c r="D145" s="7"/>
    </row>
    <row r="146" spans="1:4" x14ac:dyDescent="0.25">
      <c r="A146" s="7"/>
      <c r="B146" s="7"/>
      <c r="C146" s="7"/>
      <c r="D146" s="7"/>
    </row>
    <row r="147" spans="1:4" x14ac:dyDescent="0.25">
      <c r="A147" s="7"/>
      <c r="B147" s="7"/>
      <c r="C147" s="7"/>
      <c r="D147" s="7"/>
    </row>
    <row r="148" spans="1:4" x14ac:dyDescent="0.25">
      <c r="A148" s="7"/>
      <c r="B148" s="7"/>
      <c r="C148" s="7"/>
      <c r="D148" s="7"/>
    </row>
    <row r="149" spans="1:4" x14ac:dyDescent="0.25">
      <c r="A149" s="7"/>
      <c r="B149" s="7"/>
      <c r="C149" s="7"/>
      <c r="D149" s="7"/>
    </row>
    <row r="150" spans="1:4" x14ac:dyDescent="0.25">
      <c r="A150" s="7"/>
      <c r="B150" s="7"/>
      <c r="C150" s="7"/>
      <c r="D150" s="7"/>
    </row>
    <row r="151" spans="1:4" x14ac:dyDescent="0.25">
      <c r="A151" s="7"/>
      <c r="B151" s="7"/>
      <c r="C151" s="7"/>
      <c r="D151" s="7"/>
    </row>
    <row r="152" spans="1:4" x14ac:dyDescent="0.25">
      <c r="A152" s="7"/>
      <c r="B152" s="7"/>
      <c r="C152" s="7"/>
      <c r="D152" s="7"/>
    </row>
    <row r="153" spans="1:4" x14ac:dyDescent="0.25">
      <c r="A153" s="7"/>
      <c r="B153" s="7"/>
      <c r="C153" s="7"/>
      <c r="D153" s="7"/>
    </row>
    <row r="154" spans="1:4" x14ac:dyDescent="0.25">
      <c r="A154" s="7"/>
      <c r="B154" s="7"/>
      <c r="C154" s="7"/>
      <c r="D154" s="7"/>
    </row>
    <row r="155" spans="1:4" x14ac:dyDescent="0.25">
      <c r="A155" s="7"/>
      <c r="B155" s="7"/>
      <c r="C155" s="7"/>
      <c r="D155" s="7"/>
    </row>
    <row r="156" spans="1:4" x14ac:dyDescent="0.25">
      <c r="A156" s="7"/>
      <c r="B156" s="7"/>
      <c r="C156" s="7"/>
      <c r="D156" s="7"/>
    </row>
    <row r="157" spans="1:4" x14ac:dyDescent="0.25">
      <c r="A157" s="7"/>
      <c r="B157" s="7"/>
      <c r="C157" s="7"/>
      <c r="D157" s="7"/>
    </row>
    <row r="158" spans="1:4" x14ac:dyDescent="0.25">
      <c r="A158" s="7"/>
      <c r="B158" s="7"/>
      <c r="C158" s="7"/>
      <c r="D158" s="7"/>
    </row>
    <row r="159" spans="1:4" x14ac:dyDescent="0.25">
      <c r="A159" s="7"/>
      <c r="B159" s="7"/>
      <c r="C159" s="7"/>
      <c r="D159" s="7"/>
    </row>
    <row r="160" spans="1:4" x14ac:dyDescent="0.25">
      <c r="A160" s="7"/>
      <c r="B160" s="7"/>
      <c r="C160" s="7"/>
      <c r="D160" s="7"/>
    </row>
    <row r="161" spans="1:4" x14ac:dyDescent="0.25">
      <c r="A161" s="7"/>
      <c r="B161" s="7"/>
      <c r="C161" s="7"/>
      <c r="D161" s="7"/>
    </row>
    <row r="162" spans="1:4" x14ac:dyDescent="0.25">
      <c r="A162" s="7"/>
      <c r="B162" s="7"/>
      <c r="C162" s="7"/>
      <c r="D162" s="7"/>
    </row>
    <row r="163" spans="1:4" x14ac:dyDescent="0.25">
      <c r="A163" s="7"/>
      <c r="B163" s="7"/>
      <c r="C163" s="7"/>
      <c r="D163" s="7"/>
    </row>
    <row r="164" spans="1:4" x14ac:dyDescent="0.25">
      <c r="A164" s="7"/>
      <c r="B164" s="7"/>
      <c r="C164" s="7"/>
      <c r="D164" s="7"/>
    </row>
    <row r="165" spans="1:4" x14ac:dyDescent="0.25">
      <c r="A165" s="7"/>
      <c r="B165" s="7"/>
      <c r="C165" s="7"/>
      <c r="D165" s="7"/>
    </row>
    <row r="166" spans="1:4" x14ac:dyDescent="0.25">
      <c r="A166" s="7"/>
      <c r="B166" s="7"/>
      <c r="C166" s="7"/>
      <c r="D166" s="7"/>
    </row>
    <row r="167" spans="1:4" x14ac:dyDescent="0.25">
      <c r="A167" s="7"/>
      <c r="B167" s="7"/>
      <c r="C167" s="7"/>
      <c r="D167" s="7"/>
    </row>
    <row r="168" spans="1:4" x14ac:dyDescent="0.25">
      <c r="A168" s="7"/>
      <c r="B168" s="7"/>
      <c r="C168" s="7"/>
      <c r="D168" s="7"/>
    </row>
    <row r="169" spans="1:4" x14ac:dyDescent="0.25">
      <c r="A169" s="7"/>
      <c r="B169" s="7"/>
      <c r="C169" s="7"/>
      <c r="D169" s="7"/>
    </row>
    <row r="170" spans="1:4" x14ac:dyDescent="0.25">
      <c r="A170" s="7"/>
      <c r="B170" s="7"/>
      <c r="C170" s="7"/>
      <c r="D170" s="7"/>
    </row>
    <row r="171" spans="1:4" x14ac:dyDescent="0.25">
      <c r="A171" s="7"/>
      <c r="B171" s="7"/>
      <c r="C171" s="7"/>
      <c r="D171" s="7"/>
    </row>
    <row r="172" spans="1:4" x14ac:dyDescent="0.25">
      <c r="A172" s="7"/>
      <c r="B172" s="7"/>
      <c r="C172" s="7"/>
      <c r="D172" s="7"/>
    </row>
    <row r="173" spans="1:4" x14ac:dyDescent="0.25">
      <c r="A173" s="7"/>
      <c r="B173" s="7"/>
      <c r="C173" s="7"/>
      <c r="D173" s="7"/>
    </row>
    <row r="174" spans="1:4" x14ac:dyDescent="0.25">
      <c r="A174" s="7"/>
      <c r="B174" s="7"/>
      <c r="C174" s="7"/>
      <c r="D174" s="7"/>
    </row>
    <row r="175" spans="1:4" x14ac:dyDescent="0.25">
      <c r="A175" s="7"/>
      <c r="B175" s="7"/>
      <c r="C175" s="7"/>
      <c r="D175" s="7"/>
    </row>
    <row r="176" spans="1:4" x14ac:dyDescent="0.25">
      <c r="A176" s="7"/>
      <c r="B176" s="7"/>
      <c r="C176" s="7"/>
      <c r="D176" s="7"/>
    </row>
    <row r="177" spans="1:4" x14ac:dyDescent="0.25">
      <c r="A177" s="7"/>
      <c r="B177" s="7"/>
      <c r="C177" s="7"/>
      <c r="D177" s="7"/>
    </row>
    <row r="178" spans="1:4" x14ac:dyDescent="0.25">
      <c r="A178" s="7"/>
      <c r="B178" s="7"/>
      <c r="C178" s="7"/>
      <c r="D178" s="7"/>
    </row>
    <row r="179" spans="1:4" x14ac:dyDescent="0.25">
      <c r="A179" s="7"/>
      <c r="B179" s="7"/>
      <c r="C179" s="7"/>
      <c r="D179" s="7"/>
    </row>
    <row r="180" spans="1:4" x14ac:dyDescent="0.25">
      <c r="A180" s="7"/>
      <c r="B180" s="7"/>
      <c r="C180" s="7"/>
      <c r="D180" s="7"/>
    </row>
    <row r="181" spans="1:4" x14ac:dyDescent="0.25">
      <c r="A181" s="7"/>
      <c r="B181" s="7"/>
      <c r="C181" s="7"/>
      <c r="D181" s="7"/>
    </row>
    <row r="182" spans="1:4" x14ac:dyDescent="0.25">
      <c r="A182" s="7"/>
      <c r="B182" s="7"/>
      <c r="C182" s="7"/>
      <c r="D182" s="7"/>
    </row>
    <row r="183" spans="1:4" x14ac:dyDescent="0.25">
      <c r="A183" s="7"/>
      <c r="B183" s="7"/>
      <c r="C183" s="7"/>
      <c r="D183" s="7"/>
    </row>
    <row r="184" spans="1:4" x14ac:dyDescent="0.25">
      <c r="A184" s="7"/>
      <c r="B184" s="7"/>
      <c r="C184" s="7"/>
      <c r="D184" s="7"/>
    </row>
    <row r="185" spans="1:4" x14ac:dyDescent="0.25">
      <c r="A185" s="7"/>
      <c r="B185" s="7"/>
      <c r="C185" s="7"/>
      <c r="D185" s="7"/>
    </row>
    <row r="186" spans="1:4" x14ac:dyDescent="0.25">
      <c r="A186" s="7"/>
      <c r="B186" s="7"/>
      <c r="C186" s="7"/>
      <c r="D186" s="7"/>
    </row>
    <row r="187" spans="1:4" x14ac:dyDescent="0.25">
      <c r="A187" s="7"/>
      <c r="B187" s="7"/>
      <c r="C187" s="7"/>
      <c r="D187" s="7"/>
    </row>
    <row r="188" spans="1:4" x14ac:dyDescent="0.25">
      <c r="A188" s="7"/>
      <c r="B188" s="7"/>
      <c r="C188" s="7"/>
      <c r="D188" s="7"/>
    </row>
    <row r="189" spans="1:4" x14ac:dyDescent="0.25">
      <c r="A189" s="7"/>
      <c r="B189" s="7"/>
      <c r="C189" s="7"/>
      <c r="D189" s="7"/>
    </row>
    <row r="190" spans="1:4" x14ac:dyDescent="0.25">
      <c r="A190" s="7"/>
      <c r="B190" s="7"/>
      <c r="C190" s="7"/>
      <c r="D190" s="7"/>
    </row>
    <row r="191" spans="1:4" x14ac:dyDescent="0.25">
      <c r="A191" s="7"/>
      <c r="B191" s="7"/>
      <c r="C191" s="7"/>
      <c r="D191" s="7"/>
    </row>
    <row r="192" spans="1:4" x14ac:dyDescent="0.25">
      <c r="A192" s="7"/>
      <c r="B192" s="7"/>
      <c r="C192" s="7"/>
      <c r="D192" s="7"/>
    </row>
    <row r="193" spans="1:4" x14ac:dyDescent="0.25">
      <c r="A193" s="7"/>
      <c r="B193" s="7"/>
      <c r="C193" s="7"/>
      <c r="D193" s="7"/>
    </row>
    <row r="194" spans="1:4" x14ac:dyDescent="0.25">
      <c r="A194" s="7"/>
      <c r="B194" s="7"/>
      <c r="C194" s="7"/>
      <c r="D194" s="7"/>
    </row>
    <row r="195" spans="1:4" x14ac:dyDescent="0.25">
      <c r="A195" s="7"/>
      <c r="B195" s="7"/>
      <c r="C195" s="7"/>
      <c r="D195" s="7"/>
    </row>
    <row r="196" spans="1:4" x14ac:dyDescent="0.25">
      <c r="A196" s="7"/>
      <c r="B196" s="7"/>
      <c r="C196" s="7"/>
      <c r="D196" s="7"/>
    </row>
    <row r="197" spans="1:4" x14ac:dyDescent="0.25">
      <c r="A197" s="7"/>
      <c r="B197" s="7"/>
      <c r="C197" s="7"/>
      <c r="D197" s="7"/>
    </row>
    <row r="198" spans="1:4" x14ac:dyDescent="0.25">
      <c r="A198" s="7"/>
      <c r="B198" s="7"/>
      <c r="C198" s="7"/>
      <c r="D198" s="7"/>
    </row>
    <row r="199" spans="1:4" x14ac:dyDescent="0.25">
      <c r="A199" s="7"/>
      <c r="B199" s="7"/>
      <c r="C199" s="7"/>
      <c r="D199" s="7"/>
    </row>
    <row r="200" spans="1:4" x14ac:dyDescent="0.25">
      <c r="A200" s="7"/>
      <c r="B200" s="7"/>
      <c r="C200" s="7"/>
      <c r="D200" s="7"/>
    </row>
    <row r="201" spans="1:4" x14ac:dyDescent="0.25">
      <c r="A201" s="7"/>
      <c r="B201" s="7"/>
      <c r="C201" s="7"/>
      <c r="D201" s="7"/>
    </row>
    <row r="202" spans="1:4" x14ac:dyDescent="0.25">
      <c r="A202" s="7"/>
      <c r="B202" s="7"/>
      <c r="C202" s="7"/>
      <c r="D202" s="7"/>
    </row>
    <row r="203" spans="1:4" x14ac:dyDescent="0.25">
      <c r="A203" s="7"/>
      <c r="B203" s="7"/>
      <c r="C203" s="7"/>
      <c r="D203" s="7"/>
    </row>
    <row r="204" spans="1:4" x14ac:dyDescent="0.25">
      <c r="A204" s="7"/>
      <c r="B204" s="7"/>
      <c r="C204" s="7"/>
      <c r="D204" s="7"/>
    </row>
    <row r="205" spans="1:4" x14ac:dyDescent="0.25">
      <c r="A205" s="7"/>
      <c r="B205" s="7"/>
      <c r="C205" s="7"/>
      <c r="D205" s="7"/>
    </row>
    <row r="206" spans="1:4" x14ac:dyDescent="0.25">
      <c r="A206" s="7"/>
      <c r="B206" s="7"/>
      <c r="C206" s="7"/>
      <c r="D206" s="7"/>
    </row>
    <row r="207" spans="1:4" x14ac:dyDescent="0.25">
      <c r="A207" s="7"/>
      <c r="B207" s="7"/>
      <c r="C207" s="7"/>
      <c r="D207" s="7"/>
    </row>
    <row r="208" spans="1:4" x14ac:dyDescent="0.25">
      <c r="A208" s="7"/>
      <c r="B208" s="7"/>
      <c r="C208" s="7"/>
      <c r="D208" s="7"/>
    </row>
    <row r="209" spans="1:4" x14ac:dyDescent="0.25">
      <c r="A209" s="7"/>
      <c r="B209" s="7"/>
      <c r="C209" s="7"/>
      <c r="D209" s="7"/>
    </row>
    <row r="210" spans="1:4" x14ac:dyDescent="0.25">
      <c r="A210" s="7"/>
      <c r="B210" s="7"/>
      <c r="C210" s="7"/>
      <c r="D210" s="7"/>
    </row>
    <row r="211" spans="1:4" x14ac:dyDescent="0.25">
      <c r="A211" s="7"/>
      <c r="B211" s="7"/>
      <c r="C211" s="7"/>
      <c r="D211" s="7"/>
    </row>
    <row r="212" spans="1:4" x14ac:dyDescent="0.25">
      <c r="A212" s="7"/>
      <c r="B212" s="7"/>
      <c r="C212" s="7"/>
      <c r="D212" s="7"/>
    </row>
    <row r="213" spans="1:4" x14ac:dyDescent="0.25">
      <c r="A213" s="7"/>
      <c r="B213" s="7"/>
      <c r="C213" s="7"/>
      <c r="D213" s="7"/>
    </row>
    <row r="214" spans="1:4" x14ac:dyDescent="0.25">
      <c r="A214" s="7"/>
      <c r="B214" s="7"/>
      <c r="C214" s="7"/>
      <c r="D214" s="7"/>
    </row>
    <row r="215" spans="1:4" x14ac:dyDescent="0.25">
      <c r="A215" s="7"/>
      <c r="B215" s="7"/>
      <c r="C215" s="7"/>
      <c r="D215" s="7"/>
    </row>
    <row r="216" spans="1:4" x14ac:dyDescent="0.25">
      <c r="A216" s="7"/>
      <c r="B216" s="7"/>
      <c r="C216" s="7"/>
      <c r="D216" s="7"/>
    </row>
    <row r="217" spans="1:4" x14ac:dyDescent="0.25">
      <c r="A217" s="7"/>
      <c r="B217" s="7"/>
      <c r="C217" s="7"/>
      <c r="D217" s="7"/>
    </row>
    <row r="218" spans="1:4" x14ac:dyDescent="0.25">
      <c r="A218" s="7"/>
      <c r="B218" s="7"/>
      <c r="C218" s="7"/>
      <c r="D218" s="7"/>
    </row>
    <row r="219" spans="1:4" x14ac:dyDescent="0.25">
      <c r="A219" s="7"/>
      <c r="B219" s="7"/>
      <c r="C219" s="7"/>
      <c r="D219" s="7"/>
    </row>
    <row r="220" spans="1:4" x14ac:dyDescent="0.25">
      <c r="A220" s="7"/>
      <c r="B220" s="7"/>
      <c r="C220" s="7"/>
      <c r="D220" s="7"/>
    </row>
    <row r="221" spans="1:4" x14ac:dyDescent="0.25">
      <c r="A221" s="7"/>
      <c r="B221" s="7"/>
      <c r="C221" s="7"/>
      <c r="D221" s="7"/>
    </row>
    <row r="222" spans="1:4" x14ac:dyDescent="0.25">
      <c r="A222" s="7"/>
      <c r="B222" s="7"/>
      <c r="C222" s="7"/>
      <c r="D222" s="7"/>
    </row>
    <row r="223" spans="1:4" x14ac:dyDescent="0.25">
      <c r="A223" s="7"/>
      <c r="B223" s="7"/>
      <c r="C223" s="7"/>
      <c r="D223" s="7"/>
    </row>
    <row r="224" spans="1:4" x14ac:dyDescent="0.25">
      <c r="A224" s="7"/>
      <c r="B224" s="7"/>
      <c r="C224" s="7"/>
      <c r="D224" s="7"/>
    </row>
    <row r="225" spans="1:4" x14ac:dyDescent="0.25">
      <c r="A225" s="7"/>
      <c r="B225" s="7"/>
      <c r="C225" s="7"/>
      <c r="D225" s="7"/>
    </row>
    <row r="226" spans="1:4" x14ac:dyDescent="0.25">
      <c r="A226" s="7"/>
      <c r="B226" s="7"/>
      <c r="C226" s="7"/>
      <c r="D226" s="7"/>
    </row>
    <row r="227" spans="1:4" x14ac:dyDescent="0.25">
      <c r="A227" s="7"/>
      <c r="B227" s="7"/>
      <c r="C227" s="7"/>
      <c r="D227" s="7"/>
    </row>
    <row r="228" spans="1:4" x14ac:dyDescent="0.25">
      <c r="A228" s="7"/>
      <c r="B228" s="7"/>
      <c r="C228" s="7"/>
      <c r="D228" s="7"/>
    </row>
    <row r="229" spans="1:4" x14ac:dyDescent="0.25">
      <c r="A229" s="7"/>
      <c r="B229" s="7"/>
      <c r="C229" s="7"/>
      <c r="D229" s="7"/>
    </row>
    <row r="230" spans="1:4" x14ac:dyDescent="0.25">
      <c r="A230" s="7"/>
      <c r="B230" s="7"/>
      <c r="C230" s="7"/>
      <c r="D230" s="7"/>
    </row>
    <row r="231" spans="1:4" x14ac:dyDescent="0.25">
      <c r="A231" s="7"/>
      <c r="B231" s="7"/>
      <c r="C231" s="7"/>
      <c r="D231" s="7"/>
    </row>
    <row r="232" spans="1:4" x14ac:dyDescent="0.25">
      <c r="A232" s="7"/>
      <c r="B232" s="7"/>
      <c r="C232" s="7"/>
      <c r="D232" s="7"/>
    </row>
    <row r="233" spans="1:4" x14ac:dyDescent="0.25">
      <c r="A233" s="7"/>
      <c r="B233" s="7"/>
      <c r="C233" s="7"/>
      <c r="D233" s="7"/>
    </row>
    <row r="234" spans="1:4" x14ac:dyDescent="0.25">
      <c r="A234" s="7"/>
      <c r="B234" s="7"/>
      <c r="C234" s="7"/>
      <c r="D234" s="7"/>
    </row>
    <row r="235" spans="1:4" x14ac:dyDescent="0.25">
      <c r="A235" s="7"/>
      <c r="B235" s="7"/>
      <c r="C235" s="7"/>
      <c r="D235" s="7"/>
    </row>
    <row r="236" spans="1:4" x14ac:dyDescent="0.25">
      <c r="A236" s="7"/>
      <c r="B236" s="7"/>
      <c r="C236" s="7"/>
      <c r="D236" s="7"/>
    </row>
    <row r="237" spans="1:4" x14ac:dyDescent="0.25">
      <c r="A237" s="7"/>
      <c r="B237" s="7"/>
      <c r="C237" s="7"/>
      <c r="D237" s="7"/>
    </row>
    <row r="238" spans="1:4" x14ac:dyDescent="0.25">
      <c r="A238" s="7"/>
      <c r="B238" s="7"/>
      <c r="C238" s="7"/>
      <c r="D238" s="7"/>
    </row>
    <row r="239" spans="1:4" x14ac:dyDescent="0.25">
      <c r="A239" s="7"/>
      <c r="B239" s="7"/>
      <c r="C239" s="7"/>
      <c r="D239" s="7"/>
    </row>
    <row r="240" spans="1:4" x14ac:dyDescent="0.25">
      <c r="A240" s="7"/>
      <c r="B240" s="7"/>
      <c r="C240" s="7"/>
      <c r="D240" s="7"/>
    </row>
    <row r="241" spans="1:4" x14ac:dyDescent="0.25">
      <c r="A241" s="7"/>
      <c r="B241" s="7"/>
      <c r="C241" s="7"/>
      <c r="D241" s="7"/>
    </row>
    <row r="242" spans="1:4" x14ac:dyDescent="0.25">
      <c r="A242" s="7"/>
      <c r="B242" s="7"/>
      <c r="C242" s="7"/>
      <c r="D242" s="7"/>
    </row>
    <row r="243" spans="1:4" x14ac:dyDescent="0.25">
      <c r="A243" s="7"/>
      <c r="B243" s="7"/>
      <c r="C243" s="7"/>
      <c r="D243" s="7"/>
    </row>
    <row r="244" spans="1:4" x14ac:dyDescent="0.25">
      <c r="A244" s="7"/>
      <c r="B244" s="7"/>
      <c r="C244" s="7"/>
      <c r="D244" s="7"/>
    </row>
    <row r="245" spans="1:4" x14ac:dyDescent="0.25">
      <c r="A245" s="7"/>
      <c r="B245" s="7"/>
      <c r="C245" s="7"/>
      <c r="D245" s="7"/>
    </row>
    <row r="246" spans="1:4" x14ac:dyDescent="0.25">
      <c r="A246" s="7"/>
      <c r="B246" s="7"/>
      <c r="C246" s="7"/>
      <c r="D246" s="7"/>
    </row>
    <row r="247" spans="1:4" x14ac:dyDescent="0.25">
      <c r="A247" s="7"/>
      <c r="B247" s="7"/>
      <c r="C247" s="7"/>
      <c r="D247" s="7"/>
    </row>
    <row r="248" spans="1:4" x14ac:dyDescent="0.25">
      <c r="A248" s="7"/>
      <c r="B248" s="7"/>
      <c r="C248" s="7"/>
      <c r="D248" s="7"/>
    </row>
    <row r="249" spans="1:4" x14ac:dyDescent="0.25">
      <c r="A249" s="7"/>
      <c r="B249" s="7"/>
      <c r="C249" s="7"/>
      <c r="D249" s="7"/>
    </row>
    <row r="250" spans="1:4" x14ac:dyDescent="0.25">
      <c r="A250" s="7"/>
      <c r="B250" s="7"/>
      <c r="C250" s="7"/>
      <c r="D250" s="7"/>
    </row>
    <row r="251" spans="1:4" x14ac:dyDescent="0.25">
      <c r="A251" s="7"/>
      <c r="B251" s="7"/>
      <c r="C251" s="7"/>
      <c r="D251" s="7"/>
    </row>
    <row r="252" spans="1:4" x14ac:dyDescent="0.25">
      <c r="A252" s="7"/>
      <c r="B252" s="7"/>
      <c r="C252" s="7"/>
      <c r="D252" s="7"/>
    </row>
    <row r="253" spans="1:4" x14ac:dyDescent="0.25">
      <c r="A253" s="7"/>
      <c r="B253" s="7"/>
      <c r="C253" s="7"/>
      <c r="D253" s="7"/>
    </row>
    <row r="254" spans="1:4" x14ac:dyDescent="0.25">
      <c r="A254" s="7"/>
      <c r="B254" s="7"/>
      <c r="C254" s="7"/>
      <c r="D254" s="7"/>
    </row>
    <row r="255" spans="1:4" x14ac:dyDescent="0.25">
      <c r="A255" s="7"/>
      <c r="B255" s="7"/>
      <c r="C255" s="7"/>
      <c r="D255" s="7"/>
    </row>
    <row r="256" spans="1:4" x14ac:dyDescent="0.25">
      <c r="A256" s="7"/>
      <c r="B256" s="7"/>
      <c r="C256" s="7"/>
      <c r="D256" s="7"/>
    </row>
    <row r="257" spans="1:4" x14ac:dyDescent="0.25">
      <c r="A257" s="7"/>
      <c r="B257" s="7"/>
      <c r="C257" s="7"/>
      <c r="D257" s="7"/>
    </row>
    <row r="258" spans="1:4" x14ac:dyDescent="0.25">
      <c r="A258" s="7"/>
      <c r="B258" s="7"/>
      <c r="C258" s="7"/>
      <c r="D258" s="7"/>
    </row>
    <row r="259" spans="1:4" x14ac:dyDescent="0.25">
      <c r="A259" s="7"/>
      <c r="B259" s="7"/>
      <c r="C259" s="7"/>
      <c r="D259" s="7"/>
    </row>
    <row r="260" spans="1:4" x14ac:dyDescent="0.25">
      <c r="A260" s="7"/>
      <c r="B260" s="7"/>
      <c r="C260" s="7"/>
      <c r="D260" s="7"/>
    </row>
    <row r="261" spans="1:4" x14ac:dyDescent="0.25">
      <c r="A261" s="7"/>
      <c r="B261" s="7"/>
      <c r="C261" s="7"/>
      <c r="D261" s="7"/>
    </row>
    <row r="262" spans="1:4" x14ac:dyDescent="0.25">
      <c r="A262" s="7"/>
      <c r="B262" s="7"/>
      <c r="C262" s="7"/>
      <c r="D262" s="7"/>
    </row>
    <row r="263" spans="1:4" x14ac:dyDescent="0.25">
      <c r="A263" s="7"/>
      <c r="B263" s="7"/>
      <c r="C263" s="7"/>
      <c r="D263" s="7"/>
    </row>
    <row r="264" spans="1:4" x14ac:dyDescent="0.25">
      <c r="A264" s="7"/>
      <c r="B264" s="7"/>
      <c r="C264" s="7"/>
      <c r="D264" s="7"/>
    </row>
    <row r="265" spans="1:4" x14ac:dyDescent="0.25">
      <c r="A265" s="7"/>
      <c r="B265" s="7"/>
      <c r="C265" s="7"/>
      <c r="D265" s="7"/>
    </row>
    <row r="266" spans="1:4" x14ac:dyDescent="0.25">
      <c r="A266" s="7"/>
      <c r="B266" s="7"/>
      <c r="C266" s="7"/>
      <c r="D266" s="7"/>
    </row>
    <row r="267" spans="1:4" x14ac:dyDescent="0.25">
      <c r="A267" s="7"/>
      <c r="B267" s="7"/>
      <c r="C267" s="7"/>
      <c r="D267" s="7"/>
    </row>
    <row r="268" spans="1:4" x14ac:dyDescent="0.25">
      <c r="A268" s="7"/>
      <c r="B268" s="7"/>
      <c r="C268" s="7"/>
      <c r="D268" s="7"/>
    </row>
    <row r="269" spans="1:4" x14ac:dyDescent="0.25">
      <c r="A269" s="7"/>
      <c r="B269" s="7"/>
      <c r="C269" s="7"/>
      <c r="D269" s="7"/>
    </row>
    <row r="270" spans="1:4" x14ac:dyDescent="0.25">
      <c r="A270" s="7"/>
      <c r="B270" s="7"/>
      <c r="C270" s="7"/>
      <c r="D270" s="7"/>
    </row>
    <row r="271" spans="1:4" x14ac:dyDescent="0.25">
      <c r="A271" s="7"/>
      <c r="B271" s="7"/>
      <c r="C271" s="7"/>
      <c r="D271" s="7"/>
    </row>
    <row r="272" spans="1:4" x14ac:dyDescent="0.25">
      <c r="A272" s="7"/>
      <c r="B272" s="7"/>
      <c r="C272" s="7"/>
      <c r="D272" s="7"/>
    </row>
    <row r="273" spans="1:4" x14ac:dyDescent="0.25">
      <c r="A273" s="7"/>
      <c r="B273" s="7"/>
      <c r="C273" s="7"/>
      <c r="D273" s="7"/>
    </row>
    <row r="274" spans="1:4" x14ac:dyDescent="0.25">
      <c r="A274" s="7"/>
      <c r="B274" s="7"/>
      <c r="C274" s="7"/>
      <c r="D274" s="7"/>
    </row>
    <row r="275" spans="1:4" x14ac:dyDescent="0.25">
      <c r="A275" s="7"/>
      <c r="B275" s="7"/>
      <c r="C275" s="7"/>
      <c r="D275" s="7"/>
    </row>
    <row r="276" spans="1:4" x14ac:dyDescent="0.25">
      <c r="A276" s="7"/>
      <c r="B276" s="7"/>
      <c r="C276" s="7"/>
      <c r="D276" s="7"/>
    </row>
    <row r="277" spans="1:4" x14ac:dyDescent="0.25">
      <c r="A277" s="7"/>
      <c r="B277" s="7"/>
      <c r="C277" s="7"/>
      <c r="D277" s="7"/>
    </row>
    <row r="278" spans="1:4" x14ac:dyDescent="0.25">
      <c r="A278" s="7"/>
      <c r="B278" s="7"/>
      <c r="C278" s="7"/>
      <c r="D278" s="7"/>
    </row>
    <row r="279" spans="1:4" x14ac:dyDescent="0.25">
      <c r="A279" s="7"/>
      <c r="B279" s="7"/>
      <c r="C279" s="7"/>
      <c r="D279" s="7"/>
    </row>
    <row r="280" spans="1:4" x14ac:dyDescent="0.25">
      <c r="A280" s="7"/>
      <c r="B280" s="7"/>
      <c r="C280" s="7"/>
      <c r="D280" s="7"/>
    </row>
    <row r="281" spans="1:4" x14ac:dyDescent="0.25">
      <c r="A281" s="7"/>
      <c r="B281" s="7"/>
      <c r="C281" s="7"/>
      <c r="D281" s="7"/>
    </row>
    <row r="282" spans="1:4" x14ac:dyDescent="0.25">
      <c r="A282" s="7"/>
      <c r="B282" s="7"/>
      <c r="C282" s="7"/>
      <c r="D282" s="7"/>
    </row>
    <row r="283" spans="1:4" x14ac:dyDescent="0.25">
      <c r="A283" s="7"/>
      <c r="B283" s="7"/>
      <c r="C283" s="7"/>
      <c r="D283" s="7"/>
    </row>
    <row r="284" spans="1:4" x14ac:dyDescent="0.25">
      <c r="A284" s="7"/>
      <c r="B284" s="7"/>
      <c r="C284" s="7"/>
      <c r="D284" s="7"/>
    </row>
    <row r="285" spans="1:4" x14ac:dyDescent="0.25">
      <c r="A285" s="7"/>
      <c r="B285" s="7"/>
      <c r="C285" s="7"/>
      <c r="D285" s="7"/>
    </row>
    <row r="286" spans="1:4" x14ac:dyDescent="0.25">
      <c r="A286" s="7"/>
      <c r="B286" s="7"/>
      <c r="C286" s="7"/>
      <c r="D286" s="7"/>
    </row>
    <row r="287" spans="1:4" x14ac:dyDescent="0.25">
      <c r="A287" s="7"/>
      <c r="B287" s="7"/>
      <c r="C287" s="7"/>
      <c r="D287" s="7"/>
    </row>
    <row r="288" spans="1:4" x14ac:dyDescent="0.25">
      <c r="A288" s="7"/>
      <c r="B288" s="7"/>
      <c r="C288" s="7"/>
      <c r="D288" s="7"/>
    </row>
    <row r="289" spans="1:4" x14ac:dyDescent="0.25">
      <c r="A289" s="7"/>
      <c r="B289" s="7"/>
      <c r="C289" s="7"/>
      <c r="D289" s="7"/>
    </row>
    <row r="290" spans="1:4" x14ac:dyDescent="0.25">
      <c r="A290" s="7"/>
      <c r="B290" s="7"/>
      <c r="C290" s="7"/>
      <c r="D290" s="7"/>
    </row>
    <row r="291" spans="1:4" x14ac:dyDescent="0.25">
      <c r="A291" s="7"/>
      <c r="B291" s="7"/>
      <c r="C291" s="7"/>
      <c r="D291" s="7"/>
    </row>
    <row r="292" spans="1:4" x14ac:dyDescent="0.25">
      <c r="A292" s="7"/>
      <c r="B292" s="7"/>
      <c r="C292" s="7"/>
      <c r="D292" s="7"/>
    </row>
    <row r="293" spans="1:4" x14ac:dyDescent="0.25">
      <c r="A293" s="7"/>
      <c r="B293" s="7"/>
      <c r="C293" s="7"/>
      <c r="D293" s="7"/>
    </row>
    <row r="294" spans="1:4" x14ac:dyDescent="0.25">
      <c r="A294" s="7"/>
      <c r="B294" s="7"/>
      <c r="C294" s="7"/>
      <c r="D294" s="7"/>
    </row>
    <row r="295" spans="1:4" x14ac:dyDescent="0.25">
      <c r="A295" s="7"/>
      <c r="B295" s="7"/>
      <c r="C295" s="7"/>
      <c r="D295" s="7"/>
    </row>
    <row r="296" spans="1:4" x14ac:dyDescent="0.25">
      <c r="A296" s="7"/>
      <c r="B296" s="7"/>
      <c r="C296" s="7"/>
      <c r="D296" s="7"/>
    </row>
    <row r="297" spans="1:4" x14ac:dyDescent="0.25">
      <c r="A297" s="7"/>
      <c r="B297" s="7"/>
      <c r="C297" s="7"/>
      <c r="D297" s="7"/>
    </row>
    <row r="298" spans="1:4" x14ac:dyDescent="0.25">
      <c r="A298" s="7"/>
      <c r="B298" s="7"/>
      <c r="C298" s="7"/>
      <c r="D298" s="7"/>
    </row>
    <row r="299" spans="1:4" x14ac:dyDescent="0.25">
      <c r="A299" s="7"/>
      <c r="B299" s="7"/>
      <c r="C299" s="7"/>
      <c r="D299" s="7"/>
    </row>
    <row r="300" spans="1:4" x14ac:dyDescent="0.25">
      <c r="A300" s="7"/>
      <c r="B300" s="7"/>
      <c r="C300" s="7"/>
      <c r="D300" s="7"/>
    </row>
  </sheetData>
  <mergeCells count="4">
    <mergeCell ref="A1:D1"/>
    <mergeCell ref="A2:D2"/>
    <mergeCell ref="A4:D4"/>
    <mergeCell ref="A13:D1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1" r:id="rId3" name="ClearAccountData">
          <controlPr defaultSize="0" autoLine="0" r:id="rId4">
            <anchor>
              <from>
                <xdr:col>3</xdr:col>
                <xdr:colOff>1057275</xdr:colOff>
                <xdr:row>1</xdr:row>
                <xdr:rowOff>0</xdr:rowOff>
              </from>
              <to>
                <xdr:col>4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9701" r:id="rId3" name="ClearAccountData"/>
      </mc:Fallback>
    </mc:AlternateContent>
    <mc:AlternateContent xmlns:mc="http://schemas.openxmlformats.org/markup-compatibility/2006">
      <mc:Choice Requires="x14">
        <control shapeId="29698" r:id="rId5" name="CancelAccountUpdates">
          <controlPr defaultSize="0" autoLine="0" r:id="rId6">
            <anchor>
              <from>
                <xdr:col>0</xdr:col>
                <xdr:colOff>1714500</xdr:colOff>
                <xdr:row>1</xdr:row>
                <xdr:rowOff>0</xdr:rowOff>
              </from>
              <to>
                <xdr:col>1</xdr:col>
                <xdr:colOff>904875</xdr:colOff>
                <xdr:row>2</xdr:row>
                <xdr:rowOff>0</xdr:rowOff>
              </to>
            </anchor>
          </controlPr>
        </control>
      </mc:Choice>
      <mc:Fallback>
        <control shapeId="29698" r:id="rId5" name="CancelAccountUpdates"/>
      </mc:Fallback>
    </mc:AlternateContent>
    <mc:AlternateContent xmlns:mc="http://schemas.openxmlformats.org/markup-compatibility/2006">
      <mc:Choice Requires="x14">
        <control shapeId="29697" r:id="rId7" name="RequestAccountUpdates">
          <controlPr defaultSize="0" autoLine="0" r:id="rId8">
            <anchor>
              <from>
                <xdr:col>0</xdr:col>
                <xdr:colOff>9525</xdr:colOff>
                <xdr:row>1</xdr:row>
                <xdr:rowOff>0</xdr:rowOff>
              </from>
              <to>
                <xdr:col>0</xdr:col>
                <xdr:colOff>1714500</xdr:colOff>
                <xdr:row>2</xdr:row>
                <xdr:rowOff>0</xdr:rowOff>
              </to>
            </anchor>
          </controlPr>
        </control>
      </mc:Choice>
      <mc:Fallback>
        <control shapeId="29697" r:id="rId7" name="RequestAccountUpdate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8"/>
  <sheetViews>
    <sheetView zoomScale="75" zoomScaleNormal="75" workbookViewId="0">
      <selection activeCell="N13" sqref="N13"/>
    </sheetView>
  </sheetViews>
  <sheetFormatPr defaultRowHeight="15" x14ac:dyDescent="0.25"/>
  <sheetData>
    <row r="1" spans="1:18" x14ac:dyDescent="0.25">
      <c r="A1" s="35" t="s">
        <v>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</row>
    <row r="2" spans="1:18" ht="30" customHeight="1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</row>
    <row r="4" spans="1:18" x14ac:dyDescent="0.25">
      <c r="A4" s="37" t="s">
        <v>1</v>
      </c>
      <c r="B4" s="37"/>
      <c r="C4" s="37" t="s">
        <v>2</v>
      </c>
      <c r="D4" s="37"/>
      <c r="E4" s="37" t="s">
        <v>3</v>
      </c>
      <c r="F4" s="37"/>
    </row>
    <row r="5" spans="1:18" x14ac:dyDescent="0.25">
      <c r="A5" s="38"/>
      <c r="B5" s="38"/>
      <c r="C5" s="38">
        <v>7496</v>
      </c>
      <c r="D5" s="38"/>
      <c r="E5" s="38">
        <v>1</v>
      </c>
      <c r="F5" s="38"/>
    </row>
    <row r="7" spans="1:18" x14ac:dyDescent="0.25">
      <c r="A7" s="37" t="s">
        <v>4</v>
      </c>
      <c r="B7" s="37"/>
      <c r="D7" s="37" t="s">
        <v>5</v>
      </c>
      <c r="E7" s="37"/>
    </row>
    <row r="8" spans="1:18" x14ac:dyDescent="0.25">
      <c r="A8" s="38">
        <v>5</v>
      </c>
      <c r="B8" s="38"/>
      <c r="D8" s="39">
        <v>41597.670810185184</v>
      </c>
      <c r="E8" s="40"/>
    </row>
  </sheetData>
  <mergeCells count="12">
    <mergeCell ref="A8:B8"/>
    <mergeCell ref="D8:E8"/>
    <mergeCell ref="A5:B5"/>
    <mergeCell ref="C5:D5"/>
    <mergeCell ref="E5:F5"/>
    <mergeCell ref="A7:B7"/>
    <mergeCell ref="D7:E7"/>
    <mergeCell ref="A1:R1"/>
    <mergeCell ref="A2:R2"/>
    <mergeCell ref="A4:B4"/>
    <mergeCell ref="C4:D4"/>
    <mergeCell ref="E4:F4"/>
  </mergeCells>
  <phoneticPr fontId="0" type="noConversion"/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35" r:id="rId4" name="RequestGlobalCancel">
          <controlPr defaultSize="0" autoLine="0" r:id="rId5">
            <anchor moveWithCells="1">
              <from>
                <xdr:col>9</xdr:col>
                <xdr:colOff>219075</xdr:colOff>
                <xdr:row>1</xdr:row>
                <xdr:rowOff>0</xdr:rowOff>
              </from>
              <to>
                <xdr:col>12</xdr:col>
                <xdr:colOff>57150</xdr:colOff>
                <xdr:row>2</xdr:row>
                <xdr:rowOff>0</xdr:rowOff>
              </to>
            </anchor>
          </controlPr>
        </control>
      </mc:Choice>
      <mc:Fallback>
        <control shapeId="1035" r:id="rId4" name="RequestGlobalCancel"/>
      </mc:Fallback>
    </mc:AlternateContent>
    <mc:AlternateContent xmlns:mc="http://schemas.openxmlformats.org/markup-compatibility/2006">
      <mc:Choice Requires="x14">
        <control shapeId="1034" r:id="rId6" name="ShowErrorsMsgBox">
          <controlPr defaultSize="0" autoLine="0" r:id="rId7">
            <anchor moveWithCells="1">
              <from>
                <xdr:col>14</xdr:col>
                <xdr:colOff>381000</xdr:colOff>
                <xdr:row>1</xdr:row>
                <xdr:rowOff>47625</xdr:rowOff>
              </from>
              <to>
                <xdr:col>17</xdr:col>
                <xdr:colOff>371475</xdr:colOff>
                <xdr:row>1</xdr:row>
                <xdr:rowOff>304800</xdr:rowOff>
              </to>
            </anchor>
          </controlPr>
        </control>
      </mc:Choice>
      <mc:Fallback>
        <control shapeId="1034" r:id="rId6" name="ShowErrorsMsgBox"/>
      </mc:Fallback>
    </mc:AlternateContent>
    <mc:AlternateContent xmlns:mc="http://schemas.openxmlformats.org/markup-compatibility/2006">
      <mc:Choice Requires="x14">
        <control shapeId="1030" r:id="rId8" name="RequestCurrentTime">
          <controlPr defaultSize="0" autoLine="0" r:id="rId9">
            <anchor>
              <from>
                <xdr:col>6</xdr:col>
                <xdr:colOff>514350</xdr:colOff>
                <xdr:row>1</xdr:row>
                <xdr:rowOff>0</xdr:rowOff>
              </from>
              <to>
                <xdr:col>9</xdr:col>
                <xdr:colOff>219075</xdr:colOff>
                <xdr:row>2</xdr:row>
                <xdr:rowOff>0</xdr:rowOff>
              </to>
            </anchor>
          </controlPr>
        </control>
      </mc:Choice>
      <mc:Fallback>
        <control shapeId="1030" r:id="rId8" name="RequestCurrentTime"/>
      </mc:Fallback>
    </mc:AlternateContent>
    <mc:AlternateContent xmlns:mc="http://schemas.openxmlformats.org/markup-compatibility/2006">
      <mc:Choice Requires="x14">
        <control shapeId="1029" r:id="rId10" name="SetServerLogLevel">
          <controlPr defaultSize="0" autoLine="0" r:id="rId11">
            <anchor>
              <from>
                <xdr:col>4</xdr:col>
                <xdr:colOff>266700</xdr:colOff>
                <xdr:row>1</xdr:row>
                <xdr:rowOff>0</xdr:rowOff>
              </from>
              <to>
                <xdr:col>6</xdr:col>
                <xdr:colOff>514350</xdr:colOff>
                <xdr:row>2</xdr:row>
                <xdr:rowOff>0</xdr:rowOff>
              </to>
            </anchor>
          </controlPr>
        </control>
      </mc:Choice>
      <mc:Fallback>
        <control shapeId="1029" r:id="rId10" name="SetServerLogLevel"/>
      </mc:Fallback>
    </mc:AlternateContent>
    <mc:AlternateContent xmlns:mc="http://schemas.openxmlformats.org/markup-compatibility/2006">
      <mc:Choice Requires="x14">
        <control shapeId="1028" r:id="rId12" name="DisconnectFromTWS">
          <controlPr defaultSize="0" autoLine="0" r:id="rId13">
            <anchor>
              <from>
                <xdr:col>2</xdr:col>
                <xdr:colOff>66675</xdr:colOff>
                <xdr:row>1</xdr:row>
                <xdr:rowOff>0</xdr:rowOff>
              </from>
              <to>
                <xdr:col>4</xdr:col>
                <xdr:colOff>266700</xdr:colOff>
                <xdr:row>2</xdr:row>
                <xdr:rowOff>0</xdr:rowOff>
              </to>
            </anchor>
          </controlPr>
        </control>
      </mc:Choice>
      <mc:Fallback>
        <control shapeId="1028" r:id="rId12" name="DisconnectFromTWS"/>
      </mc:Fallback>
    </mc:AlternateContent>
    <mc:AlternateContent xmlns:mc="http://schemas.openxmlformats.org/markup-compatibility/2006">
      <mc:Choice Requires="x14">
        <control shapeId="1027" r:id="rId14" name="ConnectToTWS">
          <controlPr defaultSize="0" autoLine="0" r:id="rId15">
            <anchor>
              <from>
                <xdr:col>0</xdr:col>
                <xdr:colOff>9525</xdr:colOff>
                <xdr:row>1</xdr:row>
                <xdr:rowOff>0</xdr:rowOff>
              </from>
              <to>
                <xdr:col>2</xdr:col>
                <xdr:colOff>66675</xdr:colOff>
                <xdr:row>2</xdr:row>
                <xdr:rowOff>0</xdr:rowOff>
              </to>
            </anchor>
          </controlPr>
        </control>
      </mc:Choice>
      <mc:Fallback>
        <control shapeId="1027" r:id="rId14" name="ConnectToTW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7"/>
  <sheetViews>
    <sheetView workbookViewId="0">
      <selection activeCell="L3" sqref="L3"/>
    </sheetView>
  </sheetViews>
  <sheetFormatPr defaultRowHeight="15" x14ac:dyDescent="0.25"/>
  <cols>
    <col min="1" max="1" width="12.7109375" customWidth="1"/>
    <col min="3" max="3" width="12.28515625" customWidth="1"/>
    <col min="4" max="4" width="15.85546875" customWidth="1"/>
    <col min="5" max="5" width="12.85546875" customWidth="1"/>
    <col min="6" max="6" width="14.42578125" customWidth="1"/>
    <col min="7" max="7" width="14.140625" customWidth="1"/>
    <col min="8" max="8" width="16.7109375" customWidth="1"/>
  </cols>
  <sheetData>
    <row r="1" spans="1:22" ht="21" x14ac:dyDescent="0.35">
      <c r="A1" s="20" t="s">
        <v>61</v>
      </c>
    </row>
    <row r="3" spans="1:22" ht="18.75" x14ac:dyDescent="0.3">
      <c r="B3" s="21" t="s">
        <v>60</v>
      </c>
      <c r="C3" s="22"/>
      <c r="D3" s="21" t="s">
        <v>22</v>
      </c>
      <c r="E3" s="21" t="s">
        <v>56</v>
      </c>
      <c r="F3" s="21" t="s">
        <v>67</v>
      </c>
      <c r="G3" s="21" t="s">
        <v>41</v>
      </c>
      <c r="H3" s="21" t="s">
        <v>69</v>
      </c>
    </row>
    <row r="4" spans="1:22" ht="18.75" x14ac:dyDescent="0.3">
      <c r="B4" s="21" t="s">
        <v>64</v>
      </c>
      <c r="C4" s="23"/>
      <c r="D4" s="24">
        <v>0</v>
      </c>
      <c r="E4" s="24">
        <v>0</v>
      </c>
      <c r="F4" s="25">
        <v>0</v>
      </c>
      <c r="G4" s="25">
        <v>0</v>
      </c>
      <c r="H4" s="25">
        <v>0</v>
      </c>
    </row>
    <row r="5" spans="1:22" ht="18.75" x14ac:dyDescent="0.3">
      <c r="B5" s="21" t="s">
        <v>65</v>
      </c>
      <c r="D5" s="24" t="e">
        <f>SUM(P12:P19)+P22</f>
        <v>#REF!</v>
      </c>
      <c r="E5" s="24" t="e">
        <f>SUM(U12:U19)+U22</f>
        <v>#REF!</v>
      </c>
      <c r="F5" s="25" t="e">
        <f>E5*62500</f>
        <v>#REF!</v>
      </c>
      <c r="G5" s="25">
        <f>SUM(D12:D19)</f>
        <v>0</v>
      </c>
      <c r="H5" s="25">
        <f>SUM(F12:F19)</f>
        <v>0</v>
      </c>
    </row>
    <row r="6" spans="1:22" ht="18.75" x14ac:dyDescent="0.3">
      <c r="B6" s="21" t="s">
        <v>66</v>
      </c>
      <c r="D6" s="24" t="e">
        <f>SUM(P20:P21)</f>
        <v>#REF!</v>
      </c>
      <c r="E6" s="24" t="e">
        <f>SUM(U20:U21)</f>
        <v>#REF!</v>
      </c>
      <c r="F6" s="25" t="e">
        <f>E6*62500</f>
        <v>#REF!</v>
      </c>
      <c r="G6" s="25">
        <f>SUM(D20:D21)</f>
        <v>0</v>
      </c>
      <c r="H6" s="25">
        <f>SUM(F20:F21)</f>
        <v>0</v>
      </c>
    </row>
    <row r="7" spans="1:22" ht="18.75" x14ac:dyDescent="0.3">
      <c r="B7" s="21" t="s">
        <v>68</v>
      </c>
      <c r="D7" s="26" t="e">
        <f>SUM(D4:D6)</f>
        <v>#REF!</v>
      </c>
      <c r="E7" s="26" t="e">
        <f>SUM(E4:E6)</f>
        <v>#REF!</v>
      </c>
      <c r="F7" s="27" t="e">
        <f>SUM(F4:F6)</f>
        <v>#REF!</v>
      </c>
      <c r="G7" s="27">
        <f>SUM(G4:G6)</f>
        <v>0</v>
      </c>
      <c r="H7" s="27">
        <f>SUM(H4:H6)</f>
        <v>0</v>
      </c>
    </row>
    <row r="10" spans="1:22" ht="21" x14ac:dyDescent="0.35">
      <c r="A10" s="19" t="s">
        <v>60</v>
      </c>
    </row>
    <row r="11" spans="1:22" x14ac:dyDescent="0.25">
      <c r="A11" s="4" t="s">
        <v>37</v>
      </c>
      <c r="B11" s="4" t="s">
        <v>39</v>
      </c>
      <c r="C11" s="4" t="s">
        <v>40</v>
      </c>
      <c r="D11" s="4" t="s">
        <v>41</v>
      </c>
      <c r="E11" s="4" t="s">
        <v>42</v>
      </c>
      <c r="F11" s="4" t="s">
        <v>43</v>
      </c>
      <c r="G11" s="4" t="s">
        <v>44</v>
      </c>
      <c r="H11" s="2" t="s">
        <v>15</v>
      </c>
      <c r="I11" s="2" t="s">
        <v>16</v>
      </c>
      <c r="J11" s="2" t="s">
        <v>17</v>
      </c>
      <c r="K11" s="2" t="s">
        <v>18</v>
      </c>
      <c r="L11" s="2" t="s">
        <v>19</v>
      </c>
      <c r="M11" s="2" t="s">
        <v>20</v>
      </c>
      <c r="N11" s="2" t="s">
        <v>52</v>
      </c>
      <c r="O11" s="2" t="s">
        <v>22</v>
      </c>
      <c r="P11" s="2" t="s">
        <v>62</v>
      </c>
      <c r="Q11" s="2" t="s">
        <v>53</v>
      </c>
      <c r="R11" s="2" t="s">
        <v>54</v>
      </c>
      <c r="S11" s="2" t="s">
        <v>55</v>
      </c>
      <c r="T11" s="2" t="s">
        <v>56</v>
      </c>
      <c r="U11" s="2" t="s">
        <v>63</v>
      </c>
      <c r="V11" s="2" t="s">
        <v>57</v>
      </c>
    </row>
    <row r="12" spans="1:22" x14ac:dyDescent="0.25">
      <c r="A12">
        <f>Portfolio!J7</f>
        <v>0</v>
      </c>
      <c r="B12">
        <f>Portfolio!K7</f>
        <v>0</v>
      </c>
      <c r="C12">
        <f>Portfolio!L7</f>
        <v>0</v>
      </c>
      <c r="D12">
        <f>Portfolio!M7</f>
        <v>0</v>
      </c>
      <c r="E12">
        <f>Portfolio!N7</f>
        <v>0</v>
      </c>
      <c r="F12">
        <f>Portfolio!O7</f>
        <v>0</v>
      </c>
      <c r="G12">
        <f>Portfolio!P7</f>
        <v>0</v>
      </c>
      <c r="H12" t="e">
        <f>#REF!</f>
        <v>#REF!</v>
      </c>
      <c r="I12" t="e">
        <f>#REF!</f>
        <v>#REF!</v>
      </c>
      <c r="J12" t="e">
        <f>#REF!</f>
        <v>#REF!</v>
      </c>
      <c r="K12" t="e">
        <f>#REF!</f>
        <v>#REF!</v>
      </c>
      <c r="L12" t="e">
        <f>#REF!</f>
        <v>#REF!</v>
      </c>
      <c r="M12" t="e">
        <f>#REF!</f>
        <v>#REF!</v>
      </c>
      <c r="N12" t="e">
        <f>#REF!</f>
        <v>#REF!</v>
      </c>
      <c r="O12" t="e">
        <f>#REF!</f>
        <v>#REF!</v>
      </c>
      <c r="P12" t="e">
        <f>O12*B12</f>
        <v>#REF!</v>
      </c>
      <c r="Q12" t="e">
        <f>#REF!</f>
        <v>#REF!</v>
      </c>
      <c r="R12" t="e">
        <f>#REF!</f>
        <v>#REF!</v>
      </c>
      <c r="S12" t="e">
        <f>#REF!</f>
        <v>#REF!</v>
      </c>
      <c r="T12" t="e">
        <f>#REF!</f>
        <v>#REF!</v>
      </c>
      <c r="U12" t="e">
        <f>T12*B12</f>
        <v>#REF!</v>
      </c>
      <c r="V12" t="e">
        <f>#REF!</f>
        <v>#REF!</v>
      </c>
    </row>
    <row r="13" spans="1:22" x14ac:dyDescent="0.25">
      <c r="A13">
        <f>Portfolio!J8</f>
        <v>0</v>
      </c>
      <c r="B13">
        <f>Portfolio!K8</f>
        <v>0</v>
      </c>
      <c r="C13">
        <f>Portfolio!L8</f>
        <v>0</v>
      </c>
      <c r="D13">
        <f>Portfolio!M8</f>
        <v>0</v>
      </c>
      <c r="E13">
        <f>Portfolio!N8</f>
        <v>0</v>
      </c>
      <c r="F13">
        <f>Portfolio!O8</f>
        <v>0</v>
      </c>
      <c r="G13">
        <f>Portfolio!P8</f>
        <v>0</v>
      </c>
      <c r="H13" t="e">
        <f>#REF!</f>
        <v>#REF!</v>
      </c>
      <c r="I13" t="e">
        <f>#REF!</f>
        <v>#REF!</v>
      </c>
      <c r="J13" t="e">
        <f>#REF!</f>
        <v>#REF!</v>
      </c>
      <c r="K13" t="e">
        <f>#REF!</f>
        <v>#REF!</v>
      </c>
      <c r="L13" t="e">
        <f>#REF!</f>
        <v>#REF!</v>
      </c>
      <c r="M13" t="e">
        <f>#REF!</f>
        <v>#REF!</v>
      </c>
      <c r="N13" t="e">
        <f>#REF!</f>
        <v>#REF!</v>
      </c>
      <c r="O13" t="e">
        <f>#REF!</f>
        <v>#REF!</v>
      </c>
      <c r="P13" t="e">
        <f t="shared" ref="P13:P27" si="0">O13*B13</f>
        <v>#REF!</v>
      </c>
      <c r="Q13" t="e">
        <f>#REF!</f>
        <v>#REF!</v>
      </c>
      <c r="R13" t="e">
        <f>#REF!</f>
        <v>#REF!</v>
      </c>
      <c r="S13" t="e">
        <f>#REF!</f>
        <v>#REF!</v>
      </c>
      <c r="T13" t="e">
        <f>#REF!</f>
        <v>#REF!</v>
      </c>
      <c r="U13" t="e">
        <f t="shared" ref="U13:U27" si="1">T13*B13</f>
        <v>#REF!</v>
      </c>
      <c r="V13" t="e">
        <f>#REF!</f>
        <v>#REF!</v>
      </c>
    </row>
    <row r="14" spans="1:22" x14ac:dyDescent="0.25">
      <c r="A14">
        <f>Portfolio!J9</f>
        <v>0</v>
      </c>
      <c r="B14">
        <f>Portfolio!K9</f>
        <v>0</v>
      </c>
      <c r="C14">
        <f>Portfolio!L9</f>
        <v>0</v>
      </c>
      <c r="D14">
        <f>Portfolio!M9</f>
        <v>0</v>
      </c>
      <c r="E14">
        <f>Portfolio!N9</f>
        <v>0</v>
      </c>
      <c r="F14">
        <f>Portfolio!O9</f>
        <v>0</v>
      </c>
      <c r="G14">
        <f>Portfolio!P9</f>
        <v>0</v>
      </c>
      <c r="H14" t="e">
        <f>#REF!</f>
        <v>#REF!</v>
      </c>
      <c r="I14" t="e">
        <f>#REF!</f>
        <v>#REF!</v>
      </c>
      <c r="J14" t="e">
        <f>#REF!</f>
        <v>#REF!</v>
      </c>
      <c r="K14" t="e">
        <f>#REF!</f>
        <v>#REF!</v>
      </c>
      <c r="L14" t="e">
        <f>#REF!</f>
        <v>#REF!</v>
      </c>
      <c r="M14" t="e">
        <f>#REF!</f>
        <v>#REF!</v>
      </c>
      <c r="N14" t="e">
        <f>#REF!</f>
        <v>#REF!</v>
      </c>
      <c r="O14" t="e">
        <f>#REF!</f>
        <v>#REF!</v>
      </c>
      <c r="P14" t="e">
        <f t="shared" si="0"/>
        <v>#REF!</v>
      </c>
      <c r="Q14" t="e">
        <f>#REF!</f>
        <v>#REF!</v>
      </c>
      <c r="R14" t="e">
        <f>#REF!</f>
        <v>#REF!</v>
      </c>
      <c r="S14" t="e">
        <f>#REF!</f>
        <v>#REF!</v>
      </c>
      <c r="T14" t="e">
        <f>#REF!</f>
        <v>#REF!</v>
      </c>
      <c r="U14" t="e">
        <f t="shared" si="1"/>
        <v>#REF!</v>
      </c>
      <c r="V14" t="e">
        <f>#REF!</f>
        <v>#REF!</v>
      </c>
    </row>
    <row r="15" spans="1:22" x14ac:dyDescent="0.25">
      <c r="A15">
        <f>Portfolio!J10</f>
        <v>0</v>
      </c>
      <c r="B15">
        <f>Portfolio!K10</f>
        <v>0</v>
      </c>
      <c r="C15">
        <f>Portfolio!L10</f>
        <v>0</v>
      </c>
      <c r="D15">
        <f>Portfolio!M10</f>
        <v>0</v>
      </c>
      <c r="E15">
        <f>Portfolio!N10</f>
        <v>0</v>
      </c>
      <c r="F15">
        <f>Portfolio!O10</f>
        <v>0</v>
      </c>
      <c r="G15">
        <f>Portfolio!P10</f>
        <v>0</v>
      </c>
      <c r="H15" t="e">
        <f>#REF!</f>
        <v>#REF!</v>
      </c>
      <c r="I15" t="e">
        <f>#REF!</f>
        <v>#REF!</v>
      </c>
      <c r="J15" t="e">
        <f>#REF!</f>
        <v>#REF!</v>
      </c>
      <c r="K15" t="e">
        <f>#REF!</f>
        <v>#REF!</v>
      </c>
      <c r="L15" t="e">
        <f>#REF!</f>
        <v>#REF!</v>
      </c>
      <c r="M15" t="e">
        <f>#REF!</f>
        <v>#REF!</v>
      </c>
      <c r="N15" t="e">
        <f>#REF!</f>
        <v>#REF!</v>
      </c>
      <c r="O15" t="e">
        <f>#REF!</f>
        <v>#REF!</v>
      </c>
      <c r="P15" t="e">
        <f t="shared" si="0"/>
        <v>#REF!</v>
      </c>
      <c r="Q15" t="e">
        <f>#REF!</f>
        <v>#REF!</v>
      </c>
      <c r="R15" t="e">
        <f>#REF!</f>
        <v>#REF!</v>
      </c>
      <c r="S15" t="e">
        <f>#REF!</f>
        <v>#REF!</v>
      </c>
      <c r="T15" t="e">
        <f>#REF!</f>
        <v>#REF!</v>
      </c>
      <c r="U15" t="e">
        <f t="shared" si="1"/>
        <v>#REF!</v>
      </c>
      <c r="V15" t="e">
        <f>#REF!</f>
        <v>#REF!</v>
      </c>
    </row>
    <row r="16" spans="1:22" x14ac:dyDescent="0.25">
      <c r="A16">
        <f>Portfolio!J11</f>
        <v>0</v>
      </c>
      <c r="B16">
        <f>Portfolio!K11</f>
        <v>0</v>
      </c>
      <c r="C16">
        <f>Portfolio!L11</f>
        <v>0</v>
      </c>
      <c r="D16">
        <f>Portfolio!M11</f>
        <v>0</v>
      </c>
      <c r="E16">
        <f>Portfolio!N11</f>
        <v>0</v>
      </c>
      <c r="F16">
        <f>Portfolio!O11</f>
        <v>0</v>
      </c>
      <c r="G16">
        <f>Portfolio!P11</f>
        <v>0</v>
      </c>
      <c r="H16" t="e">
        <f>#REF!</f>
        <v>#REF!</v>
      </c>
      <c r="I16" t="e">
        <f>#REF!</f>
        <v>#REF!</v>
      </c>
      <c r="J16" t="e">
        <f>#REF!</f>
        <v>#REF!</v>
      </c>
      <c r="K16" t="e">
        <f>#REF!</f>
        <v>#REF!</v>
      </c>
      <c r="L16" t="e">
        <f>#REF!</f>
        <v>#REF!</v>
      </c>
      <c r="M16" t="e">
        <f>#REF!</f>
        <v>#REF!</v>
      </c>
      <c r="N16" t="e">
        <f>#REF!</f>
        <v>#REF!</v>
      </c>
      <c r="O16" t="e">
        <f>#REF!</f>
        <v>#REF!</v>
      </c>
      <c r="P16" t="e">
        <f t="shared" si="0"/>
        <v>#REF!</v>
      </c>
      <c r="Q16" t="e">
        <f>#REF!</f>
        <v>#REF!</v>
      </c>
      <c r="R16" t="e">
        <f>#REF!</f>
        <v>#REF!</v>
      </c>
      <c r="S16" t="e">
        <f>#REF!</f>
        <v>#REF!</v>
      </c>
      <c r="T16" t="e">
        <f>#REF!</f>
        <v>#REF!</v>
      </c>
      <c r="U16" t="e">
        <f t="shared" si="1"/>
        <v>#REF!</v>
      </c>
      <c r="V16" t="e">
        <f>#REF!</f>
        <v>#REF!</v>
      </c>
    </row>
    <row r="17" spans="1:22" x14ac:dyDescent="0.25">
      <c r="A17">
        <f>Portfolio!J12</f>
        <v>0</v>
      </c>
      <c r="B17">
        <f>Portfolio!K12</f>
        <v>0</v>
      </c>
      <c r="C17">
        <f>Portfolio!L12</f>
        <v>0</v>
      </c>
      <c r="D17">
        <f>Portfolio!M12</f>
        <v>0</v>
      </c>
      <c r="E17">
        <f>Portfolio!N12</f>
        <v>0</v>
      </c>
      <c r="F17">
        <f>Portfolio!O12</f>
        <v>0</v>
      </c>
      <c r="G17">
        <f>Portfolio!P12</f>
        <v>0</v>
      </c>
      <c r="H17" t="e">
        <f>#REF!</f>
        <v>#REF!</v>
      </c>
      <c r="I17" t="e">
        <f>#REF!</f>
        <v>#REF!</v>
      </c>
      <c r="J17" t="e">
        <f>#REF!</f>
        <v>#REF!</v>
      </c>
      <c r="K17" t="e">
        <f>#REF!</f>
        <v>#REF!</v>
      </c>
      <c r="L17" t="e">
        <f>#REF!</f>
        <v>#REF!</v>
      </c>
      <c r="M17" t="e">
        <f>#REF!</f>
        <v>#REF!</v>
      </c>
      <c r="N17" t="e">
        <f>#REF!</f>
        <v>#REF!</v>
      </c>
      <c r="O17" t="e">
        <f>#REF!</f>
        <v>#REF!</v>
      </c>
      <c r="P17" t="e">
        <f t="shared" si="0"/>
        <v>#REF!</v>
      </c>
      <c r="Q17" t="e">
        <f>#REF!</f>
        <v>#REF!</v>
      </c>
      <c r="R17" t="e">
        <f>#REF!</f>
        <v>#REF!</v>
      </c>
      <c r="S17" t="e">
        <f>#REF!</f>
        <v>#REF!</v>
      </c>
      <c r="T17" t="e">
        <f>#REF!</f>
        <v>#REF!</v>
      </c>
      <c r="U17" t="e">
        <f t="shared" si="1"/>
        <v>#REF!</v>
      </c>
      <c r="V17" t="e">
        <f>#REF!</f>
        <v>#REF!</v>
      </c>
    </row>
    <row r="18" spans="1:22" x14ac:dyDescent="0.25">
      <c r="A18">
        <f>Portfolio!J13</f>
        <v>0</v>
      </c>
      <c r="B18">
        <f>Portfolio!K13</f>
        <v>0</v>
      </c>
      <c r="C18">
        <f>Portfolio!L13</f>
        <v>0</v>
      </c>
      <c r="D18">
        <f>Portfolio!M13</f>
        <v>0</v>
      </c>
      <c r="E18">
        <f>Portfolio!N13</f>
        <v>0</v>
      </c>
      <c r="F18">
        <f>Portfolio!O13</f>
        <v>0</v>
      </c>
      <c r="G18">
        <f>Portfolio!P13</f>
        <v>0</v>
      </c>
      <c r="H18" t="e">
        <f>#REF!</f>
        <v>#REF!</v>
      </c>
      <c r="I18" t="e">
        <f>#REF!</f>
        <v>#REF!</v>
      </c>
      <c r="J18" t="e">
        <f>#REF!</f>
        <v>#REF!</v>
      </c>
      <c r="K18" t="e">
        <f>#REF!</f>
        <v>#REF!</v>
      </c>
      <c r="L18" t="e">
        <f>#REF!</f>
        <v>#REF!</v>
      </c>
      <c r="M18" t="e">
        <f>#REF!</f>
        <v>#REF!</v>
      </c>
      <c r="N18" t="e">
        <f>#REF!</f>
        <v>#REF!</v>
      </c>
      <c r="O18" t="e">
        <f>#REF!</f>
        <v>#REF!</v>
      </c>
      <c r="P18" t="e">
        <f t="shared" si="0"/>
        <v>#REF!</v>
      </c>
      <c r="Q18" t="e">
        <f>#REF!</f>
        <v>#REF!</v>
      </c>
      <c r="R18" t="e">
        <f>#REF!</f>
        <v>#REF!</v>
      </c>
      <c r="S18" t="e">
        <f>#REF!</f>
        <v>#REF!</v>
      </c>
      <c r="T18" t="e">
        <f>#REF!</f>
        <v>#REF!</v>
      </c>
      <c r="U18" t="e">
        <f t="shared" si="1"/>
        <v>#REF!</v>
      </c>
      <c r="V18" t="e">
        <f>#REF!</f>
        <v>#REF!</v>
      </c>
    </row>
    <row r="19" spans="1:22" x14ac:dyDescent="0.25">
      <c r="A19">
        <f>Portfolio!J14</f>
        <v>0</v>
      </c>
      <c r="B19">
        <f>Portfolio!K14</f>
        <v>0</v>
      </c>
      <c r="C19">
        <f>Portfolio!L14</f>
        <v>0</v>
      </c>
      <c r="D19">
        <f>Portfolio!M14</f>
        <v>0</v>
      </c>
      <c r="E19">
        <f>Portfolio!N14</f>
        <v>0</v>
      </c>
      <c r="F19">
        <f>Portfolio!O14</f>
        <v>0</v>
      </c>
      <c r="G19">
        <f>Portfolio!P14</f>
        <v>0</v>
      </c>
      <c r="H19" t="e">
        <f>#REF!</f>
        <v>#REF!</v>
      </c>
      <c r="I19" t="e">
        <f>#REF!</f>
        <v>#REF!</v>
      </c>
      <c r="J19" t="e">
        <f>#REF!</f>
        <v>#REF!</v>
      </c>
      <c r="K19" t="e">
        <f>#REF!</f>
        <v>#REF!</v>
      </c>
      <c r="L19" t="e">
        <f>#REF!</f>
        <v>#REF!</v>
      </c>
      <c r="M19" t="e">
        <f>#REF!</f>
        <v>#REF!</v>
      </c>
      <c r="N19" t="e">
        <f>#REF!</f>
        <v>#REF!</v>
      </c>
      <c r="O19" t="e">
        <f>#REF!</f>
        <v>#REF!</v>
      </c>
      <c r="P19" t="e">
        <f t="shared" si="0"/>
        <v>#REF!</v>
      </c>
      <c r="Q19" t="e">
        <f>#REF!</f>
        <v>#REF!</v>
      </c>
      <c r="R19" t="e">
        <f>#REF!</f>
        <v>#REF!</v>
      </c>
      <c r="S19" t="e">
        <f>#REF!</f>
        <v>#REF!</v>
      </c>
      <c r="T19" t="e">
        <f>#REF!</f>
        <v>#REF!</v>
      </c>
      <c r="U19" t="e">
        <f t="shared" si="1"/>
        <v>#REF!</v>
      </c>
      <c r="V19" t="e">
        <f>#REF!</f>
        <v>#REF!</v>
      </c>
    </row>
    <row r="20" spans="1:22" x14ac:dyDescent="0.25">
      <c r="A20">
        <f>Portfolio!J15</f>
        <v>0</v>
      </c>
      <c r="B20">
        <f>Portfolio!K15</f>
        <v>0</v>
      </c>
      <c r="C20">
        <f>Portfolio!L15</f>
        <v>0</v>
      </c>
      <c r="D20">
        <f>Portfolio!M15</f>
        <v>0</v>
      </c>
      <c r="E20">
        <f>Portfolio!N15</f>
        <v>0</v>
      </c>
      <c r="F20">
        <f>Portfolio!O15</f>
        <v>0</v>
      </c>
      <c r="G20">
        <f>Portfolio!P15</f>
        <v>0</v>
      </c>
      <c r="H20" t="e">
        <f>#REF!</f>
        <v>#REF!</v>
      </c>
      <c r="I20" t="e">
        <f>#REF!</f>
        <v>#REF!</v>
      </c>
      <c r="J20" t="e">
        <f>#REF!</f>
        <v>#REF!</v>
      </c>
      <c r="K20" t="e">
        <f>#REF!</f>
        <v>#REF!</v>
      </c>
      <c r="L20" t="e">
        <f>#REF!</f>
        <v>#REF!</v>
      </c>
      <c r="M20" t="e">
        <f>#REF!</f>
        <v>#REF!</v>
      </c>
      <c r="N20" t="e">
        <f>#REF!</f>
        <v>#REF!</v>
      </c>
      <c r="O20" t="e">
        <f>#REF!</f>
        <v>#REF!</v>
      </c>
      <c r="P20" t="e">
        <f t="shared" si="0"/>
        <v>#REF!</v>
      </c>
      <c r="Q20" t="e">
        <f>#REF!</f>
        <v>#REF!</v>
      </c>
      <c r="R20" t="e">
        <f>#REF!</f>
        <v>#REF!</v>
      </c>
      <c r="S20" t="e">
        <f>#REF!</f>
        <v>#REF!</v>
      </c>
      <c r="T20" t="e">
        <f>#REF!</f>
        <v>#REF!</v>
      </c>
      <c r="U20" t="e">
        <f t="shared" si="1"/>
        <v>#REF!</v>
      </c>
      <c r="V20" t="e">
        <f>#REF!</f>
        <v>#REF!</v>
      </c>
    </row>
    <row r="21" spans="1:22" x14ac:dyDescent="0.25">
      <c r="A21">
        <f>Portfolio!J16</f>
        <v>0</v>
      </c>
      <c r="B21">
        <f>Portfolio!K16</f>
        <v>0</v>
      </c>
      <c r="C21">
        <f>Portfolio!L16</f>
        <v>0</v>
      </c>
      <c r="D21">
        <f>Portfolio!M16</f>
        <v>0</v>
      </c>
      <c r="E21">
        <f>Portfolio!N16</f>
        <v>0</v>
      </c>
      <c r="F21">
        <f>Portfolio!O16</f>
        <v>0</v>
      </c>
      <c r="G21">
        <f>Portfolio!P16</f>
        <v>0</v>
      </c>
      <c r="H21" t="e">
        <f>#REF!</f>
        <v>#REF!</v>
      </c>
      <c r="I21" t="e">
        <f>#REF!</f>
        <v>#REF!</v>
      </c>
      <c r="J21" t="e">
        <f>#REF!</f>
        <v>#REF!</v>
      </c>
      <c r="K21" t="e">
        <f>#REF!</f>
        <v>#REF!</v>
      </c>
      <c r="L21" t="e">
        <f>#REF!</f>
        <v>#REF!</v>
      </c>
      <c r="M21" t="e">
        <f>#REF!</f>
        <v>#REF!</v>
      </c>
      <c r="N21" t="e">
        <f>#REF!</f>
        <v>#REF!</v>
      </c>
      <c r="O21" t="e">
        <f>#REF!</f>
        <v>#REF!</v>
      </c>
      <c r="P21" t="e">
        <f t="shared" si="0"/>
        <v>#REF!</v>
      </c>
      <c r="Q21" t="e">
        <f>#REF!</f>
        <v>#REF!</v>
      </c>
      <c r="R21" t="e">
        <f>#REF!</f>
        <v>#REF!</v>
      </c>
      <c r="S21" t="e">
        <f>#REF!</f>
        <v>#REF!</v>
      </c>
      <c r="T21" t="e">
        <f>#REF!</f>
        <v>#REF!</v>
      </c>
      <c r="U21" t="e">
        <f t="shared" si="1"/>
        <v>#REF!</v>
      </c>
      <c r="V21" t="e">
        <f>#REF!</f>
        <v>#REF!</v>
      </c>
    </row>
    <row r="22" spans="1:22" x14ac:dyDescent="0.25">
      <c r="A22">
        <f>Portfolio!J17</f>
        <v>0</v>
      </c>
      <c r="B22">
        <f>Portfolio!K17</f>
        <v>0</v>
      </c>
      <c r="C22">
        <f>Portfolio!L17</f>
        <v>0</v>
      </c>
      <c r="D22">
        <f>Portfolio!M17</f>
        <v>0</v>
      </c>
      <c r="E22">
        <f>Portfolio!N17</f>
        <v>0</v>
      </c>
      <c r="F22">
        <f>Portfolio!O17</f>
        <v>0</v>
      </c>
      <c r="G22">
        <f>Portfolio!P17</f>
        <v>0</v>
      </c>
      <c r="H22" t="e">
        <f>#REF!</f>
        <v>#REF!</v>
      </c>
      <c r="I22" t="e">
        <f>#REF!</f>
        <v>#REF!</v>
      </c>
      <c r="J22" t="e">
        <f>#REF!</f>
        <v>#REF!</v>
      </c>
      <c r="K22" t="e">
        <f>#REF!</f>
        <v>#REF!</v>
      </c>
      <c r="L22" t="e">
        <f>#REF!</f>
        <v>#REF!</v>
      </c>
      <c r="M22" t="e">
        <f>#REF!</f>
        <v>#REF!</v>
      </c>
      <c r="N22" t="e">
        <f>#REF!</f>
        <v>#REF!</v>
      </c>
      <c r="O22" t="e">
        <f>#REF!</f>
        <v>#REF!</v>
      </c>
      <c r="P22" t="e">
        <f t="shared" si="0"/>
        <v>#REF!</v>
      </c>
      <c r="Q22" t="e">
        <f>#REF!</f>
        <v>#REF!</v>
      </c>
      <c r="R22" t="e">
        <f>#REF!</f>
        <v>#REF!</v>
      </c>
      <c r="S22" t="e">
        <f>#REF!</f>
        <v>#REF!</v>
      </c>
      <c r="T22" t="e">
        <f>#REF!</f>
        <v>#REF!</v>
      </c>
      <c r="U22" t="e">
        <f t="shared" si="1"/>
        <v>#REF!</v>
      </c>
      <c r="V22" t="e">
        <f>#REF!</f>
        <v>#REF!</v>
      </c>
    </row>
    <row r="23" spans="1:22" x14ac:dyDescent="0.25">
      <c r="A23">
        <f>Portfolio!J18</f>
        <v>0</v>
      </c>
      <c r="B23">
        <f>Portfolio!K18</f>
        <v>0</v>
      </c>
      <c r="C23">
        <f>Portfolio!L18</f>
        <v>0</v>
      </c>
      <c r="D23">
        <f>Portfolio!M18</f>
        <v>0</v>
      </c>
      <c r="E23">
        <f>Portfolio!N18</f>
        <v>0</v>
      </c>
      <c r="F23">
        <f>Portfolio!O18</f>
        <v>0</v>
      </c>
      <c r="G23">
        <f>Portfolio!P18</f>
        <v>0</v>
      </c>
      <c r="H23" t="e">
        <f>#REF!</f>
        <v>#REF!</v>
      </c>
      <c r="I23" t="e">
        <f>#REF!</f>
        <v>#REF!</v>
      </c>
      <c r="J23" t="e">
        <f>#REF!</f>
        <v>#REF!</v>
      </c>
      <c r="K23" t="e">
        <f>#REF!</f>
        <v>#REF!</v>
      </c>
      <c r="L23" t="e">
        <f>#REF!</f>
        <v>#REF!</v>
      </c>
      <c r="M23" t="e">
        <f>#REF!</f>
        <v>#REF!</v>
      </c>
      <c r="N23" t="e">
        <f>#REF!</f>
        <v>#REF!</v>
      </c>
      <c r="O23" t="e">
        <f>#REF!</f>
        <v>#REF!</v>
      </c>
      <c r="P23" t="e">
        <f t="shared" si="0"/>
        <v>#REF!</v>
      </c>
      <c r="Q23" t="e">
        <f>#REF!</f>
        <v>#REF!</v>
      </c>
      <c r="R23" t="e">
        <f>#REF!</f>
        <v>#REF!</v>
      </c>
      <c r="S23" t="e">
        <f>#REF!</f>
        <v>#REF!</v>
      </c>
      <c r="T23" t="e">
        <f>#REF!</f>
        <v>#REF!</v>
      </c>
      <c r="U23" t="e">
        <f t="shared" si="1"/>
        <v>#REF!</v>
      </c>
      <c r="V23" t="e">
        <f>#REF!</f>
        <v>#REF!</v>
      </c>
    </row>
    <row r="24" spans="1:22" x14ac:dyDescent="0.25">
      <c r="A24">
        <f>Portfolio!J19</f>
        <v>0</v>
      </c>
      <c r="B24">
        <f>Portfolio!K19</f>
        <v>0</v>
      </c>
      <c r="C24">
        <f>Portfolio!L19</f>
        <v>0</v>
      </c>
      <c r="D24">
        <f>Portfolio!M19</f>
        <v>0</v>
      </c>
      <c r="E24">
        <f>Portfolio!N19</f>
        <v>0</v>
      </c>
      <c r="F24">
        <f>Portfolio!O19</f>
        <v>0</v>
      </c>
      <c r="G24">
        <f>Portfolio!P19</f>
        <v>0</v>
      </c>
      <c r="H24" t="e">
        <f>#REF!</f>
        <v>#REF!</v>
      </c>
      <c r="I24" t="e">
        <f>#REF!</f>
        <v>#REF!</v>
      </c>
      <c r="J24" t="e">
        <f>#REF!</f>
        <v>#REF!</v>
      </c>
      <c r="K24" t="e">
        <f>#REF!</f>
        <v>#REF!</v>
      </c>
      <c r="L24" t="e">
        <f>#REF!</f>
        <v>#REF!</v>
      </c>
      <c r="M24" t="e">
        <f>#REF!</f>
        <v>#REF!</v>
      </c>
      <c r="N24" t="e">
        <f>#REF!</f>
        <v>#REF!</v>
      </c>
      <c r="O24" t="e">
        <f>#REF!</f>
        <v>#REF!</v>
      </c>
      <c r="P24" t="e">
        <f t="shared" si="0"/>
        <v>#REF!</v>
      </c>
      <c r="Q24" t="e">
        <f>#REF!</f>
        <v>#REF!</v>
      </c>
      <c r="R24" t="e">
        <f>#REF!</f>
        <v>#REF!</v>
      </c>
      <c r="S24" t="e">
        <f>#REF!</f>
        <v>#REF!</v>
      </c>
      <c r="T24" t="e">
        <f>#REF!</f>
        <v>#REF!</v>
      </c>
      <c r="U24" t="e">
        <f t="shared" si="1"/>
        <v>#REF!</v>
      </c>
      <c r="V24" t="e">
        <f>#REF!</f>
        <v>#REF!</v>
      </c>
    </row>
    <row r="25" spans="1:22" x14ac:dyDescent="0.25">
      <c r="A25">
        <f>Portfolio!J20</f>
        <v>0</v>
      </c>
      <c r="B25">
        <f>Portfolio!K20</f>
        <v>0</v>
      </c>
      <c r="C25">
        <f>Portfolio!L20</f>
        <v>0</v>
      </c>
      <c r="D25">
        <f>Portfolio!M20</f>
        <v>0</v>
      </c>
      <c r="E25">
        <f>Portfolio!N20</f>
        <v>0</v>
      </c>
      <c r="F25">
        <f>Portfolio!O20</f>
        <v>0</v>
      </c>
      <c r="G25">
        <f>Portfolio!P20</f>
        <v>0</v>
      </c>
      <c r="H25" t="e">
        <f>#REF!</f>
        <v>#REF!</v>
      </c>
      <c r="I25" t="e">
        <f>#REF!</f>
        <v>#REF!</v>
      </c>
      <c r="J25" t="e">
        <f>#REF!</f>
        <v>#REF!</v>
      </c>
      <c r="K25" t="e">
        <f>#REF!</f>
        <v>#REF!</v>
      </c>
      <c r="L25" t="e">
        <f>#REF!</f>
        <v>#REF!</v>
      </c>
      <c r="M25" t="e">
        <f>#REF!</f>
        <v>#REF!</v>
      </c>
      <c r="N25" t="e">
        <f>#REF!</f>
        <v>#REF!</v>
      </c>
      <c r="O25" t="e">
        <f>#REF!</f>
        <v>#REF!</v>
      </c>
      <c r="P25" t="e">
        <f t="shared" si="0"/>
        <v>#REF!</v>
      </c>
      <c r="Q25" t="e">
        <f>#REF!</f>
        <v>#REF!</v>
      </c>
      <c r="R25" t="e">
        <f>#REF!</f>
        <v>#REF!</v>
      </c>
      <c r="S25" t="e">
        <f>#REF!</f>
        <v>#REF!</v>
      </c>
      <c r="T25" t="e">
        <f>#REF!</f>
        <v>#REF!</v>
      </c>
      <c r="U25" t="e">
        <f t="shared" si="1"/>
        <v>#REF!</v>
      </c>
      <c r="V25" t="e">
        <f>#REF!</f>
        <v>#REF!</v>
      </c>
    </row>
    <row r="26" spans="1:22" x14ac:dyDescent="0.25">
      <c r="A26">
        <f>Portfolio!J21</f>
        <v>0</v>
      </c>
      <c r="B26">
        <f>Portfolio!K21</f>
        <v>0</v>
      </c>
      <c r="C26">
        <f>Portfolio!L21</f>
        <v>0</v>
      </c>
      <c r="D26">
        <f>Portfolio!M21</f>
        <v>0</v>
      </c>
      <c r="E26">
        <f>Portfolio!N21</f>
        <v>0</v>
      </c>
      <c r="F26">
        <f>Portfolio!O21</f>
        <v>0</v>
      </c>
      <c r="G26">
        <f>Portfolio!P21</f>
        <v>0</v>
      </c>
      <c r="H26" t="e">
        <f>#REF!</f>
        <v>#REF!</v>
      </c>
      <c r="I26" t="e">
        <f>#REF!</f>
        <v>#REF!</v>
      </c>
      <c r="J26" t="e">
        <f>#REF!</f>
        <v>#REF!</v>
      </c>
      <c r="K26" t="e">
        <f>#REF!</f>
        <v>#REF!</v>
      </c>
      <c r="L26" t="e">
        <f>#REF!</f>
        <v>#REF!</v>
      </c>
      <c r="M26" t="e">
        <f>#REF!</f>
        <v>#REF!</v>
      </c>
      <c r="N26" t="e">
        <f>#REF!</f>
        <v>#REF!</v>
      </c>
      <c r="O26" t="e">
        <f>#REF!</f>
        <v>#REF!</v>
      </c>
      <c r="P26" t="e">
        <f t="shared" si="0"/>
        <v>#REF!</v>
      </c>
      <c r="Q26" t="e">
        <f>#REF!</f>
        <v>#REF!</v>
      </c>
      <c r="R26" t="e">
        <f>#REF!</f>
        <v>#REF!</v>
      </c>
      <c r="S26" t="e">
        <f>#REF!</f>
        <v>#REF!</v>
      </c>
      <c r="T26" t="e">
        <f>#REF!</f>
        <v>#REF!</v>
      </c>
      <c r="U26" t="e">
        <f t="shared" si="1"/>
        <v>#REF!</v>
      </c>
      <c r="V26" t="e">
        <f>#REF!</f>
        <v>#REF!</v>
      </c>
    </row>
    <row r="27" spans="1:22" x14ac:dyDescent="0.25">
      <c r="A27">
        <f>Portfolio!J22</f>
        <v>0</v>
      </c>
      <c r="B27">
        <f>Portfolio!K22</f>
        <v>0</v>
      </c>
      <c r="C27">
        <f>Portfolio!L22</f>
        <v>0</v>
      </c>
      <c r="D27">
        <f>Portfolio!M22</f>
        <v>0</v>
      </c>
      <c r="E27">
        <f>Portfolio!N22</f>
        <v>0</v>
      </c>
      <c r="F27">
        <f>Portfolio!O22</f>
        <v>0</v>
      </c>
      <c r="G27">
        <f>Portfolio!P22</f>
        <v>0</v>
      </c>
      <c r="H27" t="e">
        <f>#REF!</f>
        <v>#REF!</v>
      </c>
      <c r="I27" t="e">
        <f>#REF!</f>
        <v>#REF!</v>
      </c>
      <c r="J27" t="e">
        <f>#REF!</f>
        <v>#REF!</v>
      </c>
      <c r="K27" t="e">
        <f>#REF!</f>
        <v>#REF!</v>
      </c>
      <c r="L27" t="e">
        <f>#REF!</f>
        <v>#REF!</v>
      </c>
      <c r="M27" t="e">
        <f>#REF!</f>
        <v>#REF!</v>
      </c>
      <c r="N27" t="e">
        <f>#REF!</f>
        <v>#REF!</v>
      </c>
      <c r="O27" t="e">
        <f>#REF!</f>
        <v>#REF!</v>
      </c>
      <c r="P27" t="e">
        <f t="shared" si="0"/>
        <v>#REF!</v>
      </c>
      <c r="Q27" t="e">
        <f>#REF!</f>
        <v>#REF!</v>
      </c>
      <c r="R27" t="e">
        <f>#REF!</f>
        <v>#REF!</v>
      </c>
      <c r="S27" t="e">
        <f>#REF!</f>
        <v>#REF!</v>
      </c>
      <c r="T27" t="e">
        <f>#REF!</f>
        <v>#REF!</v>
      </c>
      <c r="U27" t="e">
        <f t="shared" si="1"/>
        <v>#REF!</v>
      </c>
      <c r="V27" t="e">
        <f>#REF!</f>
        <v>#REF!</v>
      </c>
    </row>
  </sheetData>
  <conditionalFormatting sqref="H5:H7">
    <cfRule type="colorScale" priority="1">
      <colorScale>
        <cfvo type="num" val="-1000"/>
        <cfvo type="num" val="1000"/>
        <color rgb="FFF8696B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G206"/>
  <sheetViews>
    <sheetView topLeftCell="S1" zoomScale="75" zoomScaleNormal="75" workbookViewId="0">
      <pane ySplit="5" topLeftCell="A6" activePane="bottomLeft" state="frozen"/>
      <selection pane="bottomLeft" activeCell="Z2" sqref="Z2"/>
    </sheetView>
  </sheetViews>
  <sheetFormatPr defaultRowHeight="15" x14ac:dyDescent="0.25"/>
  <cols>
    <col min="3" max="3" width="13.140625" customWidth="1"/>
    <col min="7" max="7" width="6.7109375" customWidth="1"/>
    <col min="8" max="8" width="12" customWidth="1"/>
    <col min="10" max="10" width="13.140625" customWidth="1"/>
    <col min="12" max="12" width="15" customWidth="1"/>
    <col min="13" max="13" width="16.42578125" customWidth="1"/>
    <col min="14" max="14" width="17.7109375" customWidth="1"/>
    <col min="15" max="15" width="19.28515625" customWidth="1"/>
    <col min="18" max="18" width="18.140625" customWidth="1"/>
    <col min="19" max="19" width="15.5703125" customWidth="1"/>
    <col min="20" max="20" width="14.140625" customWidth="1"/>
    <col min="21" max="21" width="11.5703125" customWidth="1"/>
  </cols>
  <sheetData>
    <row r="1" spans="1:33" x14ac:dyDescent="0.25">
      <c r="A1" s="41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33" ht="30" customHeight="1" x14ac:dyDescent="0.25">
      <c r="A2" s="43"/>
      <c r="B2" s="44"/>
      <c r="C2" s="44"/>
      <c r="D2" s="44"/>
      <c r="E2" s="44"/>
      <c r="F2" s="44"/>
      <c r="G2" s="44"/>
      <c r="H2" s="44"/>
      <c r="I2" s="44"/>
      <c r="J2" s="45"/>
      <c r="K2" s="45"/>
      <c r="L2" s="45"/>
      <c r="M2" s="46"/>
      <c r="O2" s="49" t="s">
        <v>47</v>
      </c>
      <c r="P2" s="49"/>
      <c r="Q2" s="49"/>
      <c r="R2" s="49"/>
      <c r="S2" s="49"/>
    </row>
    <row r="3" spans="1:33" x14ac:dyDescent="0.25">
      <c r="F3" s="50" t="s">
        <v>72</v>
      </c>
      <c r="G3" s="51"/>
      <c r="H3" s="52" t="s">
        <v>73</v>
      </c>
      <c r="I3" s="53"/>
      <c r="J3" s="53"/>
      <c r="K3" s="53"/>
      <c r="L3" s="53"/>
      <c r="M3" s="53"/>
      <c r="N3" s="54"/>
    </row>
    <row r="4" spans="1:33" x14ac:dyDescent="0.25">
      <c r="A4" s="47" t="s">
        <v>36</v>
      </c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14"/>
      <c r="U4" s="17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</row>
    <row r="5" spans="1:33" ht="30" customHeight="1" x14ac:dyDescent="0.25">
      <c r="A5" s="4" t="s">
        <v>6</v>
      </c>
      <c r="B5" s="4" t="s">
        <v>7</v>
      </c>
      <c r="C5" s="4" t="s">
        <v>8</v>
      </c>
      <c r="D5" s="4" t="s">
        <v>9</v>
      </c>
      <c r="E5" s="4" t="s">
        <v>10</v>
      </c>
      <c r="F5" s="4" t="s">
        <v>11</v>
      </c>
      <c r="G5" s="4" t="s">
        <v>12</v>
      </c>
      <c r="H5" s="4" t="s">
        <v>38</v>
      </c>
      <c r="I5" s="4" t="s">
        <v>13</v>
      </c>
      <c r="J5" s="4" t="s">
        <v>37</v>
      </c>
      <c r="K5" s="4" t="s">
        <v>39</v>
      </c>
      <c r="L5" s="4" t="s">
        <v>40</v>
      </c>
      <c r="M5" s="4" t="s">
        <v>41</v>
      </c>
      <c r="N5" s="4" t="s">
        <v>42</v>
      </c>
      <c r="O5" s="4" t="s">
        <v>43</v>
      </c>
      <c r="P5" s="4" t="s">
        <v>44</v>
      </c>
      <c r="Q5" s="4" t="s">
        <v>45</v>
      </c>
      <c r="R5" s="4" t="s">
        <v>46</v>
      </c>
      <c r="S5" s="4" t="s">
        <v>25</v>
      </c>
      <c r="T5" s="2" t="s">
        <v>58</v>
      </c>
      <c r="U5" s="2" t="s">
        <v>14</v>
      </c>
      <c r="V5" s="2" t="s">
        <v>15</v>
      </c>
      <c r="W5" s="2" t="s">
        <v>16</v>
      </c>
      <c r="X5" s="2" t="s">
        <v>17</v>
      </c>
      <c r="Y5" s="2" t="s">
        <v>18</v>
      </c>
      <c r="Z5" s="2" t="s">
        <v>21</v>
      </c>
      <c r="AA5" s="2" t="s">
        <v>52</v>
      </c>
      <c r="AB5" s="2" t="s">
        <v>22</v>
      </c>
      <c r="AC5" s="2" t="s">
        <v>53</v>
      </c>
      <c r="AD5" s="2" t="s">
        <v>54</v>
      </c>
      <c r="AE5" s="2" t="s">
        <v>55</v>
      </c>
      <c r="AF5" s="2" t="s">
        <v>56</v>
      </c>
      <c r="AG5" s="2" t="s">
        <v>70</v>
      </c>
    </row>
    <row r="6" spans="1:3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5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</row>
    <row r="7" spans="1:33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5"/>
      <c r="U7" s="13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</row>
    <row r="8" spans="1:33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5"/>
      <c r="U8" s="13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</row>
    <row r="9" spans="1:33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5"/>
      <c r="U9" s="13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</row>
    <row r="10" spans="1:33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5"/>
      <c r="U10" s="13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</row>
    <row r="11" spans="1:33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5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</row>
    <row r="12" spans="1:33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5"/>
      <c r="U12" s="13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</row>
    <row r="13" spans="1:33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5"/>
      <c r="U13" s="13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</row>
    <row r="14" spans="1:33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5"/>
      <c r="U14" s="13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</row>
    <row r="15" spans="1:33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5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</row>
    <row r="16" spans="1:33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5"/>
      <c r="U16" s="13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</row>
    <row r="17" spans="1:33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5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</row>
    <row r="18" spans="1:3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5"/>
      <c r="U18" s="13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</row>
    <row r="19" spans="1:3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5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</row>
    <row r="20" spans="1:33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5"/>
      <c r="U20" s="13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5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</row>
    <row r="22" spans="1:33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5"/>
      <c r="U22" s="13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</row>
    <row r="23" spans="1:33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5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</row>
    <row r="24" spans="1:33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5"/>
      <c r="U24" s="13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</row>
    <row r="25" spans="1:33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5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</row>
    <row r="26" spans="1:33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5"/>
      <c r="U26" s="13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</row>
    <row r="27" spans="1:33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5"/>
      <c r="U27" s="13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5"/>
      <c r="U28" s="13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</row>
    <row r="29" spans="1:33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5"/>
      <c r="U29" s="13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</row>
    <row r="30" spans="1:33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5"/>
      <c r="U30" s="13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</row>
    <row r="31" spans="1:33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5"/>
      <c r="U31" s="13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</row>
    <row r="32" spans="1:33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5"/>
      <c r="U32" s="13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</row>
    <row r="33" spans="1:33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5"/>
      <c r="U33" s="13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</row>
    <row r="34" spans="1:33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5"/>
      <c r="U34" s="13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5"/>
      <c r="U35" s="13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</row>
    <row r="36" spans="1:33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5"/>
      <c r="U36" s="13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</row>
    <row r="37" spans="1:33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5"/>
      <c r="U37" s="13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</row>
    <row r="38" spans="1:33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5"/>
      <c r="U38" s="13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</row>
    <row r="39" spans="1:33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5"/>
      <c r="U39" s="13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</row>
    <row r="40" spans="1:33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5"/>
      <c r="U40" s="13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</row>
    <row r="41" spans="1:33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5"/>
      <c r="U41" s="13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5"/>
      <c r="U42" s="13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</row>
    <row r="43" spans="1:33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5"/>
      <c r="U43" s="13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</row>
    <row r="44" spans="1:33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5"/>
      <c r="U44" s="13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</row>
    <row r="45" spans="1:33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5"/>
      <c r="U45" s="13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</row>
    <row r="46" spans="1:3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5"/>
      <c r="U46" s="13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</row>
    <row r="47" spans="1:3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5"/>
      <c r="U47" s="13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</row>
    <row r="48" spans="1:33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5"/>
      <c r="U48" s="13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5"/>
      <c r="U49" s="13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</row>
    <row r="50" spans="1:33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5"/>
      <c r="U50" s="13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</row>
    <row r="51" spans="1:33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5"/>
      <c r="U51" s="13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</row>
    <row r="52" spans="1:33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5"/>
      <c r="U52" s="13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</row>
    <row r="53" spans="1:33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5"/>
      <c r="U53" s="13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</row>
    <row r="54" spans="1:33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5"/>
      <c r="U54" s="13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</row>
    <row r="55" spans="1:33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5"/>
      <c r="U55" s="13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5"/>
      <c r="U56" s="13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</row>
    <row r="57" spans="1:33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5"/>
      <c r="U57" s="13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</row>
    <row r="58" spans="1:33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5"/>
      <c r="U58" s="13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</row>
    <row r="59" spans="1:33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5"/>
      <c r="U59" s="13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</row>
    <row r="60" spans="1:33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5"/>
      <c r="U60" s="13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</row>
    <row r="61" spans="1:33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5"/>
      <c r="U61" s="13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</row>
    <row r="62" spans="1:33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5"/>
      <c r="U62" s="13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</row>
    <row r="63" spans="1:33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5"/>
      <c r="U63" s="13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</row>
    <row r="64" spans="1:33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5"/>
      <c r="U64" s="13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</row>
    <row r="65" spans="1:33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5"/>
      <c r="U65" s="13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</row>
    <row r="66" spans="1:33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5"/>
      <c r="U66" s="13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</row>
    <row r="67" spans="1:33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5"/>
      <c r="U67" s="13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</row>
    <row r="68" spans="1:33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5"/>
      <c r="U68" s="13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33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5"/>
      <c r="U69" s="13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</row>
    <row r="70" spans="1:33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5"/>
      <c r="U70" s="13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</row>
    <row r="71" spans="1:33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5"/>
      <c r="U71" s="13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</row>
    <row r="72" spans="1:33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5"/>
      <c r="U72" s="13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33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5"/>
      <c r="U73" s="13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33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5"/>
      <c r="U74" s="13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</row>
    <row r="75" spans="1:33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5"/>
      <c r="U75" s="13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</row>
    <row r="76" spans="1:33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5"/>
      <c r="U76" s="13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</row>
    <row r="77" spans="1:33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5"/>
      <c r="U77" s="13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</row>
    <row r="78" spans="1:33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5"/>
      <c r="U78" s="13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</row>
    <row r="79" spans="1:33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5"/>
      <c r="U79" s="13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</row>
    <row r="80" spans="1:33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5"/>
      <c r="U80" s="13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</row>
    <row r="81" spans="1:33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5"/>
      <c r="U81" s="13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</row>
    <row r="82" spans="1:33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5"/>
      <c r="U82" s="13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</row>
    <row r="83" spans="1:33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5"/>
      <c r="U83" s="13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</row>
    <row r="84" spans="1:33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5"/>
      <c r="U84" s="13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</row>
    <row r="85" spans="1:33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5"/>
      <c r="U85" s="13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</row>
    <row r="86" spans="1:33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5"/>
      <c r="U86" s="13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</row>
    <row r="87" spans="1:33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5"/>
      <c r="U87" s="13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</row>
    <row r="88" spans="1:33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5"/>
      <c r="U88" s="13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</row>
    <row r="89" spans="1:33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5"/>
      <c r="U89" s="13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</row>
    <row r="90" spans="1:33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5"/>
      <c r="U90" s="13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</row>
    <row r="91" spans="1:33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5"/>
      <c r="U91" s="13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</row>
    <row r="92" spans="1:33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5"/>
      <c r="U92" s="13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</row>
    <row r="93" spans="1:33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5"/>
      <c r="U93" s="13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</row>
    <row r="94" spans="1:33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5"/>
      <c r="U94" s="13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</row>
    <row r="95" spans="1:33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5"/>
      <c r="U95" s="13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</row>
    <row r="96" spans="1:33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5"/>
      <c r="U96" s="13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</row>
    <row r="97" spans="1:33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5"/>
      <c r="U97" s="13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</row>
    <row r="98" spans="1:3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5"/>
      <c r="U98" s="13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</row>
    <row r="99" spans="1:3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5"/>
      <c r="U99" s="13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</row>
    <row r="100" spans="1:3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5"/>
      <c r="U100" s="13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</row>
    <row r="101" spans="1:33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5"/>
      <c r="U101" s="13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</row>
    <row r="102" spans="1:33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5"/>
      <c r="U102" s="13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</row>
    <row r="103" spans="1:33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5"/>
      <c r="U103" s="13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</row>
    <row r="104" spans="1:33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5"/>
      <c r="U104" s="13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</row>
    <row r="105" spans="1:33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5"/>
      <c r="U105" s="13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</row>
    <row r="106" spans="1:33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5"/>
      <c r="U106" s="13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</row>
    <row r="107" spans="1:33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5"/>
      <c r="U107" s="13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</row>
    <row r="108" spans="1:33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5"/>
      <c r="U108" s="13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</row>
    <row r="109" spans="1:33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5"/>
      <c r="U109" s="13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</row>
    <row r="110" spans="1:33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5"/>
      <c r="U110" s="13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</row>
    <row r="111" spans="1:33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5"/>
      <c r="U111" s="13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</row>
    <row r="112" spans="1:33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5"/>
      <c r="U112" s="13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</row>
    <row r="113" spans="1:33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5"/>
      <c r="U113" s="13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</row>
    <row r="114" spans="1:33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5"/>
      <c r="U114" s="13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</row>
    <row r="115" spans="1:33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5"/>
      <c r="U115" s="13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</row>
    <row r="116" spans="1:33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5"/>
      <c r="U116" s="13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</row>
    <row r="117" spans="1:33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5"/>
      <c r="U117" s="13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</row>
    <row r="118" spans="1:33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5"/>
      <c r="U118" s="13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</row>
    <row r="119" spans="1:33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5"/>
      <c r="U119" s="13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</row>
    <row r="120" spans="1:33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5"/>
      <c r="U120" s="13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</row>
    <row r="121" spans="1:33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5"/>
      <c r="U121" s="13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</row>
    <row r="122" spans="1:33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5"/>
      <c r="U122" s="13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</row>
    <row r="123" spans="1:33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5"/>
      <c r="U123" s="13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</row>
    <row r="124" spans="1:33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5"/>
      <c r="U124" s="13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</row>
    <row r="125" spans="1:33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5"/>
      <c r="U125" s="13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</row>
    <row r="126" spans="1:33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5"/>
      <c r="U126" s="13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</row>
    <row r="127" spans="1:33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5"/>
      <c r="U127" s="13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</row>
    <row r="128" spans="1:33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5"/>
      <c r="U128" s="13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</row>
    <row r="129" spans="1:33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5"/>
      <c r="U129" s="13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</row>
    <row r="130" spans="1:33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5"/>
      <c r="U130" s="13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</row>
    <row r="131" spans="1:33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5"/>
      <c r="U131" s="13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</row>
    <row r="132" spans="1:33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5"/>
      <c r="U132" s="13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</row>
    <row r="133" spans="1:33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5"/>
      <c r="U133" s="13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</row>
    <row r="134" spans="1:33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5"/>
      <c r="U134" s="13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</row>
    <row r="135" spans="1:33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5"/>
      <c r="U135" s="13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</row>
    <row r="136" spans="1:33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5"/>
      <c r="U136" s="13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</row>
    <row r="137" spans="1:33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5"/>
      <c r="U137" s="13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</row>
    <row r="138" spans="1:33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5"/>
      <c r="U138" s="13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</row>
    <row r="139" spans="1:33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5"/>
      <c r="U139" s="13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</row>
    <row r="140" spans="1:33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5"/>
      <c r="U140" s="13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</row>
    <row r="141" spans="1:33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5"/>
      <c r="U141" s="13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</row>
    <row r="142" spans="1:33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5"/>
      <c r="U142" s="13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</row>
    <row r="143" spans="1:33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5"/>
      <c r="U143" s="13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</row>
    <row r="144" spans="1:33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5"/>
      <c r="U144" s="13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</row>
    <row r="145" spans="1:33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5"/>
      <c r="U145" s="13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</row>
    <row r="146" spans="1:33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5"/>
      <c r="U146" s="13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</row>
    <row r="147" spans="1:33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5"/>
      <c r="U147" s="13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</row>
    <row r="148" spans="1:33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5"/>
      <c r="U148" s="13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</row>
    <row r="149" spans="1:33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5"/>
      <c r="U149" s="13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</row>
    <row r="150" spans="1:33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5"/>
      <c r="U150" s="13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</row>
    <row r="151" spans="1:33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5"/>
      <c r="U151" s="13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</row>
    <row r="152" spans="1:33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5"/>
      <c r="U152" s="13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</row>
    <row r="153" spans="1:33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5"/>
      <c r="U153" s="13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</row>
    <row r="154" spans="1:33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5"/>
      <c r="U154" s="13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</row>
    <row r="155" spans="1:33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5"/>
      <c r="U155" s="13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</row>
    <row r="156" spans="1:33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5"/>
      <c r="U156" s="13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</row>
    <row r="157" spans="1:33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5"/>
      <c r="U157" s="13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</row>
    <row r="158" spans="1:33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5"/>
      <c r="U158" s="13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</row>
    <row r="159" spans="1:33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5"/>
      <c r="U159" s="13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</row>
    <row r="160" spans="1:33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5"/>
      <c r="U160" s="13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</row>
    <row r="161" spans="1:33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5"/>
      <c r="U161" s="13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</row>
    <row r="162" spans="1:33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5"/>
      <c r="U162" s="13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</row>
    <row r="163" spans="1:33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5"/>
      <c r="U163" s="13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</row>
    <row r="164" spans="1:33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5"/>
      <c r="U164" s="13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</row>
    <row r="165" spans="1:33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5"/>
      <c r="U165" s="13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</row>
    <row r="166" spans="1:33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5"/>
      <c r="U166" s="13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</row>
    <row r="167" spans="1:33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5"/>
      <c r="U167" s="13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</row>
    <row r="168" spans="1:33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5"/>
      <c r="U168" s="13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</row>
    <row r="169" spans="1:33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5"/>
      <c r="U169" s="13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</row>
    <row r="170" spans="1:33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5"/>
      <c r="U170" s="13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</row>
    <row r="171" spans="1:33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5"/>
      <c r="U171" s="13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</row>
    <row r="172" spans="1:33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5"/>
      <c r="U172" s="13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</row>
    <row r="173" spans="1:33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5"/>
      <c r="U173" s="13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</row>
    <row r="174" spans="1:33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5"/>
      <c r="U174" s="13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</row>
    <row r="175" spans="1:33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5"/>
      <c r="U175" s="13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</row>
    <row r="176" spans="1:33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5"/>
      <c r="U176" s="13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</row>
    <row r="177" spans="1:33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5"/>
      <c r="U177" s="13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</row>
    <row r="178" spans="1:33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5"/>
      <c r="U178" s="13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</row>
    <row r="179" spans="1:33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5"/>
      <c r="U179" s="13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</row>
    <row r="180" spans="1:33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5"/>
      <c r="U180" s="13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</row>
    <row r="181" spans="1:33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5"/>
      <c r="U181" s="13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</row>
    <row r="182" spans="1:33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5"/>
      <c r="U182" s="13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</row>
    <row r="183" spans="1:33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5"/>
      <c r="U183" s="13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</row>
    <row r="184" spans="1:33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5"/>
      <c r="U184" s="13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</row>
    <row r="185" spans="1:33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5"/>
      <c r="U185" s="13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</row>
    <row r="186" spans="1:33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5"/>
      <c r="U186" s="13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</row>
    <row r="187" spans="1:33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5"/>
      <c r="U187" s="13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</row>
    <row r="188" spans="1:33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5"/>
      <c r="U188" s="13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</row>
    <row r="189" spans="1:33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5"/>
      <c r="U189" s="13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</row>
    <row r="190" spans="1:33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5"/>
      <c r="U190" s="13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</row>
    <row r="191" spans="1:33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5"/>
      <c r="U191" s="13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</row>
    <row r="192" spans="1:33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5"/>
      <c r="U192" s="13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</row>
    <row r="193" spans="1:33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5"/>
      <c r="U193" s="13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</row>
    <row r="194" spans="1:33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5"/>
      <c r="U194" s="13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</row>
    <row r="195" spans="1:33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5"/>
      <c r="U195" s="13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</row>
    <row r="196" spans="1:33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5"/>
      <c r="U196" s="13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</row>
    <row r="197" spans="1:33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5"/>
      <c r="U197" s="13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</row>
    <row r="198" spans="1:33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5"/>
      <c r="U198" s="13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</row>
    <row r="199" spans="1:33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5"/>
      <c r="U199" s="13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</row>
    <row r="200" spans="1:33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5"/>
      <c r="U200" s="13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</row>
    <row r="201" spans="1:33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5"/>
      <c r="U201" s="13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</row>
    <row r="202" spans="1:33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5"/>
      <c r="U202" s="13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</row>
    <row r="203" spans="1:33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5"/>
      <c r="U203" s="13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</row>
    <row r="204" spans="1:33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5"/>
      <c r="U204" s="13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</row>
    <row r="205" spans="1:33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5"/>
      <c r="U205" s="13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</row>
    <row r="206" spans="1:33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</row>
  </sheetData>
  <mergeCells count="6">
    <mergeCell ref="A1:M1"/>
    <mergeCell ref="A2:M2"/>
    <mergeCell ref="A4:S4"/>
    <mergeCell ref="O2:S2"/>
    <mergeCell ref="F3:G3"/>
    <mergeCell ref="H3:N3"/>
  </mergeCells>
  <phoneticPr fontId="0" type="noConversion"/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9220" r:id="rId4" name="ClearPortfolioData">
          <controlPr defaultSize="0" autoLine="0" r:id="rId5">
            <anchor>
              <from>
                <xdr:col>2</xdr:col>
                <xdr:colOff>447675</xdr:colOff>
                <xdr:row>1</xdr:row>
                <xdr:rowOff>28575</xdr:rowOff>
              </from>
              <to>
                <xdr:col>4</xdr:col>
                <xdr:colOff>590550</xdr:colOff>
                <xdr:row>2</xdr:row>
                <xdr:rowOff>28575</xdr:rowOff>
              </to>
            </anchor>
          </controlPr>
        </control>
      </mc:Choice>
      <mc:Fallback>
        <control shapeId="9220" r:id="rId4" name="ClearPortfolioData"/>
      </mc:Fallback>
    </mc:AlternateContent>
    <mc:AlternateContent xmlns:mc="http://schemas.openxmlformats.org/markup-compatibility/2006">
      <mc:Choice Requires="x14">
        <control shapeId="9222" r:id="rId6" name="RequestMarketData">
          <controlPr defaultSize="0" autoLine="0" r:id="rId7">
            <anchor moveWithCells="1">
              <from>
                <xdr:col>0</xdr:col>
                <xdr:colOff>0</xdr:colOff>
                <xdr:row>1</xdr:row>
                <xdr:rowOff>9525</xdr:rowOff>
              </from>
              <to>
                <xdr:col>2</xdr:col>
                <xdr:colOff>409575</xdr:colOff>
                <xdr:row>2</xdr:row>
                <xdr:rowOff>38100</xdr:rowOff>
              </to>
            </anchor>
          </controlPr>
        </control>
      </mc:Choice>
      <mc:Fallback>
        <control shapeId="9222" r:id="rId6" name="RequestMarketDat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D171"/>
  <sheetViews>
    <sheetView topLeftCell="B1" zoomScale="75" zoomScaleNormal="75" workbookViewId="0">
      <selection activeCell="D25" sqref="D25"/>
    </sheetView>
  </sheetViews>
  <sheetFormatPr defaultRowHeight="15" x14ac:dyDescent="0.25"/>
  <cols>
    <col min="1" max="1" width="9.140625" customWidth="1"/>
    <col min="2" max="2" width="13.7109375" customWidth="1"/>
    <col min="3" max="3" width="17.140625" customWidth="1"/>
    <col min="4" max="4" width="136.42578125" customWidth="1"/>
  </cols>
  <sheetData>
    <row r="1" spans="1:4" x14ac:dyDescent="0.25">
      <c r="A1" s="32" t="s">
        <v>0</v>
      </c>
      <c r="B1" s="55"/>
      <c r="C1" s="55"/>
      <c r="D1" s="55"/>
    </row>
    <row r="2" spans="1:4" ht="30" customHeight="1" x14ac:dyDescent="0.25">
      <c r="A2" s="56"/>
      <c r="B2" s="56"/>
      <c r="C2" s="56"/>
      <c r="D2" s="56"/>
    </row>
    <row r="4" spans="1:4" x14ac:dyDescent="0.25">
      <c r="A4" s="57" t="s">
        <v>49</v>
      </c>
      <c r="B4" s="57"/>
      <c r="C4" s="57"/>
      <c r="D4" s="57"/>
    </row>
    <row r="5" spans="1:4" x14ac:dyDescent="0.25">
      <c r="A5" s="9" t="s">
        <v>24</v>
      </c>
      <c r="B5" s="9" t="s">
        <v>50</v>
      </c>
      <c r="C5" s="9" t="s">
        <v>48</v>
      </c>
      <c r="D5" s="9" t="s">
        <v>51</v>
      </c>
    </row>
    <row r="6" spans="1:4" x14ac:dyDescent="0.25">
      <c r="A6">
        <v>-1</v>
      </c>
      <c r="B6">
        <v>508</v>
      </c>
      <c r="C6" s="10">
        <v>41949.678576388891</v>
      </c>
      <c r="D6" s="11" t="s">
        <v>74</v>
      </c>
    </row>
    <row r="7" spans="1:4" x14ac:dyDescent="0.25">
      <c r="A7">
        <v>-1</v>
      </c>
      <c r="B7">
        <v>504</v>
      </c>
      <c r="C7" s="10">
        <v>41949.67869212963</v>
      </c>
      <c r="D7" s="11" t="s">
        <v>75</v>
      </c>
    </row>
    <row r="8" spans="1:4" x14ac:dyDescent="0.25">
      <c r="C8" s="10"/>
      <c r="D8" s="11"/>
    </row>
    <row r="9" spans="1:4" x14ac:dyDescent="0.25">
      <c r="C9" s="10"/>
      <c r="D9" s="11"/>
    </row>
    <row r="10" spans="1:4" x14ac:dyDescent="0.25">
      <c r="C10" s="10"/>
      <c r="D10" s="11"/>
    </row>
    <row r="11" spans="1:4" x14ac:dyDescent="0.25">
      <c r="C11" s="10"/>
      <c r="D11" s="11"/>
    </row>
    <row r="12" spans="1:4" x14ac:dyDescent="0.25">
      <c r="C12" s="10"/>
      <c r="D12" s="11"/>
    </row>
    <row r="13" spans="1:4" x14ac:dyDescent="0.25">
      <c r="C13" s="10"/>
      <c r="D13" s="11"/>
    </row>
    <row r="14" spans="1:4" x14ac:dyDescent="0.25">
      <c r="C14" s="10"/>
      <c r="D14" s="11"/>
    </row>
    <row r="15" spans="1:4" x14ac:dyDescent="0.25">
      <c r="C15" s="10"/>
      <c r="D15" s="11"/>
    </row>
    <row r="16" spans="1:4" x14ac:dyDescent="0.25">
      <c r="C16" s="10"/>
      <c r="D16" s="11"/>
    </row>
    <row r="17" spans="3:4" x14ac:dyDescent="0.25">
      <c r="C17" s="10"/>
      <c r="D17" s="11"/>
    </row>
    <row r="18" spans="3:4" x14ac:dyDescent="0.25">
      <c r="C18" s="10"/>
      <c r="D18" s="11"/>
    </row>
    <row r="19" spans="3:4" x14ac:dyDescent="0.25">
      <c r="C19" s="10"/>
      <c r="D19" s="11"/>
    </row>
    <row r="20" spans="3:4" x14ac:dyDescent="0.25">
      <c r="C20" s="10"/>
    </row>
    <row r="21" spans="3:4" x14ac:dyDescent="0.25">
      <c r="C21" s="10"/>
      <c r="D21" s="11"/>
    </row>
    <row r="22" spans="3:4" x14ac:dyDescent="0.25">
      <c r="C22" s="10"/>
      <c r="D22" s="11"/>
    </row>
    <row r="23" spans="3:4" x14ac:dyDescent="0.25">
      <c r="C23" s="10"/>
      <c r="D23" s="11"/>
    </row>
    <row r="24" spans="3:4" x14ac:dyDescent="0.25">
      <c r="C24" s="10"/>
      <c r="D24" s="11"/>
    </row>
    <row r="25" spans="3:4" x14ac:dyDescent="0.25">
      <c r="C25" s="10"/>
      <c r="D25" s="11"/>
    </row>
    <row r="26" spans="3:4" x14ac:dyDescent="0.25">
      <c r="C26" s="10"/>
      <c r="D26" s="11"/>
    </row>
    <row r="27" spans="3:4" x14ac:dyDescent="0.25">
      <c r="C27" s="10"/>
      <c r="D27" s="11"/>
    </row>
    <row r="28" spans="3:4" x14ac:dyDescent="0.25">
      <c r="C28" s="10"/>
    </row>
    <row r="29" spans="3:4" x14ac:dyDescent="0.25">
      <c r="C29" s="10"/>
      <c r="D29" s="11"/>
    </row>
    <row r="30" spans="3:4" x14ac:dyDescent="0.25">
      <c r="C30" s="10"/>
      <c r="D30" s="11"/>
    </row>
    <row r="31" spans="3:4" x14ac:dyDescent="0.25">
      <c r="C31" s="10"/>
      <c r="D31" s="11"/>
    </row>
    <row r="32" spans="3:4" x14ac:dyDescent="0.25">
      <c r="C32" s="10"/>
      <c r="D32" s="11"/>
    </row>
    <row r="33" spans="3:4" x14ac:dyDescent="0.25">
      <c r="C33" s="10"/>
      <c r="D33" s="11"/>
    </row>
    <row r="34" spans="3:4" x14ac:dyDescent="0.25">
      <c r="C34" s="10"/>
      <c r="D34" s="11"/>
    </row>
    <row r="35" spans="3:4" x14ac:dyDescent="0.25">
      <c r="C35" s="10"/>
      <c r="D35" s="11"/>
    </row>
    <row r="36" spans="3:4" x14ac:dyDescent="0.25">
      <c r="C36" s="10"/>
    </row>
    <row r="37" spans="3:4" x14ac:dyDescent="0.25">
      <c r="C37" s="10"/>
    </row>
    <row r="38" spans="3:4" x14ac:dyDescent="0.25">
      <c r="C38" s="10"/>
    </row>
    <row r="39" spans="3:4" x14ac:dyDescent="0.25">
      <c r="C39" s="10"/>
    </row>
    <row r="40" spans="3:4" x14ac:dyDescent="0.25">
      <c r="C40" s="10"/>
    </row>
    <row r="41" spans="3:4" x14ac:dyDescent="0.25">
      <c r="C41" s="10"/>
    </row>
    <row r="42" spans="3:4" x14ac:dyDescent="0.25">
      <c r="C42" s="10"/>
    </row>
    <row r="43" spans="3:4" x14ac:dyDescent="0.25">
      <c r="C43" s="10"/>
    </row>
    <row r="44" spans="3:4" x14ac:dyDescent="0.25">
      <c r="C44" s="10"/>
    </row>
    <row r="45" spans="3:4" x14ac:dyDescent="0.25">
      <c r="C45" s="10"/>
    </row>
    <row r="46" spans="3:4" x14ac:dyDescent="0.25">
      <c r="C46" s="10"/>
    </row>
    <row r="47" spans="3:4" x14ac:dyDescent="0.25">
      <c r="C47" s="10"/>
    </row>
    <row r="48" spans="3:4" x14ac:dyDescent="0.25">
      <c r="C48" s="10"/>
    </row>
    <row r="49" spans="3:3" x14ac:dyDescent="0.25">
      <c r="C49" s="10"/>
    </row>
    <row r="50" spans="3:3" x14ac:dyDescent="0.25">
      <c r="C50" s="10"/>
    </row>
    <row r="51" spans="3:3" x14ac:dyDescent="0.25">
      <c r="C51" s="10"/>
    </row>
    <row r="52" spans="3:3" x14ac:dyDescent="0.25">
      <c r="C52" s="10"/>
    </row>
    <row r="53" spans="3:3" x14ac:dyDescent="0.25">
      <c r="C53" s="10"/>
    </row>
    <row r="54" spans="3:3" x14ac:dyDescent="0.25">
      <c r="C54" s="10"/>
    </row>
    <row r="55" spans="3:3" x14ac:dyDescent="0.25">
      <c r="C55" s="10"/>
    </row>
    <row r="56" spans="3:3" x14ac:dyDescent="0.25">
      <c r="C56" s="10"/>
    </row>
    <row r="57" spans="3:3" x14ac:dyDescent="0.25">
      <c r="C57" s="10"/>
    </row>
    <row r="58" spans="3:3" x14ac:dyDescent="0.25">
      <c r="C58" s="10"/>
    </row>
    <row r="59" spans="3:3" x14ac:dyDescent="0.25">
      <c r="C59" s="10"/>
    </row>
    <row r="60" spans="3:3" x14ac:dyDescent="0.25">
      <c r="C60" s="10"/>
    </row>
    <row r="61" spans="3:3" x14ac:dyDescent="0.25">
      <c r="C61" s="10"/>
    </row>
    <row r="62" spans="3:3" x14ac:dyDescent="0.25">
      <c r="C62" s="10"/>
    </row>
    <row r="63" spans="3:3" x14ac:dyDescent="0.25">
      <c r="C63" s="10"/>
    </row>
    <row r="64" spans="3:3" x14ac:dyDescent="0.25">
      <c r="C64" s="10"/>
    </row>
    <row r="65" spans="3:3" x14ac:dyDescent="0.25">
      <c r="C65" s="10"/>
    </row>
    <row r="66" spans="3:3" x14ac:dyDescent="0.25">
      <c r="C66" s="10"/>
    </row>
    <row r="67" spans="3:3" x14ac:dyDescent="0.25">
      <c r="C67" s="10"/>
    </row>
    <row r="68" spans="3:3" x14ac:dyDescent="0.25">
      <c r="C68" s="10"/>
    </row>
    <row r="69" spans="3:3" x14ac:dyDescent="0.25">
      <c r="C69" s="10"/>
    </row>
    <row r="70" spans="3:3" x14ac:dyDescent="0.25">
      <c r="C70" s="10"/>
    </row>
    <row r="71" spans="3:3" x14ac:dyDescent="0.25">
      <c r="C71" s="10"/>
    </row>
    <row r="72" spans="3:3" x14ac:dyDescent="0.25">
      <c r="C72" s="10"/>
    </row>
    <row r="73" spans="3:3" x14ac:dyDescent="0.25">
      <c r="C73" s="10"/>
    </row>
    <row r="74" spans="3:3" x14ac:dyDescent="0.25">
      <c r="C74" s="10"/>
    </row>
    <row r="75" spans="3:3" x14ac:dyDescent="0.25">
      <c r="C75" s="10"/>
    </row>
    <row r="76" spans="3:3" x14ac:dyDescent="0.25">
      <c r="C76" s="10"/>
    </row>
    <row r="77" spans="3:3" x14ac:dyDescent="0.25">
      <c r="C77" s="10"/>
    </row>
    <row r="78" spans="3:3" x14ac:dyDescent="0.25">
      <c r="C78" s="10"/>
    </row>
    <row r="79" spans="3:3" x14ac:dyDescent="0.25">
      <c r="C79" s="10"/>
    </row>
    <row r="80" spans="3:3" x14ac:dyDescent="0.25">
      <c r="C80" s="10"/>
    </row>
    <row r="81" spans="3:3" x14ac:dyDescent="0.25">
      <c r="C81" s="10"/>
    </row>
    <row r="82" spans="3:3" x14ac:dyDescent="0.25">
      <c r="C82" s="10"/>
    </row>
    <row r="83" spans="3:3" x14ac:dyDescent="0.25">
      <c r="C83" s="10"/>
    </row>
    <row r="84" spans="3:3" x14ac:dyDescent="0.25">
      <c r="C84" s="10"/>
    </row>
    <row r="85" spans="3:3" x14ac:dyDescent="0.25">
      <c r="C85" s="10"/>
    </row>
    <row r="86" spans="3:3" x14ac:dyDescent="0.25">
      <c r="C86" s="10"/>
    </row>
    <row r="87" spans="3:3" x14ac:dyDescent="0.25">
      <c r="C87" s="10"/>
    </row>
    <row r="88" spans="3:3" x14ac:dyDescent="0.25">
      <c r="C88" s="10"/>
    </row>
    <row r="89" spans="3:3" x14ac:dyDescent="0.25">
      <c r="C89" s="10"/>
    </row>
    <row r="90" spans="3:3" x14ac:dyDescent="0.25">
      <c r="C90" s="10"/>
    </row>
    <row r="91" spans="3:3" x14ac:dyDescent="0.25">
      <c r="C91" s="10"/>
    </row>
    <row r="92" spans="3:3" x14ac:dyDescent="0.25">
      <c r="C92" s="10"/>
    </row>
    <row r="93" spans="3:3" x14ac:dyDescent="0.25">
      <c r="C93" s="10"/>
    </row>
    <row r="94" spans="3:3" x14ac:dyDescent="0.25">
      <c r="C94" s="10"/>
    </row>
    <row r="95" spans="3:3" x14ac:dyDescent="0.25">
      <c r="C95" s="10"/>
    </row>
    <row r="96" spans="3:3" x14ac:dyDescent="0.25">
      <c r="C96" s="10"/>
    </row>
    <row r="97" spans="3:3" x14ac:dyDescent="0.25">
      <c r="C97" s="10"/>
    </row>
    <row r="98" spans="3:3" x14ac:dyDescent="0.25">
      <c r="C98" s="10"/>
    </row>
    <row r="99" spans="3:3" x14ac:dyDescent="0.25">
      <c r="C99" s="10"/>
    </row>
    <row r="100" spans="3:3" x14ac:dyDescent="0.25">
      <c r="C100" s="10"/>
    </row>
    <row r="101" spans="3:3" x14ac:dyDescent="0.25">
      <c r="C101" s="10"/>
    </row>
    <row r="102" spans="3:3" x14ac:dyDescent="0.25">
      <c r="C102" s="10"/>
    </row>
    <row r="103" spans="3:3" x14ac:dyDescent="0.25">
      <c r="C103" s="10"/>
    </row>
    <row r="104" spans="3:3" x14ac:dyDescent="0.25">
      <c r="C104" s="10"/>
    </row>
    <row r="105" spans="3:3" x14ac:dyDescent="0.25">
      <c r="C105" s="10"/>
    </row>
    <row r="106" spans="3:3" x14ac:dyDescent="0.25">
      <c r="C106" s="10"/>
    </row>
    <row r="107" spans="3:3" x14ac:dyDescent="0.25">
      <c r="C107" s="10"/>
    </row>
    <row r="108" spans="3:3" x14ac:dyDescent="0.25">
      <c r="C108" s="10"/>
    </row>
    <row r="109" spans="3:3" x14ac:dyDescent="0.25">
      <c r="C109" s="10"/>
    </row>
    <row r="110" spans="3:3" x14ac:dyDescent="0.25">
      <c r="C110" s="10"/>
    </row>
    <row r="111" spans="3:3" x14ac:dyDescent="0.25">
      <c r="C111" s="10"/>
    </row>
    <row r="112" spans="3:3" x14ac:dyDescent="0.25">
      <c r="C112" s="10"/>
    </row>
    <row r="113" spans="3:3" x14ac:dyDescent="0.25">
      <c r="C113" s="10"/>
    </row>
    <row r="114" spans="3:3" x14ac:dyDescent="0.25">
      <c r="C114" s="10"/>
    </row>
    <row r="115" spans="3:3" x14ac:dyDescent="0.25">
      <c r="C115" s="10"/>
    </row>
    <row r="116" spans="3:3" x14ac:dyDescent="0.25">
      <c r="C116" s="10"/>
    </row>
    <row r="117" spans="3:3" x14ac:dyDescent="0.25">
      <c r="C117" s="10"/>
    </row>
    <row r="118" spans="3:3" x14ac:dyDescent="0.25">
      <c r="C118" s="10"/>
    </row>
    <row r="119" spans="3:3" x14ac:dyDescent="0.25">
      <c r="C119" s="10"/>
    </row>
    <row r="120" spans="3:3" x14ac:dyDescent="0.25">
      <c r="C120" s="10"/>
    </row>
    <row r="121" spans="3:3" x14ac:dyDescent="0.25">
      <c r="C121" s="10"/>
    </row>
    <row r="122" spans="3:3" x14ac:dyDescent="0.25">
      <c r="C122" s="10"/>
    </row>
    <row r="123" spans="3:3" x14ac:dyDescent="0.25">
      <c r="C123" s="10"/>
    </row>
    <row r="124" spans="3:3" x14ac:dyDescent="0.25">
      <c r="C124" s="10"/>
    </row>
    <row r="125" spans="3:3" x14ac:dyDescent="0.25">
      <c r="C125" s="10"/>
    </row>
    <row r="126" spans="3:3" x14ac:dyDescent="0.25">
      <c r="C126" s="10"/>
    </row>
    <row r="127" spans="3:3" x14ac:dyDescent="0.25">
      <c r="C127" s="10"/>
    </row>
    <row r="128" spans="3:3" x14ac:dyDescent="0.25">
      <c r="C128" s="10"/>
    </row>
    <row r="129" spans="3:3" x14ac:dyDescent="0.25">
      <c r="C129" s="10"/>
    </row>
    <row r="130" spans="3:3" x14ac:dyDescent="0.25">
      <c r="C130" s="10"/>
    </row>
    <row r="131" spans="3:3" x14ac:dyDescent="0.25">
      <c r="C131" s="10"/>
    </row>
    <row r="132" spans="3:3" x14ac:dyDescent="0.25">
      <c r="C132" s="10"/>
    </row>
    <row r="133" spans="3:3" x14ac:dyDescent="0.25">
      <c r="C133" s="10"/>
    </row>
    <row r="134" spans="3:3" x14ac:dyDescent="0.25">
      <c r="C134" s="10"/>
    </row>
    <row r="135" spans="3:3" x14ac:dyDescent="0.25">
      <c r="C135" s="10"/>
    </row>
    <row r="136" spans="3:3" x14ac:dyDescent="0.25">
      <c r="C136" s="10"/>
    </row>
    <row r="137" spans="3:3" x14ac:dyDescent="0.25">
      <c r="C137" s="10"/>
    </row>
    <row r="138" spans="3:3" x14ac:dyDescent="0.25">
      <c r="C138" s="10"/>
    </row>
    <row r="139" spans="3:3" x14ac:dyDescent="0.25">
      <c r="C139" s="10"/>
    </row>
    <row r="140" spans="3:3" x14ac:dyDescent="0.25">
      <c r="C140" s="10"/>
    </row>
    <row r="141" spans="3:3" x14ac:dyDescent="0.25">
      <c r="C141" s="10"/>
    </row>
    <row r="142" spans="3:3" x14ac:dyDescent="0.25">
      <c r="C142" s="10"/>
    </row>
    <row r="143" spans="3:3" x14ac:dyDescent="0.25">
      <c r="C143" s="10"/>
    </row>
    <row r="144" spans="3:3" x14ac:dyDescent="0.25">
      <c r="C144" s="10"/>
    </row>
    <row r="145" spans="3:3" x14ac:dyDescent="0.25">
      <c r="C145" s="10"/>
    </row>
    <row r="146" spans="3:3" x14ac:dyDescent="0.25">
      <c r="C146" s="10"/>
    </row>
    <row r="147" spans="3:3" x14ac:dyDescent="0.25">
      <c r="C147" s="10"/>
    </row>
    <row r="148" spans="3:3" x14ac:dyDescent="0.25">
      <c r="C148" s="10"/>
    </row>
    <row r="149" spans="3:3" x14ac:dyDescent="0.25">
      <c r="C149" s="10"/>
    </row>
    <row r="150" spans="3:3" x14ac:dyDescent="0.25">
      <c r="C150" s="10"/>
    </row>
    <row r="151" spans="3:3" x14ac:dyDescent="0.25">
      <c r="C151" s="10"/>
    </row>
    <row r="152" spans="3:3" x14ac:dyDescent="0.25">
      <c r="C152" s="10"/>
    </row>
    <row r="153" spans="3:3" x14ac:dyDescent="0.25">
      <c r="C153" s="10"/>
    </row>
    <row r="154" spans="3:3" x14ac:dyDescent="0.25">
      <c r="C154" s="10"/>
    </row>
    <row r="155" spans="3:3" x14ac:dyDescent="0.25">
      <c r="C155" s="10"/>
    </row>
    <row r="156" spans="3:3" x14ac:dyDescent="0.25">
      <c r="C156" s="10"/>
    </row>
    <row r="157" spans="3:3" x14ac:dyDescent="0.25">
      <c r="C157" s="10"/>
    </row>
    <row r="158" spans="3:3" x14ac:dyDescent="0.25">
      <c r="C158" s="10"/>
    </row>
    <row r="159" spans="3:3" x14ac:dyDescent="0.25">
      <c r="C159" s="10"/>
    </row>
    <row r="160" spans="3:3" x14ac:dyDescent="0.25">
      <c r="C160" s="10"/>
    </row>
    <row r="161" spans="3:3" x14ac:dyDescent="0.25">
      <c r="C161" s="10"/>
    </row>
    <row r="162" spans="3:3" x14ac:dyDescent="0.25">
      <c r="C162" s="10"/>
    </row>
    <row r="163" spans="3:3" x14ac:dyDescent="0.25">
      <c r="C163" s="10"/>
    </row>
    <row r="164" spans="3:3" x14ac:dyDescent="0.25">
      <c r="C164" s="10"/>
    </row>
    <row r="165" spans="3:3" x14ac:dyDescent="0.25">
      <c r="C165" s="10"/>
    </row>
    <row r="166" spans="3:3" x14ac:dyDescent="0.25">
      <c r="C166" s="10"/>
    </row>
    <row r="167" spans="3:3" x14ac:dyDescent="0.25">
      <c r="C167" s="10"/>
    </row>
    <row r="168" spans="3:3" x14ac:dyDescent="0.25">
      <c r="C168" s="10"/>
    </row>
    <row r="169" spans="3:3" x14ac:dyDescent="0.25">
      <c r="C169" s="10"/>
    </row>
    <row r="170" spans="3:3" x14ac:dyDescent="0.25">
      <c r="C170" s="10"/>
    </row>
    <row r="171" spans="3:3" x14ac:dyDescent="0.25">
      <c r="C171" s="10"/>
    </row>
  </sheetData>
  <mergeCells count="3">
    <mergeCell ref="A1:D1"/>
    <mergeCell ref="A2:D2"/>
    <mergeCell ref="A4:D4"/>
  </mergeCells>
  <phoneticPr fontId="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learLog">
          <controlPr defaultSize="0" autoLine="0" autoPict="0" r:id="rId4">
            <anchor moveWithCells="1">
              <from>
                <xdr:col>0</xdr:col>
                <xdr:colOff>9525</xdr:colOff>
                <xdr:row>1</xdr:row>
                <xdr:rowOff>19050</xdr:rowOff>
              </from>
              <to>
                <xdr:col>1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22529" r:id="rId3" name="ClearLo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Account</vt:lpstr>
      <vt:lpstr>General</vt:lpstr>
      <vt:lpstr>Monitor</vt:lpstr>
      <vt:lpstr>Portfolio</vt:lpstr>
      <vt:lpstr>Log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2014-11-10T12:58:38Z</dcterms:modified>
</cp:coreProperties>
</file>