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X42" i="15" l="1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41" i="15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AA61" i="15"/>
  <c r="Z61" i="15"/>
  <c r="W61" i="15"/>
  <c r="U61" i="15"/>
  <c r="AA60" i="15"/>
  <c r="Z60" i="15"/>
  <c r="W60" i="15"/>
  <c r="U60" i="15"/>
  <c r="AA59" i="15"/>
  <c r="Z59" i="15"/>
  <c r="W59" i="15"/>
  <c r="U59" i="15"/>
  <c r="AA58" i="15"/>
  <c r="Z58" i="15"/>
  <c r="W58" i="15"/>
  <c r="U58" i="15"/>
  <c r="AA57" i="15"/>
  <c r="Z57" i="15"/>
  <c r="W57" i="15"/>
  <c r="U57" i="15"/>
  <c r="AA56" i="15"/>
  <c r="Z56" i="15"/>
  <c r="W56" i="15"/>
  <c r="U56" i="15"/>
  <c r="AA55" i="15"/>
  <c r="Z55" i="15"/>
  <c r="W55" i="15"/>
  <c r="U55" i="15"/>
  <c r="AA54" i="15"/>
  <c r="Z54" i="15"/>
  <c r="W54" i="15"/>
  <c r="U54" i="15"/>
  <c r="AA53" i="15"/>
  <c r="Z53" i="15"/>
  <c r="W53" i="15"/>
  <c r="U53" i="15"/>
  <c r="AA52" i="15"/>
  <c r="Z52" i="15"/>
  <c r="W52" i="15"/>
  <c r="U52" i="15"/>
  <c r="AA51" i="15"/>
  <c r="AB51" i="15" s="1"/>
  <c r="AC51" i="15" s="1"/>
  <c r="AD51" i="15" s="1"/>
  <c r="W51" i="15"/>
  <c r="U51" i="15"/>
  <c r="AA50" i="15"/>
  <c r="Z50" i="15"/>
  <c r="W50" i="15"/>
  <c r="U50" i="15"/>
  <c r="AA49" i="15"/>
  <c r="Z49" i="15"/>
  <c r="W49" i="15"/>
  <c r="U49" i="15"/>
  <c r="AA48" i="15"/>
  <c r="Z48" i="15"/>
  <c r="W48" i="15"/>
  <c r="U48" i="15"/>
  <c r="AA47" i="15"/>
  <c r="Z47" i="15"/>
  <c r="W47" i="15"/>
  <c r="U47" i="15"/>
  <c r="AA46" i="15"/>
  <c r="Z46" i="15"/>
  <c r="W46" i="15"/>
  <c r="U46" i="15"/>
  <c r="AA45" i="15"/>
  <c r="Z45" i="15"/>
  <c r="W45" i="15"/>
  <c r="U45" i="15"/>
  <c r="AA44" i="15"/>
  <c r="Z44" i="15"/>
  <c r="W44" i="15"/>
  <c r="U44" i="15"/>
  <c r="AA43" i="15"/>
  <c r="Z43" i="15"/>
  <c r="W43" i="15"/>
  <c r="U43" i="15"/>
  <c r="AA42" i="15"/>
  <c r="Z42" i="15"/>
  <c r="W42" i="15"/>
  <c r="U42" i="15"/>
  <c r="AA41" i="15"/>
  <c r="Z41" i="15"/>
  <c r="W41" i="15"/>
  <c r="U41" i="15"/>
  <c r="X27" i="15"/>
  <c r="AE51" i="13"/>
  <c r="AE57" i="13"/>
  <c r="AE113" i="13"/>
  <c r="AE81" i="13"/>
  <c r="AE112" i="13"/>
  <c r="AE111" i="13"/>
  <c r="AE68" i="13"/>
  <c r="AE49" i="13"/>
  <c r="AE27" i="13"/>
  <c r="AE32" i="13"/>
  <c r="AE42" i="13"/>
  <c r="AE91" i="13"/>
  <c r="AE14" i="13"/>
  <c r="AE48" i="13"/>
  <c r="AE72" i="13"/>
  <c r="AE88" i="13"/>
  <c r="AE13" i="13"/>
  <c r="AE62" i="13"/>
  <c r="AE90" i="13"/>
  <c r="AE114" i="13"/>
  <c r="AE36" i="13"/>
  <c r="AE22" i="13"/>
  <c r="AE123" i="13"/>
  <c r="AE115" i="13"/>
  <c r="AE98" i="13"/>
  <c r="AE67" i="13"/>
  <c r="AE69" i="13"/>
  <c r="AE56" i="13"/>
  <c r="AE6" i="13"/>
  <c r="AE121" i="13"/>
  <c r="AE117" i="13"/>
  <c r="AE63" i="13"/>
  <c r="AE12" i="13"/>
  <c r="AE84" i="13"/>
  <c r="AE19" i="13"/>
  <c r="AE65" i="13"/>
  <c r="AE108" i="13"/>
  <c r="AE46" i="13"/>
  <c r="AE97" i="13"/>
  <c r="AE70" i="13"/>
  <c r="AE11" i="13"/>
  <c r="AE101" i="13"/>
  <c r="AE89" i="13"/>
  <c r="AE73" i="13"/>
  <c r="AE96" i="13"/>
  <c r="AE39" i="13"/>
  <c r="AE106" i="13"/>
  <c r="AE23" i="13"/>
  <c r="AE40" i="13"/>
  <c r="AE92" i="13"/>
  <c r="AE18" i="13"/>
  <c r="AE85" i="13"/>
  <c r="AE55" i="13"/>
  <c r="AE24" i="13"/>
  <c r="AE99" i="13"/>
  <c r="AE103" i="13"/>
  <c r="AE37" i="13"/>
  <c r="AE110" i="13"/>
  <c r="AE29" i="13"/>
  <c r="AE79" i="13"/>
  <c r="AE100" i="13"/>
  <c r="AE10" i="13"/>
  <c r="AE102" i="13"/>
  <c r="AE15" i="13"/>
  <c r="AE82" i="13"/>
  <c r="AE43" i="13"/>
  <c r="AE77" i="13"/>
  <c r="AE17" i="13"/>
  <c r="AE93" i="13"/>
  <c r="AE116" i="13"/>
  <c r="AE52" i="13"/>
  <c r="AE107" i="13"/>
  <c r="AE120" i="13"/>
  <c r="AE58" i="13"/>
  <c r="AE66" i="13"/>
  <c r="AE125" i="13"/>
  <c r="AE21" i="13"/>
  <c r="AE104" i="13"/>
  <c r="AE105" i="13"/>
  <c r="AE44" i="13"/>
  <c r="AE50" i="13"/>
  <c r="AE45" i="13"/>
  <c r="AE94" i="13"/>
  <c r="AE59" i="13"/>
  <c r="AE80" i="13"/>
  <c r="AE119" i="13"/>
  <c r="AE86" i="13"/>
  <c r="AE109" i="13"/>
  <c r="AE35" i="13"/>
  <c r="AE60" i="13"/>
  <c r="AE7" i="13"/>
  <c r="AE118" i="13"/>
  <c r="AE75" i="13"/>
  <c r="AE41" i="13"/>
  <c r="AE8" i="13"/>
  <c r="AE83" i="13"/>
  <c r="AE25" i="13"/>
  <c r="AE28" i="13"/>
  <c r="AE74" i="13"/>
  <c r="AE26" i="13"/>
  <c r="AE54" i="13"/>
  <c r="AE30" i="13"/>
  <c r="AE34" i="13"/>
  <c r="AE64" i="13"/>
  <c r="AE95" i="13"/>
  <c r="AE53" i="13"/>
  <c r="AE71" i="13"/>
  <c r="AE38" i="13"/>
  <c r="AE122" i="13"/>
  <c r="AE9" i="13"/>
  <c r="AE16" i="13"/>
  <c r="AE61" i="13"/>
  <c r="AE78" i="13"/>
  <c r="AE87" i="13"/>
  <c r="AE76" i="13"/>
  <c r="AE20" i="13"/>
  <c r="AE124" i="13"/>
  <c r="AE33" i="13"/>
  <c r="AE31" i="13"/>
  <c r="AE47" i="13"/>
  <c r="Y2" i="15" l="1"/>
  <c r="AB43" i="15"/>
  <c r="AC43" i="15" s="1"/>
  <c r="AD43" i="15" s="1"/>
  <c r="AB48" i="15"/>
  <c r="AC48" i="15" s="1"/>
  <c r="AD48" i="15" s="1"/>
  <c r="AA2" i="15"/>
  <c r="AB2" i="15" s="1"/>
  <c r="AB46" i="15"/>
  <c r="AC46" i="15" s="1"/>
  <c r="AD46" i="15" s="1"/>
  <c r="AB49" i="15"/>
  <c r="AC49" i="15" s="1"/>
  <c r="AD49" i="15" s="1"/>
  <c r="AB50" i="15"/>
  <c r="AC50" i="15" s="1"/>
  <c r="AD50" i="15" s="1"/>
  <c r="AG84" i="13"/>
  <c r="AC84" i="13"/>
  <c r="AF84" i="13"/>
  <c r="AG86" i="13"/>
  <c r="AC86" i="13"/>
  <c r="AF86" i="13"/>
  <c r="AG88" i="13"/>
  <c r="AC88" i="13"/>
  <c r="AF88" i="13"/>
  <c r="AG90" i="13"/>
  <c r="AC90" i="13"/>
  <c r="AF90" i="13"/>
  <c r="AG92" i="13"/>
  <c r="AC92" i="13"/>
  <c r="AF92" i="13"/>
  <c r="AG94" i="13"/>
  <c r="AC94" i="13"/>
  <c r="AF94" i="13"/>
  <c r="AG96" i="13"/>
  <c r="AC96" i="13"/>
  <c r="AF96" i="13"/>
  <c r="AG98" i="13"/>
  <c r="AC98" i="13"/>
  <c r="AF98" i="13"/>
  <c r="AG100" i="13"/>
  <c r="AC100" i="13"/>
  <c r="AF100" i="13"/>
  <c r="AG102" i="13"/>
  <c r="AC102" i="13"/>
  <c r="AF102" i="13"/>
  <c r="AG104" i="13"/>
  <c r="AC104" i="13"/>
  <c r="AF104" i="13"/>
  <c r="AG106" i="13"/>
  <c r="AC106" i="13"/>
  <c r="AF106" i="13"/>
  <c r="AG108" i="13"/>
  <c r="AC108" i="13"/>
  <c r="AF108" i="13"/>
  <c r="AG110" i="13"/>
  <c r="AC110" i="13"/>
  <c r="AF110" i="13"/>
  <c r="AG112" i="13"/>
  <c r="AC112" i="13"/>
  <c r="AF112" i="13"/>
  <c r="AG114" i="13"/>
  <c r="AC114" i="13"/>
  <c r="AF114" i="13"/>
  <c r="AG116" i="13"/>
  <c r="AC116" i="13"/>
  <c r="AF116" i="13"/>
  <c r="AG118" i="13"/>
  <c r="AC118" i="13"/>
  <c r="AF118" i="13"/>
  <c r="AG120" i="13"/>
  <c r="AC120" i="13"/>
  <c r="AF120" i="13"/>
  <c r="AG122" i="13"/>
  <c r="AC122" i="13"/>
  <c r="AF122" i="13"/>
  <c r="AG124" i="13"/>
  <c r="AC124" i="13"/>
  <c r="AF124" i="13"/>
  <c r="AF19" i="13"/>
  <c r="AG19" i="13"/>
  <c r="AC19" i="13"/>
  <c r="AF20" i="13"/>
  <c r="AC20" i="13"/>
  <c r="AG20" i="13"/>
  <c r="AF21" i="13"/>
  <c r="AG21" i="13"/>
  <c r="AC21" i="13"/>
  <c r="AF22" i="13"/>
  <c r="AC22" i="13"/>
  <c r="AG22" i="13"/>
  <c r="AF23" i="13"/>
  <c r="AG23" i="13"/>
  <c r="AC23" i="13"/>
  <c r="AF24" i="13"/>
  <c r="AC24" i="13"/>
  <c r="AG24" i="13"/>
  <c r="AF25" i="13"/>
  <c r="AG25" i="13"/>
  <c r="AC25" i="13"/>
  <c r="AF26" i="13"/>
  <c r="AC26" i="13"/>
  <c r="AG26" i="13"/>
  <c r="AF27" i="13"/>
  <c r="AG27" i="13"/>
  <c r="AC27" i="13"/>
  <c r="AF28" i="13"/>
  <c r="AC28" i="13"/>
  <c r="AG28" i="13"/>
  <c r="AF29" i="13"/>
  <c r="AG29" i="13"/>
  <c r="AC29" i="13"/>
  <c r="AF30" i="13"/>
  <c r="AC30" i="13"/>
  <c r="AG30" i="13"/>
  <c r="AF31" i="13"/>
  <c r="AG31" i="13"/>
  <c r="AC31" i="13"/>
  <c r="AF32" i="13"/>
  <c r="AC32" i="13"/>
  <c r="AG32" i="13"/>
  <c r="AF33" i="13"/>
  <c r="AG33" i="13"/>
  <c r="AC33" i="13"/>
  <c r="AF34" i="13"/>
  <c r="AC34" i="13"/>
  <c r="AG34" i="13"/>
  <c r="AF35" i="13"/>
  <c r="AG35" i="13"/>
  <c r="AC35" i="13"/>
  <c r="AF36" i="13"/>
  <c r="AC36" i="13"/>
  <c r="AG36" i="13"/>
  <c r="AF37" i="13"/>
  <c r="AG37" i="13"/>
  <c r="AC37" i="13"/>
  <c r="AF38" i="13"/>
  <c r="AC38" i="13"/>
  <c r="AG38" i="13"/>
  <c r="AF39" i="13"/>
  <c r="AG39" i="13"/>
  <c r="AC39" i="13"/>
  <c r="AF40" i="13"/>
  <c r="AC40" i="13"/>
  <c r="AG40" i="13"/>
  <c r="AF41" i="13"/>
  <c r="AG41" i="13"/>
  <c r="AC41" i="13"/>
  <c r="AF42" i="13"/>
  <c r="AC42" i="13"/>
  <c r="AG42" i="13"/>
  <c r="AF43" i="13"/>
  <c r="AG43" i="13"/>
  <c r="AC43" i="13"/>
  <c r="AF44" i="13"/>
  <c r="AC44" i="13"/>
  <c r="AG44" i="13"/>
  <c r="AF45" i="13"/>
  <c r="AG45" i="13"/>
  <c r="AC45" i="13"/>
  <c r="AF46" i="13"/>
  <c r="AC46" i="13"/>
  <c r="AG46" i="13"/>
  <c r="AF47" i="13"/>
  <c r="AG47" i="13"/>
  <c r="AC47" i="13"/>
  <c r="AF48" i="13"/>
  <c r="AG48" i="13"/>
  <c r="AC48" i="13"/>
  <c r="AF49" i="13"/>
  <c r="AG49" i="13"/>
  <c r="AC49" i="13"/>
  <c r="AF50" i="13"/>
  <c r="AG50" i="13"/>
  <c r="AC50" i="13"/>
  <c r="AF51" i="13"/>
  <c r="AG51" i="13"/>
  <c r="AC51" i="13"/>
  <c r="AF52" i="13"/>
  <c r="AG52" i="13"/>
  <c r="AC52" i="13"/>
  <c r="AF53" i="13"/>
  <c r="AG53" i="13"/>
  <c r="AC53" i="13"/>
  <c r="AF54" i="13"/>
  <c r="AG54" i="13"/>
  <c r="AC54" i="13"/>
  <c r="AF55" i="13"/>
  <c r="AG55" i="13"/>
  <c r="AC55" i="13"/>
  <c r="AF56" i="13"/>
  <c r="AG56" i="13"/>
  <c r="AC56" i="13"/>
  <c r="AF57" i="13"/>
  <c r="AG57" i="13"/>
  <c r="AC57" i="13"/>
  <c r="AF58" i="13"/>
  <c r="AG58" i="13"/>
  <c r="AC58" i="13"/>
  <c r="AF59" i="13"/>
  <c r="AG59" i="13"/>
  <c r="AC59" i="13"/>
  <c r="AF60" i="13"/>
  <c r="AG60" i="13"/>
  <c r="AC60" i="13"/>
  <c r="AF61" i="13"/>
  <c r="AG61" i="13"/>
  <c r="AC61" i="13"/>
  <c r="AF62" i="13"/>
  <c r="AG62" i="13"/>
  <c r="AC62" i="13"/>
  <c r="AF63" i="13"/>
  <c r="AG63" i="13"/>
  <c r="AC63" i="13"/>
  <c r="AF64" i="13"/>
  <c r="AG64" i="13"/>
  <c r="AC64" i="13"/>
  <c r="AF65" i="13"/>
  <c r="AG65" i="13"/>
  <c r="AC65" i="13"/>
  <c r="AF66" i="13"/>
  <c r="AG66" i="13"/>
  <c r="AC66" i="13"/>
  <c r="AF67" i="13"/>
  <c r="AG67" i="13"/>
  <c r="AC67" i="13"/>
  <c r="AF68" i="13"/>
  <c r="AG68" i="13"/>
  <c r="AC68" i="13"/>
  <c r="AF69" i="13"/>
  <c r="AG69" i="13"/>
  <c r="AC69" i="13"/>
  <c r="AF70" i="13"/>
  <c r="AG70" i="13"/>
  <c r="AC70" i="13"/>
  <c r="AF71" i="13"/>
  <c r="AG71" i="13"/>
  <c r="AC71" i="13"/>
  <c r="AF72" i="13"/>
  <c r="AG72" i="13"/>
  <c r="AC72" i="13"/>
  <c r="AF73" i="13"/>
  <c r="AG73" i="13"/>
  <c r="AC73" i="13"/>
  <c r="AF74" i="13"/>
  <c r="AG74" i="13"/>
  <c r="AC74" i="13"/>
  <c r="AF75" i="13"/>
  <c r="AG75" i="13"/>
  <c r="AC75" i="13"/>
  <c r="AF76" i="13"/>
  <c r="AG76" i="13"/>
  <c r="AC76" i="13"/>
  <c r="AF77" i="13"/>
  <c r="AG77" i="13"/>
  <c r="AC77" i="13"/>
  <c r="AF78" i="13"/>
  <c r="AG78" i="13"/>
  <c r="AC78" i="13"/>
  <c r="AF79" i="13"/>
  <c r="AG79" i="13"/>
  <c r="AC79" i="13"/>
  <c r="AF80" i="13"/>
  <c r="AG80" i="13"/>
  <c r="AC80" i="13"/>
  <c r="AF81" i="13"/>
  <c r="AG81" i="13"/>
  <c r="AC81" i="13"/>
  <c r="AF82" i="13"/>
  <c r="AG82" i="13"/>
  <c r="AC82" i="13"/>
  <c r="AG83" i="13"/>
  <c r="AF83" i="13"/>
  <c r="AC83" i="13"/>
  <c r="AG85" i="13"/>
  <c r="AC85" i="13"/>
  <c r="AF85" i="13"/>
  <c r="AG87" i="13"/>
  <c r="AC87" i="13"/>
  <c r="AF87" i="13"/>
  <c r="AG89" i="13"/>
  <c r="AC89" i="13"/>
  <c r="AF89" i="13"/>
  <c r="AG91" i="13"/>
  <c r="AC91" i="13"/>
  <c r="AF91" i="13"/>
  <c r="AG93" i="13"/>
  <c r="AC93" i="13"/>
  <c r="AF93" i="13"/>
  <c r="AG95" i="13"/>
  <c r="AC95" i="13"/>
  <c r="AF95" i="13"/>
  <c r="AG97" i="13"/>
  <c r="AC97" i="13"/>
  <c r="AF97" i="13"/>
  <c r="AG99" i="13"/>
  <c r="AC99" i="13"/>
  <c r="AF99" i="13"/>
  <c r="AG101" i="13"/>
  <c r="AC101" i="13"/>
  <c r="AF101" i="13"/>
  <c r="AG103" i="13"/>
  <c r="AC103" i="13"/>
  <c r="AF103" i="13"/>
  <c r="AG105" i="13"/>
  <c r="AC105" i="13"/>
  <c r="AF105" i="13"/>
  <c r="AG107" i="13"/>
  <c r="AC107" i="13"/>
  <c r="AF107" i="13"/>
  <c r="AG109" i="13"/>
  <c r="AC109" i="13"/>
  <c r="AF109" i="13"/>
  <c r="AG111" i="13"/>
  <c r="AC111" i="13"/>
  <c r="AF111" i="13"/>
  <c r="AG113" i="13"/>
  <c r="AC113" i="13"/>
  <c r="AF113" i="13"/>
  <c r="AG115" i="13"/>
  <c r="AC115" i="13"/>
  <c r="AF115" i="13"/>
  <c r="AG117" i="13"/>
  <c r="AC117" i="13"/>
  <c r="AF117" i="13"/>
  <c r="AG119" i="13"/>
  <c r="AC119" i="13"/>
  <c r="AF119" i="13"/>
  <c r="AG121" i="13"/>
  <c r="AC121" i="13"/>
  <c r="AF121" i="13"/>
  <c r="AG123" i="13"/>
  <c r="AC123" i="13"/>
  <c r="AF123" i="13"/>
  <c r="AG125" i="13"/>
  <c r="AC125" i="13"/>
  <c r="AF125" i="13"/>
  <c r="AF6" i="13"/>
  <c r="AC6" i="13"/>
  <c r="AG6" i="13"/>
  <c r="AF7" i="13"/>
  <c r="AG7" i="13"/>
  <c r="AC7" i="13"/>
  <c r="AF8" i="13"/>
  <c r="AC8" i="13"/>
  <c r="AG8" i="13"/>
  <c r="AF9" i="13"/>
  <c r="AG9" i="13"/>
  <c r="AC9" i="13"/>
  <c r="AF10" i="13"/>
  <c r="AC10" i="13"/>
  <c r="AG10" i="13"/>
  <c r="AF11" i="13"/>
  <c r="AG11" i="13"/>
  <c r="AC11" i="13"/>
  <c r="AF12" i="13"/>
  <c r="AC12" i="13"/>
  <c r="AG12" i="13"/>
  <c r="AF13" i="13"/>
  <c r="AG13" i="13"/>
  <c r="AC13" i="13"/>
  <c r="AF14" i="13"/>
  <c r="AC14" i="13"/>
  <c r="AG14" i="13"/>
  <c r="AF15" i="13"/>
  <c r="AG15" i="13"/>
  <c r="AC15" i="13"/>
  <c r="AF16" i="13"/>
  <c r="AC16" i="13"/>
  <c r="AG16" i="13"/>
  <c r="AF17" i="13"/>
  <c r="AG17" i="13"/>
  <c r="AC17" i="13"/>
  <c r="AF18" i="13"/>
  <c r="AC18" i="13"/>
  <c r="AG18" i="13"/>
  <c r="AB44" i="15"/>
  <c r="AC44" i="15" s="1"/>
  <c r="AD44" i="15" s="1"/>
  <c r="AB45" i="15"/>
  <c r="AC45" i="15" s="1"/>
  <c r="AD45" i="15" s="1"/>
  <c r="AB41" i="15"/>
  <c r="AC41" i="15" s="1"/>
  <c r="AD41" i="15" s="1"/>
  <c r="AB42" i="15"/>
  <c r="AC42" i="15" s="1"/>
  <c r="AD42" i="15" s="1"/>
  <c r="AB47" i="15"/>
  <c r="AC47" i="15" s="1"/>
  <c r="AD47" i="15" s="1"/>
  <c r="AB52" i="15"/>
  <c r="AC52" i="15" s="1"/>
  <c r="AD52" i="15" s="1"/>
  <c r="AB53" i="15"/>
  <c r="AC53" i="15" s="1"/>
  <c r="AD53" i="15" s="1"/>
  <c r="AB54" i="15"/>
  <c r="AC54" i="15" s="1"/>
  <c r="AD54" i="15" s="1"/>
  <c r="AB55" i="15"/>
  <c r="AC55" i="15" s="1"/>
  <c r="AD55" i="15" s="1"/>
  <c r="AB56" i="15"/>
  <c r="AC56" i="15" s="1"/>
  <c r="AD56" i="15" s="1"/>
  <c r="AB57" i="15"/>
  <c r="AC57" i="15" s="1"/>
  <c r="AD57" i="15" s="1"/>
  <c r="AB58" i="15"/>
  <c r="AC58" i="15" s="1"/>
  <c r="AD58" i="15" s="1"/>
  <c r="AB59" i="15"/>
  <c r="AC59" i="15" s="1"/>
  <c r="AD59" i="15" s="1"/>
  <c r="AB60" i="15"/>
  <c r="AC60" i="15" s="1"/>
  <c r="AD60" i="15" s="1"/>
  <c r="AB61" i="15"/>
  <c r="AC61" i="15" s="1"/>
  <c r="AD61" i="15" s="1"/>
  <c r="AF4" i="13" l="1"/>
  <c r="Y49" i="15"/>
  <c r="Y51" i="15"/>
  <c r="Y44" i="15"/>
  <c r="Y47" i="15"/>
  <c r="Y42" i="15"/>
  <c r="Y52" i="15"/>
  <c r="Y54" i="15"/>
  <c r="Y56" i="15"/>
  <c r="Y58" i="15"/>
  <c r="Y60" i="15"/>
  <c r="Y43" i="15"/>
  <c r="Y46" i="15"/>
  <c r="Y45" i="15"/>
  <c r="Y48" i="15"/>
  <c r="Y50" i="15"/>
  <c r="Y53" i="15"/>
  <c r="Y55" i="15"/>
  <c r="Y57" i="15"/>
  <c r="Y59" i="15"/>
  <c r="Y61" i="15"/>
  <c r="AG39" i="15"/>
  <c r="AE2" i="15" s="1"/>
  <c r="AD2" i="15" s="1"/>
  <c r="Z3" i="15"/>
  <c r="AA3" i="15"/>
  <c r="Z6" i="15" l="1"/>
  <c r="Z7" i="15"/>
  <c r="Y41" i="15"/>
  <c r="Z2" i="15"/>
  <c r="AA4" i="15" s="1"/>
  <c r="AA7" i="15" s="1"/>
  <c r="Z4" i="15" l="1"/>
  <c r="AA6" i="15" s="1"/>
</calcChain>
</file>

<file path=xl/sharedStrings.xml><?xml version="1.0" encoding="utf-8"?>
<sst xmlns="http://schemas.openxmlformats.org/spreadsheetml/2006/main" count="1871" uniqueCount="890">
  <si>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</si>
  <si>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</si>
  <si>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</si>
  <si>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</si>
  <si>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</si>
  <si>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</si>
  <si>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</si>
  <si>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</si>
  <si>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</si>
  <si>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</si>
  <si>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</si>
  <si>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</si>
  <si>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</si>
  <si>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</si>
  <si>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</si>
  <si>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</si>
  <si>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</si>
  <si>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</si>
  <si>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</si>
  <si>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</si>
  <si>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</si>
  <si>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</si>
  <si>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</si>
  <si>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</si>
  <si>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</si>
  <si>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</si>
  <si>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</si>
  <si>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</si>
  <si>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</si>
  <si>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</si>
  <si>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</si>
  <si>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</si>
  <si>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</si>
  <si>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</si>
  <si>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</si>
  <si>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</si>
  <si>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</si>
  <si>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</si>
  <si>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</si>
  <si>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</si>
  <si>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</si>
  <si>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</si>
  <si>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</si>
  <si>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</si>
  <si>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</si>
  <si>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</si>
  <si>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</si>
  <si>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</si>
  <si>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</si>
  <si>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</si>
  <si>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</si>
  <si>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</si>
  <si>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</si>
  <si>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</si>
  <si>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</si>
  <si>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</si>
  <si>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</si>
  <si>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</si>
  <si>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</si>
  <si>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</si>
  <si>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</si>
  <si>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</si>
  <si>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</si>
  <si>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</si>
  <si>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</si>
  <si>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</si>
  <si>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</si>
  <si>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</si>
  <si>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</si>
  <si>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</si>
  <si>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</si>
  <si>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</si>
  <si>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</si>
  <si>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</si>
  <si>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</si>
  <si>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</si>
  <si>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</si>
  <si>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</si>
  <si>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</si>
  <si>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</si>
  <si>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</si>
  <si>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</si>
  <si>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</si>
  <si>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</si>
  <si>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</si>
  <si>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</si>
  <si>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</si>
  <si>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</si>
  <si>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</si>
  <si>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</si>
  <si>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</si>
  <si>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</si>
  <si>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</si>
  <si>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</si>
  <si>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</si>
  <si>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</si>
  <si>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</si>
  <si>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</si>
  <si>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</si>
  <si>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</si>
  <si>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</si>
  <si>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</si>
  <si>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</si>
  <si>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</si>
  <si>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</si>
  <si>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</si>
  <si>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</si>
  <si>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</si>
  <si>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</si>
  <si>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</si>
  <si>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</si>
  <si>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</si>
  <si>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</si>
  <si>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</si>
  <si>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</si>
  <si>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</si>
  <si>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</si>
  <si>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</si>
  <si>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</si>
  <si>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</si>
  <si>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</si>
  <si>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</si>
  <si>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</si>
  <si>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</si>
  <si>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</si>
  <si>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</si>
  <si>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</si>
  <si>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</si>
  <si>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</si>
  <si>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</si>
  <si>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</si>
  <si>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</si>
  <si>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</si>
  <si>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</si>
  <si>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</si>
  <si>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</si>
  <si>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</si>
  <si>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</si>
  <si>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</si>
  <si>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</si>
  <si>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</si>
  <si>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</si>
  <si>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</si>
  <si>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</si>
  <si>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</si>
  <si>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</si>
  <si>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</si>
  <si>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</si>
  <si>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</si>
  <si>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</si>
  <si>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</si>
  <si>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</si>
  <si>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</si>
  <si>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</si>
  <si>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</si>
  <si>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</si>
  <si>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</si>
  <si>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</si>
  <si>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</si>
  <si>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</si>
  <si>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</si>
  <si>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</si>
  <si>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</si>
  <si>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</si>
  <si>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</si>
  <si>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</si>
  <si>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</si>
  <si>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</si>
  <si>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</si>
  <si>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</si>
  <si>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</si>
  <si>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</si>
  <si>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</si>
  <si>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</si>
  <si>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</si>
  <si>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</si>
  <si>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</si>
  <si>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</si>
  <si>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</si>
  <si>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</si>
  <si>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</si>
  <si>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</si>
  <si>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</si>
  <si>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</si>
  <si>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</si>
  <si>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</si>
  <si>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</si>
  <si>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</si>
  <si>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</si>
  <si>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</si>
  <si>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</si>
  <si>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BOT</t>
  </si>
  <si>
    <t>0001f4e5.5480ef9c.01.01</t>
  </si>
  <si>
    <t>20141205  11:40:21</t>
  </si>
  <si>
    <t>0001f4e5.5480ef9d.01.01</t>
  </si>
  <si>
    <t>0001f4e5.5480ef9f.01.01</t>
  </si>
  <si>
    <t>20141205  11:40:22</t>
  </si>
  <si>
    <t>0001f4e5.5480efa0.01.01</t>
  </si>
  <si>
    <t>20141205  11:40:23</t>
  </si>
  <si>
    <t>0001f4e5.5480efa1.01.01</t>
  </si>
  <si>
    <t>20141205  11:40:32</t>
  </si>
  <si>
    <t>0001f4e5.5480efa2.01.01</t>
  </si>
  <si>
    <t>0001f4e5.5480efa3.01.01</t>
  </si>
  <si>
    <t>20141205  11:40:34</t>
  </si>
  <si>
    <t>0001f4e5.5480efa5.01.01</t>
  </si>
  <si>
    <t>20141205  11:40:37</t>
  </si>
  <si>
    <t>0001f4e5.5480efa7.01.01</t>
  </si>
  <si>
    <t>20141205  11:40:40</t>
  </si>
  <si>
    <t>0001f4e5.5480efa8.01.01</t>
  </si>
  <si>
    <t>20141205  11:40:41</t>
  </si>
  <si>
    <t>PORTF_FIRST_ROW</t>
  </si>
  <si>
    <t>PORTF_LAST_ROW</t>
  </si>
  <si>
    <t>Unrealized PNL</t>
  </si>
  <si>
    <t>6BH5</t>
  </si>
  <si>
    <t>RISK_FREE_RATE</t>
  </si>
  <si>
    <t>TWS Connected OK</t>
  </si>
  <si>
    <t>Subscribed</t>
  </si>
  <si>
    <t>6B4F5 C1515</t>
  </si>
  <si>
    <t>6B4F5 P1515</t>
  </si>
  <si>
    <t>6B4F5 C1520</t>
  </si>
  <si>
    <t>6B4F5 C1525</t>
  </si>
  <si>
    <t>2015-1-16 17:8:56.784: Main - Initialize - initializing...</t>
  </si>
  <si>
    <t>2015-1-16 17:8:56.885: TransitionLogger - openTransitionFile - opening file C:\temp\transitionlog_2015-01-16_170856</t>
  </si>
  <si>
    <t>2015-1-16 17:9:4.805: RTWSControl - nextValidId - entering nextValidId id is 119</t>
  </si>
  <si>
    <t>2015-1-16 17:9:4.808: WatchlistView - initialize - an error occurredSelect method of Range class failed</t>
  </si>
  <si>
    <t>2015-1-16 17:9:4.866: RTWSControl - errMsg - got error message 2104:Market data farm connection is OK:usfuturewith id -1</t>
  </si>
  <si>
    <t>2015-1-16 17:9:4.885: RTWSControl - errMsg - got error message 2104:Market data farm connection is OK:usfuture.uswith id -1</t>
  </si>
  <si>
    <t>2015-1-16 17:9:4.895: RTWSControl - errMsg - got error message 2104:Market data farm connection is OK:cashfarmwith id -1</t>
  </si>
  <si>
    <t>2015-1-16 17:9:4.921: RTWSControl - errMsg - got error message 2104:Market data farm connection is OK:usfarmwith id -1</t>
  </si>
  <si>
    <t>2015-1-16 17:9:4.928: RTWSControl - errMsg - got error message 2106:HMDS data farm connection is OK:ushmds.uswith id -1</t>
  </si>
  <si>
    <t>2015-1-16 17:9:4.936: RTWSControl - errMsg - got error message 2106:HMDS data farm connection is OK:ilhmdswith id -1</t>
  </si>
  <si>
    <t>2015-1-16 17:9:5.92: RTWSControl - contractDetailsEx - got contractDetails id 0 British pound 6BH5</t>
  </si>
  <si>
    <t>2015-1-16 17:9:5.113: RTWSControl - contractDetailsEnd - Got contract details end event</t>
  </si>
  <si>
    <t>2015-1-16 17:9:16.807: Algorithm - updatePortfolio - haveAllDetails is False</t>
  </si>
  <si>
    <t>2015-1-16 17:9:16.844: Algorithm - updatePortfolio - haveAllDetails is False</t>
  </si>
  <si>
    <t>2015-1-16 17:9:16.882: Algorithm - updatePortfolio - haveAllDetails is False</t>
  </si>
  <si>
    <t>2015-1-16 17:9:16.926: Algorithm - updatePortfolio - haveAllDetails is False</t>
  </si>
  <si>
    <t>2015-1-16 17:9:16.966: Algorithm - updatePortfolio - haveAllDetails is False</t>
  </si>
  <si>
    <t>2015-1-16 17:9:17.10: RTWSControl - contractDetailsEx - got contractDetails id 0 British pound 6B4F5 C1515</t>
  </si>
  <si>
    <t>2015-1-16 17:9:17.40: RTWSControl - contractDetailsEnd - Got contract details end event</t>
  </si>
  <si>
    <t>2015-1-16 17:9:17.46: RTWSControl - contractDetailsEx - got contractDetails id 0 British pound 6B4F5 P1515</t>
  </si>
  <si>
    <t>2015-1-16 17:9:17.51: RTWSControl - contractDetailsEnd - Got contract details end event</t>
  </si>
  <si>
    <t>2015-1-16 17:9:17.264: RTWSControl - contractDetailsEx - got contractDetails id 0 British pound 6B4F5 C1520</t>
  </si>
  <si>
    <t>2015-1-16 17:9:17.274: RTWSControl - contractDetailsEnd - Got contract details end event</t>
  </si>
  <si>
    <t>2015-1-16 17:9:17.284: RTWSControl - contractDetailsEx - got contractDetails id 0 British pound 6B4F5 C1525</t>
  </si>
  <si>
    <t>2015-1-16 17:9:17.294: RTWSControl - contractDetailsEnd - Got contract details end event</t>
  </si>
  <si>
    <t>2015-1-16 17:9:22.23: DirectionIndicator - notify - price/longMA/ShortMA/prevDirection are 0/0/0/0</t>
  </si>
  <si>
    <t>2015-1-16 17:9:24.8: Portfolio - updateCalculateOptionGammas - an error occurred Division by zero</t>
  </si>
  <si>
    <t>2015-1-16 17:9:26.28: Portfolio - updateCalculateOptionGammas - an error occurred Division by zero</t>
  </si>
  <si>
    <t>2015-1-16 17:9:26.31: Portfolio - updateCalculateOptionGammas - an error occurred Division by zero</t>
  </si>
  <si>
    <t>2015-1-16 17:9:26.33: Portfolio - updateCalculateOptionGammas - an error occurred Division by zero</t>
  </si>
  <si>
    <t>2015-1-16 17:9:26.49: DirectionIndicator - notify - price/longMA/ShortMA/prevDirection are 1.5139/1.5139/1.5139/0</t>
  </si>
  <si>
    <t>2015-1-16 17:9:26.51: Algorithm - FindNextStrikes - price is 1.5139 nextStrikeUp/Down 1.515/0</t>
  </si>
  <si>
    <t>2015-1-16 17:9:26.53: Algorithm - getPortfolioForwardDelta - required deltas is -200 currentHedgePosition is 0</t>
  </si>
  <si>
    <t>2015-1-16 17:9:26.55: Algorithm - getHedgeShortfall - required deltas is -200 price is 1.5139 currentHedgePositionDeltas is 0</t>
  </si>
  <si>
    <t>2015-1-16 17:9:26.57: Algorithm - processTransitionPoint - nextUpper/LowerStrikes are 1.515/0 requiredDeltas/currentPosition/currentHedgeShortfall/direction/transitionPrice are -200/0/-200/0/1.5139</t>
  </si>
  <si>
    <t>2015-1-16 17:9:26.59: TransitionLogger - processTransitionpoint - checking transition - currentHedgeShortfall is -200</t>
  </si>
  <si>
    <t>2015-1-16 17:9:26.61: TransitionLogger - startTransition - begining a new transition</t>
  </si>
  <si>
    <t>2015-1-16 17:9:26.63: Algorithm - handleTransition - currentHedgeShortfall is NOT ZERO and AUTOHEDGE IS NOT ENABLED!</t>
  </si>
  <si>
    <t>2015-1-16 17:9:26.66: Algorithm - updatePortfolio - haveAllDetails is True</t>
  </si>
  <si>
    <t>2015-1-16 17:9:26.67: DirectionIndicator - notify - price/longMA/ShortMA/prevDirection are 1.5139/1.5139/1.5139/0</t>
  </si>
  <si>
    <t>2015-1-16 17:9:26.69: Algorithm - handleTransition - currentHedgeShortfall is NOT ZERO and AUTOHEDGE IS NOT ENABLED!</t>
  </si>
  <si>
    <t>2015-1-16 17:9:26.72: Algorithm - handleTransition - currentHedgeShortfall is NOT ZERO and AUTOHEDGE IS NOT ENABLED!</t>
  </si>
  <si>
    <t>2015-1-16 17:9:26.78: Portfolio - updateCalculateOptionGammas - an error occurred Division by zero</t>
  </si>
  <si>
    <t>2015-1-16 17:9:26.80: Portfolio - updateCalculateOptionGammas - an error occurred Division by zero</t>
  </si>
  <si>
    <t>2015-1-16 17:9:26.82: Portfolio - updateCalculateOptionGammas - an error occurred Division by zero</t>
  </si>
  <si>
    <t>2015-1-16 17:9:26.84: Portfolio - updateCalculateOptionGammas - an error occurred Division by zero</t>
  </si>
  <si>
    <t>2015-1-16 17:9:27.92: DirectionIndicator - notify - price/longMA/ShortMA/prevDirection are 1.51385/1.51389090909091/1.51388333333333/0</t>
  </si>
  <si>
    <t>2015-1-16 17:9:27.94: Algorithm - handleTransition - currentHedgeShortfall is NOT ZERO and AUTOHEDGE IS NOT ENABLED!</t>
  </si>
  <si>
    <t>2015-1-16 17:9:27.101: Portfolio - updateCalculateOptionGammas - an error occurred Division by zero</t>
  </si>
  <si>
    <t>2015-1-16 17:9:27.542: DirectionIndicator - notify - price/longMA/ShortMA/prevDirection are 1.5139/1.51389256198347/1.51388888888889/0</t>
  </si>
  <si>
    <t>2015-1-16 17:9:27.544: Algorithm - handleTransition - currentHedgeShortfall is NOT ZERO and AUTOHEDGE IS NOT ENABLED!</t>
  </si>
  <si>
    <t>2015-1-16 17:9:27.769: DirectionIndicator - notify - price/longMA/ShortMA/prevDirection are 1.51385/1.51388482344102/1.51387592592593/0</t>
  </si>
  <si>
    <t>2015-1-16 17:9:27.771: Algorithm - handleTransition - currentHedgeShortfall is NOT ZERO and AUTOHEDGE IS NOT ENABLED!</t>
  </si>
  <si>
    <t>2015-1-16 17:9:27.923: DirectionIndicator - notify - price/longMA/ShortMA/prevDirection are 1.5138/1.5138694009972/1.51385061728395/0</t>
  </si>
  <si>
    <t>2015-1-16 17:9:27.925: Algorithm - handleTransition - currentHedgeShortfall is NOT ZERO and AUTOHEDGE IS NOT ENABLED!</t>
  </si>
  <si>
    <t>2015-1-16 17:9:28.333: DirectionIndicator - notify - price/longMA/ShortMA/prevDirection are 1.51375/1.51384769172498/1.5138170781893/0</t>
  </si>
  <si>
    <t>2015-1-16 17:9:28.335: Algorithm - handleTransition - currentHedgeShortfall is NOT ZERO and AUTOHEDGE IS NOT ENABLED!</t>
  </si>
  <si>
    <t>2015-1-16 17:9:35.462: DirectionIndicator - notify - price/longMA/ShortMA/prevDirection are 1.5138/1.51383902050226/1.51381138545953/-1</t>
  </si>
  <si>
    <t>2015-1-16 17:9:35.464: Algorithm - handleTransition - currentHedgeShortfall is NOT ZERO and AUTOHEDGE IS NOT ENABLED!</t>
  </si>
  <si>
    <t>2015-1-16 17:9:49.236: DirectionIndicator - notify - price/longMA/ShortMA/prevDirection are 1.5139/1.51385010768367/1.51384092363969/-1</t>
  </si>
  <si>
    <t>2015-1-16 17:9:49.244: Algorithm - handleTransition - currentHedgeShortfall is NOT ZERO and AUTOHEDGE IS NOT ENABLED!</t>
  </si>
  <si>
    <t>2015-1-16 17:9:49.460: DirectionIndicator - notify - price/longMA/ShortMA/prevDirection are 1.51395/1.513868269923/1.51387728242646/-1</t>
  </si>
  <si>
    <t>2015-1-16 17:9:49.462: Algorithm - handleTransition - currentHedgeShortfall is NOT ZERO and AUTOHEDGE IS NOT ENABLED!</t>
  </si>
  <si>
    <t>2015-1-16 17:9:49.886: DirectionIndicator - notify - price/longMA/ShortMA/prevDirection are 1.514/1.51389222084609/1.51391818828431/-1</t>
  </si>
  <si>
    <t>2015-1-16 17:9:49.889: Algorithm - handleTransition - currentHedgeShortfall is NOT ZERO and AUTOHEDGE IS NOT ENABLED!</t>
  </si>
  <si>
    <t>2015-1-16 17:9:50.265: DirectionIndicator - notify - price/longMA/ShortMA/prevDirection are 1.51405/1.51392090796498/1.51396212552287/1</t>
  </si>
  <si>
    <t>2015-1-16 17:9:50.267: Algorithm - handleTransition - currentHedgeShortfall is NOT ZERO and AUTOHEDGE IS NOT ENABLED!</t>
  </si>
  <si>
    <t>2015-1-16 17:9:50.414: DirectionIndicator - notify - price/longMA/ShortMA/prevDirection are 1.514/1.51393528833499/1.51397475034858/1</t>
  </si>
  <si>
    <t>2015-1-16 17:9:50.417: Algorithm - handleTransition - currentHedgeShortfall is NOT ZERO and AUTOHEDGE IS NOT ENABLED!</t>
  </si>
  <si>
    <t>2015-1-16 17:9:50.918: DirectionIndicator - notify - price/longMA/ShortMA/prevDirection are 1.51395/1.51393796318317/1.51396650023239/1</t>
  </si>
  <si>
    <t>2015-1-16 17:9:50.920: Algorithm - handleTransition - currentHedgeShortfall is NOT ZERO and AUTOHEDGE IS NOT ENABLED!</t>
  </si>
  <si>
    <t>2015-1-16 17:9:51.747: DirectionIndicator - notify - price/longMA/ShortMA/prevDirection are 1.5137/1.51385602942189/1.51381229636515/-1</t>
  </si>
  <si>
    <t>2015-1-16 17:9:51.748: Algorithm - handleTransition - currentHedgeShortfall is NOT ZERO and AUTOHEDGE IS NOT ENABLED!</t>
  </si>
  <si>
    <t>2015-1-16 17:9:51.769: DirectionIndicator - notify - price/longMA/ShortMA/prevDirection are 1.51365/1.513818569527/1.51375819757677/-1</t>
  </si>
  <si>
    <t>2015-1-16 17:9:51.770: Algorithm - handleTransition - currentHedgeShortfall is NOT ZERO and AUTOHEDGE IS NOT ENABLED!</t>
  </si>
  <si>
    <t>2015-1-16 17:9:52.668: DirectionIndicator - notify - price/longMA/ShortMA/prevDirection are 1.5136/1.513778829613/1.51370546505118/-1</t>
  </si>
  <si>
    <t>2015-1-16 17:9:52.669: Algorithm - handleTransition - currentHedgeShortfall is NOT ZERO and AUTOHEDGE IS NOT ENABLED!</t>
  </si>
  <si>
    <t>2015-1-16 17:9:52.711: DirectionIndicator - notify - price/longMA/ShortMA/prevDirection are 1.51355/1.51373722422882/1.51365364336745/-1</t>
  </si>
  <si>
    <t>2015-1-16 17:9:52.712: Algorithm - handleTransition - currentHedgeShortfall is NOT ZERO and AUTOHEDGE IS NOT ENABLED!</t>
  </si>
  <si>
    <t>2015-1-16 17:9:56.4: TransitionLogger - flushFile - flushing file</t>
  </si>
  <si>
    <t>2015-1-16 17:9:56.7: TransitionLogger - openTransitionFile - opening file C:\temp\transitionlog_2015-01-16_170856</t>
  </si>
  <si>
    <t>2015-1-16 17:9:59.914: DirectionIndicator - notify - price/longMA/ShortMA/prevDirection are 1.5135/1.51369409255085/1.51360242891163/-1</t>
  </si>
  <si>
    <t>2015-1-16 17:9:59.915: Algorithm - handleTransition - currentHedgeShortfall is NOT ZERO and AUTOHEDGE IS NOT ENABLED!</t>
  </si>
  <si>
    <t>2015-1-16 17:9:59.996: DirectionIndicator - notify - price/longMA/ShortMA/prevDirection are 1.51345/1.51364971208706/1.51355161927442/-1</t>
  </si>
  <si>
    <t>2015-1-16 17:9:59.997: Algorithm - handleTransition - currentHedgeShortfall is NOT ZERO and AUTOHEDGE IS NOT ENABLED!</t>
  </si>
  <si>
    <t>2015-1-16 17:10:4.378: DirectionIndicator - notify - price/longMA/ShortMA/prevDirection are 1.5135/1.51362249170759/1.51353441284962/-1</t>
  </si>
  <si>
    <t>2015-1-16 17:10:4.379: Algorithm - handleTransition - currentHedgeShortfall is NOT ZERO and AUTOHEDGE IS NOT ENABLED!</t>
  </si>
  <si>
    <t>2015-1-16 17:10:4.631: DirectionIndicator - notify - price/longMA/ShortMA/prevDirection are 1.51345/1.51359112957894/1.51350627523308/-1</t>
  </si>
  <si>
    <t>2015-1-16 17:10:4.634: Algorithm - handleTransition - currentHedgeShortfall is NOT ZERO and AUTOHEDGE IS NOT ENABLED!</t>
  </si>
  <si>
    <t>2015-1-16 17:10:4.723: DirectionIndicator - notify - price/longMA/ShortMA/prevDirection are 1.5135/1.51357456056459/1.51350418348872/-1</t>
  </si>
  <si>
    <t>2015-1-16 17:10:4.724: Algorithm - handleTransition - currentHedgeShortfall is NOT ZERO and AUTOHEDGE IS NOT ENABLED!</t>
  </si>
  <si>
    <t>2015-1-16 17:10:5.675: DirectionIndicator - notify - price/longMA/ShortMA/prevDirection are 1.51355/1.51357009500739/1.51351945565915/-1</t>
  </si>
  <si>
    <t>2015-1-16 17:10:5.676: Algorithm - handleTransition - currentHedgeShortfall is NOT ZERO and AUTOHEDGE IS NOT ENABLED!</t>
  </si>
  <si>
    <t>2015-1-16 17:10:8.78: DirectionIndicator - notify - price/longMA/ShortMA/prevDirection are 1.5135/1.51355735046059/1.51351297043943/-1</t>
  </si>
  <si>
    <t>2015-1-16 17:10:8.81: Algorithm - handleTransition - currentHedgeShortfall is NOT ZERO and AUTOHEDGE IS NOT ENABLED!</t>
  </si>
  <si>
    <t>2015-1-16 17:10:9.88: DirectionIndicator - notify - price/longMA/ShortMA/prevDirection are 1.51345/1.51353783219503/1.51349198029295/-1</t>
  </si>
  <si>
    <t>2015-1-16 17:10:9.92: Algorithm - handleTransition - currentHedgeShortfall is NOT ZERO and AUTOHEDGE IS NOT ENABLED!</t>
  </si>
  <si>
    <t>2015-1-16 17:10:12.425: DirectionIndicator - notify - price/longMA/ShortMA/prevDirection are 1.5134/1.51351277179593/1.5134613201953/-1</t>
  </si>
  <si>
    <t>2015-1-16 17:10:12.426: Algorithm - handleTransition - currentHedgeShortfall is NOT ZERO and AUTOHEDGE IS NOT ENABLED!</t>
  </si>
  <si>
    <t>2015-1-16 17:10:12.647: DirectionIndicator - notify - price/longMA/ShortMA/prevDirection are 1.51335/1.51348317692395/1.51342421346353/-1</t>
  </si>
  <si>
    <t>2015-1-16 17:10:12.648: Algorithm - handleTransition - currentHedgeShortfall is NOT ZERO and AUTOHEDGE IS NOT ENABLED!</t>
  </si>
  <si>
    <t>2015-1-16 17:10:17.302: DirectionIndicator - notify - price/longMA/ShortMA/prevDirection are 1.5133/1.51344987202868/1.51338280897569/-1</t>
  </si>
  <si>
    <t>2015-1-16 17:10:17.303: Algorithm - handleTransition - currentHedgeShortfall is NOT ZERO and AUTOHEDGE IS NOT ENABLED!</t>
  </si>
  <si>
    <t>2015-1-16 17:10:17.368: DirectionIndicator - notify - price/longMA/ShortMA/prevDirection are 1.51325/1.51341353165983/1.51333853931713/-1</t>
  </si>
  <si>
    <t>2015-1-16 17:10:17.369: Algorithm - handleTransition - currentHedgeShortfall is NOT ZERO and AUTOHEDGE IS NOT ENABLED!</t>
  </si>
  <si>
    <t>2015-1-16 17:10:19.337: DirectionIndicator - notify - price/longMA/ShortMA/prevDirection are 1.5133/1.51339288953986/1.51332569287808/-1</t>
  </si>
  <si>
    <t>2015-1-16 17:10:19.338: Algorithm - handleTransition - currentHedgeShortfall is NOT ZERO and AUTOHEDGE IS NOT ENABLED!</t>
  </si>
  <si>
    <t>2015-1-16 17:10:19.391: DirectionIndicator - notify - price/longMA/ShortMA/prevDirection are 1.51325/1.51336690962352/1.51330046191872/-1</t>
  </si>
  <si>
    <t>2015-1-16 17:10:19.392: Algorithm - handleTransition - currentHedgeShortfall is NOT ZERO and AUTOHEDGE IS NOT ENABLED!</t>
  </si>
  <si>
    <t>2015-1-16 17:10:19.458: DirectionIndicator - notify - price/longMA/ShortMA/prevDirection are 1.5133/1.51335474423743/1.51330030794582/-1</t>
  </si>
  <si>
    <t>2015-1-16 17:10:19.459: Algorithm - handleTransition - currentHedgeShortfall is NOT ZERO and AUTOHEDGE IS NOT ENABLED!</t>
  </si>
  <si>
    <t>2015-1-16 17:10:20.579: DirectionIndicator - notify - price/longMA/ShortMA/prevDirection are 1.51335/1.51335388164881/1.51331687196388/-1</t>
  </si>
  <si>
    <t>2015-1-16 17:10:20.582: Algorithm - handleTransition - currentHedgeShortfall is NOT ZERO and AUTOHEDGE IS NOT ENABLED!</t>
  </si>
  <si>
    <t>2015-1-16 17:10:22.670: DirectionIndicator - notify - price/longMA/ShortMA/prevDirection are 1.51345/1.51337135771266/1.51336124797592/-1</t>
  </si>
  <si>
    <t>2015-1-16 17:10:22.671: Algorithm - handleTransition - currentHedgeShortfall is NOT ZERO and AUTOHEDGE IS NOT ENABLED!</t>
  </si>
  <si>
    <t>2015-1-16 17:10:22.742: DirectionIndicator - notify - price/longMA/ShortMA/prevDirection are 1.51355/1.51340383812854/1.51342416531728/-1</t>
  </si>
  <si>
    <t>2015-1-16 17:10:22.743: Algorithm - handleTransition - currentHedgeShortfall is NOT ZERO and AUTOHEDGE IS NOT ENABLED!</t>
  </si>
  <si>
    <t>2015-1-16 17:10:24.778: DirectionIndicator - notify - price/longMA/ShortMA/prevDirection are 1.5136/1.51343950392335/1.51348277687819/1</t>
  </si>
  <si>
    <t>2015-1-16 17:10:24.779: Algorithm - handleTransition - currentHedgeShortfall is NOT ZERO and AUTOHEDGE IS NOT ENABLED!</t>
  </si>
  <si>
    <t>2015-1-16 17:10:24.843: DirectionIndicator - notify - price/longMA/ShortMA/prevDirection are 1.51365/1.51347777593729/1.51353851791879/1</t>
  </si>
  <si>
    <t>2015-1-16 17:10:24.844: Algorithm - handleTransition - currentHedgeShortfall is NOT ZERO and AUTOHEDGE IS NOT ENABLED!</t>
  </si>
  <si>
    <t>2015-1-16 17:10:25.671: DirectionIndicator - notify - price/longMA/ShortMA/prevDirection are 1.5136/1.51349999849414/1.51355901194586/1</t>
  </si>
  <si>
    <t>2015-1-16 17:10:25.672: Algorithm - handleTransition - currentHedgeShortfall is NOT ZERO and AUTOHEDGE IS NOT ENABLED!</t>
  </si>
  <si>
    <t>2015-1-16 17:10:25.712: DirectionIndicator - notify - price/longMA/ShortMA/prevDirection are 1.51355/1.51350908967703/1.51355600796391/1</t>
  </si>
  <si>
    <t>2015-1-16 17:10:25.714: Algorithm - handleTransition - currentHedgeShortfall is NOT ZERO and AUTOHEDGE IS NOT ENABLED!</t>
  </si>
  <si>
    <t>2015-1-16 17:10:25.962: DirectionIndicator - notify - price/longMA/ShortMA/prevDirection are 1.5135/1.51350743700848/1.5135373386426/1</t>
  </si>
  <si>
    <t>2015-1-16 17:10:25.963: Algorithm - handleTransition - currentHedgeShortfall is NOT ZERO and AUTOHEDGE IS NOT ENABLED!</t>
  </si>
  <si>
    <t>2015-1-16 17:10:26.2: DirectionIndicator - notify - price/longMA/ShortMA/prevDirection are 1.51345/1.51349699391603/1.51350822576174/1</t>
  </si>
  <si>
    <t>2015-1-16 17:10:26.3: Algorithm - handleTransition - currentHedgeShortfall is NOT ZERO and AUTOHEDGE IS NOT ENABLED!</t>
  </si>
  <si>
    <t>2015-1-16 17:10:30.73: DirectionIndicator - notify - price/longMA/ShortMA/prevDirection are 1.5134/1.51347935865857/1.51347215050782/1</t>
  </si>
  <si>
    <t>2015-1-16 17:10:30.73: Algorithm - handleTransition - currentHedgeShortfall is NOT ZERO and AUTOHEDGE IS NOT ENABLED!</t>
  </si>
  <si>
    <t>2015-1-16 17:10:31.56: DirectionIndicator - notify - price/longMA/ShortMA/prevDirection are 1.51345/1.51347402072065/1.51346476700522/1</t>
  </si>
  <si>
    <t>2015-1-16 17:10:31.56: Algorithm - handleTransition - currentHedgeShortfall is NOT ZERO and AUTOHEDGE IS NOT ENABLED!</t>
  </si>
  <si>
    <t>2015-1-16 17:10:32.660: DirectionIndicator - notify - price/longMA/ShortMA/prevDirection are 1.5134/1.5134605624078/1.51344317800348/1</t>
  </si>
  <si>
    <t>2015-1-16 17:10:32.663: Algorithm - handleTransition - currentHedgeShortfall is NOT ZERO and AUTOHEDGE IS NOT ENABLED!</t>
  </si>
  <si>
    <t>2015-1-16 17:10:34.259: DirectionIndicator - notify - price/longMA/ShortMA/prevDirection are 1.51345/1.51345864197002/1.51344545200232/1</t>
  </si>
  <si>
    <t>2015-1-16 17:10:34.262: Algorithm - handleTransition - currentHedgeShortfall is NOT ZERO and AUTOHEDGE IS NOT ENABLED!</t>
  </si>
  <si>
    <t>2015-1-16 17:10:37.168: DirectionIndicator - notify - price/longMA/ShortMA/prevDirection are 1.5135/1.51346616161183/1.51346363466821/1</t>
  </si>
  <si>
    <t>2015-1-16 17:10:37.169: Algorithm - handleTransition - currentHedgeShortfall is NOT ZERO and AUTOHEDGE IS NOT ENABLED!</t>
  </si>
  <si>
    <t>2015-1-16 17:10:37.244: DirectionIndicator - notify - price/longMA/ShortMA/prevDirection are 1.51355/1.51348140495514/1.51349242311214/1</t>
  </si>
  <si>
    <t>2015-1-16 17:10:37.245: Algorithm - handleTransition - currentHedgeShortfall is NOT ZERO and AUTOHEDGE IS NOT ENABLED!</t>
  </si>
  <si>
    <t>2015-1-16 17:10:37.515: DirectionIndicator - notify - price/longMA/ShortMA/prevDirection are 1.5136/1.51350296769057/1.51352828207476/1</t>
  </si>
  <si>
    <t>2015-1-16 17:10:37.516: Algorithm - handleTransition - currentHedgeShortfall is NOT ZERO and AUTOHEDGE IS NOT ENABLED!</t>
  </si>
  <si>
    <t>2015-1-16 17:10:37.551: DirectionIndicator - notify - price/longMA/ShortMA/prevDirection are 1.51365/1.51352970083774/1.51356885471651/1</t>
  </si>
  <si>
    <t>2015-1-16 17:10:37.552: Algorithm - handleTransition - currentHedgeShortfall is NOT ZERO and AUTOHEDGE IS NOT ENABLED!</t>
  </si>
  <si>
    <t>2015-1-16 17:10:37.854: DirectionIndicator - notify - price/longMA/ShortMA/prevDirection are 1.5136/1.5135424825036/1.51357923647767/1</t>
  </si>
  <si>
    <t>2015-1-16 17:10:37.855: Algorithm - handleTransition - currentHedgeShortfall is NOT ZERO and AUTOHEDGE IS NOT ENABLED!</t>
  </si>
  <si>
    <t>2015-1-16 17:10:40.103: Util - logStaleData - Data is stale!</t>
  </si>
  <si>
    <t>2015-1-16 17:10:41.1: DirectionIndicator - notify - price/longMA/ShortMA/prevDirection are 1.51355/1.51354384932113/1.51356949098511/1</t>
  </si>
  <si>
    <t>2015-1-16 17:10:41.2: Algorithm - handleTransition - currentHedgeShortfall is NOT ZERO and AUTOHEDGE IS NOT ENABLED!</t>
  </si>
  <si>
    <t>2015-1-16 17:10:41.51: DirectionIndicator - notify - price/longMA/ShortMA/prevDirection are 1.51345/1.5135267858082/1.51352966065674/1</t>
  </si>
  <si>
    <t>2015-1-16 17:10:41.52: Algorithm - handleTransition - currentHedgeShortfall is NOT ZERO and AUTOHEDGE IS NOT ENABLED!</t>
  </si>
  <si>
    <t>2015-1-16 17:10:43.467: DirectionIndicator - notify - price/longMA/ShortMA/prevDirection are 1.5135/1.51352191566125/1.51351977377116/1</t>
  </si>
  <si>
    <t>2015-1-16 17:10:43.468: Algorithm - handleTransition - currentHedgeShortfall is NOT ZERO and AUTOHEDGE IS NOT ENABLED!</t>
  </si>
  <si>
    <t>2015-1-16 17:10:43.536: DirectionIndicator - notify - price/longMA/ShortMA/prevDirection are 1.5136/1.51353611281375/1.51354651584744/1</t>
  </si>
  <si>
    <t>2015-1-16 17:10:43.537: Algorithm - handleTransition - currentHedgeShortfall is NOT ZERO and AUTOHEDGE IS NOT ENABLED!</t>
  </si>
  <si>
    <t>2015-1-16 17:10:44.892: DirectionIndicator - notify - price/longMA/ShortMA/prevDirection are 1.51355/1.51353863775671/1.51354767723163/1</t>
  </si>
  <si>
    <t>2015-1-16 17:10:44.895: Algorithm - handleTransition - currentHedgeShortfall is NOT ZERO and AUTOHEDGE IS NOT ENABLED!</t>
  </si>
  <si>
    <t>2015-1-16 17:10:45.930: DirectionIndicator - notify - price/longMA/ShortMA/prevDirection are 1.5136/1.51354979452821/1.51356511815442/1</t>
  </si>
  <si>
    <t>2015-1-16 17:10:45.933: Algorithm - handleTransition - currentHedgeShortfall is NOT ZERO and AUTOHEDGE IS NOT ENABLED!</t>
  </si>
  <si>
    <t>2015-1-16 17:10:46.262: DirectionIndicator - notify - price/longMA/ShortMA/prevDirection are 1.51355/1.51354983188672/1.51356007876961/1</t>
  </si>
  <si>
    <t>2015-1-16 17:10:46.263: Algorithm - handleTransition - currentHedgeShortfall is NOT ZERO and AUTOHEDGE IS NOT ENABLED!</t>
  </si>
  <si>
    <t>2015-1-16 17:10:46.377: DirectionIndicator - notify - price/longMA/ShortMA/prevDirection are 1.5136/1.51355895336186/1.51357338584641/1</t>
  </si>
  <si>
    <t>2015-1-16 17:10:46.378: Algorithm - handleTransition - currentHedgeShortfall is NOT ZERO and AUTOHEDGE IS NOT ENABLED!</t>
  </si>
  <si>
    <t>2015-1-16 17:10:46.685: DirectionIndicator - notify - price/longMA/ShortMA/prevDirection are 1.51355/1.51355732547789/1.51356559056427/1</t>
  </si>
  <si>
    <t>2015-1-16 17:10:46.685: Algorithm - handleTransition - currentHedgeShortfall is NOT ZERO and AUTOHEDGE IS NOT ENABLED!</t>
  </si>
  <si>
    <t>2015-1-16 17:10:47.356: DirectionIndicator - notify - price/longMA/ShortMA/prevDirection are 1.5136/1.51356508448191/1.51357706037618/1</t>
  </si>
  <si>
    <t>2015-1-16 17:10:47.356: Algorithm - handleTransition - currentHedgeShortfall is NOT ZERO and AUTOHEDGE IS NOT ENABLED!</t>
  </si>
  <si>
    <t>2015-1-16 17:10:47.684: DirectionIndicator - notify - price/longMA/ShortMA/prevDirection are 1.51355/1.51356234184883/1.51356804025079/1</t>
  </si>
  <si>
    <t>2015-1-16 17:10:47.684: Algorithm - handleTransition - currentHedgeShortfall is NOT ZERO and AUTOHEDGE IS NOT ENABLED!</t>
  </si>
  <si>
    <t>2015-1-16 17:10:49.436: DirectionIndicator - notify - price/longMA/ShortMA/prevDirection are 1.5136/1.51356918878541/1.51357869350053/1</t>
  </si>
  <si>
    <t>2015-1-16 17:10:49.439: Algorithm - handleTransition - currentHedgeShortfall is NOT ZERO and AUTOHEDGE IS NOT ENABLED!</t>
  </si>
  <si>
    <t>2015-1-16 17:10:49.746: DirectionIndicator - notify - price/longMA/ShortMA/prevDirection are 1.51355/1.51356569991533/1.51356912900035/1</t>
  </si>
  <si>
    <t>2015-1-16 17:10:49.749: Algorithm - handleTransition - currentHedgeShortfall is NOT ZERO and AUTOHEDGE IS NOT ENABLED!</t>
  </si>
  <si>
    <t>2015-1-16 17:10:50.88: DirectionIndicator - notify - price/longMA/ShortMA/prevDirection are 1.5136/1.51357193629436/1.51357941933357/1</t>
  </si>
  <si>
    <t>2015-1-16 17:10:50.89: Algorithm - handleTransition - currentHedgeShortfall is NOT ZERO and AUTOHEDGE IS NOT ENABLED!</t>
  </si>
  <si>
    <t>2015-1-16 17:10:50.549: DirectionIndicator - notify - price/longMA/ShortMA/prevDirection are 1.51355/1.51356794787721/1.51356961288904/1</t>
  </si>
  <si>
    <t>2015-1-16 17:10:50.551: Algorithm - handleTransition - currentHedgeShortfall is NOT ZERO and AUTOHEDGE IS NOT ENABLED!</t>
  </si>
  <si>
    <t>2015-1-16 17:10:50.758: DirectionIndicator - notify - price/longMA/ShortMA/prevDirection are 1.5136/1.5135737755359/1.51357974192603/1</t>
  </si>
  <si>
    <t>2015-1-16 17:10:50.759: Algorithm - handleTransition - currentHedgeShortfall is NOT ZERO and AUTOHEDGE IS NOT ENABLED!</t>
  </si>
  <si>
    <t>2015-1-16 17:10:50.983: DirectionIndicator - notify - price/longMA/ShortMA/prevDirection are 1.51355/1.51356945271119/1.51356982795069/1</t>
  </si>
  <si>
    <t>2015-1-16 17:10:50.986: Algorithm - handleTransition - currentHedgeShortfall is NOT ZERO and AUTOHEDGE IS NOT ENABLED!</t>
  </si>
  <si>
    <t>2015-1-16 17:10:54.289: DirectionIndicator - notify - price/longMA/ShortMA/prevDirection are 1.5136/1.5135750067637/1.51357988530046/1</t>
  </si>
  <si>
    <t>2015-1-16 17:10:54.291: Algorithm - handleTransition - currentHedgeShortfall is NOT ZERO and AUTOHEDGE IS NOT ENABLED!</t>
  </si>
  <si>
    <t>2015-1-16 17:10:54.599: DirectionIndicator - notify - price/longMA/ShortMA/prevDirection are 1.51355/1.51357046007939/1.51356992353364/1</t>
  </si>
  <si>
    <t>2015-1-16 17:10:54.600: Algorithm - handleTransition - currentHedgeShortfall is NOT ZERO and AUTOHEDGE IS NOT ENABLED!</t>
  </si>
  <si>
    <t>2015-1-16 17:10:54.808: DirectionIndicator - notify - price/longMA/ShortMA/prevDirection are 1.5135/1.51355764915587/1.51354661568909/1</t>
  </si>
  <si>
    <t>2015-1-16 17:10:54.811: Algorithm - handleTransition - currentHedgeShortfall is NOT ZERO and AUTOHEDGE IS NOT ENABLED!</t>
  </si>
  <si>
    <t>2015-1-16 17:10:55.21: DirectionIndicator - notify - price/longMA/ShortMA/prevDirection are 1.51355/1.51355625840025/1.51354774379273/1</t>
  </si>
  <si>
    <t>2015-1-16 17:10:55.22: Algorithm - handleTransition - currentHedgeShortfall is NOT ZERO and AUTOHEDGE IS NOT ENABLED!</t>
  </si>
  <si>
    <t>2015-1-16 17:10:55.58: DirectionIndicator - notify - price/longMA/ShortMA/prevDirection are 1.5136/1.51356421141839/1.51356516252849/1</t>
  </si>
  <si>
    <t>2015-1-16 17:10:55.59: Algorithm - handleTransition - currentHedgeShortfall is NOT ZERO and AUTOHEDGE IS NOT ENABLED!</t>
  </si>
  <si>
    <t>2015-1-16 17:10:55.586: DirectionIndicator - notify - price/longMA/ShortMA/prevDirection are 1.51355/1.51356162752414/1.51356010835232/1</t>
  </si>
  <si>
    <t>2015-1-16 17:10:55.587: Algorithm - handleTransition - currentHedgeShortfall is NOT ZERO and AUTOHEDGE IS NOT ENABLED!</t>
  </si>
  <si>
    <t>2015-1-16 17:10:55.784: DirectionIndicator - notify - price/longMA/ShortMA/prevDirection are 1.5136/1.51356860433793/1.51357340556822/1</t>
  </si>
  <si>
    <t>2015-1-16 17:10:55.785: Algorithm - handleTransition - currentHedgeShortfall is NOT ZERO and AUTOHEDGE IS NOT ENABLED!</t>
  </si>
  <si>
    <t>2015-1-16 17:10:56.4: TransitionLogger - flushFile - flushing file</t>
  </si>
  <si>
    <t>2015-1-16 17:10:56.5: TransitionLogger - openTransitionFile - opening file C:\temp\transitionlog_2015-01-16_170856</t>
  </si>
  <si>
    <t>2015-1-16 17:10:56.473: DirectionIndicator - notify - price/longMA/ShortMA/prevDirection are 1.51355/1.51356522173103/1.51356560371214/1</t>
  </si>
  <si>
    <t>2015-1-16 17:10:56.474: Algorithm - handleTransition - currentHedgeShortfall is NOT ZERO and AUTOHEDGE IS NOT ENABLED!</t>
  </si>
  <si>
    <t>2015-1-16 17:10:56.906: DirectionIndicator - notify - price/longMA/ShortMA/prevDirection are 1.5136/1.51357154505266/1.51357706914143/1</t>
  </si>
  <si>
    <t>2015-1-16 17:10:56.908: Algorithm - handleTransition - currentHedgeShortfall is NOT ZERO and AUTOHEDGE IS NOT ENABLED!</t>
  </si>
  <si>
    <t>2015-1-16 17:10:57.134: DirectionIndicator - notify - price/longMA/ShortMA/prevDirection are 1.51355/1.51356762777036/1.51356804609429/1</t>
  </si>
  <si>
    <t>2015-1-16 17:10:57.135: Algorithm - handleTransition - currentHedgeShortfall is NOT ZERO and AUTOHEDGE IS NOT ENABLED!</t>
  </si>
  <si>
    <t>2015-1-16 17:11:4.924: DirectionIndicator - notify - price/longMA/ShortMA/prevDirection are 1.5135/1.51355533181211/1.51354536406286/1</t>
  </si>
  <si>
    <t>2015-1-16 17:11:4.926: Algorithm - handleTransition - currentHedgeShortfall is NOT ZERO and AUTOHEDGE IS NOT ENABLED!</t>
  </si>
  <si>
    <t>2015-1-16 17:11:5.359: DirectionIndicator - notify - price/longMA/ShortMA/prevDirection are 1.51355/1.51355436239173/1.51354690937524/1</t>
  </si>
  <si>
    <t>2015-1-16 17:11:5.361: Algorithm - handleTransition - currentHedgeShortfall is NOT ZERO and AUTOHEDGE IS NOT ENABLED!</t>
  </si>
  <si>
    <t>2015-1-16 17:11:7.46: DirectionIndicator - notify - price/longMA/ShortMA/prevDirection are 1.5136/1.51356266013869/1.51356460625016/1</t>
  </si>
  <si>
    <t>2015-1-16 17:11:7.47: Algorithm - handleTransition - currentHedgeShortfall is NOT ZERO and AUTOHEDGE IS NOT ENABLED!</t>
  </si>
  <si>
    <t>2015-1-16 17:11:7.96: DirectionIndicator - notify - price/longMA/ShortMA/prevDirection are 1.5137/1.51358763102256/1.51360973750011/1</t>
  </si>
  <si>
    <t>2015-1-16 17:11:7.97: Algorithm - handleTransition - currentHedgeShortfall is NOT ZERO and AUTOHEDGE IS NOT ENABLED!</t>
  </si>
  <si>
    <t>2015-1-16 17:11:7.726: DirectionIndicator - notify - price/longMA/ShortMA/prevDirection are 1.51365/1.51359897083664/1.5136231583334/1</t>
  </si>
  <si>
    <t>2015-1-16 17:11:7.727: Algorithm - handleTransition - currentHedgeShortfall is NOT ZERO and AUTOHEDGE IS NOT ENABLED!</t>
  </si>
  <si>
    <t>2015-1-16 17:11:7.788: DirectionIndicator - notify - price/longMA/ShortMA/prevDirection are 1.51355/1.51359006704816/1.51359877222227/1</t>
  </si>
  <si>
    <t>2015-1-16 17:11:7.789: Algorithm - handleTransition - currentHedgeShortfall is NOT ZERO and AUTOHEDGE IS NOT ENABLED!</t>
  </si>
  <si>
    <t>2015-1-16 17:11:8.664: DirectionIndicator - notify - price/longMA/ShortMA/prevDirection are 1.5135/1.51357369122122/1.51356584814818/1</t>
  </si>
  <si>
    <t>2015-1-16 17:11:8.666: Algorithm - handleTransition - currentHedgeShortfall is NOT ZERO and AUTOHEDGE IS NOT ENABLED!</t>
  </si>
  <si>
    <t>2015-1-16 17:11:14.647: DirectionIndicator - notify - price/longMA/ShortMA/prevDirection are 1.51345/1.51355120190827/1.51352723209879/1</t>
  </si>
  <si>
    <t>2015-1-16 17:11:14.650: Algorithm - handleTransition - currentHedgeShortfall is NOT ZERO and AUTOHEDGE IS NOT ENABLED!</t>
  </si>
  <si>
    <t>2015-1-16 17:11:14.992: DirectionIndicator - notify - price/longMA/ShortMA/prevDirection are 1.5134/1.51352371065222/1.51348482139919/-1</t>
  </si>
  <si>
    <t>2015-1-16 17:11:14.992: Algorithm - handleTransition - currentHedgeShortfall is NOT ZERO and AUTOHEDGE IS NOT ENABLED!</t>
  </si>
  <si>
    <t>2015-1-16 17:11:16.633: Algorithm - FindNextStrikes - price is 1.5134 nextStrikeUp/Down 1.515/0</t>
  </si>
  <si>
    <t>2015-1-16 17:11:16.634: Algorithm - getPortfolioForwardDelta - required deltas is -200 currentHedgePosition is 0</t>
  </si>
  <si>
    <t>2015-1-16 17:11:16.635: Algorithm - getHedgeShortfall - required deltas is -200 price is 1.5133 currentHedgePositionDeltas is 0</t>
  </si>
  <si>
    <t>2015-1-16 17:11:16.635: Algorithm - processTransitionPoint - nextUpper/LowerStrikes are 1.515/0 requiredDeltas/currentPosition/currentHedgeShortfall/direction/transitionPrice are -200/0/-200/-1/1.5133</t>
  </si>
  <si>
    <t>2015-1-16 17:11:16.636: TransitionLogger - processTransitionpoint - checking transition - currentHedgeShortfall is -200</t>
  </si>
  <si>
    <t>2015-1-16 17:11:16.636: Algorithm - handleTransition - currentHedgeShortfall is NOT ZERO and AUTOHEDGE IS NOT ENABLED!</t>
  </si>
  <si>
    <t>2015-1-16 17:11:16.638: Algorithm - updatePortfolio - haveAllDetails is True</t>
  </si>
  <si>
    <t>2015-1-16 17:11:16.655: Algorithm - FindNextStrikes - price is 1.5134 nextStrikeUp/Down 1.515/0</t>
  </si>
  <si>
    <t>2015-1-16 17:11:16.655: Algorithm - getPortfolioForwardDelta - required deltas is -200 currentHedgePosition is 0</t>
  </si>
  <si>
    <t>2015-1-16 17:11:16.656: Algorithm - getHedgeShortfall - required deltas is -200 price is 1.5133 currentHedgePositionDeltas is 0</t>
  </si>
  <si>
    <t>2015-1-16 17:11:16.656: Algorithm - processTransitionPoint - nextUpper/LowerStrikes are 1.515/0 requiredDeltas/currentPosition/currentHedgeShortfall/direction/transitionPrice are -200/0/-200/-1/1.5133</t>
  </si>
  <si>
    <t>2015-1-16 17:11:16.657: TransitionLogger - processTransitionpoint - checking transition - currentHedgeShortfall is -200</t>
  </si>
  <si>
    <t>2015-1-16 17:11:16.657: Algorithm - handleTransition - currentHedgeShortfall is NOT ZERO and AUTOHEDGE IS NOT ENABLED!</t>
  </si>
  <si>
    <t>2015-1-16 17:11:16.658: Algorithm - updatePortfolio - haveAllDetails is True</t>
  </si>
  <si>
    <t>2015-1-16 17:11:16.711: Algorithm - FindNextStrikes - price is 1.5134 nextStrikeUp/Down 1.515/0</t>
  </si>
  <si>
    <t>2015-1-16 17:11:16.712: Algorithm - getPortfolioForwardDelta - required deltas is -200 currentHedgePosition is 0</t>
  </si>
  <si>
    <t>2015-1-16 17:11:16.712: Algorithm - getHedgeShortfall - required deltas is -200 price is 1.5133 currentHedgePositionDeltas is 0</t>
  </si>
  <si>
    <t>2015-1-16 17:11:16.713: Algorithm - processTransitionPoint - nextUpper/LowerStrikes are 1.515/0 requiredDeltas/currentPosition/currentHedgeShortfall/direction/transitionPrice are -200/0/-200/-1/1.5133</t>
  </si>
  <si>
    <t>2015-1-16 17:11:16.713: TransitionLogger - processTransitionpoint - checking transition - currentHedgeShortfall is -200</t>
  </si>
  <si>
    <t>2015-1-16 17:11:16.714: Algorithm - handleTransition - currentHedgeShortfall is NOT ZERO and AUTOHEDGE IS NOT ENABLED!</t>
  </si>
  <si>
    <t>2015-1-16 17:11:16.715: Algorithm - updatePortfolio - haveAllDetails is True</t>
  </si>
  <si>
    <t>2015-1-16 17:11:16.761: Algorithm - FindNextStrikes - price is 1.5134 nextStrikeUp/Down 1.515/0</t>
  </si>
  <si>
    <t>2015-1-16 17:11:16.762: Algorithm - getPortfolioForwardDelta - required deltas is -200 currentHedgePosition is 0</t>
  </si>
  <si>
    <t>2015-1-16 17:11:16.762: Algorithm - getHedgeShortfall - required deltas is -200 price is 1.5133 currentHedgePositionDeltas is 0</t>
  </si>
  <si>
    <t>2015-1-16 17:11:16.763: Algorithm - processTransitionPoint - nextUpper/LowerStrikes are 1.515/0 requiredDeltas/currentPosition/currentHedgeShortfall/direction/transitionPrice are -200/0/-200/-1/1.5133</t>
  </si>
  <si>
    <t>2015-1-16 17:11:16.763: TransitionLogger - processTransitionpoint - checking transition - currentHedgeShortfall is -200</t>
  </si>
  <si>
    <t>2015-1-16 17:11:16.764: Algorithm - handleTransition - currentHedgeShortfall is NOT ZERO and AUTOHEDGE IS NOT ENABLED!</t>
  </si>
  <si>
    <t>2015-1-16 17:11:16.765: Algorithm - updatePortfolio - haveAllDetails is True</t>
  </si>
  <si>
    <t>2015-1-16 17:11:16.802: Algorithm - FindNextStrikes - price is 1.5134 nextStrikeUp/Down 1.515/0</t>
  </si>
  <si>
    <t>2015-1-16 17:11:16.803: Algorithm - getPortfolioForwardDelta - required deltas is -200 currentHedgePosition is 0</t>
  </si>
  <si>
    <t>2015-1-16 17:11:16.804: Algorithm - getHedgeShortfall - required deltas is -200 price is 1.5133 currentHedgePositionDeltas is 0</t>
  </si>
  <si>
    <t>2015-1-16 17:11:16.804: Algorithm - processTransitionPoint - nextUpper/LowerStrikes are 1.515/0 requiredDeltas/currentPosition/currentHedgeShortfall/direction/transitionPrice are -200/0/-200/-1/1.5133</t>
  </si>
  <si>
    <t>2015-1-16 17:11:16.804: TransitionLogger - processTransitionpoint - checking transition - currentHedgeShortfall is -200</t>
  </si>
  <si>
    <t>2015-1-16 17:11:16.805: Algorithm - handleTransition - currentHedgeShortfall is NOT ZERO and AUTOHEDGE IS NOT ENABLED!</t>
  </si>
  <si>
    <t>2015-1-16 17:11:16.806: Algorithm - updatePortfolio - haveAllDetails is True</t>
  </si>
  <si>
    <t>2015-1-16 17:11:17.54: DirectionIndicator - notify - price/longMA/ShortMA/prevDirection are 1.51335/1.51349212689727/1.51343988093279/-1</t>
  </si>
  <si>
    <t>2015-1-16 17:11:17.55: Algorithm - handleTransition - currentHedgeShortfall is NOT ZERO and AUTOHEDGE IS NOT ENABLED!</t>
  </si>
  <si>
    <t>2015-1-16 17:11:17.262: DirectionIndicator - notify - price/longMA/ShortMA/prevDirection are 1.5133/1.51345719473413/1.5133932539552/-1</t>
  </si>
  <si>
    <t>2015-1-16 17:11:17.263: Algorithm - handleTransition - currentHedgeShortfall is NOT ZERO and AUTOHEDGE IS NOT ENABLED!</t>
  </si>
  <si>
    <t>2015-1-16 17:11:18.111: DirectionIndicator - notify - price/longMA/ShortMA/prevDirection are 1.51325/1.51341952296429/1.5133455026368/-1</t>
  </si>
  <si>
    <t>2015-1-16 17:11:18.113: Algorithm - handleTransition - currentHedgeShortfall is NOT ZERO and AUTOHEDGE IS NOT ENABLED!</t>
  </si>
  <si>
    <t>2015-1-16 17:11:18.354: DirectionIndicator - notify - price/longMA/ShortMA/prevDirection are 1.5133/1.51339779151624/1.5133303350912/-1</t>
  </si>
  <si>
    <t>2015-1-16 17:11:18.355: Algorithm - handleTransition - currentHedgeShortfall is NOT ZERO and AUTOHEDGE IS NOT ENABLED!</t>
  </si>
  <si>
    <t>2015-1-16 17:11:21.870: DirectionIndicator - notify - price/longMA/ShortMA/prevDirection are 1.51325/1.51337092033147/1.51330355672747/-1</t>
  </si>
  <si>
    <t>2015-1-16 17:11:21.871: Algorithm - handleTransition - currentHedgeShortfall is NOT ZERO and AUTOHEDGE IS NOT ENABLED!</t>
  </si>
  <si>
    <t>2015-1-16 17:11:24.51: DirectionIndicator - notify - price/longMA/ShortMA/prevDirection are 1.5132/1.51333984390756/1.51326903781831/-1</t>
  </si>
  <si>
    <t>2015-1-16 17:11:24.52: Algorithm - handleTransition - currentHedgeShortfall is NOT ZERO and AUTOHEDGE IS NOT ENABLED!</t>
  </si>
  <si>
    <t>2015-1-16 17:11:24.120: DirectionIndicator - notify - price/longMA/ShortMA/prevDirection are 1.51315/1.51330532683346/1.51322935854554/-1</t>
  </si>
  <si>
    <t>2015-1-16 17:11:24.121: Algorithm - handleTransition - currentHedgeShortfall is NOT ZERO and AUTOHEDGE IS NOT ENABLED!</t>
  </si>
  <si>
    <t>2015-1-16 17:11:24.343: DirectionIndicator - notify - price/longMA/ShortMA/prevDirection are 1.5131/1.51326799468192/1.51318623903036/-1</t>
  </si>
  <si>
    <t>2015-1-16 17:11:24.344: Algorithm - handleTransition - currentHedgeShortfall is NOT ZERO and AUTOHEDGE IS NOT ENABLED!</t>
  </si>
  <si>
    <t>2015-1-16 17:11:24.382: DirectionIndicator - notify - price/longMA/ShortMA/prevDirection are 1.51305/1.51322835928521/1.51314082602024/-1</t>
  </si>
  <si>
    <t>2015-1-16 17:11:24.383: Algorithm - handleTransition - currentHedgeShortfall is NOT ZERO and AUTOHEDGE IS NOT ENABLED!</t>
  </si>
  <si>
    <t>2015-1-16 17:11:24.925: DirectionIndicator - notify - price/longMA/ShortMA/prevDirection are 1.513/1.51318683941517/1.51309388401349/-1</t>
  </si>
  <si>
    <t>2015-1-16 17:11:24.926: Algorithm - handleTransition - currentHedgeShortfall is NOT ZERO and AUTOHEDGE IS NOT ENABLED!</t>
  </si>
  <si>
    <t>2015-1-16 17:11:24.966: DirectionIndicator - notify - price/longMA/ShortMA/prevDirection are 1.51295/1.51314377770332/1.51304592267566/-1</t>
  </si>
  <si>
    <t>2015-1-16 17:11:24.967: Algorithm - handleTransition - currentHedgeShortfall is NOT ZERO and AUTOHEDGE IS NOT ENABLED!</t>
  </si>
  <si>
    <t>2015-1-16 17:11:25.234: DirectionIndicator - notify - price/longMA/ShortMA/prevDirection are 1.513/1.51311763630272/1.51303061511711/-1</t>
  </si>
  <si>
    <t>2015-1-16 17:11:25.235: Algorithm - handleTransition - currentHedgeShortfall is NOT ZERO and AUTOHEDGE IS NOT ENABLED!</t>
  </si>
  <si>
    <t>2015-1-16 17:11:29.585: DirectionIndicator - notify - price/longMA/ShortMA/prevDirection are 1.51305/1.51310533879313/1.51303707674474/-1</t>
  </si>
  <si>
    <t>2015-1-16 17:11:29.586: Algorithm - handleTransition - currentHedgeShortfall is NOT ZERO and AUTOHEDGE IS NOT ENABLED!</t>
  </si>
  <si>
    <t>2015-1-16 17:11:30.988: DirectionIndicator - notify - price/longMA/ShortMA/prevDirection are 1.5131/1.51310436810347/1.51305805116316/-1</t>
  </si>
  <si>
    <t>2015-1-16 17:11:30.991: Algorithm - handleTransition - currentHedgeShortfall is NOT ZERO and AUTOHEDGE IS NOT ENABLED!</t>
  </si>
  <si>
    <t>2015-1-16 17:11:31.532: DirectionIndicator - notify - price/longMA/ShortMA/prevDirection are 1.51305/1.51309448299375/1.51305536744211/-1</t>
  </si>
  <si>
    <t>2015-1-16 17:11:31.535: Algorithm - handleTransition - currentHedgeShortfall is NOT ZERO and AUTOHEDGE IS NOT ENABLED!</t>
  </si>
  <si>
    <t>2015-1-16 17:11:31.965: DirectionIndicator - notify - price/longMA/ShortMA/prevDirection are 1.5131/1.5130954860858/1.5130702449614/-1</t>
  </si>
  <si>
    <t>2015-1-16 17:11:31.968: Algorithm - handleTransition - currentHedgeShortfall is NOT ZERO and AUTOHEDGE IS NOT ENABLED!</t>
  </si>
  <si>
    <t>2015-1-16 17:11:32.418: DirectionIndicator - notify - price/longMA/ShortMA/prevDirection are 1.51305/1.51308721588838/1.51306349664094/-1</t>
  </si>
  <si>
    <t>2015-1-16 17:11:32.420: Algorithm - handleTransition - currentHedgeShortfall is NOT ZERO and AUTOHEDGE IS NOT ENABLED!</t>
  </si>
  <si>
    <t>2015-1-16 17:11:32.892: DirectionIndicator - notify - price/longMA/ShortMA/prevDirection are 1.5131/1.51308954027231/1.51307566442729/-1</t>
  </si>
  <si>
    <t>2015-1-16 17:11:32.893: Algorithm - handleTransition - currentHedgeShortfall is NOT ZERO and AUTOHEDGE IS NOT ENABLED!</t>
  </si>
  <si>
    <t>2015-1-16 17:11:33.435: DirectionIndicator - notify - price/longMA/ShortMA/prevDirection are 1.51315/1.51310053295007/1.51310044295153/-1</t>
  </si>
  <si>
    <t>2015-1-16 17:11:33.436: Algorithm - handleTransition - currentHedgeShortfall is NOT ZERO and AUTOHEDGE IS NOT ENABLED!</t>
  </si>
  <si>
    <t>2015-1-16 17:11:33.499: DirectionIndicator - notify - price/longMA/ShortMA/prevDirection are 1.5132/1.51311861786824/1.51313362863435/-1</t>
  </si>
  <si>
    <t>2015-1-16 17:11:33.500: Algorithm - handleTransition - currentHedgeShortfall is NOT ZERO and AUTOHEDGE IS NOT ENABLED!</t>
  </si>
  <si>
    <t>2015-1-16 17:11:33.845: DirectionIndicator - notify - price/longMA/ShortMA/prevDirection are 1.51325/1.51314250552856/1.51317241908957/-1</t>
  </si>
  <si>
    <t>2015-1-16 17:11:33.845: Algorithm - handleTransition - currentHedgeShortfall is NOT ZERO and AUTOHEDGE IS NOT ENABLED!</t>
  </si>
  <si>
    <t>2015-1-16 17:11:48.914: DirectionIndicator - notify - price/longMA/ShortMA/prevDirection are 1.5133/1.513171140887/1.51321494605971/1</t>
  </si>
  <si>
    <t>2015-1-16 17:11:48.917: Algorithm - handleTransition - currentHedgeShortfall is NOT ZERO and AUTOHEDGE IS NOT ENABLED!</t>
  </si>
  <si>
    <t>2015-1-16 17:11:48.963: DirectionIndicator - notify - price/longMA/ShortMA/prevDirection are 1.51335/1.51320366072573/1.51325996403981/1</t>
  </si>
  <si>
    <t>2015-1-16 17:11:48.964: Algorithm - handleTransition - currentHedgeShortfall is NOT ZERO and AUTOHEDGE IS NOT ENABLED!</t>
  </si>
  <si>
    <t>2015-1-16 17:11:49.410: DirectionIndicator - notify - price/longMA/ShortMA/prevDirection are 1.5134/1.5132393587756/1.51330664269321/1</t>
  </si>
  <si>
    <t>2015-1-16 17:11:49.411: Algorithm - handleTransition - currentHedgeShortfall is NOT ZERO and AUTOHEDGE IS NOT ENABLED!</t>
  </si>
  <si>
    <t>2015-1-16 17:11:49.472: DirectionIndicator - notify - price/longMA/ShortMA/prevDirection are 1.51345/1.51327765718003/1.51335442846214/1</t>
  </si>
  <si>
    <t>2015-1-16 17:11:49.473: Algorithm - handleTransition - currentHedgeShortfall is NOT ZERO and AUTOHEDGE IS NOT ENABLED!</t>
  </si>
  <si>
    <t>2015-1-16 17:11:49.845: DirectionIndicator - notify - price/longMA/ShortMA/prevDirection are 1.5135/1.5133180831473/1.51340295230809/1</t>
  </si>
  <si>
    <t>2015-1-16 17:11:49.847: Algorithm - handleTransition - currentHedgeShortfall is NOT ZERO and AUTOHEDGE IS NOT ENABLED!</t>
  </si>
  <si>
    <t>2015-1-16 17:11:49.889: DirectionIndicator - notify - price/longMA/ShortMA/prevDirection are 1.51355/1.51336024984779/1.51345196820539/1</t>
  </si>
  <si>
    <t>2015-1-16 17:11:49.890: Algorithm - handleTransition - currentHedgeShortfall is NOT ZERO and AUTOHEDGE IS NOT ENABLED!</t>
  </si>
  <si>
    <t>2015-1-16 17:11:50.67: DirectionIndicator - notify - price/longMA/ShortMA/prevDirection are 1.5135/1.51338565896638/1.5134679788036/1</t>
  </si>
  <si>
    <t>2015-1-16 17:11:50.68: Algorithm - handleTransition - currentHedgeShortfall is NOT ZERO and AUTOHEDGE IS NOT ENABLED!</t>
  </si>
  <si>
    <t>2015-1-16 17:11:50.108: DirectionIndicator - notify - price/longMA/ShortMA/prevDirection are 1.51345/1.51339735733613/1.51346198586906/1</t>
  </si>
  <si>
    <t>2015-1-16 17:11:50.109: Algorithm - handleTransition - currentHedgeShortfall is NOT ZERO and AUTOHEDGE IS NOT ENABLED!</t>
  </si>
  <si>
    <t>2015-1-16 17:11:50.229: DirectionIndicator - notify - price/longMA/ShortMA/prevDirection are 1.5135/1.51341601963865/1.51347465724604/1</t>
  </si>
  <si>
    <t>2015-1-16 17:11:50.230: Algorithm - handleTransition - currentHedgeShortfall is NOT ZERO and AUTOHEDGE IS NOT ENABLED!</t>
  </si>
  <si>
    <t>2015-1-16 17:11:51.256: DirectionIndicator - notify - price/longMA/ShortMA/prevDirection are 1.51345/1.51342219788617/1.51346643816403/1</t>
  </si>
  <si>
    <t>2015-1-16 17:11:51.257: Algorithm - handleTransition - currentHedgeShortfall is NOT ZERO and AUTOHEDGE IS NOT ENABLED!</t>
  </si>
  <si>
    <t>2015-1-16 17:11:52.174: DirectionIndicator - notify - price/longMA/ShortMA/prevDirection are 1.5135/1.51343634372505/1.51347762544269/1</t>
  </si>
  <si>
    <t>2015-1-16 17:11:52.175: Algorithm - handleTransition - currentHedgeShortfall is NOT ZERO and AUTOHEDGE IS NOT ENABLED!</t>
  </si>
  <si>
    <t>2015-1-16 17:11:52.618: DirectionIndicator - notify - price/longMA/ShortMA/prevDirection are 1.51345/1.51343882668413/1.51346841696179/1</t>
  </si>
  <si>
    <t>2015-1-16 17:11:52.619: Algorithm - handleTransition - currentHedgeShortfall is NOT ZERO and AUTOHEDGE IS NOT ENABLED!</t>
  </si>
  <si>
    <t>2015-1-16 17:11:52.805: DirectionIndicator - notify - price/longMA/ShortMA/prevDirection are 1.5135/1.5134499491052/1.51347894464119/1</t>
  </si>
  <si>
    <t>2015-1-16 17:11:52.806: Algorithm - handleTransition - currentHedgeShortfall is NOT ZERO and AUTOHEDGE IS NOT ENABLED!</t>
  </si>
  <si>
    <t>2015-1-16 17:11:52.842: DirectionIndicator - notify - price/longMA/ShortMA/prevDirection are 1.51355/1.51346814017698/1.5135026297608/1</t>
  </si>
  <si>
    <t>2015-1-16 17:11:52.843: Algorithm - handleTransition - currentHedgeShortfall is NOT ZERO and AUTOHEDGE IS NOT ENABLED!</t>
  </si>
  <si>
    <t>2015-1-16 17:11:52.972: DirectionIndicator - notify - price/longMA/ShortMA/prevDirection are 1.5135/1.51347393287207/1.51350175317386/1</t>
  </si>
  <si>
    <t>2015-1-16 17:11:52.973: Algorithm - handleTransition - currentHedgeShortfall is NOT ZERO and AUTOHEDGE IS NOT ENABLED!</t>
  </si>
  <si>
    <t>2015-1-16 17:11:53.574: DirectionIndicator - notify - price/longMA/ShortMA/prevDirection are 1.51355/1.51348776325897/1.51351783544924/1</t>
  </si>
  <si>
    <t>2015-1-16 17:11:53.574: Algorithm - handleTransition - currentHedgeShortfall is NOT ZERO and AUTOHEDGE IS NOT ENABLED!</t>
  </si>
  <si>
    <t>2015-1-16 17:11:53.683: DirectionIndicator - notify - price/longMA/ShortMA/prevDirection are 1.5136/1.51350816993916/1.51354522363283/1</t>
  </si>
  <si>
    <t>2015-1-16 17:11:53.683: Algorithm - handleTransition - currentHedgeShortfall is NOT ZERO and AUTOHEDGE IS NOT ENABLED!</t>
  </si>
  <si>
    <t>2015-1-16 17:11:55.466: DirectionIndicator - notify - price/longMA/ShortMA/prevDirection are 1.51365/1.51353395722295/1.51358014908855/1</t>
  </si>
  <si>
    <t>2015-1-16 17:11:55.467: Algorithm - handleTransition - currentHedgeShortfall is NOT ZERO and AUTOHEDGE IS NOT ENABLED!</t>
  </si>
  <si>
    <t>2015-1-16 17:11:56.19: TransitionLogger - flushFile - flushing file</t>
  </si>
  <si>
    <t>2015-1-16 17:11:56.20: TransitionLogger - openTransitionFile - opening file C:\temp\transitionlog_2015-01-16_170856</t>
  </si>
  <si>
    <t>2015-1-16 17:12:3.330: DirectionIndicator - notify - price/longMA/ShortMA/prevDirection are 1.5137/1.51356414681877/1.51362009939237/1</t>
  </si>
  <si>
    <t>2015-1-16 17:12:3.331: Algorithm - handleTransition - currentHedgeShortfall is NOT ZERO and AUTOHEDGE IS NOT ENABLED!</t>
  </si>
  <si>
    <t>2015-1-16 17:12:8.316: DirectionIndicator - notify - price/longMA/ShortMA/prevDirection are 1.51375/1.51359793830627/1.51366339959491/1</t>
  </si>
  <si>
    <t>2015-1-16 17:12:8.317: Algorithm - handleTransition - currentHedgeShortfall is NOT ZERO and AUTOHEDGE IS NOT ENABLED!</t>
  </si>
  <si>
    <t>2015-1-16 17:12:8.704: DirectionIndicator - notify - price/longMA/ShortMA/prevDirection are 1.5138/1.51363467679604/1.51370893306327/1</t>
  </si>
  <si>
    <t>2015-1-16 17:12:8.705: Algorithm - handleTransition - currentHedgeShortfall is NOT ZERO and AUTOHEDGE IS NOT ENABLED!</t>
  </si>
  <si>
    <t>2015-1-16 17:12:9.833: DirectionIndicator - notify - price/longMA/ShortMA/prevDirection are 1.51375/1.5136556446513/1.51372262204218/1</t>
  </si>
  <si>
    <t>2015-1-16 17:12:9.836: Algorithm - handleTransition - currentHedgeShortfall is NOT ZERO and AUTOHEDGE IS NOT ENABLED!</t>
  </si>
  <si>
    <t>2015-1-16 17:12:10.516: DirectionIndicator - notify - price/longMA/ShortMA/prevDirection are 1.5137/1.51366370926016/1.51371508136146/1</t>
  </si>
  <si>
    <t>2015-1-16 17:12:10.517: Algorithm - handleTransition - currentHedgeShortfall is NOT ZERO and AUTOHEDGE IS NOT ENABLED!</t>
  </si>
  <si>
    <t>2015-1-16 17:12:10.551: DirectionIndicator - notify - price/longMA/ShortMA/prevDirection are 1.51365/1.5136612166674/1.5136933875743/1</t>
  </si>
  <si>
    <t>2015-1-16 17:12:10.552: Algorithm - handleTransition - currentHedgeShortfall is NOT ZERO and AUTOHEDGE IS NOT ENABLED!</t>
  </si>
  <si>
    <t>2015-1-16 17:12:10.777: DirectionIndicator - notify - price/longMA/ShortMA/prevDirection are 1.5137/1.51366826818242/1.5136955917162/1</t>
  </si>
  <si>
    <t>2015-1-16 17:12:10.778: Algorithm - handleTransition - currentHedgeShortfall is NOT ZERO and AUTOHEDGE IS NOT ENABLED!</t>
  </si>
  <si>
    <t>2015-1-16 17:12:23.102: DirectionIndicator - notify - price/longMA/ShortMA/prevDirection are 1.51365/1.51366494669471/1.51368039447747/1</t>
  </si>
  <si>
    <t>2015-1-16 17:12:23.103: Algorithm - handleTransition - currentHedgeShortfall is NOT ZERO and AUTOHEDGE IS NOT ENABLED!</t>
  </si>
  <si>
    <t>2015-1-16 17:12:23.167: DirectionIndicator - notify - price/longMA/ShortMA/prevDirection are 1.5136/1.51365313820476/1.51365359631831/1</t>
  </si>
  <si>
    <t>2015-1-16 17:12:23.168: Algorithm - handleTransition - currentHedgeShortfall is NOT ZERO and AUTOHEDGE IS NOT ENABLED!</t>
  </si>
  <si>
    <t>2015-1-16 17:12:23.685: DirectionIndicator - notify - price/longMA/ShortMA/prevDirection are 1.51355/1.51363438580389/1.51361906421221/1</t>
  </si>
  <si>
    <t>2015-1-16 17:12:23.688: Algorithm - handleTransition - currentHedgeShortfall is NOT ZERO and AUTOHEDGE IS NOT ENABLED!</t>
  </si>
  <si>
    <t>2015-1-16 17:12:25.387: DirectionIndicator - notify - price/longMA/ShortMA/prevDirection are 1.5136/1.51362813383955/1.51361270947481/1</t>
  </si>
  <si>
    <t>2015-1-16 17:12:25.388: Algorithm - handleTransition - currentHedgeShortfall is NOT ZERO and AUTOHEDGE IS NOT ENABLED!</t>
  </si>
  <si>
    <t>2015-1-16 17:12:28.961: DirectionIndicator - notify - price/longMA/ShortMA/prevDirection are 1.51355/1.5136139276869/1.51359180631654/1</t>
  </si>
  <si>
    <t>2015-1-16 17:12:28.962: Algorithm - handleTransition - currentHedgeShortfall is NOT ZERO and AUTOHEDGE IS NOT ENABLED!</t>
  </si>
  <si>
    <t>2015-1-16 17:12:29.470: DirectionIndicator - notify - price/longMA/ShortMA/prevDirection are 1.5135/1.51359321356201/1.51356120421102/-1</t>
  </si>
  <si>
    <t>2015-1-16 17:12:29.471: Algorithm - handleTransition - currentHedgeShortfall is NOT ZERO and AUTOHEDGE IS NOT ENABLED!</t>
  </si>
  <si>
    <t>2015-1-16 17:12:34.482: DirectionIndicator - notify - price/longMA/ShortMA/prevDirection are 1.51355/1.51358535655074/1.51355746947402/-1</t>
  </si>
  <si>
    <t>2015-1-16 17:12:34.485: Algorithm - handleTransition - currentHedgeShortfall is NOT ZERO and AUTOHEDGE IS NOT ENABLED!</t>
  </si>
  <si>
    <t>2015-1-16 17:12:34.765: DirectionIndicator - notify - price/longMA/ShortMA/prevDirection are 1.5135/1.51356983717788/1.51353831298268/-1</t>
  </si>
  <si>
    <t>2015-1-16 17:12:34.766: Algorithm - handleTransition - currentHedgeShortfall is NOT ZERO and AUTOHEDGE IS NOT ENABLED!</t>
  </si>
  <si>
    <t>2015-1-16 17:12:36.21: DirectionIndicator - notify - price/longMA/ShortMA/prevDirection are 1.51355/1.51356623041826/1.51354220865512/-1</t>
  </si>
  <si>
    <t>2015-1-16 17:12:36.23: Algorithm - handleTransition - currentHedgeShortfall is NOT ZERO and AUTOHEDGE IS NOT ENABLED!</t>
  </si>
  <si>
    <t>2015-1-16 17:12:36.277: DirectionIndicator - notify - price/longMA/ShortMA/prevDirection are 1.5135/1.51355418852403/1.51352813910341/-1</t>
  </si>
  <si>
    <t>2015-1-16 17:12:36.278: Algorithm - handleTransition - currentHedgeShortfall is NOT ZERO and AUTOHEDGE IS NOT ENABLED!</t>
  </si>
  <si>
    <t>2015-1-16 17:12:36.517: DirectionIndicator - notify - price/longMA/ShortMA/prevDirection are 1.51345/1.51353524515603/1.51350209273561/-1</t>
  </si>
  <si>
    <t>2015-1-16 17:12:36.518: Algorithm - handleTransition - currentHedgeShortfall is NOT ZERO and AUTOHEDGE IS NOT ENABLED!</t>
  </si>
  <si>
    <t>2015-1-16 17:12:36.811: DirectionIndicator - notify - price/longMA/ShortMA/prevDirection are 1.5135/1.51352883694584/1.51350139515707/-1</t>
  </si>
  <si>
    <t>2015-1-16 17:12:36.812: Algorithm - handleTransition - currentHedgeShortfall is NOT ZERO and AUTOHEDGE IS NOT ENABLED!</t>
  </si>
  <si>
    <t>2015-1-16 17:12:36.851: DirectionIndicator - notify - price/longMA/ShortMA/prevDirection are 1.51355/1.51353268477387/1.51351759677138/-1</t>
  </si>
  <si>
    <t>2015-1-16 17:12:36.852: Algorithm - handleTransition - currentHedgeShortfall is NOT ZERO and AUTOHEDGE IS NOT ENABLED!</t>
  </si>
  <si>
    <t>2015-1-16 17:12:37.178: DirectionIndicator - notify - price/longMA/ShortMA/prevDirection are 1.5136/1.51354492390589/1.51354506451425/-1</t>
  </si>
  <si>
    <t>2015-1-16 17:12:37.179: Algorithm - handleTransition - currentHedgeShortfall is NOT ZERO and AUTOHEDGE IS NOT ENABLED!</t>
  </si>
  <si>
    <t>2015-1-16 17:12:39.348: DirectionIndicator - notify - price/longMA/ShortMA/prevDirection are 1.51365/1.51356402865028/1.5135800430095/-1</t>
  </si>
  <si>
    <t>2015-1-16 17:12:39.350: Algorithm - handleTransition - currentHedgeShortfall is NOT ZERO and AUTOHEDGE IS NOT ENABLED!</t>
  </si>
  <si>
    <t>2015-1-16 17:12:40.374: DirectionIndicator - notify - price/longMA/ShortMA/prevDirection are 1.5136/1.51357056889568/1.51358669533967/-1</t>
  </si>
  <si>
    <t>2015-1-16 17:12:40.375: Algorithm - handleTransition - currentHedgeShortfall is NOT ZERO and AUTOHEDGE IS NOT ENABLED!</t>
  </si>
  <si>
    <t>2015-1-16 17:12:46.71: DirectionIndicator - notify - price/longMA/ShortMA/prevDirection are 1.51365/1.51358501091465/1.51360779689311/-1</t>
  </si>
  <si>
    <t>2015-1-16 17:12:46.71: Algorithm - handleTransition - currentHedgeShortfall is NOT ZERO and AUTOHEDGE IS NOT ENABLED!</t>
  </si>
  <si>
    <t>2015-1-16 17:12:47.558: DirectionIndicator - notify - price/longMA/ShortMA/prevDirection are 1.5137/1.51360591802108/1.51363853126208/1</t>
  </si>
  <si>
    <t>2015-1-16 17:12:47.559: Algorithm - handleTransition - currentHedgeShortfall is NOT ZERO and AUTOHEDGE IS NOT ENABLED!</t>
  </si>
  <si>
    <t>2015-1-16 17:12:50.131: DirectionIndicator - notify - price/longMA/ShortMA/prevDirection are 1.51375/1.51363211474452/1.51367568750805/1</t>
  </si>
  <si>
    <t>2015-1-16 17:12:50.133: Algorithm - handleTransition - currentHedgeShortfall is NOT ZERO and AUTOHEDGE IS NOT ENABLED!</t>
  </si>
  <si>
    <t>2015-1-16 17:12:50.362: DirectionIndicator - notify - price/longMA/ShortMA/prevDirection are 1.5137/1.51364445751824/1.51368379167203/1</t>
  </si>
  <si>
    <t>2015-1-16 17:12:50.363: Algorithm - handleTransition - currentHedgeShortfall is NOT ZERO and AUTOHEDGE IS NOT ENABLED!</t>
  </si>
  <si>
    <t>2015-1-16 17:12:51.271: DirectionIndicator - notify - price/longMA/ShortMA/prevDirection are 1.51375/1.51366364706038/1.51370586111469/1</t>
  </si>
  <si>
    <t>2015-1-16 17:12:51.272: Algorithm - handleTransition - currentHedgeShortfall is NOT ZERO and AUTOHEDGE IS NOT ENABLED!</t>
  </si>
  <si>
    <t>2015-1-16 17:12:53.237: DirectionIndicator - notify - price/longMA/ShortMA/prevDirection are 1.5138/1.51368843850395/1.51373724074313/1</t>
  </si>
  <si>
    <t>2015-1-16 17:12:53.238: Algorithm - handleTransition - currentHedgeShortfall is NOT ZERO and AUTOHEDGE IS NOT ENABLED!</t>
  </si>
  <si>
    <t>2015-1-16 17:12:53.675: DirectionIndicator - notify - price/longMA/ShortMA/prevDirection are 1.51385/1.51371781332141/1.51377482716208/1</t>
  </si>
  <si>
    <t>2015-1-16 17:12:53.675: Algorithm - handleTransition - currentHedgeShortfall is NOT ZERO and AUTOHEDGE IS NOT ENABLED!</t>
  </si>
  <si>
    <t>2015-1-16 17:12:54.330: DirectionIndicator - notify - price/longMA/ShortMA/prevDirection are 1.5139/1.51375093817206/1.51381655144139/1</t>
  </si>
  <si>
    <t>2015-1-16 17:12:54.330: Algorithm - handleTransition - currentHedgeShortfall is NOT ZERO and AUTOHEDGE IS NOT ENABLED!</t>
  </si>
  <si>
    <t>2015-1-16 17:12:55.559: DirectionIndicator - notify - price/longMA/ShortMA/prevDirection are 1.51385/1.51376894941351/1.51382770096093/1</t>
  </si>
  <si>
    <t>2015-1-16 17:12:55.560: Algorithm - handleTransition - currentHedgeShortfall is NOT ZERO and AUTOHEDGE IS NOT ENABLED!</t>
  </si>
  <si>
    <t>2015-1-16 17:12:55.695: DirectionIndicator - notify - price/longMA/ShortMA/prevDirection are 1.5138/1.51377459497469/1.51381846730728/1</t>
  </si>
  <si>
    <t>2015-1-16 17:12:55.696: Algorithm - handleTransition - currentHedgeShortfall is NOT ZERO and AUTOHEDGE IS NOT ENABLED!</t>
  </si>
  <si>
    <t>2015-1-16 17:12:55.761: DirectionIndicator - notify - price/longMA/ShortMA/prevDirection are 1.51385/1.51378830497929/1.51382897820486/1</t>
  </si>
  <si>
    <t>2015-1-16 17:12:55.762: Algorithm - handleTransition - currentHedgeShortfall is NOT ZERO and AUTOHEDGE IS NOT ENABLED!</t>
  </si>
  <si>
    <t>2015-1-16 17:12:56.12: TransitionLogger - flushFile - flushing file</t>
  </si>
  <si>
    <t>2015-1-16 17:12:56.13: TransitionLogger - openTransitionFile - opening file C:\temp\transitionlog_2015-01-16_170856</t>
  </si>
  <si>
    <t>2015-1-16 17:12:56.217: DirectionIndicator - notify - price/longMA/ShortMA/prevDirection are 1.5138/1.51379043134669/1.51381931880324/1</t>
  </si>
  <si>
    <t>2015-1-16 17:12:56.219: Algorithm - handleTransition - currentHedgeShortfall is NOT ZERO and AUTOHEDGE IS NOT ENABLED!</t>
  </si>
  <si>
    <t>2015-1-16 17:12:56.416: DirectionIndicator - notify - price/longMA/ShortMA/prevDirection are 1.51385/1.51380126201093/1.51382954586882/1</t>
  </si>
  <si>
    <t>2015-1-16 17:12:56.418: Algorithm - handleTransition - currentHedgeShortfall is NOT ZERO and AUTOHEDGE IS NOT ENABLED!</t>
  </si>
  <si>
    <t>2015-1-16 17:13:12.662: DirectionIndicator - notify - price/longMA/ShortMA/prevDirection are 1.5138/1.5138010325544/1.51381969724588/1</t>
  </si>
  <si>
    <t>2015-1-16 17:13:12.665: Algorithm - handleTransition - currentHedgeShortfall is NOT ZERO and AUTOHEDGE IS NOT ENABLED!</t>
  </si>
  <si>
    <t>2015-1-16 17:14:1.865: TransitionLogger - flushFile - flushing file</t>
  </si>
  <si>
    <t>2015-1-16 17:14:1.871: TransitionLogger - openTransitionFile - opening file C:\temp\transitionlog_2015-01-16_170856</t>
  </si>
  <si>
    <t>2015-1-16 17:14:2.356: DirectionIndicator - notify - price/longMA/ShortMA/prevDirection are 1.5137/1.51378266299905/1.51377979816392/1</t>
  </si>
  <si>
    <t>2015-1-16 17:14:2.361: Algorithm - handleTransition - currentHedgeShortfall is NOT ZERO and AUTOHEDGE IS NOT ENABLED!</t>
  </si>
  <si>
    <t>2015-1-16 17:14:2.775: DirectionIndicator - notify - price/longMA/ShortMA/prevDirection are 1.5137/1.51376763336286/1.51375319877595/1</t>
  </si>
  <si>
    <t>2015-1-16 17:14:2.780: Algorithm - handleTransition - currentHedgeShortfall is NOT ZERO and AUTOHEDGE IS NOT ENABLED!</t>
  </si>
  <si>
    <t>2015-1-16 17:14:26.954: DirectionIndicator - notify - price/longMA/ShortMA/prevDirection are 1.51385/1.51377254795365/1.51377364390042/1</t>
  </si>
  <si>
    <t>2015-1-16 17:14:26.954: Algorithm - handleTransition - currentHedgeShortfall is NOT ZERO and AUTOHEDGE IS NOT ENABLED!</t>
  </si>
  <si>
    <t>2015-1-16 17:14:27.6: DirectionIndicator - notify - price/longMA/ShortMA/prevDirection are 1.51395/1.51380481196208/1.51383242926695/1</t>
  </si>
  <si>
    <t>2015-1-16 17:14:27.6: Algorithm - handleTransition - currentHedgeShortfall is NOT ZERO and AUTOHEDGE IS NOT ENABLED!</t>
  </si>
  <si>
    <t>2015-1-16 17:14:28.710: DirectionIndicator - notify - price/longMA/ShortMA/prevDirection are 1.514/1.51384030069625/1.51388828617797/1</t>
  </si>
  <si>
    <t>2015-1-16 17:14:28.712: Algorithm - handleTransition - currentHedgeShortfall is NOT ZERO and AUTOHEDGE IS NOT ENABLED!</t>
  </si>
  <si>
    <t>2015-1-16 17:14:28.747: DirectionIndicator - notify - price/longMA/ShortMA/prevDirection are 1.51405/1.51387842784238/1.51394219078531/1</t>
  </si>
  <si>
    <t>2015-1-16 17:14:28.748: Algorithm - handleTransition - currentHedgeShortfall is NOT ZERO and AUTOHEDGE IS NOT ENABLED!</t>
  </si>
  <si>
    <t>2015-1-16 17:14:29.240: DirectionIndicator - notify - price/longMA/ShortMA/prevDirection are 1.5141/1.51391871368922/1.51399479385687/1</t>
  </si>
  <si>
    <t>2015-1-16 17:14:29.240: Algorithm - handleTransition - currentHedgeShortfall is NOT ZERO and AUTOHEDGE IS NOT ENABLED!</t>
  </si>
  <si>
    <t>2015-1-16 17:14:29.296: DirectionIndicator - notify - price/longMA/ShortMA/prevDirection are 1.51415/1.51396076574573/1.51404652923792/1</t>
  </si>
  <si>
    <t>2015-1-16 17:14:29.296: Algorithm - handleTransition - currentHedgeShortfall is NOT ZERO and AUTOHEDGE IS NOT ENABLED!</t>
  </si>
  <si>
    <t>2015-1-16 17:14:29.342: DirectionIndicator - notify - price/longMA/ShortMA/prevDirection are 1.5141/1.51398608106469/1.51406435282528/1</t>
  </si>
  <si>
    <t>2015-1-16 17:14:29.343: Algorithm - handleTransition - currentHedgeShortfall is NOT ZERO and AUTOHEDGE IS NOT ENABLED!</t>
  </si>
  <si>
    <t>2015-1-16 17:14:29.517: DirectionIndicator - notify - price/longMA/ShortMA/prevDirection are 1.51415/1.51401588450747/1.51409290188352/1</t>
  </si>
  <si>
    <t>2015-1-16 17:14:29.518: Algorithm - handleTransition - currentHedgeShortfall is NOT ZERO and AUTOHEDGE IS NOT ENABLED!</t>
  </si>
  <si>
    <t>2015-1-16 17:14:29.670: DirectionIndicator - notify - price/longMA/ShortMA/prevDirection are 1.5141/1.51403117823338/1.51409526792235/1</t>
  </si>
  <si>
    <t>2015-1-16 17:14:29.671: Algorithm - handleTransition - currentHedgeShortfall is NOT ZERO and AUTOHEDGE IS NOT ENABLED!</t>
  </si>
  <si>
    <t>2015-1-16 17:14:30.959: DirectionIndicator - notify - price/longMA/ShortMA/prevDirection are 1.51405/1.51403460037277/1.5140801786149/1</t>
  </si>
  <si>
    <t>2015-1-16 17:14:30.962: Algorithm - handleTransition - currentHedgeShortfall is NOT ZERO and AUTOHEDGE IS NOT ENABLED!</t>
  </si>
  <si>
    <t>2015-1-16 17:14:31.424: DirectionIndicator - notify - price/longMA/ShortMA/prevDirection are 1.514/1.5140283093959/1.51405345240993/1</t>
  </si>
  <si>
    <t>2015-1-16 17:14:31.426: Algorithm - handleTransition - currentHedgeShortfall is NOT ZERO and AUTOHEDGE IS NOT ENABLED!</t>
  </si>
  <si>
    <t>2015-1-16 17:14:39.355: DirectionIndicator - notify - price/longMA/ShortMA/prevDirection are 1.5139/1.51396641248801/1.51394653080142/1</t>
  </si>
  <si>
    <t>2015-1-16 17:14:39.355: Algorithm - handleTransition - currentHedgeShortfall is NOT ZERO and AUTOHEDGE IS NOT ENABLED!</t>
  </si>
  <si>
    <t>2015-1-16 17:14:51.438: Util - logStaleData - Data is stale!</t>
  </si>
  <si>
    <t>2015-1-16 17:14:52.893: DirectionIndicator - notify - price/longMA/ShortMA/prevDirection are 1.5139/1.5139051726203/1.51387832707189/-1</t>
  </si>
  <si>
    <t>2015-1-16 17:14:52.894: Algorithm - handleTransition - currentHedgeShortfall is NOT ZERO and AUTOHEDGE IS NOT ENABLED!</t>
  </si>
  <si>
    <t>2015-1-16 17:14:54.435: DirectionIndicator - notify - price/longMA/ShortMA/prevDirection are 1.51385/1.51389514123479/1.51386888471459/-1</t>
  </si>
  <si>
    <t>2015-1-16 17:14:54.436: Algorithm - handleTransition - currentHedgeShortfall is NOT ZERO and AUTOHEDGE IS NOT ENABLED!</t>
  </si>
  <si>
    <t>2015-1-16 17:15:1.130: TransitionLogger - flushFile - flushing file</t>
  </si>
  <si>
    <t>2015-1-16 17:15:1.132: TransitionLogger - openTransitionFile - opening file C:\temp\transitionlog_2015-01-16_170856</t>
  </si>
  <si>
    <t>2015-1-16 17:15:34.395: DirectionIndicator - notify - price/longMA/ShortMA/prevDirection are 1.5138/1.51387784282847/1.51384592314306/-1</t>
  </si>
  <si>
    <t>2015-1-16 17:15:34.396: Algorithm - handleTransition - currentHedgeShortfall is NOT ZERO and AUTOHEDGE IS NOT ENABLED!</t>
  </si>
  <si>
    <t>2015-1-16 17:15:39.228: DirectionIndicator - notify - price/longMA/ShortMA/prevDirection are 1.51375/1.51385459867784/1.51381394876204/-1</t>
  </si>
  <si>
    <t>2015-1-16 17:15:39.228: Algorithm - handleTransition - currentHedgeShortfall is NOT ZERO and AUTOHEDGE IS NOT ENABLED!</t>
  </si>
  <si>
    <t>2015-1-16 17:15:45.461: DirectionIndicator - notify - price/longMA/ShortMA/prevDirection are 1.5138/1.5138446716455/1.51380929917469/-1</t>
  </si>
  <si>
    <t>2015-1-16 17:15:45.463: Algorithm - handleTransition - currentHedgeShortfall is NOT ZERO and AUTOHEDGE IS NOT ENABLED!</t>
  </si>
  <si>
    <t>2015-1-16 17:15:45.910: DirectionIndicator - notify - price/longMA/ShortMA/prevDirection are 1.51375/1.51382745861905/1.51378953278313/-1</t>
  </si>
  <si>
    <t>2015-1-16 17:15:45.913: Algorithm - handleTransition - currentHedgeShortfall is NOT ZERO and AUTOHEDGE IS NOT ENABLED!</t>
  </si>
  <si>
    <t>2015-1-16 17:15:46.583: DirectionIndicator - notify - price/longMA/ShortMA/prevDirection are 1.51375/1.51380929048052/1.51377868123695/-1</t>
  </si>
  <si>
    <t>2015-1-16 17:15:46.586: Algorithm - handleTransition - currentHedgeShortfall is NOT ZERO and AUTOHEDGE IS NOT ENABLED!</t>
  </si>
  <si>
    <t>2015-1-16 17:15:47.830: DirectionIndicator - notify - price/longMA/ShortMA/prevDirection are 1.5138/1.51380760130224/1.5137857874913/-1</t>
  </si>
  <si>
    <t>2015-1-16 17:15:47.832: Algorithm - handleTransition - currentHedgeShortfall is NOT ZERO and AUTOHEDGE IS NOT ENABLED!</t>
  </si>
  <si>
    <t>2015-1-16 17:15:58.3: DirectionIndicator - notify - price/longMA/ShortMA/prevDirection are 1.51375/1.5137971283382/1.51377385832753/-1</t>
  </si>
  <si>
    <t>2015-1-16 17:15:58.5: Algorithm - handleTransition - currentHedgeShortfall is NOT ZERO and AUTOHEDGE IS NOT ENABLED!</t>
  </si>
  <si>
    <t>2015-1-16 17:16:0.109: DirectionIndicator - notify - price/longMA/ShortMA/prevDirection are 1.5137/1.51377946864034/1.51374923888502/-1</t>
  </si>
  <si>
    <t>2015-1-16 17:16:0.110: Algorithm - handleTransition - currentHedgeShortfall is NOT ZERO and AUTOHEDGE IS NOT ENABLED!</t>
  </si>
  <si>
    <t>2015-1-16 17:16:0.157: DirectionIndicator - notify - price/longMA/ShortMA/prevDirection are 1.51365/1.51375592888755/1.51371615925668/-1</t>
  </si>
  <si>
    <t>2015-1-16 17:16:0.157: Algorithm - handleTransition - currentHedgeShortfall is NOT ZERO and AUTOHEDGE IS NOT ENABLED!</t>
  </si>
  <si>
    <t>2015-1-16 17:16:1.11: TransitionLogger - flushFile - flushing file</t>
  </si>
  <si>
    <t>2015-1-16 17:16:1.11: TransitionLogger - openTransitionFile - opening file C:\temp\transitionlog_2015-01-16_170856</t>
  </si>
  <si>
    <t>2015-1-16 17:16:1.443: DirectionIndicator - notify - price/longMA/ShortMA/prevDirection are 1.5136/1.51372757818073/1.51367743950445/-1</t>
  </si>
  <si>
    <t>2015-1-16 17:16:1.444: Algorithm - handleTransition - currentHedgeShortfall is NOT ZERO and AUTOHEDGE IS NOT ENABLED!</t>
  </si>
  <si>
    <t>2015-1-16 17:16:1.490: DirectionIndicator - notify - price/longMA/ShortMA/prevDirection are 1.51355/1.51369529123878/1.51363495966964/-1</t>
  </si>
  <si>
    <t>2015-1-16 17:16:1.491: Algorithm - handleTransition - currentHedgeShortfall is NOT ZERO and AUTOHEDGE IS NOT ENABLED!</t>
  </si>
  <si>
    <t>2015-1-16 17:16:1.952: DirectionIndicator - notify - price/longMA/ShortMA/prevDirection are 1.5136/1.513677965559/1.51362330644642/-1</t>
  </si>
  <si>
    <t>2015-1-16 17:16:1.953: Algorithm - handleTransition - currentHedgeShortfall is NOT ZERO and AUTOHEDGE IS NOT ENABLED!</t>
  </si>
  <si>
    <t>2015-1-16 17:16:1.985: DirectionIndicator - notify - price/longMA/ShortMA/prevDirection are 1.51365/1.51367288091191/1.51363220429762/-1</t>
  </si>
  <si>
    <t>2015-1-16 17:16:1.985: Algorithm - handleTransition - currentHedgeShortfall is NOT ZERO and AUTOHEDGE IS NOT ENABLED!</t>
  </si>
  <si>
    <t>2015-1-16 17:16:2.135: DirectionIndicator - notify - price/longMA/ShortMA/prevDirection are 1.5136/1.51365962983702/1.51362146953174/-1</t>
  </si>
  <si>
    <t>2015-1-16 17:16:2.135: Algorithm - handleTransition - currentHedgeShortfall is NOT ZERO and AUTOHEDGE IS NOT ENABLED!</t>
  </si>
  <si>
    <t>2015-1-16 17:16:2.213: DirectionIndicator - notify - price/longMA/ShortMA/prevDirection are 1.51365/1.51365787895756/1.51363097968783/-1</t>
  </si>
  <si>
    <t>2015-1-16 17:16:2.213: Algorithm - handleTransition - currentHedgeShortfall is NOT ZERO and AUTOHEDGE IS NOT ENABLED!</t>
  </si>
  <si>
    <t>2015-1-16 17:16:2.606: DirectionIndicator - notify - price/longMA/ShortMA/prevDirection are 1.5137/1.51366553732891/1.51365398645855/-1</t>
  </si>
  <si>
    <t>2015-1-16 17:16:2.607: Algorithm - handleTransition - currentHedgeShortfall is NOT ZERO and AUTOHEDGE IS NOT ENABLED!</t>
  </si>
  <si>
    <t>2015-1-16 17:16:2.865: DirectionIndicator - notify - price/longMA/ShortMA/prevDirection are 1.51375/1.5136808941782/1.51368599097237/-1</t>
  </si>
  <si>
    <t>2015-1-16 17:16:2.866: Algorithm - handleTransition - currentHedgeShortfall is NOT ZERO and AUTOHEDGE IS NOT ENABLED!</t>
  </si>
  <si>
    <t>2015-1-16 17:16:7.319: DirectionIndicator - notify - price/longMA/ShortMA/prevDirection are 1.5137/1.51368436796398/1.51369066064825/-1</t>
  </si>
  <si>
    <t>2015-1-16 17:16:7.320: Algorithm - handleTransition - currentHedgeShortfall is NOT ZERO and AUTOHEDGE IS NOT ENABLED!</t>
  </si>
  <si>
    <t>2015-1-16 17:16:7.367: DirectionIndicator - notify - price/longMA/ShortMA/prevDirection are 1.51365/1.51367811924326/1.51367710709883/-1</t>
  </si>
  <si>
    <t>2015-1-16 17:16:7.368: Algorithm - handleTransition - currentHedgeShortfall is NOT ZERO and AUTOHEDGE IS NOT ENABLED!</t>
  </si>
  <si>
    <t>2015-1-16 17:16:7.602: DirectionIndicator - notify - price/longMA/ShortMA/prevDirection are 1.5137/1.51368209756267/1.51368473806589/-1</t>
  </si>
  <si>
    <t>2015-1-16 17:16:7.603: Algorithm - handleTransition - currentHedgeShortfall is NOT ZERO and AUTOHEDGE IS NOT ENABLED!</t>
  </si>
  <si>
    <t>2015-1-16 17:16:8.752: DirectionIndicator - notify - price/longMA/ShortMA/prevDirection are 1.51375/1.51369444346036/1.51370649204392/-1</t>
  </si>
  <si>
    <t>2015-1-16 17:16:8.755: Algorithm - handleTransition - currentHedgeShortfall is NOT ZERO and AUTOHEDGE IS NOT ENABLED!</t>
  </si>
  <si>
    <t>2015-1-16 17:16:9.44: DirectionIndicator - notify - price/longMA/ShortMA/prevDirection are 1.5137/1.5136954537403/1.51370432802928/-1</t>
  </si>
  <si>
    <t>2015-1-16 17:16:9.45: Algorithm - handleTransition - currentHedgeShortfall is NOT ZERO and AUTOHEDGE IS NOT ENABLED!</t>
  </si>
  <si>
    <t>2015-1-16 17:16:17.219: DirectionIndicator - notify - price/longMA/ShortMA/prevDirection are 1.51375/1.51370537124206/1.51371955201952/-1</t>
  </si>
  <si>
    <t>2015-1-16 17:16:17.235: Algorithm - handleTransition - currentHedgeShortfall is NOT ZERO and AUTOHEDGE IS NOT ENABLED!</t>
  </si>
  <si>
    <t>2015-1-16 17:16:17.671: DirectionIndicator - notify - price/longMA/ShortMA/prevDirection are 1.5137/1.5137043946526/1.51371303467968/-1</t>
  </si>
  <si>
    <t>2015-1-16 17:16:17.687: Algorithm - handleTransition - currentHedgeShortfall is NOT ZERO and AUTOHEDGE IS NOT ENABLED!</t>
  </si>
  <si>
    <t>2015-1-16 17:16:19.359: DirectionIndicator - notify - price/longMA/ShortMA/prevDirection are 1.51375/1.51371268653394/1.51372535645312/-1</t>
  </si>
  <si>
    <t>2015-1-16 17:16:19.362: Algorithm - handleTransition - currentHedgeShortfall is NOT ZERO and AUTOHEDGE IS NOT ENABLED!</t>
  </si>
  <si>
    <t>2015-1-16 17:16:20.597: DirectionIndicator - notify - price/longMA/ShortMA/prevDirection are 1.5137/1.51371037989141/1.51371690430208/-1</t>
  </si>
  <si>
    <t>2015-1-16 17:16:20.598: Algorithm - handleTransition - currentHedgeShortfall is NOT ZERO and AUTOHEDGE IS NOT ENABLED!</t>
  </si>
  <si>
    <t>2015-1-16 17:16:20.642: DirectionIndicator - notify - price/longMA/ShortMA/prevDirection are 1.51365/1.51369940172933/1.51369460286805/-1</t>
  </si>
  <si>
    <t>2015-1-16 17:16:20.643: Algorithm - handleTransition - currentHedgeShortfall is NOT ZERO and AUTOHEDGE IS NOT ENABLED!</t>
  </si>
  <si>
    <t>2015-1-16 17:16:22.310: DirectionIndicator - notify - price/longMA/ShortMA/prevDirection are 1.5137/1.51369951050582/1.51369640191204/-1</t>
  </si>
  <si>
    <t>2015-1-16 17:16:22.311: Algorithm - handleTransition - currentHedgeShortfall is NOT ZERO and AUTOHEDGE IS NOT ENABLED!</t>
  </si>
  <si>
    <t>2015-1-16 17:16:22.631: DirectionIndicator - notify - price/longMA/ShortMA/prevDirection are 1.51375/1.51370869041385/1.51371426794136/-1</t>
  </si>
  <si>
    <t>2015-1-16 17:16:22.632: Algorithm - handleTransition - currentHedgeShortfall is NOT ZERO and AUTOHEDGE IS NOT ENABLED!</t>
  </si>
  <si>
    <t>2015-1-16 17:16:22.890: DirectionIndicator - notify - price/longMA/ShortMA/prevDirection are 1.5137/1.51370711033861/1.5137095119609/-1</t>
  </si>
  <si>
    <t>2015-1-16 17:16:22.893: Algorithm - handleTransition - currentHedgeShortfall is NOT ZERO and AUTOHEDGE IS NOT ENABLED!</t>
  </si>
  <si>
    <t>2015-1-16 17:16:27.326: DirectionIndicator - notify - price/longMA/ShortMA/prevDirection are 1.51375/1.51371490845886/1.51372300797394/-1</t>
  </si>
  <si>
    <t>2015-1-16 17:16:27.329: Algorithm - handleTransition - currentHedgeShortfall is NOT ZERO and AUTOHEDGE IS NOT ENABLED!</t>
  </si>
  <si>
    <t>2015-1-16 17:16:27.994: DirectionIndicator - notify - price/longMA/ShortMA/prevDirection are 1.5137/1.51371219782998/1.51371533864929/-1</t>
  </si>
  <si>
    <t>2015-1-16 17:16:28.10: Algorithm - handleTransition - currentHedgeShortfall is NOT ZERO and AUTOHEDGE IS NOT ENABLED!</t>
  </si>
  <si>
    <t>2015-1-16 17:16:29.743: DirectionIndicator - notify - price/longMA/ShortMA/prevDirection are 1.51365/1.51370088913362/1.51369355909953/-1</t>
  </si>
  <si>
    <t>2015-1-16 17:16:29.747: Algorithm - handleTransition - currentHedgeShortfall is NOT ZERO and AUTOHEDGE IS NOT ENABLED!</t>
  </si>
  <si>
    <t>2015-1-16 17:16:30.837: DirectionIndicator - notify - price/longMA/ShortMA/prevDirection are 1.5137/1.5136930489695/1.51368698047393/-1</t>
  </si>
  <si>
    <t>2015-1-16 17:16:30.840: Algorithm - handleTransition - currentHedgeShortfall is NOT ZERO and AUTOHEDGE IS NOT ENABLED!</t>
  </si>
  <si>
    <t>2015-1-16 17:16:34.738: DirectionIndicator - notify - price/longMA/ShortMA/prevDirection are 1.51375/1.51370340370232/1.51370798698262/-1</t>
  </si>
  <si>
    <t>2015-1-16 17:16:34.740: Algorithm - handleTransition - currentHedgeShortfall is NOT ZERO and AUTOHEDGE IS NOT ENABLED!</t>
  </si>
  <si>
    <t>2015-1-16 17:16:35.616: DirectionIndicator - notify - price/longMA/ShortMA/prevDirection are 1.5137/1.51370278484735/1.51370532465508/-1</t>
  </si>
  <si>
    <t>2015-1-16 17:16:35.619: Algorithm - handleTransition - currentHedgeShortfall is NOT ZERO and AUTOHEDGE IS NOT ENABLED!</t>
  </si>
  <si>
    <t>2015-1-16 17:17:15.946: Algorithm - FindNextStrikes - price is 1.5137 nextStrikeUp/Down 1.515/0</t>
  </si>
  <si>
    <t>2015-1-16 17:17:15.948: Algorithm - getPortfolioForwardDelta - required deltas is -200 currentHedgePosition is 0</t>
  </si>
  <si>
    <t>2015-1-16 17:17:15.950: Algorithm - getHedgeShortfall - required deltas is -200 price is 1.5136 currentHedgePositionDeltas is 0</t>
  </si>
  <si>
    <t>2015-1-16 17:17:15.952: Algorithm - processTransitionPoint - nextUpper/LowerStrikes are 1.515/0 requiredDeltas/currentPosition/currentHedgeShortfall/direction/transitionPrice are -200/0/-200/-1/1.5136</t>
  </si>
  <si>
    <t>2015-1-16 17:17:15.953: TransitionLogger - processTransitionpoint - checking transition - currentHedgeShortfall is -200</t>
  </si>
  <si>
    <t>2015-1-16 17:17:15.955: Algorithm - handleTransition - currentHedgeShortfall is NOT ZERO and AUTOHEDGE IS NOT ENABLED!</t>
  </si>
  <si>
    <t>2015-1-16 17:17:15.958: Algorithm - updatePortfolio - haveAllDetails is True</t>
  </si>
  <si>
    <t>2015-1-16 17:17:15.985: Algorithm - FindNextStrikes - price is 1.5137 nextStrikeUp/Down 1.515/0</t>
  </si>
  <si>
    <t>2015-1-16 17:17:15.987: Algorithm - getPortfolioForwardDelta - required deltas is -200 currentHedgePosition is 0</t>
  </si>
  <si>
    <t>2015-1-16 17:17:15.988: Algorithm - getHedgeShortfall - required deltas is -200 price is 1.5136 currentHedgePositionDeltas is 0</t>
  </si>
  <si>
    <t>2015-1-16 17:17:15.990: Algorithm - processTransitionPoint - nextUpper/LowerStrikes are 1.515/0 requiredDeltas/currentPosition/currentHedgeShortfall/direction/transitionPrice are -200/0/-200/-1/1.5136</t>
  </si>
  <si>
    <t>2015-1-16 17:17:15.991: TransitionLogger - processTransitionpoint - checking transition - currentHedgeShortfall is -200</t>
  </si>
  <si>
    <t>2015-1-16 17:17:15.993: Algorithm - handleTransition - currentHedgeShortfall is NOT ZERO and AUTOHEDGE IS NOT ENABLED!</t>
  </si>
  <si>
    <t>2015-1-16 17:17:15.995: Algorithm - updatePortfolio - haveAllDetails is True</t>
  </si>
  <si>
    <t>2015-1-16 17:17:16.19: Algorithm - FindNextStrikes - price is 1.5137 nextStrikeUp/Down 1.515/0</t>
  </si>
  <si>
    <t>2015-1-16 17:17:16.21: Algorithm - getPortfolioForwardDelta - required deltas is -200 currentHedgePosition is 0</t>
  </si>
  <si>
    <t>2015-1-16 17:17:16.22: Algorithm - getHedgeShortfall - required deltas is -200 price is 1.5136 currentHedgePositionDeltas is 0</t>
  </si>
  <si>
    <t>2015-1-16 17:17:16.24: Algorithm - processTransitionPoint - nextUpper/LowerStrikes are 1.515/0 requiredDeltas/currentPosition/currentHedgeShortfall/direction/transitionPrice are -200/0/-200/-1/1.5136</t>
  </si>
  <si>
    <t>2015-1-16 17:17:16.26: TransitionLogger - processTransitionpoint - checking transition - currentHedgeShortfall is -200</t>
  </si>
  <si>
    <t>2015-1-16 17:17:16.28: Algorithm - handleTransition - currentHedgeShortfall is NOT ZERO and AUTOHEDGE IS NOT ENABLED!</t>
  </si>
  <si>
    <t>2015-1-16 17:17:16.30: Algorithm - updatePortfolio - haveAllDetails is True</t>
  </si>
  <si>
    <t>2015-1-16 17:17:16.55: Algorithm - FindNextStrikes - price is 1.5137 nextStrikeUp/Down 1.515/0</t>
  </si>
  <si>
    <t>2015-1-16 17:17:16.58: Algorithm - getPortfolioForwardDelta - required deltas is -200 currentHedgePosition is 0</t>
  </si>
  <si>
    <t>2015-1-16 17:17:16.60: Algorithm - getHedgeShortfall - required deltas is -200 price is 1.5136 currentHedgePositionDeltas is 0</t>
  </si>
  <si>
    <t>2015-1-16 17:17:16.61: Algorithm - processTransitionPoint - nextUpper/LowerStrikes are 1.515/0 requiredDeltas/currentPosition/currentHedgeShortfall/direction/transitionPrice are -200/0/-200/-1/1.5136</t>
  </si>
  <si>
    <t>2015-1-16 17:17:16.63: TransitionLogger - processTransitionpoint - checking transition - currentHedgeShortfall is -200</t>
  </si>
  <si>
    <t>2015-1-16 17:17:16.65: Algorithm - handleTransition - currentHedgeShortfall is NOT ZERO and AUTOHEDGE IS NOT ENABLED!</t>
  </si>
  <si>
    <t>2015-1-16 17:17:16.67: Algorithm - updatePortfolio - haveAllDetails is True</t>
  </si>
  <si>
    <t>2015-1-16 17:17:16.103: Algorithm - FindNextStrikes - price is 1.5137 nextStrikeUp/Down 1.515/0</t>
  </si>
  <si>
    <t>2015-1-16 17:17:16.105: Algorithm - getPortfolioForwardDelta - required deltas is -200 currentHedgePosition is 0</t>
  </si>
  <si>
    <t>2015-1-16 17:17:16.107: Algorithm - getHedgeShortfall - required deltas is -200 price is 1.5136 currentHedgePositionDeltas is 0</t>
  </si>
  <si>
    <t>2015-1-16 17:17:16.108: Algorithm - processTransitionPoint - nextUpper/LowerStrikes are 1.515/0 requiredDeltas/currentPosition/currentHedgeShortfall/direction/transitionPrice are -200/0/-200/-1/1.5136</t>
  </si>
  <si>
    <t>2015-1-16 17:17:16.110: TransitionLogger - processTransitionpoint - checking transition - currentHedgeShortfall is -200</t>
  </si>
  <si>
    <t>2015-1-16 17:17:16.111: Algorithm - handleTransition - currentHedgeShortfall is NOT ZERO and AUTOHEDGE IS NOT ENABLED!</t>
  </si>
  <si>
    <t>2015-1-16 17:17:16.113: Algorithm - updatePortfolio - haveAllDetails is True</t>
  </si>
  <si>
    <t>2015-1-16 17:17:59.292: Algorithm - FindNextStrikes - price is 1.5137 nextStrikeUp/Down 1.515/0</t>
  </si>
  <si>
    <t>2015-1-16 17:17:59.294: Algorithm - getPortfolioForwardDelta - required deltas is -200 currentHedgePosition is 0</t>
  </si>
  <si>
    <t>2015-1-16 17:17:59.296: Algorithm - getHedgeShortfall - required deltas is -200 price is 1.5136 currentHedgePositionDeltas is 0</t>
  </si>
  <si>
    <t>2015-1-16 17:17:59.298: Algorithm - processTransitionPoint - nextUpper/LowerStrikes are 1.515/0 requiredDeltas/currentPosition/currentHedgeShortfall/direction/transitionPrice are -200/0/-200/-1/1.5136</t>
  </si>
  <si>
    <t>2015-1-16 17:17:59.299: TransitionLogger - processTransitionpoint - checking transition - currentHedgeShortfall is -200</t>
  </si>
  <si>
    <t>2015-1-16 17:17:59.301: Algorithm - handleTransition - currentHedgeShortfall is NOT ZERO and AUTOHEDGE IS NOT ENABLED!</t>
  </si>
  <si>
    <t>2015-1-16 17:17:59.305: Algorithm - updatePortfolio - haveAllDetails is True</t>
  </si>
  <si>
    <t>2015-1-16 17:17:59.330: Algorithm - FindNextStrikes - price is 1.5137 nextStrikeUp/Down 1.515/0</t>
  </si>
  <si>
    <t>2015-1-16 17:17:59.332: Algorithm - getPortfolioForwardDelta - required deltas is -200 currentHedgePosition is 0</t>
  </si>
  <si>
    <t>2015-1-16 17:17:59.334: Algorithm - getHedgeShortfall - required deltas is -200 price is 1.5136 currentHedgePositionDeltas is 0</t>
  </si>
  <si>
    <t>2015-1-16 17:17:59.335: Algorithm - processTransitionPoint - nextUpper/LowerStrikes are 1.515/0 requiredDeltas/currentPosition/currentHedgeShortfall/direction/transitionPrice are -200/0/-200/-1/1.5136</t>
  </si>
  <si>
    <t>2015-1-16 17:17:59.337: TransitionLogger - processTransitionpoint - checking transition - currentHedgeShortfall is -200</t>
  </si>
  <si>
    <t>2015-1-16 17:17:59.338: Algorithm - handleTransition - currentHedgeShortfall is NOT ZERO and AUTOHEDGE IS NOT ENABLED!</t>
  </si>
  <si>
    <t>2015-1-16 17:17:59.341: Algorithm - updatePortfolio - haveAllDetails is True</t>
  </si>
  <si>
    <t>2015-1-16 17:17:59.372: Algorithm - FindNextStrikes - price is 1.5137 nextStrikeUp/Down 1.515/0</t>
  </si>
  <si>
    <t>2015-1-16 17:17:59.374: Algorithm - getPortfolioForwardDelta - required deltas is -200 currentHedgePosition is 0</t>
  </si>
  <si>
    <t>2015-1-16 17:17:59.376: Algorithm - getHedgeShortfall - required deltas is -200 price is 1.5136 currentHedgePositionDeltas is 0</t>
  </si>
  <si>
    <t>2015-1-16 17:17:59.377: Algorithm - processTransitionPoint - nextUpper/LowerStrikes are 1.515/0 requiredDeltas/currentPosition/currentHedgeShortfall/direction/transitionPrice are -200/0/-200/-1/1.5136</t>
  </si>
  <si>
    <t>2015-1-16 17:17:59.379: TransitionLogger - processTransitionpoint - checking transition - currentHedgeShortfall is -200</t>
  </si>
  <si>
    <t>2015-1-16 17:17:59.380: Algorithm - handleTransition - currentHedgeShortfall is NOT ZERO and AUTOHEDGE IS NOT ENABLED!</t>
  </si>
  <si>
    <t>2015-1-16 17:17:59.382: Algorithm - updatePortfolio - haveAllDetails is True</t>
  </si>
  <si>
    <t>2015-1-16 17:17:59.412: Algorithm - FindNextStrikes - price is 1.5137 nextStrikeUp/Down 1.515/0</t>
  </si>
  <si>
    <t>2015-1-16 17:17:59.414: Algorithm - getPortfolioForwardDelta - required deltas is -200 currentHedgePosition is 0</t>
  </si>
  <si>
    <t>2015-1-16 17:17:59.416: Algorithm - getHedgeShortfall - required deltas is -200 price is 1.5136 currentHedgePositionDeltas is 0</t>
  </si>
  <si>
    <t>2015-1-16 17:17:59.417: Algorithm - processTransitionPoint - nextUpper/LowerStrikes are 1.515/0 requiredDeltas/currentPosition/currentHedgeShortfall/direction/transitionPrice are -200/0/-200/-1/1.5136</t>
  </si>
  <si>
    <t>2015-1-16 17:17:59.419: TransitionLogger - processTransitionpoint - checking transition - currentHedgeShortfall is -200</t>
  </si>
  <si>
    <t>2015-1-16 17:17:59.420: Algorithm - handleTransition - currentHedgeShortfall is NOT ZERO and AUTOHEDGE IS NOT ENABLED!</t>
  </si>
  <si>
    <t>2015-1-16 17:17:59.422: Algorithm - updatePortfolio - haveAllDetails is True</t>
  </si>
  <si>
    <t>2015-1-16 17:17:59.441: Algorithm - FindNextStrikes - price is 1.5137 nextStrikeUp/Down 1.515/0</t>
  </si>
  <si>
    <t>2015-1-16 17:17:59.443: Algorithm - getPortfolioForwardDelta - required deltas is -200 currentHedgePosition is 0</t>
  </si>
  <si>
    <t>2015-1-16 17:17:59.445: Algorithm - getHedgeShortfall - required deltas is -200 price is 1.5136 currentHedgePositionDeltas is 0</t>
  </si>
  <si>
    <t>2015-1-16 17:17:59.447: Algorithm - processTransitionPoint - nextUpper/LowerStrikes are 1.515/0 requiredDeltas/currentPosition/currentHedgeShortfall/direction/transitionPrice are -200/0/-200/-1/1.5136</t>
  </si>
  <si>
    <t>2015-1-16 17:17:59.448: TransitionLogger - processTransitionpoint - checking transition - currentHedgeShortfall is -200</t>
  </si>
  <si>
    <t>2015-1-16 17:17:59.450: Algorithm - handleTransition - currentHedgeShortfall is NOT ZERO and AUTOHEDGE IS NOT ENABLED!</t>
  </si>
  <si>
    <t>2015-1-16 17:17:59.452: Algorithm - updatePortfolio - haveAllDetails is True</t>
  </si>
  <si>
    <t>2015-1-16 17:19:5.200: Util - logStaleData - Data is stale!</t>
  </si>
  <si>
    <t>2015-1-16 17:19:33.60: Util - logStaleData - Data is stale!</t>
  </si>
  <si>
    <t>2015-1-16 17:19:42.319: Util - logStaleData - Data is stale!</t>
  </si>
  <si>
    <t>2015-1-16 17:20:16.213: Algorithm - FindNextStrikes - price is 1.5137 nextStrikeUp/Down 1.515/0</t>
  </si>
  <si>
    <t>2015-1-16 17:20:16.215: Algorithm - getPortfolioForwardDelta - required deltas is -200 currentHedgePosition is 0</t>
  </si>
  <si>
    <t>2015-1-16 17:20:16.217: Algorithm - getHedgeShortfall - required deltas is -200 price is 1.5136 currentHedgePositionDeltas is 0</t>
  </si>
  <si>
    <t>2015-1-16 17:20:16.219: Algorithm - processTransitionPoint - nextUpper/LowerStrikes are 1.515/0 requiredDeltas/currentPosition/currentHedgeShortfall/direction/transitionPrice are -200/0/-200/-1/1.5136</t>
  </si>
  <si>
    <t>2015-1-16 17:20:16.220: TransitionLogger - processTransitionpoint - checking transition - currentHedgeShortfall is -200</t>
  </si>
  <si>
    <t>2015-1-16 17:20:16.222: Algorithm - handleTransition - currentHedgeShortfall is NOT ZERO and AUTOHEDGE IS NOT ENABLED!</t>
  </si>
  <si>
    <t>2015-1-16 17:20:16.225: Algorithm - updatePortfolio - haveAllDetails is True</t>
  </si>
  <si>
    <t>2015-1-16 17:20:16.251: Algorithm - FindNextStrikes - price is 1.5137 nextStrikeUp/Down 1.515/0</t>
  </si>
  <si>
    <t>2015-1-16 17:20:16.253: Algorithm - getPortfolioForwardDelta - required deltas is -200 currentHedgePosition is 0</t>
  </si>
  <si>
    <t>2015-1-16 17:20:16.254: Algorithm - getHedgeShortfall - required deltas is -200 price is 1.5136 currentHedgePositionDeltas is 0</t>
  </si>
  <si>
    <t>2015-1-16 17:20:16.256: Algorithm - processTransitionPoint - nextUpper/LowerStrikes are 1.515/0 requiredDeltas/currentPosition/currentHedgeShortfall/direction/transitionPrice are -200/0/-200/-1/1.5136</t>
  </si>
  <si>
    <t>2015-1-16 17:20:16.257: TransitionLogger - processTransitionpoint - checking transition - currentHedgeShortfall is -200</t>
  </si>
  <si>
    <t>2015-1-16 17:20:16.259: Algorithm - handleTransition - currentHedgeShortfall is NOT ZERO and AUTOHEDGE IS NOT ENABLED!</t>
  </si>
  <si>
    <t>2015-1-16 17:20:16.261: Algorithm - updatePortfolio - haveAllDetails is True</t>
  </si>
  <si>
    <t>2015-1-16 17:20:16.293: Algorithm - FindNextStrikes - price is 1.5137 nextStrikeUp/Down 1.515/0</t>
  </si>
  <si>
    <t>2015-1-16 17:20:16.295: Algorithm - getPortfolioForwardDelta - required deltas is -200 currentHedgePosition is 0</t>
  </si>
  <si>
    <t>2015-1-16 17:20:16.296: Algorithm - getHedgeShortfall - required deltas is -200 price is 1.5136 currentHedgePositionDeltas is 0</t>
  </si>
  <si>
    <t>2015-1-16 17:20:16.298: Algorithm - processTransitionPoint - nextUpper/LowerStrikes are 1.515/0 requiredDeltas/currentPosition/currentHedgeShortfall/direction/transitionPrice are -200/0/-200/-1/1.5136</t>
  </si>
  <si>
    <t>2015-1-16 17:20:16.299: TransitionLogger - processTransitionpoint - checking transition - currentHedgeShortfall is -200</t>
  </si>
  <si>
    <t>2015-1-16 17:20:16.301: Algorithm - handleTransition - currentHedgeShortfall is NOT ZERO and AUTOHEDGE IS NOT ENABLED!</t>
  </si>
  <si>
    <t>2015-1-16 17:20:16.303: Algorithm - updatePortfolio - haveAllDetails is True</t>
  </si>
  <si>
    <t>2015-1-16 17:20:16.334: Algorithm - FindNextStrikes - price is 1.5137 nextStrikeUp/Down 1.515/0</t>
  </si>
  <si>
    <t>2015-1-16 17:20:16.336: Algorithm - getPortfolioForwardDelta - required deltas is -200 currentHedgePosition is 0</t>
  </si>
  <si>
    <t>2015-1-16 17:20:16.338: Algorithm - getHedgeShortfall - required deltas is -200 price is 1.5136 currentHedgePositionDeltas is 0</t>
  </si>
  <si>
    <t>2015-1-16 17:20:16.339: Algorithm - processTransitionPoint - nextUpper/LowerStrikes are 1.515/0 requiredDeltas/currentPosition/currentHedgeShortfall/direction/transitionPrice are -200/0/-200/-1/1.5136</t>
  </si>
  <si>
    <t>2015-1-16 17:20:16.340: TransitionLogger - processTransitionpoint - checking transition - currentHedgeShortfall is -200</t>
  </si>
  <si>
    <t>2015-1-16 17:20:16.342: Algorithm - handleTransition - currentHedgeShortfall is NOT ZERO and AUTOHEDGE IS NOT ENABLED!</t>
  </si>
  <si>
    <t>2015-1-16 17:20:16.344: Algorithm - updatePortfolio - haveAllDetails is True</t>
  </si>
  <si>
    <t>2015-1-16 17:20:16.375: Algorithm - FindNextStrikes - price is 1.5137 nextStrikeUp/Down 1.515/0</t>
  </si>
  <si>
    <t>2015-1-16 17:20:16.377: Algorithm - getPortfolioForwardDelta - required deltas is -200 currentHedgePosition is 0</t>
  </si>
  <si>
    <t>2015-1-16 17:20:16.379: Algorithm - getHedgeShortfall - required deltas is -200 price is 1.5136 currentHedgePositionDeltas is 0</t>
  </si>
  <si>
    <t>2015-1-16 17:20:16.380: Algorithm - processTransitionPoint - nextUpper/LowerStrikes are 1.515/0 requiredDeltas/currentPosition/currentHedgeShortfall/direction/transitionPrice are -200/0/-200/-1/1.5136</t>
  </si>
  <si>
    <t>2015-1-16 17:20:16.382: TransitionLogger - processTransitionpoint - checking transition - currentHedgeShortfall is -200</t>
  </si>
  <si>
    <t>2015-1-16 17:20:16.384: Algorithm - handleTransition - currentHedgeShortfall is NOT ZERO and AUTOHEDGE IS NOT ENABLED!</t>
  </si>
  <si>
    <t>2015-1-16 17:20:16.386: Algorithm - updatePortfolio - haveAllDetails is True</t>
  </si>
  <si>
    <t>2015-1-16 17:21:29.486: Util - logStaleData - Data is stale!</t>
  </si>
  <si>
    <t>2015-1-16 17:21:36.21: Util - logStaleData - Data is stale!</t>
  </si>
  <si>
    <t>2015-1-16 17:23:16.273: Algorithm - FindNextStrikes - price is 1.5137 nextStrikeUp/Down 1.515/0</t>
  </si>
  <si>
    <t>2015-1-16 17:23:16.275: Algorithm - getPortfolioForwardDelta - required deltas is -200 currentHedgePosition is 0</t>
  </si>
  <si>
    <t>2015-1-16 17:23:16.277: Algorithm - getHedgeShortfall - required deltas is -200 price is 1.5136 currentHedgePositionDeltas is 0</t>
  </si>
  <si>
    <t>2015-1-16 17:23:16.279: Algorithm - processTransitionPoint - nextUpper/LowerStrikes are 1.515/0 requiredDeltas/currentPosition/currentHedgeShortfall/direction/transitionPrice are -200/0/-200/-1/1.5136</t>
  </si>
  <si>
    <t>2015-1-16 17:23:16.280: TransitionLogger - processTransitionpoint - checking transition - currentHedgeShortfall is -200</t>
  </si>
  <si>
    <t>2015-1-16 17:23:16.282: Algorithm - handleTransition - currentHedgeShortfall is NOT ZERO and AUTOHEDGE IS NOT ENABLED!</t>
  </si>
  <si>
    <t>2015-1-16 17:23:16.285: Algorithm - updatePortfolio - haveAllDetails is True</t>
  </si>
  <si>
    <t>2015-1-16 17:23:16.313: Algorithm - FindNextStrikes - price is 1.5137 nextStrikeUp/Down 1.515/0</t>
  </si>
  <si>
    <t>2015-1-16 17:23:16.315: Algorithm - getPortfolioForwardDelta - required deltas is -200 currentHedgePosition is 0</t>
  </si>
  <si>
    <t>2015-1-16 17:23:16.316: Algorithm - getHedgeShortfall - required deltas is -200 price is 1.5136 currentHedgePositionDeltas is 0</t>
  </si>
  <si>
    <t>2015-1-16 17:23:16.318: Algorithm - processTransitionPoint - nextUpper/LowerStrikes are 1.515/0 requiredDeltas/currentPosition/currentHedgeShortfall/direction/transitionPrice are -200/0/-200/-1/1.5136</t>
  </si>
  <si>
    <t>2015-1-16 17:23:16.320: TransitionLogger - processTransitionpoint - checking transition - currentHedgeShortfall is -200</t>
  </si>
  <si>
    <t>2015-1-16 17:23:16.322: Algorithm - handleTransition - currentHedgeShortfall is NOT ZERO and AUTOHEDGE IS NOT ENABLED!</t>
  </si>
  <si>
    <t>2015-1-16 17:23:16.324: Algorithm - updatePortfolio - haveAllDetails is True</t>
  </si>
  <si>
    <t>2015-1-16 17:23:16.352: Algorithm - FindNextStrikes - price is 1.5137 nextStrikeUp/Down 1.515/0</t>
  </si>
  <si>
    <t>2015-1-16 17:23:16.354: Algorithm - getPortfolioForwardDelta - required deltas is -200 currentHedgePosition is 0</t>
  </si>
  <si>
    <t>2015-1-16 17:23:16.356: Algorithm - getHedgeShortfall - required deltas is -200 price is 1.5136 currentHedgePositionDeltas is 0</t>
  </si>
  <si>
    <t>2015-1-16 17:23:16.357: Algorithm - processTransitionPoint - nextUpper/LowerStrikes are 1.515/0 requiredDeltas/currentPosition/currentHedgeShortfall/direction/transitionPrice are -200/0/-200/-1/1.5136</t>
  </si>
  <si>
    <t>2015-1-16 17:23:16.359: TransitionLogger - processTransitionpoint - checking transition - currentHedgeShortfall is -200</t>
  </si>
  <si>
    <t>2015-1-16 17:23:16.360: Algorithm - handleTransition - currentHedgeShortfall is NOT ZERO and AUTOHEDGE IS NOT ENABLED!</t>
  </si>
  <si>
    <t>2015-1-16 17:23:16.363: Algorithm - updatePortfolio - haveAllDetails is True</t>
  </si>
  <si>
    <t>2015-1-16 17:23:16.393: Algorithm - FindNextStrikes - price is 1.5137 nextStrikeUp/Down 1.515/0</t>
  </si>
  <si>
    <t>2015-1-16 17:23:16.394: Algorithm - getPortfolioForwardDelta - required deltas is -200 currentHedgePosition is 0</t>
  </si>
  <si>
    <t>2015-1-16 17:23:16.396: Algorithm - getHedgeShortfall - required deltas is -200 price is 1.5136 currentHedgePositionDeltas is 0</t>
  </si>
  <si>
    <t>2015-1-16 17:23:16.397: Algorithm - processTransitionPoint - nextUpper/LowerStrikes are 1.515/0 requiredDeltas/currentPosition/currentHedgeShortfall/direction/transitionPrice are -200/0/-200/-1/1.5136</t>
  </si>
  <si>
    <t>2015-1-16 17:23:16.399: TransitionLogger - processTransitionpoint - checking transition - currentHedgeShortfall is -200</t>
  </si>
  <si>
    <t>2015-1-16 17:23:16.400: Algorithm - handleTransition - currentHedgeShortfall is NOT ZERO and AUTOHEDGE IS NOT ENABLED!</t>
  </si>
  <si>
    <t>2015-1-16 17:23:16.403: Algorithm - updatePortfolio - haveAllDetails is True</t>
  </si>
  <si>
    <t>2015-1-16 17:23:16.435: Algorithm - FindNextStrikes - price is 1.5137 nextStrikeUp/Down 1.515/0</t>
  </si>
  <si>
    <t>2015-1-16 17:23:16.437: Algorithm - getPortfolioForwardDelta - required deltas is -200 currentHedgePosition is 0</t>
  </si>
  <si>
    <t>2015-1-16 17:23:16.438: Algorithm - getHedgeShortfall - required deltas is -200 price is 1.5136 currentHedgePositionDeltas is 0</t>
  </si>
  <si>
    <t>2015-1-16 17:23:16.440: Algorithm - processTransitionPoint - nextUpper/LowerStrikes are 1.515/0 requiredDeltas/currentPosition/currentHedgeShortfall/direction/transitionPrice are -200/0/-200/-1/1.5136</t>
  </si>
  <si>
    <t>2015-1-16 17:23:16.441: TransitionLogger - processTransitionpoint - checking transition - currentHedgeShortfall is -200</t>
  </si>
  <si>
    <t>2015-1-16 17:23:16.443: Algorithm - handleTransition - currentHedgeShortfall is NOT ZERO and AUTOHEDGE IS NOT ENABLED!</t>
  </si>
  <si>
    <t>2015-1-16 17:23:16.445: Algorithm - updatePortfolio - haveAllDetails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</si>
</sst>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4" fillId="0" borderId="0" xfId="0" quotePrefix="1" applyFont="1"/>
    <xf numFmtId="0" fontId="14" fillId="0" borderId="0" xfId="0" quotePrefix="1" applyFont="1" applyAlignment="1">
      <alignment wrapText="1"/>
    </xf>
    <xf numFmtId="172" fontId="0" fillId="0" borderId="0" xfId="0" applyNumberFormat="1"/>
    <xf numFmtId="172" fontId="14" fillId="0" borderId="0" xfId="0" applyNumberFormat="1" applyFont="1"/>
    <xf numFmtId="171" fontId="12" fillId="0" borderId="0" xfId="0" applyNumberFormat="1" applyFont="1"/>
    <xf numFmtId="0" fontId="12" fillId="0" borderId="0" xfId="0" applyFont="1" applyAlignment="1">
      <alignment wrapText="1"/>
    </xf>
    <xf numFmtId="165" fontId="13" fillId="0" borderId="0" xfId="0" applyNumberFormat="1" applyFont="1"/>
    <xf numFmtId="173" fontId="13" fillId="0" borderId="0" xfId="0" applyNumberFormat="1" applyFont="1"/>
    <xf numFmtId="0" fontId="13" fillId="0" borderId="0" xfId="0" quotePrefix="1" applyFont="1" applyAlignment="1">
      <alignment horizontal="left"/>
    </xf>
    <xf numFmtId="171" fontId="13" fillId="0" borderId="0" xfId="0" quotePrefix="1" applyNumberFormat="1" applyFont="1" applyAlignment="1">
      <alignment horizontal="left"/>
    </xf>
    <xf numFmtId="0" fontId="17" fillId="0" borderId="0" xfId="0" applyFont="1" applyAlignment="1">
      <alignment wrapText="1"/>
    </xf>
    <xf numFmtId="0" fontId="16" fillId="0" borderId="0" xfId="0" quotePrefix="1" applyFont="1" applyAlignment="1">
      <alignment wrapText="1"/>
    </xf>
    <xf numFmtId="1" fontId="16" fillId="0" borderId="0" xfId="0" applyNumberFormat="1" applyFont="1" applyAlignment="1">
      <alignment wrapText="1"/>
    </xf>
    <xf numFmtId="173" fontId="17" fillId="0" borderId="0" xfId="0" applyNumberFormat="1" applyFont="1" applyAlignment="1">
      <alignment wrapText="1"/>
    </xf>
    <xf numFmtId="1" fontId="17" fillId="10" borderId="0" xfId="0" applyNumberFormat="1" applyFont="1" applyFill="1" applyAlignment="1">
      <alignment wrapText="1"/>
    </xf>
    <xf numFmtId="165" fontId="12" fillId="0" borderId="0" xfId="0" applyNumberFormat="1" applyFont="1"/>
    <xf numFmtId="169" fontId="12" fillId="0" borderId="0" xfId="0" applyNumberFormat="1" applyFont="1"/>
    <xf numFmtId="2" fontId="12" fillId="0" borderId="0" xfId="0" applyNumberFormat="1" applyFont="1"/>
    <xf numFmtId="0" fontId="18" fillId="11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2" applyNumberFormat="1" applyFont="1"/>
    <xf numFmtId="171" fontId="13" fillId="0" borderId="0" xfId="0" applyNumberFormat="1" applyFont="1"/>
    <xf numFmtId="1" fontId="12" fillId="0" borderId="0" xfId="0" applyNumberFormat="1" applyFont="1"/>
    <xf numFmtId="0" fontId="3" fillId="12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9" fillId="0" borderId="0" xfId="0" applyFont="1"/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1" fillId="9" borderId="0" xfId="0" applyFont="1" applyFill="1" applyAlignment="1">
      <alignment horizontal="center"/>
    </xf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3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0</xdr:row>
          <xdr:rowOff>304800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0</xdr:row>
          <xdr:rowOff>304800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9525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0</xdr:row>
          <xdr:rowOff>304800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0</xdr:row>
          <xdr:rowOff>342900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3"/>
  <sheetViews>
    <sheetView tabSelected="1" topLeftCell="A11" zoomScale="75" zoomScaleNormal="75" workbookViewId="0">
      <selection activeCell="A41" sqref="A41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3.85546875" customWidth="1"/>
    <col min="6" max="6" width="14" customWidth="1"/>
    <col min="7" max="7" width="15.7109375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ht="93" x14ac:dyDescent="0.35">
      <c r="Y1" s="36" t="s">
        <v>108</v>
      </c>
      <c r="Z1" s="36" t="s">
        <v>109</v>
      </c>
      <c r="AA1" s="36" t="s">
        <v>110</v>
      </c>
      <c r="AB1" s="36" t="s">
        <v>112</v>
      </c>
      <c r="AC1" s="52" t="s">
        <v>113</v>
      </c>
      <c r="AD1" s="52" t="s">
        <v>114</v>
      </c>
      <c r="AE1" s="52" t="s">
        <v>123</v>
      </c>
    </row>
    <row r="2" spans="1:32" ht="23.25" x14ac:dyDescent="0.35">
      <c r="Y2" s="63">
        <f>SUM(U41:U61)+J27</f>
        <v>23.698924483911536</v>
      </c>
      <c r="Z2" s="64">
        <f>SUM(X41:X61)</f>
        <v>-6386.9782275917278</v>
      </c>
      <c r="AA2" s="62">
        <f>SUM(W41:W61)</f>
        <v>0.23278193648830961</v>
      </c>
      <c r="AB2" s="51">
        <f>AA2*62500</f>
        <v>14548.871030519351</v>
      </c>
      <c r="AC2" s="65">
        <v>1</v>
      </c>
      <c r="AD2" s="51" t="e">
        <f>-1*AC2*AE2</f>
        <v>#REF!</v>
      </c>
      <c r="AE2" s="71" t="e">
        <f>AG39</f>
        <v>#REF!</v>
      </c>
    </row>
    <row r="3" spans="1:32" ht="21" x14ac:dyDescent="0.35">
      <c r="Y3" s="57" t="s">
        <v>135</v>
      </c>
      <c r="Z3" s="61" t="e">
        <f>ticksUpToLoss(AD2,Y2,Z2)</f>
        <v>#VALUE!</v>
      </c>
      <c r="AA3" s="61" t="e">
        <f>ticksDownToLoss(AD2,Y2,Z2)</f>
        <v>#VALUE!</v>
      </c>
      <c r="AD3" s="53"/>
      <c r="AE3" s="55"/>
    </row>
    <row r="4" spans="1:32" ht="63" x14ac:dyDescent="0.35">
      <c r="Y4" s="57" t="s">
        <v>136</v>
      </c>
      <c r="Z4" s="60" t="e">
        <f>Y2+Z2*(Z3*0.0001)</f>
        <v>#VALUE!</v>
      </c>
      <c r="AA4" s="60" t="e">
        <f>Y2+Z2*(AA3*0.0001)</f>
        <v>#VALUE!</v>
      </c>
      <c r="AD4" s="54"/>
      <c r="AE4" s="56"/>
    </row>
    <row r="5" spans="1:32" ht="23.25" x14ac:dyDescent="0.35">
      <c r="A5" s="82" t="s">
        <v>14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Y5" s="36" t="s">
        <v>137</v>
      </c>
      <c r="Z5" s="36"/>
      <c r="AA5" s="36"/>
      <c r="AF5" s="40"/>
    </row>
    <row r="6" spans="1:32" ht="23.25" x14ac:dyDescent="0.35">
      <c r="A6" s="94" t="s">
        <v>127</v>
      </c>
      <c r="B6" s="94"/>
      <c r="C6" s="94" t="s">
        <v>128</v>
      </c>
      <c r="D6" s="94"/>
      <c r="E6" s="94" t="s">
        <v>129</v>
      </c>
      <c r="F6" s="94"/>
      <c r="G6" s="94" t="s">
        <v>130</v>
      </c>
      <c r="H6" s="94"/>
      <c r="I6" s="94" t="s">
        <v>131</v>
      </c>
      <c r="J6" s="94"/>
      <c r="K6" s="94" t="s">
        <v>132</v>
      </c>
      <c r="L6" s="94"/>
      <c r="M6" s="94" t="s">
        <v>133</v>
      </c>
      <c r="N6" s="94"/>
      <c r="O6" s="94"/>
      <c r="P6" s="94"/>
      <c r="Q6" s="94"/>
      <c r="R6" s="94"/>
      <c r="S6" s="94"/>
      <c r="T6" s="94"/>
      <c r="U6" s="83"/>
      <c r="V6" s="83"/>
      <c r="W6" s="83"/>
      <c r="Y6" s="36" t="s">
        <v>139</v>
      </c>
      <c r="Z6" s="62" t="e">
        <f>$X$27+Z3/10000</f>
        <v>#VALUE!</v>
      </c>
      <c r="AA6" s="72" t="e">
        <f>ROUND(-Z4,0)</f>
        <v>#VALUE!</v>
      </c>
      <c r="AF6" s="40"/>
    </row>
    <row r="7" spans="1:32" ht="23.25" x14ac:dyDescent="0.35">
      <c r="A7" s="95" t="s">
        <v>134</v>
      </c>
      <c r="B7" s="95"/>
      <c r="C7" s="95">
        <v>7497</v>
      </c>
      <c r="D7" s="95"/>
      <c r="E7" s="95">
        <v>6</v>
      </c>
      <c r="F7" s="95"/>
      <c r="G7" s="95">
        <v>5</v>
      </c>
      <c r="H7" s="95"/>
      <c r="I7" s="96">
        <v>0.96388888888888891</v>
      </c>
      <c r="J7" s="97"/>
      <c r="K7" s="98" t="s">
        <v>215</v>
      </c>
      <c r="L7" s="99"/>
      <c r="M7" s="100"/>
      <c r="N7" s="101"/>
      <c r="O7" s="100"/>
      <c r="P7" s="101"/>
      <c r="Q7" s="100"/>
      <c r="R7" s="101"/>
      <c r="S7" s="100"/>
      <c r="T7" s="101"/>
      <c r="U7" s="84"/>
      <c r="V7" s="85"/>
      <c r="W7" s="85"/>
      <c r="Y7" s="36" t="s">
        <v>149</v>
      </c>
      <c r="Z7" s="62" t="e">
        <f>$X$27+AA3/10000</f>
        <v>#VALUE!</v>
      </c>
      <c r="AA7" s="72" t="e">
        <f>ROUND(-AA4,0)</f>
        <v>#VALUE!</v>
      </c>
      <c r="AB7" s="43"/>
      <c r="AF7" s="40"/>
    </row>
    <row r="11" spans="1:32" ht="23.25" x14ac:dyDescent="0.35">
      <c r="A11" s="17" t="s">
        <v>138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3"/>
    </row>
    <row r="12" spans="1:32" ht="23.25" x14ac:dyDescent="0.35">
      <c r="A12" s="102" t="s">
        <v>140</v>
      </c>
      <c r="B12" s="102"/>
      <c r="C12" s="102" t="s">
        <v>141</v>
      </c>
      <c r="D12" s="102"/>
      <c r="E12" s="87" t="s">
        <v>142</v>
      </c>
      <c r="F12" s="87"/>
      <c r="G12" s="102" t="s">
        <v>143</v>
      </c>
      <c r="H12" s="102"/>
      <c r="I12" s="102" t="s">
        <v>144</v>
      </c>
      <c r="J12" s="102"/>
      <c r="K12" s="94" t="s">
        <v>145</v>
      </c>
      <c r="L12" s="94"/>
      <c r="M12" s="94" t="s">
        <v>146</v>
      </c>
      <c r="N12" s="94"/>
      <c r="O12" s="83" t="s">
        <v>147</v>
      </c>
      <c r="P12" s="83"/>
      <c r="Q12" s="83" t="s">
        <v>148</v>
      </c>
      <c r="R12" s="83"/>
      <c r="S12" s="83"/>
      <c r="T12" s="83"/>
      <c r="U12" s="83"/>
      <c r="V12" s="83"/>
      <c r="W12" s="83"/>
      <c r="AB12" s="43"/>
    </row>
    <row r="13" spans="1:32" ht="23.25" x14ac:dyDescent="0.35">
      <c r="A13" s="5">
        <v>1149653.77</v>
      </c>
      <c r="B13" s="3"/>
      <c r="C13" s="5">
        <v>463947.83</v>
      </c>
      <c r="D13" s="3"/>
      <c r="E13" s="5">
        <v>382151.8</v>
      </c>
      <c r="F13" s="5"/>
      <c r="G13" s="5">
        <v>685705.94</v>
      </c>
      <c r="H13" s="5"/>
      <c r="I13" s="5">
        <v>-16266</v>
      </c>
      <c r="J13" s="5"/>
      <c r="K13" s="6">
        <v>0</v>
      </c>
      <c r="L13" s="4"/>
      <c r="M13" s="84" t="s">
        <v>216</v>
      </c>
      <c r="N13" s="85"/>
      <c r="O13" s="84" t="b">
        <v>1</v>
      </c>
      <c r="P13" s="85"/>
      <c r="Q13" s="88"/>
      <c r="R13" s="89"/>
      <c r="S13" s="84"/>
      <c r="T13" s="85"/>
      <c r="U13" s="84"/>
      <c r="V13" s="85"/>
      <c r="W13" s="85"/>
      <c r="Y13" s="43"/>
      <c r="Z13" s="43"/>
      <c r="AA13" s="43"/>
      <c r="AB13" s="43"/>
    </row>
    <row r="14" spans="1:32" ht="23.25" x14ac:dyDescent="0.35">
      <c r="Y14" s="43"/>
      <c r="Z14" s="43"/>
      <c r="AA14" s="43"/>
      <c r="AB14" s="43"/>
    </row>
    <row r="15" spans="1:32" ht="23.25" x14ac:dyDescent="0.35">
      <c r="Y15" s="43"/>
      <c r="Z15" s="43"/>
      <c r="AA15" s="43"/>
      <c r="AB15" s="43"/>
    </row>
    <row r="16" spans="1:32" ht="23.25" x14ac:dyDescent="0.35">
      <c r="Y16" s="43"/>
      <c r="Z16" s="43"/>
      <c r="AA16" s="43"/>
      <c r="AB16" s="43"/>
    </row>
    <row r="17" spans="1:37" ht="23.25" x14ac:dyDescent="0.35">
      <c r="Y17" s="43"/>
      <c r="Z17" s="43"/>
      <c r="AA17" s="43"/>
      <c r="AB17" s="43"/>
    </row>
    <row r="18" spans="1:37" ht="23.25" x14ac:dyDescent="0.35">
      <c r="Y18" s="43"/>
      <c r="Z18" s="43"/>
      <c r="AA18" s="43"/>
      <c r="AB18" s="43"/>
    </row>
    <row r="19" spans="1:37" ht="23.25" x14ac:dyDescent="0.35">
      <c r="A19" s="103" t="s">
        <v>150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Y19" s="43"/>
      <c r="Z19" s="43"/>
      <c r="AA19" s="43"/>
      <c r="AB19" s="43"/>
    </row>
    <row r="20" spans="1:37" s="11" customFormat="1" ht="46.5" x14ac:dyDescent="0.35">
      <c r="A20" s="10" t="s">
        <v>151</v>
      </c>
      <c r="B20" s="10" t="s">
        <v>152</v>
      </c>
      <c r="C20" s="10"/>
      <c r="D20" s="10"/>
      <c r="E20" s="10" t="s">
        <v>153</v>
      </c>
      <c r="F20" s="10"/>
      <c r="G20" s="10" t="s">
        <v>154</v>
      </c>
      <c r="H20" s="10" t="s">
        <v>155</v>
      </c>
      <c r="I20" s="10" t="s">
        <v>156</v>
      </c>
      <c r="J20" s="10"/>
      <c r="K20" s="10" t="s">
        <v>157</v>
      </c>
      <c r="L20" s="10"/>
      <c r="M20" s="10" t="s">
        <v>158</v>
      </c>
      <c r="N20" s="10" t="s">
        <v>159</v>
      </c>
      <c r="Y20" s="43"/>
      <c r="Z20" s="43"/>
      <c r="AA20" s="43"/>
      <c r="AB20" s="44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95">
        <v>5</v>
      </c>
      <c r="F21" s="95"/>
      <c r="G21" s="86">
        <v>5</v>
      </c>
      <c r="H21" s="86">
        <v>10</v>
      </c>
      <c r="I21" s="86">
        <v>0.2</v>
      </c>
      <c r="J21" s="86"/>
      <c r="K21" s="100">
        <v>8</v>
      </c>
      <c r="L21" s="101"/>
      <c r="M21" s="84">
        <v>1</v>
      </c>
      <c r="N21" s="85" t="s">
        <v>100</v>
      </c>
    </row>
    <row r="23" spans="1:37" ht="18.75" x14ac:dyDescent="0.3">
      <c r="Y23" s="41"/>
      <c r="Z23" s="41"/>
      <c r="AA23" s="41"/>
      <c r="AB23" s="41"/>
    </row>
    <row r="24" spans="1:37" ht="18.75" x14ac:dyDescent="0.3">
      <c r="Y24" s="41"/>
      <c r="Z24" s="41"/>
      <c r="AA24" s="41"/>
      <c r="AB24" s="41"/>
    </row>
    <row r="25" spans="1:37" ht="18.75" x14ac:dyDescent="0.3">
      <c r="A25" s="17" t="s">
        <v>160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1"/>
      <c r="Z25" s="50"/>
      <c r="AA25" s="41"/>
      <c r="AB25" s="41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161</v>
      </c>
      <c r="Q26" s="10"/>
      <c r="R26" s="10" t="s">
        <v>162</v>
      </c>
      <c r="S26" s="10" t="s">
        <v>163</v>
      </c>
      <c r="T26" s="10" t="s">
        <v>164</v>
      </c>
      <c r="U26" s="10" t="s">
        <v>165</v>
      </c>
      <c r="V26" s="10" t="s">
        <v>166</v>
      </c>
      <c r="W26" s="10"/>
      <c r="X26" s="11" t="s">
        <v>167</v>
      </c>
      <c r="Y26" s="42"/>
      <c r="Z26" s="42"/>
      <c r="AA26" s="42"/>
      <c r="AB26" s="42"/>
      <c r="AC26"/>
      <c r="AD26"/>
      <c r="AE26"/>
      <c r="AF26"/>
      <c r="AG26"/>
      <c r="AH26"/>
      <c r="AI26"/>
      <c r="AJ26"/>
    </row>
    <row r="27" spans="1:37" ht="18.75" x14ac:dyDescent="0.3">
      <c r="A27" s="86" t="s">
        <v>15</v>
      </c>
      <c r="B27" s="86" t="s">
        <v>24</v>
      </c>
      <c r="C27" s="86">
        <v>20150316</v>
      </c>
      <c r="D27" s="86">
        <v>62500</v>
      </c>
      <c r="E27" s="86" t="s">
        <v>17</v>
      </c>
      <c r="F27" s="86" t="s">
        <v>17</v>
      </c>
      <c r="G27" s="86" t="s">
        <v>16</v>
      </c>
      <c r="H27" s="86" t="s">
        <v>213</v>
      </c>
      <c r="I27" s="86" t="s">
        <v>25</v>
      </c>
      <c r="J27" s="86"/>
      <c r="K27" s="86">
        <v>1.5137</v>
      </c>
      <c r="L27" s="86"/>
      <c r="M27" s="86">
        <v>14</v>
      </c>
      <c r="N27" s="86">
        <v>1.5136000000000001</v>
      </c>
      <c r="O27" s="86">
        <v>1.5138</v>
      </c>
      <c r="P27" s="86">
        <v>14</v>
      </c>
      <c r="Q27" s="86"/>
      <c r="R27" s="86"/>
      <c r="S27" s="86"/>
      <c r="T27" s="86"/>
      <c r="U27" s="86"/>
      <c r="V27" s="86"/>
      <c r="W27" s="86"/>
      <c r="X27">
        <f>(N27+O27)/2</f>
        <v>1.5137</v>
      </c>
      <c r="Y27" s="41"/>
      <c r="Z27" s="41"/>
      <c r="AA27" s="41"/>
      <c r="AB27" s="41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1"/>
      <c r="Z28" s="41"/>
      <c r="AA28" s="41"/>
      <c r="AB28" s="41"/>
      <c r="AC28" s="41"/>
      <c r="AD28" s="41"/>
      <c r="AE28" s="41"/>
    </row>
    <row r="29" spans="1:37" ht="18.75" x14ac:dyDescent="0.3">
      <c r="C29" s="105" t="s">
        <v>169</v>
      </c>
      <c r="D29" s="106"/>
      <c r="E29" s="12">
        <v>0</v>
      </c>
      <c r="F29" s="12"/>
      <c r="G29" s="106" t="s">
        <v>170</v>
      </c>
      <c r="H29" s="106"/>
      <c r="I29" s="12">
        <v>1.5149999999999999</v>
      </c>
      <c r="J29" s="12"/>
      <c r="K29" s="106" t="s">
        <v>171</v>
      </c>
      <c r="L29" s="106"/>
      <c r="M29" s="12">
        <v>-200</v>
      </c>
      <c r="N29" s="13"/>
      <c r="O29" s="106" t="s">
        <v>172</v>
      </c>
      <c r="P29" s="106"/>
      <c r="Q29" s="34">
        <v>1.5137053246550818</v>
      </c>
      <c r="R29" s="13"/>
      <c r="S29" s="12"/>
      <c r="T29" s="13"/>
      <c r="U29" s="12"/>
      <c r="V29" s="13"/>
      <c r="W29" s="13"/>
      <c r="Y29" s="41"/>
      <c r="Z29" s="41"/>
      <c r="AA29" s="41"/>
      <c r="AB29" s="41"/>
      <c r="AC29" s="41"/>
      <c r="AD29" s="41"/>
      <c r="AE29" s="41"/>
    </row>
    <row r="30" spans="1:37" ht="18.75" x14ac:dyDescent="0.3">
      <c r="C30" s="105" t="s">
        <v>173</v>
      </c>
      <c r="D30" s="106"/>
      <c r="E30" s="12">
        <v>15137</v>
      </c>
      <c r="F30" s="12"/>
      <c r="G30" s="106" t="s">
        <v>174</v>
      </c>
      <c r="H30" s="106"/>
      <c r="I30" s="12">
        <v>13</v>
      </c>
      <c r="J30" s="12"/>
      <c r="K30" s="106" t="s">
        <v>175</v>
      </c>
      <c r="L30" s="106"/>
      <c r="M30" s="12">
        <v>0</v>
      </c>
      <c r="N30" s="13"/>
      <c r="O30" s="106" t="s">
        <v>176</v>
      </c>
      <c r="P30" s="106"/>
      <c r="Q30" s="34">
        <v>1.5137027848473523</v>
      </c>
      <c r="R30" s="13"/>
      <c r="S30" s="12"/>
      <c r="T30" s="13"/>
      <c r="U30" s="12"/>
      <c r="V30" s="13"/>
      <c r="W30" s="13"/>
      <c r="Y30" s="41"/>
      <c r="Z30" s="41"/>
      <c r="AA30" s="41"/>
      <c r="AB30" s="41"/>
      <c r="AC30" s="41"/>
      <c r="AD30" s="41"/>
      <c r="AE30" s="41"/>
      <c r="AI30" s="46"/>
      <c r="AK30" s="46"/>
    </row>
    <row r="31" spans="1:37" ht="18.75" x14ac:dyDescent="0.3">
      <c r="C31" s="105" t="s">
        <v>177</v>
      </c>
      <c r="D31" s="106"/>
      <c r="E31" s="12">
        <v>15136</v>
      </c>
      <c r="F31" s="12"/>
      <c r="G31" s="106" t="s">
        <v>178</v>
      </c>
      <c r="H31" s="106"/>
      <c r="I31" s="12">
        <v>12</v>
      </c>
      <c r="J31" s="12"/>
      <c r="K31" s="106" t="s">
        <v>179</v>
      </c>
      <c r="L31" s="106"/>
      <c r="M31" s="12">
        <v>-200</v>
      </c>
      <c r="N31" s="13"/>
      <c r="O31" s="106" t="s">
        <v>99</v>
      </c>
      <c r="P31" s="106"/>
      <c r="Q31" s="12">
        <v>-1</v>
      </c>
      <c r="R31" s="13"/>
      <c r="S31" s="12"/>
      <c r="T31" s="13"/>
      <c r="U31" s="12"/>
      <c r="V31" s="13"/>
      <c r="W31" s="13"/>
      <c r="Y31" s="41"/>
      <c r="Z31" s="41"/>
      <c r="AA31" s="41"/>
      <c r="AB31" s="41"/>
      <c r="AC31" s="41"/>
      <c r="AD31" s="41"/>
      <c r="AE31" s="41"/>
      <c r="AI31" s="45"/>
    </row>
    <row r="32" spans="1:37" ht="2.25" customHeight="1" x14ac:dyDescent="0.3">
      <c r="C32" s="113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8"/>
      <c r="O32" s="107"/>
      <c r="P32" s="107"/>
      <c r="Q32" s="107"/>
      <c r="R32" s="108"/>
      <c r="S32" s="107"/>
      <c r="T32" s="108"/>
      <c r="U32" s="107"/>
      <c r="V32" s="108"/>
      <c r="W32" s="28"/>
      <c r="Y32" s="41"/>
      <c r="Z32" s="41"/>
      <c r="AA32" s="41"/>
      <c r="AB32" s="41"/>
      <c r="AC32" s="41"/>
      <c r="AD32" s="41"/>
      <c r="AE32" s="41"/>
      <c r="AI32" s="49"/>
    </row>
    <row r="33" spans="1:33" ht="18.75" x14ac:dyDescent="0.3">
      <c r="Y33" s="41"/>
      <c r="Z33" s="41"/>
      <c r="AA33" s="41"/>
      <c r="AB33" s="41"/>
      <c r="AC33" s="41"/>
      <c r="AD33" s="41"/>
      <c r="AE33" s="41"/>
    </row>
    <row r="34" spans="1:33" ht="18.75" customHeight="1" x14ac:dyDescent="0.3">
      <c r="A34" s="17" t="s">
        <v>180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47"/>
      <c r="Z34" s="47"/>
      <c r="AA34" s="47"/>
      <c r="AB34" s="41"/>
      <c r="AC34" s="41"/>
      <c r="AD34" s="41"/>
      <c r="AE34" s="41"/>
    </row>
    <row r="35" spans="1:33" s="11" customFormat="1" ht="39" customHeight="1" x14ac:dyDescent="0.3">
      <c r="A35" s="110" t="s">
        <v>26</v>
      </c>
      <c r="B35" s="111"/>
      <c r="C35" s="111"/>
      <c r="D35" s="111" t="s">
        <v>27</v>
      </c>
      <c r="E35" s="111"/>
      <c r="F35" s="111"/>
      <c r="G35" s="111"/>
      <c r="H35" s="20"/>
      <c r="I35" s="111" t="s">
        <v>28</v>
      </c>
      <c r="J35" s="111"/>
      <c r="K35" s="111"/>
      <c r="L35" s="111"/>
      <c r="M35" s="111"/>
      <c r="N35" s="20"/>
      <c r="O35" s="111" t="s">
        <v>181</v>
      </c>
      <c r="P35" s="111"/>
      <c r="Q35" s="112"/>
      <c r="Y35" s="48"/>
      <c r="Z35" s="42"/>
      <c r="AA35" s="42"/>
      <c r="AE35" s="42"/>
    </row>
    <row r="36" spans="1:33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182</v>
      </c>
      <c r="O36" s="1" t="s">
        <v>183</v>
      </c>
      <c r="P36" s="1" t="s">
        <v>184</v>
      </c>
      <c r="Q36" s="1" t="s">
        <v>185</v>
      </c>
      <c r="Y36" s="58"/>
      <c r="Z36" s="59"/>
      <c r="AA36" s="59"/>
      <c r="AE36" s="42"/>
    </row>
    <row r="37" spans="1:33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41"/>
      <c r="Z37" s="41"/>
      <c r="AA37" s="41"/>
      <c r="AB37" s="41"/>
      <c r="AC37" s="41"/>
      <c r="AD37" s="41"/>
      <c r="AE37" s="41"/>
    </row>
    <row r="39" spans="1:33" x14ac:dyDescent="0.25">
      <c r="A39" s="104" t="s">
        <v>13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9" t="s">
        <v>101</v>
      </c>
      <c r="O39" s="109"/>
      <c r="P39" s="109"/>
      <c r="Q39" s="109"/>
      <c r="R39" s="109"/>
      <c r="S39" s="109"/>
      <c r="T39" s="109" t="s">
        <v>111</v>
      </c>
      <c r="U39" s="109"/>
      <c r="V39" s="109"/>
      <c r="W39" s="109"/>
      <c r="AG39" s="67" t="e">
        <f>SUM(AD41:AD61)</f>
        <v>#REF!</v>
      </c>
    </row>
    <row r="40" spans="1:33" ht="30" x14ac:dyDescent="0.25">
      <c r="A40" s="1" t="s">
        <v>9</v>
      </c>
      <c r="B40" s="1" t="s">
        <v>11</v>
      </c>
      <c r="C40" s="1" t="s">
        <v>186</v>
      </c>
      <c r="D40" s="1" t="s">
        <v>163</v>
      </c>
      <c r="E40" s="1" t="s">
        <v>164</v>
      </c>
      <c r="F40" s="1" t="s">
        <v>212</v>
      </c>
      <c r="G40" s="1" t="s">
        <v>187</v>
      </c>
      <c r="H40" s="83" t="s">
        <v>19</v>
      </c>
      <c r="I40" s="83" t="s">
        <v>21</v>
      </c>
      <c r="J40" s="83" t="s">
        <v>22</v>
      </c>
      <c r="K40" s="83" t="s">
        <v>18</v>
      </c>
      <c r="L40" s="83" t="s">
        <v>20</v>
      </c>
      <c r="M40" s="83" t="s">
        <v>23</v>
      </c>
      <c r="N40" s="35" t="s">
        <v>102</v>
      </c>
      <c r="O40" s="35" t="s">
        <v>103</v>
      </c>
      <c r="P40" s="35" t="s">
        <v>104</v>
      </c>
      <c r="Q40" s="35" t="s">
        <v>105</v>
      </c>
      <c r="R40" s="35" t="s">
        <v>106</v>
      </c>
      <c r="S40" s="35" t="s">
        <v>107</v>
      </c>
      <c r="T40" s="39" t="s">
        <v>115</v>
      </c>
      <c r="U40" s="35" t="s">
        <v>103</v>
      </c>
      <c r="V40" s="35" t="s">
        <v>104</v>
      </c>
      <c r="W40" s="35" t="s">
        <v>105</v>
      </c>
      <c r="X40" s="39" t="s">
        <v>116</v>
      </c>
      <c r="Y40" s="39" t="s">
        <v>117</v>
      </c>
      <c r="Z40" s="39" t="s">
        <v>122</v>
      </c>
      <c r="AA40" s="69" t="s">
        <v>121</v>
      </c>
      <c r="AB40" s="69" t="s">
        <v>118</v>
      </c>
      <c r="AC40" s="69" t="s">
        <v>119</v>
      </c>
      <c r="AD40" s="69" t="s">
        <v>120</v>
      </c>
    </row>
    <row r="41" spans="1:33" x14ac:dyDescent="0.25">
      <c r="A41" s="2" t="s">
        <v>217</v>
      </c>
      <c r="B41" s="2">
        <v>-100</v>
      </c>
      <c r="C41" s="2">
        <v>7.4679999999999998E-3</v>
      </c>
      <c r="D41" s="2">
        <v>-46675</v>
      </c>
      <c r="E41" s="2">
        <v>635.04</v>
      </c>
      <c r="F41" s="30">
        <v>16829</v>
      </c>
      <c r="G41" s="2">
        <v>0</v>
      </c>
      <c r="H41" s="2">
        <v>6.7999999999999996E-3</v>
      </c>
      <c r="I41" s="2">
        <v>1</v>
      </c>
      <c r="J41" s="2">
        <v>25</v>
      </c>
      <c r="K41" s="2">
        <v>7.6E-3</v>
      </c>
      <c r="L41" s="2">
        <v>8.0999999999999996E-3</v>
      </c>
      <c r="M41" s="2">
        <v>9</v>
      </c>
      <c r="N41" s="2">
        <v>9.9310430940271033E-2</v>
      </c>
      <c r="O41" s="2">
        <v>0.47836291256200419</v>
      </c>
      <c r="P41" s="2">
        <v>0</v>
      </c>
      <c r="Q41" s="37">
        <v>-5.9240140382455365E-4</v>
      </c>
      <c r="R41" s="2">
        <v>8.3914298084738961E-4</v>
      </c>
      <c r="S41" s="2">
        <v>1.5137</v>
      </c>
      <c r="T41" s="2">
        <v>15.853350209052245</v>
      </c>
      <c r="U41" s="2">
        <f t="shared" ref="U41:U61" si="0">O41*B41</f>
        <v>-47.836291256200418</v>
      </c>
      <c r="V41" s="2">
        <v>1.5804</v>
      </c>
      <c r="W41" s="2">
        <f t="shared" ref="W41:W61" si="1">Q41*B41</f>
        <v>5.9240140382455363E-2</v>
      </c>
      <c r="X41">
        <f>IF(ISERR(T41),0,T41*B41)</f>
        <v>-1585.3350209052244</v>
      </c>
      <c r="Y41">
        <f>IF(X41 = 0,0,(W41*-10000)/X41)</f>
        <v>0.37367584517643038</v>
      </c>
      <c r="Z41" s="70">
        <f>IF(K41=-1,V30/2,(K41+L41)/2)* 10000</f>
        <v>78.5</v>
      </c>
      <c r="AA41" t="e">
        <f>IF(#REF!="C",MAX(0,$N$27-#REF!),MAX(0,#REF!-$N$27))*10000</f>
        <v>#REF!</v>
      </c>
      <c r="AB41" s="68" t="e">
        <f>MAX(0,Z41-AA41)</f>
        <v>#REF!</v>
      </c>
      <c r="AC41" s="68" t="e">
        <f>-AB41*B41</f>
        <v>#REF!</v>
      </c>
      <c r="AD41" s="67" t="e">
        <f t="shared" ref="AD41:AD49" si="2">MAX(0,AC41*6.25)</f>
        <v>#REF!</v>
      </c>
    </row>
    <row r="42" spans="1:33" x14ac:dyDescent="0.25">
      <c r="A42" s="2" t="s">
        <v>218</v>
      </c>
      <c r="B42" s="2">
        <v>-200</v>
      </c>
      <c r="C42" s="2">
        <v>8.9938499999999994E-3</v>
      </c>
      <c r="D42" s="2">
        <v>-112423.07</v>
      </c>
      <c r="E42" s="2">
        <v>344.41500000000002</v>
      </c>
      <c r="F42" s="30">
        <v>-43540.07</v>
      </c>
      <c r="G42" s="2">
        <v>0</v>
      </c>
      <c r="H42" s="2">
        <v>0</v>
      </c>
      <c r="I42" s="2">
        <v>0</v>
      </c>
      <c r="J42" s="2">
        <v>26</v>
      </c>
      <c r="K42" s="2">
        <v>8.8999999999999999E-3</v>
      </c>
      <c r="L42" s="2">
        <v>9.2999999999999992E-3</v>
      </c>
      <c r="M42" s="2">
        <v>9</v>
      </c>
      <c r="N42" s="2">
        <v>9.9310430940271033E-2</v>
      </c>
      <c r="O42" s="2">
        <v>-0.52200976890021233</v>
      </c>
      <c r="P42" s="2">
        <v>0</v>
      </c>
      <c r="Q42" s="37">
        <v>-5.9240290049852331E-4</v>
      </c>
      <c r="R42" s="2">
        <v>8.3914962583421342E-4</v>
      </c>
      <c r="S42" s="2">
        <v>1.5137</v>
      </c>
      <c r="T42" s="2">
        <v>15.853350209052245</v>
      </c>
      <c r="U42" s="2">
        <f t="shared" si="0"/>
        <v>104.40195378004246</v>
      </c>
      <c r="V42" s="2">
        <v>1.5804</v>
      </c>
      <c r="W42" s="2">
        <f t="shared" si="1"/>
        <v>0.11848058009970466</v>
      </c>
      <c r="X42">
        <f t="shared" ref="X42:X61" si="3">IF(ISERR(T42),0,T42*B42)</f>
        <v>-3170.6700418104488</v>
      </c>
      <c r="Y42">
        <f>IF(X42 = 0,0,(W42*-10000)/X42)</f>
        <v>0.3736767892506796</v>
      </c>
      <c r="Z42" s="70">
        <f>IF(K42=-1,V31/2,(K42+L42)/2)* 10000</f>
        <v>91</v>
      </c>
      <c r="AA42" t="e">
        <f>IF(#REF!="C",MAX(0,$N$27-#REF!),MAX(0,#REF!-$N$27))*10000</f>
        <v>#REF!</v>
      </c>
      <c r="AB42" s="68" t="e">
        <f t="shared" ref="AB42:AB61" si="4">MAX(0,Z42-AA42)</f>
        <v>#REF!</v>
      </c>
      <c r="AC42" s="68" t="e">
        <f>-AB42*B42</f>
        <v>#REF!</v>
      </c>
      <c r="AD42" s="67" t="e">
        <f t="shared" si="2"/>
        <v>#REF!</v>
      </c>
    </row>
    <row r="43" spans="1:33" x14ac:dyDescent="0.25">
      <c r="A43" s="2" t="s">
        <v>219</v>
      </c>
      <c r="B43" s="2">
        <v>-10</v>
      </c>
      <c r="C43" s="2">
        <v>5.2919999999999998E-3</v>
      </c>
      <c r="D43" s="2">
        <v>-3307.5</v>
      </c>
      <c r="E43" s="2">
        <v>460.04</v>
      </c>
      <c r="F43" s="30">
        <v>1292.9000000000001</v>
      </c>
      <c r="G43" s="2">
        <v>0</v>
      </c>
      <c r="H43" s="2">
        <v>4.4999999999999997E-3</v>
      </c>
      <c r="I43" s="2">
        <v>8</v>
      </c>
      <c r="J43" s="2">
        <v>13</v>
      </c>
      <c r="K43" s="2">
        <v>5.4000000000000003E-3</v>
      </c>
      <c r="L43" s="2">
        <v>5.7999999999999996E-3</v>
      </c>
      <c r="M43" s="2">
        <v>13</v>
      </c>
      <c r="N43" s="2">
        <v>9.7270759958199449E-2</v>
      </c>
      <c r="O43" s="2">
        <v>0.38201457490693896</v>
      </c>
      <c r="P43" s="2">
        <v>0</v>
      </c>
      <c r="Q43" s="37">
        <v>-5.5760252582599638E-4</v>
      </c>
      <c r="R43" s="2">
        <v>7.8936450203367318E-4</v>
      </c>
      <c r="S43" s="2">
        <v>1.5137</v>
      </c>
      <c r="T43" s="2">
        <v>15.676901032875692</v>
      </c>
      <c r="U43" s="2">
        <f t="shared" si="0"/>
        <v>-3.8201457490693898</v>
      </c>
      <c r="V43" s="2">
        <v>1.5804</v>
      </c>
      <c r="W43" s="2">
        <f t="shared" si="1"/>
        <v>5.5760252582599638E-3</v>
      </c>
      <c r="X43">
        <f t="shared" si="3"/>
        <v>-156.76901032875693</v>
      </c>
      <c r="Y43">
        <f>IF(X43 = 0,0,(W43*-10000)/X43)</f>
        <v>0.35568415253541508</v>
      </c>
      <c r="Z43" s="70">
        <f>IF(K43=-1,V32/2,(K43+L43)/2)* 10000</f>
        <v>56</v>
      </c>
      <c r="AA43" t="e">
        <f>IF(#REF!="C",MAX(0,$N$27-#REF!),MAX(0,#REF!-$N$27))*10000</f>
        <v>#REF!</v>
      </c>
      <c r="AB43" s="68" t="e">
        <f t="shared" si="4"/>
        <v>#REF!</v>
      </c>
      <c r="AC43" s="68" t="e">
        <f>-AB43*B43</f>
        <v>#REF!</v>
      </c>
      <c r="AD43" s="67" t="e">
        <f t="shared" si="2"/>
        <v>#REF!</v>
      </c>
    </row>
    <row r="44" spans="1:33" x14ac:dyDescent="0.25">
      <c r="A44" s="2" t="s">
        <v>220</v>
      </c>
      <c r="B44" s="2">
        <v>-100</v>
      </c>
      <c r="C44" s="2">
        <v>3.5963499999999999E-3</v>
      </c>
      <c r="D44" s="2">
        <v>-22477.27</v>
      </c>
      <c r="E44" s="2">
        <v>316.29000000000002</v>
      </c>
      <c r="F44" s="30">
        <v>9151.73</v>
      </c>
      <c r="G44" s="2">
        <v>0</v>
      </c>
      <c r="H44" s="2">
        <v>0</v>
      </c>
      <c r="I44" s="2">
        <v>0</v>
      </c>
      <c r="J44" s="2">
        <v>35</v>
      </c>
      <c r="K44" s="2">
        <v>3.7000000000000002E-3</v>
      </c>
      <c r="L44" s="2">
        <v>4.0000000000000001E-3</v>
      </c>
      <c r="M44" s="2">
        <v>5</v>
      </c>
      <c r="N44" s="2">
        <v>9.6025423622101869E-2</v>
      </c>
      <c r="O44" s="2">
        <v>0.29046592290861117</v>
      </c>
      <c r="P44" s="2">
        <v>0</v>
      </c>
      <c r="Q44" s="37">
        <v>-4.9485190747889632E-4</v>
      </c>
      <c r="R44" s="2">
        <v>7.7714710073580225E-4</v>
      </c>
      <c r="S44" s="2">
        <v>1.5137</v>
      </c>
      <c r="T44" s="2">
        <v>14.742041545472976</v>
      </c>
      <c r="U44" s="2">
        <f t="shared" si="0"/>
        <v>-29.046592290861117</v>
      </c>
      <c r="V44" s="2">
        <v>1.5804</v>
      </c>
      <c r="W44" s="2">
        <f t="shared" si="1"/>
        <v>4.9485190747889631E-2</v>
      </c>
      <c r="X44">
        <f t="shared" si="3"/>
        <v>-1474.2041545472975</v>
      </c>
      <c r="Y44">
        <f>IF(X44 = 0,0,(W44*-10000)/X44)</f>
        <v>0.33567393359494141</v>
      </c>
      <c r="Z44" s="70">
        <f>IF(K44=-1,V33/2,(K44+L44)/2)* 10000</f>
        <v>38.5</v>
      </c>
      <c r="AA44" t="e">
        <f>IF(#REF!="C",MAX(0,$N$27-#REF!),MAX(0,#REF!-$N$27))*10000</f>
        <v>#REF!</v>
      </c>
      <c r="AB44" s="68" t="e">
        <f t="shared" si="4"/>
        <v>#REF!</v>
      </c>
      <c r="AC44" s="68" t="e">
        <f>-AB44*B44</f>
        <v>#REF!</v>
      </c>
      <c r="AD44" s="67" t="e">
        <f t="shared" si="2"/>
        <v>#REF!</v>
      </c>
    </row>
    <row r="45" spans="1:33" x14ac:dyDescent="0.25">
      <c r="A45" s="2"/>
      <c r="B45" s="2"/>
      <c r="C45" s="2"/>
      <c r="D45" s="2"/>
      <c r="E45" s="2"/>
      <c r="F45" s="30"/>
      <c r="G45" s="2"/>
      <c r="H45" s="2"/>
      <c r="I45" s="2"/>
      <c r="J45" s="2"/>
      <c r="K45" s="2"/>
      <c r="L45" s="2"/>
      <c r="M45" s="2"/>
      <c r="N45" s="2"/>
      <c r="O45" s="2"/>
      <c r="P45" s="38"/>
      <c r="Q45" s="37"/>
      <c r="R45" s="2"/>
      <c r="S45" s="2"/>
      <c r="T45" s="2"/>
      <c r="U45" s="2">
        <f t="shared" si="0"/>
        <v>0</v>
      </c>
      <c r="V45" s="2">
        <v>1.5804</v>
      </c>
      <c r="W45" s="2">
        <f t="shared" si="1"/>
        <v>0</v>
      </c>
      <c r="X45">
        <f t="shared" si="3"/>
        <v>0</v>
      </c>
      <c r="Y45">
        <f>IF(X45 = 0,0,(W45*-10000)/X45)</f>
        <v>0</v>
      </c>
      <c r="Z45" s="70">
        <f>IF(K45=-1,V34/2,(K45+L45)/2)* 10000</f>
        <v>0</v>
      </c>
      <c r="AA45" t="e">
        <f>IF(#REF!="C",MAX(0,$N$27-#REF!),MAX(0,#REF!-$N$27))*10000</f>
        <v>#REF!</v>
      </c>
      <c r="AB45" s="68" t="e">
        <f t="shared" si="4"/>
        <v>#REF!</v>
      </c>
      <c r="AC45" s="68" t="e">
        <f>-AB45*B45</f>
        <v>#REF!</v>
      </c>
      <c r="AD45" s="67" t="e">
        <f t="shared" si="2"/>
        <v>#REF!</v>
      </c>
    </row>
    <row r="46" spans="1:33" x14ac:dyDescent="0.25">
      <c r="A46" s="2"/>
      <c r="B46" s="2"/>
      <c r="C46" s="2"/>
      <c r="D46" s="2"/>
      <c r="E46" s="2"/>
      <c r="F46" s="30"/>
      <c r="G46" s="2"/>
      <c r="H46" s="2"/>
      <c r="I46" s="2"/>
      <c r="J46" s="2"/>
      <c r="K46" s="2"/>
      <c r="L46" s="2"/>
      <c r="M46" s="2"/>
      <c r="N46" s="2"/>
      <c r="O46" s="2"/>
      <c r="P46" s="2"/>
      <c r="Q46" s="37"/>
      <c r="R46" s="2"/>
      <c r="S46" s="2"/>
      <c r="T46" s="2"/>
      <c r="U46" s="2">
        <f t="shared" si="0"/>
        <v>0</v>
      </c>
      <c r="V46" s="2">
        <v>1.5804</v>
      </c>
      <c r="W46" s="2">
        <f t="shared" si="1"/>
        <v>0</v>
      </c>
      <c r="X46">
        <f t="shared" si="3"/>
        <v>0</v>
      </c>
      <c r="Y46">
        <f>IF(X46 = 0,0,(W46*-10000)/X46)</f>
        <v>0</v>
      </c>
      <c r="Z46" s="70">
        <f>IF(K46=-1,V35/2,(K46+L46)/2)* 10000</f>
        <v>0</v>
      </c>
      <c r="AA46" t="e">
        <f>IF(#REF!="C",MAX(0,$N$27-#REF!),MAX(0,#REF!-$N$27))*10000</f>
        <v>#REF!</v>
      </c>
      <c r="AB46" s="68" t="e">
        <f t="shared" si="4"/>
        <v>#REF!</v>
      </c>
      <c r="AC46" s="68" t="e">
        <f>-AB46*B46</f>
        <v>#REF!</v>
      </c>
      <c r="AD46" s="67" t="e">
        <f t="shared" si="2"/>
        <v>#REF!</v>
      </c>
    </row>
    <row r="47" spans="1:33" x14ac:dyDescent="0.25">
      <c r="A47" s="2"/>
      <c r="B47" s="2"/>
      <c r="C47" s="2"/>
      <c r="D47" s="2"/>
      <c r="E47" s="2"/>
      <c r="F47" s="30"/>
      <c r="G47" s="2"/>
      <c r="H47" s="2"/>
      <c r="I47" s="2"/>
      <c r="J47" s="2"/>
      <c r="K47" s="2"/>
      <c r="L47" s="2"/>
      <c r="M47" s="2"/>
      <c r="N47" s="2"/>
      <c r="O47" s="2"/>
      <c r="P47" s="2"/>
      <c r="Q47" s="37"/>
      <c r="R47" s="2"/>
      <c r="S47" s="2"/>
      <c r="T47" s="2"/>
      <c r="U47" s="2">
        <f t="shared" si="0"/>
        <v>0</v>
      </c>
      <c r="V47" s="2">
        <v>1.5804</v>
      </c>
      <c r="W47" s="2">
        <f t="shared" si="1"/>
        <v>0</v>
      </c>
      <c r="X47">
        <f t="shared" si="3"/>
        <v>0</v>
      </c>
      <c r="Y47">
        <f>IF(X47 = 0,0,(W47*-10000)/X47)</f>
        <v>0</v>
      </c>
      <c r="Z47" s="70">
        <f>IF(K47=-1,V36/2,(K47+L47)/2)* 10000</f>
        <v>0</v>
      </c>
      <c r="AA47" t="e">
        <f>IF(#REF!="C",MAX(0,$N$27-#REF!),MAX(0,#REF!-$N$27))*10000</f>
        <v>#REF!</v>
      </c>
      <c r="AB47" s="68" t="e">
        <f t="shared" si="4"/>
        <v>#REF!</v>
      </c>
      <c r="AC47" s="68" t="e">
        <f>-AB47*B47</f>
        <v>#REF!</v>
      </c>
      <c r="AD47" s="67" t="e">
        <f t="shared" si="2"/>
        <v>#REF!</v>
      </c>
    </row>
    <row r="48" spans="1:33" x14ac:dyDescent="0.25">
      <c r="A48" s="2"/>
      <c r="B48" s="2"/>
      <c r="C48" s="2"/>
      <c r="D48" s="2"/>
      <c r="E48" s="2"/>
      <c r="F48" s="30"/>
      <c r="G48" s="2"/>
      <c r="H48" s="2"/>
      <c r="I48" s="2"/>
      <c r="J48" s="2"/>
      <c r="K48" s="2"/>
      <c r="L48" s="2"/>
      <c r="M48" s="2"/>
      <c r="N48" s="2"/>
      <c r="O48" s="2"/>
      <c r="P48" s="2"/>
      <c r="Q48" s="37"/>
      <c r="R48" s="2"/>
      <c r="S48" s="2"/>
      <c r="T48" s="2"/>
      <c r="U48" s="2">
        <f t="shared" si="0"/>
        <v>0</v>
      </c>
      <c r="V48" s="2">
        <v>1.5804</v>
      </c>
      <c r="W48" s="2">
        <f t="shared" si="1"/>
        <v>0</v>
      </c>
      <c r="X48">
        <f t="shared" si="3"/>
        <v>0</v>
      </c>
      <c r="Y48">
        <f>IF(X48 = 0,0,(W48*-10000)/X48)</f>
        <v>0</v>
      </c>
      <c r="Z48" s="70">
        <f>IF(K48=-1,V37/2,(K48+L48)/2)* 10000</f>
        <v>0</v>
      </c>
      <c r="AA48" t="e">
        <f>IF(#REF!="C",MAX(0,$N$27-#REF!),MAX(0,#REF!-$N$27))*10000</f>
        <v>#REF!</v>
      </c>
      <c r="AB48" s="68" t="e">
        <f t="shared" si="4"/>
        <v>#REF!</v>
      </c>
      <c r="AC48" s="68" t="e">
        <f>-AB48*B48</f>
        <v>#REF!</v>
      </c>
      <c r="AD48" s="67" t="e">
        <f t="shared" si="2"/>
        <v>#REF!</v>
      </c>
    </row>
    <row r="49" spans="1:30" x14ac:dyDescent="0.25">
      <c r="A49" s="2"/>
      <c r="B49" s="2"/>
      <c r="C49" s="2"/>
      <c r="D49" s="2"/>
      <c r="E49" s="2"/>
      <c r="F49" s="30"/>
      <c r="G49" s="2"/>
      <c r="H49" s="2"/>
      <c r="I49" s="2"/>
      <c r="J49" s="2"/>
      <c r="K49" s="2"/>
      <c r="L49" s="2"/>
      <c r="M49" s="2"/>
      <c r="N49" s="2"/>
      <c r="O49" s="2"/>
      <c r="P49" s="2"/>
      <c r="Q49" s="3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si="3"/>
        <v>0</v>
      </c>
      <c r="Y49">
        <f>IF(X49 = 0,0,(W49*-10000)/X49)</f>
        <v>0</v>
      </c>
      <c r="Z49" s="70">
        <f>IF(K49=-1,V38/2,(K49+L49)/2)* 10000</f>
        <v>0</v>
      </c>
      <c r="AA49" t="e">
        <f>IF(#REF!="C",MAX(0,$N$27-#REF!),MAX(0,#REF!-$N$27))*10000</f>
        <v>#REF!</v>
      </c>
      <c r="AB49" s="68" t="e">
        <f t="shared" si="4"/>
        <v>#REF!</v>
      </c>
      <c r="AC49" s="68" t="e">
        <f>-AB49*B49</f>
        <v>#REF!</v>
      </c>
      <c r="AD49" s="67" t="e">
        <f t="shared" si="2"/>
        <v>#REF!</v>
      </c>
    </row>
    <row r="50" spans="1:30" x14ac:dyDescent="0.25">
      <c r="A50" s="2"/>
      <c r="B50" s="2"/>
      <c r="C50" s="2"/>
      <c r="D50" s="2"/>
      <c r="E50" s="2"/>
      <c r="F50" s="30"/>
      <c r="G50" s="2"/>
      <c r="H50" s="2"/>
      <c r="I50" s="2"/>
      <c r="J50" s="2"/>
      <c r="K50" s="2"/>
      <c r="L50" s="2"/>
      <c r="M50" s="2"/>
      <c r="N50" s="2"/>
      <c r="O50" s="2"/>
      <c r="P50" s="2"/>
      <c r="Q50" s="3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3"/>
        <v>0</v>
      </c>
      <c r="Y50">
        <f>IF(X50 = 0,0,(W50*-10000)/X50)</f>
        <v>0</v>
      </c>
      <c r="Z50" s="70">
        <f>IF(K50=-1,M39/2,(K50+L50)/2)* 10000</f>
        <v>0</v>
      </c>
      <c r="AA50" t="e">
        <f>IF(#REF!="C",MAX(0,$N$27-#REF!),MAX(0,#REF!-$N$27))*10000</f>
        <v>#REF!</v>
      </c>
      <c r="AB50" s="68" t="e">
        <f t="shared" si="4"/>
        <v>#REF!</v>
      </c>
      <c r="AC50" s="68" t="e">
        <f>-AB50*B50</f>
        <v>#REF!</v>
      </c>
      <c r="AD50" s="67" t="e">
        <f>MAX(0,AC50*6.25)</f>
        <v>#REF!</v>
      </c>
    </row>
    <row r="51" spans="1:30" x14ac:dyDescent="0.25">
      <c r="A51" s="2"/>
      <c r="B51" s="2"/>
      <c r="C51" s="2"/>
      <c r="D51" s="2"/>
      <c r="E51" s="2"/>
      <c r="F51" s="30"/>
      <c r="G51" s="2"/>
      <c r="H51" s="2"/>
      <c r="I51" s="2"/>
      <c r="J51" s="2"/>
      <c r="K51" s="2"/>
      <c r="L51" s="2"/>
      <c r="M51" s="2"/>
      <c r="N51" s="2"/>
      <c r="O51" s="2"/>
      <c r="P51" s="2"/>
      <c r="Q51" s="3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3"/>
        <v>0</v>
      </c>
      <c r="Y51">
        <f>IF(X51 = 0,0,(W51*-10000)/X51)</f>
        <v>0</v>
      </c>
      <c r="Z51" s="70">
        <v>0</v>
      </c>
      <c r="AA51" t="e">
        <f>IF(#REF!="C",MAX(0,$N$27-#REF!),MAX(0,#REF!-$N$27))*10000</f>
        <v>#REF!</v>
      </c>
      <c r="AB51" s="68" t="e">
        <f t="shared" si="4"/>
        <v>#REF!</v>
      </c>
      <c r="AC51" s="68" t="e">
        <f>-AB51*B51</f>
        <v>#REF!</v>
      </c>
      <c r="AD51" s="67" t="e">
        <f t="shared" ref="AD51:AD61" si="5">MAX(0,AC51*6.25)</f>
        <v>#REF!</v>
      </c>
    </row>
    <row r="52" spans="1:30" x14ac:dyDescent="0.25">
      <c r="A52" s="2"/>
      <c r="B52" s="2"/>
      <c r="C52" s="2"/>
      <c r="D52" s="2"/>
      <c r="E52" s="2"/>
      <c r="F52" s="30"/>
      <c r="G52" s="2"/>
      <c r="H52" s="2"/>
      <c r="I52" s="2"/>
      <c r="J52" s="2"/>
      <c r="K52" s="2"/>
      <c r="L52" s="2"/>
      <c r="M52" s="2"/>
      <c r="N52" s="2"/>
      <c r="O52" s="2"/>
      <c r="P52" s="2"/>
      <c r="Q52" s="37"/>
      <c r="R52" s="2"/>
      <c r="S52" s="2"/>
      <c r="T52" s="2"/>
      <c r="U52" s="2">
        <f t="shared" si="0"/>
        <v>0</v>
      </c>
      <c r="V52" s="2"/>
      <c r="W52" s="2">
        <f t="shared" si="1"/>
        <v>0</v>
      </c>
      <c r="X52">
        <f t="shared" si="3"/>
        <v>0</v>
      </c>
      <c r="Y52">
        <f>IF(X52 = 0,0,(W52*-10000)/X52)</f>
        <v>0</v>
      </c>
      <c r="Z52" s="70">
        <f t="shared" ref="Z52:Z61" si="6">IF(K52=-1,L41/2,(K52+L52)/2)* 10000</f>
        <v>0</v>
      </c>
      <c r="AA52" t="e">
        <f>IF(#REF!="C",MAX(0,$N$27-#REF!),MAX(0,#REF!-$N$27))*10000</f>
        <v>#REF!</v>
      </c>
      <c r="AB52" s="68" t="e">
        <f t="shared" si="4"/>
        <v>#REF!</v>
      </c>
      <c r="AC52" s="68" t="e">
        <f>-AB52*B52</f>
        <v>#REF!</v>
      </c>
      <c r="AD52" s="67" t="e">
        <f t="shared" si="5"/>
        <v>#REF!</v>
      </c>
    </row>
    <row r="53" spans="1:30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37"/>
      <c r="R53" s="2"/>
      <c r="S53" s="2"/>
      <c r="T53" s="2"/>
      <c r="U53" s="2">
        <f t="shared" si="0"/>
        <v>0</v>
      </c>
      <c r="V53" s="2"/>
      <c r="W53" s="2">
        <f t="shared" si="1"/>
        <v>0</v>
      </c>
      <c r="X53">
        <f t="shared" si="3"/>
        <v>0</v>
      </c>
      <c r="Y53">
        <f>IF(X53 = 0,0,(W53*-10000)/X53)</f>
        <v>0</v>
      </c>
      <c r="Z53" s="70">
        <f t="shared" si="6"/>
        <v>0</v>
      </c>
      <c r="AA53" t="e">
        <f>IF(#REF!="C",MAX(0,$N$27-#REF!),MAX(0,#REF!-$N$27))*10000</f>
        <v>#REF!</v>
      </c>
      <c r="AB53" s="68" t="e">
        <f t="shared" si="4"/>
        <v>#REF!</v>
      </c>
      <c r="AC53" s="68" t="e">
        <f>-AB53*B53</f>
        <v>#REF!</v>
      </c>
      <c r="AD53" s="67" t="e">
        <f t="shared" si="5"/>
        <v>#REF!</v>
      </c>
    </row>
    <row r="54" spans="1:30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37"/>
      <c r="R54" s="2"/>
      <c r="S54" s="2"/>
      <c r="T54" s="2"/>
      <c r="U54" s="2">
        <f t="shared" si="0"/>
        <v>0</v>
      </c>
      <c r="V54" s="2"/>
      <c r="W54" s="2">
        <f t="shared" si="1"/>
        <v>0</v>
      </c>
      <c r="X54">
        <f t="shared" si="3"/>
        <v>0</v>
      </c>
      <c r="Y54">
        <f>IF(X54 = 0,0,(W54*-10000)/X54)</f>
        <v>0</v>
      </c>
      <c r="Z54" s="70">
        <f t="shared" si="6"/>
        <v>0</v>
      </c>
      <c r="AA54" t="e">
        <f>IF(#REF!="C",MAX(0,$N$27-#REF!),MAX(0,#REF!-$N$27))*10000</f>
        <v>#REF!</v>
      </c>
      <c r="AB54" s="68" t="e">
        <f t="shared" si="4"/>
        <v>#REF!</v>
      </c>
      <c r="AC54" s="68" t="e">
        <f>-AB54*B54</f>
        <v>#REF!</v>
      </c>
      <c r="AD54" s="67" t="e">
        <f t="shared" si="5"/>
        <v>#REF!</v>
      </c>
    </row>
    <row r="55" spans="1:30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37"/>
      <c r="R55" s="2"/>
      <c r="S55" s="2"/>
      <c r="T55" s="2"/>
      <c r="U55" s="2">
        <f t="shared" si="0"/>
        <v>0</v>
      </c>
      <c r="V55" s="2"/>
      <c r="W55" s="2">
        <f t="shared" si="1"/>
        <v>0</v>
      </c>
      <c r="X55">
        <f t="shared" si="3"/>
        <v>0</v>
      </c>
      <c r="Y55">
        <f>IF(X55 = 0,0,(W55*-10000)/X55)</f>
        <v>0</v>
      </c>
      <c r="Z55" s="70">
        <f t="shared" si="6"/>
        <v>0</v>
      </c>
      <c r="AA55" t="e">
        <f>IF(#REF!="C",MAX(0,$N$27-#REF!),MAX(0,#REF!-$N$27))*10000</f>
        <v>#REF!</v>
      </c>
      <c r="AB55" s="68" t="e">
        <f t="shared" si="4"/>
        <v>#REF!</v>
      </c>
      <c r="AC55" s="68" t="e">
        <f>-AB55*B55</f>
        <v>#REF!</v>
      </c>
      <c r="AD55" s="67" t="e">
        <f t="shared" si="5"/>
        <v>#REF!</v>
      </c>
    </row>
    <row r="56" spans="1:30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37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3"/>
        <v>0</v>
      </c>
      <c r="Y56">
        <f>IF(X56 = 0,0,(W56*-10000)/X56)</f>
        <v>0</v>
      </c>
      <c r="Z56" s="70">
        <f t="shared" si="6"/>
        <v>0</v>
      </c>
      <c r="AA56" t="e">
        <f>IF(#REF!="C",MAX(0,$N$27-#REF!),MAX(0,#REF!-$N$27))*10000</f>
        <v>#REF!</v>
      </c>
      <c r="AB56" s="68" t="e">
        <f t="shared" si="4"/>
        <v>#REF!</v>
      </c>
      <c r="AC56" s="68" t="e">
        <f>-AB56*B56</f>
        <v>#REF!</v>
      </c>
      <c r="AD56" s="67" t="e">
        <f t="shared" si="5"/>
        <v>#REF!</v>
      </c>
    </row>
    <row r="57" spans="1:30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37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3"/>
        <v>0</v>
      </c>
      <c r="Y57">
        <f>IF(X57 = 0,0,(W57*-10000)/X57)</f>
        <v>0</v>
      </c>
      <c r="Z57" s="70">
        <f t="shared" si="6"/>
        <v>0</v>
      </c>
      <c r="AA57" t="e">
        <f>IF(#REF!="C",MAX(0,$N$27-#REF!),MAX(0,#REF!-$N$27))*10000</f>
        <v>#REF!</v>
      </c>
      <c r="AB57" s="68" t="e">
        <f t="shared" si="4"/>
        <v>#REF!</v>
      </c>
      <c r="AC57" s="68" t="e">
        <f>-AB57*B57</f>
        <v>#REF!</v>
      </c>
      <c r="AD57" s="67" t="e">
        <f t="shared" si="5"/>
        <v>#REF!</v>
      </c>
    </row>
    <row r="58" spans="1:30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3"/>
        <v>0</v>
      </c>
      <c r="Y58">
        <f>IF(X58 = 0,0,(W58*-10000)/X58)</f>
        <v>0</v>
      </c>
      <c r="Z58" s="70">
        <f t="shared" si="6"/>
        <v>0</v>
      </c>
      <c r="AA58" t="e">
        <f>IF(#REF!="C",MAX(0,$N$27-#REF!),MAX(0,#REF!-$N$27))*10000</f>
        <v>#REF!</v>
      </c>
      <c r="AB58" s="68" t="e">
        <f t="shared" si="4"/>
        <v>#REF!</v>
      </c>
      <c r="AC58" s="68" t="e">
        <f>-AB58*B58</f>
        <v>#REF!</v>
      </c>
      <c r="AD58" s="67" t="e">
        <f t="shared" si="5"/>
        <v>#REF!</v>
      </c>
    </row>
    <row r="59" spans="1:30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3"/>
        <v>0</v>
      </c>
      <c r="Y59">
        <f>IF(X59 = 0,0,(W59*-10000)/X59)</f>
        <v>0</v>
      </c>
      <c r="Z59" s="70">
        <f t="shared" si="6"/>
        <v>0</v>
      </c>
      <c r="AA59" t="e">
        <f>IF(#REF!="C",MAX(0,$N$27-#REF!),MAX(0,#REF!-$N$27))*10000</f>
        <v>#REF!</v>
      </c>
      <c r="AB59" s="68" t="e">
        <f t="shared" si="4"/>
        <v>#REF!</v>
      </c>
      <c r="AC59" s="68" t="e">
        <f>-AB59*B59</f>
        <v>#REF!</v>
      </c>
      <c r="AD59" s="67" t="e">
        <f t="shared" si="5"/>
        <v>#REF!</v>
      </c>
    </row>
    <row r="60" spans="1:30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3"/>
        <v>0</v>
      </c>
      <c r="Y60">
        <f>IF(X60 = 0,0,(W60*-10000)/X60)</f>
        <v>0</v>
      </c>
      <c r="Z60" s="70">
        <f t="shared" si="6"/>
        <v>0</v>
      </c>
      <c r="AA60" t="e">
        <f>IF(#REF!="C",MAX(0,$N$27-#REF!),MAX(0,#REF!-$N$27))*10000</f>
        <v>#REF!</v>
      </c>
      <c r="AB60" s="68" t="e">
        <f t="shared" si="4"/>
        <v>#REF!</v>
      </c>
      <c r="AC60" s="68" t="e">
        <f>-AB60*B60</f>
        <v>#REF!</v>
      </c>
      <c r="AD60" s="67" t="e">
        <f t="shared" si="5"/>
        <v>#REF!</v>
      </c>
    </row>
    <row r="61" spans="1:30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3"/>
        <v>0</v>
      </c>
      <c r="Y61">
        <f>IF(X61 = 0,0,(W61*-10000)/X61)</f>
        <v>0</v>
      </c>
      <c r="Z61" s="70">
        <f t="shared" si="6"/>
        <v>0</v>
      </c>
      <c r="AA61" t="e">
        <f>IF(#REF!="C",MAX(0,$N$27-#REF!),MAX(0,#REF!-$N$27))*10000</f>
        <v>#REF!</v>
      </c>
      <c r="AB61" s="68" t="e">
        <f t="shared" si="4"/>
        <v>#REF!</v>
      </c>
      <c r="AC61" s="68" t="e">
        <f>-AB61*B61</f>
        <v>#REF!</v>
      </c>
      <c r="AD61" s="67" t="e">
        <f t="shared" si="5"/>
        <v>#REF!</v>
      </c>
    </row>
    <row r="67" spans="1:13" x14ac:dyDescent="0.25">
      <c r="A67" s="114" t="s">
        <v>188</v>
      </c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</row>
    <row r="68" spans="1:13" x14ac:dyDescent="0.25">
      <c r="A68" s="116" t="s">
        <v>41</v>
      </c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</row>
    <row r="69" spans="1:13" x14ac:dyDescent="0.25">
      <c r="A69" s="92" t="s">
        <v>9</v>
      </c>
      <c r="B69" s="91" t="s">
        <v>42</v>
      </c>
      <c r="C69" s="91" t="s">
        <v>43</v>
      </c>
      <c r="D69" s="91" t="s">
        <v>44</v>
      </c>
      <c r="E69" s="91" t="s">
        <v>45</v>
      </c>
      <c r="F69" s="91" t="s">
        <v>33</v>
      </c>
      <c r="G69" s="91" t="s">
        <v>46</v>
      </c>
      <c r="H69" s="91" t="s">
        <v>47</v>
      </c>
      <c r="I69" s="91" t="s">
        <v>48</v>
      </c>
      <c r="J69" s="91" t="s">
        <v>49</v>
      </c>
      <c r="K69" s="91" t="s">
        <v>50</v>
      </c>
      <c r="L69" s="91" t="s">
        <v>51</v>
      </c>
      <c r="M69" s="91" t="s">
        <v>52</v>
      </c>
    </row>
    <row r="70" spans="1:13" x14ac:dyDescent="0.25">
      <c r="A70" s="2" t="s">
        <v>168</v>
      </c>
      <c r="B70" s="16">
        <v>8</v>
      </c>
      <c r="C70" s="22" t="s">
        <v>192</v>
      </c>
      <c r="D70" s="16" t="s">
        <v>193</v>
      </c>
      <c r="E70" s="16" t="s">
        <v>191</v>
      </c>
      <c r="F70" s="16">
        <v>4</v>
      </c>
      <c r="G70" s="16">
        <v>4</v>
      </c>
      <c r="H70" s="16">
        <v>1.5686</v>
      </c>
      <c r="I70" s="16">
        <v>1.5686</v>
      </c>
      <c r="J70" s="16">
        <v>135369119</v>
      </c>
      <c r="K70" s="16">
        <v>0</v>
      </c>
      <c r="L70" s="16">
        <v>6</v>
      </c>
      <c r="M70" s="16"/>
    </row>
    <row r="71" spans="1:13" x14ac:dyDescent="0.25">
      <c r="A71" s="2" t="s">
        <v>168</v>
      </c>
      <c r="B71" s="16">
        <v>8</v>
      </c>
      <c r="C71" s="22" t="s">
        <v>194</v>
      </c>
      <c r="D71" s="16" t="s">
        <v>193</v>
      </c>
      <c r="E71" s="16" t="s">
        <v>191</v>
      </c>
      <c r="F71" s="16">
        <v>1</v>
      </c>
      <c r="G71" s="16">
        <v>5</v>
      </c>
      <c r="H71" s="16">
        <v>1.5686</v>
      </c>
      <c r="I71" s="16">
        <v>1.5686</v>
      </c>
      <c r="J71" s="16">
        <v>135369119</v>
      </c>
      <c r="K71" s="16">
        <v>0</v>
      </c>
      <c r="L71" s="16">
        <v>6</v>
      </c>
      <c r="M71" s="16"/>
    </row>
    <row r="72" spans="1:13" x14ac:dyDescent="0.25">
      <c r="A72" s="2" t="s">
        <v>168</v>
      </c>
      <c r="B72" s="16">
        <v>9</v>
      </c>
      <c r="C72" s="22" t="s">
        <v>195</v>
      </c>
      <c r="D72" s="16" t="s">
        <v>196</v>
      </c>
      <c r="E72" s="16" t="s">
        <v>191</v>
      </c>
      <c r="F72" s="16">
        <v>5</v>
      </c>
      <c r="G72" s="16">
        <v>5</v>
      </c>
      <c r="H72" s="16">
        <v>1.5687</v>
      </c>
      <c r="I72" s="16">
        <v>1.5687</v>
      </c>
      <c r="J72" s="16">
        <v>135369120</v>
      </c>
      <c r="K72" s="16">
        <v>0</v>
      </c>
      <c r="L72" s="16">
        <v>6</v>
      </c>
      <c r="M72" s="16"/>
    </row>
    <row r="73" spans="1:13" x14ac:dyDescent="0.25">
      <c r="A73" s="2" t="s">
        <v>168</v>
      </c>
      <c r="B73" s="16">
        <v>10</v>
      </c>
      <c r="C73" s="22" t="s">
        <v>197</v>
      </c>
      <c r="D73" s="16" t="s">
        <v>198</v>
      </c>
      <c r="E73" s="16" t="s">
        <v>191</v>
      </c>
      <c r="F73" s="16">
        <v>5</v>
      </c>
      <c r="G73" s="16">
        <v>5</v>
      </c>
      <c r="H73" s="16">
        <v>1.5686</v>
      </c>
      <c r="I73" s="16">
        <v>1.5686</v>
      </c>
      <c r="J73" s="16">
        <v>135369121</v>
      </c>
      <c r="K73" s="16">
        <v>0</v>
      </c>
      <c r="L73" s="16">
        <v>6</v>
      </c>
      <c r="M73" s="16"/>
    </row>
    <row r="74" spans="1:13" x14ac:dyDescent="0.25">
      <c r="A74" s="2" t="s">
        <v>168</v>
      </c>
      <c r="B74" s="16">
        <v>11</v>
      </c>
      <c r="C74" s="24" t="s">
        <v>199</v>
      </c>
      <c r="D74" s="16" t="s">
        <v>200</v>
      </c>
      <c r="E74" s="16" t="s">
        <v>191</v>
      </c>
      <c r="F74" s="16">
        <v>1</v>
      </c>
      <c r="G74" s="16">
        <v>1</v>
      </c>
      <c r="H74" s="16">
        <v>1.5686</v>
      </c>
      <c r="I74" s="16">
        <v>1.5686</v>
      </c>
      <c r="J74" s="16">
        <v>135369122</v>
      </c>
      <c r="K74" s="16">
        <v>0</v>
      </c>
      <c r="L74" s="16">
        <v>6</v>
      </c>
      <c r="M74" s="16"/>
    </row>
    <row r="75" spans="1:13" x14ac:dyDescent="0.25">
      <c r="A75" s="2" t="s">
        <v>168</v>
      </c>
      <c r="B75" s="16">
        <v>11</v>
      </c>
      <c r="C75" s="24" t="s">
        <v>201</v>
      </c>
      <c r="D75" s="16" t="s">
        <v>200</v>
      </c>
      <c r="E75" s="16" t="s">
        <v>191</v>
      </c>
      <c r="F75" s="16">
        <v>4</v>
      </c>
      <c r="G75" s="16">
        <v>5</v>
      </c>
      <c r="H75" s="16">
        <v>1.5686</v>
      </c>
      <c r="I75" s="16">
        <v>1.5686</v>
      </c>
      <c r="J75" s="16">
        <v>135369122</v>
      </c>
      <c r="K75" s="16">
        <v>0</v>
      </c>
      <c r="L75" s="16">
        <v>6</v>
      </c>
      <c r="M75" s="16"/>
    </row>
    <row r="76" spans="1:13" x14ac:dyDescent="0.25">
      <c r="A76" s="2" t="s">
        <v>168</v>
      </c>
      <c r="B76" s="16">
        <v>12</v>
      </c>
      <c r="C76" s="24" t="s">
        <v>202</v>
      </c>
      <c r="D76" s="16" t="s">
        <v>203</v>
      </c>
      <c r="E76" s="16" t="s">
        <v>191</v>
      </c>
      <c r="F76" s="16">
        <v>3</v>
      </c>
      <c r="G76" s="16">
        <v>3</v>
      </c>
      <c r="H76" s="16">
        <v>1.5686</v>
      </c>
      <c r="I76" s="16">
        <v>1.5686</v>
      </c>
      <c r="J76" s="16">
        <v>135369123</v>
      </c>
      <c r="K76" s="16">
        <v>0</v>
      </c>
      <c r="L76" s="16">
        <v>6</v>
      </c>
      <c r="M76" s="16"/>
    </row>
    <row r="77" spans="1:13" x14ac:dyDescent="0.25">
      <c r="A77" s="2" t="s">
        <v>168</v>
      </c>
      <c r="B77" s="16">
        <v>12</v>
      </c>
      <c r="C77" s="22" t="s">
        <v>204</v>
      </c>
      <c r="D77" s="16" t="s">
        <v>205</v>
      </c>
      <c r="E77" s="16" t="s">
        <v>191</v>
      </c>
      <c r="F77" s="16">
        <v>2</v>
      </c>
      <c r="G77" s="16">
        <v>5</v>
      </c>
      <c r="H77" s="16">
        <v>1.5686</v>
      </c>
      <c r="I77" s="16">
        <v>1.5686</v>
      </c>
      <c r="J77" s="16">
        <v>135369123</v>
      </c>
      <c r="K77" s="16">
        <v>0</v>
      </c>
      <c r="L77" s="16">
        <v>6</v>
      </c>
      <c r="M77" s="16"/>
    </row>
    <row r="78" spans="1:13" x14ac:dyDescent="0.25">
      <c r="A78" s="2" t="s">
        <v>168</v>
      </c>
      <c r="B78" s="16">
        <v>13</v>
      </c>
      <c r="C78" s="24" t="s">
        <v>206</v>
      </c>
      <c r="D78" s="16" t="s">
        <v>207</v>
      </c>
      <c r="E78" s="16" t="s">
        <v>191</v>
      </c>
      <c r="F78" s="16">
        <v>2</v>
      </c>
      <c r="G78" s="16">
        <v>2</v>
      </c>
      <c r="H78" s="16">
        <v>1.5685</v>
      </c>
      <c r="I78" s="16">
        <v>1.5685</v>
      </c>
      <c r="J78" s="16">
        <v>135369124</v>
      </c>
      <c r="K78" s="16">
        <v>0</v>
      </c>
      <c r="L78" s="16">
        <v>6</v>
      </c>
      <c r="M78" s="16"/>
    </row>
    <row r="79" spans="1:13" x14ac:dyDescent="0.25">
      <c r="A79" s="2" t="s">
        <v>168</v>
      </c>
      <c r="B79" s="16">
        <v>13</v>
      </c>
      <c r="C79" s="22" t="s">
        <v>208</v>
      </c>
      <c r="D79" s="16" t="s">
        <v>209</v>
      </c>
      <c r="E79" s="16" t="s">
        <v>191</v>
      </c>
      <c r="F79" s="16">
        <v>1</v>
      </c>
      <c r="G79" s="16">
        <v>3</v>
      </c>
      <c r="H79" s="16">
        <v>1.5686</v>
      </c>
      <c r="I79" s="16">
        <v>1.568533</v>
      </c>
      <c r="J79" s="16">
        <v>135369124</v>
      </c>
      <c r="K79" s="16">
        <v>0</v>
      </c>
      <c r="L79" s="16">
        <v>6</v>
      </c>
      <c r="M79" s="16"/>
    </row>
    <row r="80" spans="1:13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4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4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4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4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4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4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4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4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23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23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23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23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</sheetData>
  <dataConsolidate link="1"/>
  <mergeCells count="60">
    <mergeCell ref="A67:M67"/>
    <mergeCell ref="A68:M68"/>
    <mergeCell ref="A39:M39"/>
    <mergeCell ref="O32:P32"/>
    <mergeCell ref="Q32:R32"/>
    <mergeCell ref="S32:T32"/>
    <mergeCell ref="N39:S39"/>
    <mergeCell ref="T39:W39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2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0</xdr:row>
                <xdr:rowOff>342900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0</xdr:row>
                <xdr:rowOff>304800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autoPict="0" r:id="rId17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0</xdr:row>
                <xdr:rowOff>304800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0</xdr:row>
                <xdr:rowOff>304800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autoPict="0" r:id="rId21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0</xdr:row>
                <xdr:rowOff>304800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78" customWidth="1"/>
    <col min="24" max="24" width="12.140625" customWidth="1"/>
    <col min="26" max="26" width="16.28515625" customWidth="1"/>
    <col min="31" max="31" width="10.42578125" customWidth="1"/>
    <col min="32" max="32" width="9.140625" style="80"/>
    <col min="33" max="33" width="9.5703125" bestFit="1" customWidth="1"/>
    <col min="34" max="34" width="9.85546875" customWidth="1"/>
  </cols>
  <sheetData>
    <row r="1" spans="2:37" x14ac:dyDescent="0.25">
      <c r="AE1" s="119" t="s">
        <v>126</v>
      </c>
      <c r="AF1" s="119"/>
      <c r="AG1" s="119"/>
      <c r="AH1" s="119"/>
      <c r="AI1" s="119"/>
      <c r="AJ1" s="119"/>
      <c r="AK1" s="119"/>
    </row>
    <row r="4" spans="2:37" x14ac:dyDescent="0.25">
      <c r="B4" s="103" t="s">
        <v>13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03"/>
      <c r="R4" s="104"/>
      <c r="S4" s="104"/>
      <c r="T4" s="109" t="s">
        <v>101</v>
      </c>
      <c r="U4" s="109"/>
      <c r="V4" s="109"/>
      <c r="W4" s="109"/>
      <c r="X4" s="109"/>
      <c r="Y4" s="109"/>
      <c r="Z4" s="109"/>
      <c r="AA4" s="109"/>
      <c r="AB4" s="109" t="s">
        <v>111</v>
      </c>
      <c r="AC4" s="109"/>
      <c r="AD4" s="109"/>
      <c r="AF4" s="80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66" t="s">
        <v>19</v>
      </c>
      <c r="O5" s="66" t="s">
        <v>21</v>
      </c>
      <c r="P5" s="66" t="s">
        <v>22</v>
      </c>
      <c r="Q5" s="66" t="s">
        <v>18</v>
      </c>
      <c r="R5" s="66" t="s">
        <v>20</v>
      </c>
      <c r="S5" s="66" t="s">
        <v>23</v>
      </c>
      <c r="T5" s="35" t="s">
        <v>45</v>
      </c>
      <c r="U5" s="35" t="s">
        <v>124</v>
      </c>
      <c r="V5" s="77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9" t="s">
        <v>115</v>
      </c>
      <c r="AF5" s="81" t="s">
        <v>116</v>
      </c>
      <c r="AG5" s="39" t="s">
        <v>117</v>
      </c>
      <c r="AH5" s="69" t="s">
        <v>121</v>
      </c>
      <c r="AI5" s="69" t="s">
        <v>118</v>
      </c>
      <c r="AJ5" s="69" t="s">
        <v>119</v>
      </c>
      <c r="AK5" s="69" t="s">
        <v>120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7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75">
        <v>8.1199351145806584E-5</v>
      </c>
      <c r="V6" s="74">
        <v>0.26420497997470704</v>
      </c>
      <c r="W6" s="2">
        <v>-9.6878701869559432E-3</v>
      </c>
      <c r="X6" s="75">
        <v>0.84191308475782911</v>
      </c>
      <c r="Y6" s="37">
        <v>-2.4950003905054767E-4</v>
      </c>
      <c r="Z6" s="38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79" t="e">
        <f>BSGamma($AA$17,E6,D6,0.001,V6)</f>
        <v>#VALUE!</v>
      </c>
      <c r="AF6" s="80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68">
        <f>MAX(0,(U6*10000)-AH6)</f>
        <v>0.81199351145806586</v>
      </c>
      <c r="AJ6" s="68">
        <f>AI6*M6</f>
        <v>8.1199351145806595</v>
      </c>
      <c r="AK6" s="67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7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75">
        <v>7.4421382497728584E-5</v>
      </c>
      <c r="V7" s="74">
        <v>0.24014391877688013</v>
      </c>
      <c r="W7" s="2">
        <v>-9.7672371887170713E-3</v>
      </c>
      <c r="X7" s="75">
        <v>0.96797095253886623</v>
      </c>
      <c r="Y7" s="37">
        <v>-2.2846199736357761E-4</v>
      </c>
      <c r="Z7" s="38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79" t="e">
        <f t="shared" ref="AE7:AE70" si="7">BSGamma($AA$17,E7,D7,0.001,V7)</f>
        <v>#VALUE!</v>
      </c>
      <c r="AF7" s="80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68">
        <f t="shared" ref="AI7:AI70" si="10">MAX(0,(U7*10000)-AH7)</f>
        <v>0.74421382497728583</v>
      </c>
      <c r="AJ7" s="68">
        <f t="shared" ref="AJ7:AJ70" si="11">AI7*M7</f>
        <v>0</v>
      </c>
      <c r="AK7" s="67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7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75">
        <v>7.1611499573167992E-5</v>
      </c>
      <c r="V8" s="74">
        <v>0.21823570997051434</v>
      </c>
      <c r="W8" s="2">
        <v>-1.0310207742769443E-2</v>
      </c>
      <c r="X8" s="75">
        <v>0</v>
      </c>
      <c r="Y8" s="37">
        <v>-2.1819140367112388E-4</v>
      </c>
      <c r="Z8" s="38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79" t="e">
        <f t="shared" si="7"/>
        <v>#VALUE!</v>
      </c>
      <c r="AF8" s="80">
        <f t="shared" si="0"/>
        <v>0</v>
      </c>
      <c r="AG8" s="31" t="e">
        <f t="shared" si="8"/>
        <v>#VALUE!</v>
      </c>
      <c r="AH8">
        <f t="shared" si="9"/>
        <v>0</v>
      </c>
      <c r="AI8" s="68">
        <f t="shared" si="10"/>
        <v>0.71611499573167992</v>
      </c>
      <c r="AJ8" s="68">
        <f t="shared" si="11"/>
        <v>0</v>
      </c>
      <c r="AK8" s="67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7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75">
        <v>8.0178960996781138E-5</v>
      </c>
      <c r="V9" s="74">
        <v>0.1984803535556523</v>
      </c>
      <c r="W9" s="2">
        <v>-1.2365932135729427E-2</v>
      </c>
      <c r="X9" s="75">
        <v>0</v>
      </c>
      <c r="Y9" s="37">
        <v>-2.3096374601349581E-4</v>
      </c>
      <c r="Z9" s="38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79" t="e">
        <f t="shared" si="7"/>
        <v>#VALUE!</v>
      </c>
      <c r="AF9" s="80">
        <f t="shared" si="0"/>
        <v>0</v>
      </c>
      <c r="AG9" s="31" t="e">
        <f t="shared" si="8"/>
        <v>#VALUE!</v>
      </c>
      <c r="AH9">
        <f t="shared" si="9"/>
        <v>0</v>
      </c>
      <c r="AI9" s="68">
        <f t="shared" si="10"/>
        <v>0.80178960996781135</v>
      </c>
      <c r="AJ9" s="68">
        <f t="shared" si="11"/>
        <v>0</v>
      </c>
      <c r="AK9" s="67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7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75">
        <v>9.787043407957923E-5</v>
      </c>
      <c r="V10" s="74">
        <v>0.18087784953227981</v>
      </c>
      <c r="W10" s="2">
        <v>-1.6053871129648158E-2</v>
      </c>
      <c r="X10" s="76">
        <v>0</v>
      </c>
      <c r="Y10" s="37">
        <v>-2.6307424795380687E-4</v>
      </c>
      <c r="Z10" s="38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79" t="e">
        <f t="shared" si="7"/>
        <v>#VALUE!</v>
      </c>
      <c r="AF10" s="80">
        <f t="shared" si="0"/>
        <v>0</v>
      </c>
      <c r="AG10" s="31" t="e">
        <f t="shared" si="8"/>
        <v>#VALUE!</v>
      </c>
      <c r="AH10">
        <f t="shared" si="9"/>
        <v>0</v>
      </c>
      <c r="AI10" s="68">
        <f t="shared" si="10"/>
        <v>0.97870434079579227</v>
      </c>
      <c r="AJ10" s="68">
        <f t="shared" si="11"/>
        <v>0</v>
      </c>
      <c r="AK10" s="67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7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75">
        <v>1.2338459576258055E-4</v>
      </c>
      <c r="V11" s="74">
        <v>0.16542819790035423</v>
      </c>
      <c r="W11" s="2">
        <v>-2.1560138228549582E-2</v>
      </c>
      <c r="X11" s="75">
        <v>0</v>
      </c>
      <c r="Y11" s="37">
        <v>-3.1239254104964881E-4</v>
      </c>
      <c r="Z11" s="38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79" t="e">
        <f t="shared" si="7"/>
        <v>#VALUE!</v>
      </c>
      <c r="AF11" s="80">
        <f t="shared" si="0"/>
        <v>0</v>
      </c>
      <c r="AG11" s="31" t="e">
        <f t="shared" si="8"/>
        <v>#VALUE!</v>
      </c>
      <c r="AH11">
        <f t="shared" si="9"/>
        <v>0</v>
      </c>
      <c r="AI11" s="68">
        <f t="shared" si="10"/>
        <v>1.2338459576258056</v>
      </c>
      <c r="AJ11" s="68">
        <f t="shared" si="11"/>
        <v>0</v>
      </c>
      <c r="AK11" s="67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7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75">
        <v>1.9676249128862636E-4</v>
      </c>
      <c r="V12" s="74">
        <v>0.15213139865993242</v>
      </c>
      <c r="W12" s="2">
        <v>-3.4836869172406915E-2</v>
      </c>
      <c r="X12" s="75">
        <v>0</v>
      </c>
      <c r="Y12" s="37">
        <v>-4.2589234528331163E-4</v>
      </c>
      <c r="Z12" s="38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79" t="e">
        <f t="shared" si="7"/>
        <v>#VALUE!</v>
      </c>
      <c r="AF12" s="80">
        <f t="shared" si="0"/>
        <v>0</v>
      </c>
      <c r="AG12" s="31" t="e">
        <f t="shared" si="8"/>
        <v>#VALUE!</v>
      </c>
      <c r="AH12">
        <f t="shared" si="9"/>
        <v>0</v>
      </c>
      <c r="AI12" s="68">
        <f t="shared" si="10"/>
        <v>1.9676249128862635</v>
      </c>
      <c r="AJ12" s="68">
        <f t="shared" si="11"/>
        <v>0</v>
      </c>
      <c r="AK12" s="67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7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75">
        <v>3.3657321716550412E-4</v>
      </c>
      <c r="V13" s="74">
        <v>0.14098745181098593</v>
      </c>
      <c r="W13" s="2">
        <v>-5.9208535931378342E-2</v>
      </c>
      <c r="X13" s="75">
        <v>0</v>
      </c>
      <c r="Y13" s="37">
        <v>-6.0446077599329222E-4</v>
      </c>
      <c r="Z13" s="38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79" t="e">
        <f t="shared" si="7"/>
        <v>#VALUE!</v>
      </c>
      <c r="AF13" s="80">
        <f t="shared" si="0"/>
        <v>0</v>
      </c>
      <c r="AG13" s="31" t="e">
        <f t="shared" si="8"/>
        <v>#VALUE!</v>
      </c>
      <c r="AH13">
        <f t="shared" si="9"/>
        <v>0</v>
      </c>
      <c r="AI13" s="68">
        <f t="shared" si="10"/>
        <v>3.3657321716550412</v>
      </c>
      <c r="AJ13" s="68">
        <f t="shared" si="11"/>
        <v>0</v>
      </c>
      <c r="AK13" s="67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7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75">
        <v>6.2461154282803021E-4</v>
      </c>
      <c r="V14" s="74">
        <v>0.13199635735350057</v>
      </c>
      <c r="W14" s="2">
        <v>-0.10560974891081049</v>
      </c>
      <c r="X14" s="75">
        <v>0</v>
      </c>
      <c r="Y14" s="37">
        <v>-8.7852672117392106E-4</v>
      </c>
      <c r="Z14" s="38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79" t="e">
        <f t="shared" si="7"/>
        <v>#VALUE!</v>
      </c>
      <c r="AF14" s="80">
        <f t="shared" si="0"/>
        <v>0</v>
      </c>
      <c r="AG14" s="31" t="e">
        <f t="shared" si="8"/>
        <v>#VALUE!</v>
      </c>
      <c r="AH14">
        <f t="shared" si="9"/>
        <v>0</v>
      </c>
      <c r="AI14" s="68">
        <f t="shared" si="10"/>
        <v>6.2461154282803024</v>
      </c>
      <c r="AJ14" s="68">
        <f t="shared" si="11"/>
        <v>0</v>
      </c>
      <c r="AK14" s="67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7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75">
        <v>1.1984139041402108E-3</v>
      </c>
      <c r="V15" s="74">
        <v>0.12515811528751897</v>
      </c>
      <c r="W15" s="2">
        <v>-0.18793765586023906</v>
      </c>
      <c r="X15" s="75">
        <v>0</v>
      </c>
      <c r="Y15" s="37">
        <v>-1.2388664701268209E-3</v>
      </c>
      <c r="Z15" s="38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79" t="e">
        <f t="shared" si="7"/>
        <v>#VALUE!</v>
      </c>
      <c r="AF15" s="80">
        <f t="shared" si="0"/>
        <v>0</v>
      </c>
      <c r="AG15" s="31" t="e">
        <f t="shared" si="8"/>
        <v>#VALUE!</v>
      </c>
      <c r="AH15">
        <f t="shared" si="9"/>
        <v>0</v>
      </c>
      <c r="AI15" s="68">
        <f t="shared" si="10"/>
        <v>11.984139041402107</v>
      </c>
      <c r="AJ15" s="68">
        <f t="shared" si="11"/>
        <v>0</v>
      </c>
      <c r="AK15" s="67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7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75">
        <v>2.3571633551261869E-3</v>
      </c>
      <c r="V16" s="74">
        <v>0.1204727256130127</v>
      </c>
      <c r="W16" s="2">
        <v>-0.32187740475039894</v>
      </c>
      <c r="X16" s="75">
        <v>0</v>
      </c>
      <c r="Y16" s="37">
        <v>-1.5770148129181599E-3</v>
      </c>
      <c r="Z16" s="38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79" t="e">
        <f t="shared" si="7"/>
        <v>#VALUE!</v>
      </c>
      <c r="AF16" s="80">
        <f t="shared" si="0"/>
        <v>0</v>
      </c>
      <c r="AG16" s="31" t="e">
        <f t="shared" si="8"/>
        <v>#VALUE!</v>
      </c>
      <c r="AH16">
        <f t="shared" si="9"/>
        <v>0</v>
      </c>
      <c r="AI16" s="68">
        <f t="shared" si="10"/>
        <v>23.571633551261868</v>
      </c>
      <c r="AJ16" s="68">
        <f t="shared" si="11"/>
        <v>0</v>
      </c>
      <c r="AK16" s="67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7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75">
        <v>7.1000000461935997E-3</v>
      </c>
      <c r="V17" s="74">
        <v>0.19486266952716297</v>
      </c>
      <c r="W17" s="2">
        <v>-0.49550698962638023</v>
      </c>
      <c r="X17" s="75">
        <v>0</v>
      </c>
      <c r="Y17" s="37">
        <v>-2.8652366511571609E-3</v>
      </c>
      <c r="Z17" s="38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79" t="e">
        <f t="shared" si="7"/>
        <v>#VALUE!</v>
      </c>
      <c r="AF17" s="80">
        <f t="shared" si="0"/>
        <v>0</v>
      </c>
      <c r="AG17" s="31" t="e">
        <f t="shared" si="8"/>
        <v>#VALUE!</v>
      </c>
      <c r="AH17">
        <f t="shared" si="9"/>
        <v>0</v>
      </c>
      <c r="AI17" s="68">
        <f t="shared" si="10"/>
        <v>71.000000461935997</v>
      </c>
      <c r="AJ17" s="68">
        <f t="shared" si="11"/>
        <v>0</v>
      </c>
      <c r="AK17" s="67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7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75">
        <v>7.2386292668941759E-3</v>
      </c>
      <c r="V18" s="74">
        <v>0.11756050343842617</v>
      </c>
      <c r="W18" s="2">
        <v>-0.67253122920548303</v>
      </c>
      <c r="X18" s="75">
        <v>0</v>
      </c>
      <c r="Y18" s="37">
        <v>-1.5495704596294006E-3</v>
      </c>
      <c r="Z18" s="38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79" t="e">
        <f t="shared" si="7"/>
        <v>#VALUE!</v>
      </c>
      <c r="AF18" s="80">
        <f t="shared" si="0"/>
        <v>0</v>
      </c>
      <c r="AG18" s="31" t="e">
        <f t="shared" si="8"/>
        <v>#VALUE!</v>
      </c>
      <c r="AH18">
        <f t="shared" si="9"/>
        <v>49.000000000001265</v>
      </c>
      <c r="AI18" s="68">
        <f t="shared" si="10"/>
        <v>23.386292668940499</v>
      </c>
      <c r="AJ18" s="68">
        <f t="shared" si="11"/>
        <v>0</v>
      </c>
      <c r="AK18" s="67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7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75">
        <v>1.1016346548179045E-2</v>
      </c>
      <c r="V19" s="74">
        <v>0.11933367093836011</v>
      </c>
      <c r="W19" s="2">
        <v>-0.81481940558608035</v>
      </c>
      <c r="X19" s="75">
        <v>0</v>
      </c>
      <c r="Y19" s="37">
        <v>-1.168430220345048E-3</v>
      </c>
      <c r="Z19" s="38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79" t="e">
        <f t="shared" si="7"/>
        <v>#VALUE!</v>
      </c>
      <c r="AF19" s="80">
        <f t="shared" si="0"/>
        <v>0</v>
      </c>
      <c r="AG19" s="31" t="e">
        <f t="shared" si="8"/>
        <v>#VALUE!</v>
      </c>
      <c r="AH19">
        <f t="shared" si="9"/>
        <v>99.000000000000199</v>
      </c>
      <c r="AI19" s="68">
        <f t="shared" si="10"/>
        <v>11.163465481790254</v>
      </c>
      <c r="AJ19" s="68">
        <f t="shared" si="11"/>
        <v>0</v>
      </c>
      <c r="AK19" s="67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7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75">
        <v>1.5421554579886813E-2</v>
      </c>
      <c r="V20" s="74">
        <v>0.1232596908297694</v>
      </c>
      <c r="W20" s="2">
        <v>-0.9034281906599263</v>
      </c>
      <c r="X20" s="75">
        <v>0.45586362429465982</v>
      </c>
      <c r="Y20" s="37">
        <v>-7.6797840683540336E-4</v>
      </c>
      <c r="Z20" s="38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79" t="e">
        <f t="shared" si="7"/>
        <v>#VALUE!</v>
      </c>
      <c r="AF20" s="80">
        <f t="shared" si="0"/>
        <v>0</v>
      </c>
      <c r="AG20" s="31" t="e">
        <f t="shared" si="8"/>
        <v>#VALUE!</v>
      </c>
      <c r="AH20">
        <f t="shared" si="9"/>
        <v>149.00000000000136</v>
      </c>
      <c r="AI20" s="68">
        <f t="shared" si="10"/>
        <v>5.2155457988667706</v>
      </c>
      <c r="AJ20" s="68">
        <f t="shared" si="11"/>
        <v>0</v>
      </c>
      <c r="AK20" s="67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7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75">
        <v>2.0139865568373858E-2</v>
      </c>
      <c r="V21" s="74">
        <v>0.1293385631126398</v>
      </c>
      <c r="W21" s="2">
        <v>-0.95204286396793458</v>
      </c>
      <c r="X21" s="75">
        <v>0</v>
      </c>
      <c r="Y21" s="37">
        <v>-4.7107727011627768E-4</v>
      </c>
      <c r="Z21" s="38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79" t="e">
        <f t="shared" si="7"/>
        <v>#VALUE!</v>
      </c>
      <c r="AF21" s="80">
        <f t="shared" si="0"/>
        <v>0</v>
      </c>
      <c r="AG21" s="31" t="e">
        <f t="shared" si="8"/>
        <v>#VALUE!</v>
      </c>
      <c r="AH21">
        <f t="shared" si="9"/>
        <v>199.00000000000028</v>
      </c>
      <c r="AI21" s="68">
        <f t="shared" si="10"/>
        <v>2.3986556837382977</v>
      </c>
      <c r="AJ21" s="68">
        <f t="shared" si="11"/>
        <v>0</v>
      </c>
      <c r="AK21" s="67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7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75">
        <v>2.5021042245330444E-2</v>
      </c>
      <c r="V22" s="74">
        <v>0.13757028778701397</v>
      </c>
      <c r="W22" s="2">
        <v>-0.97506282275406442</v>
      </c>
      <c r="X22" s="75">
        <v>0</v>
      </c>
      <c r="Y22" s="37">
        <v>-2.928207005908077E-4</v>
      </c>
      <c r="Z22" s="38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79" t="e">
        <f t="shared" si="7"/>
        <v>#VALUE!</v>
      </c>
      <c r="AF22" s="80">
        <f t="shared" si="0"/>
        <v>0</v>
      </c>
      <c r="AG22" s="31" t="e">
        <f t="shared" si="8"/>
        <v>#VALUE!</v>
      </c>
      <c r="AH22">
        <f t="shared" si="9"/>
        <v>249.00000000000145</v>
      </c>
      <c r="AI22" s="68">
        <f t="shared" si="10"/>
        <v>1.2104224533029821</v>
      </c>
      <c r="AJ22" s="68">
        <f t="shared" si="11"/>
        <v>0</v>
      </c>
      <c r="AK22" s="67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7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75">
        <v>2.9971969328718363E-2</v>
      </c>
      <c r="V23" s="74">
        <v>0.14795486485286347</v>
      </c>
      <c r="W23" s="2">
        <v>-0.98537525388845271</v>
      </c>
      <c r="X23" s="75">
        <v>0</v>
      </c>
      <c r="Y23" s="2">
        <v>-1.9919460149662467E-4</v>
      </c>
      <c r="Z23" s="38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79" t="e">
        <f t="shared" si="7"/>
        <v>#VALUE!</v>
      </c>
      <c r="AF23" s="80">
        <f t="shared" si="0"/>
        <v>0</v>
      </c>
      <c r="AG23" s="31" t="e">
        <f t="shared" si="8"/>
        <v>#VALUE!</v>
      </c>
      <c r="AH23">
        <f t="shared" si="9"/>
        <v>299.0000000000004</v>
      </c>
      <c r="AI23" s="68">
        <f t="shared" si="10"/>
        <v>0.71969328718324732</v>
      </c>
      <c r="AJ23" s="68">
        <f t="shared" si="11"/>
        <v>0</v>
      </c>
      <c r="AK23" s="67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7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75">
        <v>3.4947170242700727E-2</v>
      </c>
      <c r="V24" s="74">
        <v>0.16049229431017409</v>
      </c>
      <c r="W24" s="2">
        <v>-0.99069384771629254</v>
      </c>
      <c r="X24" s="75">
        <v>0.96000685239764894</v>
      </c>
      <c r="Y24" s="2">
        <v>-1.4673614098978258E-4</v>
      </c>
      <c r="Z24" s="38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79" t="e">
        <f t="shared" si="7"/>
        <v>#VALUE!</v>
      </c>
      <c r="AF24" s="80">
        <f t="shared" si="0"/>
        <v>0</v>
      </c>
      <c r="AG24" s="31" t="e">
        <f t="shared" si="8"/>
        <v>#VALUE!</v>
      </c>
      <c r="AH24">
        <f t="shared" si="9"/>
        <v>349.00000000000153</v>
      </c>
      <c r="AI24" s="68">
        <f t="shared" si="10"/>
        <v>0.47170242700570952</v>
      </c>
      <c r="AJ24" s="68">
        <f t="shared" si="11"/>
        <v>0</v>
      </c>
      <c r="AK24" s="67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7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75">
        <v>3.9938167651417097E-2</v>
      </c>
      <c r="V25" s="74">
        <v>0.17518257615898847</v>
      </c>
      <c r="W25" s="2">
        <v>-0.99295163726063207</v>
      </c>
      <c r="X25" s="75">
        <v>0.96459820214130731</v>
      </c>
      <c r="Y25" s="2">
        <v>-1.2498221345756254E-4</v>
      </c>
      <c r="Z25" s="38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79" t="e">
        <f t="shared" si="7"/>
        <v>#VALUE!</v>
      </c>
      <c r="AF25" s="80">
        <f t="shared" si="0"/>
        <v>0</v>
      </c>
      <c r="AG25" s="31" t="e">
        <f t="shared" si="8"/>
        <v>#VALUE!</v>
      </c>
      <c r="AH25">
        <f t="shared" si="9"/>
        <v>399.00000000000045</v>
      </c>
      <c r="AI25" s="68">
        <f t="shared" si="10"/>
        <v>0.38167651417052184</v>
      </c>
      <c r="AJ25" s="68">
        <f t="shared" si="11"/>
        <v>0</v>
      </c>
      <c r="AK25" s="67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7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75">
        <v>4.4933497038128635E-2</v>
      </c>
      <c r="V26" s="74">
        <v>0.19202571039927818</v>
      </c>
      <c r="W26" s="2">
        <v>-0.99424128479175922</v>
      </c>
      <c r="X26" s="75">
        <v>0.93178526449189381</v>
      </c>
      <c r="Y26" s="2">
        <v>-1.1497841994031873E-4</v>
      </c>
      <c r="Z26" s="38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79" t="e">
        <f t="shared" si="7"/>
        <v>#VALUE!</v>
      </c>
      <c r="AF26" s="80">
        <f t="shared" si="0"/>
        <v>0</v>
      </c>
      <c r="AG26" s="31" t="e">
        <f t="shared" si="8"/>
        <v>#VALUE!</v>
      </c>
      <c r="AH26">
        <f t="shared" si="9"/>
        <v>449.00000000000159</v>
      </c>
      <c r="AI26" s="68">
        <f t="shared" si="10"/>
        <v>0.33497038128473378</v>
      </c>
      <c r="AJ26" s="68">
        <f t="shared" si="11"/>
        <v>0</v>
      </c>
      <c r="AK26" s="67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7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75">
        <v>4.9933175905381037E-2</v>
      </c>
      <c r="V27" s="74">
        <v>0.21102169703104323</v>
      </c>
      <c r="W27" s="2">
        <v>-0.99475196361446627</v>
      </c>
      <c r="X27" s="75">
        <v>0.78384519397573749</v>
      </c>
      <c r="Y27" s="2">
        <v>-1.1677813097680746E-4</v>
      </c>
      <c r="Z27" s="38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79" t="e">
        <f t="shared" si="7"/>
        <v>#VALUE!</v>
      </c>
      <c r="AF27" s="80">
        <f t="shared" si="0"/>
        <v>0</v>
      </c>
      <c r="AG27" s="31" t="e">
        <f t="shared" si="8"/>
        <v>#VALUE!</v>
      </c>
      <c r="AH27">
        <f t="shared" si="9"/>
        <v>499.00000000000057</v>
      </c>
      <c r="AI27" s="68">
        <f t="shared" si="10"/>
        <v>0.33175905380977611</v>
      </c>
      <c r="AJ27" s="68">
        <f t="shared" si="11"/>
        <v>0</v>
      </c>
      <c r="AK27" s="67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7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75">
        <v>5.4937219892936658E-2</v>
      </c>
      <c r="V28" s="74">
        <v>0.23217053605428362</v>
      </c>
      <c r="W28" s="2">
        <v>-0.99465768629688212</v>
      </c>
      <c r="X28" s="75">
        <v>0.72323851067159062</v>
      </c>
      <c r="Y28" s="2">
        <v>-1.3043410533604931E-4</v>
      </c>
      <c r="Z28" s="38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79" t="e">
        <f t="shared" si="7"/>
        <v>#VALUE!</v>
      </c>
      <c r="AF28" s="80">
        <f t="shared" si="0"/>
        <v>0</v>
      </c>
      <c r="AG28" s="31" t="e">
        <f t="shared" si="8"/>
        <v>#VALUE!</v>
      </c>
      <c r="AH28">
        <f t="shared" si="9"/>
        <v>549.00000000000171</v>
      </c>
      <c r="AI28" s="68">
        <f t="shared" si="10"/>
        <v>0.37219892936491306</v>
      </c>
      <c r="AJ28" s="68">
        <f t="shared" si="11"/>
        <v>0</v>
      </c>
      <c r="AK28" s="67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7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75">
        <v>5.9945648867460698E-2</v>
      </c>
      <c r="V29" s="74">
        <v>0.25547222746899934</v>
      </c>
      <c r="W29" s="2">
        <v>-0.99410840163359981</v>
      </c>
      <c r="X29" s="75">
        <v>0.71422133303684943</v>
      </c>
      <c r="Y29" s="2">
        <v>-1.5599872907370662E-4</v>
      </c>
      <c r="Z29" s="38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79" t="e">
        <f t="shared" si="7"/>
        <v>#VALUE!</v>
      </c>
      <c r="AF29" s="80">
        <f t="shared" si="0"/>
        <v>0</v>
      </c>
      <c r="AG29" s="31" t="e">
        <f t="shared" si="8"/>
        <v>#VALUE!</v>
      </c>
      <c r="AH29">
        <f t="shared" si="9"/>
        <v>599.00000000000068</v>
      </c>
      <c r="AI29" s="68">
        <f t="shared" si="10"/>
        <v>0.45648867460624842</v>
      </c>
      <c r="AJ29" s="68">
        <f t="shared" si="11"/>
        <v>0</v>
      </c>
      <c r="AK29" s="67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7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75">
        <v>6.4958485315866926E-2</v>
      </c>
      <c r="V30" s="74">
        <v>0.2809267712752046</v>
      </c>
      <c r="W30" s="2">
        <v>-0.99322759936178417</v>
      </c>
      <c r="X30" s="75">
        <v>0.73250794366057015</v>
      </c>
      <c r="Y30" s="2">
        <v>-1.9352554713736398E-4</v>
      </c>
      <c r="Z30" s="38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79" t="e">
        <f t="shared" si="7"/>
        <v>#VALUE!</v>
      </c>
      <c r="AF30" s="80">
        <f t="shared" si="0"/>
        <v>0</v>
      </c>
      <c r="AG30" s="31" t="e">
        <f t="shared" si="8"/>
        <v>#VALUE!</v>
      </c>
      <c r="AH30">
        <f t="shared" si="9"/>
        <v>648.99999999999955</v>
      </c>
      <c r="AI30" s="68">
        <f t="shared" si="10"/>
        <v>0.58485315866971632</v>
      </c>
      <c r="AJ30" s="68">
        <f t="shared" si="11"/>
        <v>0</v>
      </c>
      <c r="AK30" s="67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7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75">
        <v>6.9975749618210112E-2</v>
      </c>
      <c r="V31" s="74">
        <v>0.30853416747289941</v>
      </c>
      <c r="W31" s="2">
        <v>-0.99211342707809069</v>
      </c>
      <c r="X31" s="75">
        <v>0.76249876297262764</v>
      </c>
      <c r="Y31" s="2">
        <v>-2.4306472003765922E-4</v>
      </c>
      <c r="Z31" s="38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79" t="e">
        <f t="shared" si="7"/>
        <v>#VALUE!</v>
      </c>
      <c r="AF31" s="80">
        <f t="shared" si="0"/>
        <v>0</v>
      </c>
      <c r="AG31" s="31" t="e">
        <f t="shared" si="8"/>
        <v>#VALUE!</v>
      </c>
      <c r="AH31">
        <f t="shared" si="9"/>
        <v>699.00000000000068</v>
      </c>
      <c r="AI31" s="68">
        <f t="shared" si="10"/>
        <v>0.75749618210045355</v>
      </c>
      <c r="AJ31" s="68">
        <f t="shared" si="11"/>
        <v>0</v>
      </c>
      <c r="AK31" s="67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7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75">
        <v>7.4997461117907296E-2</v>
      </c>
      <c r="V32" s="74">
        <v>0.33829441606204114</v>
      </c>
      <c r="W32" s="2">
        <v>-0.99084222167956415</v>
      </c>
      <c r="X32" s="75">
        <v>0.79477854501055389</v>
      </c>
      <c r="Y32" s="2">
        <v>-3.0467123538908616E-4</v>
      </c>
      <c r="Z32" s="38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79" t="e">
        <f t="shared" si="7"/>
        <v>#VALUE!</v>
      </c>
      <c r="AF32" s="80">
        <f t="shared" si="0"/>
        <v>0</v>
      </c>
      <c r="AG32" s="31" t="e">
        <f t="shared" si="8"/>
        <v>#VALUE!</v>
      </c>
      <c r="AH32">
        <f t="shared" si="9"/>
        <v>749.00000000000193</v>
      </c>
      <c r="AI32" s="68">
        <f t="shared" si="10"/>
        <v>0.97461117907107564</v>
      </c>
      <c r="AJ32" s="68">
        <f t="shared" si="11"/>
        <v>0</v>
      </c>
      <c r="AK32" s="67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7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75">
        <v>8.0023639217036438E-2</v>
      </c>
      <c r="V33" s="74">
        <v>0.37020751704270083</v>
      </c>
      <c r="W33" s="2">
        <v>-0.98947196305720375</v>
      </c>
      <c r="X33" s="75">
        <v>0.82406090664307019</v>
      </c>
      <c r="Y33" s="2">
        <v>-3.7839448819390126E-4</v>
      </c>
      <c r="Z33" s="38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79" t="e">
        <f t="shared" si="7"/>
        <v>#VALUE!</v>
      </c>
      <c r="AF33" s="80">
        <f t="shared" si="0"/>
        <v>0</v>
      </c>
      <c r="AG33" s="31" t="e">
        <f t="shared" si="8"/>
        <v>#VALUE!</v>
      </c>
      <c r="AH33">
        <f t="shared" si="9"/>
        <v>799.0000000000008</v>
      </c>
      <c r="AI33" s="68">
        <f t="shared" si="10"/>
        <v>1.2363921703636152</v>
      </c>
      <c r="AJ33" s="68">
        <f t="shared" si="11"/>
        <v>0</v>
      </c>
      <c r="AK33" s="67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7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75">
        <v>8.5070516615054173E-2</v>
      </c>
      <c r="V34" s="74">
        <v>0.40427347041482165</v>
      </c>
      <c r="W34" s="2">
        <v>-0.98705691075711555</v>
      </c>
      <c r="X34" s="75">
        <v>0.8966998586038698</v>
      </c>
      <c r="Y34" s="2">
        <v>-4.9113662857176266E-4</v>
      </c>
      <c r="Z34" s="38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79" t="e">
        <f t="shared" si="7"/>
        <v>#VALUE!</v>
      </c>
      <c r="AF34" s="80">
        <f t="shared" si="0"/>
        <v>0</v>
      </c>
      <c r="AG34" s="31" t="e">
        <f t="shared" si="8"/>
        <v>#VALUE!</v>
      </c>
      <c r="AH34">
        <f t="shared" si="9"/>
        <v>848.99999999999977</v>
      </c>
      <c r="AI34" s="68">
        <f t="shared" si="10"/>
        <v>1.7051661505419133</v>
      </c>
      <c r="AJ34" s="68">
        <f t="shared" si="11"/>
        <v>0</v>
      </c>
      <c r="AK34" s="67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7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75">
        <v>9.0131182289735531E-2</v>
      </c>
      <c r="V35" s="74">
        <v>0.44049227617840359</v>
      </c>
      <c r="W35" s="2">
        <v>-0.98426134336016369</v>
      </c>
      <c r="X35" s="75">
        <v>0.97085895907125108</v>
      </c>
      <c r="Y35" s="2">
        <v>-6.3142971592561868E-4</v>
      </c>
      <c r="Z35" s="38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79" t="e">
        <f t="shared" si="7"/>
        <v>#VALUE!</v>
      </c>
      <c r="AF35" s="80">
        <f t="shared" si="0"/>
        <v>0</v>
      </c>
      <c r="AG35" s="31" t="e">
        <f t="shared" si="8"/>
        <v>#VALUE!</v>
      </c>
      <c r="AH35">
        <f t="shared" si="9"/>
        <v>899.00000000000091</v>
      </c>
      <c r="AI35" s="68">
        <f t="shared" si="10"/>
        <v>2.3118228973544319</v>
      </c>
      <c r="AJ35" s="68">
        <f t="shared" si="11"/>
        <v>0</v>
      </c>
      <c r="AK35" s="67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7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75">
        <v>5.5180738412799829E-2</v>
      </c>
      <c r="V36" s="74">
        <v>0.26420497997470704</v>
      </c>
      <c r="W36" s="2">
        <v>0.9903783911365891</v>
      </c>
      <c r="X36" s="75">
        <v>8.4867609479617076E-7</v>
      </c>
      <c r="Y36" s="2">
        <v>-2.4913728829400539E-4</v>
      </c>
      <c r="Z36" s="38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79" t="e">
        <f t="shared" si="7"/>
        <v>#VALUE!</v>
      </c>
      <c r="AF36" s="80">
        <f t="shared" si="0"/>
        <v>0</v>
      </c>
      <c r="AG36" s="31" t="e">
        <f t="shared" si="8"/>
        <v>#VALUE!</v>
      </c>
      <c r="AH36">
        <f t="shared" si="9"/>
        <v>550.99999999999932</v>
      </c>
      <c r="AI36" s="68">
        <f t="shared" si="10"/>
        <v>0.80738412799894377</v>
      </c>
      <c r="AJ36" s="68">
        <f t="shared" si="11"/>
        <v>0</v>
      </c>
      <c r="AK36" s="67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7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75">
        <v>5.0174002271439908E-2</v>
      </c>
      <c r="V37" s="74">
        <v>0.24014391877688013</v>
      </c>
      <c r="W37" s="2">
        <v>0.99029902415853122</v>
      </c>
      <c r="X37" s="75">
        <v>0</v>
      </c>
      <c r="Y37" s="2">
        <v>-2.2813216354481477E-4</v>
      </c>
      <c r="Z37" s="38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79" t="e">
        <f t="shared" si="7"/>
        <v>#VALUE!</v>
      </c>
      <c r="AF37" s="80">
        <f t="shared" si="0"/>
        <v>0</v>
      </c>
      <c r="AG37" s="31" t="e">
        <f t="shared" si="8"/>
        <v>#VALUE!</v>
      </c>
      <c r="AH37">
        <f t="shared" si="9"/>
        <v>501.00000000000034</v>
      </c>
      <c r="AI37" s="68">
        <f t="shared" si="10"/>
        <v>0.74002271439871947</v>
      </c>
      <c r="AJ37" s="68">
        <f t="shared" si="11"/>
        <v>0</v>
      </c>
      <c r="AK37" s="67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7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75">
        <v>4.5171234214798316E-2</v>
      </c>
      <c r="V38" s="74">
        <v>0.21823570997051434</v>
      </c>
      <c r="W38" s="2">
        <v>0.98975605375086417</v>
      </c>
      <c r="X38" s="75">
        <v>0</v>
      </c>
      <c r="Y38" s="2">
        <v>-2.1789448305739866E-4</v>
      </c>
      <c r="Z38" s="38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79" t="e">
        <f t="shared" si="7"/>
        <v>#VALUE!</v>
      </c>
      <c r="AF38" s="80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68">
        <f t="shared" si="10"/>
        <v>0.71234214798397488</v>
      </c>
      <c r="AJ38" s="68">
        <f t="shared" si="11"/>
        <v>0</v>
      </c>
      <c r="AK38" s="67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7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75">
        <v>4.017984348371216E-2</v>
      </c>
      <c r="V39" s="74">
        <v>0.1984803535556523</v>
      </c>
      <c r="W39" s="2">
        <v>0.98770033251658362</v>
      </c>
      <c r="X39" s="75">
        <v>0</v>
      </c>
      <c r="Y39" s="2">
        <v>-2.3069967905503622E-4</v>
      </c>
      <c r="Z39" s="38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79" t="e">
        <f t="shared" si="7"/>
        <v>#VALUE!</v>
      </c>
      <c r="AF39" s="80">
        <f t="shared" si="13"/>
        <v>0</v>
      </c>
      <c r="AG39" s="31" t="e">
        <f t="shared" si="8"/>
        <v>#VALUE!</v>
      </c>
      <c r="AH39">
        <f t="shared" si="9"/>
        <v>401.00000000000023</v>
      </c>
      <c r="AI39" s="68">
        <f t="shared" si="10"/>
        <v>0.79843483712136276</v>
      </c>
      <c r="AJ39" s="68">
        <f t="shared" si="11"/>
        <v>0</v>
      </c>
      <c r="AK39" s="67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7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75">
        <v>3.5197576778754069E-2</v>
      </c>
      <c r="V40" s="74">
        <v>0.18087784953227981</v>
      </c>
      <c r="W40" s="2">
        <v>0.98401239466735069</v>
      </c>
      <c r="X40" s="75">
        <v>0</v>
      </c>
      <c r="Y40" s="2">
        <v>-2.6284308136189993E-4</v>
      </c>
      <c r="Z40" s="38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79" t="e">
        <f t="shared" si="7"/>
        <v>#VALUE!</v>
      </c>
      <c r="AF40" s="80">
        <f t="shared" si="13"/>
        <v>0</v>
      </c>
      <c r="AG40" s="31" t="e">
        <f t="shared" si="8"/>
        <v>#VALUE!</v>
      </c>
      <c r="AH40">
        <f t="shared" si="9"/>
        <v>350.99999999999909</v>
      </c>
      <c r="AI40" s="68">
        <f t="shared" si="10"/>
        <v>0.97576778754159932</v>
      </c>
      <c r="AJ40" s="68">
        <f t="shared" si="11"/>
        <v>0</v>
      </c>
      <c r="AK40" s="67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7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75">
        <v>3.0223132760095989E-2</v>
      </c>
      <c r="V41" s="74">
        <v>0.16542819790035423</v>
      </c>
      <c r="W41" s="2">
        <v>0.97850612927498648</v>
      </c>
      <c r="X41" s="75">
        <v>0</v>
      </c>
      <c r="Y41" s="2">
        <v>-3.1219426754247582E-4</v>
      </c>
      <c r="Z41" s="38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79" t="e">
        <f t="shared" si="7"/>
        <v>#VALUE!</v>
      </c>
      <c r="AF41" s="80">
        <f t="shared" si="13"/>
        <v>0</v>
      </c>
      <c r="AG41" s="31" t="e">
        <f t="shared" si="8"/>
        <v>#VALUE!</v>
      </c>
      <c r="AH41">
        <f t="shared" si="9"/>
        <v>301.00000000000017</v>
      </c>
      <c r="AI41" s="68">
        <f t="shared" si="10"/>
        <v>1.2313276009597303</v>
      </c>
      <c r="AJ41" s="68">
        <f t="shared" si="11"/>
        <v>0</v>
      </c>
      <c r="AK41" s="67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7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75">
        <v>2.52965524313538E-2</v>
      </c>
      <c r="V42" s="74">
        <v>0.15213139865993242</v>
      </c>
      <c r="W42" s="2">
        <v>0.96522940856043193</v>
      </c>
      <c r="X42" s="75">
        <v>0</v>
      </c>
      <c r="Y42" s="2">
        <v>-4.2572685371954631E-4</v>
      </c>
      <c r="Z42" s="38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79" t="e">
        <f t="shared" si="7"/>
        <v>#VALUE!</v>
      </c>
      <c r="AF42" s="80">
        <f t="shared" si="13"/>
        <v>0</v>
      </c>
      <c r="AG42" s="31" t="e">
        <f t="shared" si="8"/>
        <v>#VALUE!</v>
      </c>
      <c r="AH42">
        <f t="shared" si="9"/>
        <v>250.99999999999901</v>
      </c>
      <c r="AI42" s="68">
        <f t="shared" si="10"/>
        <v>1.9655243135389924</v>
      </c>
      <c r="AJ42" s="68">
        <f t="shared" si="11"/>
        <v>0</v>
      </c>
      <c r="AK42" s="67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7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75">
        <v>2.0436404881690615E-2</v>
      </c>
      <c r="V43" s="74">
        <v>0.14098745181098593</v>
      </c>
      <c r="W43" s="2">
        <v>0.9408577625029193</v>
      </c>
      <c r="X43" s="75">
        <v>0</v>
      </c>
      <c r="Y43" s="2">
        <v>-6.0432797633985607E-4</v>
      </c>
      <c r="Z43" s="38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79" t="e">
        <f t="shared" si="7"/>
        <v>#VALUE!</v>
      </c>
      <c r="AF43" s="80">
        <f t="shared" si="13"/>
        <v>0</v>
      </c>
      <c r="AG43" s="31" t="e">
        <f t="shared" si="8"/>
        <v>#VALUE!</v>
      </c>
      <c r="AH43">
        <f t="shared" si="9"/>
        <v>201.00000000000006</v>
      </c>
      <c r="AI43" s="68">
        <f t="shared" si="10"/>
        <v>3.3640488169060916</v>
      </c>
      <c r="AJ43" s="68">
        <f t="shared" si="11"/>
        <v>0</v>
      </c>
      <c r="AK43" s="67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7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75">
        <v>1.5724484820930949E-2</v>
      </c>
      <c r="V44" s="74">
        <v>0.13199635735350057</v>
      </c>
      <c r="W44" s="2">
        <v>0.89445659155028767</v>
      </c>
      <c r="X44" s="75">
        <v>0</v>
      </c>
      <c r="Y44" s="2">
        <v>-8.7842645993631025E-4</v>
      </c>
      <c r="Z44" s="38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79" t="e">
        <f t="shared" si="7"/>
        <v>#VALUE!</v>
      </c>
      <c r="AF44" s="80">
        <f t="shared" si="13"/>
        <v>0</v>
      </c>
      <c r="AG44" s="31" t="e">
        <f t="shared" si="8"/>
        <v>#VALUE!</v>
      </c>
      <c r="AH44">
        <f t="shared" si="9"/>
        <v>150.99999999999892</v>
      </c>
      <c r="AI44" s="68">
        <f t="shared" si="10"/>
        <v>6.2448482093105611</v>
      </c>
      <c r="AJ44" s="68">
        <f t="shared" si="11"/>
        <v>0</v>
      </c>
      <c r="AK44" s="67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7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75">
        <v>1.1298328568095721E-2</v>
      </c>
      <c r="V45" s="74">
        <v>0.12515811528751897</v>
      </c>
      <c r="W45" s="2">
        <v>0.81212876673398537</v>
      </c>
      <c r="X45" s="75">
        <v>0</v>
      </c>
      <c r="Y45" s="2">
        <v>-1.2387985114968151E-3</v>
      </c>
      <c r="Z45" s="38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79" t="e">
        <f t="shared" si="7"/>
        <v>#VALUE!</v>
      </c>
      <c r="AF45" s="80">
        <f t="shared" si="13"/>
        <v>0</v>
      </c>
      <c r="AG45" s="31" t="e">
        <f t="shared" si="8"/>
        <v>#VALUE!</v>
      </c>
      <c r="AH45">
        <f t="shared" si="9"/>
        <v>100.99999999999997</v>
      </c>
      <c r="AI45" s="68">
        <f t="shared" si="10"/>
        <v>11.983285680957238</v>
      </c>
      <c r="AJ45" s="68">
        <f t="shared" si="11"/>
        <v>0</v>
      </c>
      <c r="AK45" s="67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7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75">
        <v>7.4571183521020025E-3</v>
      </c>
      <c r="V46" s="74">
        <v>0.1204727256130127</v>
      </c>
      <c r="W46" s="2">
        <v>0.67818925711837008</v>
      </c>
      <c r="X46" s="75">
        <v>0</v>
      </c>
      <c r="Y46" s="2">
        <v>-1.5769783665466137E-3</v>
      </c>
      <c r="Z46" s="38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79" t="e">
        <f t="shared" si="7"/>
        <v>#VALUE!</v>
      </c>
      <c r="AF46" s="80">
        <f t="shared" si="13"/>
        <v>0</v>
      </c>
      <c r="AG46" s="31" t="e">
        <f t="shared" si="8"/>
        <v>#VALUE!</v>
      </c>
      <c r="AH46">
        <f t="shared" si="9"/>
        <v>50.99999999999882</v>
      </c>
      <c r="AI46" s="68">
        <f t="shared" si="10"/>
        <v>23.571183521021212</v>
      </c>
      <c r="AJ46" s="68">
        <f t="shared" si="11"/>
        <v>0</v>
      </c>
      <c r="AK46" s="67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7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75">
        <v>7.4000000022351742E-3</v>
      </c>
      <c r="V47" s="74">
        <v>0.20033945498258379</v>
      </c>
      <c r="W47" s="2">
        <v>0.50448938338421789</v>
      </c>
      <c r="X47" s="75">
        <v>0</v>
      </c>
      <c r="Y47" s="2">
        <v>-2.9458189595816023E-3</v>
      </c>
      <c r="Z47" s="38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79" t="e">
        <f t="shared" si="7"/>
        <v>#VALUE!</v>
      </c>
      <c r="AF47" s="80">
        <f t="shared" si="13"/>
        <v>0</v>
      </c>
      <c r="AG47" s="31" t="e">
        <f t="shared" si="8"/>
        <v>#VALUE!</v>
      </c>
      <c r="AH47">
        <f t="shared" si="9"/>
        <v>0.99999999999988987</v>
      </c>
      <c r="AI47" s="68">
        <f t="shared" si="10"/>
        <v>73.000000022351855</v>
      </c>
      <c r="AJ47" s="68">
        <f t="shared" si="11"/>
        <v>0</v>
      </c>
      <c r="AK47" s="67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7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75">
        <v>2.3386601062499526E-3</v>
      </c>
      <c r="V48" s="74">
        <v>0.11756050343842617</v>
      </c>
      <c r="W48" s="2">
        <v>0.32753638011934455</v>
      </c>
      <c r="X48" s="75">
        <v>0</v>
      </c>
      <c r="Y48" s="2">
        <v>-1.5495961318951479E-3</v>
      </c>
      <c r="Z48" s="38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79" t="e">
        <f t="shared" si="7"/>
        <v>#VALUE!</v>
      </c>
      <c r="AF48" s="80">
        <f t="shared" si="13"/>
        <v>0</v>
      </c>
      <c r="AG48" s="31" t="e">
        <f t="shared" si="8"/>
        <v>#VALUE!</v>
      </c>
      <c r="AH48">
        <f t="shared" si="9"/>
        <v>0</v>
      </c>
      <c r="AI48" s="68">
        <f t="shared" si="10"/>
        <v>23.386601062499526</v>
      </c>
      <c r="AJ48" s="68">
        <f t="shared" si="11"/>
        <v>0</v>
      </c>
      <c r="AK48" s="67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7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75">
        <v>1.1164091165729115E-3</v>
      </c>
      <c r="V49" s="74">
        <v>0.11933367093836011</v>
      </c>
      <c r="W49" s="2">
        <v>0.18524911076303147</v>
      </c>
      <c r="X49" s="75">
        <v>0</v>
      </c>
      <c r="Y49" s="2">
        <v>-1.1684861695963273E-3</v>
      </c>
      <c r="Z49" s="38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79" t="e">
        <f t="shared" si="7"/>
        <v>#VALUE!</v>
      </c>
      <c r="AF49" s="80">
        <f t="shared" si="13"/>
        <v>0</v>
      </c>
      <c r="AG49" s="31" t="e">
        <f t="shared" si="8"/>
        <v>#VALUE!</v>
      </c>
      <c r="AH49">
        <f t="shared" si="9"/>
        <v>0</v>
      </c>
      <c r="AI49" s="68">
        <f t="shared" si="10"/>
        <v>11.164091165729115</v>
      </c>
      <c r="AJ49" s="68">
        <f t="shared" si="11"/>
        <v>0</v>
      </c>
      <c r="AK49" s="67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7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75">
        <v>5.216474251880307E-4</v>
      </c>
      <c r="V50" s="74">
        <v>0.1232596908297694</v>
      </c>
      <c r="W50" s="2">
        <v>9.6641212812860214E-2</v>
      </c>
      <c r="X50" s="75">
        <v>0</v>
      </c>
      <c r="Y50" s="2">
        <v>-7.6806409255681253E-4</v>
      </c>
      <c r="Z50" s="38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79" t="e">
        <f t="shared" si="7"/>
        <v>#VALUE!</v>
      </c>
      <c r="AF50" s="80">
        <f t="shared" si="13"/>
        <v>0</v>
      </c>
      <c r="AG50" s="31" t="e">
        <f t="shared" si="8"/>
        <v>#VALUE!</v>
      </c>
      <c r="AH50">
        <f t="shared" si="9"/>
        <v>0</v>
      </c>
      <c r="AI50" s="68">
        <f t="shared" si="10"/>
        <v>5.2164742518803067</v>
      </c>
      <c r="AJ50" s="68">
        <f t="shared" si="11"/>
        <v>0</v>
      </c>
      <c r="AK50" s="67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7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75">
        <v>2.3998364970128798E-4</v>
      </c>
      <c r="V51" s="74">
        <v>0.1293385631126398</v>
      </c>
      <c r="W51" s="2">
        <v>4.8027688265695208E-2</v>
      </c>
      <c r="X51" s="75">
        <v>0</v>
      </c>
      <c r="Y51" s="2">
        <v>-4.7119122755980345E-4</v>
      </c>
      <c r="Z51" s="38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79" t="e">
        <f t="shared" si="7"/>
        <v>#VALUE!</v>
      </c>
      <c r="AF51" s="80">
        <f t="shared" si="13"/>
        <v>0</v>
      </c>
      <c r="AG51" s="31" t="e">
        <f t="shared" si="8"/>
        <v>#VALUE!</v>
      </c>
      <c r="AH51">
        <f t="shared" si="9"/>
        <v>0</v>
      </c>
      <c r="AI51" s="68">
        <f t="shared" si="10"/>
        <v>2.3998364970128798</v>
      </c>
      <c r="AJ51" s="68">
        <f t="shared" si="11"/>
        <v>0</v>
      </c>
      <c r="AK51" s="67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7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75">
        <v>1.2118092944529462E-4</v>
      </c>
      <c r="V52" s="74">
        <v>0.13757028778701397</v>
      </c>
      <c r="W52" s="2">
        <v>2.5008897404942047E-2</v>
      </c>
      <c r="X52" s="75">
        <v>0</v>
      </c>
      <c r="Y52" s="2">
        <v>-2.9296286178520485E-4</v>
      </c>
      <c r="Z52" s="38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79" t="e">
        <f t="shared" si="7"/>
        <v>#VALUE!</v>
      </c>
      <c r="AF52" s="80">
        <f t="shared" si="13"/>
        <v>0</v>
      </c>
      <c r="AG52" s="31" t="e">
        <f t="shared" si="8"/>
        <v>#VALUE!</v>
      </c>
      <c r="AH52">
        <f t="shared" si="9"/>
        <v>0</v>
      </c>
      <c r="AI52" s="68">
        <f t="shared" si="10"/>
        <v>1.2118092944529462</v>
      </c>
      <c r="AJ52" s="68">
        <f t="shared" si="11"/>
        <v>0</v>
      </c>
      <c r="AK52" s="67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7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75">
        <v>7.2126364204528251E-5</v>
      </c>
      <c r="V53" s="74">
        <v>0.14795486485286347</v>
      </c>
      <c r="W53" s="2">
        <v>1.469739074729449E-2</v>
      </c>
      <c r="X53" s="75">
        <v>0</v>
      </c>
      <c r="Y53" s="2">
        <v>-1.9936522724189968E-4</v>
      </c>
      <c r="Z53" s="38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79" t="e">
        <f t="shared" si="7"/>
        <v>#VALUE!</v>
      </c>
      <c r="AF53" s="80">
        <f t="shared" si="13"/>
        <v>0</v>
      </c>
      <c r="AG53" s="31" t="e">
        <f t="shared" si="8"/>
        <v>#VALUE!</v>
      </c>
      <c r="AH53">
        <f t="shared" si="9"/>
        <v>0</v>
      </c>
      <c r="AI53" s="68">
        <f t="shared" si="10"/>
        <v>0.72126364204528248</v>
      </c>
      <c r="AJ53" s="68">
        <f t="shared" si="11"/>
        <v>0</v>
      </c>
      <c r="AK53" s="67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7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75">
        <v>4.7341293692565039E-5</v>
      </c>
      <c r="V54" s="74">
        <v>0.16049229431017409</v>
      </c>
      <c r="W54" s="2">
        <v>9.3796575175678007E-3</v>
      </c>
      <c r="X54" s="75">
        <v>0.95954405647310892</v>
      </c>
      <c r="Y54" s="2">
        <v>-1.4693501410608861E-4</v>
      </c>
      <c r="Z54" s="38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79" t="e">
        <f t="shared" si="7"/>
        <v>#VALUE!</v>
      </c>
      <c r="AF54" s="80">
        <f t="shared" si="13"/>
        <v>0</v>
      </c>
      <c r="AG54" s="31" t="e">
        <f t="shared" si="8"/>
        <v>#VALUE!</v>
      </c>
      <c r="AH54">
        <f t="shared" si="9"/>
        <v>0</v>
      </c>
      <c r="AI54" s="68">
        <f t="shared" si="10"/>
        <v>0.4734129369256504</v>
      </c>
      <c r="AJ54" s="68">
        <f t="shared" si="11"/>
        <v>0</v>
      </c>
      <c r="AK54" s="67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7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75">
        <v>3.8359639553938722E-5</v>
      </c>
      <c r="V55" s="74">
        <v>0.17518257615898847</v>
      </c>
      <c r="W55" s="2">
        <v>7.1224100425666325E-3</v>
      </c>
      <c r="X55" s="75">
        <v>0.96421830226224814</v>
      </c>
      <c r="Y55" s="2">
        <v>-1.252089076573424E-4</v>
      </c>
      <c r="Z55" s="38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79" t="e">
        <f t="shared" si="7"/>
        <v>#VALUE!</v>
      </c>
      <c r="AF55" s="80">
        <f t="shared" si="13"/>
        <v>0</v>
      </c>
      <c r="AG55" s="31" t="e">
        <f t="shared" si="8"/>
        <v>#VALUE!</v>
      </c>
      <c r="AH55">
        <f t="shared" si="9"/>
        <v>0</v>
      </c>
      <c r="AI55" s="68">
        <f t="shared" si="10"/>
        <v>0.38359639553938724</v>
      </c>
      <c r="AJ55" s="68">
        <f t="shared" si="11"/>
        <v>0</v>
      </c>
      <c r="AK55" s="67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7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75">
        <v>3.3708268785229029E-5</v>
      </c>
      <c r="V56" s="74">
        <v>0.19202571039927818</v>
      </c>
      <c r="W56" s="2">
        <v>5.8332014101459308E-3</v>
      </c>
      <c r="X56" s="75">
        <v>0.93145623559933899</v>
      </c>
      <c r="Y56" s="2">
        <v>-1.1523321629706423E-4</v>
      </c>
      <c r="Z56" s="38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79" t="e">
        <f t="shared" si="7"/>
        <v>#VALUE!</v>
      </c>
      <c r="AF56" s="80">
        <f t="shared" si="13"/>
        <v>0</v>
      </c>
      <c r="AG56" s="31" t="e">
        <f t="shared" si="8"/>
        <v>#VALUE!</v>
      </c>
      <c r="AH56">
        <f t="shared" si="9"/>
        <v>0</v>
      </c>
      <c r="AI56" s="68">
        <f t="shared" si="10"/>
        <v>0.33708268785229029</v>
      </c>
      <c r="AJ56" s="68">
        <f t="shared" si="11"/>
        <v>0</v>
      </c>
      <c r="AK56" s="67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7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75">
        <v>3.3406769725283334E-5</v>
      </c>
      <c r="V57" s="74">
        <v>0.21102169703104323</v>
      </c>
      <c r="W57" s="2">
        <v>5.3227665009588747E-3</v>
      </c>
      <c r="X57" s="75">
        <v>0.78354081495236994</v>
      </c>
      <c r="Y57" s="2">
        <v>-1.170610648750622E-4</v>
      </c>
      <c r="Z57" s="38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79" t="e">
        <f t="shared" si="7"/>
        <v>#VALUE!</v>
      </c>
      <c r="AF57" s="80">
        <f t="shared" si="13"/>
        <v>0</v>
      </c>
      <c r="AG57" s="31" t="e">
        <f t="shared" si="8"/>
        <v>#VALUE!</v>
      </c>
      <c r="AH57">
        <f t="shared" si="9"/>
        <v>0</v>
      </c>
      <c r="AI57" s="68">
        <f t="shared" si="10"/>
        <v>0.33406769725283336</v>
      </c>
      <c r="AJ57" s="68">
        <f t="shared" si="11"/>
        <v>0</v>
      </c>
      <c r="AK57" s="67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7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75">
        <v>3.7474658669514331E-5</v>
      </c>
      <c r="V58" s="74">
        <v>0.23217053605428362</v>
      </c>
      <c r="W58" s="2">
        <v>5.4170141095194035E-3</v>
      </c>
      <c r="X58" s="75">
        <v>0.72296178194305927</v>
      </c>
      <c r="Y58" s="2">
        <v>-1.307453745865314E-4</v>
      </c>
      <c r="Z58" s="38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79" t="e">
        <f t="shared" si="7"/>
        <v>#VALUE!</v>
      </c>
      <c r="AF58" s="80">
        <f t="shared" si="13"/>
        <v>0</v>
      </c>
      <c r="AG58" s="31" t="e">
        <f t="shared" si="8"/>
        <v>#VALUE!</v>
      </c>
      <c r="AH58">
        <f t="shared" si="9"/>
        <v>0</v>
      </c>
      <c r="AI58" s="68">
        <f t="shared" si="10"/>
        <v>0.37474658669514332</v>
      </c>
      <c r="AJ58" s="68">
        <f t="shared" si="11"/>
        <v>0</v>
      </c>
      <c r="AK58" s="67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7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75">
        <v>4.5931375836816548E-5</v>
      </c>
      <c r="V59" s="74">
        <v>0.25547222746899934</v>
      </c>
      <c r="W59" s="2">
        <v>5.9660562201696056E-3</v>
      </c>
      <c r="X59" s="75">
        <v>0.71397426698489763</v>
      </c>
      <c r="Y59" s="2">
        <v>-1.5633885042448125E-4</v>
      </c>
      <c r="Z59" s="38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79" t="e">
        <f t="shared" si="7"/>
        <v>#VALUE!</v>
      </c>
      <c r="AF59" s="80">
        <f t="shared" si="13"/>
        <v>0</v>
      </c>
      <c r="AG59" s="31" t="e">
        <f t="shared" si="8"/>
        <v>#VALUE!</v>
      </c>
      <c r="AH59">
        <f t="shared" si="9"/>
        <v>0</v>
      </c>
      <c r="AI59" s="68">
        <f t="shared" si="10"/>
        <v>0.45931375836816546</v>
      </c>
      <c r="AJ59" s="68">
        <f t="shared" si="11"/>
        <v>0</v>
      </c>
      <c r="AK59" s="67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7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75">
        <v>5.879628266652186E-5</v>
      </c>
      <c r="V60" s="74">
        <v>0.2809267712752046</v>
      </c>
      <c r="W60" s="2">
        <v>6.8465843625261889E-3</v>
      </c>
      <c r="X60" s="75">
        <v>0.73228623779271962</v>
      </c>
      <c r="Y60" s="2">
        <v>-1.9389397205251652E-4</v>
      </c>
      <c r="Z60" s="38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79" t="e">
        <f t="shared" si="7"/>
        <v>#VALUE!</v>
      </c>
      <c r="AF60" s="80">
        <f t="shared" si="13"/>
        <v>0</v>
      </c>
      <c r="AG60" s="31" t="e">
        <f t="shared" si="8"/>
        <v>#VALUE!</v>
      </c>
      <c r="AH60">
        <f t="shared" si="9"/>
        <v>0</v>
      </c>
      <c r="AI60" s="68">
        <f t="shared" si="10"/>
        <v>0.5879628266652186</v>
      </c>
      <c r="AJ60" s="68">
        <f t="shared" si="11"/>
        <v>0</v>
      </c>
      <c r="AK60" s="67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7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75">
        <v>7.6088660456964788E-5</v>
      </c>
      <c r="V61" s="74">
        <v>0.30853416747289941</v>
      </c>
      <c r="W61" s="2">
        <v>7.9604370634031359E-3</v>
      </c>
      <c r="X61" s="75">
        <v>0.76230536640109481</v>
      </c>
      <c r="Y61" s="2">
        <v>-2.4346298812732108E-4</v>
      </c>
      <c r="Z61" s="38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79" t="e">
        <f t="shared" si="7"/>
        <v>#VALUE!</v>
      </c>
      <c r="AF61" s="80">
        <f t="shared" si="13"/>
        <v>0</v>
      </c>
      <c r="AG61" s="31" t="e">
        <f t="shared" si="8"/>
        <v>#VALUE!</v>
      </c>
      <c r="AH61">
        <f t="shared" si="9"/>
        <v>0</v>
      </c>
      <c r="AI61" s="68">
        <f t="shared" si="10"/>
        <v>0.76088660456964785</v>
      </c>
      <c r="AJ61" s="68">
        <f t="shared" si="11"/>
        <v>0</v>
      </c>
      <c r="AK61" s="67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7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75">
        <v>9.782771035915851E-5</v>
      </c>
      <c r="V62" s="74">
        <v>0.33829441606204114</v>
      </c>
      <c r="W62" s="2">
        <v>9.231386342049331E-3</v>
      </c>
      <c r="X62" s="75">
        <v>0.79460596919069038</v>
      </c>
      <c r="Y62" s="2">
        <v>-3.0509791410599559E-4</v>
      </c>
      <c r="Z62" s="38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79" t="e">
        <f t="shared" si="7"/>
        <v>#VALUE!</v>
      </c>
      <c r="AF62" s="80">
        <f t="shared" si="13"/>
        <v>0</v>
      </c>
      <c r="AG62" s="31" t="e">
        <f t="shared" si="8"/>
        <v>#VALUE!</v>
      </c>
      <c r="AH62">
        <f t="shared" si="9"/>
        <v>0</v>
      </c>
      <c r="AI62" s="68">
        <f t="shared" si="10"/>
        <v>0.97827710359158515</v>
      </c>
      <c r="AJ62" s="68">
        <f t="shared" si="11"/>
        <v>0</v>
      </c>
      <c r="AK62" s="67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7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75">
        <v>1.2403255473835201E-4</v>
      </c>
      <c r="V63" s="74">
        <v>0.37020751704270083</v>
      </c>
      <c r="W63" s="2">
        <v>1.0601392863491977E-2</v>
      </c>
      <c r="X63" s="75">
        <v>0.82390910321157418</v>
      </c>
      <c r="Y63" s="2">
        <v>-3.7885053357087256E-4</v>
      </c>
      <c r="Z63" s="38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79" t="e">
        <f t="shared" si="7"/>
        <v>#VALUE!</v>
      </c>
      <c r="AF63" s="80">
        <f t="shared" si="13"/>
        <v>0</v>
      </c>
      <c r="AG63" s="31" t="e">
        <f t="shared" si="8"/>
        <v>#VALUE!</v>
      </c>
      <c r="AH63">
        <f t="shared" si="9"/>
        <v>0</v>
      </c>
      <c r="AI63" s="68">
        <f t="shared" si="10"/>
        <v>1.2403255473835202</v>
      </c>
      <c r="AJ63" s="68">
        <f t="shared" si="11"/>
        <v>0</v>
      </c>
      <c r="AK63" s="67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7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75">
        <v>1.7095647955773504E-4</v>
      </c>
      <c r="V64" s="74">
        <v>0.40427347041482165</v>
      </c>
      <c r="W64" s="2">
        <v>1.3016096373638784E-2</v>
      </c>
      <c r="X64" s="75">
        <v>0.89656273865530178</v>
      </c>
      <c r="Y64" s="2">
        <v>-4.916201945875079E-4</v>
      </c>
      <c r="Z64" s="38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79" t="e">
        <f t="shared" si="7"/>
        <v>#VALUE!</v>
      </c>
      <c r="AF64" s="80">
        <f t="shared" si="13"/>
        <v>0</v>
      </c>
      <c r="AG64" s="31" t="e">
        <f t="shared" si="8"/>
        <v>#VALUE!</v>
      </c>
      <c r="AH64">
        <f t="shared" si="9"/>
        <v>0</v>
      </c>
      <c r="AI64" s="68">
        <f t="shared" si="10"/>
        <v>1.7095647955773505</v>
      </c>
      <c r="AJ64" s="68">
        <f t="shared" si="11"/>
        <v>0</v>
      </c>
      <c r="AK64" s="67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7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75">
        <v>2.3165590829105819E-4</v>
      </c>
      <c r="V65" s="74">
        <v>0.44049227617840359</v>
      </c>
      <c r="W65" s="2">
        <v>1.5811261977233655E-2</v>
      </c>
      <c r="X65" s="75">
        <v>0.97073908073251758</v>
      </c>
      <c r="Y65" s="2">
        <v>-6.3194333685412407E-4</v>
      </c>
      <c r="Z65" s="38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79" t="e">
        <f t="shared" si="7"/>
        <v>#VALUE!</v>
      </c>
      <c r="AF65" s="80">
        <f t="shared" si="13"/>
        <v>0</v>
      </c>
      <c r="AG65" s="31" t="e">
        <f t="shared" si="8"/>
        <v>#VALUE!</v>
      </c>
      <c r="AH65">
        <f t="shared" si="9"/>
        <v>0</v>
      </c>
      <c r="AI65" s="68">
        <f t="shared" si="10"/>
        <v>2.3165590829105818</v>
      </c>
      <c r="AJ65" s="68">
        <f t="shared" si="11"/>
        <v>0</v>
      </c>
      <c r="AK65" s="67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125</v>
      </c>
      <c r="M66" s="7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75">
        <v>1.4024361866305218E-4</v>
      </c>
      <c r="V66" s="74">
        <v>0.10908946559042221</v>
      </c>
      <c r="W66" s="2">
        <v>-1.5048388587889306E-2</v>
      </c>
      <c r="X66" s="75">
        <v>0</v>
      </c>
      <c r="Y66" s="2">
        <v>-5.8744395122650194E-5</v>
      </c>
      <c r="Z66" s="38">
        <v>1.0005822846616781E-4</v>
      </c>
      <c r="AA66" s="2">
        <v>1.5642</v>
      </c>
      <c r="AB66" s="2">
        <f t="shared" si="4"/>
        <v>0</v>
      </c>
      <c r="AC66" s="2" t="e">
        <f t="shared" si="5"/>
        <v>#VALUE!</v>
      </c>
      <c r="AD66" s="2">
        <f t="shared" si="6"/>
        <v>0</v>
      </c>
      <c r="AE66" s="79" t="e">
        <f t="shared" si="7"/>
        <v>#VALUE!</v>
      </c>
      <c r="AF66" s="80">
        <f t="shared" si="13"/>
        <v>0</v>
      </c>
      <c r="AG66" s="31" t="e">
        <f t="shared" si="8"/>
        <v>#VALUE!</v>
      </c>
      <c r="AH66">
        <f t="shared" si="9"/>
        <v>0</v>
      </c>
      <c r="AI66" s="68">
        <f t="shared" si="10"/>
        <v>1.4024361866305217</v>
      </c>
      <c r="AJ66" s="68">
        <f t="shared" si="11"/>
        <v>0</v>
      </c>
      <c r="AK66" s="67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125</v>
      </c>
      <c r="M67" s="7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75">
        <v>1.7091252918472518E-4</v>
      </c>
      <c r="V67" s="74">
        <v>0.10347358242750815</v>
      </c>
      <c r="W67" s="2">
        <v>-1.8909580693521087E-2</v>
      </c>
      <c r="X67" s="75">
        <v>0</v>
      </c>
      <c r="Y67" s="2">
        <v>-6.8065663889373048E-5</v>
      </c>
      <c r="Z67" s="38">
        <v>1.4050543620535127E-4</v>
      </c>
      <c r="AA67" s="2">
        <v>1.5642</v>
      </c>
      <c r="AB67" s="2">
        <f t="shared" si="4"/>
        <v>0</v>
      </c>
      <c r="AC67" s="2" t="e">
        <f t="shared" si="5"/>
        <v>#VALUE!</v>
      </c>
      <c r="AD67" s="2">
        <f t="shared" si="6"/>
        <v>0</v>
      </c>
      <c r="AE67" s="79" t="e">
        <f t="shared" si="7"/>
        <v>#VALUE!</v>
      </c>
      <c r="AF67" s="80">
        <f t="shared" si="13"/>
        <v>0</v>
      </c>
      <c r="AG67" s="31" t="e">
        <f t="shared" si="8"/>
        <v>#VALUE!</v>
      </c>
      <c r="AH67">
        <f t="shared" si="9"/>
        <v>0</v>
      </c>
      <c r="AI67" s="68">
        <f t="shared" si="10"/>
        <v>1.7091252918472517</v>
      </c>
      <c r="AJ67" s="68">
        <f t="shared" si="11"/>
        <v>0</v>
      </c>
      <c r="AK67" s="67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125</v>
      </c>
      <c r="M68" s="7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75">
        <v>2.2087118979903026E-4</v>
      </c>
      <c r="V68" s="74">
        <v>9.8277391541415682E-2</v>
      </c>
      <c r="W68" s="2">
        <v>-2.485039263321118E-2</v>
      </c>
      <c r="X68" s="75">
        <v>0</v>
      </c>
      <c r="Y68" s="2">
        <v>-8.1461483749445217E-5</v>
      </c>
      <c r="Z68" s="38">
        <v>1.6841938704917933E-4</v>
      </c>
      <c r="AA68" s="2">
        <v>1.5642</v>
      </c>
      <c r="AB68" s="2">
        <f t="shared" si="4"/>
        <v>0</v>
      </c>
      <c r="AC68" s="2" t="e">
        <f t="shared" si="5"/>
        <v>#VALUE!</v>
      </c>
      <c r="AD68" s="2">
        <f t="shared" si="6"/>
        <v>0</v>
      </c>
      <c r="AE68" s="79" t="e">
        <f t="shared" si="7"/>
        <v>#VALUE!</v>
      </c>
      <c r="AF68" s="80">
        <f t="shared" si="13"/>
        <v>0</v>
      </c>
      <c r="AG68" s="31" t="e">
        <f t="shared" si="8"/>
        <v>#VALUE!</v>
      </c>
      <c r="AH68">
        <f t="shared" si="9"/>
        <v>0</v>
      </c>
      <c r="AI68" s="68">
        <f t="shared" si="10"/>
        <v>2.2087118979903027</v>
      </c>
      <c r="AJ68" s="68">
        <f t="shared" si="11"/>
        <v>0</v>
      </c>
      <c r="AK68" s="67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125</v>
      </c>
      <c r="M69" s="7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75">
        <v>3.0525823040291824E-4</v>
      </c>
      <c r="V69" s="74">
        <v>9.3500892932148361E-2</v>
      </c>
      <c r="W69" s="2">
        <v>-3.4496333851781462E-2</v>
      </c>
      <c r="X69" s="75">
        <v>0</v>
      </c>
      <c r="Y69" s="2">
        <v>-1.0166154490831713E-4</v>
      </c>
      <c r="Z69" s="38">
        <v>2.1293197973217736E-4</v>
      </c>
      <c r="AA69" s="2">
        <v>1.5642</v>
      </c>
      <c r="AB69" s="2">
        <f t="shared" si="4"/>
        <v>0</v>
      </c>
      <c r="AC69" s="2" t="e">
        <f t="shared" si="5"/>
        <v>#VALUE!</v>
      </c>
      <c r="AD69" s="2">
        <f t="shared" si="6"/>
        <v>0</v>
      </c>
      <c r="AE69" s="79" t="e">
        <f t="shared" si="7"/>
        <v>#VALUE!</v>
      </c>
      <c r="AF69" s="80">
        <f t="shared" si="13"/>
        <v>0</v>
      </c>
      <c r="AG69" s="31" t="e">
        <f t="shared" si="8"/>
        <v>#VALUE!</v>
      </c>
      <c r="AH69">
        <f t="shared" si="9"/>
        <v>0</v>
      </c>
      <c r="AI69" s="68">
        <f t="shared" si="10"/>
        <v>3.0525823040291824</v>
      </c>
      <c r="AJ69" s="68">
        <f t="shared" si="11"/>
        <v>0</v>
      </c>
      <c r="AK69" s="67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125</v>
      </c>
      <c r="M70" s="7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75">
        <v>4.2430784877228365E-4</v>
      </c>
      <c r="V70" s="74">
        <v>8.9144086599702632E-2</v>
      </c>
      <c r="W70" s="2">
        <v>-4.7955376057874304E-2</v>
      </c>
      <c r="X70" s="75">
        <v>0</v>
      </c>
      <c r="Y70" s="2">
        <v>-1.2692565479226184E-4</v>
      </c>
      <c r="Z70" s="38">
        <v>2.7569349430633667E-4</v>
      </c>
      <c r="AA70" s="2">
        <v>1.5642</v>
      </c>
      <c r="AB70" s="2">
        <f t="shared" si="4"/>
        <v>0</v>
      </c>
      <c r="AC70" s="2" t="e">
        <f t="shared" si="5"/>
        <v>#VALUE!</v>
      </c>
      <c r="AD70" s="2">
        <f t="shared" si="6"/>
        <v>0</v>
      </c>
      <c r="AE70" s="79" t="e">
        <f t="shared" si="7"/>
        <v>#VALUE!</v>
      </c>
      <c r="AF70" s="80">
        <f t="shared" ref="AF70:AF101" si="17">IF(ISERR(AE70),0,AE70*M70)</f>
        <v>0</v>
      </c>
      <c r="AG70" s="31" t="e">
        <f t="shared" si="8"/>
        <v>#VALUE!</v>
      </c>
      <c r="AH70">
        <f t="shared" si="9"/>
        <v>0</v>
      </c>
      <c r="AI70" s="68">
        <f t="shared" si="10"/>
        <v>4.243078487722836</v>
      </c>
      <c r="AJ70" s="68">
        <f t="shared" si="11"/>
        <v>0</v>
      </c>
      <c r="AK70" s="67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125</v>
      </c>
      <c r="M71" s="7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75">
        <v>6.1686464319775445E-4</v>
      </c>
      <c r="V71" s="74">
        <v>8.5206972544082049E-2</v>
      </c>
      <c r="W71" s="2">
        <v>-6.889121112523823E-2</v>
      </c>
      <c r="X71" s="75">
        <v>0</v>
      </c>
      <c r="Y71" s="2">
        <v>-1.6176339292787062E-4</v>
      </c>
      <c r="Z71" s="38">
        <v>3.6851100970617713E-4</v>
      </c>
      <c r="AA71" s="2">
        <v>1.5642</v>
      </c>
      <c r="AB71" s="2">
        <f t="shared" ref="AB71:AB125" si="18">W71*M71</f>
        <v>0</v>
      </c>
      <c r="AC71" s="2" t="e">
        <f t="shared" ref="AC71:AC125" si="19">AE71*M71</f>
        <v>#VALUE!</v>
      </c>
      <c r="AD71" s="2">
        <f t="shared" ref="AD71:AD125" si="20">Y71*M71</f>
        <v>0</v>
      </c>
      <c r="AE71" s="79" t="e">
        <f t="shared" ref="AE71:AE125" si="21">BSGamma($AA$17,E71,D71,0.001,V71)</f>
        <v>#VALUE!</v>
      </c>
      <c r="AF71" s="80">
        <f t="shared" si="17"/>
        <v>0</v>
      </c>
      <c r="AG71" s="31" t="e">
        <f t="shared" ref="AG71:AG125" si="22">IF(AE71 = 0,0,(Y71*-10000)/AE71)</f>
        <v>#VALUE!</v>
      </c>
      <c r="AH71">
        <f t="shared" ref="AH71:AH125" si="23">IF(F71="C",MAX(0,$AA$14-E71),MAX(0,E71-$AA$14))*10000</f>
        <v>0</v>
      </c>
      <c r="AI71" s="68">
        <f t="shared" ref="AI71:AI125" si="24">MAX(0,(U71*10000)-AH71)</f>
        <v>6.1686464319775443</v>
      </c>
      <c r="AJ71" s="68">
        <f t="shared" ref="AJ71:AJ125" si="25">AI71*M71</f>
        <v>0</v>
      </c>
      <c r="AK71" s="67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125</v>
      </c>
      <c r="M72" s="7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75">
        <v>9.375124077932583E-4</v>
      </c>
      <c r="V72" s="74">
        <v>8.1689550765279506E-2</v>
      </c>
      <c r="W72" s="2">
        <v>-0.1011482523224258</v>
      </c>
      <c r="X72" s="75">
        <v>0</v>
      </c>
      <c r="Y72" s="2">
        <v>-2.061677808913667E-4</v>
      </c>
      <c r="Z72" s="38">
        <v>4.1707176381629556E-4</v>
      </c>
      <c r="AA72" s="2">
        <v>1.5642</v>
      </c>
      <c r="AB72" s="2">
        <f t="shared" si="18"/>
        <v>0</v>
      </c>
      <c r="AC72" s="2" t="e">
        <f t="shared" si="19"/>
        <v>#VALUE!</v>
      </c>
      <c r="AD72" s="2">
        <f t="shared" si="20"/>
        <v>0</v>
      </c>
      <c r="AE72" s="79" t="e">
        <f t="shared" si="21"/>
        <v>#VALUE!</v>
      </c>
      <c r="AF72" s="80">
        <f t="shared" si="17"/>
        <v>0</v>
      </c>
      <c r="AG72" s="31" t="e">
        <f t="shared" si="22"/>
        <v>#VALUE!</v>
      </c>
      <c r="AH72">
        <f t="shared" si="23"/>
        <v>0</v>
      </c>
      <c r="AI72" s="68">
        <f t="shared" si="24"/>
        <v>9.3751240779325826</v>
      </c>
      <c r="AJ72" s="68">
        <f t="shared" si="25"/>
        <v>0</v>
      </c>
      <c r="AK72" s="67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125</v>
      </c>
      <c r="M73" s="7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75">
        <v>1.416978241784104E-3</v>
      </c>
      <c r="V73" s="74">
        <v>7.8591821263305661E-2</v>
      </c>
      <c r="W73" s="2">
        <v>-0.14660509614944628</v>
      </c>
      <c r="X73" s="75">
        <v>0</v>
      </c>
      <c r="Y73" s="2">
        <v>-2.5777221457805126E-4</v>
      </c>
      <c r="Z73" s="38">
        <v>5.7387567731013197E-4</v>
      </c>
      <c r="AA73" s="2">
        <v>1.5642</v>
      </c>
      <c r="AB73" s="2">
        <f t="shared" si="18"/>
        <v>0</v>
      </c>
      <c r="AC73" s="2" t="e">
        <f t="shared" si="19"/>
        <v>#VALUE!</v>
      </c>
      <c r="AD73" s="2">
        <f t="shared" si="20"/>
        <v>0</v>
      </c>
      <c r="AE73" s="79" t="e">
        <f t="shared" si="21"/>
        <v>#VALUE!</v>
      </c>
      <c r="AF73" s="80">
        <f t="shared" si="17"/>
        <v>0</v>
      </c>
      <c r="AG73" s="31" t="e">
        <f t="shared" si="22"/>
        <v>#VALUE!</v>
      </c>
      <c r="AH73">
        <f t="shared" si="23"/>
        <v>0</v>
      </c>
      <c r="AI73" s="68">
        <f t="shared" si="24"/>
        <v>14.16978241784104</v>
      </c>
      <c r="AJ73" s="68">
        <f t="shared" si="25"/>
        <v>0</v>
      </c>
      <c r="AK73" s="67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125</v>
      </c>
      <c r="M74" s="7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75">
        <v>2.6000000070780516E-3</v>
      </c>
      <c r="V74" s="74">
        <v>8.2106750773082798E-2</v>
      </c>
      <c r="W74" s="2">
        <v>-0.22845899713945739</v>
      </c>
      <c r="X74" s="75">
        <v>0</v>
      </c>
      <c r="Y74" s="2">
        <v>-3.5504937711312948E-4</v>
      </c>
      <c r="Z74" s="38">
        <v>7.3156742612437301E-4</v>
      </c>
      <c r="AA74" s="2">
        <v>1.5642</v>
      </c>
      <c r="AB74" s="2">
        <f t="shared" si="18"/>
        <v>0</v>
      </c>
      <c r="AC74" s="2" t="e">
        <f t="shared" si="19"/>
        <v>#VALUE!</v>
      </c>
      <c r="AD74" s="2">
        <f t="shared" si="20"/>
        <v>0</v>
      </c>
      <c r="AE74" s="79" t="e">
        <f t="shared" si="21"/>
        <v>#VALUE!</v>
      </c>
      <c r="AF74" s="80">
        <f t="shared" si="17"/>
        <v>0</v>
      </c>
      <c r="AG74" s="31" t="e">
        <f t="shared" si="22"/>
        <v>#VALUE!</v>
      </c>
      <c r="AH74">
        <f t="shared" si="23"/>
        <v>0</v>
      </c>
      <c r="AI74" s="68">
        <f t="shared" si="24"/>
        <v>26.000000070780516</v>
      </c>
      <c r="AJ74" s="68">
        <f t="shared" si="25"/>
        <v>0</v>
      </c>
      <c r="AK74" s="67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125</v>
      </c>
      <c r="M75" s="7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75">
        <v>3.7000000011175871E-3</v>
      </c>
      <c r="V75" s="74">
        <v>7.8934224134678738E-2</v>
      </c>
      <c r="W75" s="2">
        <v>-0.30734476741151529</v>
      </c>
      <c r="X75" s="75">
        <v>0</v>
      </c>
      <c r="Y75" s="2">
        <v>-3.9760947845931372E-4</v>
      </c>
      <c r="Z75" s="38">
        <v>8.6018280787818809E-4</v>
      </c>
      <c r="AA75" s="2">
        <v>1.5642</v>
      </c>
      <c r="AB75" s="2">
        <f t="shared" si="18"/>
        <v>0</v>
      </c>
      <c r="AC75" s="2" t="e">
        <f t="shared" si="19"/>
        <v>#VALUE!</v>
      </c>
      <c r="AD75" s="2">
        <f t="shared" si="20"/>
        <v>0</v>
      </c>
      <c r="AE75" s="79" t="e">
        <f t="shared" si="21"/>
        <v>#VALUE!</v>
      </c>
      <c r="AF75" s="80">
        <f t="shared" si="17"/>
        <v>0</v>
      </c>
      <c r="AG75" s="31" t="e">
        <f t="shared" si="22"/>
        <v>#VALUE!</v>
      </c>
      <c r="AH75">
        <f t="shared" si="23"/>
        <v>0</v>
      </c>
      <c r="AI75" s="68">
        <f t="shared" si="24"/>
        <v>37.000000011175871</v>
      </c>
      <c r="AJ75" s="68">
        <f t="shared" si="25"/>
        <v>0</v>
      </c>
      <c r="AK75" s="67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125</v>
      </c>
      <c r="M76" s="7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75">
        <v>5.2999998442828655E-3</v>
      </c>
      <c r="V76" s="74">
        <v>7.6751744999702859E-2</v>
      </c>
      <c r="W76" s="2">
        <v>-0.40536358511188464</v>
      </c>
      <c r="X76" s="75">
        <v>0</v>
      </c>
      <c r="Y76" s="2">
        <v>-4.2732813817634654E-4</v>
      </c>
      <c r="Z76" s="38">
        <v>9.3336399045366829E-4</v>
      </c>
      <c r="AA76" s="2">
        <v>1.5642</v>
      </c>
      <c r="AB76" s="2">
        <f t="shared" si="18"/>
        <v>0</v>
      </c>
      <c r="AC76" s="2" t="e">
        <f t="shared" si="19"/>
        <v>#VALUE!</v>
      </c>
      <c r="AD76" s="2">
        <f t="shared" si="20"/>
        <v>0</v>
      </c>
      <c r="AE76" s="79" t="e">
        <f t="shared" si="21"/>
        <v>#VALUE!</v>
      </c>
      <c r="AF76" s="80">
        <f t="shared" si="17"/>
        <v>0</v>
      </c>
      <c r="AG76" s="31" t="e">
        <f t="shared" si="22"/>
        <v>#VALUE!</v>
      </c>
      <c r="AH76">
        <f t="shared" si="23"/>
        <v>0</v>
      </c>
      <c r="AI76" s="68">
        <f t="shared" si="24"/>
        <v>52.999998442828655</v>
      </c>
      <c r="AJ76" s="68">
        <f t="shared" si="25"/>
        <v>0</v>
      </c>
      <c r="AK76" s="67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125</v>
      </c>
      <c r="M77" s="7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75">
        <v>7.4000000022351742E-3</v>
      </c>
      <c r="V77" s="74">
        <v>7.4396303419425852E-2</v>
      </c>
      <c r="W77" s="2">
        <v>-0.5158690329125325</v>
      </c>
      <c r="X77" s="75">
        <v>0</v>
      </c>
      <c r="Y77" s="2">
        <v>-4.2621403421939149E-4</v>
      </c>
      <c r="Z77" s="38">
        <v>9.3486136098653271E-4</v>
      </c>
      <c r="AA77" s="2">
        <v>1.5642</v>
      </c>
      <c r="AB77" s="2">
        <f t="shared" si="18"/>
        <v>0</v>
      </c>
      <c r="AC77" s="2" t="e">
        <f t="shared" si="19"/>
        <v>#VALUE!</v>
      </c>
      <c r="AD77" s="2">
        <f t="shared" si="20"/>
        <v>0</v>
      </c>
      <c r="AE77" s="79" t="e">
        <f t="shared" si="21"/>
        <v>#VALUE!</v>
      </c>
      <c r="AF77" s="80">
        <f t="shared" si="17"/>
        <v>0</v>
      </c>
      <c r="AG77" s="31" t="e">
        <f t="shared" si="22"/>
        <v>#VALUE!</v>
      </c>
      <c r="AH77">
        <f t="shared" si="23"/>
        <v>0</v>
      </c>
      <c r="AI77" s="68">
        <f t="shared" si="24"/>
        <v>74.000000022351742</v>
      </c>
      <c r="AJ77" s="68">
        <f t="shared" si="25"/>
        <v>0</v>
      </c>
      <c r="AK77" s="67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125</v>
      </c>
      <c r="M78" s="7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75">
        <v>9.849963790279654E-3</v>
      </c>
      <c r="V78" s="74">
        <v>6.9398557905767433E-2</v>
      </c>
      <c r="W78" s="2">
        <v>-0.63690171392061634</v>
      </c>
      <c r="X78" s="75">
        <v>0</v>
      </c>
      <c r="Y78" s="2">
        <v>-3.7354043882210003E-4</v>
      </c>
      <c r="Z78" s="38">
        <v>8.6433033212210582E-4</v>
      </c>
      <c r="AA78" s="2">
        <v>1.5642</v>
      </c>
      <c r="AB78" s="2">
        <f t="shared" si="18"/>
        <v>0</v>
      </c>
      <c r="AC78" s="2" t="e">
        <f t="shared" si="19"/>
        <v>#VALUE!</v>
      </c>
      <c r="AD78" s="2">
        <f t="shared" si="20"/>
        <v>0</v>
      </c>
      <c r="AE78" s="79" t="e">
        <f t="shared" si="21"/>
        <v>#VALUE!</v>
      </c>
      <c r="AF78" s="80">
        <f t="shared" si="17"/>
        <v>0</v>
      </c>
      <c r="AG78" s="31" t="e">
        <f t="shared" si="22"/>
        <v>#VALUE!</v>
      </c>
      <c r="AH78">
        <f t="shared" si="23"/>
        <v>49.000000000001265</v>
      </c>
      <c r="AI78" s="68">
        <f t="shared" si="24"/>
        <v>49.499637902795271</v>
      </c>
      <c r="AJ78" s="68">
        <f t="shared" si="25"/>
        <v>0</v>
      </c>
      <c r="AK78" s="67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125</v>
      </c>
      <c r="M79" s="7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75">
        <v>1.3283389033889077E-2</v>
      </c>
      <c r="V79" s="74">
        <v>6.881898206473025E-2</v>
      </c>
      <c r="W79" s="2">
        <v>-0.74548194298778125</v>
      </c>
      <c r="X79" s="75">
        <v>0</v>
      </c>
      <c r="Y79" s="2">
        <v>-3.1622184771077586E-4</v>
      </c>
      <c r="Z79" s="38">
        <v>7.3745516222636226E-4</v>
      </c>
      <c r="AA79" s="2">
        <v>1.5642</v>
      </c>
      <c r="AB79" s="2">
        <f t="shared" si="18"/>
        <v>0</v>
      </c>
      <c r="AC79" s="2" t="e">
        <f t="shared" si="19"/>
        <v>#VALUE!</v>
      </c>
      <c r="AD79" s="2">
        <f t="shared" si="20"/>
        <v>0</v>
      </c>
      <c r="AE79" s="79" t="e">
        <f t="shared" si="21"/>
        <v>#VALUE!</v>
      </c>
      <c r="AF79" s="80">
        <f t="shared" si="17"/>
        <v>0</v>
      </c>
      <c r="AG79" s="31" t="e">
        <f t="shared" si="22"/>
        <v>#VALUE!</v>
      </c>
      <c r="AH79">
        <f t="shared" si="23"/>
        <v>99.000000000000199</v>
      </c>
      <c r="AI79" s="68">
        <f t="shared" si="24"/>
        <v>33.833890338890569</v>
      </c>
      <c r="AJ79" s="68">
        <f t="shared" si="25"/>
        <v>0</v>
      </c>
      <c r="AK79" s="67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125</v>
      </c>
      <c r="M80" s="7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75">
        <v>1.7238446061206374E-2</v>
      </c>
      <c r="V80" s="74">
        <v>6.8659098500514659E-2</v>
      </c>
      <c r="W80" s="2">
        <v>-0.83383467431171088</v>
      </c>
      <c r="X80" s="75">
        <v>0</v>
      </c>
      <c r="Y80" s="2">
        <v>-2.4504692679877814E-4</v>
      </c>
      <c r="Z80" s="38">
        <v>5.803494090360975E-4</v>
      </c>
      <c r="AA80" s="2">
        <v>1.5642</v>
      </c>
      <c r="AB80" s="2">
        <f t="shared" si="18"/>
        <v>0</v>
      </c>
      <c r="AC80" s="2" t="e">
        <f t="shared" si="19"/>
        <v>#VALUE!</v>
      </c>
      <c r="AD80" s="2">
        <f t="shared" si="20"/>
        <v>0</v>
      </c>
      <c r="AE80" s="79" t="e">
        <f t="shared" si="21"/>
        <v>#VALUE!</v>
      </c>
      <c r="AF80" s="80">
        <f t="shared" si="17"/>
        <v>0</v>
      </c>
      <c r="AG80" s="31" t="e">
        <f t="shared" si="22"/>
        <v>#VALUE!</v>
      </c>
      <c r="AH80">
        <f t="shared" si="23"/>
        <v>149.00000000000136</v>
      </c>
      <c r="AI80" s="68">
        <f t="shared" si="24"/>
        <v>23.384460612062384</v>
      </c>
      <c r="AJ80" s="68">
        <f t="shared" si="25"/>
        <v>0</v>
      </c>
      <c r="AK80" s="67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125</v>
      </c>
      <c r="M81" s="7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75">
        <v>2.1592768441763846E-2</v>
      </c>
      <c r="V81" s="74">
        <v>6.8918907213120661E-2</v>
      </c>
      <c r="W81" s="2">
        <v>-0.89843898729750027</v>
      </c>
      <c r="X81" s="75">
        <v>0.31230709313196536</v>
      </c>
      <c r="Y81" s="2">
        <v>-1.7512937547703081E-4</v>
      </c>
      <c r="Z81" s="38">
        <v>4.4260838687426585E-4</v>
      </c>
      <c r="AA81" s="2">
        <v>1.5642</v>
      </c>
      <c r="AB81" s="2">
        <f t="shared" si="18"/>
        <v>0</v>
      </c>
      <c r="AC81" s="2" t="e">
        <f t="shared" si="19"/>
        <v>#VALUE!</v>
      </c>
      <c r="AD81" s="2">
        <f t="shared" si="20"/>
        <v>0</v>
      </c>
      <c r="AE81" s="79" t="e">
        <f t="shared" si="21"/>
        <v>#VALUE!</v>
      </c>
      <c r="AF81" s="80">
        <f t="shared" si="17"/>
        <v>0</v>
      </c>
      <c r="AG81" s="31" t="e">
        <f t="shared" si="22"/>
        <v>#VALUE!</v>
      </c>
      <c r="AH81">
        <f t="shared" si="23"/>
        <v>199.00000000000028</v>
      </c>
      <c r="AI81" s="68">
        <f t="shared" si="24"/>
        <v>16.927684417638176</v>
      </c>
      <c r="AJ81" s="68">
        <f t="shared" si="25"/>
        <v>0</v>
      </c>
      <c r="AK81" s="67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125</v>
      </c>
      <c r="M82" s="7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75">
        <v>2.6221137682861727E-2</v>
      </c>
      <c r="V82" s="74">
        <v>6.9598408202555362E-2</v>
      </c>
      <c r="W82" s="2">
        <v>-0.941242699965532</v>
      </c>
      <c r="X82" s="75">
        <v>1.4557493288944705E-10</v>
      </c>
      <c r="Y82" s="2">
        <v>-1.1700372223668011E-4</v>
      </c>
      <c r="Z82" s="38">
        <v>3.1968125444058887E-4</v>
      </c>
      <c r="AA82" s="2">
        <v>1.5642</v>
      </c>
      <c r="AB82" s="2">
        <f t="shared" si="18"/>
        <v>0</v>
      </c>
      <c r="AC82" s="2" t="e">
        <f t="shared" si="19"/>
        <v>#VALUE!</v>
      </c>
      <c r="AD82" s="2">
        <f t="shared" si="20"/>
        <v>0</v>
      </c>
      <c r="AE82" s="79" t="e">
        <f t="shared" si="21"/>
        <v>#VALUE!</v>
      </c>
      <c r="AF82" s="80">
        <f t="shared" si="17"/>
        <v>0</v>
      </c>
      <c r="AG82" s="31" t="e">
        <f t="shared" si="22"/>
        <v>#VALUE!</v>
      </c>
      <c r="AH82">
        <f t="shared" si="23"/>
        <v>249.00000000000145</v>
      </c>
      <c r="AI82" s="68">
        <f t="shared" si="24"/>
        <v>13.21137682861584</v>
      </c>
      <c r="AJ82" s="68">
        <f t="shared" si="25"/>
        <v>0</v>
      </c>
      <c r="AK82" s="67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125</v>
      </c>
      <c r="M83" s="7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75">
        <v>3.101912880198604E-2</v>
      </c>
      <c r="V83" s="74">
        <v>7.0697601468808102E-2</v>
      </c>
      <c r="W83" s="2">
        <v>-0.96735155062787792</v>
      </c>
      <c r="X83" s="75">
        <v>0.95512081462560372</v>
      </c>
      <c r="Y83" s="2">
        <v>-7.4427053950772829E-5</v>
      </c>
      <c r="Z83" s="38">
        <v>2.2006132875511744E-4</v>
      </c>
      <c r="AA83" s="2">
        <v>1.5642</v>
      </c>
      <c r="AB83" s="2">
        <f t="shared" si="18"/>
        <v>0</v>
      </c>
      <c r="AC83" s="2" t="e">
        <f t="shared" si="19"/>
        <v>#VALUE!</v>
      </c>
      <c r="AD83" s="2">
        <f t="shared" si="20"/>
        <v>0</v>
      </c>
      <c r="AE83" s="79" t="e">
        <f t="shared" si="21"/>
        <v>#VALUE!</v>
      </c>
      <c r="AF83" s="80">
        <f t="shared" si="17"/>
        <v>0</v>
      </c>
      <c r="AG83" s="31" t="e">
        <f t="shared" si="22"/>
        <v>#VALUE!</v>
      </c>
      <c r="AH83">
        <f t="shared" si="23"/>
        <v>299.0000000000004</v>
      </c>
      <c r="AI83" s="68">
        <f t="shared" si="24"/>
        <v>11.191288019859996</v>
      </c>
      <c r="AJ83" s="68">
        <f t="shared" si="25"/>
        <v>0</v>
      </c>
      <c r="AK83" s="67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125</v>
      </c>
      <c r="M84" s="7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75">
        <v>3.5913001313962231E-2</v>
      </c>
      <c r="V84" s="74">
        <v>7.2216487011885988E-2</v>
      </c>
      <c r="W84" s="2">
        <v>-0.98238765674169393</v>
      </c>
      <c r="X84" s="75">
        <v>8.8368733316568249E-2</v>
      </c>
      <c r="Y84" s="2">
        <v>-4.5882789192456088E-5</v>
      </c>
      <c r="Z84" s="38">
        <v>1.4465128217956008E-4</v>
      </c>
      <c r="AA84" s="2">
        <v>1.5642</v>
      </c>
      <c r="AB84" s="2">
        <f t="shared" si="18"/>
        <v>0</v>
      </c>
      <c r="AC84" s="2" t="e">
        <f t="shared" si="19"/>
        <v>#VALUE!</v>
      </c>
      <c r="AD84" s="2">
        <f t="shared" si="20"/>
        <v>0</v>
      </c>
      <c r="AE84" s="79" t="e">
        <f t="shared" si="21"/>
        <v>#VALUE!</v>
      </c>
      <c r="AF84" s="80">
        <f t="shared" si="17"/>
        <v>0</v>
      </c>
      <c r="AG84" s="31" t="e">
        <f t="shared" si="22"/>
        <v>#VALUE!</v>
      </c>
      <c r="AH84">
        <f t="shared" si="23"/>
        <v>349.00000000000153</v>
      </c>
      <c r="AI84" s="68">
        <f t="shared" si="24"/>
        <v>10.130013139620758</v>
      </c>
      <c r="AJ84" s="68">
        <f t="shared" si="25"/>
        <v>0</v>
      </c>
      <c r="AK84" s="67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125</v>
      </c>
      <c r="M85" s="7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75">
        <v>4.0857647090208234E-2</v>
      </c>
      <c r="V85" s="74">
        <v>7.4155064831785467E-2</v>
      </c>
      <c r="W85" s="2">
        <v>-0.99081709690255992</v>
      </c>
      <c r="X85" s="75">
        <v>0.96871027631197282</v>
      </c>
      <c r="Y85" s="2">
        <v>-2.7631934819026774E-5</v>
      </c>
      <c r="Z85" s="38">
        <v>9.0414758917051197E-5</v>
      </c>
      <c r="AA85" s="2">
        <v>1.5642</v>
      </c>
      <c r="AB85" s="2">
        <f t="shared" si="18"/>
        <v>0</v>
      </c>
      <c r="AC85" s="2" t="e">
        <f t="shared" si="19"/>
        <v>#VALUE!</v>
      </c>
      <c r="AD85" s="2">
        <f t="shared" si="20"/>
        <v>0</v>
      </c>
      <c r="AE85" s="79" t="e">
        <f t="shared" si="21"/>
        <v>#VALUE!</v>
      </c>
      <c r="AF85" s="80">
        <f t="shared" si="17"/>
        <v>0</v>
      </c>
      <c r="AG85" s="31" t="e">
        <f t="shared" si="22"/>
        <v>#VALUE!</v>
      </c>
      <c r="AH85">
        <f t="shared" si="23"/>
        <v>399.00000000000045</v>
      </c>
      <c r="AI85" s="68">
        <f t="shared" si="24"/>
        <v>9.5764709020818941</v>
      </c>
      <c r="AJ85" s="68">
        <f t="shared" si="25"/>
        <v>0</v>
      </c>
      <c r="AK85" s="67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125</v>
      </c>
      <c r="M86" s="7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75">
        <v>4.5831666032853526E-2</v>
      </c>
      <c r="V86" s="74">
        <v>7.6513334928510091E-2</v>
      </c>
      <c r="W86" s="2">
        <v>-0.99506620802919665</v>
      </c>
      <c r="X86" s="75">
        <v>0.89302224548306097</v>
      </c>
      <c r="Y86" s="2">
        <v>-1.7196847431938451E-5</v>
      </c>
      <c r="Z86" s="38">
        <v>5.8489489376818693E-5</v>
      </c>
      <c r="AA86" s="2">
        <v>1.5642</v>
      </c>
      <c r="AB86" s="2">
        <f t="shared" si="18"/>
        <v>0</v>
      </c>
      <c r="AC86" s="2" t="e">
        <f t="shared" si="19"/>
        <v>#VALUE!</v>
      </c>
      <c r="AD86" s="2">
        <f t="shared" si="20"/>
        <v>0</v>
      </c>
      <c r="AE86" s="79" t="e">
        <f t="shared" si="21"/>
        <v>#VALUE!</v>
      </c>
      <c r="AF86" s="80">
        <f t="shared" si="17"/>
        <v>0</v>
      </c>
      <c r="AG86" s="31" t="e">
        <f t="shared" si="22"/>
        <v>#VALUE!</v>
      </c>
      <c r="AH86">
        <f t="shared" si="23"/>
        <v>449.00000000000159</v>
      </c>
      <c r="AI86" s="68">
        <f t="shared" si="24"/>
        <v>9.3166603285336578</v>
      </c>
      <c r="AJ86" s="68">
        <f t="shared" si="25"/>
        <v>0</v>
      </c>
      <c r="AK86" s="67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125</v>
      </c>
      <c r="M87" s="7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75">
        <v>5.0818822908783166E-2</v>
      </c>
      <c r="V87" s="74">
        <v>7.9291297302056307E-2</v>
      </c>
      <c r="W87" s="2">
        <v>-0.99725158365350686</v>
      </c>
      <c r="X87" s="75">
        <v>0.55577517275093047</v>
      </c>
      <c r="Y87" s="2">
        <v>-1.1360915932008898E-5</v>
      </c>
      <c r="Z87" s="38">
        <v>3.9133684143988212E-5</v>
      </c>
      <c r="AA87" s="2">
        <v>1.5642</v>
      </c>
      <c r="AB87" s="2">
        <f t="shared" si="18"/>
        <v>0</v>
      </c>
      <c r="AC87" s="2" t="e">
        <f t="shared" si="19"/>
        <v>#VALUE!</v>
      </c>
      <c r="AD87" s="2">
        <f t="shared" si="20"/>
        <v>0</v>
      </c>
      <c r="AE87" s="79" t="e">
        <f t="shared" si="21"/>
        <v>#VALUE!</v>
      </c>
      <c r="AF87" s="80">
        <f t="shared" si="17"/>
        <v>0</v>
      </c>
      <c r="AG87" s="31" t="e">
        <f t="shared" si="22"/>
        <v>#VALUE!</v>
      </c>
      <c r="AH87">
        <f t="shared" si="23"/>
        <v>499.00000000000057</v>
      </c>
      <c r="AI87" s="68">
        <f t="shared" si="24"/>
        <v>9.1882290878310755</v>
      </c>
      <c r="AJ87" s="68">
        <f t="shared" si="25"/>
        <v>0</v>
      </c>
      <c r="AK87" s="67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125</v>
      </c>
      <c r="M88" s="7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75">
        <v>5.5810241044231573E-2</v>
      </c>
      <c r="V88" s="74">
        <v>8.2488951952424117E-2</v>
      </c>
      <c r="W88" s="2">
        <v>-0.99872032790875331</v>
      </c>
      <c r="X88" s="75">
        <v>0.32862269706191033</v>
      </c>
      <c r="Y88" s="2">
        <v>-7.1170250806483598E-6</v>
      </c>
      <c r="Z88" s="38">
        <v>2.6133492212039588E-5</v>
      </c>
      <c r="AA88" s="2">
        <v>1.5642</v>
      </c>
      <c r="AB88" s="2">
        <f t="shared" si="18"/>
        <v>0</v>
      </c>
      <c r="AC88" s="2" t="e">
        <f t="shared" si="19"/>
        <v>#VALUE!</v>
      </c>
      <c r="AD88" s="2">
        <f t="shared" si="20"/>
        <v>0</v>
      </c>
      <c r="AE88" s="79" t="e">
        <f t="shared" si="21"/>
        <v>#VALUE!</v>
      </c>
      <c r="AF88" s="80">
        <f t="shared" si="17"/>
        <v>0</v>
      </c>
      <c r="AG88" s="31" t="e">
        <f t="shared" si="22"/>
        <v>#VALUE!</v>
      </c>
      <c r="AH88">
        <f t="shared" si="23"/>
        <v>549.00000000000171</v>
      </c>
      <c r="AI88" s="68">
        <f t="shared" si="24"/>
        <v>9.102410442314067</v>
      </c>
      <c r="AJ88" s="68">
        <f t="shared" si="25"/>
        <v>0</v>
      </c>
      <c r="AK88" s="67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125</v>
      </c>
      <c r="M89" s="7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75">
        <v>6.080730140755982E-2</v>
      </c>
      <c r="V89" s="74">
        <v>8.6106298879613519E-2</v>
      </c>
      <c r="W89" s="2">
        <v>-0.99927152965490784</v>
      </c>
      <c r="X89" s="75">
        <v>0.23426743885702728</v>
      </c>
      <c r="Y89" s="2">
        <v>-5.4134136970684019E-6</v>
      </c>
      <c r="Z89" s="38">
        <v>1.8762684211678926E-5</v>
      </c>
      <c r="AA89" s="2">
        <v>1.5642</v>
      </c>
      <c r="AB89" s="2">
        <f t="shared" si="18"/>
        <v>0</v>
      </c>
      <c r="AC89" s="2" t="e">
        <f t="shared" si="19"/>
        <v>#VALUE!</v>
      </c>
      <c r="AD89" s="2">
        <f t="shared" si="20"/>
        <v>0</v>
      </c>
      <c r="AE89" s="79" t="e">
        <f t="shared" si="21"/>
        <v>#VALUE!</v>
      </c>
      <c r="AF89" s="80">
        <f t="shared" si="17"/>
        <v>0</v>
      </c>
      <c r="AG89" s="31" t="e">
        <f t="shared" si="22"/>
        <v>#VALUE!</v>
      </c>
      <c r="AH89">
        <f t="shared" si="23"/>
        <v>599.00000000000068</v>
      </c>
      <c r="AI89" s="68">
        <f t="shared" si="24"/>
        <v>9.0730140755974844</v>
      </c>
      <c r="AJ89" s="68">
        <f t="shared" si="25"/>
        <v>0</v>
      </c>
      <c r="AK89" s="67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125</v>
      </c>
      <c r="M90" s="7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75">
        <v>6.5805048176177078E-2</v>
      </c>
      <c r="V90" s="74">
        <v>9.0143338083628066E-2</v>
      </c>
      <c r="W90" s="2">
        <v>-0.99968592676117185</v>
      </c>
      <c r="X90" s="75">
        <v>0.16573057236891009</v>
      </c>
      <c r="Y90" s="2">
        <v>-4.0743950792055731E-6</v>
      </c>
      <c r="Z90" s="38">
        <v>1.4424443326138681E-5</v>
      </c>
      <c r="AA90" s="2">
        <v>1.5642</v>
      </c>
      <c r="AB90" s="2">
        <f t="shared" si="18"/>
        <v>0</v>
      </c>
      <c r="AC90" s="2" t="e">
        <f t="shared" si="19"/>
        <v>#VALUE!</v>
      </c>
      <c r="AD90" s="2">
        <f t="shared" si="20"/>
        <v>0</v>
      </c>
      <c r="AE90" s="79" t="e">
        <f t="shared" si="21"/>
        <v>#VALUE!</v>
      </c>
      <c r="AF90" s="80">
        <f t="shared" si="17"/>
        <v>0</v>
      </c>
      <c r="AG90" s="31" t="e">
        <f t="shared" si="22"/>
        <v>#VALUE!</v>
      </c>
      <c r="AH90">
        <f t="shared" si="23"/>
        <v>648.99999999999955</v>
      </c>
      <c r="AI90" s="68">
        <f t="shared" si="24"/>
        <v>9.0504817617712661</v>
      </c>
      <c r="AJ90" s="68">
        <f t="shared" si="25"/>
        <v>0</v>
      </c>
      <c r="AK90" s="67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125</v>
      </c>
      <c r="M91" s="7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75">
        <v>7.0803294364885874E-2</v>
      </c>
      <c r="V91" s="74">
        <v>9.4600069564467759E-2</v>
      </c>
      <c r="W91" s="2">
        <v>-0.999999999999999</v>
      </c>
      <c r="X91" s="75">
        <v>0.11570355845254587</v>
      </c>
      <c r="Y91" s="2">
        <v>-2.9997405643752208E-6</v>
      </c>
      <c r="Z91" s="38">
        <v>1.0671266081563324E-5</v>
      </c>
      <c r="AA91" s="2">
        <v>1.5642</v>
      </c>
      <c r="AB91" s="2">
        <f t="shared" si="18"/>
        <v>0</v>
      </c>
      <c r="AC91" s="2" t="e">
        <f t="shared" si="19"/>
        <v>#VALUE!</v>
      </c>
      <c r="AD91" s="2">
        <f t="shared" si="20"/>
        <v>0</v>
      </c>
      <c r="AE91" s="79" t="e">
        <f t="shared" si="21"/>
        <v>#VALUE!</v>
      </c>
      <c r="AF91" s="80">
        <f t="shared" si="17"/>
        <v>0</v>
      </c>
      <c r="AG91" s="31" t="e">
        <f t="shared" si="22"/>
        <v>#VALUE!</v>
      </c>
      <c r="AH91">
        <f t="shared" si="23"/>
        <v>699.00000000000068</v>
      </c>
      <c r="AI91" s="68">
        <f t="shared" si="24"/>
        <v>9.0329436488580086</v>
      </c>
      <c r="AJ91" s="68">
        <f t="shared" si="25"/>
        <v>0</v>
      </c>
      <c r="AK91" s="67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125</v>
      </c>
      <c r="M92" s="7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75">
        <v>7.5802867299009688E-2</v>
      </c>
      <c r="V92" s="74">
        <v>9.9476493322129045E-2</v>
      </c>
      <c r="W92" s="2">
        <v>-0.999999999999999</v>
      </c>
      <c r="X92" s="75">
        <v>9.717201547329514E-2</v>
      </c>
      <c r="Y92" s="2">
        <v>-2.7195614108035901E-6</v>
      </c>
      <c r="Z92" s="38">
        <v>8.8596744049485032E-6</v>
      </c>
      <c r="AA92" s="2">
        <v>1.5642</v>
      </c>
      <c r="AB92" s="2">
        <f t="shared" si="18"/>
        <v>0</v>
      </c>
      <c r="AC92" s="2" t="e">
        <f t="shared" si="19"/>
        <v>#VALUE!</v>
      </c>
      <c r="AD92" s="2">
        <f t="shared" si="20"/>
        <v>0</v>
      </c>
      <c r="AE92" s="79" t="e">
        <f t="shared" si="21"/>
        <v>#VALUE!</v>
      </c>
      <c r="AF92" s="80">
        <f t="shared" si="17"/>
        <v>0</v>
      </c>
      <c r="AG92" s="31" t="e">
        <f t="shared" si="22"/>
        <v>#VALUE!</v>
      </c>
      <c r="AH92">
        <f t="shared" si="23"/>
        <v>749.00000000000193</v>
      </c>
      <c r="AI92" s="68">
        <f t="shared" si="24"/>
        <v>9.0286729900949467</v>
      </c>
      <c r="AJ92" s="68">
        <f t="shared" si="25"/>
        <v>0</v>
      </c>
      <c r="AK92" s="67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125</v>
      </c>
      <c r="M93" s="7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75">
        <v>8.0802648662578025E-2</v>
      </c>
      <c r="V93" s="74">
        <v>0.10477260935661192</v>
      </c>
      <c r="W93" s="2">
        <v>-0.999999999999999</v>
      </c>
      <c r="X93" s="75">
        <v>8.4850529324475107E-2</v>
      </c>
      <c r="Y93" s="2">
        <v>-2.5857661098615359E-6</v>
      </c>
      <c r="Z93" s="38">
        <v>8.0982375790794592E-6</v>
      </c>
      <c r="AA93" s="2">
        <v>1.5642</v>
      </c>
      <c r="AB93" s="2">
        <f t="shared" si="18"/>
        <v>0</v>
      </c>
      <c r="AC93" s="2" t="e">
        <f t="shared" si="19"/>
        <v>#VALUE!</v>
      </c>
      <c r="AD93" s="2">
        <f t="shared" si="20"/>
        <v>0</v>
      </c>
      <c r="AE93" s="79" t="e">
        <f t="shared" si="21"/>
        <v>#VALUE!</v>
      </c>
      <c r="AF93" s="80">
        <f t="shared" si="17"/>
        <v>0</v>
      </c>
      <c r="AG93" s="31" t="e">
        <f t="shared" si="22"/>
        <v>#VALUE!</v>
      </c>
      <c r="AH93">
        <f t="shared" si="23"/>
        <v>799.0000000000008</v>
      </c>
      <c r="AI93" s="68">
        <f t="shared" si="24"/>
        <v>9.0264866257793983</v>
      </c>
      <c r="AJ93" s="68">
        <f t="shared" si="25"/>
        <v>0</v>
      </c>
      <c r="AK93" s="67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125</v>
      </c>
      <c r="M94" s="7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75">
        <v>8.5802592579225401E-2</v>
      </c>
      <c r="V94" s="74">
        <v>0.11048841766791995</v>
      </c>
      <c r="W94" s="2">
        <v>-0.999999999999999</v>
      </c>
      <c r="X94" s="75">
        <v>7.6854006162068209E-2</v>
      </c>
      <c r="Y94" s="2">
        <v>-2.5755545616893304E-6</v>
      </c>
      <c r="Z94" s="38">
        <v>7.6181248955392578E-6</v>
      </c>
      <c r="AA94" s="2">
        <v>1.5642</v>
      </c>
      <c r="AB94" s="2">
        <f t="shared" si="18"/>
        <v>0</v>
      </c>
      <c r="AC94" s="2" t="e">
        <f t="shared" si="19"/>
        <v>#VALUE!</v>
      </c>
      <c r="AD94" s="2">
        <f t="shared" si="20"/>
        <v>0</v>
      </c>
      <c r="AE94" s="79" t="e">
        <f t="shared" si="21"/>
        <v>#VALUE!</v>
      </c>
      <c r="AF94" s="80">
        <f t="shared" si="17"/>
        <v>0</v>
      </c>
      <c r="AG94" s="31" t="e">
        <f t="shared" si="22"/>
        <v>#VALUE!</v>
      </c>
      <c r="AH94">
        <f t="shared" si="23"/>
        <v>848.99999999999977</v>
      </c>
      <c r="AI94" s="68">
        <f t="shared" si="24"/>
        <v>9.0259257922542702</v>
      </c>
      <c r="AJ94" s="68">
        <f t="shared" si="25"/>
        <v>0</v>
      </c>
      <c r="AK94" s="67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125</v>
      </c>
      <c r="M95" s="7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75">
        <v>9.0802697769349655E-2</v>
      </c>
      <c r="V95" s="74">
        <v>0.11662391825604956</v>
      </c>
      <c r="W95" s="2">
        <v>-0.999999999999999</v>
      </c>
      <c r="X95" s="75">
        <v>7.2216037511528886E-2</v>
      </c>
      <c r="Y95" s="2">
        <v>-2.6899540681410207E-6</v>
      </c>
      <c r="Z95" s="38">
        <v>7.4182551762641546E-6</v>
      </c>
      <c r="AA95" s="2">
        <v>1.5642</v>
      </c>
      <c r="AB95" s="2">
        <f t="shared" si="18"/>
        <v>0</v>
      </c>
      <c r="AC95" s="2" t="e">
        <f t="shared" si="19"/>
        <v>#VALUE!</v>
      </c>
      <c r="AD95" s="2">
        <f t="shared" si="20"/>
        <v>0</v>
      </c>
      <c r="AE95" s="79" t="e">
        <f t="shared" si="21"/>
        <v>#VALUE!</v>
      </c>
      <c r="AF95" s="80">
        <f t="shared" si="17"/>
        <v>0</v>
      </c>
      <c r="AG95" s="31" t="e">
        <f t="shared" si="22"/>
        <v>#VALUE!</v>
      </c>
      <c r="AH95">
        <f t="shared" si="23"/>
        <v>899.00000000000091</v>
      </c>
      <c r="AI95" s="68">
        <f t="shared" si="24"/>
        <v>9.0269776934956099</v>
      </c>
      <c r="AJ95" s="68">
        <f t="shared" si="25"/>
        <v>0</v>
      </c>
      <c r="AK95" s="67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125</v>
      </c>
      <c r="M96" s="7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75">
        <v>5.4319785196485774E-2</v>
      </c>
      <c r="V96" s="74">
        <v>0.10723529180589253</v>
      </c>
      <c r="W96" s="2">
        <v>0.98707203057288928</v>
      </c>
      <c r="X96" s="75">
        <v>0</v>
      </c>
      <c r="Y96" s="2">
        <v>-5.2469350336438748E-5</v>
      </c>
      <c r="Z96" s="38">
        <v>9.4423028760788619E-5</v>
      </c>
      <c r="AA96" s="2">
        <v>1.5642</v>
      </c>
      <c r="AB96" s="2">
        <f t="shared" si="18"/>
        <v>0</v>
      </c>
      <c r="AC96" s="2" t="e">
        <f t="shared" si="19"/>
        <v>#VALUE!</v>
      </c>
      <c r="AD96" s="2">
        <f t="shared" si="20"/>
        <v>0</v>
      </c>
      <c r="AE96" s="79" t="e">
        <f t="shared" si="21"/>
        <v>#VALUE!</v>
      </c>
      <c r="AF96" s="80">
        <f t="shared" si="17"/>
        <v>0</v>
      </c>
      <c r="AG96" s="31" t="e">
        <f t="shared" si="22"/>
        <v>#VALUE!</v>
      </c>
      <c r="AH96">
        <f t="shared" si="23"/>
        <v>550.99999999999932</v>
      </c>
      <c r="AI96" s="68">
        <f t="shared" si="24"/>
        <v>0</v>
      </c>
      <c r="AJ96" s="68">
        <f t="shared" si="25"/>
        <v>0</v>
      </c>
      <c r="AK96" s="67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125</v>
      </c>
      <c r="M97" s="7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75">
        <v>4.9356611380239168E-2</v>
      </c>
      <c r="V97" s="74">
        <v>0.10224471891346454</v>
      </c>
      <c r="W97" s="2">
        <v>0.98271392014671832</v>
      </c>
      <c r="X97" s="75">
        <v>0</v>
      </c>
      <c r="Y97" s="2">
        <v>-6.3812852870000851E-5</v>
      </c>
      <c r="Z97" s="38">
        <v>1.3146516798166752E-4</v>
      </c>
      <c r="AA97" s="2">
        <v>1.5642</v>
      </c>
      <c r="AB97" s="2">
        <f t="shared" si="18"/>
        <v>0</v>
      </c>
      <c r="AC97" s="2" t="e">
        <f t="shared" si="19"/>
        <v>#VALUE!</v>
      </c>
      <c r="AD97" s="2">
        <f t="shared" si="20"/>
        <v>0</v>
      </c>
      <c r="AE97" s="79" t="e">
        <f t="shared" si="21"/>
        <v>#VALUE!</v>
      </c>
      <c r="AF97" s="80">
        <f t="shared" si="17"/>
        <v>0</v>
      </c>
      <c r="AG97" s="31" t="e">
        <f t="shared" si="22"/>
        <v>#VALUE!</v>
      </c>
      <c r="AH97">
        <f t="shared" si="23"/>
        <v>501.00000000000034</v>
      </c>
      <c r="AI97" s="68">
        <f t="shared" si="24"/>
        <v>0</v>
      </c>
      <c r="AJ97" s="68">
        <f t="shared" si="25"/>
        <v>0</v>
      </c>
      <c r="AK97" s="67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125</v>
      </c>
      <c r="M98" s="7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75">
        <v>4.440670335962453E-2</v>
      </c>
      <c r="V98" s="74">
        <v>9.7579074379925856E-2</v>
      </c>
      <c r="W98" s="2">
        <v>0.9767743652221681</v>
      </c>
      <c r="X98" s="75">
        <v>0</v>
      </c>
      <c r="Y98" s="2">
        <v>-7.8007163637898805E-5</v>
      </c>
      <c r="Z98" s="38">
        <v>1.6841908281380741E-4</v>
      </c>
      <c r="AA98" s="2">
        <v>1.5642</v>
      </c>
      <c r="AB98" s="2">
        <f t="shared" si="18"/>
        <v>0</v>
      </c>
      <c r="AC98" s="2" t="e">
        <f t="shared" si="19"/>
        <v>#VALUE!</v>
      </c>
      <c r="AD98" s="2">
        <f t="shared" si="20"/>
        <v>0</v>
      </c>
      <c r="AE98" s="79" t="e">
        <f t="shared" si="21"/>
        <v>#VALUE!</v>
      </c>
      <c r="AF98" s="80">
        <f t="shared" si="17"/>
        <v>0</v>
      </c>
      <c r="AG98" s="31" t="e">
        <f t="shared" si="22"/>
        <v>#VALUE!</v>
      </c>
      <c r="AH98">
        <f t="shared" si="23"/>
        <v>450.9999999999992</v>
      </c>
      <c r="AI98" s="68">
        <f t="shared" si="24"/>
        <v>0</v>
      </c>
      <c r="AJ98" s="68">
        <f t="shared" si="25"/>
        <v>0</v>
      </c>
      <c r="AK98" s="67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125</v>
      </c>
      <c r="M99" s="7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75">
        <v>3.9498694572012154E-2</v>
      </c>
      <c r="V99" s="74">
        <v>9.3238358205276484E-2</v>
      </c>
      <c r="W99" s="2">
        <v>0.96650233880327663</v>
      </c>
      <c r="X99" s="75">
        <v>0</v>
      </c>
      <c r="Y99" s="2">
        <v>-1.0021199337090616E-4</v>
      </c>
      <c r="Z99" s="38">
        <v>2.1013366778226822E-4</v>
      </c>
      <c r="AA99" s="2">
        <v>1.5642</v>
      </c>
      <c r="AB99" s="2">
        <f t="shared" si="18"/>
        <v>0</v>
      </c>
      <c r="AC99" s="2" t="e">
        <f t="shared" si="19"/>
        <v>#VALUE!</v>
      </c>
      <c r="AD99" s="2">
        <f t="shared" si="20"/>
        <v>0</v>
      </c>
      <c r="AE99" s="79" t="e">
        <f t="shared" si="21"/>
        <v>#VALUE!</v>
      </c>
      <c r="AF99" s="80">
        <f t="shared" si="17"/>
        <v>0</v>
      </c>
      <c r="AG99" s="31" t="e">
        <f t="shared" si="22"/>
        <v>#VALUE!</v>
      </c>
      <c r="AH99">
        <f t="shared" si="23"/>
        <v>401.00000000000023</v>
      </c>
      <c r="AI99" s="68">
        <f t="shared" si="24"/>
        <v>0</v>
      </c>
      <c r="AJ99" s="68">
        <f t="shared" si="25"/>
        <v>0</v>
      </c>
      <c r="AK99" s="67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125</v>
      </c>
      <c r="M100" s="7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75">
        <v>3.4624608160590938E-2</v>
      </c>
      <c r="V100" s="74">
        <v>8.9222570389523526E-2</v>
      </c>
      <c r="W100" s="2">
        <v>0.95251170745195557</v>
      </c>
      <c r="X100" s="75">
        <v>0</v>
      </c>
      <c r="Y100" s="2">
        <v>-1.271536281950097E-4</v>
      </c>
      <c r="Z100" s="38">
        <v>2.7569276046187502E-4</v>
      </c>
      <c r="AA100" s="2">
        <v>1.5642</v>
      </c>
      <c r="AB100" s="2">
        <f t="shared" si="18"/>
        <v>0</v>
      </c>
      <c r="AC100" s="2" t="e">
        <f t="shared" si="19"/>
        <v>#VALUE!</v>
      </c>
      <c r="AD100" s="2">
        <f t="shared" si="20"/>
        <v>0</v>
      </c>
      <c r="AE100" s="79" t="e">
        <f t="shared" si="21"/>
        <v>#VALUE!</v>
      </c>
      <c r="AF100" s="80">
        <f t="shared" si="17"/>
        <v>0</v>
      </c>
      <c r="AG100" s="31" t="e">
        <f t="shared" si="22"/>
        <v>#VALUE!</v>
      </c>
      <c r="AH100">
        <f t="shared" si="23"/>
        <v>350.99999999999909</v>
      </c>
      <c r="AI100" s="68">
        <f t="shared" si="24"/>
        <v>0</v>
      </c>
      <c r="AJ100" s="68">
        <f t="shared" si="25"/>
        <v>0</v>
      </c>
      <c r="AK100" s="67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125</v>
      </c>
      <c r="M101" s="7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75">
        <v>2.9824240434176308E-2</v>
      </c>
      <c r="V101" s="74">
        <v>8.5531710932656324E-2</v>
      </c>
      <c r="W101" s="2">
        <v>0.93109328133273772</v>
      </c>
      <c r="X101" s="75">
        <v>0</v>
      </c>
      <c r="Y101" s="2">
        <v>-1.6345104842675119E-4</v>
      </c>
      <c r="Z101" s="38">
        <v>3.7299240816645804E-4</v>
      </c>
      <c r="AA101" s="2">
        <v>1.5642</v>
      </c>
      <c r="AB101" s="2">
        <f t="shared" si="18"/>
        <v>0</v>
      </c>
      <c r="AC101" s="2" t="e">
        <f t="shared" si="19"/>
        <v>#VALUE!</v>
      </c>
      <c r="AD101" s="2">
        <f t="shared" si="20"/>
        <v>0</v>
      </c>
      <c r="AE101" s="79" t="e">
        <f t="shared" si="21"/>
        <v>#VALUE!</v>
      </c>
      <c r="AF101" s="80">
        <f t="shared" si="17"/>
        <v>0</v>
      </c>
      <c r="AG101" s="31" t="e">
        <f t="shared" si="22"/>
        <v>#VALUE!</v>
      </c>
      <c r="AH101">
        <f t="shared" si="23"/>
        <v>301.00000000000017</v>
      </c>
      <c r="AI101" s="68">
        <f t="shared" si="24"/>
        <v>0</v>
      </c>
      <c r="AJ101" s="68">
        <f t="shared" si="25"/>
        <v>0</v>
      </c>
      <c r="AK101" s="67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125</v>
      </c>
      <c r="M102" s="7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75">
        <v>2.5155949349616805E-2</v>
      </c>
      <c r="V102" s="74">
        <v>8.2165779834681985E-2</v>
      </c>
      <c r="W102" s="2">
        <v>0.89819873517080717</v>
      </c>
      <c r="X102" s="75">
        <v>0</v>
      </c>
      <c r="Y102" s="2">
        <v>-2.0917589293509284E-4</v>
      </c>
      <c r="Z102" s="38">
        <v>4.2459505496081698E-4</v>
      </c>
      <c r="AA102" s="2">
        <v>1.5642</v>
      </c>
      <c r="AB102" s="2">
        <f t="shared" si="18"/>
        <v>0</v>
      </c>
      <c r="AC102" s="2" t="e">
        <f t="shared" si="19"/>
        <v>#VALUE!</v>
      </c>
      <c r="AD102" s="2">
        <f t="shared" si="20"/>
        <v>0</v>
      </c>
      <c r="AE102" s="79" t="e">
        <f t="shared" si="21"/>
        <v>#VALUE!</v>
      </c>
      <c r="AF102" s="80">
        <f t="shared" ref="AF102:AF125" si="26">IF(ISERR(AE102),0,AE102*M102)</f>
        <v>0</v>
      </c>
      <c r="AG102" s="31" t="e">
        <f t="shared" si="22"/>
        <v>#VALUE!</v>
      </c>
      <c r="AH102">
        <f t="shared" si="23"/>
        <v>250.99999999999901</v>
      </c>
      <c r="AI102" s="68">
        <f t="shared" si="24"/>
        <v>0.55949349616903987</v>
      </c>
      <c r="AJ102" s="68">
        <f t="shared" si="25"/>
        <v>0</v>
      </c>
      <c r="AK102" s="67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125</v>
      </c>
      <c r="M103" s="7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75">
        <v>2.0646510785923843E-2</v>
      </c>
      <c r="V103" s="74">
        <v>7.9124777095596954E-2</v>
      </c>
      <c r="W103" s="2">
        <v>0.85232660263713667</v>
      </c>
      <c r="X103" s="75">
        <v>0</v>
      </c>
      <c r="Y103" s="2">
        <v>-2.6134138565999206E-4</v>
      </c>
      <c r="Z103" s="38">
        <v>5.7387340318520649E-4</v>
      </c>
      <c r="AA103" s="2">
        <v>1.5642</v>
      </c>
      <c r="AB103" s="2">
        <f t="shared" si="18"/>
        <v>0</v>
      </c>
      <c r="AC103" s="2" t="e">
        <f t="shared" si="19"/>
        <v>#VALUE!</v>
      </c>
      <c r="AD103" s="2">
        <f t="shared" si="20"/>
        <v>0</v>
      </c>
      <c r="AE103" s="79" t="e">
        <f t="shared" si="21"/>
        <v>#VALUE!</v>
      </c>
      <c r="AF103" s="80">
        <f t="shared" si="26"/>
        <v>0</v>
      </c>
      <c r="AG103" s="31" t="e">
        <f t="shared" si="22"/>
        <v>#VALUE!</v>
      </c>
      <c r="AH103">
        <f t="shared" si="23"/>
        <v>201.00000000000006</v>
      </c>
      <c r="AI103" s="68">
        <f t="shared" si="24"/>
        <v>5.4651078592383726</v>
      </c>
      <c r="AJ103" s="68">
        <f t="shared" si="25"/>
        <v>0</v>
      </c>
      <c r="AK103" s="67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125</v>
      </c>
      <c r="M104" s="7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75">
        <v>1.7200000584125519E-2</v>
      </c>
      <c r="V104" s="74">
        <v>8.7588735445913224E-2</v>
      </c>
      <c r="W104" s="2">
        <v>0.75726981248408365</v>
      </c>
      <c r="X104" s="75">
        <v>0</v>
      </c>
      <c r="Y104" s="2">
        <v>-3.9156215779300965E-4</v>
      </c>
      <c r="Z104" s="38">
        <v>7.3156210508588948E-4</v>
      </c>
      <c r="AA104" s="2">
        <v>1.5642</v>
      </c>
      <c r="AB104" s="2">
        <f t="shared" si="18"/>
        <v>0</v>
      </c>
      <c r="AC104" s="2" t="e">
        <f t="shared" si="19"/>
        <v>#VALUE!</v>
      </c>
      <c r="AD104" s="2">
        <f t="shared" si="20"/>
        <v>0</v>
      </c>
      <c r="AE104" s="79" t="e">
        <f t="shared" si="21"/>
        <v>#VALUE!</v>
      </c>
      <c r="AF104" s="80">
        <f t="shared" si="26"/>
        <v>0</v>
      </c>
      <c r="AG104" s="31" t="e">
        <f t="shared" si="22"/>
        <v>#VALUE!</v>
      </c>
      <c r="AH104">
        <f t="shared" si="23"/>
        <v>150.99999999999892</v>
      </c>
      <c r="AI104" s="68">
        <f t="shared" si="24"/>
        <v>21.000005841256268</v>
      </c>
      <c r="AJ104" s="68">
        <f t="shared" si="25"/>
        <v>0</v>
      </c>
      <c r="AK104" s="67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125</v>
      </c>
      <c r="M105" s="73"/>
      <c r="N105" s="2"/>
      <c r="O105" s="2"/>
      <c r="P105" s="2"/>
      <c r="Q105" s="2"/>
      <c r="R105" s="2"/>
      <c r="S105" s="2"/>
      <c r="T105" s="2"/>
      <c r="U105" s="75"/>
      <c r="V105" s="74"/>
      <c r="W105" s="2"/>
      <c r="X105" s="75"/>
      <c r="Y105" s="2"/>
      <c r="Z105" s="38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79" t="e">
        <f t="shared" si="21"/>
        <v>#VALUE!</v>
      </c>
      <c r="AF105" s="8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68">
        <f t="shared" si="24"/>
        <v>0</v>
      </c>
      <c r="AJ105" s="68">
        <f t="shared" si="25"/>
        <v>0</v>
      </c>
      <c r="AK105" s="67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125</v>
      </c>
      <c r="M106" s="73"/>
      <c r="N106" s="2"/>
      <c r="O106" s="2"/>
      <c r="P106" s="2"/>
      <c r="Q106" s="2"/>
      <c r="R106" s="2"/>
      <c r="S106" s="2"/>
      <c r="T106" s="2"/>
      <c r="U106" s="75"/>
      <c r="V106" s="74"/>
      <c r="W106" s="2"/>
      <c r="X106" s="75"/>
      <c r="Y106" s="2"/>
      <c r="Z106" s="38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79" t="e">
        <f t="shared" si="21"/>
        <v>#VALUE!</v>
      </c>
      <c r="AF106" s="8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68">
        <f t="shared" si="24"/>
        <v>0</v>
      </c>
      <c r="AJ106" s="68">
        <f t="shared" si="25"/>
        <v>0</v>
      </c>
      <c r="AK106" s="67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125</v>
      </c>
      <c r="M107" s="73"/>
      <c r="N107" s="2"/>
      <c r="O107" s="2"/>
      <c r="P107" s="2"/>
      <c r="Q107" s="2"/>
      <c r="R107" s="2"/>
      <c r="S107" s="2"/>
      <c r="T107" s="2"/>
      <c r="U107" s="75"/>
      <c r="V107" s="74"/>
      <c r="W107" s="2"/>
      <c r="X107" s="75"/>
      <c r="Y107" s="2"/>
      <c r="Z107" s="38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79" t="e">
        <f t="shared" si="21"/>
        <v>#VALUE!</v>
      </c>
      <c r="AF107" s="8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68">
        <f t="shared" si="24"/>
        <v>0</v>
      </c>
      <c r="AJ107" s="68">
        <f t="shared" si="25"/>
        <v>0</v>
      </c>
      <c r="AK107" s="67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125</v>
      </c>
      <c r="M108" s="73"/>
      <c r="N108" s="2"/>
      <c r="O108" s="2"/>
      <c r="P108" s="2"/>
      <c r="Q108" s="2"/>
      <c r="R108" s="2"/>
      <c r="S108" s="2"/>
      <c r="T108" s="2"/>
      <c r="U108" s="75"/>
      <c r="V108" s="74"/>
      <c r="W108" s="2"/>
      <c r="X108" s="75"/>
      <c r="Y108" s="2"/>
      <c r="Z108" s="38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79" t="e">
        <f t="shared" si="21"/>
        <v>#VALUE!</v>
      </c>
      <c r="AF108" s="80">
        <f t="shared" si="26"/>
        <v>0</v>
      </c>
      <c r="AG108" s="31" t="e">
        <f t="shared" si="22"/>
        <v>#VALUE!</v>
      </c>
      <c r="AH108">
        <f t="shared" si="23"/>
        <v>0</v>
      </c>
      <c r="AI108" s="68">
        <f t="shared" si="24"/>
        <v>0</v>
      </c>
      <c r="AJ108" s="68">
        <f t="shared" si="25"/>
        <v>0</v>
      </c>
      <c r="AK108" s="67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125</v>
      </c>
      <c r="M109" s="73"/>
      <c r="N109" s="2"/>
      <c r="O109" s="2"/>
      <c r="P109" s="2"/>
      <c r="Q109" s="2"/>
      <c r="R109" s="2"/>
      <c r="S109" s="2"/>
      <c r="T109" s="2"/>
      <c r="U109" s="75"/>
      <c r="V109" s="74"/>
      <c r="W109" s="2"/>
      <c r="X109" s="75"/>
      <c r="Y109" s="2"/>
      <c r="Z109" s="38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79" t="e">
        <f t="shared" si="21"/>
        <v>#VALUE!</v>
      </c>
      <c r="AF109" s="80">
        <f t="shared" si="26"/>
        <v>0</v>
      </c>
      <c r="AG109" s="31" t="e">
        <f t="shared" si="22"/>
        <v>#VALUE!</v>
      </c>
      <c r="AH109">
        <f t="shared" si="23"/>
        <v>0</v>
      </c>
      <c r="AI109" s="68">
        <f t="shared" si="24"/>
        <v>0</v>
      </c>
      <c r="AJ109" s="68">
        <f t="shared" si="25"/>
        <v>0</v>
      </c>
      <c r="AK109" s="67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125</v>
      </c>
      <c r="M110" s="73"/>
      <c r="N110" s="2"/>
      <c r="O110" s="2"/>
      <c r="P110" s="2"/>
      <c r="Q110" s="2"/>
      <c r="R110" s="2"/>
      <c r="S110" s="2"/>
      <c r="T110" s="2"/>
      <c r="U110" s="75"/>
      <c r="V110" s="74"/>
      <c r="W110" s="2"/>
      <c r="X110" s="75"/>
      <c r="Y110" s="2"/>
      <c r="Z110" s="38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79" t="e">
        <f t="shared" si="21"/>
        <v>#VALUE!</v>
      </c>
      <c r="AF110" s="80">
        <f t="shared" si="26"/>
        <v>0</v>
      </c>
      <c r="AG110" s="31" t="e">
        <f t="shared" si="22"/>
        <v>#VALUE!</v>
      </c>
      <c r="AH110">
        <f t="shared" si="23"/>
        <v>0</v>
      </c>
      <c r="AI110" s="68">
        <f t="shared" si="24"/>
        <v>0</v>
      </c>
      <c r="AJ110" s="68">
        <f t="shared" si="25"/>
        <v>0</v>
      </c>
      <c r="AK110" s="67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125</v>
      </c>
      <c r="M111" s="73"/>
      <c r="N111" s="2"/>
      <c r="O111" s="2"/>
      <c r="P111" s="2"/>
      <c r="Q111" s="2"/>
      <c r="R111" s="2"/>
      <c r="S111" s="2"/>
      <c r="T111" s="2"/>
      <c r="U111" s="75"/>
      <c r="V111" s="74"/>
      <c r="W111" s="2"/>
      <c r="X111" s="75"/>
      <c r="Y111" s="2"/>
      <c r="Z111" s="38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79" t="e">
        <f t="shared" si="21"/>
        <v>#VALUE!</v>
      </c>
      <c r="AF111" s="80">
        <f t="shared" si="26"/>
        <v>0</v>
      </c>
      <c r="AG111" s="31" t="e">
        <f t="shared" si="22"/>
        <v>#VALUE!</v>
      </c>
      <c r="AH111">
        <f t="shared" si="23"/>
        <v>0</v>
      </c>
      <c r="AI111" s="68">
        <f t="shared" si="24"/>
        <v>0</v>
      </c>
      <c r="AJ111" s="68">
        <f t="shared" si="25"/>
        <v>0</v>
      </c>
      <c r="AK111" s="67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125</v>
      </c>
      <c r="M112" s="73"/>
      <c r="N112" s="2"/>
      <c r="O112" s="2"/>
      <c r="P112" s="2"/>
      <c r="Q112" s="2"/>
      <c r="R112" s="2"/>
      <c r="S112" s="2"/>
      <c r="T112" s="2"/>
      <c r="U112" s="75"/>
      <c r="V112" s="74"/>
      <c r="W112" s="2"/>
      <c r="X112" s="75"/>
      <c r="Y112" s="2"/>
      <c r="Z112" s="38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79" t="e">
        <f t="shared" si="21"/>
        <v>#VALUE!</v>
      </c>
      <c r="AF112" s="80">
        <f t="shared" si="26"/>
        <v>0</v>
      </c>
      <c r="AG112" s="31" t="e">
        <f t="shared" si="22"/>
        <v>#VALUE!</v>
      </c>
      <c r="AH112">
        <f t="shared" si="23"/>
        <v>0</v>
      </c>
      <c r="AI112" s="68">
        <f t="shared" si="24"/>
        <v>0</v>
      </c>
      <c r="AJ112" s="68">
        <f t="shared" si="25"/>
        <v>0</v>
      </c>
      <c r="AK112" s="67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125</v>
      </c>
      <c r="M113" s="73"/>
      <c r="N113" s="2"/>
      <c r="O113" s="2"/>
      <c r="P113" s="2"/>
      <c r="Q113" s="2"/>
      <c r="R113" s="2"/>
      <c r="S113" s="2"/>
      <c r="T113" s="2"/>
      <c r="U113" s="75"/>
      <c r="V113" s="74"/>
      <c r="W113" s="2"/>
      <c r="X113" s="75"/>
      <c r="Y113" s="2"/>
      <c r="Z113" s="38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79" t="e">
        <f t="shared" si="21"/>
        <v>#VALUE!</v>
      </c>
      <c r="AF113" s="80">
        <f t="shared" si="26"/>
        <v>0</v>
      </c>
      <c r="AG113" s="31" t="e">
        <f t="shared" si="22"/>
        <v>#VALUE!</v>
      </c>
      <c r="AH113">
        <f t="shared" si="23"/>
        <v>0</v>
      </c>
      <c r="AI113" s="68">
        <f t="shared" si="24"/>
        <v>0</v>
      </c>
      <c r="AJ113" s="68">
        <f t="shared" si="25"/>
        <v>0</v>
      </c>
      <c r="AK113" s="67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125</v>
      </c>
      <c r="M114" s="73"/>
      <c r="N114" s="2"/>
      <c r="O114" s="2"/>
      <c r="P114" s="2"/>
      <c r="Q114" s="2"/>
      <c r="R114" s="2"/>
      <c r="S114" s="2"/>
      <c r="T114" s="2"/>
      <c r="U114" s="75"/>
      <c r="V114" s="74"/>
      <c r="W114" s="2"/>
      <c r="X114" s="75"/>
      <c r="Y114" s="2"/>
      <c r="Z114" s="38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79" t="e">
        <f t="shared" si="21"/>
        <v>#VALUE!</v>
      </c>
      <c r="AF114" s="80">
        <f t="shared" si="26"/>
        <v>0</v>
      </c>
      <c r="AG114" s="31" t="e">
        <f t="shared" si="22"/>
        <v>#VALUE!</v>
      </c>
      <c r="AH114">
        <f t="shared" si="23"/>
        <v>0</v>
      </c>
      <c r="AI114" s="68">
        <f t="shared" si="24"/>
        <v>0</v>
      </c>
      <c r="AJ114" s="68">
        <f t="shared" si="25"/>
        <v>0</v>
      </c>
      <c r="AK114" s="67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125</v>
      </c>
      <c r="M115" s="73"/>
      <c r="N115" s="2"/>
      <c r="O115" s="2"/>
      <c r="P115" s="2"/>
      <c r="Q115" s="2"/>
      <c r="R115" s="2"/>
      <c r="S115" s="2"/>
      <c r="T115" s="2"/>
      <c r="U115" s="75"/>
      <c r="V115" s="74"/>
      <c r="W115" s="2"/>
      <c r="X115" s="75"/>
      <c r="Y115" s="2"/>
      <c r="Z115" s="38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79" t="e">
        <f t="shared" si="21"/>
        <v>#VALUE!</v>
      </c>
      <c r="AF115" s="80">
        <f t="shared" si="26"/>
        <v>0</v>
      </c>
      <c r="AG115" s="31" t="e">
        <f t="shared" si="22"/>
        <v>#VALUE!</v>
      </c>
      <c r="AH115">
        <f t="shared" si="23"/>
        <v>0</v>
      </c>
      <c r="AI115" s="68">
        <f t="shared" si="24"/>
        <v>0</v>
      </c>
      <c r="AJ115" s="68">
        <f t="shared" si="25"/>
        <v>0</v>
      </c>
      <c r="AK115" s="67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125</v>
      </c>
      <c r="M116" s="73"/>
      <c r="N116" s="2"/>
      <c r="O116" s="2"/>
      <c r="P116" s="2"/>
      <c r="Q116" s="2"/>
      <c r="R116" s="2"/>
      <c r="S116" s="2"/>
      <c r="T116" s="2"/>
      <c r="U116" s="75"/>
      <c r="V116" s="74"/>
      <c r="W116" s="2"/>
      <c r="X116" s="75"/>
      <c r="Y116" s="2"/>
      <c r="Z116" s="38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79" t="e">
        <f t="shared" si="21"/>
        <v>#VALUE!</v>
      </c>
      <c r="AF116" s="80">
        <f t="shared" si="26"/>
        <v>0</v>
      </c>
      <c r="AG116" s="31" t="e">
        <f t="shared" si="22"/>
        <v>#VALUE!</v>
      </c>
      <c r="AH116">
        <f t="shared" si="23"/>
        <v>0</v>
      </c>
      <c r="AI116" s="68">
        <f t="shared" si="24"/>
        <v>0</v>
      </c>
      <c r="AJ116" s="68">
        <f t="shared" si="25"/>
        <v>0</v>
      </c>
      <c r="AK116" s="67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125</v>
      </c>
      <c r="M117" s="73"/>
      <c r="N117" s="2"/>
      <c r="O117" s="2"/>
      <c r="P117" s="2"/>
      <c r="Q117" s="2"/>
      <c r="R117" s="2"/>
      <c r="S117" s="2"/>
      <c r="T117" s="2"/>
      <c r="U117" s="75"/>
      <c r="V117" s="74"/>
      <c r="W117" s="2"/>
      <c r="X117" s="75"/>
      <c r="Y117" s="2"/>
      <c r="Z117" s="38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79" t="e">
        <f t="shared" si="21"/>
        <v>#VALUE!</v>
      </c>
      <c r="AF117" s="80">
        <f t="shared" si="26"/>
        <v>0</v>
      </c>
      <c r="AG117" s="31" t="e">
        <f t="shared" si="22"/>
        <v>#VALUE!</v>
      </c>
      <c r="AH117">
        <f t="shared" si="23"/>
        <v>0</v>
      </c>
      <c r="AI117" s="68">
        <f t="shared" si="24"/>
        <v>0</v>
      </c>
      <c r="AJ117" s="68">
        <f t="shared" si="25"/>
        <v>0</v>
      </c>
      <c r="AK117" s="67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125</v>
      </c>
      <c r="M118" s="73"/>
      <c r="N118" s="2"/>
      <c r="O118" s="2"/>
      <c r="P118" s="2"/>
      <c r="Q118" s="2"/>
      <c r="R118" s="2"/>
      <c r="S118" s="2"/>
      <c r="T118" s="2"/>
      <c r="U118" s="75"/>
      <c r="V118" s="74"/>
      <c r="W118" s="2"/>
      <c r="X118" s="75"/>
      <c r="Y118" s="2"/>
      <c r="Z118" s="38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79" t="e">
        <f t="shared" si="21"/>
        <v>#VALUE!</v>
      </c>
      <c r="AF118" s="80">
        <f t="shared" si="26"/>
        <v>0</v>
      </c>
      <c r="AG118" s="31" t="e">
        <f t="shared" si="22"/>
        <v>#VALUE!</v>
      </c>
      <c r="AH118">
        <f t="shared" si="23"/>
        <v>0</v>
      </c>
      <c r="AI118" s="68">
        <f t="shared" si="24"/>
        <v>0</v>
      </c>
      <c r="AJ118" s="68">
        <f t="shared" si="25"/>
        <v>0</v>
      </c>
      <c r="AK118" s="67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125</v>
      </c>
      <c r="M119" s="73"/>
      <c r="N119" s="2"/>
      <c r="O119" s="2"/>
      <c r="P119" s="2"/>
      <c r="Q119" s="2"/>
      <c r="R119" s="2"/>
      <c r="S119" s="2"/>
      <c r="T119" s="2"/>
      <c r="U119" s="75"/>
      <c r="V119" s="74"/>
      <c r="W119" s="2"/>
      <c r="X119" s="75"/>
      <c r="Y119" s="2"/>
      <c r="Z119" s="38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79" t="e">
        <f t="shared" si="21"/>
        <v>#VALUE!</v>
      </c>
      <c r="AF119" s="80">
        <f t="shared" si="26"/>
        <v>0</v>
      </c>
      <c r="AG119" s="31" t="e">
        <f t="shared" si="22"/>
        <v>#VALUE!</v>
      </c>
      <c r="AH119">
        <f t="shared" si="23"/>
        <v>0</v>
      </c>
      <c r="AI119" s="68">
        <f t="shared" si="24"/>
        <v>0</v>
      </c>
      <c r="AJ119" s="68">
        <f t="shared" si="25"/>
        <v>0</v>
      </c>
      <c r="AK119" s="67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125</v>
      </c>
      <c r="M120" s="73"/>
      <c r="N120" s="2"/>
      <c r="O120" s="2"/>
      <c r="P120" s="2"/>
      <c r="Q120" s="2"/>
      <c r="R120" s="2"/>
      <c r="S120" s="2"/>
      <c r="T120" s="2"/>
      <c r="U120" s="75"/>
      <c r="V120" s="74"/>
      <c r="W120" s="2"/>
      <c r="X120" s="75"/>
      <c r="Y120" s="2"/>
      <c r="Z120" s="38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79" t="e">
        <f t="shared" si="21"/>
        <v>#VALUE!</v>
      </c>
      <c r="AF120" s="80">
        <f t="shared" si="26"/>
        <v>0</v>
      </c>
      <c r="AG120" s="31" t="e">
        <f t="shared" si="22"/>
        <v>#VALUE!</v>
      </c>
      <c r="AH120">
        <f t="shared" si="23"/>
        <v>0</v>
      </c>
      <c r="AI120" s="68">
        <f t="shared" si="24"/>
        <v>0</v>
      </c>
      <c r="AJ120" s="68">
        <f t="shared" si="25"/>
        <v>0</v>
      </c>
      <c r="AK120" s="67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125</v>
      </c>
      <c r="M121" s="73"/>
      <c r="N121" s="2"/>
      <c r="O121" s="2"/>
      <c r="P121" s="2"/>
      <c r="Q121" s="2"/>
      <c r="R121" s="2"/>
      <c r="S121" s="2"/>
      <c r="T121" s="2"/>
      <c r="U121" s="75"/>
      <c r="V121" s="74"/>
      <c r="W121" s="2"/>
      <c r="X121" s="75"/>
      <c r="Y121" s="2"/>
      <c r="Z121" s="38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79" t="e">
        <f t="shared" si="21"/>
        <v>#VALUE!</v>
      </c>
      <c r="AF121" s="80">
        <f t="shared" si="26"/>
        <v>0</v>
      </c>
      <c r="AG121" s="31" t="e">
        <f t="shared" si="22"/>
        <v>#VALUE!</v>
      </c>
      <c r="AH121">
        <f t="shared" si="23"/>
        <v>0</v>
      </c>
      <c r="AI121" s="68">
        <f t="shared" si="24"/>
        <v>0</v>
      </c>
      <c r="AJ121" s="68">
        <f t="shared" si="25"/>
        <v>0</v>
      </c>
      <c r="AK121" s="67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125</v>
      </c>
      <c r="M122" s="73"/>
      <c r="N122" s="2"/>
      <c r="O122" s="2"/>
      <c r="P122" s="2"/>
      <c r="Q122" s="2"/>
      <c r="R122" s="2"/>
      <c r="S122" s="2"/>
      <c r="T122" s="2"/>
      <c r="U122" s="75"/>
      <c r="V122" s="74"/>
      <c r="W122" s="2"/>
      <c r="X122" s="75"/>
      <c r="Y122" s="2"/>
      <c r="Z122" s="38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79" t="e">
        <f t="shared" si="21"/>
        <v>#VALUE!</v>
      </c>
      <c r="AF122" s="80">
        <f t="shared" si="26"/>
        <v>0</v>
      </c>
      <c r="AG122" s="31" t="e">
        <f t="shared" si="22"/>
        <v>#VALUE!</v>
      </c>
      <c r="AH122">
        <f t="shared" si="23"/>
        <v>0</v>
      </c>
      <c r="AI122" s="68">
        <f t="shared" si="24"/>
        <v>0</v>
      </c>
      <c r="AJ122" s="68">
        <f t="shared" si="25"/>
        <v>0</v>
      </c>
      <c r="AK122" s="67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125</v>
      </c>
      <c r="M123" s="73"/>
      <c r="N123" s="2"/>
      <c r="O123" s="2"/>
      <c r="P123" s="2"/>
      <c r="Q123" s="2"/>
      <c r="R123" s="2"/>
      <c r="S123" s="2"/>
      <c r="T123" s="2"/>
      <c r="U123" s="75"/>
      <c r="V123" s="74"/>
      <c r="W123" s="2"/>
      <c r="X123" s="75"/>
      <c r="Y123" s="2"/>
      <c r="Z123" s="38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79" t="e">
        <f t="shared" si="21"/>
        <v>#VALUE!</v>
      </c>
      <c r="AF123" s="80">
        <f t="shared" si="26"/>
        <v>0</v>
      </c>
      <c r="AG123" s="31" t="e">
        <f t="shared" si="22"/>
        <v>#VALUE!</v>
      </c>
      <c r="AH123">
        <f t="shared" si="23"/>
        <v>0</v>
      </c>
      <c r="AI123" s="68">
        <f t="shared" si="24"/>
        <v>0</v>
      </c>
      <c r="AJ123" s="68">
        <f t="shared" si="25"/>
        <v>0</v>
      </c>
      <c r="AK123" s="67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125</v>
      </c>
      <c r="M124" s="73"/>
      <c r="N124" s="2"/>
      <c r="O124" s="2"/>
      <c r="P124" s="2"/>
      <c r="Q124" s="2"/>
      <c r="R124" s="2"/>
      <c r="S124" s="2"/>
      <c r="T124" s="2"/>
      <c r="U124" s="75"/>
      <c r="V124" s="74"/>
      <c r="W124" s="2"/>
      <c r="X124" s="75"/>
      <c r="Y124" s="2"/>
      <c r="Z124" s="38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79" t="e">
        <f t="shared" si="21"/>
        <v>#VALUE!</v>
      </c>
      <c r="AF124" s="80">
        <f t="shared" si="26"/>
        <v>0</v>
      </c>
      <c r="AG124" s="31" t="e">
        <f t="shared" si="22"/>
        <v>#VALUE!</v>
      </c>
      <c r="AH124">
        <f t="shared" si="23"/>
        <v>0</v>
      </c>
      <c r="AI124" s="68">
        <f t="shared" si="24"/>
        <v>0</v>
      </c>
      <c r="AJ124" s="68">
        <f t="shared" si="25"/>
        <v>0</v>
      </c>
      <c r="AK124" s="67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125</v>
      </c>
      <c r="M125" s="73"/>
      <c r="N125" s="2"/>
      <c r="O125" s="2"/>
      <c r="P125" s="2"/>
      <c r="Q125" s="2"/>
      <c r="R125" s="2"/>
      <c r="S125" s="2"/>
      <c r="T125" s="2"/>
      <c r="U125" s="75"/>
      <c r="V125" s="74"/>
      <c r="W125" s="2"/>
      <c r="X125" s="75"/>
      <c r="Y125" s="2"/>
      <c r="Z125" s="38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79" t="e">
        <f t="shared" si="21"/>
        <v>#VALUE!</v>
      </c>
      <c r="AF125" s="80">
        <f t="shared" si="26"/>
        <v>0</v>
      </c>
      <c r="AG125" s="31" t="e">
        <f t="shared" si="22"/>
        <v>#VALUE!</v>
      </c>
      <c r="AH125">
        <f t="shared" si="23"/>
        <v>0</v>
      </c>
      <c r="AI125" s="68">
        <f t="shared" si="24"/>
        <v>0</v>
      </c>
      <c r="AJ125" s="68">
        <f t="shared" si="25"/>
        <v>0</v>
      </c>
      <c r="AK125" s="67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5"/>
  <sheetViews>
    <sheetView workbookViewId="0">
      <selection activeCell="A2" sqref="A2"/>
    </sheetView>
  </sheetViews>
  <sheetFormatPr defaultRowHeight="15" x14ac:dyDescent="0.25"/>
  <cols>
    <col min="1" max="1" width="17.42578125" customWidth="1"/>
  </cols>
  <sheetData>
    <row r="1" spans="1:2" x14ac:dyDescent="0.25">
      <c r="A1" t="s">
        <v>189</v>
      </c>
      <c r="B1">
        <v>63</v>
      </c>
    </row>
    <row r="2" spans="1:2" x14ac:dyDescent="0.25">
      <c r="A2" t="s">
        <v>190</v>
      </c>
      <c r="B2">
        <v>1003</v>
      </c>
    </row>
    <row r="3" spans="1:2" x14ac:dyDescent="0.25">
      <c r="A3" t="s">
        <v>210</v>
      </c>
      <c r="B3">
        <v>41</v>
      </c>
    </row>
    <row r="4" spans="1:2" x14ac:dyDescent="0.25">
      <c r="A4" t="s">
        <v>211</v>
      </c>
      <c r="B4">
        <v>61</v>
      </c>
    </row>
    <row r="5" spans="1:2" x14ac:dyDescent="0.25">
      <c r="A5" t="s">
        <v>214</v>
      </c>
      <c r="B5">
        <v>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53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221</v>
      </c>
    </row>
    <row r="2" spans="1:1" x14ac:dyDescent="0.25">
      <c r="A2" s="93" t="s">
        <v>222</v>
      </c>
    </row>
    <row r="3" spans="1:1" x14ac:dyDescent="0.25">
      <c r="A3" s="29" t="s">
        <v>223</v>
      </c>
    </row>
    <row r="4" spans="1:1" x14ac:dyDescent="0.25">
      <c r="A4" s="29" t="s">
        <v>224</v>
      </c>
    </row>
    <row r="5" spans="1:1" x14ac:dyDescent="0.25">
      <c r="A5" s="29" t="s">
        <v>225</v>
      </c>
    </row>
    <row r="6" spans="1:1" x14ac:dyDescent="0.25">
      <c r="A6" s="29" t="s">
        <v>226</v>
      </c>
    </row>
    <row r="7" spans="1:1" x14ac:dyDescent="0.25">
      <c r="A7" s="29" t="s">
        <v>227</v>
      </c>
    </row>
    <row r="8" spans="1:1" x14ac:dyDescent="0.25">
      <c r="A8" s="29" t="s">
        <v>228</v>
      </c>
    </row>
    <row r="9" spans="1:1" x14ac:dyDescent="0.25">
      <c r="A9" s="29" t="s">
        <v>229</v>
      </c>
    </row>
    <row r="10" spans="1:1" x14ac:dyDescent="0.25">
      <c r="A10" s="29" t="s">
        <v>230</v>
      </c>
    </row>
    <row r="11" spans="1:1" x14ac:dyDescent="0.25">
      <c r="A11" t="s">
        <v>231</v>
      </c>
    </row>
    <row r="12" spans="1:1" x14ac:dyDescent="0.25">
      <c r="A12" t="s">
        <v>232</v>
      </c>
    </row>
    <row r="13" spans="1:1" x14ac:dyDescent="0.25">
      <c r="A13" s="93" t="s">
        <v>233</v>
      </c>
    </row>
    <row r="14" spans="1:1" x14ac:dyDescent="0.25">
      <c r="A14" s="93" t="s">
        <v>234</v>
      </c>
    </row>
    <row r="15" spans="1:1" x14ac:dyDescent="0.25">
      <c r="A15" s="93" t="s">
        <v>235</v>
      </c>
    </row>
    <row r="16" spans="1:1" x14ac:dyDescent="0.25">
      <c r="A16" s="93" t="s">
        <v>236</v>
      </c>
    </row>
    <row r="17" spans="1:1" x14ac:dyDescent="0.25">
      <c r="A17" s="93" t="s">
        <v>237</v>
      </c>
    </row>
    <row r="18" spans="1:1" x14ac:dyDescent="0.25">
      <c r="A18" t="s">
        <v>238</v>
      </c>
    </row>
    <row r="19" spans="1:1" x14ac:dyDescent="0.25">
      <c r="A19" t="s">
        <v>239</v>
      </c>
    </row>
    <row r="20" spans="1:1" x14ac:dyDescent="0.25">
      <c r="A20" t="s">
        <v>240</v>
      </c>
    </row>
    <row r="21" spans="1:1" x14ac:dyDescent="0.25">
      <c r="A21" t="s">
        <v>241</v>
      </c>
    </row>
    <row r="22" spans="1:1" x14ac:dyDescent="0.25">
      <c r="A22" t="s">
        <v>242</v>
      </c>
    </row>
    <row r="23" spans="1:1" x14ac:dyDescent="0.25">
      <c r="A23" t="s">
        <v>243</v>
      </c>
    </row>
    <row r="24" spans="1:1" x14ac:dyDescent="0.25">
      <c r="A24" t="s">
        <v>244</v>
      </c>
    </row>
    <row r="25" spans="1:1" x14ac:dyDescent="0.25">
      <c r="A25" t="s">
        <v>245</v>
      </c>
    </row>
    <row r="26" spans="1:1" x14ac:dyDescent="0.25">
      <c r="A26" s="93" t="s">
        <v>246</v>
      </c>
    </row>
    <row r="27" spans="1:1" x14ac:dyDescent="0.25">
      <c r="A27" s="29" t="s">
        <v>247</v>
      </c>
    </row>
    <row r="28" spans="1:1" x14ac:dyDescent="0.25">
      <c r="A28" s="29" t="s">
        <v>248</v>
      </c>
    </row>
    <row r="29" spans="1:1" x14ac:dyDescent="0.25">
      <c r="A29" s="29" t="s">
        <v>249</v>
      </c>
    </row>
    <row r="30" spans="1:1" x14ac:dyDescent="0.25">
      <c r="A30" s="29" t="s">
        <v>250</v>
      </c>
    </row>
    <row r="31" spans="1:1" x14ac:dyDescent="0.25">
      <c r="A31" s="93" t="s">
        <v>251</v>
      </c>
    </row>
    <row r="32" spans="1:1" x14ac:dyDescent="0.25">
      <c r="A32" s="93" t="s">
        <v>252</v>
      </c>
    </row>
    <row r="33" spans="1:1" x14ac:dyDescent="0.25">
      <c r="A33" s="93" t="s">
        <v>253</v>
      </c>
    </row>
    <row r="34" spans="1:1" x14ac:dyDescent="0.25">
      <c r="A34" s="93" t="s">
        <v>254</v>
      </c>
    </row>
    <row r="35" spans="1:1" x14ac:dyDescent="0.25">
      <c r="A35" s="124" t="s">
        <v>255</v>
      </c>
    </row>
    <row r="36" spans="1:1" x14ac:dyDescent="0.25">
      <c r="A36" s="124" t="s">
        <v>256</v>
      </c>
    </row>
    <row r="37" spans="1:1" x14ac:dyDescent="0.25">
      <c r="A37" s="124" t="s">
        <v>257</v>
      </c>
    </row>
    <row r="38" spans="1:1" x14ac:dyDescent="0.25">
      <c r="A38" s="29" t="s">
        <v>258</v>
      </c>
    </row>
    <row r="39" spans="1:1" x14ac:dyDescent="0.25">
      <c r="A39" s="93" t="s">
        <v>259</v>
      </c>
    </row>
    <row r="40" spans="1:1" x14ac:dyDescent="0.25">
      <c r="A40" s="93" t="s">
        <v>260</v>
      </c>
    </row>
    <row r="41" spans="1:1" x14ac:dyDescent="0.25">
      <c r="A41" s="29" t="s">
        <v>261</v>
      </c>
    </row>
    <row r="42" spans="1:1" x14ac:dyDescent="0.25">
      <c r="A42" s="29" t="s">
        <v>262</v>
      </c>
    </row>
    <row r="43" spans="1:1" x14ac:dyDescent="0.25">
      <c r="A43" s="29" t="s">
        <v>263</v>
      </c>
    </row>
    <row r="44" spans="1:1" x14ac:dyDescent="0.25">
      <c r="A44" s="29" t="s">
        <v>264</v>
      </c>
    </row>
    <row r="45" spans="1:1" x14ac:dyDescent="0.25">
      <c r="A45" s="29" t="s">
        <v>265</v>
      </c>
    </row>
    <row r="46" spans="1:1" x14ac:dyDescent="0.25">
      <c r="A46" s="29" t="s">
        <v>266</v>
      </c>
    </row>
    <row r="47" spans="1:1" x14ac:dyDescent="0.25">
      <c r="A47" s="93" t="s">
        <v>267</v>
      </c>
    </row>
    <row r="48" spans="1:1" x14ac:dyDescent="0.25">
      <c r="A48" s="29" t="s">
        <v>268</v>
      </c>
    </row>
    <row r="49" spans="1:1" x14ac:dyDescent="0.25">
      <c r="A49" s="29" t="s">
        <v>269</v>
      </c>
    </row>
    <row r="50" spans="1:1" x14ac:dyDescent="0.25">
      <c r="A50" s="93" t="s">
        <v>270</v>
      </c>
    </row>
    <row r="51" spans="1:1" x14ac:dyDescent="0.25">
      <c r="A51" s="29" t="s">
        <v>271</v>
      </c>
    </row>
    <row r="52" spans="1:1" x14ac:dyDescent="0.25">
      <c r="A52" s="93" t="s">
        <v>272</v>
      </c>
    </row>
    <row r="53" spans="1:1" x14ac:dyDescent="0.25">
      <c r="A53" s="29" t="s">
        <v>273</v>
      </c>
    </row>
    <row r="54" spans="1:1" x14ac:dyDescent="0.25">
      <c r="A54" s="93" t="s">
        <v>274</v>
      </c>
    </row>
    <row r="55" spans="1:1" x14ac:dyDescent="0.25">
      <c r="A55" s="29" t="s">
        <v>275</v>
      </c>
    </row>
    <row r="56" spans="1:1" x14ac:dyDescent="0.25">
      <c r="A56" s="93" t="s">
        <v>276</v>
      </c>
    </row>
    <row r="57" spans="1:1" x14ac:dyDescent="0.25">
      <c r="A57" s="29" t="s">
        <v>277</v>
      </c>
    </row>
    <row r="58" spans="1:1" x14ac:dyDescent="0.25">
      <c r="A58" s="93" t="s">
        <v>278</v>
      </c>
    </row>
    <row r="59" spans="1:1" x14ac:dyDescent="0.25">
      <c r="A59" s="29" t="s">
        <v>279</v>
      </c>
    </row>
    <row r="60" spans="1:1" x14ac:dyDescent="0.25">
      <c r="A60" s="93" t="s">
        <v>280</v>
      </c>
    </row>
    <row r="61" spans="1:1" x14ac:dyDescent="0.25">
      <c r="A61" s="29" t="s">
        <v>281</v>
      </c>
    </row>
    <row r="62" spans="1:1" x14ac:dyDescent="0.25">
      <c r="A62" s="93" t="s">
        <v>282</v>
      </c>
    </row>
    <row r="63" spans="1:1" x14ac:dyDescent="0.25">
      <c r="A63" s="29" t="s">
        <v>283</v>
      </c>
    </row>
    <row r="64" spans="1:1" x14ac:dyDescent="0.25">
      <c r="A64" s="93" t="s">
        <v>284</v>
      </c>
    </row>
    <row r="65" spans="1:1" x14ac:dyDescent="0.25">
      <c r="A65" s="29" t="s">
        <v>285</v>
      </c>
    </row>
    <row r="66" spans="1:1" x14ac:dyDescent="0.25">
      <c r="A66" s="93" t="s">
        <v>286</v>
      </c>
    </row>
    <row r="67" spans="1:1" x14ac:dyDescent="0.25">
      <c r="A67" s="29" t="s">
        <v>287</v>
      </c>
    </row>
    <row r="68" spans="1:1" x14ac:dyDescent="0.25">
      <c r="A68" s="93" t="s">
        <v>288</v>
      </c>
    </row>
    <row r="69" spans="1:1" x14ac:dyDescent="0.25">
      <c r="A69" s="29" t="s">
        <v>289</v>
      </c>
    </row>
    <row r="70" spans="1:1" x14ac:dyDescent="0.25">
      <c r="A70" s="93" t="s">
        <v>290</v>
      </c>
    </row>
    <row r="71" spans="1:1" x14ac:dyDescent="0.25">
      <c r="A71" s="29" t="s">
        <v>291</v>
      </c>
    </row>
    <row r="201" spans="1:1" x14ac:dyDescent="0.25">
      <c r="A201" s="93" t="s">
        <v>292</v>
      </c>
    </row>
    <row r="202" spans="1:1" x14ac:dyDescent="0.25">
      <c r="A202" s="29" t="s">
        <v>293</v>
      </c>
    </row>
    <row r="203" spans="1:1" x14ac:dyDescent="0.25">
      <c r="A203" s="93" t="s">
        <v>294</v>
      </c>
    </row>
    <row r="204" spans="1:1" x14ac:dyDescent="0.25">
      <c r="A204" s="29" t="s">
        <v>295</v>
      </c>
    </row>
    <row r="205" spans="1:1" x14ac:dyDescent="0.25">
      <c r="A205" s="93" t="s">
        <v>296</v>
      </c>
    </row>
    <row r="206" spans="1:1" x14ac:dyDescent="0.25">
      <c r="A206" s="29" t="s">
        <v>297</v>
      </c>
    </row>
    <row r="207" spans="1:1" x14ac:dyDescent="0.25">
      <c r="A207" s="93" t="s">
        <v>298</v>
      </c>
    </row>
    <row r="208" spans="1:1" x14ac:dyDescent="0.25">
      <c r="A208" s="29" t="s">
        <v>299</v>
      </c>
    </row>
    <row r="209" spans="1:1" x14ac:dyDescent="0.25">
      <c r="A209" s="124" t="s">
        <v>300</v>
      </c>
    </row>
    <row r="210" spans="1:1" x14ac:dyDescent="0.25">
      <c r="A210" s="93" t="s">
        <v>301</v>
      </c>
    </row>
    <row r="211" spans="1:1" x14ac:dyDescent="0.25">
      <c r="A211" s="93" t="s">
        <v>302</v>
      </c>
    </row>
    <row r="212" spans="1:1" x14ac:dyDescent="0.25">
      <c r="A212" s="29" t="s">
        <v>303</v>
      </c>
    </row>
    <row r="213" spans="1:1" x14ac:dyDescent="0.25">
      <c r="A213" s="93" t="s">
        <v>304</v>
      </c>
    </row>
    <row r="214" spans="1:1" x14ac:dyDescent="0.25">
      <c r="A214" s="29" t="s">
        <v>305</v>
      </c>
    </row>
    <row r="215" spans="1:1" x14ac:dyDescent="0.25">
      <c r="A215" s="93" t="s">
        <v>306</v>
      </c>
    </row>
    <row r="216" spans="1:1" x14ac:dyDescent="0.25">
      <c r="A216" s="29" t="s">
        <v>307</v>
      </c>
    </row>
    <row r="217" spans="1:1" x14ac:dyDescent="0.25">
      <c r="A217" s="93" t="s">
        <v>308</v>
      </c>
    </row>
    <row r="218" spans="1:1" x14ac:dyDescent="0.25">
      <c r="A218" s="29" t="s">
        <v>309</v>
      </c>
    </row>
    <row r="219" spans="1:1" x14ac:dyDescent="0.25">
      <c r="A219" s="93" t="s">
        <v>310</v>
      </c>
    </row>
    <row r="220" spans="1:1" x14ac:dyDescent="0.25">
      <c r="A220" s="29" t="s">
        <v>311</v>
      </c>
    </row>
    <row r="221" spans="1:1" x14ac:dyDescent="0.25">
      <c r="A221" s="93" t="s">
        <v>312</v>
      </c>
    </row>
    <row r="222" spans="1:1" x14ac:dyDescent="0.25">
      <c r="A222" s="29" t="s">
        <v>313</v>
      </c>
    </row>
    <row r="223" spans="1:1" x14ac:dyDescent="0.25">
      <c r="A223" s="93" t="s">
        <v>314</v>
      </c>
    </row>
    <row r="224" spans="1:1" x14ac:dyDescent="0.25">
      <c r="A224" s="29" t="s">
        <v>315</v>
      </c>
    </row>
    <row r="225" spans="1:1" x14ac:dyDescent="0.25">
      <c r="A225" s="93" t="s">
        <v>316</v>
      </c>
    </row>
    <row r="226" spans="1:1" x14ac:dyDescent="0.25">
      <c r="A226" s="29" t="s">
        <v>317</v>
      </c>
    </row>
    <row r="227" spans="1:1" x14ac:dyDescent="0.25">
      <c r="A227" s="93" t="s">
        <v>318</v>
      </c>
    </row>
    <row r="228" spans="1:1" x14ac:dyDescent="0.25">
      <c r="A228" s="29" t="s">
        <v>319</v>
      </c>
    </row>
    <row r="229" spans="1:1" x14ac:dyDescent="0.25">
      <c r="A229" s="93" t="s">
        <v>320</v>
      </c>
    </row>
    <row r="230" spans="1:1" x14ac:dyDescent="0.25">
      <c r="A230" s="29" t="s">
        <v>321</v>
      </c>
    </row>
    <row r="231" spans="1:1" x14ac:dyDescent="0.25">
      <c r="A231" s="93" t="s">
        <v>322</v>
      </c>
    </row>
    <row r="232" spans="1:1" x14ac:dyDescent="0.25">
      <c r="A232" s="29" t="s">
        <v>323</v>
      </c>
    </row>
    <row r="233" spans="1:1" x14ac:dyDescent="0.25">
      <c r="A233" s="93" t="s">
        <v>324</v>
      </c>
    </row>
    <row r="234" spans="1:1" x14ac:dyDescent="0.25">
      <c r="A234" s="29" t="s">
        <v>325</v>
      </c>
    </row>
    <row r="235" spans="1:1" x14ac:dyDescent="0.25">
      <c r="A235" s="93" t="s">
        <v>326</v>
      </c>
    </row>
    <row r="236" spans="1:1" x14ac:dyDescent="0.25">
      <c r="A236" s="29" t="s">
        <v>327</v>
      </c>
    </row>
    <row r="237" spans="1:1" x14ac:dyDescent="0.25">
      <c r="A237" s="93" t="s">
        <v>328</v>
      </c>
    </row>
    <row r="238" spans="1:1" x14ac:dyDescent="0.25">
      <c r="A238" s="29" t="s">
        <v>329</v>
      </c>
    </row>
    <row r="239" spans="1:1" x14ac:dyDescent="0.25">
      <c r="A239" s="93" t="s">
        <v>330</v>
      </c>
    </row>
    <row r="240" spans="1:1" x14ac:dyDescent="0.25">
      <c r="A240" s="29" t="s">
        <v>331</v>
      </c>
    </row>
    <row r="241" spans="1:1" x14ac:dyDescent="0.25">
      <c r="A241" s="93" t="s">
        <v>332</v>
      </c>
    </row>
    <row r="242" spans="1:1" x14ac:dyDescent="0.25">
      <c r="A242" s="29" t="s">
        <v>333</v>
      </c>
    </row>
    <row r="243" spans="1:1" x14ac:dyDescent="0.25">
      <c r="A243" s="93" t="s">
        <v>334</v>
      </c>
    </row>
    <row r="244" spans="1:1" x14ac:dyDescent="0.25">
      <c r="A244" s="29" t="s">
        <v>335</v>
      </c>
    </row>
    <row r="245" spans="1:1" x14ac:dyDescent="0.25">
      <c r="A245" s="93" t="s">
        <v>336</v>
      </c>
    </row>
    <row r="246" spans="1:1" x14ac:dyDescent="0.25">
      <c r="A246" s="29" t="s">
        <v>337</v>
      </c>
    </row>
    <row r="247" spans="1:1" x14ac:dyDescent="0.25">
      <c r="A247" s="93" t="s">
        <v>338</v>
      </c>
    </row>
    <row r="248" spans="1:1" x14ac:dyDescent="0.25">
      <c r="A248" s="29" t="s">
        <v>339</v>
      </c>
    </row>
    <row r="249" spans="1:1" x14ac:dyDescent="0.25">
      <c r="A249" s="93" t="s">
        <v>340</v>
      </c>
    </row>
    <row r="250" spans="1:1" x14ac:dyDescent="0.25">
      <c r="A250" s="29" t="s">
        <v>341</v>
      </c>
    </row>
    <row r="251" spans="1:1" x14ac:dyDescent="0.25">
      <c r="A251" s="93" t="s">
        <v>342</v>
      </c>
    </row>
    <row r="252" spans="1:1" x14ac:dyDescent="0.25">
      <c r="A252" s="29" t="s">
        <v>343</v>
      </c>
    </row>
    <row r="253" spans="1:1" x14ac:dyDescent="0.25">
      <c r="A253" s="93" t="s">
        <v>344</v>
      </c>
    </row>
    <row r="254" spans="1:1" x14ac:dyDescent="0.25">
      <c r="A254" s="29" t="s">
        <v>345</v>
      </c>
    </row>
    <row r="255" spans="1:1" x14ac:dyDescent="0.25">
      <c r="A255" s="93" t="s">
        <v>346</v>
      </c>
    </row>
    <row r="256" spans="1:1" x14ac:dyDescent="0.25">
      <c r="A256" s="29" t="s">
        <v>347</v>
      </c>
    </row>
    <row r="257" spans="1:1" x14ac:dyDescent="0.25">
      <c r="A257" s="93" t="s">
        <v>348</v>
      </c>
    </row>
    <row r="258" spans="1:1" x14ac:dyDescent="0.25">
      <c r="A258" s="29" t="s">
        <v>349</v>
      </c>
    </row>
    <row r="259" spans="1:1" x14ac:dyDescent="0.25">
      <c r="A259" s="93" t="s">
        <v>350</v>
      </c>
    </row>
    <row r="260" spans="1:1" x14ac:dyDescent="0.25">
      <c r="A260" s="29" t="s">
        <v>351</v>
      </c>
    </row>
    <row r="261" spans="1:1" x14ac:dyDescent="0.25">
      <c r="A261" s="93" t="s">
        <v>352</v>
      </c>
    </row>
    <row r="262" spans="1:1" x14ac:dyDescent="0.25">
      <c r="A262" s="29" t="s">
        <v>353</v>
      </c>
    </row>
    <row r="263" spans="1:1" x14ac:dyDescent="0.25">
      <c r="A263" s="93" t="s">
        <v>354</v>
      </c>
    </row>
    <row r="264" spans="1:1" x14ac:dyDescent="0.25">
      <c r="A264" s="29" t="s">
        <v>355</v>
      </c>
    </row>
    <row r="265" spans="1:1" x14ac:dyDescent="0.25">
      <c r="A265" s="93" t="s">
        <v>356</v>
      </c>
    </row>
    <row r="266" spans="1:1" x14ac:dyDescent="0.25">
      <c r="A266" s="29" t="s">
        <v>357</v>
      </c>
    </row>
    <row r="267" spans="1:1" x14ac:dyDescent="0.25">
      <c r="A267" s="93" t="s">
        <v>358</v>
      </c>
    </row>
    <row r="268" spans="1:1" x14ac:dyDescent="0.25">
      <c r="A268" s="29" t="s">
        <v>359</v>
      </c>
    </row>
    <row r="269" spans="1:1" x14ac:dyDescent="0.25">
      <c r="A269" s="93" t="s">
        <v>360</v>
      </c>
    </row>
    <row r="270" spans="1:1" x14ac:dyDescent="0.25">
      <c r="A270" s="29" t="s">
        <v>361</v>
      </c>
    </row>
    <row r="271" spans="1:1" x14ac:dyDescent="0.25">
      <c r="A271" s="93" t="s">
        <v>362</v>
      </c>
    </row>
    <row r="272" spans="1:1" x14ac:dyDescent="0.25">
      <c r="A272" s="29" t="s">
        <v>363</v>
      </c>
    </row>
    <row r="273" spans="1:1" x14ac:dyDescent="0.25">
      <c r="A273" s="93" t="s">
        <v>364</v>
      </c>
    </row>
    <row r="274" spans="1:1" x14ac:dyDescent="0.25">
      <c r="A274" s="29" t="s">
        <v>365</v>
      </c>
    </row>
    <row r="275" spans="1:1" x14ac:dyDescent="0.25">
      <c r="A275" s="93" t="s">
        <v>366</v>
      </c>
    </row>
    <row r="276" spans="1:1" x14ac:dyDescent="0.25">
      <c r="A276" s="29" t="s">
        <v>367</v>
      </c>
    </row>
    <row r="277" spans="1:1" x14ac:dyDescent="0.25">
      <c r="A277" s="29" t="s">
        <v>368</v>
      </c>
    </row>
    <row r="278" spans="1:1" x14ac:dyDescent="0.25">
      <c r="A278" s="93" t="s">
        <v>369</v>
      </c>
    </row>
    <row r="279" spans="1:1" x14ac:dyDescent="0.25">
      <c r="A279" s="29" t="s">
        <v>370</v>
      </c>
    </row>
    <row r="280" spans="1:1" x14ac:dyDescent="0.25">
      <c r="A280" s="93" t="s">
        <v>371</v>
      </c>
    </row>
    <row r="281" spans="1:1" x14ac:dyDescent="0.25">
      <c r="A281" s="29" t="s">
        <v>372</v>
      </c>
    </row>
    <row r="282" spans="1:1" x14ac:dyDescent="0.25">
      <c r="A282" s="93" t="s">
        <v>373</v>
      </c>
    </row>
    <row r="283" spans="1:1" x14ac:dyDescent="0.25">
      <c r="A283" s="29" t="s">
        <v>374</v>
      </c>
    </row>
    <row r="284" spans="1:1" x14ac:dyDescent="0.25">
      <c r="A284" s="93" t="s">
        <v>375</v>
      </c>
    </row>
    <row r="285" spans="1:1" x14ac:dyDescent="0.25">
      <c r="A285" s="29" t="s">
        <v>376</v>
      </c>
    </row>
    <row r="286" spans="1:1" x14ac:dyDescent="0.25">
      <c r="A286" s="93" t="s">
        <v>377</v>
      </c>
    </row>
    <row r="287" spans="1:1" x14ac:dyDescent="0.25">
      <c r="A287" s="29" t="s">
        <v>378</v>
      </c>
    </row>
    <row r="288" spans="1:1" x14ac:dyDescent="0.25">
      <c r="A288" s="93" t="s">
        <v>379</v>
      </c>
    </row>
    <row r="289" spans="1:1" x14ac:dyDescent="0.25">
      <c r="A289" s="29" t="s">
        <v>380</v>
      </c>
    </row>
    <row r="290" spans="1:1" x14ac:dyDescent="0.25">
      <c r="A290" s="93" t="s">
        <v>381</v>
      </c>
    </row>
    <row r="291" spans="1:1" x14ac:dyDescent="0.25">
      <c r="A291" s="29" t="s">
        <v>382</v>
      </c>
    </row>
    <row r="292" spans="1:1" x14ac:dyDescent="0.25">
      <c r="A292" s="93" t="s">
        <v>383</v>
      </c>
    </row>
    <row r="293" spans="1:1" x14ac:dyDescent="0.25">
      <c r="A293" s="29" t="s">
        <v>384</v>
      </c>
    </row>
    <row r="294" spans="1:1" x14ac:dyDescent="0.25">
      <c r="A294" s="93" t="s">
        <v>385</v>
      </c>
    </row>
    <row r="295" spans="1:1" x14ac:dyDescent="0.25">
      <c r="A295" s="29" t="s">
        <v>386</v>
      </c>
    </row>
    <row r="296" spans="1:1" x14ac:dyDescent="0.25">
      <c r="A296" s="93" t="s">
        <v>387</v>
      </c>
    </row>
    <row r="297" spans="1:1" x14ac:dyDescent="0.25">
      <c r="A297" s="29" t="s">
        <v>388</v>
      </c>
    </row>
    <row r="298" spans="1:1" x14ac:dyDescent="0.25">
      <c r="A298" s="93" t="s">
        <v>389</v>
      </c>
    </row>
    <row r="299" spans="1:1" x14ac:dyDescent="0.25">
      <c r="A299" s="29" t="s">
        <v>390</v>
      </c>
    </row>
    <row r="300" spans="1:1" x14ac:dyDescent="0.25">
      <c r="A300" s="93" t="s">
        <v>391</v>
      </c>
    </row>
    <row r="301" spans="1:1" x14ac:dyDescent="0.25">
      <c r="A301" s="29" t="s">
        <v>392</v>
      </c>
    </row>
    <row r="302" spans="1:1" x14ac:dyDescent="0.25">
      <c r="A302" s="93" t="s">
        <v>393</v>
      </c>
    </row>
    <row r="303" spans="1:1" x14ac:dyDescent="0.25">
      <c r="A303" s="29" t="s">
        <v>394</v>
      </c>
    </row>
    <row r="304" spans="1:1" x14ac:dyDescent="0.25">
      <c r="A304" s="93" t="s">
        <v>395</v>
      </c>
    </row>
    <row r="305" spans="1:1" x14ac:dyDescent="0.25">
      <c r="A305" s="29" t="s">
        <v>396</v>
      </c>
    </row>
    <row r="306" spans="1:1" x14ac:dyDescent="0.25">
      <c r="A306" s="93" t="s">
        <v>397</v>
      </c>
    </row>
    <row r="307" spans="1:1" x14ac:dyDescent="0.25">
      <c r="A307" s="29" t="s">
        <v>398</v>
      </c>
    </row>
    <row r="308" spans="1:1" x14ac:dyDescent="0.25">
      <c r="A308" s="93" t="s">
        <v>399</v>
      </c>
    </row>
    <row r="309" spans="1:1" x14ac:dyDescent="0.25">
      <c r="A309" s="29" t="s">
        <v>400</v>
      </c>
    </row>
    <row r="310" spans="1:1" x14ac:dyDescent="0.25">
      <c r="A310" s="93" t="s">
        <v>401</v>
      </c>
    </row>
    <row r="311" spans="1:1" x14ac:dyDescent="0.25">
      <c r="A311" s="29" t="s">
        <v>402</v>
      </c>
    </row>
    <row r="312" spans="1:1" x14ac:dyDescent="0.25">
      <c r="A312" s="93" t="s">
        <v>403</v>
      </c>
    </row>
    <row r="313" spans="1:1" x14ac:dyDescent="0.25">
      <c r="A313" s="29" t="s">
        <v>404</v>
      </c>
    </row>
    <row r="314" spans="1:1" x14ac:dyDescent="0.25">
      <c r="A314" s="93" t="s">
        <v>405</v>
      </c>
    </row>
    <row r="315" spans="1:1" x14ac:dyDescent="0.25">
      <c r="A315" s="29" t="s">
        <v>406</v>
      </c>
    </row>
    <row r="316" spans="1:1" x14ac:dyDescent="0.25">
      <c r="A316" s="93" t="s">
        <v>407</v>
      </c>
    </row>
    <row r="317" spans="1:1" x14ac:dyDescent="0.25">
      <c r="A317" s="29" t="s">
        <v>408</v>
      </c>
    </row>
    <row r="318" spans="1:1" x14ac:dyDescent="0.25">
      <c r="A318" s="93" t="s">
        <v>409</v>
      </c>
    </row>
    <row r="319" spans="1:1" x14ac:dyDescent="0.25">
      <c r="A319" s="29" t="s">
        <v>410</v>
      </c>
    </row>
    <row r="320" spans="1:1" x14ac:dyDescent="0.25">
      <c r="A320" s="93" t="s">
        <v>411</v>
      </c>
    </row>
    <row r="321" spans="1:1" x14ac:dyDescent="0.25">
      <c r="A321" s="29" t="s">
        <v>412</v>
      </c>
    </row>
    <row r="322" spans="1:1" x14ac:dyDescent="0.25">
      <c r="A322" s="93" t="s">
        <v>413</v>
      </c>
    </row>
    <row r="323" spans="1:1" x14ac:dyDescent="0.25">
      <c r="A323" s="29" t="s">
        <v>414</v>
      </c>
    </row>
    <row r="324" spans="1:1" x14ac:dyDescent="0.25">
      <c r="A324" s="93" t="s">
        <v>415</v>
      </c>
    </row>
    <row r="325" spans="1:1" x14ac:dyDescent="0.25">
      <c r="A325" s="29" t="s">
        <v>416</v>
      </c>
    </row>
    <row r="326" spans="1:1" x14ac:dyDescent="0.25">
      <c r="A326" s="124" t="s">
        <v>417</v>
      </c>
    </row>
    <row r="327" spans="1:1" x14ac:dyDescent="0.25">
      <c r="A327" s="93" t="s">
        <v>418</v>
      </c>
    </row>
    <row r="328" spans="1:1" x14ac:dyDescent="0.25">
      <c r="A328" s="93" t="s">
        <v>419</v>
      </c>
    </row>
    <row r="329" spans="1:1" x14ac:dyDescent="0.25">
      <c r="A329" s="29" t="s">
        <v>420</v>
      </c>
    </row>
    <row r="330" spans="1:1" x14ac:dyDescent="0.25">
      <c r="A330" s="93" t="s">
        <v>421</v>
      </c>
    </row>
    <row r="331" spans="1:1" x14ac:dyDescent="0.25">
      <c r="A331" s="29" t="s">
        <v>422</v>
      </c>
    </row>
    <row r="332" spans="1:1" x14ac:dyDescent="0.25">
      <c r="A332" s="93" t="s">
        <v>423</v>
      </c>
    </row>
    <row r="333" spans="1:1" x14ac:dyDescent="0.25">
      <c r="A333" s="29" t="s">
        <v>424</v>
      </c>
    </row>
    <row r="334" spans="1:1" x14ac:dyDescent="0.25">
      <c r="A334" s="93" t="s">
        <v>425</v>
      </c>
    </row>
    <row r="335" spans="1:1" x14ac:dyDescent="0.25">
      <c r="A335" s="29" t="s">
        <v>426</v>
      </c>
    </row>
    <row r="336" spans="1:1" x14ac:dyDescent="0.25">
      <c r="A336" s="93" t="s">
        <v>427</v>
      </c>
    </row>
    <row r="337" spans="1:1" x14ac:dyDescent="0.25">
      <c r="A337" s="29" t="s">
        <v>428</v>
      </c>
    </row>
    <row r="338" spans="1:1" x14ac:dyDescent="0.25">
      <c r="A338" s="93" t="s">
        <v>429</v>
      </c>
    </row>
    <row r="339" spans="1:1" x14ac:dyDescent="0.25">
      <c r="A339" s="29" t="s">
        <v>430</v>
      </c>
    </row>
    <row r="340" spans="1:1" x14ac:dyDescent="0.25">
      <c r="A340" s="93" t="s">
        <v>431</v>
      </c>
    </row>
    <row r="341" spans="1:1" x14ac:dyDescent="0.25">
      <c r="A341" s="29" t="s">
        <v>432</v>
      </c>
    </row>
    <row r="342" spans="1:1" x14ac:dyDescent="0.25">
      <c r="A342" s="93" t="s">
        <v>433</v>
      </c>
    </row>
    <row r="343" spans="1:1" x14ac:dyDescent="0.25">
      <c r="A343" s="29" t="s">
        <v>434</v>
      </c>
    </row>
    <row r="344" spans="1:1" x14ac:dyDescent="0.25">
      <c r="A344" s="93" t="s">
        <v>435</v>
      </c>
    </row>
    <row r="345" spans="1:1" x14ac:dyDescent="0.25">
      <c r="A345" s="29" t="s">
        <v>436</v>
      </c>
    </row>
    <row r="346" spans="1:1" x14ac:dyDescent="0.25">
      <c r="A346" s="93" t="s">
        <v>437</v>
      </c>
    </row>
    <row r="347" spans="1:1" x14ac:dyDescent="0.25">
      <c r="A347" s="29" t="s">
        <v>438</v>
      </c>
    </row>
    <row r="348" spans="1:1" x14ac:dyDescent="0.25">
      <c r="A348" s="93" t="s">
        <v>439</v>
      </c>
    </row>
    <row r="349" spans="1:1" x14ac:dyDescent="0.25">
      <c r="A349" s="29" t="s">
        <v>440</v>
      </c>
    </row>
    <row r="350" spans="1:1" x14ac:dyDescent="0.25">
      <c r="A350" s="93" t="s">
        <v>441</v>
      </c>
    </row>
    <row r="351" spans="1:1" x14ac:dyDescent="0.25">
      <c r="A351" s="29" t="s">
        <v>442</v>
      </c>
    </row>
    <row r="352" spans="1:1" x14ac:dyDescent="0.25">
      <c r="A352" s="93" t="s">
        <v>443</v>
      </c>
    </row>
    <row r="353" spans="1:1" x14ac:dyDescent="0.25">
      <c r="A353" s="93" t="s">
        <v>444</v>
      </c>
    </row>
    <row r="354" spans="1:1" x14ac:dyDescent="0.25">
      <c r="A354" s="93" t="s">
        <v>445</v>
      </c>
    </row>
    <row r="355" spans="1:1" x14ac:dyDescent="0.25">
      <c r="A355" s="124" t="s">
        <v>446</v>
      </c>
    </row>
    <row r="356" spans="1:1" x14ac:dyDescent="0.25">
      <c r="A356" s="124" t="s">
        <v>447</v>
      </c>
    </row>
    <row r="357" spans="1:1" x14ac:dyDescent="0.25">
      <c r="A357" s="29" t="s">
        <v>448</v>
      </c>
    </row>
    <row r="358" spans="1:1" x14ac:dyDescent="0.25">
      <c r="A358" s="93" t="s">
        <v>449</v>
      </c>
    </row>
    <row r="359" spans="1:1" x14ac:dyDescent="0.25">
      <c r="A359" s="93" t="s">
        <v>450</v>
      </c>
    </row>
    <row r="360" spans="1:1" x14ac:dyDescent="0.25">
      <c r="A360" s="93" t="s">
        <v>451</v>
      </c>
    </row>
    <row r="361" spans="1:1" x14ac:dyDescent="0.25">
      <c r="A361" s="93" t="s">
        <v>452</v>
      </c>
    </row>
    <row r="362" spans="1:1" x14ac:dyDescent="0.25">
      <c r="A362" s="124" t="s">
        <v>453</v>
      </c>
    </row>
    <row r="363" spans="1:1" x14ac:dyDescent="0.25">
      <c r="A363" s="124" t="s">
        <v>454</v>
      </c>
    </row>
    <row r="364" spans="1:1" x14ac:dyDescent="0.25">
      <c r="A364" s="29" t="s">
        <v>455</v>
      </c>
    </row>
    <row r="365" spans="1:1" x14ac:dyDescent="0.25">
      <c r="A365" s="93" t="s">
        <v>456</v>
      </c>
    </row>
    <row r="366" spans="1:1" x14ac:dyDescent="0.25">
      <c r="A366" s="93" t="s">
        <v>457</v>
      </c>
    </row>
    <row r="367" spans="1:1" x14ac:dyDescent="0.25">
      <c r="A367" s="93" t="s">
        <v>458</v>
      </c>
    </row>
    <row r="368" spans="1:1" x14ac:dyDescent="0.25">
      <c r="A368" s="93" t="s">
        <v>459</v>
      </c>
    </row>
    <row r="369" spans="1:1" x14ac:dyDescent="0.25">
      <c r="A369" s="124" t="s">
        <v>460</v>
      </c>
    </row>
    <row r="370" spans="1:1" x14ac:dyDescent="0.25">
      <c r="A370" s="124" t="s">
        <v>461</v>
      </c>
    </row>
    <row r="371" spans="1:1" x14ac:dyDescent="0.25">
      <c r="A371" s="29" t="s">
        <v>462</v>
      </c>
    </row>
    <row r="372" spans="1:1" x14ac:dyDescent="0.25">
      <c r="A372" s="93" t="s">
        <v>463</v>
      </c>
    </row>
    <row r="373" spans="1:1" x14ac:dyDescent="0.25">
      <c r="A373" s="93" t="s">
        <v>464</v>
      </c>
    </row>
    <row r="374" spans="1:1" x14ac:dyDescent="0.25">
      <c r="A374" s="93" t="s">
        <v>465</v>
      </c>
    </row>
    <row r="375" spans="1:1" x14ac:dyDescent="0.25">
      <c r="A375" s="93" t="s">
        <v>466</v>
      </c>
    </row>
    <row r="376" spans="1:1" x14ac:dyDescent="0.25">
      <c r="A376" s="124" t="s">
        <v>467</v>
      </c>
    </row>
    <row r="377" spans="1:1" x14ac:dyDescent="0.25">
      <c r="A377" s="124" t="s">
        <v>468</v>
      </c>
    </row>
    <row r="378" spans="1:1" x14ac:dyDescent="0.25">
      <c r="A378" s="29" t="s">
        <v>469</v>
      </c>
    </row>
    <row r="379" spans="1:1" x14ac:dyDescent="0.25">
      <c r="A379" s="93" t="s">
        <v>470</v>
      </c>
    </row>
    <row r="380" spans="1:1" x14ac:dyDescent="0.25">
      <c r="A380" s="93" t="s">
        <v>471</v>
      </c>
    </row>
    <row r="381" spans="1:1" x14ac:dyDescent="0.25">
      <c r="A381" s="93" t="s">
        <v>472</v>
      </c>
    </row>
    <row r="382" spans="1:1" x14ac:dyDescent="0.25">
      <c r="A382" s="93" t="s">
        <v>473</v>
      </c>
    </row>
    <row r="383" spans="1:1" x14ac:dyDescent="0.25">
      <c r="A383" s="124" t="s">
        <v>474</v>
      </c>
    </row>
    <row r="384" spans="1:1" x14ac:dyDescent="0.25">
      <c r="A384" s="124" t="s">
        <v>475</v>
      </c>
    </row>
    <row r="385" spans="1:1" x14ac:dyDescent="0.25">
      <c r="A385" s="29" t="s">
        <v>476</v>
      </c>
    </row>
    <row r="386" spans="1:1" x14ac:dyDescent="0.25">
      <c r="A386" s="93" t="s">
        <v>477</v>
      </c>
    </row>
    <row r="387" spans="1:1" x14ac:dyDescent="0.25">
      <c r="A387" s="93" t="s">
        <v>478</v>
      </c>
    </row>
    <row r="388" spans="1:1" x14ac:dyDescent="0.25">
      <c r="A388" s="29" t="s">
        <v>479</v>
      </c>
    </row>
    <row r="389" spans="1:1" x14ac:dyDescent="0.25">
      <c r="A389" s="93" t="s">
        <v>480</v>
      </c>
    </row>
    <row r="390" spans="1:1" x14ac:dyDescent="0.25">
      <c r="A390" s="29" t="s">
        <v>481</v>
      </c>
    </row>
    <row r="391" spans="1:1" x14ac:dyDescent="0.25">
      <c r="A391" s="93" t="s">
        <v>482</v>
      </c>
    </row>
    <row r="392" spans="1:1" x14ac:dyDescent="0.25">
      <c r="A392" s="29" t="s">
        <v>483</v>
      </c>
    </row>
    <row r="393" spans="1:1" x14ac:dyDescent="0.25">
      <c r="A393" s="93" t="s">
        <v>484</v>
      </c>
    </row>
    <row r="394" spans="1:1" x14ac:dyDescent="0.25">
      <c r="A394" s="29" t="s">
        <v>485</v>
      </c>
    </row>
    <row r="395" spans="1:1" x14ac:dyDescent="0.25">
      <c r="A395" s="93" t="s">
        <v>486</v>
      </c>
    </row>
    <row r="396" spans="1:1" x14ac:dyDescent="0.25">
      <c r="A396" s="29" t="s">
        <v>487</v>
      </c>
    </row>
    <row r="397" spans="1:1" x14ac:dyDescent="0.25">
      <c r="A397" s="93" t="s">
        <v>488</v>
      </c>
    </row>
    <row r="398" spans="1:1" x14ac:dyDescent="0.25">
      <c r="A398" s="29" t="s">
        <v>489</v>
      </c>
    </row>
    <row r="399" spans="1:1" x14ac:dyDescent="0.25">
      <c r="A399" s="93" t="s">
        <v>490</v>
      </c>
    </row>
    <row r="400" spans="1:1" x14ac:dyDescent="0.25">
      <c r="A400" s="29" t="s">
        <v>491</v>
      </c>
    </row>
    <row r="401" spans="1:1" x14ac:dyDescent="0.25">
      <c r="A401" s="93" t="s">
        <v>492</v>
      </c>
    </row>
    <row r="402" spans="1:1" x14ac:dyDescent="0.25">
      <c r="A402" s="29" t="s">
        <v>493</v>
      </c>
    </row>
    <row r="403" spans="1:1" x14ac:dyDescent="0.25">
      <c r="A403" s="93" t="s">
        <v>494</v>
      </c>
    </row>
    <row r="404" spans="1:1" x14ac:dyDescent="0.25">
      <c r="A404" s="29" t="s">
        <v>495</v>
      </c>
    </row>
    <row r="405" spans="1:1" x14ac:dyDescent="0.25">
      <c r="A405" s="93" t="s">
        <v>496</v>
      </c>
    </row>
    <row r="406" spans="1:1" x14ac:dyDescent="0.25">
      <c r="A406" s="29" t="s">
        <v>497</v>
      </c>
    </row>
    <row r="407" spans="1:1" x14ac:dyDescent="0.25">
      <c r="A407" s="93" t="s">
        <v>498</v>
      </c>
    </row>
    <row r="408" spans="1:1" x14ac:dyDescent="0.25">
      <c r="A408" s="29" t="s">
        <v>499</v>
      </c>
    </row>
    <row r="409" spans="1:1" x14ac:dyDescent="0.25">
      <c r="A409" s="93" t="s">
        <v>500</v>
      </c>
    </row>
    <row r="410" spans="1:1" x14ac:dyDescent="0.25">
      <c r="A410" s="29" t="s">
        <v>501</v>
      </c>
    </row>
    <row r="411" spans="1:1" x14ac:dyDescent="0.25">
      <c r="A411" s="93" t="s">
        <v>502</v>
      </c>
    </row>
    <row r="412" spans="1:1" x14ac:dyDescent="0.25">
      <c r="A412" s="29" t="s">
        <v>503</v>
      </c>
    </row>
    <row r="413" spans="1:1" x14ac:dyDescent="0.25">
      <c r="A413" s="93" t="s">
        <v>504</v>
      </c>
    </row>
    <row r="414" spans="1:1" x14ac:dyDescent="0.25">
      <c r="A414" s="29" t="s">
        <v>505</v>
      </c>
    </row>
    <row r="415" spans="1:1" x14ac:dyDescent="0.25">
      <c r="A415" s="93" t="s">
        <v>506</v>
      </c>
    </row>
    <row r="416" spans="1:1" x14ac:dyDescent="0.25">
      <c r="A416" s="29" t="s">
        <v>507</v>
      </c>
    </row>
    <row r="417" spans="1:1" x14ac:dyDescent="0.25">
      <c r="A417" s="93" t="s">
        <v>508</v>
      </c>
    </row>
    <row r="418" spans="1:1" x14ac:dyDescent="0.25">
      <c r="A418" s="29" t="s">
        <v>509</v>
      </c>
    </row>
    <row r="419" spans="1:1" x14ac:dyDescent="0.25">
      <c r="A419" s="93" t="s">
        <v>510</v>
      </c>
    </row>
    <row r="420" spans="1:1" x14ac:dyDescent="0.25">
      <c r="A420" s="29" t="s">
        <v>511</v>
      </c>
    </row>
    <row r="421" spans="1:1" x14ac:dyDescent="0.25">
      <c r="A421" s="93" t="s">
        <v>512</v>
      </c>
    </row>
    <row r="422" spans="1:1" x14ac:dyDescent="0.25">
      <c r="A422" s="29" t="s">
        <v>513</v>
      </c>
    </row>
    <row r="423" spans="1:1" x14ac:dyDescent="0.25">
      <c r="A423" s="93" t="s">
        <v>514</v>
      </c>
    </row>
    <row r="424" spans="1:1" x14ac:dyDescent="0.25">
      <c r="A424" s="29" t="s">
        <v>515</v>
      </c>
    </row>
    <row r="425" spans="1:1" x14ac:dyDescent="0.25">
      <c r="A425" s="93" t="s">
        <v>516</v>
      </c>
    </row>
    <row r="426" spans="1:1" x14ac:dyDescent="0.25">
      <c r="A426" s="29" t="s">
        <v>517</v>
      </c>
    </row>
    <row r="427" spans="1:1" x14ac:dyDescent="0.25">
      <c r="A427" s="93" t="s">
        <v>518</v>
      </c>
    </row>
    <row r="428" spans="1:1" x14ac:dyDescent="0.25">
      <c r="A428" s="29" t="s">
        <v>519</v>
      </c>
    </row>
    <row r="429" spans="1:1" x14ac:dyDescent="0.25">
      <c r="A429" s="93" t="s">
        <v>520</v>
      </c>
    </row>
    <row r="430" spans="1:1" x14ac:dyDescent="0.25">
      <c r="A430" s="29" t="s">
        <v>521</v>
      </c>
    </row>
    <row r="431" spans="1:1" x14ac:dyDescent="0.25">
      <c r="A431" s="93" t="s">
        <v>522</v>
      </c>
    </row>
    <row r="432" spans="1:1" x14ac:dyDescent="0.25">
      <c r="A432" s="29" t="s">
        <v>523</v>
      </c>
    </row>
    <row r="433" spans="1:1" x14ac:dyDescent="0.25">
      <c r="A433" s="93" t="s">
        <v>524</v>
      </c>
    </row>
    <row r="434" spans="1:1" x14ac:dyDescent="0.25">
      <c r="A434" s="29" t="s">
        <v>525</v>
      </c>
    </row>
    <row r="435" spans="1:1" x14ac:dyDescent="0.25">
      <c r="A435" s="93" t="s">
        <v>526</v>
      </c>
    </row>
    <row r="436" spans="1:1" x14ac:dyDescent="0.25">
      <c r="A436" s="29" t="s">
        <v>527</v>
      </c>
    </row>
    <row r="437" spans="1:1" x14ac:dyDescent="0.25">
      <c r="A437" s="93" t="s">
        <v>528</v>
      </c>
    </row>
    <row r="438" spans="1:1" x14ac:dyDescent="0.25">
      <c r="A438" s="29" t="s">
        <v>529</v>
      </c>
    </row>
    <row r="439" spans="1:1" x14ac:dyDescent="0.25">
      <c r="A439" s="93" t="s">
        <v>530</v>
      </c>
    </row>
    <row r="440" spans="1:1" x14ac:dyDescent="0.25">
      <c r="A440" s="29" t="s">
        <v>531</v>
      </c>
    </row>
    <row r="441" spans="1:1" x14ac:dyDescent="0.25">
      <c r="A441" s="93" t="s">
        <v>532</v>
      </c>
    </row>
    <row r="442" spans="1:1" x14ac:dyDescent="0.25">
      <c r="A442" s="29" t="s">
        <v>533</v>
      </c>
    </row>
    <row r="443" spans="1:1" x14ac:dyDescent="0.25">
      <c r="A443" s="93" t="s">
        <v>534</v>
      </c>
    </row>
    <row r="444" spans="1:1" x14ac:dyDescent="0.25">
      <c r="A444" s="29" t="s">
        <v>535</v>
      </c>
    </row>
    <row r="445" spans="1:1" x14ac:dyDescent="0.25">
      <c r="A445" s="93" t="s">
        <v>536</v>
      </c>
    </row>
    <row r="446" spans="1:1" x14ac:dyDescent="0.25">
      <c r="A446" s="29" t="s">
        <v>537</v>
      </c>
    </row>
    <row r="447" spans="1:1" x14ac:dyDescent="0.25">
      <c r="A447" s="93" t="s">
        <v>538</v>
      </c>
    </row>
    <row r="448" spans="1:1" x14ac:dyDescent="0.25">
      <c r="A448" s="29" t="s">
        <v>539</v>
      </c>
    </row>
    <row r="449" spans="1:1" x14ac:dyDescent="0.25">
      <c r="A449" s="93" t="s">
        <v>540</v>
      </c>
    </row>
    <row r="450" spans="1:1" x14ac:dyDescent="0.25">
      <c r="A450" s="29" t="s">
        <v>541</v>
      </c>
    </row>
    <row r="451" spans="1:1" x14ac:dyDescent="0.25">
      <c r="A451" s="93" t="s">
        <v>542</v>
      </c>
    </row>
    <row r="452" spans="1:1" x14ac:dyDescent="0.25">
      <c r="A452" s="29" t="s">
        <v>543</v>
      </c>
    </row>
    <row r="453" spans="1:1" x14ac:dyDescent="0.25">
      <c r="A453" s="93" t="s">
        <v>544</v>
      </c>
    </row>
    <row r="454" spans="1:1" x14ac:dyDescent="0.25">
      <c r="A454" s="29" t="s">
        <v>545</v>
      </c>
    </row>
    <row r="455" spans="1:1" x14ac:dyDescent="0.25">
      <c r="A455" s="93" t="s">
        <v>546</v>
      </c>
    </row>
    <row r="456" spans="1:1" x14ac:dyDescent="0.25">
      <c r="A456" s="29" t="s">
        <v>547</v>
      </c>
    </row>
    <row r="457" spans="1:1" x14ac:dyDescent="0.25">
      <c r="A457" s="93" t="s">
        <v>548</v>
      </c>
    </row>
    <row r="458" spans="1:1" x14ac:dyDescent="0.25">
      <c r="A458" s="29" t="s">
        <v>549</v>
      </c>
    </row>
    <row r="459" spans="1:1" x14ac:dyDescent="0.25">
      <c r="A459" s="93" t="s">
        <v>550</v>
      </c>
    </row>
    <row r="460" spans="1:1" x14ac:dyDescent="0.25">
      <c r="A460" s="29" t="s">
        <v>551</v>
      </c>
    </row>
    <row r="461" spans="1:1" x14ac:dyDescent="0.25">
      <c r="A461" s="93" t="s">
        <v>552</v>
      </c>
    </row>
    <row r="462" spans="1:1" x14ac:dyDescent="0.25">
      <c r="A462" s="29" t="s">
        <v>553</v>
      </c>
    </row>
    <row r="463" spans="1:1" x14ac:dyDescent="0.25">
      <c r="A463" s="93" t="s">
        <v>554</v>
      </c>
    </row>
    <row r="464" spans="1:1" x14ac:dyDescent="0.25">
      <c r="A464" s="29" t="s">
        <v>555</v>
      </c>
    </row>
    <row r="465" spans="1:1" x14ac:dyDescent="0.25">
      <c r="A465" s="124" t="s">
        <v>556</v>
      </c>
    </row>
    <row r="466" spans="1:1" x14ac:dyDescent="0.25">
      <c r="A466" s="93" t="s">
        <v>557</v>
      </c>
    </row>
    <row r="467" spans="1:1" x14ac:dyDescent="0.25">
      <c r="A467" s="93" t="s">
        <v>558</v>
      </c>
    </row>
    <row r="468" spans="1:1" x14ac:dyDescent="0.25">
      <c r="A468" s="29" t="s">
        <v>559</v>
      </c>
    </row>
    <row r="469" spans="1:1" x14ac:dyDescent="0.25">
      <c r="A469" s="93" t="s">
        <v>560</v>
      </c>
    </row>
    <row r="470" spans="1:1" x14ac:dyDescent="0.25">
      <c r="A470" s="29" t="s">
        <v>561</v>
      </c>
    </row>
    <row r="471" spans="1:1" x14ac:dyDescent="0.25">
      <c r="A471" s="93" t="s">
        <v>562</v>
      </c>
    </row>
    <row r="472" spans="1:1" x14ac:dyDescent="0.25">
      <c r="A472" s="29" t="s">
        <v>563</v>
      </c>
    </row>
    <row r="473" spans="1:1" x14ac:dyDescent="0.25">
      <c r="A473" s="93" t="s">
        <v>564</v>
      </c>
    </row>
    <row r="474" spans="1:1" x14ac:dyDescent="0.25">
      <c r="A474" s="29" t="s">
        <v>565</v>
      </c>
    </row>
    <row r="475" spans="1:1" x14ac:dyDescent="0.25">
      <c r="A475" s="93" t="s">
        <v>566</v>
      </c>
    </row>
    <row r="476" spans="1:1" x14ac:dyDescent="0.25">
      <c r="A476" s="29" t="s">
        <v>567</v>
      </c>
    </row>
    <row r="477" spans="1:1" x14ac:dyDescent="0.25">
      <c r="A477" s="93" t="s">
        <v>568</v>
      </c>
    </row>
    <row r="478" spans="1:1" x14ac:dyDescent="0.25">
      <c r="A478" s="29" t="s">
        <v>569</v>
      </c>
    </row>
    <row r="479" spans="1:1" x14ac:dyDescent="0.25">
      <c r="A479" s="93" t="s">
        <v>570</v>
      </c>
    </row>
    <row r="480" spans="1:1" x14ac:dyDescent="0.25">
      <c r="A480" s="29" t="s">
        <v>571</v>
      </c>
    </row>
    <row r="481" spans="1:1" x14ac:dyDescent="0.25">
      <c r="A481" s="93" t="s">
        <v>572</v>
      </c>
    </row>
    <row r="482" spans="1:1" x14ac:dyDescent="0.25">
      <c r="A482" s="29" t="s">
        <v>573</v>
      </c>
    </row>
    <row r="483" spans="1:1" x14ac:dyDescent="0.25">
      <c r="A483" s="93" t="s">
        <v>574</v>
      </c>
    </row>
    <row r="484" spans="1:1" x14ac:dyDescent="0.25">
      <c r="A484" s="29" t="s">
        <v>575</v>
      </c>
    </row>
    <row r="485" spans="1:1" x14ac:dyDescent="0.25">
      <c r="A485" s="93" t="s">
        <v>576</v>
      </c>
    </row>
    <row r="486" spans="1:1" x14ac:dyDescent="0.25">
      <c r="A486" s="29" t="s">
        <v>577</v>
      </c>
    </row>
    <row r="487" spans="1:1" x14ac:dyDescent="0.25">
      <c r="A487" s="93" t="s">
        <v>578</v>
      </c>
    </row>
    <row r="488" spans="1:1" x14ac:dyDescent="0.25">
      <c r="A488" s="29" t="s">
        <v>579</v>
      </c>
    </row>
    <row r="489" spans="1:1" x14ac:dyDescent="0.25">
      <c r="A489" s="93" t="s">
        <v>580</v>
      </c>
    </row>
    <row r="490" spans="1:1" x14ac:dyDescent="0.25">
      <c r="A490" s="29" t="s">
        <v>581</v>
      </c>
    </row>
    <row r="491" spans="1:1" x14ac:dyDescent="0.25">
      <c r="A491" s="93" t="s">
        <v>582</v>
      </c>
    </row>
    <row r="492" spans="1:1" x14ac:dyDescent="0.25">
      <c r="A492" s="29" t="s">
        <v>583</v>
      </c>
    </row>
    <row r="493" spans="1:1" x14ac:dyDescent="0.25">
      <c r="A493" s="93" t="s">
        <v>584</v>
      </c>
    </row>
    <row r="494" spans="1:1" x14ac:dyDescent="0.25">
      <c r="A494" s="29" t="s">
        <v>585</v>
      </c>
    </row>
    <row r="495" spans="1:1" x14ac:dyDescent="0.25">
      <c r="A495" s="93" t="s">
        <v>586</v>
      </c>
    </row>
    <row r="496" spans="1:1" x14ac:dyDescent="0.25">
      <c r="A496" s="29" t="s">
        <v>587</v>
      </c>
    </row>
    <row r="497" spans="1:1" x14ac:dyDescent="0.25">
      <c r="A497" s="93" t="s">
        <v>588</v>
      </c>
    </row>
    <row r="498" spans="1:1" x14ac:dyDescent="0.25">
      <c r="A498" s="29" t="s">
        <v>589</v>
      </c>
    </row>
    <row r="499" spans="1:1" x14ac:dyDescent="0.25">
      <c r="A499" s="93" t="s">
        <v>590</v>
      </c>
    </row>
    <row r="500" spans="1:1" x14ac:dyDescent="0.25">
      <c r="A500" s="29" t="s">
        <v>591</v>
      </c>
    </row>
    <row r="501" spans="1:1" x14ac:dyDescent="0.25">
      <c r="A501" s="93" t="s">
        <v>592</v>
      </c>
    </row>
    <row r="502" spans="1:1" x14ac:dyDescent="0.25">
      <c r="A502" s="29" t="s">
        <v>593</v>
      </c>
    </row>
    <row r="503" spans="1:1" x14ac:dyDescent="0.25">
      <c r="A503" s="93" t="s">
        <v>594</v>
      </c>
    </row>
    <row r="504" spans="1:1" x14ac:dyDescent="0.25">
      <c r="A504" s="29" t="s">
        <v>595</v>
      </c>
    </row>
    <row r="505" spans="1:1" x14ac:dyDescent="0.25">
      <c r="A505" s="93" t="s">
        <v>596</v>
      </c>
    </row>
    <row r="506" spans="1:1" x14ac:dyDescent="0.25">
      <c r="A506" s="29" t="s">
        <v>597</v>
      </c>
    </row>
    <row r="507" spans="1:1" x14ac:dyDescent="0.25">
      <c r="A507" s="93" t="s">
        <v>598</v>
      </c>
    </row>
    <row r="508" spans="1:1" x14ac:dyDescent="0.25">
      <c r="A508" s="29" t="s">
        <v>599</v>
      </c>
    </row>
    <row r="509" spans="1:1" x14ac:dyDescent="0.25">
      <c r="A509" s="93" t="s">
        <v>600</v>
      </c>
    </row>
    <row r="510" spans="1:1" x14ac:dyDescent="0.25">
      <c r="A510" s="29" t="s">
        <v>601</v>
      </c>
    </row>
    <row r="511" spans="1:1" x14ac:dyDescent="0.25">
      <c r="A511" s="93" t="s">
        <v>602</v>
      </c>
    </row>
    <row r="512" spans="1:1" x14ac:dyDescent="0.25">
      <c r="A512" s="29" t="s">
        <v>603</v>
      </c>
    </row>
    <row r="513" spans="1:1" x14ac:dyDescent="0.25">
      <c r="A513" s="93" t="s">
        <v>604</v>
      </c>
    </row>
    <row r="514" spans="1:1" x14ac:dyDescent="0.25">
      <c r="A514" s="29" t="s">
        <v>605</v>
      </c>
    </row>
    <row r="515" spans="1:1" x14ac:dyDescent="0.25">
      <c r="A515" s="93" t="s">
        <v>606</v>
      </c>
    </row>
    <row r="516" spans="1:1" x14ac:dyDescent="0.25">
      <c r="A516" s="29" t="s">
        <v>607</v>
      </c>
    </row>
    <row r="517" spans="1:1" x14ac:dyDescent="0.25">
      <c r="A517" s="93" t="s">
        <v>608</v>
      </c>
    </row>
    <row r="518" spans="1:1" x14ac:dyDescent="0.25">
      <c r="A518" s="29" t="s">
        <v>609</v>
      </c>
    </row>
    <row r="519" spans="1:1" x14ac:dyDescent="0.25">
      <c r="A519" s="93" t="s">
        <v>610</v>
      </c>
    </row>
    <row r="520" spans="1:1" x14ac:dyDescent="0.25">
      <c r="A520" s="29" t="s">
        <v>611</v>
      </c>
    </row>
    <row r="521" spans="1:1" x14ac:dyDescent="0.25">
      <c r="A521" s="93" t="s">
        <v>612</v>
      </c>
    </row>
    <row r="522" spans="1:1" x14ac:dyDescent="0.25">
      <c r="A522" s="29" t="s">
        <v>613</v>
      </c>
    </row>
    <row r="523" spans="1:1" x14ac:dyDescent="0.25">
      <c r="A523" s="93" t="s">
        <v>614</v>
      </c>
    </row>
    <row r="524" spans="1:1" x14ac:dyDescent="0.25">
      <c r="A524" s="29" t="s">
        <v>615</v>
      </c>
    </row>
    <row r="525" spans="1:1" x14ac:dyDescent="0.25">
      <c r="A525" s="93" t="s">
        <v>616</v>
      </c>
    </row>
    <row r="526" spans="1:1" x14ac:dyDescent="0.25">
      <c r="A526" s="29" t="s">
        <v>617</v>
      </c>
    </row>
    <row r="527" spans="1:1" x14ac:dyDescent="0.25">
      <c r="A527" s="93" t="s">
        <v>618</v>
      </c>
    </row>
    <row r="528" spans="1:1" x14ac:dyDescent="0.25">
      <c r="A528" s="29" t="s">
        <v>619</v>
      </c>
    </row>
    <row r="529" spans="1:1" x14ac:dyDescent="0.25">
      <c r="A529" s="93" t="s">
        <v>620</v>
      </c>
    </row>
    <row r="530" spans="1:1" x14ac:dyDescent="0.25">
      <c r="A530" s="29" t="s">
        <v>621</v>
      </c>
    </row>
    <row r="531" spans="1:1" x14ac:dyDescent="0.25">
      <c r="A531" s="93" t="s">
        <v>622</v>
      </c>
    </row>
    <row r="532" spans="1:1" x14ac:dyDescent="0.25">
      <c r="A532" s="29" t="s">
        <v>623</v>
      </c>
    </row>
    <row r="533" spans="1:1" x14ac:dyDescent="0.25">
      <c r="A533" s="93" t="s">
        <v>624</v>
      </c>
    </row>
    <row r="534" spans="1:1" x14ac:dyDescent="0.25">
      <c r="A534" s="29" t="s">
        <v>625</v>
      </c>
    </row>
    <row r="535" spans="1:1" x14ac:dyDescent="0.25">
      <c r="A535" s="124" t="s">
        <v>626</v>
      </c>
    </row>
    <row r="536" spans="1:1" x14ac:dyDescent="0.25">
      <c r="A536" s="93" t="s">
        <v>627</v>
      </c>
    </row>
    <row r="597" spans="1:1" x14ac:dyDescent="0.25">
      <c r="A597" s="93" t="s">
        <v>628</v>
      </c>
    </row>
    <row r="598" spans="1:1" x14ac:dyDescent="0.25">
      <c r="A598" s="29" t="s">
        <v>629</v>
      </c>
    </row>
    <row r="599" spans="1:1" x14ac:dyDescent="0.25">
      <c r="A599" s="93" t="s">
        <v>630</v>
      </c>
    </row>
    <row r="600" spans="1:1" x14ac:dyDescent="0.25">
      <c r="A600" s="29" t="s">
        <v>631</v>
      </c>
    </row>
    <row r="601" spans="1:1" x14ac:dyDescent="0.25">
      <c r="A601" s="93" t="s">
        <v>632</v>
      </c>
    </row>
    <row r="602" spans="1:1" x14ac:dyDescent="0.25">
      <c r="A602" s="29" t="s">
        <v>633</v>
      </c>
    </row>
    <row r="603" spans="1:1" x14ac:dyDescent="0.25">
      <c r="A603" s="124" t="s">
        <v>634</v>
      </c>
    </row>
    <row r="604" spans="1:1" x14ac:dyDescent="0.25">
      <c r="A604" s="93" t="s">
        <v>635</v>
      </c>
    </row>
    <row r="605" spans="1:1" x14ac:dyDescent="0.25">
      <c r="A605" s="93" t="s">
        <v>636</v>
      </c>
    </row>
    <row r="606" spans="1:1" x14ac:dyDescent="0.25">
      <c r="A606" s="29" t="s">
        <v>637</v>
      </c>
    </row>
    <row r="607" spans="1:1" x14ac:dyDescent="0.25">
      <c r="A607" s="93" t="s">
        <v>638</v>
      </c>
    </row>
    <row r="608" spans="1:1" x14ac:dyDescent="0.25">
      <c r="A608" s="29" t="s">
        <v>639</v>
      </c>
    </row>
    <row r="865" spans="1:1" x14ac:dyDescent="0.25">
      <c r="A865" s="93" t="s">
        <v>640</v>
      </c>
    </row>
    <row r="866" spans="1:1" x14ac:dyDescent="0.25">
      <c r="A866" s="29" t="s">
        <v>641</v>
      </c>
    </row>
    <row r="867" spans="1:1" x14ac:dyDescent="0.25">
      <c r="A867" s="93" t="s">
        <v>642</v>
      </c>
    </row>
    <row r="868" spans="1:1" x14ac:dyDescent="0.25">
      <c r="A868" s="29" t="s">
        <v>643</v>
      </c>
    </row>
    <row r="869" spans="1:1" x14ac:dyDescent="0.25">
      <c r="A869" s="93" t="s">
        <v>644</v>
      </c>
    </row>
    <row r="870" spans="1:1" x14ac:dyDescent="0.25">
      <c r="A870" s="29" t="s">
        <v>645</v>
      </c>
    </row>
    <row r="871" spans="1:1" x14ac:dyDescent="0.25">
      <c r="A871" s="93" t="s">
        <v>646</v>
      </c>
    </row>
    <row r="872" spans="1:1" x14ac:dyDescent="0.25">
      <c r="A872" s="29" t="s">
        <v>647</v>
      </c>
    </row>
    <row r="873" spans="1:1" x14ac:dyDescent="0.25">
      <c r="A873" s="93" t="s">
        <v>648</v>
      </c>
    </row>
    <row r="874" spans="1:1" x14ac:dyDescent="0.25">
      <c r="A874" s="29" t="s">
        <v>649</v>
      </c>
    </row>
    <row r="875" spans="1:1" x14ac:dyDescent="0.25">
      <c r="A875" s="93" t="s">
        <v>650</v>
      </c>
    </row>
    <row r="876" spans="1:1" x14ac:dyDescent="0.25">
      <c r="A876" s="29" t="s">
        <v>651</v>
      </c>
    </row>
    <row r="877" spans="1:1" x14ac:dyDescent="0.25">
      <c r="A877" s="93" t="s">
        <v>652</v>
      </c>
    </row>
    <row r="878" spans="1:1" x14ac:dyDescent="0.25">
      <c r="A878" s="29" t="s">
        <v>653</v>
      </c>
    </row>
    <row r="879" spans="1:1" x14ac:dyDescent="0.25">
      <c r="A879" s="93" t="s">
        <v>654</v>
      </c>
    </row>
    <row r="880" spans="1:1" x14ac:dyDescent="0.25">
      <c r="A880" s="29" t="s">
        <v>655</v>
      </c>
    </row>
    <row r="881" spans="1:1" x14ac:dyDescent="0.25">
      <c r="A881" s="93" t="s">
        <v>656</v>
      </c>
    </row>
    <row r="882" spans="1:1" x14ac:dyDescent="0.25">
      <c r="A882" s="29" t="s">
        <v>657</v>
      </c>
    </row>
    <row r="883" spans="1:1" x14ac:dyDescent="0.25">
      <c r="A883" s="93" t="s">
        <v>658</v>
      </c>
    </row>
    <row r="884" spans="1:1" x14ac:dyDescent="0.25">
      <c r="A884" s="29" t="s">
        <v>659</v>
      </c>
    </row>
    <row r="885" spans="1:1" x14ac:dyDescent="0.25">
      <c r="A885" s="93" t="s">
        <v>660</v>
      </c>
    </row>
    <row r="886" spans="1:1" x14ac:dyDescent="0.25">
      <c r="A886" s="29" t="s">
        <v>661</v>
      </c>
    </row>
    <row r="1711" spans="1:1" x14ac:dyDescent="0.25">
      <c r="A1711" s="93" t="s">
        <v>662</v>
      </c>
    </row>
    <row r="1712" spans="1:1" x14ac:dyDescent="0.25">
      <c r="A1712" s="29" t="s">
        <v>663</v>
      </c>
    </row>
    <row r="2061" spans="1:1" x14ac:dyDescent="0.25">
      <c r="A2061" s="29" t="s">
        <v>664</v>
      </c>
    </row>
    <row r="2062" spans="1:1" x14ac:dyDescent="0.25">
      <c r="A2062" s="93" t="s">
        <v>665</v>
      </c>
    </row>
    <row r="2063" spans="1:1" x14ac:dyDescent="0.25">
      <c r="A2063" s="29" t="s">
        <v>666</v>
      </c>
    </row>
    <row r="2064" spans="1:1" x14ac:dyDescent="0.25">
      <c r="A2064" s="93" t="s">
        <v>667</v>
      </c>
    </row>
    <row r="2065" spans="1:1" x14ac:dyDescent="0.25">
      <c r="A2065" s="29" t="s">
        <v>668</v>
      </c>
    </row>
    <row r="2066" spans="1:1" x14ac:dyDescent="0.25">
      <c r="A2066" s="124" t="s">
        <v>669</v>
      </c>
    </row>
    <row r="2067" spans="1:1" x14ac:dyDescent="0.25">
      <c r="A2067" s="93" t="s">
        <v>670</v>
      </c>
    </row>
    <row r="2208" spans="1:1" x14ac:dyDescent="0.25">
      <c r="A2208" s="93" t="s">
        <v>671</v>
      </c>
    </row>
    <row r="2209" spans="1:1" x14ac:dyDescent="0.25">
      <c r="A2209" s="29" t="s">
        <v>672</v>
      </c>
    </row>
    <row r="2276" spans="1:1" x14ac:dyDescent="0.25">
      <c r="A2276" s="93" t="s">
        <v>673</v>
      </c>
    </row>
    <row r="2277" spans="1:1" x14ac:dyDescent="0.25">
      <c r="A2277" s="29" t="s">
        <v>674</v>
      </c>
    </row>
    <row r="2278" spans="1:1" x14ac:dyDescent="0.25">
      <c r="A2278" s="93" t="s">
        <v>675</v>
      </c>
    </row>
    <row r="2279" spans="1:1" x14ac:dyDescent="0.25">
      <c r="A2279" s="29" t="s">
        <v>676</v>
      </c>
    </row>
    <row r="2280" spans="1:1" x14ac:dyDescent="0.25">
      <c r="A2280" s="93" t="s">
        <v>677</v>
      </c>
    </row>
    <row r="2281" spans="1:1" x14ac:dyDescent="0.25">
      <c r="A2281" s="29" t="s">
        <v>678</v>
      </c>
    </row>
    <row r="2296" spans="1:1" x14ac:dyDescent="0.25">
      <c r="A2296" s="93" t="s">
        <v>679</v>
      </c>
    </row>
    <row r="2297" spans="1:1" x14ac:dyDescent="0.25">
      <c r="A2297" s="29" t="s">
        <v>680</v>
      </c>
    </row>
    <row r="2298" spans="1:1" x14ac:dyDescent="0.25">
      <c r="A2298" s="93" t="s">
        <v>681</v>
      </c>
    </row>
    <row r="2299" spans="1:1" x14ac:dyDescent="0.25">
      <c r="A2299" s="29" t="s">
        <v>682</v>
      </c>
    </row>
    <row r="2300" spans="1:1" x14ac:dyDescent="0.25">
      <c r="A2300" s="93" t="s">
        <v>683</v>
      </c>
    </row>
    <row r="2301" spans="1:1" x14ac:dyDescent="0.25">
      <c r="A2301" s="29" t="s">
        <v>684</v>
      </c>
    </row>
    <row r="2302" spans="1:1" x14ac:dyDescent="0.25">
      <c r="A2302" s="93" t="s">
        <v>685</v>
      </c>
    </row>
    <row r="2303" spans="1:1" x14ac:dyDescent="0.25">
      <c r="A2303" s="29" t="s">
        <v>686</v>
      </c>
    </row>
    <row r="2304" spans="1:1" x14ac:dyDescent="0.25">
      <c r="A2304" s="93" t="s">
        <v>687</v>
      </c>
    </row>
    <row r="2305" spans="1:1" x14ac:dyDescent="0.25">
      <c r="A2305" s="29" t="s">
        <v>688</v>
      </c>
    </row>
    <row r="2306" spans="1:1" x14ac:dyDescent="0.25">
      <c r="A2306" s="124" t="s">
        <v>689</v>
      </c>
    </row>
    <row r="2307" spans="1:1" x14ac:dyDescent="0.25">
      <c r="A2307" s="93" t="s">
        <v>690</v>
      </c>
    </row>
    <row r="2308" spans="1:1" x14ac:dyDescent="0.25">
      <c r="A2308" s="93" t="s">
        <v>691</v>
      </c>
    </row>
    <row r="2309" spans="1:1" x14ac:dyDescent="0.25">
      <c r="A2309" s="29" t="s">
        <v>692</v>
      </c>
    </row>
    <row r="2310" spans="1:1" x14ac:dyDescent="0.25">
      <c r="A2310" s="93" t="s">
        <v>693</v>
      </c>
    </row>
    <row r="2311" spans="1:1" x14ac:dyDescent="0.25">
      <c r="A2311" s="29" t="s">
        <v>694</v>
      </c>
    </row>
    <row r="2312" spans="1:1" x14ac:dyDescent="0.25">
      <c r="A2312" s="93" t="s">
        <v>695</v>
      </c>
    </row>
    <row r="2313" spans="1:1" x14ac:dyDescent="0.25">
      <c r="A2313" s="29" t="s">
        <v>696</v>
      </c>
    </row>
    <row r="2314" spans="1:1" x14ac:dyDescent="0.25">
      <c r="A2314" s="93" t="s">
        <v>697</v>
      </c>
    </row>
    <row r="2315" spans="1:1" x14ac:dyDescent="0.25">
      <c r="A2315" s="29" t="s">
        <v>698</v>
      </c>
    </row>
    <row r="2316" spans="1:1" x14ac:dyDescent="0.25">
      <c r="A2316" s="93" t="s">
        <v>699</v>
      </c>
    </row>
    <row r="2317" spans="1:1" x14ac:dyDescent="0.25">
      <c r="A2317" s="29" t="s">
        <v>700</v>
      </c>
    </row>
    <row r="2318" spans="1:1" x14ac:dyDescent="0.25">
      <c r="A2318" s="93" t="s">
        <v>701</v>
      </c>
    </row>
    <row r="2319" spans="1:1" x14ac:dyDescent="0.25">
      <c r="A2319" s="29" t="s">
        <v>702</v>
      </c>
    </row>
    <row r="2320" spans="1:1" x14ac:dyDescent="0.25">
      <c r="A2320" s="93" t="s">
        <v>703</v>
      </c>
    </row>
    <row r="2321" spans="1:1" x14ac:dyDescent="0.25">
      <c r="A2321" s="29" t="s">
        <v>704</v>
      </c>
    </row>
    <row r="2322" spans="1:1" x14ac:dyDescent="0.25">
      <c r="A2322" s="93" t="s">
        <v>705</v>
      </c>
    </row>
    <row r="2323" spans="1:1" x14ac:dyDescent="0.25">
      <c r="A2323" s="29" t="s">
        <v>706</v>
      </c>
    </row>
    <row r="2324" spans="1:1" x14ac:dyDescent="0.25">
      <c r="A2324" s="93" t="s">
        <v>707</v>
      </c>
    </row>
    <row r="2325" spans="1:1" x14ac:dyDescent="0.25">
      <c r="A2325" s="29" t="s">
        <v>708</v>
      </c>
    </row>
    <row r="2326" spans="1:1" x14ac:dyDescent="0.25">
      <c r="A2326" s="93" t="s">
        <v>709</v>
      </c>
    </row>
    <row r="2327" spans="1:1" x14ac:dyDescent="0.25">
      <c r="A2327" s="29" t="s">
        <v>710</v>
      </c>
    </row>
    <row r="2328" spans="1:1" x14ac:dyDescent="0.25">
      <c r="A2328" s="93" t="s">
        <v>711</v>
      </c>
    </row>
    <row r="2329" spans="1:1" x14ac:dyDescent="0.25">
      <c r="A2329" s="29" t="s">
        <v>712</v>
      </c>
    </row>
    <row r="2330" spans="1:1" x14ac:dyDescent="0.25">
      <c r="A2330" s="93" t="s">
        <v>713</v>
      </c>
    </row>
    <row r="2331" spans="1:1" x14ac:dyDescent="0.25">
      <c r="A2331" s="29" t="s">
        <v>714</v>
      </c>
    </row>
    <row r="2332" spans="1:1" x14ac:dyDescent="0.25">
      <c r="A2332" s="93" t="s">
        <v>715</v>
      </c>
    </row>
    <row r="2333" spans="1:1" x14ac:dyDescent="0.25">
      <c r="A2333" s="29" t="s">
        <v>716</v>
      </c>
    </row>
    <row r="2334" spans="1:1" x14ac:dyDescent="0.25">
      <c r="A2334" s="93" t="s">
        <v>717</v>
      </c>
    </row>
    <row r="2335" spans="1:1" x14ac:dyDescent="0.25">
      <c r="A2335" s="29" t="s">
        <v>718</v>
      </c>
    </row>
    <row r="2336" spans="1:1" x14ac:dyDescent="0.25">
      <c r="A2336" s="93" t="s">
        <v>719</v>
      </c>
    </row>
    <row r="2337" spans="1:1" x14ac:dyDescent="0.25">
      <c r="A2337" s="29" t="s">
        <v>720</v>
      </c>
    </row>
    <row r="2338" spans="1:1" x14ac:dyDescent="0.25">
      <c r="A2338" s="93" t="s">
        <v>721</v>
      </c>
    </row>
    <row r="2339" spans="1:1" x14ac:dyDescent="0.25">
      <c r="A2339" s="29" t="s">
        <v>722</v>
      </c>
    </row>
    <row r="2340" spans="1:1" x14ac:dyDescent="0.25">
      <c r="A2340" s="93" t="s">
        <v>723</v>
      </c>
    </row>
    <row r="2341" spans="1:1" x14ac:dyDescent="0.25">
      <c r="A2341" s="29" t="s">
        <v>724</v>
      </c>
    </row>
    <row r="2342" spans="1:1" x14ac:dyDescent="0.25">
      <c r="A2342" s="93" t="s">
        <v>725</v>
      </c>
    </row>
    <row r="2343" spans="1:1" x14ac:dyDescent="0.25">
      <c r="A2343" s="29" t="s">
        <v>726</v>
      </c>
    </row>
    <row r="2344" spans="1:1" x14ac:dyDescent="0.25">
      <c r="A2344" s="93" t="s">
        <v>727</v>
      </c>
    </row>
    <row r="2345" spans="1:1" x14ac:dyDescent="0.25">
      <c r="A2345" s="29" t="s">
        <v>728</v>
      </c>
    </row>
    <row r="2346" spans="1:1" x14ac:dyDescent="0.25">
      <c r="A2346" s="93" t="s">
        <v>729</v>
      </c>
    </row>
    <row r="2347" spans="1:1" x14ac:dyDescent="0.25">
      <c r="A2347" s="29" t="s">
        <v>730</v>
      </c>
    </row>
    <row r="2348" spans="1:1" x14ac:dyDescent="0.25">
      <c r="A2348" s="93" t="s">
        <v>731</v>
      </c>
    </row>
    <row r="2349" spans="1:1" x14ac:dyDescent="0.25">
      <c r="A2349" s="29" t="s">
        <v>732</v>
      </c>
    </row>
    <row r="2350" spans="1:1" x14ac:dyDescent="0.25">
      <c r="A2350" s="93" t="s">
        <v>733</v>
      </c>
    </row>
    <row r="2351" spans="1:1" x14ac:dyDescent="0.25">
      <c r="A2351" s="29" t="s">
        <v>734</v>
      </c>
    </row>
    <row r="2352" spans="1:1" x14ac:dyDescent="0.25">
      <c r="A2352" s="93" t="s">
        <v>735</v>
      </c>
    </row>
    <row r="2353" spans="1:1" x14ac:dyDescent="0.25">
      <c r="A2353" s="29" t="s">
        <v>736</v>
      </c>
    </row>
    <row r="2354" spans="1:1" x14ac:dyDescent="0.25">
      <c r="A2354" s="93" t="s">
        <v>737</v>
      </c>
    </row>
    <row r="2355" spans="1:1" x14ac:dyDescent="0.25">
      <c r="A2355" s="29" t="s">
        <v>738</v>
      </c>
    </row>
    <row r="2388" spans="1:1" x14ac:dyDescent="0.25">
      <c r="A2388" s="93" t="s">
        <v>739</v>
      </c>
    </row>
    <row r="2389" spans="1:1" x14ac:dyDescent="0.25">
      <c r="A2389" s="29" t="s">
        <v>740</v>
      </c>
    </row>
    <row r="2390" spans="1:1" x14ac:dyDescent="0.25">
      <c r="A2390" s="93" t="s">
        <v>741</v>
      </c>
    </row>
    <row r="2391" spans="1:1" x14ac:dyDescent="0.25">
      <c r="A2391" s="29" t="s">
        <v>742</v>
      </c>
    </row>
    <row r="2392" spans="1:1" x14ac:dyDescent="0.25">
      <c r="A2392" s="93" t="s">
        <v>743</v>
      </c>
    </row>
    <row r="2393" spans="1:1" x14ac:dyDescent="0.25">
      <c r="A2393" s="29" t="s">
        <v>744</v>
      </c>
    </row>
    <row r="2394" spans="1:1" x14ac:dyDescent="0.25">
      <c r="A2394" s="93" t="s">
        <v>745</v>
      </c>
    </row>
    <row r="2395" spans="1:1" x14ac:dyDescent="0.25">
      <c r="A2395" s="93" t="s">
        <v>746</v>
      </c>
    </row>
    <row r="2396" spans="1:1" x14ac:dyDescent="0.25">
      <c r="A2396" s="93" t="s">
        <v>747</v>
      </c>
    </row>
    <row r="2397" spans="1:1" x14ac:dyDescent="0.25">
      <c r="A2397" s="124" t="s">
        <v>748</v>
      </c>
    </row>
    <row r="2398" spans="1:1" x14ac:dyDescent="0.25">
      <c r="A2398" s="124" t="s">
        <v>749</v>
      </c>
    </row>
    <row r="2399" spans="1:1" x14ac:dyDescent="0.25">
      <c r="A2399" s="29" t="s">
        <v>750</v>
      </c>
    </row>
    <row r="2400" spans="1:1" x14ac:dyDescent="0.25">
      <c r="A2400" s="93" t="s">
        <v>751</v>
      </c>
    </row>
    <row r="2401" spans="1:1" x14ac:dyDescent="0.25">
      <c r="A2401" s="93" t="s">
        <v>752</v>
      </c>
    </row>
    <row r="2402" spans="1:1" x14ac:dyDescent="0.25">
      <c r="A2402" s="93" t="s">
        <v>753</v>
      </c>
    </row>
    <row r="2403" spans="1:1" x14ac:dyDescent="0.25">
      <c r="A2403" s="93" t="s">
        <v>754</v>
      </c>
    </row>
    <row r="2404" spans="1:1" x14ac:dyDescent="0.25">
      <c r="A2404" s="124" t="s">
        <v>755</v>
      </c>
    </row>
    <row r="2405" spans="1:1" x14ac:dyDescent="0.25">
      <c r="A2405" s="124" t="s">
        <v>756</v>
      </c>
    </row>
    <row r="2406" spans="1:1" x14ac:dyDescent="0.25">
      <c r="A2406" s="29" t="s">
        <v>757</v>
      </c>
    </row>
    <row r="2407" spans="1:1" x14ac:dyDescent="0.25">
      <c r="A2407" s="93" t="s">
        <v>758</v>
      </c>
    </row>
    <row r="2408" spans="1:1" x14ac:dyDescent="0.25">
      <c r="A2408" s="93" t="s">
        <v>759</v>
      </c>
    </row>
    <row r="2409" spans="1:1" x14ac:dyDescent="0.25">
      <c r="A2409" s="93" t="s">
        <v>760</v>
      </c>
    </row>
    <row r="2410" spans="1:1" x14ac:dyDescent="0.25">
      <c r="A2410" s="93" t="s">
        <v>761</v>
      </c>
    </row>
    <row r="2411" spans="1:1" x14ac:dyDescent="0.25">
      <c r="A2411" s="124" t="s">
        <v>762</v>
      </c>
    </row>
    <row r="2412" spans="1:1" x14ac:dyDescent="0.25">
      <c r="A2412" s="124" t="s">
        <v>763</v>
      </c>
    </row>
    <row r="2413" spans="1:1" x14ac:dyDescent="0.25">
      <c r="A2413" s="29" t="s">
        <v>764</v>
      </c>
    </row>
    <row r="2414" spans="1:1" x14ac:dyDescent="0.25">
      <c r="A2414" s="93" t="s">
        <v>765</v>
      </c>
    </row>
    <row r="2415" spans="1:1" x14ac:dyDescent="0.25">
      <c r="A2415" s="93" t="s">
        <v>766</v>
      </c>
    </row>
    <row r="2416" spans="1:1" x14ac:dyDescent="0.25">
      <c r="A2416" s="93" t="s">
        <v>767</v>
      </c>
    </row>
    <row r="2417" spans="1:1" x14ac:dyDescent="0.25">
      <c r="A2417" s="93" t="s">
        <v>768</v>
      </c>
    </row>
    <row r="2418" spans="1:1" x14ac:dyDescent="0.25">
      <c r="A2418" s="124" t="s">
        <v>769</v>
      </c>
    </row>
    <row r="2419" spans="1:1" x14ac:dyDescent="0.25">
      <c r="A2419" s="124" t="s">
        <v>770</v>
      </c>
    </row>
    <row r="2420" spans="1:1" x14ac:dyDescent="0.25">
      <c r="A2420" s="29" t="s">
        <v>771</v>
      </c>
    </row>
    <row r="2421" spans="1:1" x14ac:dyDescent="0.25">
      <c r="A2421" s="93" t="s">
        <v>772</v>
      </c>
    </row>
    <row r="2422" spans="1:1" x14ac:dyDescent="0.25">
      <c r="A2422" s="93" t="s">
        <v>773</v>
      </c>
    </row>
    <row r="2423" spans="1:1" x14ac:dyDescent="0.25">
      <c r="A2423" s="93" t="s">
        <v>774</v>
      </c>
    </row>
    <row r="2424" spans="1:1" x14ac:dyDescent="0.25">
      <c r="A2424" s="93" t="s">
        <v>775</v>
      </c>
    </row>
    <row r="2425" spans="1:1" x14ac:dyDescent="0.25">
      <c r="A2425" s="124" t="s">
        <v>776</v>
      </c>
    </row>
    <row r="2426" spans="1:1" x14ac:dyDescent="0.25">
      <c r="A2426" s="124" t="s">
        <v>777</v>
      </c>
    </row>
    <row r="2427" spans="1:1" x14ac:dyDescent="0.25">
      <c r="A2427" s="29" t="s">
        <v>778</v>
      </c>
    </row>
    <row r="2428" spans="1:1" x14ac:dyDescent="0.25">
      <c r="A2428" s="93" t="s">
        <v>779</v>
      </c>
    </row>
    <row r="2429" spans="1:1" x14ac:dyDescent="0.25">
      <c r="A2429" s="93" t="s">
        <v>780</v>
      </c>
    </row>
    <row r="2430" spans="1:1" x14ac:dyDescent="0.25">
      <c r="A2430" s="93" t="s">
        <v>781</v>
      </c>
    </row>
    <row r="2431" spans="1:1" x14ac:dyDescent="0.25">
      <c r="A2431" s="93" t="s">
        <v>782</v>
      </c>
    </row>
    <row r="2432" spans="1:1" x14ac:dyDescent="0.25">
      <c r="A2432" s="124" t="s">
        <v>783</v>
      </c>
    </row>
    <row r="2433" spans="1:1" x14ac:dyDescent="0.25">
      <c r="A2433" s="124" t="s">
        <v>784</v>
      </c>
    </row>
    <row r="2434" spans="1:1" x14ac:dyDescent="0.25">
      <c r="A2434" s="29" t="s">
        <v>785</v>
      </c>
    </row>
    <row r="2435" spans="1:1" x14ac:dyDescent="0.25">
      <c r="A2435" s="93" t="s">
        <v>786</v>
      </c>
    </row>
    <row r="2436" spans="1:1" x14ac:dyDescent="0.25">
      <c r="A2436" s="93" t="s">
        <v>787</v>
      </c>
    </row>
    <row r="2437" spans="1:1" x14ac:dyDescent="0.25">
      <c r="A2437" s="93" t="s">
        <v>788</v>
      </c>
    </row>
    <row r="2438" spans="1:1" x14ac:dyDescent="0.25">
      <c r="A2438" s="93" t="s">
        <v>789</v>
      </c>
    </row>
    <row r="2439" spans="1:1" x14ac:dyDescent="0.25">
      <c r="A2439" s="124" t="s">
        <v>790</v>
      </c>
    </row>
    <row r="2440" spans="1:1" x14ac:dyDescent="0.25">
      <c r="A2440" s="124" t="s">
        <v>791</v>
      </c>
    </row>
    <row r="2441" spans="1:1" x14ac:dyDescent="0.25">
      <c r="A2441" s="29" t="s">
        <v>792</v>
      </c>
    </row>
    <row r="2442" spans="1:1" x14ac:dyDescent="0.25">
      <c r="A2442" s="93" t="s">
        <v>793</v>
      </c>
    </row>
    <row r="2443" spans="1:1" x14ac:dyDescent="0.25">
      <c r="A2443" s="93" t="s">
        <v>794</v>
      </c>
    </row>
    <row r="2444" spans="1:1" x14ac:dyDescent="0.25">
      <c r="A2444" s="93" t="s">
        <v>795</v>
      </c>
    </row>
    <row r="2445" spans="1:1" x14ac:dyDescent="0.25">
      <c r="A2445" s="93" t="s">
        <v>796</v>
      </c>
    </row>
    <row r="2446" spans="1:1" x14ac:dyDescent="0.25">
      <c r="A2446" s="124" t="s">
        <v>797</v>
      </c>
    </row>
    <row r="2447" spans="1:1" x14ac:dyDescent="0.25">
      <c r="A2447" s="124" t="s">
        <v>798</v>
      </c>
    </row>
    <row r="2448" spans="1:1" x14ac:dyDescent="0.25">
      <c r="A2448" s="29" t="s">
        <v>799</v>
      </c>
    </row>
    <row r="2449" spans="1:1" x14ac:dyDescent="0.25">
      <c r="A2449" s="93" t="s">
        <v>800</v>
      </c>
    </row>
    <row r="2450" spans="1:1" x14ac:dyDescent="0.25">
      <c r="A2450" s="93" t="s">
        <v>801</v>
      </c>
    </row>
    <row r="2451" spans="1:1" x14ac:dyDescent="0.25">
      <c r="A2451" s="93" t="s">
        <v>802</v>
      </c>
    </row>
    <row r="2452" spans="1:1" x14ac:dyDescent="0.25">
      <c r="A2452" s="93" t="s">
        <v>803</v>
      </c>
    </row>
    <row r="2453" spans="1:1" x14ac:dyDescent="0.25">
      <c r="A2453" s="124" t="s">
        <v>804</v>
      </c>
    </row>
    <row r="2454" spans="1:1" x14ac:dyDescent="0.25">
      <c r="A2454" s="124" t="s">
        <v>805</v>
      </c>
    </row>
    <row r="2455" spans="1:1" x14ac:dyDescent="0.25">
      <c r="A2455" s="29" t="s">
        <v>806</v>
      </c>
    </row>
    <row r="2456" spans="1:1" x14ac:dyDescent="0.25">
      <c r="A2456" s="93" t="s">
        <v>807</v>
      </c>
    </row>
    <row r="2457" spans="1:1" x14ac:dyDescent="0.25">
      <c r="A2457" s="93" t="s">
        <v>808</v>
      </c>
    </row>
    <row r="2458" spans="1:1" x14ac:dyDescent="0.25">
      <c r="A2458" s="93" t="s">
        <v>809</v>
      </c>
    </row>
    <row r="2459" spans="1:1" x14ac:dyDescent="0.25">
      <c r="A2459" s="93" t="s">
        <v>810</v>
      </c>
    </row>
    <row r="2460" spans="1:1" x14ac:dyDescent="0.25">
      <c r="A2460" s="124" t="s">
        <v>811</v>
      </c>
    </row>
    <row r="2461" spans="1:1" x14ac:dyDescent="0.25">
      <c r="A2461" s="124" t="s">
        <v>812</v>
      </c>
    </row>
    <row r="2462" spans="1:1" x14ac:dyDescent="0.25">
      <c r="A2462" s="29" t="s">
        <v>813</v>
      </c>
    </row>
    <row r="2463" spans="1:1" x14ac:dyDescent="0.25">
      <c r="A2463" s="93" t="s">
        <v>814</v>
      </c>
    </row>
    <row r="2464" spans="1:1" x14ac:dyDescent="0.25">
      <c r="A2464" s="29" t="s">
        <v>815</v>
      </c>
    </row>
    <row r="2465" spans="1:1" x14ac:dyDescent="0.25">
      <c r="A2465" s="29" t="s">
        <v>816</v>
      </c>
    </row>
    <row r="2466" spans="1:1" x14ac:dyDescent="0.25">
      <c r="A2466" s="29" t="s">
        <v>817</v>
      </c>
    </row>
    <row r="2467" spans="1:1" x14ac:dyDescent="0.25">
      <c r="A2467" s="93" t="s">
        <v>818</v>
      </c>
    </row>
    <row r="2468" spans="1:1" x14ac:dyDescent="0.25">
      <c r="A2468" s="93" t="s">
        <v>819</v>
      </c>
    </row>
    <row r="2469" spans="1:1" x14ac:dyDescent="0.25">
      <c r="A2469" s="93" t="s">
        <v>820</v>
      </c>
    </row>
    <row r="2470" spans="1:1" x14ac:dyDescent="0.25">
      <c r="A2470" s="124" t="s">
        <v>821</v>
      </c>
    </row>
    <row r="2471" spans="1:1" x14ac:dyDescent="0.25">
      <c r="A2471" s="124" t="s">
        <v>822</v>
      </c>
    </row>
    <row r="2472" spans="1:1" x14ac:dyDescent="0.25">
      <c r="A2472" s="29" t="s">
        <v>823</v>
      </c>
    </row>
    <row r="2473" spans="1:1" x14ac:dyDescent="0.25">
      <c r="A2473" s="93" t="s">
        <v>824</v>
      </c>
    </row>
    <row r="2474" spans="1:1" x14ac:dyDescent="0.25">
      <c r="A2474" s="93" t="s">
        <v>825</v>
      </c>
    </row>
    <row r="2475" spans="1:1" x14ac:dyDescent="0.25">
      <c r="A2475" s="93" t="s">
        <v>826</v>
      </c>
    </row>
    <row r="2476" spans="1:1" x14ac:dyDescent="0.25">
      <c r="A2476" s="93" t="s">
        <v>827</v>
      </c>
    </row>
    <row r="2477" spans="1:1" x14ac:dyDescent="0.25">
      <c r="A2477" s="124" t="s">
        <v>828</v>
      </c>
    </row>
    <row r="2478" spans="1:1" x14ac:dyDescent="0.25">
      <c r="A2478" s="124" t="s">
        <v>829</v>
      </c>
    </row>
    <row r="2479" spans="1:1" x14ac:dyDescent="0.25">
      <c r="A2479" s="29" t="s">
        <v>830</v>
      </c>
    </row>
    <row r="2480" spans="1:1" x14ac:dyDescent="0.25">
      <c r="A2480" s="93" t="s">
        <v>831</v>
      </c>
    </row>
    <row r="2481" spans="1:1" x14ac:dyDescent="0.25">
      <c r="A2481" s="93" t="s">
        <v>832</v>
      </c>
    </row>
    <row r="2482" spans="1:1" x14ac:dyDescent="0.25">
      <c r="A2482" s="93" t="s">
        <v>833</v>
      </c>
    </row>
    <row r="2483" spans="1:1" x14ac:dyDescent="0.25">
      <c r="A2483" s="93" t="s">
        <v>834</v>
      </c>
    </row>
    <row r="2484" spans="1:1" x14ac:dyDescent="0.25">
      <c r="A2484" s="124" t="s">
        <v>835</v>
      </c>
    </row>
    <row r="2485" spans="1:1" x14ac:dyDescent="0.25">
      <c r="A2485" s="124" t="s">
        <v>836</v>
      </c>
    </row>
    <row r="2486" spans="1:1" x14ac:dyDescent="0.25">
      <c r="A2486" s="29" t="s">
        <v>837</v>
      </c>
    </row>
    <row r="2487" spans="1:1" x14ac:dyDescent="0.25">
      <c r="A2487" s="93" t="s">
        <v>838</v>
      </c>
    </row>
    <row r="2488" spans="1:1" x14ac:dyDescent="0.25">
      <c r="A2488" s="93" t="s">
        <v>839</v>
      </c>
    </row>
    <row r="2489" spans="1:1" x14ac:dyDescent="0.25">
      <c r="A2489" s="93" t="s">
        <v>840</v>
      </c>
    </row>
    <row r="2490" spans="1:1" x14ac:dyDescent="0.25">
      <c r="A2490" s="93" t="s">
        <v>841</v>
      </c>
    </row>
    <row r="2491" spans="1:1" x14ac:dyDescent="0.25">
      <c r="A2491" s="124" t="s">
        <v>842</v>
      </c>
    </row>
    <row r="2492" spans="1:1" x14ac:dyDescent="0.25">
      <c r="A2492" s="124" t="s">
        <v>843</v>
      </c>
    </row>
    <row r="2493" spans="1:1" x14ac:dyDescent="0.25">
      <c r="A2493" s="29" t="s">
        <v>844</v>
      </c>
    </row>
    <row r="2494" spans="1:1" x14ac:dyDescent="0.25">
      <c r="A2494" s="93" t="s">
        <v>845</v>
      </c>
    </row>
    <row r="2495" spans="1:1" x14ac:dyDescent="0.25">
      <c r="A2495" s="93" t="s">
        <v>846</v>
      </c>
    </row>
    <row r="2496" spans="1:1" x14ac:dyDescent="0.25">
      <c r="A2496" s="93" t="s">
        <v>847</v>
      </c>
    </row>
    <row r="2497" spans="1:1" x14ac:dyDescent="0.25">
      <c r="A2497" s="93" t="s">
        <v>848</v>
      </c>
    </row>
    <row r="2498" spans="1:1" x14ac:dyDescent="0.25">
      <c r="A2498" s="124" t="s">
        <v>849</v>
      </c>
    </row>
    <row r="2499" spans="1:1" x14ac:dyDescent="0.25">
      <c r="A2499" s="124" t="s">
        <v>850</v>
      </c>
    </row>
    <row r="2500" spans="1:1" x14ac:dyDescent="0.25">
      <c r="A2500" s="29" t="s">
        <v>851</v>
      </c>
    </row>
    <row r="2501" spans="1:1" x14ac:dyDescent="0.25">
      <c r="A2501" s="93" t="s">
        <v>852</v>
      </c>
    </row>
    <row r="2502" spans="1:1" x14ac:dyDescent="0.25">
      <c r="A2502" s="29" t="s">
        <v>853</v>
      </c>
    </row>
    <row r="2503" spans="1:1" x14ac:dyDescent="0.25">
      <c r="A2503" s="29" t="s">
        <v>854</v>
      </c>
    </row>
    <row r="2504" spans="1:1" x14ac:dyDescent="0.25">
      <c r="A2504" s="93" t="s">
        <v>855</v>
      </c>
    </row>
    <row r="2505" spans="1:1" x14ac:dyDescent="0.25">
      <c r="A2505" s="93" t="s">
        <v>856</v>
      </c>
    </row>
    <row r="2506" spans="1:1" x14ac:dyDescent="0.25">
      <c r="A2506" s="93" t="s">
        <v>857</v>
      </c>
    </row>
    <row r="2507" spans="1:1" x14ac:dyDescent="0.25">
      <c r="A2507" s="124" t="s">
        <v>858</v>
      </c>
    </row>
    <row r="2508" spans="1:1" x14ac:dyDescent="0.25">
      <c r="A2508" s="124" t="s">
        <v>859</v>
      </c>
    </row>
    <row r="2509" spans="1:1" x14ac:dyDescent="0.25">
      <c r="A2509" s="29" t="s">
        <v>860</v>
      </c>
    </row>
    <row r="2510" spans="1:1" x14ac:dyDescent="0.25">
      <c r="A2510" s="93" t="s">
        <v>861</v>
      </c>
    </row>
    <row r="2511" spans="1:1" x14ac:dyDescent="0.25">
      <c r="A2511" s="93" t="s">
        <v>862</v>
      </c>
    </row>
    <row r="2512" spans="1:1" x14ac:dyDescent="0.25">
      <c r="A2512" s="93" t="s">
        <v>863</v>
      </c>
    </row>
    <row r="2513" spans="1:1" x14ac:dyDescent="0.25">
      <c r="A2513" s="93" t="s">
        <v>864</v>
      </c>
    </row>
    <row r="2514" spans="1:1" x14ac:dyDescent="0.25">
      <c r="A2514" s="124" t="s">
        <v>865</v>
      </c>
    </row>
    <row r="2515" spans="1:1" x14ac:dyDescent="0.25">
      <c r="A2515" s="124" t="s">
        <v>866</v>
      </c>
    </row>
    <row r="2516" spans="1:1" x14ac:dyDescent="0.25">
      <c r="A2516" s="29" t="s">
        <v>867</v>
      </c>
    </row>
    <row r="2517" spans="1:1" x14ac:dyDescent="0.25">
      <c r="A2517" s="93" t="s">
        <v>868</v>
      </c>
    </row>
    <row r="2518" spans="1:1" x14ac:dyDescent="0.25">
      <c r="A2518" s="93" t="s">
        <v>869</v>
      </c>
    </row>
    <row r="2519" spans="1:1" x14ac:dyDescent="0.25">
      <c r="A2519" s="93" t="s">
        <v>870</v>
      </c>
    </row>
    <row r="2520" spans="1:1" x14ac:dyDescent="0.25">
      <c r="A2520" s="93" t="s">
        <v>871</v>
      </c>
    </row>
    <row r="2521" spans="1:1" x14ac:dyDescent="0.25">
      <c r="A2521" s="124" t="s">
        <v>872</v>
      </c>
    </row>
    <row r="2522" spans="1:1" x14ac:dyDescent="0.25">
      <c r="A2522" s="124" t="s">
        <v>873</v>
      </c>
    </row>
    <row r="2523" spans="1:1" x14ac:dyDescent="0.25">
      <c r="A2523" s="29" t="s">
        <v>874</v>
      </c>
    </row>
    <row r="2524" spans="1:1" x14ac:dyDescent="0.25">
      <c r="A2524" s="93" t="s">
        <v>875</v>
      </c>
    </row>
    <row r="2525" spans="1:1" x14ac:dyDescent="0.25">
      <c r="A2525" s="93" t="s">
        <v>876</v>
      </c>
    </row>
    <row r="2526" spans="1:1" x14ac:dyDescent="0.25">
      <c r="A2526" s="93" t="s">
        <v>877</v>
      </c>
    </row>
    <row r="2527" spans="1:1" x14ac:dyDescent="0.25">
      <c r="A2527" s="93" t="s">
        <v>878</v>
      </c>
    </row>
    <row r="2528" spans="1:1" x14ac:dyDescent="0.25">
      <c r="A2528" s="124" t="s">
        <v>879</v>
      </c>
    </row>
    <row r="2529" spans="1:1" x14ac:dyDescent="0.25">
      <c r="A2529" s="124" t="s">
        <v>880</v>
      </c>
    </row>
    <row r="2530" spans="1:1" x14ac:dyDescent="0.25">
      <c r="A2530" s="29" t="s">
        <v>881</v>
      </c>
    </row>
    <row r="2531" spans="1:1" x14ac:dyDescent="0.25">
      <c r="A2531" s="93" t="s">
        <v>882</v>
      </c>
    </row>
    <row r="2532" spans="1:1" x14ac:dyDescent="0.25">
      <c r="A2532" s="93" t="s">
        <v>883</v>
      </c>
    </row>
    <row r="2533" spans="1:1" x14ac:dyDescent="0.25">
      <c r="A2533" s="93" t="s">
        <v>884</v>
      </c>
    </row>
    <row r="2534" spans="1:1" x14ac:dyDescent="0.25">
      <c r="A2534" s="93" t="s">
        <v>885</v>
      </c>
    </row>
    <row r="2535" spans="1:1" x14ac:dyDescent="0.25">
      <c r="A2535" s="124" t="s">
        <v>886</v>
      </c>
    </row>
    <row r="2536" spans="1:1" x14ac:dyDescent="0.25">
      <c r="A2536" s="124" t="s">
        <v>887</v>
      </c>
    </row>
    <row r="2537" spans="1:1" x14ac:dyDescent="0.25">
      <c r="A2537" s="29" t="s">
        <v>888</v>
      </c>
    </row>
    <row r="2538" spans="1:1" x14ac:dyDescent="0.25">
      <c r="A2538" s="93" t="s">
        <v>889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3" t="s">
        <v>57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20" t="s">
        <v>26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21"/>
      <c r="M2" s="122" t="s">
        <v>27</v>
      </c>
      <c r="N2" s="122"/>
      <c r="O2" s="122"/>
      <c r="P2" s="122"/>
      <c r="Q2" s="122"/>
      <c r="R2" s="122" t="s">
        <v>28</v>
      </c>
      <c r="S2" s="122"/>
      <c r="T2" s="122"/>
      <c r="U2" s="122"/>
      <c r="V2" s="122"/>
      <c r="W2" s="122"/>
      <c r="X2" s="122"/>
      <c r="Y2" s="116" t="s">
        <v>41</v>
      </c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2015-01-16T17:23:21Z</dcterms:modified>
</cp:coreProperties>
</file>