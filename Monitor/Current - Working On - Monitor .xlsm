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  <fileRecoveryPr repairLoad="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AC61" i="15"/>
  <c r="AB61" i="15"/>
  <c r="W61" i="15"/>
  <c r="U61" i="15"/>
  <c r="AC60" i="15"/>
  <c r="AB60" i="15"/>
  <c r="W60" i="15"/>
  <c r="U60" i="15"/>
  <c r="AC59" i="15"/>
  <c r="AB59" i="15"/>
  <c r="W59" i="15"/>
  <c r="U59" i="15"/>
  <c r="AC58" i="15"/>
  <c r="AB58" i="15"/>
  <c r="W58" i="15"/>
  <c r="U58" i="15"/>
  <c r="AC57" i="15"/>
  <c r="AB57" i="15"/>
  <c r="W57" i="15"/>
  <c r="U57" i="15"/>
  <c r="AC56" i="15"/>
  <c r="AB56" i="15"/>
  <c r="W56" i="15"/>
  <c r="U56" i="15"/>
  <c r="AC55" i="15"/>
  <c r="AB55" i="15"/>
  <c r="W55" i="15"/>
  <c r="U55" i="15"/>
  <c r="AC54" i="15"/>
  <c r="AB54" i="15"/>
  <c r="W54" i="15"/>
  <c r="U54" i="15"/>
  <c r="AC53" i="15"/>
  <c r="AB53" i="15"/>
  <c r="W53" i="15"/>
  <c r="U53" i="15"/>
  <c r="AC52" i="15"/>
  <c r="AB52" i="15"/>
  <c r="W52" i="15"/>
  <c r="U52" i="15"/>
  <c r="AC51" i="15"/>
  <c r="AD51" i="15" s="1"/>
  <c r="AE51" i="15" s="1"/>
  <c r="AF51" i="15" s="1"/>
  <c r="W51" i="15"/>
  <c r="U51" i="15"/>
  <c r="AC50" i="15"/>
  <c r="AB50" i="15"/>
  <c r="W50" i="15"/>
  <c r="U50" i="15"/>
  <c r="AC49" i="15"/>
  <c r="AB49" i="15"/>
  <c r="W49" i="15"/>
  <c r="U49" i="15"/>
  <c r="AC48" i="15"/>
  <c r="AB48" i="15"/>
  <c r="W48" i="15"/>
  <c r="U48" i="15"/>
  <c r="AC47" i="15"/>
  <c r="AB47" i="15"/>
  <c r="W47" i="15"/>
  <c r="U47" i="15"/>
  <c r="X47" i="15" s="1"/>
  <c r="AC46" i="15"/>
  <c r="AB46" i="15"/>
  <c r="W46" i="15"/>
  <c r="U46" i="15"/>
  <c r="X46" i="15" s="1"/>
  <c r="AC45" i="15"/>
  <c r="AB45" i="15"/>
  <c r="W45" i="15"/>
  <c r="U45" i="15"/>
  <c r="X45" i="15" s="1"/>
  <c r="AC44" i="15"/>
  <c r="AB44" i="15"/>
  <c r="W44" i="15"/>
  <c r="U44" i="15"/>
  <c r="X44" i="15" s="1"/>
  <c r="AC43" i="15"/>
  <c r="AB43" i="15"/>
  <c r="W43" i="15"/>
  <c r="U43" i="15"/>
  <c r="X43" i="15" s="1"/>
  <c r="AC42" i="15"/>
  <c r="AB42" i="15"/>
  <c r="W42" i="15"/>
  <c r="U42" i="15"/>
  <c r="AC41" i="15"/>
  <c r="AB41" i="15"/>
  <c r="W41" i="15"/>
  <c r="U41" i="15"/>
  <c r="X27" i="15"/>
  <c r="AE51" i="13"/>
  <c r="AE96" i="13"/>
  <c r="AE85" i="13"/>
  <c r="AE53" i="13"/>
  <c r="AE91" i="13"/>
  <c r="AE34" i="13"/>
  <c r="AE58" i="13"/>
  <c r="AE40" i="13"/>
  <c r="AE47" i="13"/>
  <c r="AE41" i="13"/>
  <c r="AE33" i="13"/>
  <c r="AE45" i="13"/>
  <c r="AE110" i="13"/>
  <c r="AE8" i="13"/>
  <c r="AE66" i="13"/>
  <c r="AE29" i="13"/>
  <c r="AE119" i="13"/>
  <c r="AE99" i="13"/>
  <c r="AE70" i="13"/>
  <c r="AE44" i="13"/>
  <c r="AE121" i="13"/>
  <c r="AE36" i="13"/>
  <c r="AE84" i="13"/>
  <c r="AE16" i="13"/>
  <c r="AE75" i="13"/>
  <c r="AE81" i="13"/>
  <c r="AE19" i="13"/>
  <c r="AE22" i="13"/>
  <c r="AE101" i="13"/>
  <c r="AE112" i="13"/>
  <c r="AE46" i="13"/>
  <c r="AE120" i="13"/>
  <c r="AE25" i="13"/>
  <c r="AE115" i="13"/>
  <c r="AE27" i="13"/>
  <c r="AE54" i="13"/>
  <c r="AE83" i="13"/>
  <c r="AE114" i="13"/>
  <c r="AE24" i="13"/>
  <c r="AE67" i="13"/>
  <c r="AE12" i="13"/>
  <c r="AE64" i="13"/>
  <c r="AE97" i="13"/>
  <c r="AE118" i="13"/>
  <c r="AE56" i="13"/>
  <c r="AE77" i="13"/>
  <c r="AE28" i="13"/>
  <c r="AE10" i="13"/>
  <c r="AE104" i="13"/>
  <c r="AE105" i="13"/>
  <c r="AE52" i="13"/>
  <c r="AE23" i="13"/>
  <c r="AE106" i="13"/>
  <c r="AE6" i="13"/>
  <c r="AE107" i="13"/>
  <c r="AE9" i="13"/>
  <c r="AE55" i="13"/>
  <c r="AE30" i="13"/>
  <c r="AE78" i="13"/>
  <c r="AE57" i="13"/>
  <c r="AE111" i="13"/>
  <c r="AE48" i="13"/>
  <c r="AE26" i="13"/>
  <c r="AE89" i="13"/>
  <c r="AE87" i="13"/>
  <c r="AE76" i="13"/>
  <c r="AE79" i="13"/>
  <c r="AE88" i="13"/>
  <c r="AE62" i="13"/>
  <c r="AE109" i="13"/>
  <c r="AE17" i="13"/>
  <c r="AE82" i="13"/>
  <c r="AE113" i="13"/>
  <c r="AE68" i="13"/>
  <c r="AE86" i="13"/>
  <c r="AE69" i="13"/>
  <c r="AE39" i="13"/>
  <c r="AE11" i="13"/>
  <c r="AE116" i="13"/>
  <c r="AE117" i="13"/>
  <c r="AE7" i="13"/>
  <c r="AE100" i="13"/>
  <c r="AE49" i="13"/>
  <c r="AE108" i="13"/>
  <c r="AE73" i="13"/>
  <c r="AE63" i="13"/>
  <c r="AE14" i="13"/>
  <c r="AE93" i="13"/>
  <c r="AE15" i="13"/>
  <c r="AE38" i="13"/>
  <c r="AE98" i="13"/>
  <c r="AE124" i="13"/>
  <c r="AE21" i="13"/>
  <c r="AE71" i="13"/>
  <c r="AE32" i="13"/>
  <c r="AE43" i="13"/>
  <c r="AE50" i="13"/>
  <c r="AE31" i="13"/>
  <c r="AE61" i="13"/>
  <c r="AE122" i="13"/>
  <c r="AE20" i="13"/>
  <c r="AE102" i="13"/>
  <c r="AE59" i="13"/>
  <c r="AE125" i="13"/>
  <c r="AE37" i="13"/>
  <c r="AE95" i="13"/>
  <c r="AE74" i="13"/>
  <c r="AE13" i="13"/>
  <c r="AE72" i="13"/>
  <c r="AE123" i="13"/>
  <c r="AE92" i="13"/>
  <c r="AE94" i="13"/>
  <c r="AE42" i="13"/>
  <c r="AE90" i="13"/>
  <c r="AE80" i="13"/>
  <c r="AE35" i="13"/>
  <c r="AE65" i="13"/>
  <c r="AE103" i="13"/>
  <c r="AE18" i="13"/>
  <c r="AE60" i="13"/>
  <c r="Y52" i="15"/>
  <c r="Y53" i="15"/>
  <c r="Y43" i="15"/>
  <c r="Y61" i="15"/>
  <c r="Y46" i="15"/>
  <c r="Y47" i="15"/>
  <c r="Y42" i="15"/>
  <c r="Y45" i="15"/>
  <c r="Y57" i="15"/>
  <c r="Y58" i="15"/>
  <c r="Y59" i="15"/>
  <c r="Y56" i="15"/>
  <c r="Y54" i="15"/>
  <c r="Y60" i="15"/>
  <c r="Y44" i="15"/>
  <c r="Y48" i="15"/>
  <c r="Y55" i="15"/>
  <c r="Y41" i="15"/>
  <c r="Y50" i="15"/>
  <c r="Y2" i="15" l="1"/>
  <c r="AD43" i="15"/>
  <c r="AE43" i="15" s="1"/>
  <c r="AF43" i="15" s="1"/>
  <c r="AD48" i="15"/>
  <c r="AE48" i="15" s="1"/>
  <c r="AF48" i="15" s="1"/>
  <c r="AA2" i="15"/>
  <c r="AB2" i="15" s="1"/>
  <c r="AD46" i="15"/>
  <c r="AE46" i="15" s="1"/>
  <c r="AF46" i="15" s="1"/>
  <c r="AD49" i="15"/>
  <c r="AE49" i="15" s="1"/>
  <c r="AF49" i="15" s="1"/>
  <c r="AD50" i="15"/>
  <c r="AE50" i="15" s="1"/>
  <c r="AF50" i="15" s="1"/>
  <c r="AG84" i="13"/>
  <c r="AC84" i="13"/>
  <c r="AF84" i="13"/>
  <c r="AG86" i="13"/>
  <c r="AC86" i="13"/>
  <c r="AF86" i="13"/>
  <c r="AG88" i="13"/>
  <c r="AC88" i="13"/>
  <c r="AF88" i="13"/>
  <c r="AG90" i="13"/>
  <c r="AC90" i="13"/>
  <c r="AF90" i="13"/>
  <c r="AG92" i="13"/>
  <c r="AC92" i="13"/>
  <c r="AF92" i="13"/>
  <c r="AG94" i="13"/>
  <c r="AC94" i="13"/>
  <c r="AF94" i="13"/>
  <c r="AG96" i="13"/>
  <c r="AC96" i="13"/>
  <c r="AF96" i="13"/>
  <c r="AG98" i="13"/>
  <c r="AC98" i="13"/>
  <c r="AF98" i="13"/>
  <c r="AG100" i="13"/>
  <c r="AC100" i="13"/>
  <c r="AF100" i="13"/>
  <c r="AG102" i="13"/>
  <c r="AC102" i="13"/>
  <c r="AF102" i="13"/>
  <c r="AG104" i="13"/>
  <c r="AC104" i="13"/>
  <c r="AF104" i="13"/>
  <c r="AG106" i="13"/>
  <c r="AC106" i="13"/>
  <c r="AF106" i="13"/>
  <c r="AG108" i="13"/>
  <c r="AC108" i="13"/>
  <c r="AF108" i="13"/>
  <c r="AG110" i="13"/>
  <c r="AC110" i="13"/>
  <c r="AF110" i="13"/>
  <c r="AG112" i="13"/>
  <c r="AC112" i="13"/>
  <c r="AF112" i="13"/>
  <c r="AG114" i="13"/>
  <c r="AC114" i="13"/>
  <c r="AF114" i="13"/>
  <c r="AG116" i="13"/>
  <c r="AC116" i="13"/>
  <c r="AF116" i="13"/>
  <c r="AG118" i="13"/>
  <c r="AC118" i="13"/>
  <c r="AF118" i="13"/>
  <c r="AG120" i="13"/>
  <c r="AC120" i="13"/>
  <c r="AF120" i="13"/>
  <c r="AG122" i="13"/>
  <c r="AC122" i="13"/>
  <c r="AF122" i="13"/>
  <c r="AG124" i="13"/>
  <c r="AC124" i="13"/>
  <c r="AF124" i="13"/>
  <c r="AF19" i="13"/>
  <c r="AG19" i="13"/>
  <c r="AC19" i="13"/>
  <c r="AF20" i="13"/>
  <c r="AC20" i="13"/>
  <c r="AG20" i="13"/>
  <c r="AF21" i="13"/>
  <c r="AG21" i="13"/>
  <c r="AC21" i="13"/>
  <c r="AF22" i="13"/>
  <c r="AC22" i="13"/>
  <c r="AG22" i="13"/>
  <c r="AF23" i="13"/>
  <c r="AG23" i="13"/>
  <c r="AC23" i="13"/>
  <c r="AF24" i="13"/>
  <c r="AC24" i="13"/>
  <c r="AG24" i="13"/>
  <c r="AF25" i="13"/>
  <c r="AG25" i="13"/>
  <c r="AC25" i="13"/>
  <c r="AF26" i="13"/>
  <c r="AC26" i="13"/>
  <c r="AG26" i="13"/>
  <c r="AF27" i="13"/>
  <c r="AG27" i="13"/>
  <c r="AC27" i="13"/>
  <c r="AF28" i="13"/>
  <c r="AC28" i="13"/>
  <c r="AG28" i="13"/>
  <c r="AF29" i="13"/>
  <c r="AG29" i="13"/>
  <c r="AC29" i="13"/>
  <c r="AF30" i="13"/>
  <c r="AC30" i="13"/>
  <c r="AG30" i="13"/>
  <c r="AF31" i="13"/>
  <c r="AG31" i="13"/>
  <c r="AC31" i="13"/>
  <c r="AF32" i="13"/>
  <c r="AC32" i="13"/>
  <c r="AG32" i="13"/>
  <c r="AF33" i="13"/>
  <c r="AG33" i="13"/>
  <c r="AC33" i="13"/>
  <c r="AF34" i="13"/>
  <c r="AC34" i="13"/>
  <c r="AG34" i="13"/>
  <c r="AF35" i="13"/>
  <c r="AG35" i="13"/>
  <c r="AC35" i="13"/>
  <c r="AF36" i="13"/>
  <c r="AC36" i="13"/>
  <c r="AG36" i="13"/>
  <c r="AF37" i="13"/>
  <c r="AG37" i="13"/>
  <c r="AC37" i="13"/>
  <c r="AF38" i="13"/>
  <c r="AC38" i="13"/>
  <c r="AG38" i="13"/>
  <c r="AF39" i="13"/>
  <c r="AG39" i="13"/>
  <c r="AC39" i="13"/>
  <c r="AF40" i="13"/>
  <c r="AC40" i="13"/>
  <c r="AG40" i="13"/>
  <c r="AF41" i="13"/>
  <c r="AG41" i="13"/>
  <c r="AC41" i="13"/>
  <c r="AF42" i="13"/>
  <c r="AC42" i="13"/>
  <c r="AG42" i="13"/>
  <c r="AF43" i="13"/>
  <c r="AG43" i="13"/>
  <c r="AC43" i="13"/>
  <c r="AF44" i="13"/>
  <c r="AC44" i="13"/>
  <c r="AG44" i="13"/>
  <c r="AF45" i="13"/>
  <c r="AG45" i="13"/>
  <c r="AC45" i="13"/>
  <c r="AF46" i="13"/>
  <c r="AC46" i="13"/>
  <c r="AG46" i="13"/>
  <c r="AF47" i="13"/>
  <c r="AG47" i="13"/>
  <c r="AC47" i="13"/>
  <c r="AF48" i="13"/>
  <c r="AG48" i="13"/>
  <c r="AC48" i="13"/>
  <c r="AF49" i="13"/>
  <c r="AG49" i="13"/>
  <c r="AC49" i="13"/>
  <c r="AF50" i="13"/>
  <c r="AG50" i="13"/>
  <c r="AC50" i="13"/>
  <c r="AF51" i="13"/>
  <c r="AG51" i="13"/>
  <c r="AC51" i="13"/>
  <c r="AF52" i="13"/>
  <c r="AG52" i="13"/>
  <c r="AC52" i="13"/>
  <c r="AF53" i="13"/>
  <c r="AG53" i="13"/>
  <c r="AC53" i="13"/>
  <c r="AF54" i="13"/>
  <c r="AG54" i="13"/>
  <c r="AC54" i="13"/>
  <c r="AF55" i="13"/>
  <c r="AG55" i="13"/>
  <c r="AC55" i="13"/>
  <c r="AF56" i="13"/>
  <c r="AG56" i="13"/>
  <c r="AC56" i="13"/>
  <c r="AF57" i="13"/>
  <c r="AG57" i="13"/>
  <c r="AC57" i="13"/>
  <c r="AF58" i="13"/>
  <c r="AG58" i="13"/>
  <c r="AC58" i="13"/>
  <c r="AF59" i="13"/>
  <c r="AG59" i="13"/>
  <c r="AC59" i="13"/>
  <c r="AF60" i="13"/>
  <c r="AG60" i="13"/>
  <c r="AC60" i="13"/>
  <c r="AF61" i="13"/>
  <c r="AG61" i="13"/>
  <c r="AC61" i="13"/>
  <c r="AF62" i="13"/>
  <c r="AG62" i="13"/>
  <c r="AC62" i="13"/>
  <c r="AF63" i="13"/>
  <c r="AG63" i="13"/>
  <c r="AC63" i="13"/>
  <c r="AF64" i="13"/>
  <c r="AG64" i="13"/>
  <c r="AC64" i="13"/>
  <c r="AF65" i="13"/>
  <c r="AG65" i="13"/>
  <c r="AC65" i="13"/>
  <c r="AF66" i="13"/>
  <c r="AG66" i="13"/>
  <c r="AC66" i="13"/>
  <c r="AF67" i="13"/>
  <c r="AG67" i="13"/>
  <c r="AC67" i="13"/>
  <c r="AF68" i="13"/>
  <c r="AG68" i="13"/>
  <c r="AC68" i="13"/>
  <c r="AF69" i="13"/>
  <c r="AG69" i="13"/>
  <c r="AC69" i="13"/>
  <c r="AF70" i="13"/>
  <c r="AG70" i="13"/>
  <c r="AC70" i="13"/>
  <c r="AF71" i="13"/>
  <c r="AG71" i="13"/>
  <c r="AC71" i="13"/>
  <c r="AF72" i="13"/>
  <c r="AG72" i="13"/>
  <c r="AC72" i="13"/>
  <c r="AF73" i="13"/>
  <c r="AG73" i="13"/>
  <c r="AC73" i="13"/>
  <c r="AF74" i="13"/>
  <c r="AG74" i="13"/>
  <c r="AC74" i="13"/>
  <c r="AF75" i="13"/>
  <c r="AG75" i="13"/>
  <c r="AC75" i="13"/>
  <c r="AF76" i="13"/>
  <c r="AG76" i="13"/>
  <c r="AC76" i="13"/>
  <c r="AF77" i="13"/>
  <c r="AG77" i="13"/>
  <c r="AC77" i="13"/>
  <c r="AF78" i="13"/>
  <c r="AG78" i="13"/>
  <c r="AC78" i="13"/>
  <c r="AF79" i="13"/>
  <c r="AG79" i="13"/>
  <c r="AC79" i="13"/>
  <c r="AF80" i="13"/>
  <c r="AG80" i="13"/>
  <c r="AC80" i="13"/>
  <c r="AF81" i="13"/>
  <c r="AG81" i="13"/>
  <c r="AC81" i="13"/>
  <c r="AF82" i="13"/>
  <c r="AG82" i="13"/>
  <c r="AC82" i="13"/>
  <c r="AG83" i="13"/>
  <c r="AF83" i="13"/>
  <c r="AC83" i="13"/>
  <c r="AG85" i="13"/>
  <c r="AC85" i="13"/>
  <c r="AF85" i="13"/>
  <c r="AG87" i="13"/>
  <c r="AC87" i="13"/>
  <c r="AF87" i="13"/>
  <c r="AG89" i="13"/>
  <c r="AC89" i="13"/>
  <c r="AF89" i="13"/>
  <c r="AG91" i="13"/>
  <c r="AC91" i="13"/>
  <c r="AF91" i="13"/>
  <c r="AG93" i="13"/>
  <c r="AC93" i="13"/>
  <c r="AF93" i="13"/>
  <c r="AG95" i="13"/>
  <c r="AC95" i="13"/>
  <c r="AF95" i="13"/>
  <c r="AG97" i="13"/>
  <c r="AC97" i="13"/>
  <c r="AF97" i="13"/>
  <c r="AG99" i="13"/>
  <c r="AC99" i="13"/>
  <c r="AF99" i="13"/>
  <c r="AG101" i="13"/>
  <c r="AC101" i="13"/>
  <c r="AF101" i="13"/>
  <c r="AG103" i="13"/>
  <c r="AC103" i="13"/>
  <c r="AF103" i="13"/>
  <c r="AG105" i="13"/>
  <c r="AC105" i="13"/>
  <c r="AF105" i="13"/>
  <c r="AG107" i="13"/>
  <c r="AC107" i="13"/>
  <c r="AF107" i="13"/>
  <c r="AG109" i="13"/>
  <c r="AC109" i="13"/>
  <c r="AF109" i="13"/>
  <c r="AG111" i="13"/>
  <c r="AC111" i="13"/>
  <c r="AF111" i="13"/>
  <c r="AG113" i="13"/>
  <c r="AC113" i="13"/>
  <c r="AF113" i="13"/>
  <c r="AG115" i="13"/>
  <c r="AC115" i="13"/>
  <c r="AF115" i="13"/>
  <c r="AG117" i="13"/>
  <c r="AC117" i="13"/>
  <c r="AF117" i="13"/>
  <c r="AG119" i="13"/>
  <c r="AC119" i="13"/>
  <c r="AF119" i="13"/>
  <c r="AG121" i="13"/>
  <c r="AC121" i="13"/>
  <c r="AF121" i="13"/>
  <c r="AG123" i="13"/>
  <c r="AC123" i="13"/>
  <c r="AF123" i="13"/>
  <c r="AG125" i="13"/>
  <c r="AC125" i="13"/>
  <c r="AF125" i="13"/>
  <c r="AF6" i="13"/>
  <c r="AC6" i="13"/>
  <c r="AG6" i="13"/>
  <c r="AF7" i="13"/>
  <c r="AG7" i="13"/>
  <c r="AC7" i="13"/>
  <c r="AF8" i="13"/>
  <c r="AC8" i="13"/>
  <c r="AG8" i="13"/>
  <c r="AF9" i="13"/>
  <c r="AG9" i="13"/>
  <c r="AC9" i="13"/>
  <c r="AF10" i="13"/>
  <c r="AC10" i="13"/>
  <c r="AG10" i="13"/>
  <c r="AF11" i="13"/>
  <c r="AG11" i="13"/>
  <c r="AC11" i="13"/>
  <c r="AF12" i="13"/>
  <c r="AC12" i="13"/>
  <c r="AG12" i="13"/>
  <c r="AF13" i="13"/>
  <c r="AG13" i="13"/>
  <c r="AC13" i="13"/>
  <c r="AF14" i="13"/>
  <c r="AC14" i="13"/>
  <c r="AG14" i="13"/>
  <c r="AF15" i="13"/>
  <c r="AG15" i="13"/>
  <c r="AC15" i="13"/>
  <c r="AF16" i="13"/>
  <c r="AC16" i="13"/>
  <c r="AG16" i="13"/>
  <c r="AF17" i="13"/>
  <c r="AG17" i="13"/>
  <c r="AC17" i="13"/>
  <c r="AF18" i="13"/>
  <c r="AC18" i="13"/>
  <c r="AG18" i="13"/>
  <c r="AD44" i="15"/>
  <c r="AE44" i="15" s="1"/>
  <c r="AF44" i="15" s="1"/>
  <c r="AD45" i="15"/>
  <c r="AE45" i="15" s="1"/>
  <c r="AF45" i="15" s="1"/>
  <c r="AD41" i="15"/>
  <c r="AE41" i="15" s="1"/>
  <c r="AF41" i="15" s="1"/>
  <c r="AD42" i="15"/>
  <c r="AE42" i="15" s="1"/>
  <c r="AF42" i="15" s="1"/>
  <c r="AD47" i="15"/>
  <c r="AE47" i="15" s="1"/>
  <c r="AF47" i="15" s="1"/>
  <c r="AD52" i="15"/>
  <c r="AE52" i="15" s="1"/>
  <c r="AF52" i="15" s="1"/>
  <c r="AD53" i="15"/>
  <c r="AE53" i="15" s="1"/>
  <c r="AF53" i="15" s="1"/>
  <c r="AD54" i="15"/>
  <c r="AE54" i="15" s="1"/>
  <c r="AF54" i="15" s="1"/>
  <c r="AD55" i="15"/>
  <c r="AE55" i="15" s="1"/>
  <c r="AF55" i="15" s="1"/>
  <c r="AD56" i="15"/>
  <c r="AE56" i="15" s="1"/>
  <c r="AF56" i="15" s="1"/>
  <c r="AD57" i="15"/>
  <c r="AE57" i="15" s="1"/>
  <c r="AF57" i="15" s="1"/>
  <c r="AD58" i="15"/>
  <c r="AE58" i="15" s="1"/>
  <c r="AF58" i="15" s="1"/>
  <c r="AD59" i="15"/>
  <c r="AE59" i="15" s="1"/>
  <c r="AF59" i="15" s="1"/>
  <c r="AD60" i="15"/>
  <c r="AE60" i="15" s="1"/>
  <c r="AF60" i="15" s="1"/>
  <c r="AD61" i="15"/>
  <c r="AE61" i="15" s="1"/>
  <c r="AF61" i="15" s="1"/>
  <c r="Y51" i="15"/>
  <c r="Y49" i="15"/>
  <c r="AF4" i="13" l="1"/>
  <c r="Z49" i="15"/>
  <c r="AA49" i="15" s="1"/>
  <c r="Z51" i="15"/>
  <c r="AA51" i="15" s="1"/>
  <c r="Z41" i="15"/>
  <c r="Z44" i="15"/>
  <c r="AA44" i="15" s="1"/>
  <c r="Z47" i="15"/>
  <c r="AA47" i="15" s="1"/>
  <c r="Z42" i="15"/>
  <c r="AA42" i="15" s="1"/>
  <c r="Z52" i="15"/>
  <c r="AA52" i="15" s="1"/>
  <c r="Z54" i="15"/>
  <c r="AA54" i="15" s="1"/>
  <c r="Z56" i="15"/>
  <c r="AA56" i="15" s="1"/>
  <c r="Z58" i="15"/>
  <c r="AA58" i="15" s="1"/>
  <c r="Z60" i="15"/>
  <c r="AA60" i="15" s="1"/>
  <c r="Z43" i="15"/>
  <c r="AA43" i="15" s="1"/>
  <c r="Z46" i="15"/>
  <c r="AA46" i="15" s="1"/>
  <c r="Z45" i="15"/>
  <c r="AA45" i="15" s="1"/>
  <c r="Z48" i="15"/>
  <c r="AA48" i="15" s="1"/>
  <c r="Z50" i="15"/>
  <c r="AA50" i="15" s="1"/>
  <c r="Z53" i="15"/>
  <c r="AA53" i="15" s="1"/>
  <c r="Z55" i="15"/>
  <c r="AA55" i="15" s="1"/>
  <c r="Z57" i="15"/>
  <c r="AA57" i="15" s="1"/>
  <c r="Z59" i="15"/>
  <c r="AA59" i="15" s="1"/>
  <c r="Z61" i="15"/>
  <c r="AA61" i="15" s="1"/>
  <c r="AH39" i="15"/>
  <c r="AE2" i="15" s="1"/>
  <c r="AD2" i="15" s="1"/>
  <c r="Z2" i="15" l="1"/>
  <c r="AA41" i="15"/>
  <c r="AA3" i="15"/>
  <c r="Z3" i="15"/>
  <c r="Z6" i="15" l="1"/>
  <c r="Z7" i="15"/>
  <c r="AA4" i="15"/>
  <c r="AA7" i="15" s="1"/>
  <c r="Z4" i="15"/>
  <c r="AA6" i="15" s="1"/>
</calcChain>
</file>

<file path=xl/sharedStrings.xml><?xml version="1.0" encoding="utf-8"?>
<sst xmlns="http://schemas.openxmlformats.org/spreadsheetml/2006/main" count="1205" uniqueCount="222">
  <si>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</si>
  <si>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</si>
  <si>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</si>
  <si>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</si>
  <si>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</si>
  <si>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</si>
  <si>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</si>
  <si>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</si>
  <si>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</si>
  <si>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</si>
  <si>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</si>
  <si>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</si>
  <si>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</si>
  <si>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</si>
  <si>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</si>
  <si>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</si>
  <si>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</si>
  <si>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</si>
  <si>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</si>
  <si>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</si>
  <si>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</si>
  <si>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</si>
  <si>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</si>
  <si>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</si>
  <si>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</si>
  <si>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</si>
  <si>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</si>
  <si>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</si>
  <si>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</si>
  <si>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</si>
  <si>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</si>
  <si>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</si>
  <si>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</si>
  <si>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</si>
  <si>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</si>
  <si>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</si>
  <si>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</si>
  <si>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</si>
  <si>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</si>
  <si>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</si>
  <si>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</si>
  <si>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</si>
  <si>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</si>
  <si>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</si>
  <si>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</si>
  <si>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</si>
  <si>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</si>
  <si>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</si>
  <si>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</si>
  <si>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</si>
  <si>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</si>
  <si>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</si>
  <si>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</si>
  <si>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</si>
  <si>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</si>
  <si>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</si>
  <si>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</si>
  <si>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</si>
  <si>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</si>
  <si>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</si>
  <si>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</si>
  <si>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</si>
  <si>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</si>
  <si>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</si>
  <si>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</si>
  <si>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</si>
  <si>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</si>
  <si>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</si>
  <si>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</si>
  <si>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</si>
  <si>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</si>
  <si>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</si>
  <si>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</si>
  <si>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</si>
  <si>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</si>
  <si>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</si>
  <si>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</si>
  <si>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</si>
  <si>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</si>
  <si>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</si>
  <si>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</si>
  <si>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</si>
  <si>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</si>
  <si>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</si>
  <si>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</si>
  <si>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</si>
  <si>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</si>
  <si>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</si>
  <si>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</si>
  <si>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</si>
  <si>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</si>
  <si>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</si>
  <si>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</si>
  <si>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</si>
  <si>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</si>
  <si>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</si>
  <si>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</si>
  <si>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</si>
  <si>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</si>
  <si>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</si>
  <si>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</si>
  <si>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</si>
  <si>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</si>
  <si>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</si>
  <si>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</si>
  <si>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</si>
  <si>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</si>
  <si>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</si>
  <si>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DELTA</t>
  </si>
  <si>
    <t>GAMMA</t>
  </si>
  <si>
    <t>THETA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</si>
  <si>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</si>
  <si>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</si>
  <si>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</si>
  <si>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</si>
  <si>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</si>
  <si>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</si>
  <si>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</si>
  <si>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</si>
  <si>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</si>
  <si>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</si>
  <si>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</si>
  <si>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</si>
  <si>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</si>
  <si>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</si>
  <si>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</si>
  <si>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</si>
  <si>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</si>
  <si>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Port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</si>
  <si>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</si>
  <si>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</si>
  <si>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</si>
  <si>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</si>
  <si>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</si>
  <si>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</si>
  <si>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</si>
  <si>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</si>
  <si>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</si>
  <si>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</si>
  <si>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</si>
  <si>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</si>
  <si>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</si>
  <si>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</si>
  <si>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</si>
  <si>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</si>
  <si>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</si>
  <si>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</si>
  <si>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</si>
  <si>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</si>
  <si>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</si>
  <si>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Algo Control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</si>
  <si>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</si>
  <si>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</si>
  <si>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</si>
  <si>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</si>
  <si>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</si>
  <si>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</si>
  <si>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</si>
  <si>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</si>
  <si>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</si>
  <si>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</si>
  <si>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</si>
  <si>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</si>
  <si>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</si>
  <si>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</si>
  <si>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</si>
  <si>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</si>
  <si>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MidMarket</t>
  </si>
  <si>
    <t>6BZ4</t>
  </si>
  <si>
    <t>Closest Stike DOWN</t>
  </si>
  <si>
    <t>Closest Strike UP</t>
  </si>
  <si>
    <t>Current Required Hedge</t>
  </si>
  <si>
    <t>Short MA</t>
  </si>
  <si>
    <t>DISTANCE To Strike (Ticks)</t>
  </si>
  <si>
    <t>Distance To Strike (Ticks)</t>
  </si>
  <si>
    <t>Current Hedge Position</t>
  </si>
  <si>
    <t>Long MA</t>
  </si>
  <si>
    <t>Distance to Trigger (Ticks)</t>
  </si>
  <si>
    <t>Distance To Trigger (Ticks)</t>
  </si>
  <si>
    <t>Hedge Shortfall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</si>
  <si>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</si>
  <si>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</si>
  <si>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</si>
  <si>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</si>
  <si>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</si>
  <si>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</si>
  <si>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</si>
  <si>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</si>
  <si>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</si>
  <si>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</si>
  <si>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</si>
  <si>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BOT</t>
  </si>
  <si>
    <t>0001f4e5.5480ef9c.01.01</t>
  </si>
  <si>
    <t>20141205  11:40:21</t>
  </si>
  <si>
    <t>0001f4e5.5480ef9d.01.01</t>
  </si>
  <si>
    <t>0001f4e5.5480ef9f.01.01</t>
  </si>
  <si>
    <t>20141205  11:40:22</t>
  </si>
  <si>
    <t>0001f4e5.5480efa0.01.01</t>
  </si>
  <si>
    <t>20141205  11:40:23</t>
  </si>
  <si>
    <t>0001f4e5.5480efa1.01.01</t>
  </si>
  <si>
    <t>20141205  11:40:32</t>
  </si>
  <si>
    <t>0001f4e5.5480efa2.01.01</t>
  </si>
  <si>
    <t>0001f4e5.5480efa3.01.01</t>
  </si>
  <si>
    <t>20141205  11:40:34</t>
  </si>
  <si>
    <t>0001f4e5.5480efa5.01.01</t>
  </si>
  <si>
    <t>20141205  11:40:37</t>
  </si>
  <si>
    <t>0001f4e5.5480efa7.01.01</t>
  </si>
  <si>
    <t>20141205  11:40:40</t>
  </si>
  <si>
    <t>0001f4e5.5480efa8.01.01</t>
  </si>
  <si>
    <t>20141205  11:40:41</t>
  </si>
  <si>
    <t>PORTF_FIRST_ROW</t>
  </si>
  <si>
    <t>PORTF_LAST_ROW</t>
  </si>
  <si>
    <t>Unrealized PNL</t>
  </si>
  <si>
    <t>Subscribed</t>
  </si>
  <si>
    <t>6B2Z4 P1550</t>
  </si>
  <si>
    <t>6B2Z4 C1560</t>
  </si>
  <si>
    <t>6B2Z4 C1565</t>
  </si>
  <si>
    <t>6B2Z4 P1560</t>
  </si>
  <si>
    <t>6B2Z4 P1565</t>
  </si>
  <si>
    <t>6B2Z4 C1570</t>
  </si>
  <si>
    <t>TWS Control NOT connected</t>
  </si>
  <si>
    <t>2014-12-11 9:32:53.406: Main - Initialize - initializing...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</si>
</sst>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* #,##0.0_-;\-* #,##0.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4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0" fontId="14" fillId="0" borderId="0" xfId="0" quotePrefix="1" applyFont="1"/>
    <xf numFmtId="0" fontId="14" fillId="0" borderId="0" xfId="0" quotePrefix="1" applyFont="1" applyAlignment="1">
      <alignment wrapText="1"/>
    </xf>
    <xf numFmtId="172" fontId="0" fillId="0" borderId="0" xfId="0" applyNumberFormat="1"/>
    <xf numFmtId="172" fontId="14" fillId="0" borderId="0" xfId="0" applyNumberFormat="1" applyFont="1"/>
    <xf numFmtId="171" fontId="12" fillId="0" borderId="0" xfId="0" applyNumberFormat="1" applyFont="1"/>
    <xf numFmtId="0" fontId="12" fillId="0" borderId="0" xfId="0" applyFont="1" applyAlignment="1">
      <alignment wrapText="1"/>
    </xf>
    <xf numFmtId="165" fontId="13" fillId="0" borderId="0" xfId="0" applyNumberFormat="1" applyFont="1"/>
    <xf numFmtId="173" fontId="13" fillId="0" borderId="0" xfId="0" applyNumberFormat="1" applyFont="1"/>
    <xf numFmtId="0" fontId="13" fillId="0" borderId="0" xfId="0" quotePrefix="1" applyFont="1" applyAlignment="1">
      <alignment horizontal="left"/>
    </xf>
    <xf numFmtId="171" fontId="13" fillId="0" borderId="0" xfId="0" quotePrefix="1" applyNumberFormat="1" applyFont="1" applyAlignment="1">
      <alignment horizontal="left"/>
    </xf>
    <xf numFmtId="0" fontId="17" fillId="0" borderId="0" xfId="0" applyFont="1" applyAlignment="1">
      <alignment wrapText="1"/>
    </xf>
    <xf numFmtId="0" fontId="16" fillId="0" borderId="0" xfId="0" quotePrefix="1" applyFont="1" applyAlignment="1">
      <alignment wrapText="1"/>
    </xf>
    <xf numFmtId="1" fontId="16" fillId="0" borderId="0" xfId="0" applyNumberFormat="1" applyFont="1" applyAlignment="1">
      <alignment wrapText="1"/>
    </xf>
    <xf numFmtId="173" fontId="17" fillId="0" borderId="0" xfId="0" applyNumberFormat="1" applyFont="1" applyAlignment="1">
      <alignment wrapText="1"/>
    </xf>
    <xf numFmtId="1" fontId="17" fillId="10" borderId="0" xfId="0" applyNumberFormat="1" applyFont="1" applyFill="1" applyAlignment="1">
      <alignment wrapText="1"/>
    </xf>
    <xf numFmtId="165" fontId="12" fillId="0" borderId="0" xfId="0" applyNumberFormat="1" applyFont="1"/>
    <xf numFmtId="169" fontId="12" fillId="0" borderId="0" xfId="0" applyNumberFormat="1" applyFont="1"/>
    <xf numFmtId="2" fontId="12" fillId="0" borderId="0" xfId="0" applyNumberFormat="1" applyFont="1"/>
    <xf numFmtId="0" fontId="18" fillId="11" borderId="0" xfId="0" applyFont="1" applyFill="1"/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174" fontId="0" fillId="0" borderId="0" xfId="2" applyNumberFormat="1" applyFont="1"/>
    <xf numFmtId="171" fontId="13" fillId="0" borderId="0" xfId="0" applyNumberFormat="1" applyFont="1"/>
    <xf numFmtId="1" fontId="12" fillId="0" borderId="0" xfId="0" applyNumberFormat="1" applyFont="1"/>
    <xf numFmtId="0" fontId="3" fillId="12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1" fillId="9" borderId="0" xfId="0" applyFont="1" applyFill="1" applyAlignment="1">
      <alignment horizontal="center"/>
    </xf>
    <xf numFmtId="0" fontId="6" fillId="4" borderId="2" xfId="0" applyFont="1" applyFill="1" applyBorder="1" applyAlignment="1">
      <alignment horizontal="center" wrapText="1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13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0</xdr:row>
          <xdr:rowOff>304800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219075</xdr:colOff>
          <xdr:row>0</xdr:row>
          <xdr:rowOff>304800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0</xdr:row>
          <xdr:rowOff>304800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9525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0</xdr:row>
          <xdr:rowOff>304800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590550</xdr:colOff>
          <xdr:row>0</xdr:row>
          <xdr:rowOff>342900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180975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3"/>
  <sheetViews>
    <sheetView tabSelected="1" topLeftCell="A13" zoomScale="75" zoomScaleNormal="75" workbookViewId="0">
      <selection activeCell="E15" sqref="E15"/>
    </sheetView>
  </sheetViews>
  <sheetFormatPr defaultRowHeight="15" x14ac:dyDescent="0.25"/>
  <cols>
    <col min="1" max="1" width="17.7109375" customWidth="1"/>
    <col min="2" max="2" width="8.85546875" customWidth="1"/>
    <col min="3" max="3" width="25.42578125" customWidth="1"/>
    <col min="4" max="4" width="20.42578125" customWidth="1"/>
    <col min="5" max="5" width="13.85546875" customWidth="1"/>
    <col min="6" max="6" width="10.5703125" customWidth="1"/>
    <col min="7" max="7" width="15.7109375" customWidth="1"/>
    <col min="9" max="9" width="14" customWidth="1"/>
    <col min="10" max="10" width="15" customWidth="1"/>
    <col min="11" max="11" width="12.85546875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2.140625" customWidth="1"/>
    <col min="18" max="18" width="12.28515625" customWidth="1"/>
    <col min="19" max="19" width="15.28515625" bestFit="1" customWidth="1"/>
    <col min="20" max="20" width="11.85546875" customWidth="1"/>
    <col min="21" max="21" width="12.5703125" customWidth="1"/>
    <col min="24" max="24" width="11" customWidth="1"/>
    <col min="25" max="25" width="16.7109375" customWidth="1"/>
    <col min="26" max="26" width="34.28515625" customWidth="1"/>
    <col min="27" max="27" width="20.28515625" customWidth="1"/>
    <col min="28" max="28" width="20.7109375" customWidth="1"/>
    <col min="29" max="29" width="17.85546875" bestFit="1" customWidth="1"/>
    <col min="30" max="30" width="20.28515625" customWidth="1"/>
    <col min="31" max="31" width="15.140625" customWidth="1"/>
    <col min="32" max="32" width="16.5703125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ht="93" x14ac:dyDescent="0.35">
      <c r="Y1" s="36" t="s">
        <v>108</v>
      </c>
      <c r="Z1" s="36" t="s">
        <v>109</v>
      </c>
      <c r="AA1" s="36" t="s">
        <v>110</v>
      </c>
      <c r="AB1" s="36" t="s">
        <v>112</v>
      </c>
      <c r="AC1" s="52" t="s">
        <v>113</v>
      </c>
      <c r="AD1" s="52" t="s">
        <v>114</v>
      </c>
      <c r="AE1" s="52" t="s">
        <v>123</v>
      </c>
    </row>
    <row r="2" spans="1:32" ht="23.25" x14ac:dyDescent="0.35">
      <c r="Y2" s="63">
        <f>SUM(U41:U61)+J27</f>
        <v>0</v>
      </c>
      <c r="Z2" s="64">
        <f>SUM(Z41:Z61)</f>
        <v>0</v>
      </c>
      <c r="AA2" s="62">
        <f>SUM(W41:W61)</f>
        <v>0</v>
      </c>
      <c r="AB2" s="51">
        <f>AA2*62500</f>
        <v>0</v>
      </c>
      <c r="AC2" s="65">
        <v>1</v>
      </c>
      <c r="AD2" s="51" t="e">
        <f>-1*AC2*AE2</f>
        <v>#REF!</v>
      </c>
      <c r="AE2" s="71" t="e">
        <f>AH39</f>
        <v>#REF!</v>
      </c>
    </row>
    <row r="3" spans="1:32" ht="21" x14ac:dyDescent="0.35">
      <c r="Y3" s="57" t="s">
        <v>135</v>
      </c>
      <c r="Z3" s="61" t="e">
        <f>ticksUpToLoss(AD2,Y2,Z2)</f>
        <v>#VALUE!</v>
      </c>
      <c r="AA3" s="61" t="e">
        <f>ticksDownToLoss(AD2,Y2,Z2)</f>
        <v>#VALUE!</v>
      </c>
      <c r="AD3" s="53"/>
      <c r="AE3" s="55"/>
    </row>
    <row r="4" spans="1:32" ht="63" x14ac:dyDescent="0.35">
      <c r="Y4" s="57" t="s">
        <v>136</v>
      </c>
      <c r="Z4" s="60" t="e">
        <f>Y2+Z2*(Z3*0.0001)</f>
        <v>#VALUE!</v>
      </c>
      <c r="AA4" s="60" t="e">
        <f>Y2+Z2*(AA3*0.0001)</f>
        <v>#VALUE!</v>
      </c>
      <c r="AD4" s="54"/>
      <c r="AE4" s="56"/>
    </row>
    <row r="5" spans="1:32" ht="23.25" x14ac:dyDescent="0.35">
      <c r="A5" s="82" t="s">
        <v>14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Y5" s="36" t="s">
        <v>137</v>
      </c>
      <c r="Z5" s="36"/>
      <c r="AA5" s="36"/>
      <c r="AF5" s="40"/>
    </row>
    <row r="6" spans="1:32" ht="23.25" x14ac:dyDescent="0.35">
      <c r="A6" s="94" t="s">
        <v>127</v>
      </c>
      <c r="B6" s="94"/>
      <c r="C6" s="94" t="s">
        <v>128</v>
      </c>
      <c r="D6" s="94"/>
      <c r="E6" s="94" t="s">
        <v>129</v>
      </c>
      <c r="F6" s="94"/>
      <c r="G6" s="94" t="s">
        <v>130</v>
      </c>
      <c r="H6" s="94"/>
      <c r="I6" s="94" t="s">
        <v>131</v>
      </c>
      <c r="J6" s="94"/>
      <c r="K6" s="94" t="s">
        <v>132</v>
      </c>
      <c r="L6" s="94"/>
      <c r="M6" s="94" t="s">
        <v>133</v>
      </c>
      <c r="N6" s="94"/>
      <c r="O6" s="94"/>
      <c r="P6" s="94"/>
      <c r="Q6" s="94"/>
      <c r="R6" s="94"/>
      <c r="S6" s="94"/>
      <c r="T6" s="94"/>
      <c r="U6" s="83"/>
      <c r="V6" s="83"/>
      <c r="W6" s="83"/>
      <c r="Y6" s="36" t="s">
        <v>139</v>
      </c>
      <c r="Z6" s="62" t="e">
        <f>$X$27+Z3/10000</f>
        <v>#VALUE!</v>
      </c>
      <c r="AA6" s="72" t="e">
        <f>ROUND(-Z4,0)</f>
        <v>#VALUE!</v>
      </c>
      <c r="AF6" s="40"/>
    </row>
    <row r="7" spans="1:32" ht="23.25" x14ac:dyDescent="0.35">
      <c r="A7" s="95" t="s">
        <v>134</v>
      </c>
      <c r="B7" s="95"/>
      <c r="C7" s="95">
        <v>7497</v>
      </c>
      <c r="D7" s="95"/>
      <c r="E7" s="95">
        <v>6</v>
      </c>
      <c r="F7" s="95"/>
      <c r="G7" s="95">
        <v>5</v>
      </c>
      <c r="H7" s="95"/>
      <c r="I7" s="96">
        <v>0.96388888888888891</v>
      </c>
      <c r="J7" s="97"/>
      <c r="K7" s="98" t="s">
        <v>220</v>
      </c>
      <c r="L7" s="99"/>
      <c r="M7" s="100"/>
      <c r="N7" s="101"/>
      <c r="O7" s="100"/>
      <c r="P7" s="101"/>
      <c r="Q7" s="100"/>
      <c r="R7" s="101"/>
      <c r="S7" s="100"/>
      <c r="T7" s="101"/>
      <c r="U7" s="84"/>
      <c r="V7" s="85"/>
      <c r="W7" s="85"/>
      <c r="Y7" s="36" t="s">
        <v>149</v>
      </c>
      <c r="Z7" s="62" t="e">
        <f>$X$27+AA3/10000</f>
        <v>#VALUE!</v>
      </c>
      <c r="AA7" s="72" t="e">
        <f>ROUND(-AA4,0)</f>
        <v>#VALUE!</v>
      </c>
      <c r="AB7" s="43"/>
      <c r="AF7" s="40"/>
    </row>
    <row r="11" spans="1:32" ht="23.25" x14ac:dyDescent="0.35">
      <c r="A11" s="17" t="s">
        <v>138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43"/>
    </row>
    <row r="12" spans="1:32" ht="23.25" x14ac:dyDescent="0.35">
      <c r="A12" s="102" t="s">
        <v>140</v>
      </c>
      <c r="B12" s="102"/>
      <c r="C12" s="102" t="s">
        <v>141</v>
      </c>
      <c r="D12" s="102"/>
      <c r="E12" s="87" t="s">
        <v>142</v>
      </c>
      <c r="F12" s="87"/>
      <c r="G12" s="102" t="s">
        <v>143</v>
      </c>
      <c r="H12" s="102"/>
      <c r="I12" s="102" t="s">
        <v>144</v>
      </c>
      <c r="J12" s="102"/>
      <c r="K12" s="94" t="s">
        <v>145</v>
      </c>
      <c r="L12" s="94"/>
      <c r="M12" s="94" t="s">
        <v>146</v>
      </c>
      <c r="N12" s="94"/>
      <c r="O12" s="83" t="s">
        <v>147</v>
      </c>
      <c r="P12" s="83"/>
      <c r="Q12" s="83" t="s">
        <v>148</v>
      </c>
      <c r="R12" s="83"/>
      <c r="S12" s="83"/>
      <c r="T12" s="83"/>
      <c r="U12" s="83"/>
      <c r="V12" s="83"/>
      <c r="W12" s="83"/>
      <c r="AB12" s="43"/>
    </row>
    <row r="13" spans="1:32" ht="23.25" x14ac:dyDescent="0.35">
      <c r="A13" s="5">
        <v>1207991.7</v>
      </c>
      <c r="B13" s="3"/>
      <c r="C13" s="5">
        <v>168817.94</v>
      </c>
      <c r="D13" s="3"/>
      <c r="E13" s="5">
        <v>146386.85</v>
      </c>
      <c r="F13" s="5"/>
      <c r="G13" s="5">
        <v>1039173.75</v>
      </c>
      <c r="H13" s="5"/>
      <c r="I13" s="5">
        <v>918</v>
      </c>
      <c r="J13" s="5"/>
      <c r="K13" s="6">
        <v>-20920</v>
      </c>
      <c r="L13" s="4"/>
      <c r="M13" s="84" t="s">
        <v>213</v>
      </c>
      <c r="N13" s="85"/>
      <c r="O13" s="84" t="b">
        <v>1</v>
      </c>
      <c r="P13" s="85"/>
      <c r="Q13" s="88"/>
      <c r="R13" s="89"/>
      <c r="S13" s="84"/>
      <c r="T13" s="85"/>
      <c r="U13" s="84"/>
      <c r="V13" s="85"/>
      <c r="W13" s="85"/>
      <c r="Y13" s="43"/>
      <c r="Z13" s="43"/>
      <c r="AA13" s="43"/>
      <c r="AB13" s="43"/>
    </row>
    <row r="14" spans="1:32" ht="23.25" x14ac:dyDescent="0.35">
      <c r="Y14" s="43"/>
      <c r="Z14" s="43"/>
      <c r="AA14" s="43"/>
      <c r="AB14" s="43"/>
    </row>
    <row r="15" spans="1:32" ht="23.25" x14ac:dyDescent="0.35">
      <c r="Y15" s="43"/>
      <c r="Z15" s="43"/>
      <c r="AA15" s="43"/>
      <c r="AB15" s="43"/>
    </row>
    <row r="16" spans="1:32" ht="23.25" x14ac:dyDescent="0.35">
      <c r="Y16" s="43"/>
      <c r="Z16" s="43"/>
      <c r="AA16" s="43"/>
      <c r="AB16" s="43"/>
    </row>
    <row r="17" spans="1:37" ht="23.25" x14ac:dyDescent="0.35">
      <c r="Y17" s="43"/>
      <c r="Z17" s="43"/>
      <c r="AA17" s="43"/>
      <c r="AB17" s="43"/>
    </row>
    <row r="18" spans="1:37" ht="23.25" x14ac:dyDescent="0.35">
      <c r="Y18" s="43"/>
      <c r="Z18" s="43"/>
      <c r="AA18" s="43"/>
      <c r="AB18" s="43"/>
    </row>
    <row r="19" spans="1:37" ht="23.25" x14ac:dyDescent="0.35">
      <c r="A19" s="103" t="s">
        <v>150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Y19" s="43"/>
      <c r="Z19" s="43"/>
      <c r="AA19" s="43"/>
      <c r="AB19" s="43"/>
    </row>
    <row r="20" spans="1:37" s="11" customFormat="1" ht="46.5" x14ac:dyDescent="0.35">
      <c r="A20" s="10" t="s">
        <v>151</v>
      </c>
      <c r="B20" s="10" t="s">
        <v>152</v>
      </c>
      <c r="C20" s="10"/>
      <c r="D20" s="10"/>
      <c r="E20" s="10" t="s">
        <v>153</v>
      </c>
      <c r="F20" s="10"/>
      <c r="G20" s="10" t="s">
        <v>154</v>
      </c>
      <c r="H20" s="10" t="s">
        <v>155</v>
      </c>
      <c r="I20" s="10" t="s">
        <v>156</v>
      </c>
      <c r="J20" s="10"/>
      <c r="K20" s="10" t="s">
        <v>157</v>
      </c>
      <c r="L20" s="10"/>
      <c r="M20" s="10" t="s">
        <v>158</v>
      </c>
      <c r="N20" s="10" t="s">
        <v>159</v>
      </c>
      <c r="Y20" s="43"/>
      <c r="Z20" s="43"/>
      <c r="AA20" s="43"/>
      <c r="AB20" s="44"/>
      <c r="AC20"/>
      <c r="AD20"/>
      <c r="AE20"/>
      <c r="AF20"/>
      <c r="AG20"/>
      <c r="AH20"/>
      <c r="AI20"/>
      <c r="AJ20"/>
    </row>
    <row r="21" spans="1:37" x14ac:dyDescent="0.25">
      <c r="A21" s="32">
        <v>1</v>
      </c>
      <c r="B21" s="32">
        <v>1</v>
      </c>
      <c r="C21" s="32"/>
      <c r="D21" s="33"/>
      <c r="E21" s="95">
        <v>5</v>
      </c>
      <c r="F21" s="95"/>
      <c r="G21" s="86">
        <v>5</v>
      </c>
      <c r="H21" s="86">
        <v>10</v>
      </c>
      <c r="I21" s="86">
        <v>0.2</v>
      </c>
      <c r="J21" s="86"/>
      <c r="K21" s="100">
        <v>8</v>
      </c>
      <c r="L21" s="101"/>
      <c r="M21" s="84">
        <v>1</v>
      </c>
      <c r="N21" s="85" t="s">
        <v>100</v>
      </c>
    </row>
    <row r="23" spans="1:37" ht="18.75" x14ac:dyDescent="0.3">
      <c r="Y23" s="41"/>
      <c r="Z23" s="41"/>
      <c r="AA23" s="41"/>
      <c r="AB23" s="41"/>
    </row>
    <row r="24" spans="1:37" ht="18.75" x14ac:dyDescent="0.3">
      <c r="Y24" s="41"/>
      <c r="Z24" s="41"/>
      <c r="AA24" s="41"/>
      <c r="AB24" s="41"/>
    </row>
    <row r="25" spans="1:37" ht="18.75" x14ac:dyDescent="0.3">
      <c r="A25" s="17" t="s">
        <v>160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41"/>
      <c r="Z25" s="50"/>
      <c r="AA25" s="41"/>
      <c r="AB25" s="41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 t="s">
        <v>6</v>
      </c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161</v>
      </c>
      <c r="Q26" s="10"/>
      <c r="R26" s="10" t="s">
        <v>162</v>
      </c>
      <c r="S26" s="10" t="s">
        <v>163</v>
      </c>
      <c r="T26" s="10" t="s">
        <v>164</v>
      </c>
      <c r="U26" s="10" t="s">
        <v>165</v>
      </c>
      <c r="V26" s="10" t="s">
        <v>166</v>
      </c>
      <c r="W26" s="10"/>
      <c r="X26" s="11" t="s">
        <v>167</v>
      </c>
      <c r="Y26" s="42"/>
      <c r="Z26" s="42"/>
      <c r="AA26" s="42"/>
      <c r="AB26" s="42"/>
      <c r="AC26"/>
      <c r="AD26"/>
      <c r="AE26"/>
      <c r="AF26"/>
      <c r="AG26"/>
      <c r="AH26"/>
      <c r="AI26"/>
      <c r="AJ26"/>
    </row>
    <row r="27" spans="1:37" ht="18.75" x14ac:dyDescent="0.3">
      <c r="A27" s="86" t="s">
        <v>15</v>
      </c>
      <c r="B27" s="86" t="s">
        <v>24</v>
      </c>
      <c r="C27" s="86">
        <v>20141215</v>
      </c>
      <c r="D27" s="86">
        <v>62500</v>
      </c>
      <c r="E27" s="86"/>
      <c r="F27" s="86" t="s">
        <v>17</v>
      </c>
      <c r="G27" s="86" t="s">
        <v>16</v>
      </c>
      <c r="H27" s="86" t="s">
        <v>168</v>
      </c>
      <c r="I27" s="86" t="s">
        <v>25</v>
      </c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>
        <f>(N27+O27)/2</f>
        <v>0</v>
      </c>
      <c r="Y27" s="41"/>
      <c r="Z27" s="41"/>
      <c r="AA27" s="41"/>
      <c r="AB27" s="41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7"/>
      <c r="Y28" s="41"/>
      <c r="Z28" s="41"/>
      <c r="AA28" s="41"/>
      <c r="AB28" s="41"/>
      <c r="AC28" s="41"/>
      <c r="AD28" s="41"/>
      <c r="AE28" s="41"/>
    </row>
    <row r="29" spans="1:37" ht="18.75" x14ac:dyDescent="0.3">
      <c r="C29" s="105" t="s">
        <v>169</v>
      </c>
      <c r="D29" s="106"/>
      <c r="E29" s="12"/>
      <c r="F29" s="12"/>
      <c r="G29" s="106" t="s">
        <v>170</v>
      </c>
      <c r="H29" s="106"/>
      <c r="I29" s="12"/>
      <c r="J29" s="12"/>
      <c r="K29" s="106" t="s">
        <v>171</v>
      </c>
      <c r="L29" s="106"/>
      <c r="M29" s="12"/>
      <c r="N29" s="13"/>
      <c r="O29" s="106" t="s">
        <v>172</v>
      </c>
      <c r="P29" s="106"/>
      <c r="Q29" s="34">
        <v>1.5638169841802079</v>
      </c>
      <c r="R29" s="13"/>
      <c r="S29" s="12"/>
      <c r="T29" s="13"/>
      <c r="U29" s="12"/>
      <c r="V29" s="13"/>
      <c r="W29" s="13"/>
      <c r="Y29" s="41"/>
      <c r="Z29" s="41"/>
      <c r="AA29" s="41"/>
      <c r="AB29" s="41"/>
      <c r="AC29" s="41"/>
      <c r="AD29" s="41"/>
      <c r="AE29" s="41"/>
    </row>
    <row r="30" spans="1:37" ht="18.75" x14ac:dyDescent="0.3">
      <c r="C30" s="105" t="s">
        <v>173</v>
      </c>
      <c r="D30" s="106"/>
      <c r="E30" s="12"/>
      <c r="F30" s="12"/>
      <c r="G30" s="106" t="s">
        <v>174</v>
      </c>
      <c r="H30" s="106"/>
      <c r="I30" s="12"/>
      <c r="J30" s="12"/>
      <c r="K30" s="106" t="s">
        <v>175</v>
      </c>
      <c r="L30" s="106"/>
      <c r="M30" s="12"/>
      <c r="N30" s="13"/>
      <c r="O30" s="106" t="s">
        <v>176</v>
      </c>
      <c r="P30" s="106"/>
      <c r="Q30" s="34">
        <v>1.563796712060882</v>
      </c>
      <c r="R30" s="13"/>
      <c r="S30" s="12"/>
      <c r="T30" s="13"/>
      <c r="U30" s="12"/>
      <c r="V30" s="13"/>
      <c r="W30" s="13"/>
      <c r="Y30" s="41"/>
      <c r="Z30" s="41"/>
      <c r="AA30" s="41"/>
      <c r="AB30" s="41"/>
      <c r="AC30" s="41"/>
      <c r="AD30" s="41"/>
      <c r="AE30" s="41"/>
      <c r="AI30" s="46"/>
      <c r="AK30" s="46"/>
    </row>
    <row r="31" spans="1:37" ht="18.75" x14ac:dyDescent="0.3">
      <c r="C31" s="105" t="s">
        <v>177</v>
      </c>
      <c r="D31" s="106"/>
      <c r="E31" s="12"/>
      <c r="F31" s="12"/>
      <c r="G31" s="106" t="s">
        <v>178</v>
      </c>
      <c r="H31" s="106"/>
      <c r="I31" s="12"/>
      <c r="J31" s="12"/>
      <c r="K31" s="106" t="s">
        <v>179</v>
      </c>
      <c r="L31" s="106"/>
      <c r="M31" s="12"/>
      <c r="N31" s="13"/>
      <c r="O31" s="106" t="s">
        <v>99</v>
      </c>
      <c r="P31" s="106"/>
      <c r="Q31" s="12">
        <v>1</v>
      </c>
      <c r="R31" s="13"/>
      <c r="S31" s="12"/>
      <c r="T31" s="13"/>
      <c r="U31" s="12"/>
      <c r="V31" s="13"/>
      <c r="W31" s="13"/>
      <c r="Y31" s="41"/>
      <c r="Z31" s="41"/>
      <c r="AA31" s="41"/>
      <c r="AB31" s="41"/>
      <c r="AC31" s="41"/>
      <c r="AD31" s="41"/>
      <c r="AE31" s="41"/>
      <c r="AI31" s="45"/>
    </row>
    <row r="32" spans="1:37" ht="2.25" customHeight="1" x14ac:dyDescent="0.3">
      <c r="C32" s="113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8"/>
      <c r="O32" s="107"/>
      <c r="P32" s="107"/>
      <c r="Q32" s="107"/>
      <c r="R32" s="108"/>
      <c r="S32" s="107"/>
      <c r="T32" s="108"/>
      <c r="U32" s="107"/>
      <c r="V32" s="108"/>
      <c r="W32" s="28"/>
      <c r="Y32" s="41"/>
      <c r="Z32" s="41"/>
      <c r="AA32" s="41"/>
      <c r="AB32" s="41"/>
      <c r="AC32" s="41"/>
      <c r="AD32" s="41"/>
      <c r="AE32" s="41"/>
      <c r="AI32" s="49"/>
    </row>
    <row r="33" spans="1:34" ht="18.75" x14ac:dyDescent="0.3">
      <c r="Y33" s="41"/>
      <c r="Z33" s="41"/>
      <c r="AA33" s="41"/>
      <c r="AB33" s="41"/>
      <c r="AC33" s="41"/>
      <c r="AD33" s="41"/>
      <c r="AE33" s="41"/>
    </row>
    <row r="34" spans="1:34" ht="18.75" customHeight="1" x14ac:dyDescent="0.3">
      <c r="A34" s="17" t="s">
        <v>180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Y34" s="47"/>
      <c r="Z34" s="47"/>
      <c r="AA34" s="47"/>
      <c r="AB34" s="41"/>
      <c r="AC34" s="41"/>
      <c r="AD34" s="41"/>
      <c r="AE34" s="41"/>
    </row>
    <row r="35" spans="1:34" s="11" customFormat="1" ht="39" customHeight="1" x14ac:dyDescent="0.3">
      <c r="A35" s="110" t="s">
        <v>26</v>
      </c>
      <c r="B35" s="111"/>
      <c r="C35" s="111"/>
      <c r="D35" s="111" t="s">
        <v>27</v>
      </c>
      <c r="E35" s="111"/>
      <c r="F35" s="111"/>
      <c r="G35" s="111"/>
      <c r="H35" s="20"/>
      <c r="I35" s="111" t="s">
        <v>28</v>
      </c>
      <c r="J35" s="111"/>
      <c r="K35" s="111"/>
      <c r="L35" s="111"/>
      <c r="M35" s="111"/>
      <c r="N35" s="20"/>
      <c r="O35" s="111" t="s">
        <v>181</v>
      </c>
      <c r="P35" s="111"/>
      <c r="Q35" s="112"/>
      <c r="Y35" s="48"/>
      <c r="Z35" s="42"/>
      <c r="AA35" s="42"/>
      <c r="AE35" s="42"/>
    </row>
    <row r="36" spans="1:34" s="11" customFormat="1" ht="42" customHeight="1" x14ac:dyDescent="0.4">
      <c r="A36" s="21" t="s">
        <v>0</v>
      </c>
      <c r="B36" s="21" t="s">
        <v>1</v>
      </c>
      <c r="C36" s="21" t="s">
        <v>2</v>
      </c>
      <c r="D36" s="1" t="s">
        <v>32</v>
      </c>
      <c r="E36" s="1" t="s">
        <v>33</v>
      </c>
      <c r="F36" s="1" t="s">
        <v>34</v>
      </c>
      <c r="G36" s="1" t="s">
        <v>35</v>
      </c>
      <c r="H36" s="1" t="s">
        <v>36</v>
      </c>
      <c r="I36" s="1" t="s">
        <v>12</v>
      </c>
      <c r="J36" s="1" t="s">
        <v>37</v>
      </c>
      <c r="K36" s="1" t="s">
        <v>38</v>
      </c>
      <c r="L36" s="1" t="s">
        <v>39</v>
      </c>
      <c r="M36" s="1" t="s">
        <v>40</v>
      </c>
      <c r="N36" s="1" t="s">
        <v>182</v>
      </c>
      <c r="O36" s="1" t="s">
        <v>183</v>
      </c>
      <c r="P36" s="1" t="s">
        <v>184</v>
      </c>
      <c r="Q36" s="1" t="s">
        <v>185</v>
      </c>
      <c r="Y36" s="58"/>
      <c r="Z36" s="59"/>
      <c r="AA36" s="59"/>
      <c r="AE36" s="42"/>
    </row>
    <row r="37" spans="1:34" ht="18.75" x14ac:dyDescent="0.3">
      <c r="A37" s="2"/>
      <c r="B37" s="2"/>
      <c r="C37" s="2"/>
      <c r="D37" s="16"/>
      <c r="E37" s="16"/>
      <c r="F37" s="16"/>
      <c r="G37" s="16"/>
      <c r="H37" s="2"/>
      <c r="I37" s="18"/>
      <c r="J37" s="2"/>
      <c r="K37" s="2"/>
      <c r="L37" s="2"/>
      <c r="M37" s="2"/>
      <c r="N37" s="2"/>
      <c r="O37" s="2"/>
      <c r="P37" s="2"/>
      <c r="Q37" s="2"/>
      <c r="Y37" s="41"/>
      <c r="Z37" s="41"/>
      <c r="AA37" s="41"/>
      <c r="AB37" s="41"/>
      <c r="AC37" s="41"/>
      <c r="AD37" s="41"/>
      <c r="AE37" s="41"/>
    </row>
    <row r="39" spans="1:34" x14ac:dyDescent="0.25">
      <c r="A39" s="104" t="s">
        <v>13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93"/>
      <c r="O39" s="109" t="s">
        <v>101</v>
      </c>
      <c r="P39" s="109"/>
      <c r="Q39" s="109"/>
      <c r="R39" s="109"/>
      <c r="S39" s="109"/>
      <c r="T39" s="109"/>
      <c r="U39" s="109" t="s">
        <v>111</v>
      </c>
      <c r="V39" s="109"/>
      <c r="W39" s="109"/>
      <c r="AH39" s="67" t="e">
        <f>SUM(AF41:AF61)</f>
        <v>#REF!</v>
      </c>
    </row>
    <row r="40" spans="1:34" ht="30" x14ac:dyDescent="0.25">
      <c r="A40" s="1" t="s">
        <v>9</v>
      </c>
      <c r="B40" s="1" t="s">
        <v>11</v>
      </c>
      <c r="C40" s="1" t="s">
        <v>186</v>
      </c>
      <c r="D40" s="1" t="s">
        <v>163</v>
      </c>
      <c r="E40" s="1" t="s">
        <v>164</v>
      </c>
      <c r="F40" s="1" t="s">
        <v>212</v>
      </c>
      <c r="G40" s="1" t="s">
        <v>187</v>
      </c>
      <c r="H40" s="83" t="s">
        <v>19</v>
      </c>
      <c r="I40" s="83" t="s">
        <v>21</v>
      </c>
      <c r="J40" s="83" t="s">
        <v>22</v>
      </c>
      <c r="K40" s="83" t="s">
        <v>18</v>
      </c>
      <c r="L40" s="83" t="s">
        <v>20</v>
      </c>
      <c r="M40" s="83" t="s">
        <v>23</v>
      </c>
      <c r="N40" s="35" t="s">
        <v>45</v>
      </c>
      <c r="O40" s="35" t="s">
        <v>102</v>
      </c>
      <c r="P40" s="35" t="s">
        <v>103</v>
      </c>
      <c r="Q40" s="35" t="s">
        <v>104</v>
      </c>
      <c r="R40" s="35" t="s">
        <v>105</v>
      </c>
      <c r="S40" s="35" t="s">
        <v>106</v>
      </c>
      <c r="T40" s="35" t="s">
        <v>107</v>
      </c>
      <c r="U40" s="35" t="s">
        <v>103</v>
      </c>
      <c r="V40" s="35" t="s">
        <v>104</v>
      </c>
      <c r="W40" s="35" t="s">
        <v>105</v>
      </c>
      <c r="Y40" s="39" t="s">
        <v>115</v>
      </c>
      <c r="Z40" s="39" t="s">
        <v>116</v>
      </c>
      <c r="AA40" s="39" t="s">
        <v>117</v>
      </c>
      <c r="AB40" s="39" t="s">
        <v>122</v>
      </c>
      <c r="AC40" s="69" t="s">
        <v>121</v>
      </c>
      <c r="AD40" s="69" t="s">
        <v>118</v>
      </c>
      <c r="AE40" s="69" t="s">
        <v>119</v>
      </c>
      <c r="AF40" s="69" t="s">
        <v>120</v>
      </c>
    </row>
    <row r="41" spans="1:34" x14ac:dyDescent="0.25">
      <c r="A41" s="2" t="s">
        <v>214</v>
      </c>
      <c r="B41" s="2">
        <v>-10</v>
      </c>
      <c r="C41" s="2">
        <v>1.1984000000000001E-3</v>
      </c>
      <c r="D41" s="2">
        <v>-748.99</v>
      </c>
      <c r="E41" s="2">
        <v>79.19</v>
      </c>
      <c r="F41" s="30">
        <v>42.91</v>
      </c>
      <c r="G41" s="2">
        <v>0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37"/>
      <c r="S41" s="2"/>
      <c r="T41" s="2"/>
      <c r="U41" s="2">
        <f t="shared" ref="U41:U61" si="0">P41*B41</f>
        <v>0</v>
      </c>
      <c r="V41" s="2">
        <v>1.5804</v>
      </c>
      <c r="W41" s="2">
        <f t="shared" ref="W41:W61" si="1">R41*B41</f>
        <v>0</v>
      </c>
      <c r="X41">
        <v>-0.79190495422144758</v>
      </c>
      <c r="Y41" t="e">
        <f>BSGamma($X$27,#REF!,#REF!,0.001,O41)</f>
        <v>#VALUE!</v>
      </c>
      <c r="Z41">
        <f>IF(ISERR(Y41),0,Y41*B41)</f>
        <v>0</v>
      </c>
      <c r="AA41">
        <f>IF(Z41 = 0,0,(W41*-10000)/Z41)</f>
        <v>0</v>
      </c>
      <c r="AB41" s="70">
        <f t="shared" ref="AB41:AB49" si="2">IF(K41=-1,V30/2,(K41+L41)/2)* 10000</f>
        <v>0</v>
      </c>
      <c r="AC41" t="e">
        <f>IF(#REF!="C",MAX(0,$N$27-#REF!),MAX(0,#REF!-$N$27))*10000</f>
        <v>#REF!</v>
      </c>
      <c r="AD41" s="68" t="e">
        <f>MAX(0,AB41-AC41)</f>
        <v>#REF!</v>
      </c>
      <c r="AE41" s="68" t="e">
        <f t="shared" ref="AE41:AE61" si="3">-AD41*B41</f>
        <v>#REF!</v>
      </c>
      <c r="AF41" s="67" t="e">
        <f t="shared" ref="AF41:AF49" si="4">MAX(0,AE41*6.25)</f>
        <v>#REF!</v>
      </c>
    </row>
    <row r="42" spans="1:34" x14ac:dyDescent="0.25">
      <c r="A42" s="2" t="s">
        <v>215</v>
      </c>
      <c r="B42" s="2">
        <v>-10</v>
      </c>
      <c r="C42" s="2">
        <v>5.8946500000000004E-3</v>
      </c>
      <c r="D42" s="2">
        <v>-3684.17</v>
      </c>
      <c r="E42" s="2">
        <v>385.44</v>
      </c>
      <c r="F42" s="30">
        <v>170.23</v>
      </c>
      <c r="G42" s="2">
        <v>0</v>
      </c>
      <c r="H42" s="2"/>
      <c r="I42" s="2"/>
      <c r="J42" s="2"/>
      <c r="K42" s="2"/>
      <c r="L42" s="2"/>
      <c r="M42" s="2"/>
      <c r="N42" s="2"/>
      <c r="O42" s="2"/>
      <c r="P42" s="2"/>
      <c r="Q42" s="2"/>
      <c r="R42" s="37"/>
      <c r="S42" s="2"/>
      <c r="T42" s="2"/>
      <c r="U42" s="2">
        <f t="shared" si="0"/>
        <v>0</v>
      </c>
      <c r="V42" s="2">
        <v>1.5804</v>
      </c>
      <c r="W42" s="2">
        <f t="shared" si="1"/>
        <v>0</v>
      </c>
      <c r="X42">
        <v>-0.88722889607959154</v>
      </c>
      <c r="Y42" t="e">
        <f>BSGamma($X$27,#REF!,#REF!,0.001,O42)</f>
        <v>#VALUE!</v>
      </c>
      <c r="Z42">
        <f t="shared" ref="Z42:Z61" si="5">IF(ISERR(Y42),0,Y42*B42)</f>
        <v>0</v>
      </c>
      <c r="AA42">
        <f t="shared" ref="AA42:AA61" si="6">IF(Z42 = 0,0,(W42*-10000)/Z42)</f>
        <v>0</v>
      </c>
      <c r="AB42" s="70">
        <f t="shared" si="2"/>
        <v>0</v>
      </c>
      <c r="AC42" t="e">
        <f>IF(#REF!="C",MAX(0,$N$27-#REF!),MAX(0,#REF!-$N$27))*10000</f>
        <v>#REF!</v>
      </c>
      <c r="AD42" s="68" t="e">
        <f t="shared" ref="AD42:AD61" si="7">MAX(0,AB42-AC42)</f>
        <v>#REF!</v>
      </c>
      <c r="AE42" s="68" t="e">
        <f t="shared" si="3"/>
        <v>#REF!</v>
      </c>
      <c r="AF42" s="67" t="e">
        <f t="shared" si="4"/>
        <v>#REF!</v>
      </c>
    </row>
    <row r="43" spans="1:34" x14ac:dyDescent="0.25">
      <c r="A43" s="2" t="s">
        <v>216</v>
      </c>
      <c r="B43" s="2">
        <v>-10</v>
      </c>
      <c r="C43" s="2">
        <v>3.3936000000000001E-3</v>
      </c>
      <c r="D43" s="2">
        <v>-2121</v>
      </c>
      <c r="E43" s="2">
        <v>222.94</v>
      </c>
      <c r="F43" s="30">
        <v>108.4</v>
      </c>
      <c r="G43" s="2">
        <v>0</v>
      </c>
      <c r="H43" s="2"/>
      <c r="I43" s="2"/>
      <c r="J43" s="2"/>
      <c r="K43" s="2"/>
      <c r="L43" s="2"/>
      <c r="M43" s="2"/>
      <c r="N43" s="2"/>
      <c r="O43" s="2"/>
      <c r="P43" s="2"/>
      <c r="Q43" s="2"/>
      <c r="R43" s="37"/>
      <c r="S43" s="2"/>
      <c r="T43" s="2"/>
      <c r="U43" s="2">
        <f t="shared" si="0"/>
        <v>0</v>
      </c>
      <c r="V43" s="2">
        <v>1.5804</v>
      </c>
      <c r="W43" s="2">
        <f t="shared" si="1"/>
        <v>0</v>
      </c>
      <c r="X43">
        <f>U43</f>
        <v>0</v>
      </c>
      <c r="Y43" t="e">
        <f>BSGamma($X$27,#REF!,#REF!,0.001,O43)</f>
        <v>#VALUE!</v>
      </c>
      <c r="Z43">
        <f t="shared" si="5"/>
        <v>0</v>
      </c>
      <c r="AA43">
        <f t="shared" si="6"/>
        <v>0</v>
      </c>
      <c r="AB43" s="70">
        <f t="shared" si="2"/>
        <v>0</v>
      </c>
      <c r="AC43" t="e">
        <f>IF(#REF!="C",MAX(0,$N$27-#REF!),MAX(0,#REF!-$N$27))*10000</f>
        <v>#REF!</v>
      </c>
      <c r="AD43" s="68" t="e">
        <f t="shared" si="7"/>
        <v>#REF!</v>
      </c>
      <c r="AE43" s="68" t="e">
        <f t="shared" si="3"/>
        <v>#REF!</v>
      </c>
      <c r="AF43" s="67" t="e">
        <f t="shared" si="4"/>
        <v>#REF!</v>
      </c>
    </row>
    <row r="44" spans="1:34" x14ac:dyDescent="0.25">
      <c r="A44" s="2" t="s">
        <v>217</v>
      </c>
      <c r="B44" s="2">
        <v>-30</v>
      </c>
      <c r="C44" s="2">
        <v>3.8972500000000001E-3</v>
      </c>
      <c r="D44" s="2">
        <v>-7307.33</v>
      </c>
      <c r="E44" s="2">
        <v>260.44</v>
      </c>
      <c r="F44" s="30">
        <v>505.87</v>
      </c>
      <c r="G44" s="2">
        <v>0</v>
      </c>
      <c r="H44" s="2"/>
      <c r="I44" s="2"/>
      <c r="J44" s="2"/>
      <c r="K44" s="2"/>
      <c r="L44" s="2"/>
      <c r="M44" s="2"/>
      <c r="N44" s="2"/>
      <c r="O44" s="2"/>
      <c r="P44" s="2"/>
      <c r="Q44" s="2"/>
      <c r="R44" s="37"/>
      <c r="S44" s="2"/>
      <c r="T44" s="2"/>
      <c r="U44" s="2">
        <f t="shared" si="0"/>
        <v>0</v>
      </c>
      <c r="V44" s="2">
        <v>1.5804</v>
      </c>
      <c r="W44" s="2">
        <f t="shared" si="1"/>
        <v>0</v>
      </c>
      <c r="X44">
        <f>U44</f>
        <v>0</v>
      </c>
      <c r="Y44" t="e">
        <f>BSGamma($X$27,#REF!,#REF!,0.001,O44)</f>
        <v>#VALUE!</v>
      </c>
      <c r="Z44">
        <f t="shared" si="5"/>
        <v>0</v>
      </c>
      <c r="AA44">
        <f t="shared" si="6"/>
        <v>0</v>
      </c>
      <c r="AB44" s="70">
        <f t="shared" si="2"/>
        <v>0</v>
      </c>
      <c r="AC44" t="e">
        <f>IF(#REF!="C",MAX(0,$N$27-#REF!),MAX(0,#REF!-$N$27))*10000</f>
        <v>#REF!</v>
      </c>
      <c r="AD44" s="68" t="e">
        <f t="shared" si="7"/>
        <v>#REF!</v>
      </c>
      <c r="AE44" s="68" t="e">
        <f t="shared" si="3"/>
        <v>#REF!</v>
      </c>
      <c r="AF44" s="67" t="e">
        <f t="shared" si="4"/>
        <v>#REF!</v>
      </c>
    </row>
    <row r="45" spans="1:34" x14ac:dyDescent="0.25">
      <c r="A45" s="2" t="s">
        <v>218</v>
      </c>
      <c r="B45" s="2">
        <v>-10</v>
      </c>
      <c r="C45" s="2">
        <v>6.2943000000000001E-3</v>
      </c>
      <c r="D45" s="2">
        <v>-3933.93</v>
      </c>
      <c r="E45" s="2">
        <v>391.69</v>
      </c>
      <c r="F45" s="30">
        <v>-17.03</v>
      </c>
      <c r="G45" s="2">
        <v>0</v>
      </c>
      <c r="H45" s="2"/>
      <c r="I45" s="2"/>
      <c r="J45" s="2"/>
      <c r="K45" s="2"/>
      <c r="L45" s="2"/>
      <c r="M45" s="2"/>
      <c r="N45" s="2"/>
      <c r="O45" s="2"/>
      <c r="P45" s="2"/>
      <c r="Q45" s="38"/>
      <c r="R45" s="37"/>
      <c r="S45" s="2"/>
      <c r="T45" s="2"/>
      <c r="U45" s="2">
        <f t="shared" si="0"/>
        <v>0</v>
      </c>
      <c r="V45" s="2">
        <v>1.5804</v>
      </c>
      <c r="W45" s="2">
        <f t="shared" si="1"/>
        <v>0</v>
      </c>
      <c r="X45">
        <f>U45</f>
        <v>0</v>
      </c>
      <c r="Y45" t="e">
        <f>BSGamma($X$27,#REF!,#REF!,0.001,O45)</f>
        <v>#VALUE!</v>
      </c>
      <c r="Z45">
        <f t="shared" si="5"/>
        <v>0</v>
      </c>
      <c r="AA45">
        <f t="shared" si="6"/>
        <v>0</v>
      </c>
      <c r="AB45" s="70">
        <f t="shared" si="2"/>
        <v>0</v>
      </c>
      <c r="AC45" t="e">
        <f>IF(#REF!="C",MAX(0,$N$27-#REF!),MAX(0,#REF!-$N$27))*10000</f>
        <v>#REF!</v>
      </c>
      <c r="AD45" s="68" t="e">
        <f t="shared" si="7"/>
        <v>#REF!</v>
      </c>
      <c r="AE45" s="68" t="e">
        <f t="shared" si="3"/>
        <v>#REF!</v>
      </c>
      <c r="AF45" s="67" t="e">
        <f t="shared" si="4"/>
        <v>#REF!</v>
      </c>
    </row>
    <row r="46" spans="1:34" x14ac:dyDescent="0.25">
      <c r="A46" s="2" t="s">
        <v>219</v>
      </c>
      <c r="B46" s="2">
        <v>-10</v>
      </c>
      <c r="C46" s="2">
        <v>1.69465E-3</v>
      </c>
      <c r="D46" s="2">
        <v>-1059.17</v>
      </c>
      <c r="E46" s="2">
        <v>116.69</v>
      </c>
      <c r="F46" s="30">
        <v>107.73</v>
      </c>
      <c r="G46" s="2">
        <v>0</v>
      </c>
      <c r="H46" s="2"/>
      <c r="I46" s="2"/>
      <c r="J46" s="2"/>
      <c r="K46" s="2"/>
      <c r="L46" s="2"/>
      <c r="M46" s="2"/>
      <c r="N46" s="2"/>
      <c r="O46" s="2"/>
      <c r="P46" s="2"/>
      <c r="Q46" s="2"/>
      <c r="R46" s="37"/>
      <c r="S46" s="2"/>
      <c r="T46" s="2"/>
      <c r="U46" s="2">
        <f t="shared" si="0"/>
        <v>0</v>
      </c>
      <c r="V46" s="2">
        <v>1.5804</v>
      </c>
      <c r="W46" s="2">
        <f t="shared" si="1"/>
        <v>0</v>
      </c>
      <c r="X46">
        <f>U46</f>
        <v>0</v>
      </c>
      <c r="Y46" t="e">
        <f>BSGamma($X$27,#REF!,#REF!,0.001,O46)</f>
        <v>#VALUE!</v>
      </c>
      <c r="Z46">
        <f t="shared" si="5"/>
        <v>0</v>
      </c>
      <c r="AA46">
        <f t="shared" si="6"/>
        <v>0</v>
      </c>
      <c r="AB46" s="70">
        <f t="shared" si="2"/>
        <v>0</v>
      </c>
      <c r="AC46" t="e">
        <f>IF(#REF!="C",MAX(0,$N$27-#REF!),MAX(0,#REF!-$N$27))*10000</f>
        <v>#REF!</v>
      </c>
      <c r="AD46" s="68" t="e">
        <f t="shared" si="7"/>
        <v>#REF!</v>
      </c>
      <c r="AE46" s="68" t="e">
        <f t="shared" si="3"/>
        <v>#REF!</v>
      </c>
      <c r="AF46" s="67" t="e">
        <f t="shared" si="4"/>
        <v>#REF!</v>
      </c>
    </row>
    <row r="47" spans="1:34" x14ac:dyDescent="0.25">
      <c r="A47" s="2"/>
      <c r="B47" s="2"/>
      <c r="C47" s="2"/>
      <c r="D47" s="2"/>
      <c r="E47" s="2"/>
      <c r="F47" s="30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37"/>
      <c r="S47" s="2"/>
      <c r="T47" s="2"/>
      <c r="U47" s="2">
        <f t="shared" si="0"/>
        <v>0</v>
      </c>
      <c r="V47" s="2">
        <v>1.5804</v>
      </c>
      <c r="W47" s="2">
        <f t="shared" si="1"/>
        <v>0</v>
      </c>
      <c r="X47">
        <f>U47</f>
        <v>0</v>
      </c>
      <c r="Y47" t="e">
        <f>BSGamma($X$27,#REF!,#REF!,0.001,O47)</f>
        <v>#VALUE!</v>
      </c>
      <c r="Z47">
        <f t="shared" si="5"/>
        <v>0</v>
      </c>
      <c r="AA47">
        <f t="shared" si="6"/>
        <v>0</v>
      </c>
      <c r="AB47" s="70">
        <f t="shared" si="2"/>
        <v>0</v>
      </c>
      <c r="AC47" t="e">
        <f>IF(#REF!="C",MAX(0,$N$27-#REF!),MAX(0,#REF!-$N$27))*10000</f>
        <v>#REF!</v>
      </c>
      <c r="AD47" s="68" t="e">
        <f t="shared" si="7"/>
        <v>#REF!</v>
      </c>
      <c r="AE47" s="68" t="e">
        <f t="shared" si="3"/>
        <v>#REF!</v>
      </c>
      <c r="AF47" s="67" t="e">
        <f t="shared" si="4"/>
        <v>#REF!</v>
      </c>
    </row>
    <row r="48" spans="1:34" x14ac:dyDescent="0.25">
      <c r="A48" s="2"/>
      <c r="B48" s="2"/>
      <c r="C48" s="2"/>
      <c r="D48" s="2"/>
      <c r="E48" s="2"/>
      <c r="F48" s="30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37"/>
      <c r="S48" s="2"/>
      <c r="T48" s="2"/>
      <c r="U48" s="2">
        <f t="shared" si="0"/>
        <v>0</v>
      </c>
      <c r="V48" s="2">
        <v>1.5804</v>
      </c>
      <c r="W48" s="2">
        <f t="shared" si="1"/>
        <v>0</v>
      </c>
      <c r="X48">
        <v>-2.7091848572871529</v>
      </c>
      <c r="Y48" t="e">
        <f>BSGamma($X$27,#REF!,#REF!,0.001,O48)</f>
        <v>#VALUE!</v>
      </c>
      <c r="Z48">
        <f t="shared" si="5"/>
        <v>0</v>
      </c>
      <c r="AA48">
        <f t="shared" si="6"/>
        <v>0</v>
      </c>
      <c r="AB48" s="70">
        <f t="shared" si="2"/>
        <v>0</v>
      </c>
      <c r="AC48" t="e">
        <f>IF(#REF!="C",MAX(0,$N$27-#REF!),MAX(0,#REF!-$N$27))*10000</f>
        <v>#REF!</v>
      </c>
      <c r="AD48" s="68" t="e">
        <f t="shared" si="7"/>
        <v>#REF!</v>
      </c>
      <c r="AE48" s="68" t="e">
        <f t="shared" si="3"/>
        <v>#REF!</v>
      </c>
      <c r="AF48" s="67" t="e">
        <f t="shared" si="4"/>
        <v>#REF!</v>
      </c>
    </row>
    <row r="49" spans="1:32" x14ac:dyDescent="0.25">
      <c r="A49" s="2"/>
      <c r="B49" s="2"/>
      <c r="C49" s="2"/>
      <c r="D49" s="2"/>
      <c r="E49" s="2"/>
      <c r="F49" s="30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37"/>
      <c r="S49" s="2"/>
      <c r="T49" s="2"/>
      <c r="U49" s="2">
        <f t="shared" si="0"/>
        <v>0</v>
      </c>
      <c r="V49" s="2">
        <v>1.5804</v>
      </c>
      <c r="W49" s="2">
        <f t="shared" si="1"/>
        <v>0</v>
      </c>
      <c r="X49">
        <v>-2.7096533002722651</v>
      </c>
      <c r="Y49" t="e">
        <f>BSGamma($X$27,#REF!,#REF!,0.001,O49)</f>
        <v>#VALUE!</v>
      </c>
      <c r="Z49">
        <f t="shared" si="5"/>
        <v>0</v>
      </c>
      <c r="AA49">
        <f t="shared" si="6"/>
        <v>0</v>
      </c>
      <c r="AB49" s="70">
        <f t="shared" si="2"/>
        <v>0</v>
      </c>
      <c r="AC49" t="e">
        <f>IF(#REF!="C",MAX(0,$N$27-#REF!),MAX(0,#REF!-$N$27))*10000</f>
        <v>#REF!</v>
      </c>
      <c r="AD49" s="68" t="e">
        <f t="shared" si="7"/>
        <v>#REF!</v>
      </c>
      <c r="AE49" s="68" t="e">
        <f t="shared" si="3"/>
        <v>#REF!</v>
      </c>
      <c r="AF49" s="67" t="e">
        <f t="shared" si="4"/>
        <v>#REF!</v>
      </c>
    </row>
    <row r="50" spans="1:32" x14ac:dyDescent="0.25">
      <c r="A50" s="2"/>
      <c r="B50" s="2"/>
      <c r="C50" s="2"/>
      <c r="D50" s="2"/>
      <c r="E50" s="2"/>
      <c r="F50" s="30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37"/>
      <c r="S50" s="2"/>
      <c r="T50" s="2"/>
      <c r="U50" s="2">
        <f t="shared" si="0"/>
        <v>0</v>
      </c>
      <c r="V50" s="2">
        <v>1.5804</v>
      </c>
      <c r="W50" s="2">
        <f t="shared" si="1"/>
        <v>0</v>
      </c>
      <c r="X50">
        <v>3.4493341615700741</v>
      </c>
      <c r="Y50" t="e">
        <f>BSGamma($X$27,#REF!,#REF!,0.001,O50)</f>
        <v>#VALUE!</v>
      </c>
      <c r="Z50">
        <f t="shared" si="5"/>
        <v>0</v>
      </c>
      <c r="AA50">
        <f t="shared" si="6"/>
        <v>0</v>
      </c>
      <c r="AB50" s="70">
        <f>IF(K50=-1,M39/2,(K50+L50)/2)* 10000</f>
        <v>0</v>
      </c>
      <c r="AC50" t="e">
        <f>IF(#REF!="C",MAX(0,$N$27-#REF!),MAX(0,#REF!-$N$27))*10000</f>
        <v>#REF!</v>
      </c>
      <c r="AD50" s="68" t="e">
        <f t="shared" si="7"/>
        <v>#REF!</v>
      </c>
      <c r="AE50" s="68" t="e">
        <f t="shared" si="3"/>
        <v>#REF!</v>
      </c>
      <c r="AF50" s="67" t="e">
        <f>MAX(0,AE50*6.25)</f>
        <v>#REF!</v>
      </c>
    </row>
    <row r="51" spans="1:32" x14ac:dyDescent="0.25">
      <c r="A51" s="2"/>
      <c r="B51" s="2"/>
      <c r="C51" s="2"/>
      <c r="D51" s="2"/>
      <c r="E51" s="2"/>
      <c r="F51" s="30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37"/>
      <c r="S51" s="2"/>
      <c r="T51" s="2"/>
      <c r="U51" s="2">
        <f t="shared" si="0"/>
        <v>0</v>
      </c>
      <c r="V51" s="2">
        <v>1.5804</v>
      </c>
      <c r="W51" s="2">
        <f t="shared" si="1"/>
        <v>0</v>
      </c>
      <c r="X51">
        <v>0.10134091252645153</v>
      </c>
      <c r="Y51" t="e">
        <f>BSGamma($X$27,#REF!,#REF!,0.001,O51)</f>
        <v>#VALUE!</v>
      </c>
      <c r="Z51">
        <f t="shared" si="5"/>
        <v>0</v>
      </c>
      <c r="AA51">
        <f t="shared" si="6"/>
        <v>0</v>
      </c>
      <c r="AB51" s="70">
        <v>0</v>
      </c>
      <c r="AC51" t="e">
        <f>IF(#REF!="C",MAX(0,$N$27-#REF!),MAX(0,#REF!-$N$27))*10000</f>
        <v>#REF!</v>
      </c>
      <c r="AD51" s="68" t="e">
        <f t="shared" si="7"/>
        <v>#REF!</v>
      </c>
      <c r="AE51" s="68" t="e">
        <f t="shared" si="3"/>
        <v>#REF!</v>
      </c>
      <c r="AF51" s="67" t="e">
        <f t="shared" ref="AF51:AF61" si="8">MAX(0,AE51*6.25)</f>
        <v>#REF!</v>
      </c>
    </row>
    <row r="52" spans="1:32" x14ac:dyDescent="0.25">
      <c r="A52" s="2"/>
      <c r="B52" s="2"/>
      <c r="C52" s="2"/>
      <c r="D52" s="2"/>
      <c r="E52" s="2"/>
      <c r="F52" s="30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37"/>
      <c r="S52" s="2"/>
      <c r="T52" s="2"/>
      <c r="U52" s="2">
        <f t="shared" si="0"/>
        <v>0</v>
      </c>
      <c r="V52" s="2"/>
      <c r="W52" s="2">
        <f t="shared" si="1"/>
        <v>0</v>
      </c>
      <c r="X52">
        <v>0</v>
      </c>
      <c r="Y52" t="e">
        <f>BSGamma($X$27,#REF!,#REF!,0.001,O52)</f>
        <v>#VALUE!</v>
      </c>
      <c r="Z52">
        <f t="shared" si="5"/>
        <v>0</v>
      </c>
      <c r="AA52">
        <f t="shared" si="6"/>
        <v>0</v>
      </c>
      <c r="AB52" s="70">
        <f t="shared" ref="AB52:AB61" si="9">IF(K52=-1,L41/2,(K52+L52)/2)* 10000</f>
        <v>0</v>
      </c>
      <c r="AC52" t="e">
        <f>IF(#REF!="C",MAX(0,$N$27-#REF!),MAX(0,#REF!-$N$27))*10000</f>
        <v>#REF!</v>
      </c>
      <c r="AD52" s="68" t="e">
        <f t="shared" si="7"/>
        <v>#REF!</v>
      </c>
      <c r="AE52" s="68" t="e">
        <f t="shared" si="3"/>
        <v>#REF!</v>
      </c>
      <c r="AF52" s="67" t="e">
        <f t="shared" si="8"/>
        <v>#REF!</v>
      </c>
    </row>
    <row r="53" spans="1:32" x14ac:dyDescent="0.25">
      <c r="A53" s="2"/>
      <c r="B53" s="2"/>
      <c r="C53" s="2"/>
      <c r="D53" s="2"/>
      <c r="E53" s="2"/>
      <c r="F53" s="30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37"/>
      <c r="S53" s="2"/>
      <c r="T53" s="2"/>
      <c r="U53" s="2">
        <f t="shared" si="0"/>
        <v>0</v>
      </c>
      <c r="V53" s="2"/>
      <c r="W53" s="2">
        <f t="shared" si="1"/>
        <v>0</v>
      </c>
      <c r="X53">
        <v>0</v>
      </c>
      <c r="Y53" t="e">
        <f>BSGamma($X$27,#REF!,#REF!,0.001,O53)</f>
        <v>#VALUE!</v>
      </c>
      <c r="Z53">
        <f t="shared" si="5"/>
        <v>0</v>
      </c>
      <c r="AA53">
        <f t="shared" si="6"/>
        <v>0</v>
      </c>
      <c r="AB53" s="70">
        <f t="shared" si="9"/>
        <v>0</v>
      </c>
      <c r="AC53" t="e">
        <f>IF(#REF!="C",MAX(0,$N$27-#REF!),MAX(0,#REF!-$N$27))*10000</f>
        <v>#REF!</v>
      </c>
      <c r="AD53" s="68" t="e">
        <f t="shared" si="7"/>
        <v>#REF!</v>
      </c>
      <c r="AE53" s="68" t="e">
        <f t="shared" si="3"/>
        <v>#REF!</v>
      </c>
      <c r="AF53" s="67" t="e">
        <f t="shared" si="8"/>
        <v>#REF!</v>
      </c>
    </row>
    <row r="54" spans="1:32" x14ac:dyDescent="0.25">
      <c r="A54" s="2"/>
      <c r="B54" s="2"/>
      <c r="C54" s="2"/>
      <c r="D54" s="2"/>
      <c r="E54" s="2"/>
      <c r="F54" s="30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37"/>
      <c r="S54" s="2"/>
      <c r="T54" s="2"/>
      <c r="U54" s="2">
        <f t="shared" si="0"/>
        <v>0</v>
      </c>
      <c r="V54" s="2"/>
      <c r="W54" s="2">
        <f t="shared" si="1"/>
        <v>0</v>
      </c>
      <c r="X54">
        <v>0</v>
      </c>
      <c r="Y54" t="e">
        <f>BSGamma($X$27,#REF!,#REF!,0.001,O54)</f>
        <v>#VALUE!</v>
      </c>
      <c r="Z54">
        <f t="shared" si="5"/>
        <v>0</v>
      </c>
      <c r="AA54">
        <f t="shared" si="6"/>
        <v>0</v>
      </c>
      <c r="AB54" s="70">
        <f t="shared" si="9"/>
        <v>0</v>
      </c>
      <c r="AC54" t="e">
        <f>IF(#REF!="C",MAX(0,$N$27-#REF!),MAX(0,#REF!-$N$27))*10000</f>
        <v>#REF!</v>
      </c>
      <c r="AD54" s="68" t="e">
        <f t="shared" si="7"/>
        <v>#REF!</v>
      </c>
      <c r="AE54" s="68" t="e">
        <f t="shared" si="3"/>
        <v>#REF!</v>
      </c>
      <c r="AF54" s="67" t="e">
        <f t="shared" si="8"/>
        <v>#REF!</v>
      </c>
    </row>
    <row r="55" spans="1:32" x14ac:dyDescent="0.25">
      <c r="A55" s="2"/>
      <c r="B55" s="2"/>
      <c r="C55" s="2"/>
      <c r="D55" s="2"/>
      <c r="E55" s="2"/>
      <c r="F55" s="30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37"/>
      <c r="S55" s="2"/>
      <c r="T55" s="2"/>
      <c r="U55" s="2">
        <f t="shared" si="0"/>
        <v>0</v>
      </c>
      <c r="V55" s="2"/>
      <c r="W55" s="2">
        <f t="shared" si="1"/>
        <v>0</v>
      </c>
      <c r="X55">
        <v>0</v>
      </c>
      <c r="Y55" t="e">
        <f>BSGamma($X$27,#REF!,#REF!,0.001,O55)</f>
        <v>#VALUE!</v>
      </c>
      <c r="Z55">
        <f t="shared" si="5"/>
        <v>0</v>
      </c>
      <c r="AA55">
        <f t="shared" si="6"/>
        <v>0</v>
      </c>
      <c r="AB55" s="70">
        <f t="shared" si="9"/>
        <v>0</v>
      </c>
      <c r="AC55" t="e">
        <f>IF(#REF!="C",MAX(0,$N$27-#REF!),MAX(0,#REF!-$N$27))*10000</f>
        <v>#REF!</v>
      </c>
      <c r="AD55" s="68" t="e">
        <f t="shared" si="7"/>
        <v>#REF!</v>
      </c>
      <c r="AE55" s="68" t="e">
        <f t="shared" si="3"/>
        <v>#REF!</v>
      </c>
      <c r="AF55" s="67" t="e">
        <f t="shared" si="8"/>
        <v>#REF!</v>
      </c>
    </row>
    <row r="56" spans="1:32" x14ac:dyDescent="0.25">
      <c r="A56" s="2"/>
      <c r="B56" s="2"/>
      <c r="C56" s="2"/>
      <c r="D56" s="2"/>
      <c r="E56" s="2"/>
      <c r="F56" s="30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37"/>
      <c r="S56" s="2"/>
      <c r="T56" s="2"/>
      <c r="U56" s="2">
        <f t="shared" si="0"/>
        <v>0</v>
      </c>
      <c r="V56" s="2"/>
      <c r="W56" s="2">
        <f t="shared" si="1"/>
        <v>0</v>
      </c>
      <c r="X56">
        <v>0</v>
      </c>
      <c r="Y56" t="e">
        <f>BSGamma($X$27,#REF!,#REF!,0.001,O56)</f>
        <v>#VALUE!</v>
      </c>
      <c r="Z56">
        <f t="shared" si="5"/>
        <v>0</v>
      </c>
      <c r="AA56">
        <f t="shared" si="6"/>
        <v>0</v>
      </c>
      <c r="AB56" s="70">
        <f t="shared" si="9"/>
        <v>0</v>
      </c>
      <c r="AC56" t="e">
        <f>IF(#REF!="C",MAX(0,$N$27-#REF!),MAX(0,#REF!-$N$27))*10000</f>
        <v>#REF!</v>
      </c>
      <c r="AD56" s="68" t="e">
        <f t="shared" si="7"/>
        <v>#REF!</v>
      </c>
      <c r="AE56" s="68" t="e">
        <f t="shared" si="3"/>
        <v>#REF!</v>
      </c>
      <c r="AF56" s="67" t="e">
        <f t="shared" si="8"/>
        <v>#REF!</v>
      </c>
    </row>
    <row r="57" spans="1:32" x14ac:dyDescent="0.25">
      <c r="A57" s="2"/>
      <c r="B57" s="2"/>
      <c r="C57" s="2"/>
      <c r="D57" s="2"/>
      <c r="E57" s="2"/>
      <c r="F57" s="30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37"/>
      <c r="S57" s="2"/>
      <c r="T57" s="2"/>
      <c r="U57" s="2">
        <f t="shared" si="0"/>
        <v>0</v>
      </c>
      <c r="V57" s="2"/>
      <c r="W57" s="2">
        <f t="shared" si="1"/>
        <v>0</v>
      </c>
      <c r="X57">
        <v>0</v>
      </c>
      <c r="Y57" t="e">
        <f>BSGamma($X$27,#REF!,#REF!,0.001,O57)</f>
        <v>#VALUE!</v>
      </c>
      <c r="Z57">
        <f t="shared" si="5"/>
        <v>0</v>
      </c>
      <c r="AA57">
        <f t="shared" si="6"/>
        <v>0</v>
      </c>
      <c r="AB57" s="70">
        <f t="shared" si="9"/>
        <v>0</v>
      </c>
      <c r="AC57" t="e">
        <f>IF(#REF!="C",MAX(0,$N$27-#REF!),MAX(0,#REF!-$N$27))*10000</f>
        <v>#REF!</v>
      </c>
      <c r="AD57" s="68" t="e">
        <f t="shared" si="7"/>
        <v>#REF!</v>
      </c>
      <c r="AE57" s="68" t="e">
        <f t="shared" si="3"/>
        <v>#REF!</v>
      </c>
      <c r="AF57" s="67" t="e">
        <f t="shared" si="8"/>
        <v>#REF!</v>
      </c>
    </row>
    <row r="58" spans="1:32" x14ac:dyDescent="0.25">
      <c r="A58" s="2"/>
      <c r="B58" s="2"/>
      <c r="C58" s="2"/>
      <c r="D58" s="2"/>
      <c r="E58" s="2"/>
      <c r="F58" s="30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>
        <f t="shared" si="0"/>
        <v>0</v>
      </c>
      <c r="V58" s="2"/>
      <c r="W58" s="2">
        <f t="shared" si="1"/>
        <v>0</v>
      </c>
      <c r="X58">
        <v>0</v>
      </c>
      <c r="Y58" t="e">
        <f>BSGamma($X$27,#REF!,#REF!,0.001,O58)</f>
        <v>#VALUE!</v>
      </c>
      <c r="Z58">
        <f t="shared" si="5"/>
        <v>0</v>
      </c>
      <c r="AA58">
        <f t="shared" si="6"/>
        <v>0</v>
      </c>
      <c r="AB58" s="70">
        <f t="shared" si="9"/>
        <v>0</v>
      </c>
      <c r="AC58" t="e">
        <f>IF(#REF!="C",MAX(0,$N$27-#REF!),MAX(0,#REF!-$N$27))*10000</f>
        <v>#REF!</v>
      </c>
      <c r="AD58" s="68" t="e">
        <f t="shared" si="7"/>
        <v>#REF!</v>
      </c>
      <c r="AE58" s="68" t="e">
        <f t="shared" si="3"/>
        <v>#REF!</v>
      </c>
      <c r="AF58" s="67" t="e">
        <f t="shared" si="8"/>
        <v>#REF!</v>
      </c>
    </row>
    <row r="59" spans="1:32" x14ac:dyDescent="0.25">
      <c r="A59" s="2"/>
      <c r="B59" s="2"/>
      <c r="C59" s="2"/>
      <c r="D59" s="2"/>
      <c r="E59" s="2"/>
      <c r="F59" s="30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v>0</v>
      </c>
      <c r="Y59" t="e">
        <f>BSGamma($X$27,#REF!,#REF!,0.001,O59)</f>
        <v>#VALUE!</v>
      </c>
      <c r="Z59">
        <f t="shared" si="5"/>
        <v>0</v>
      </c>
      <c r="AA59">
        <f t="shared" si="6"/>
        <v>0</v>
      </c>
      <c r="AB59" s="70">
        <f t="shared" si="9"/>
        <v>0</v>
      </c>
      <c r="AC59" t="e">
        <f>IF(#REF!="C",MAX(0,$N$27-#REF!),MAX(0,#REF!-$N$27))*10000</f>
        <v>#REF!</v>
      </c>
      <c r="AD59" s="68" t="e">
        <f t="shared" si="7"/>
        <v>#REF!</v>
      </c>
      <c r="AE59" s="68" t="e">
        <f t="shared" si="3"/>
        <v>#REF!</v>
      </c>
      <c r="AF59" s="67" t="e">
        <f t="shared" si="8"/>
        <v>#REF!</v>
      </c>
    </row>
    <row r="60" spans="1:32" x14ac:dyDescent="0.25">
      <c r="A60" s="2"/>
      <c r="B60" s="2"/>
      <c r="C60" s="2"/>
      <c r="D60" s="2"/>
      <c r="E60" s="2"/>
      <c r="F60" s="30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v>0</v>
      </c>
      <c r="Y60" t="e">
        <f>BSGamma($X$27,#REF!,#REF!,0.001,O60)</f>
        <v>#VALUE!</v>
      </c>
      <c r="Z60">
        <f t="shared" si="5"/>
        <v>0</v>
      </c>
      <c r="AA60">
        <f t="shared" si="6"/>
        <v>0</v>
      </c>
      <c r="AB60" s="70">
        <f t="shared" si="9"/>
        <v>0</v>
      </c>
      <c r="AC60" t="e">
        <f>IF(#REF!="C",MAX(0,$N$27-#REF!),MAX(0,#REF!-$N$27))*10000</f>
        <v>#REF!</v>
      </c>
      <c r="AD60" s="68" t="e">
        <f t="shared" si="7"/>
        <v>#REF!</v>
      </c>
      <c r="AE60" s="68" t="e">
        <f t="shared" si="3"/>
        <v>#REF!</v>
      </c>
      <c r="AF60" s="67" t="e">
        <f t="shared" si="8"/>
        <v>#REF!</v>
      </c>
    </row>
    <row r="61" spans="1:32" x14ac:dyDescent="0.25">
      <c r="A61" s="2"/>
      <c r="B61" s="2"/>
      <c r="C61" s="2"/>
      <c r="D61" s="2"/>
      <c r="E61" s="2"/>
      <c r="F61" s="30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v>0</v>
      </c>
      <c r="Y61" t="e">
        <f>BSGamma($X$27,#REF!,#REF!,0.001,O61)</f>
        <v>#VALUE!</v>
      </c>
      <c r="Z61">
        <f t="shared" si="5"/>
        <v>0</v>
      </c>
      <c r="AA61">
        <f t="shared" si="6"/>
        <v>0</v>
      </c>
      <c r="AB61" s="70">
        <f t="shared" si="9"/>
        <v>0</v>
      </c>
      <c r="AC61" t="e">
        <f>IF(#REF!="C",MAX(0,$N$27-#REF!),MAX(0,#REF!-$N$27))*10000</f>
        <v>#REF!</v>
      </c>
      <c r="AD61" s="68" t="e">
        <f t="shared" si="7"/>
        <v>#REF!</v>
      </c>
      <c r="AE61" s="68" t="e">
        <f t="shared" si="3"/>
        <v>#REF!</v>
      </c>
      <c r="AF61" s="67" t="e">
        <f t="shared" si="8"/>
        <v>#REF!</v>
      </c>
    </row>
    <row r="67" spans="1:13" x14ac:dyDescent="0.25">
      <c r="A67" s="114" t="s">
        <v>188</v>
      </c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</row>
    <row r="68" spans="1:13" x14ac:dyDescent="0.25">
      <c r="A68" s="116" t="s">
        <v>41</v>
      </c>
      <c r="B68" s="117"/>
      <c r="C68" s="117"/>
      <c r="D68" s="117"/>
      <c r="E68" s="117"/>
      <c r="F68" s="117"/>
      <c r="G68" s="117"/>
      <c r="H68" s="117"/>
      <c r="I68" s="117"/>
      <c r="J68" s="117"/>
      <c r="K68" s="117"/>
      <c r="L68" s="117"/>
      <c r="M68" s="117"/>
    </row>
    <row r="69" spans="1:13" x14ac:dyDescent="0.25">
      <c r="A69" s="92" t="s">
        <v>9</v>
      </c>
      <c r="B69" s="91" t="s">
        <v>42</v>
      </c>
      <c r="C69" s="91" t="s">
        <v>43</v>
      </c>
      <c r="D69" s="91" t="s">
        <v>44</v>
      </c>
      <c r="E69" s="91" t="s">
        <v>45</v>
      </c>
      <c r="F69" s="91" t="s">
        <v>33</v>
      </c>
      <c r="G69" s="91" t="s">
        <v>46</v>
      </c>
      <c r="H69" s="91" t="s">
        <v>47</v>
      </c>
      <c r="I69" s="91" t="s">
        <v>48</v>
      </c>
      <c r="J69" s="91" t="s">
        <v>49</v>
      </c>
      <c r="K69" s="91" t="s">
        <v>50</v>
      </c>
      <c r="L69" s="91" t="s">
        <v>51</v>
      </c>
      <c r="M69" s="91" t="s">
        <v>52</v>
      </c>
    </row>
    <row r="70" spans="1:13" x14ac:dyDescent="0.25">
      <c r="A70" s="2" t="s">
        <v>168</v>
      </c>
      <c r="B70" s="16">
        <v>8</v>
      </c>
      <c r="C70" s="22" t="s">
        <v>192</v>
      </c>
      <c r="D70" s="16" t="s">
        <v>193</v>
      </c>
      <c r="E70" s="16" t="s">
        <v>191</v>
      </c>
      <c r="F70" s="16">
        <v>4</v>
      </c>
      <c r="G70" s="16">
        <v>4</v>
      </c>
      <c r="H70" s="16">
        <v>1.5686</v>
      </c>
      <c r="I70" s="16">
        <v>1.5686</v>
      </c>
      <c r="J70" s="16">
        <v>135369119</v>
      </c>
      <c r="K70" s="16">
        <v>0</v>
      </c>
      <c r="L70" s="16">
        <v>6</v>
      </c>
      <c r="M70" s="16"/>
    </row>
    <row r="71" spans="1:13" x14ac:dyDescent="0.25">
      <c r="A71" s="2" t="s">
        <v>168</v>
      </c>
      <c r="B71" s="16">
        <v>8</v>
      </c>
      <c r="C71" s="22" t="s">
        <v>194</v>
      </c>
      <c r="D71" s="16" t="s">
        <v>193</v>
      </c>
      <c r="E71" s="16" t="s">
        <v>191</v>
      </c>
      <c r="F71" s="16">
        <v>1</v>
      </c>
      <c r="G71" s="16">
        <v>5</v>
      </c>
      <c r="H71" s="16">
        <v>1.5686</v>
      </c>
      <c r="I71" s="16">
        <v>1.5686</v>
      </c>
      <c r="J71" s="16">
        <v>135369119</v>
      </c>
      <c r="K71" s="16">
        <v>0</v>
      </c>
      <c r="L71" s="16">
        <v>6</v>
      </c>
      <c r="M71" s="16"/>
    </row>
    <row r="72" spans="1:13" x14ac:dyDescent="0.25">
      <c r="A72" s="2" t="s">
        <v>168</v>
      </c>
      <c r="B72" s="16">
        <v>9</v>
      </c>
      <c r="C72" s="22" t="s">
        <v>195</v>
      </c>
      <c r="D72" s="16" t="s">
        <v>196</v>
      </c>
      <c r="E72" s="16" t="s">
        <v>191</v>
      </c>
      <c r="F72" s="16">
        <v>5</v>
      </c>
      <c r="G72" s="16">
        <v>5</v>
      </c>
      <c r="H72" s="16">
        <v>1.5687</v>
      </c>
      <c r="I72" s="16">
        <v>1.5687</v>
      </c>
      <c r="J72" s="16">
        <v>135369120</v>
      </c>
      <c r="K72" s="16">
        <v>0</v>
      </c>
      <c r="L72" s="16">
        <v>6</v>
      </c>
      <c r="M72" s="16"/>
    </row>
    <row r="73" spans="1:13" x14ac:dyDescent="0.25">
      <c r="A73" s="2" t="s">
        <v>168</v>
      </c>
      <c r="B73" s="16">
        <v>10</v>
      </c>
      <c r="C73" s="22" t="s">
        <v>197</v>
      </c>
      <c r="D73" s="16" t="s">
        <v>198</v>
      </c>
      <c r="E73" s="16" t="s">
        <v>191</v>
      </c>
      <c r="F73" s="16">
        <v>5</v>
      </c>
      <c r="G73" s="16">
        <v>5</v>
      </c>
      <c r="H73" s="16">
        <v>1.5686</v>
      </c>
      <c r="I73" s="16">
        <v>1.5686</v>
      </c>
      <c r="J73" s="16">
        <v>135369121</v>
      </c>
      <c r="K73" s="16">
        <v>0</v>
      </c>
      <c r="L73" s="16">
        <v>6</v>
      </c>
      <c r="M73" s="16"/>
    </row>
    <row r="74" spans="1:13" x14ac:dyDescent="0.25">
      <c r="A74" s="2" t="s">
        <v>168</v>
      </c>
      <c r="B74" s="16">
        <v>11</v>
      </c>
      <c r="C74" s="24" t="s">
        <v>199</v>
      </c>
      <c r="D74" s="16" t="s">
        <v>200</v>
      </c>
      <c r="E74" s="16" t="s">
        <v>191</v>
      </c>
      <c r="F74" s="16">
        <v>1</v>
      </c>
      <c r="G74" s="16">
        <v>1</v>
      </c>
      <c r="H74" s="16">
        <v>1.5686</v>
      </c>
      <c r="I74" s="16">
        <v>1.5686</v>
      </c>
      <c r="J74" s="16">
        <v>135369122</v>
      </c>
      <c r="K74" s="16">
        <v>0</v>
      </c>
      <c r="L74" s="16">
        <v>6</v>
      </c>
      <c r="M74" s="16"/>
    </row>
    <row r="75" spans="1:13" x14ac:dyDescent="0.25">
      <c r="A75" s="2" t="s">
        <v>168</v>
      </c>
      <c r="B75" s="16">
        <v>11</v>
      </c>
      <c r="C75" s="24" t="s">
        <v>201</v>
      </c>
      <c r="D75" s="16" t="s">
        <v>200</v>
      </c>
      <c r="E75" s="16" t="s">
        <v>191</v>
      </c>
      <c r="F75" s="16">
        <v>4</v>
      </c>
      <c r="G75" s="16">
        <v>5</v>
      </c>
      <c r="H75" s="16">
        <v>1.5686</v>
      </c>
      <c r="I75" s="16">
        <v>1.5686</v>
      </c>
      <c r="J75" s="16">
        <v>135369122</v>
      </c>
      <c r="K75" s="16">
        <v>0</v>
      </c>
      <c r="L75" s="16">
        <v>6</v>
      </c>
      <c r="M75" s="16"/>
    </row>
    <row r="76" spans="1:13" x14ac:dyDescent="0.25">
      <c r="A76" s="2" t="s">
        <v>168</v>
      </c>
      <c r="B76" s="16">
        <v>12</v>
      </c>
      <c r="C76" s="24" t="s">
        <v>202</v>
      </c>
      <c r="D76" s="16" t="s">
        <v>203</v>
      </c>
      <c r="E76" s="16" t="s">
        <v>191</v>
      </c>
      <c r="F76" s="16">
        <v>3</v>
      </c>
      <c r="G76" s="16">
        <v>3</v>
      </c>
      <c r="H76" s="16">
        <v>1.5686</v>
      </c>
      <c r="I76" s="16">
        <v>1.5686</v>
      </c>
      <c r="J76" s="16">
        <v>135369123</v>
      </c>
      <c r="K76" s="16">
        <v>0</v>
      </c>
      <c r="L76" s="16">
        <v>6</v>
      </c>
      <c r="M76" s="16"/>
    </row>
    <row r="77" spans="1:13" x14ac:dyDescent="0.25">
      <c r="A77" s="2" t="s">
        <v>168</v>
      </c>
      <c r="B77" s="16">
        <v>12</v>
      </c>
      <c r="C77" s="22" t="s">
        <v>204</v>
      </c>
      <c r="D77" s="16" t="s">
        <v>205</v>
      </c>
      <c r="E77" s="16" t="s">
        <v>191</v>
      </c>
      <c r="F77" s="16">
        <v>2</v>
      </c>
      <c r="G77" s="16">
        <v>5</v>
      </c>
      <c r="H77" s="16">
        <v>1.5686</v>
      </c>
      <c r="I77" s="16">
        <v>1.5686</v>
      </c>
      <c r="J77" s="16">
        <v>135369123</v>
      </c>
      <c r="K77" s="16">
        <v>0</v>
      </c>
      <c r="L77" s="16">
        <v>6</v>
      </c>
      <c r="M77" s="16"/>
    </row>
    <row r="78" spans="1:13" x14ac:dyDescent="0.25">
      <c r="A78" s="2" t="s">
        <v>168</v>
      </c>
      <c r="B78" s="16">
        <v>13</v>
      </c>
      <c r="C78" s="24" t="s">
        <v>206</v>
      </c>
      <c r="D78" s="16" t="s">
        <v>207</v>
      </c>
      <c r="E78" s="16" t="s">
        <v>191</v>
      </c>
      <c r="F78" s="16">
        <v>2</v>
      </c>
      <c r="G78" s="16">
        <v>2</v>
      </c>
      <c r="H78" s="16">
        <v>1.5685</v>
      </c>
      <c r="I78" s="16">
        <v>1.5685</v>
      </c>
      <c r="J78" s="16">
        <v>135369124</v>
      </c>
      <c r="K78" s="16">
        <v>0</v>
      </c>
      <c r="L78" s="16">
        <v>6</v>
      </c>
      <c r="M78" s="16"/>
    </row>
    <row r="79" spans="1:13" x14ac:dyDescent="0.25">
      <c r="A79" s="2" t="s">
        <v>168</v>
      </c>
      <c r="B79" s="16">
        <v>13</v>
      </c>
      <c r="C79" s="22" t="s">
        <v>208</v>
      </c>
      <c r="D79" s="16" t="s">
        <v>209</v>
      </c>
      <c r="E79" s="16" t="s">
        <v>191</v>
      </c>
      <c r="F79" s="16">
        <v>1</v>
      </c>
      <c r="G79" s="16">
        <v>3</v>
      </c>
      <c r="H79" s="16">
        <v>1.5686</v>
      </c>
      <c r="I79" s="16">
        <v>1.568533</v>
      </c>
      <c r="J79" s="16">
        <v>135369124</v>
      </c>
      <c r="K79" s="16">
        <v>0</v>
      </c>
      <c r="L79" s="16">
        <v>6</v>
      </c>
      <c r="M79" s="16"/>
    </row>
    <row r="80" spans="1:13" x14ac:dyDescent="0.25">
      <c r="A80" s="2"/>
      <c r="B80" s="16"/>
      <c r="C80" s="24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4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2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4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4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4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2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2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4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4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4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4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4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4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4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4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4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4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4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4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4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4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4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4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4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4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4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4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4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4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4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4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4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4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4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4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4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4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4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4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4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4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4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4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4"/>
      <c r="D130" s="16"/>
      <c r="E130" s="23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4"/>
      <c r="D131" s="16"/>
      <c r="E131" s="23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4"/>
      <c r="D132" s="16"/>
      <c r="E132" s="23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4"/>
      <c r="D133" s="16"/>
      <c r="E133" s="23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4"/>
      <c r="D134" s="16"/>
      <c r="E134" s="23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4"/>
      <c r="D135" s="16"/>
      <c r="E135" s="23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4"/>
      <c r="D136" s="16"/>
      <c r="E136" s="23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4"/>
      <c r="D137" s="16"/>
      <c r="E137" s="23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4"/>
      <c r="D138" s="16"/>
      <c r="E138" s="23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4"/>
      <c r="D139" s="16"/>
      <c r="E139" s="23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4"/>
      <c r="D140" s="16"/>
      <c r="E140" s="23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4"/>
      <c r="D141" s="16"/>
      <c r="E141" s="23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4"/>
      <c r="D142" s="16"/>
      <c r="E142" s="23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4"/>
      <c r="D143" s="16"/>
      <c r="E143" s="23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4"/>
      <c r="D144" s="16"/>
      <c r="E144" s="23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4"/>
      <c r="D145" s="16"/>
      <c r="E145" s="23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4"/>
      <c r="D146" s="16"/>
      <c r="E146" s="23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4"/>
      <c r="D147" s="16"/>
      <c r="E147" s="23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4"/>
      <c r="D148" s="16"/>
      <c r="E148" s="23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4"/>
      <c r="D149" s="16"/>
      <c r="E149" s="23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4"/>
      <c r="D150" s="16"/>
      <c r="E150" s="23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4"/>
      <c r="D151" s="16"/>
      <c r="E151" s="23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4"/>
      <c r="D152" s="16"/>
      <c r="E152" s="23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4"/>
      <c r="D153" s="16"/>
      <c r="E153" s="23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4"/>
      <c r="D154" s="16"/>
      <c r="E154" s="23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4"/>
      <c r="D155" s="16"/>
      <c r="E155" s="23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4"/>
      <c r="D156" s="16"/>
      <c r="E156" s="23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4"/>
      <c r="D157" s="16"/>
      <c r="E157" s="23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4"/>
      <c r="D158" s="16"/>
      <c r="E158" s="23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4"/>
      <c r="D159" s="16"/>
      <c r="E159" s="23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4"/>
      <c r="D160" s="16"/>
      <c r="E160" s="23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4"/>
      <c r="D161" s="16"/>
      <c r="E161" s="23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4"/>
      <c r="D162" s="16"/>
      <c r="E162" s="23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4"/>
      <c r="D163" s="16"/>
      <c r="E163" s="23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4"/>
      <c r="D164" s="16"/>
      <c r="E164" s="23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4"/>
      <c r="D165" s="16"/>
      <c r="E165" s="23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4"/>
      <c r="D166" s="16"/>
      <c r="E166" s="23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4"/>
      <c r="D167" s="16"/>
      <c r="E167" s="23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4"/>
      <c r="D168" s="16"/>
      <c r="E168" s="23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4"/>
      <c r="D169" s="16"/>
      <c r="E169" s="23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4"/>
      <c r="D170" s="16"/>
      <c r="E170" s="23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4"/>
      <c r="D171" s="16"/>
      <c r="E171" s="23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4"/>
      <c r="D172" s="16"/>
      <c r="E172" s="23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4"/>
      <c r="D173" s="16"/>
      <c r="E173" s="23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4"/>
      <c r="D174" s="16"/>
      <c r="E174" s="23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4"/>
      <c r="D175" s="16"/>
      <c r="E175" s="23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4"/>
      <c r="D176" s="16"/>
      <c r="E176" s="23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4"/>
      <c r="D177" s="16"/>
      <c r="E177" s="23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4"/>
      <c r="D178" s="16"/>
      <c r="E178" s="23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4"/>
      <c r="D179" s="16"/>
      <c r="E179" s="23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4"/>
      <c r="D180" s="16"/>
      <c r="E180" s="23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4"/>
      <c r="D181" s="16"/>
      <c r="E181" s="23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4"/>
      <c r="D182" s="16"/>
      <c r="E182" s="23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4"/>
      <c r="D183" s="16"/>
      <c r="E183" s="23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4"/>
      <c r="D184" s="16"/>
      <c r="E184" s="23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4"/>
      <c r="D185" s="16"/>
      <c r="E185" s="23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4"/>
      <c r="D186" s="16"/>
      <c r="E186" s="23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4"/>
      <c r="D187" s="16"/>
      <c r="E187" s="23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4"/>
      <c r="D188" s="16"/>
      <c r="E188" s="23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4"/>
      <c r="D189" s="16"/>
      <c r="E189" s="23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4"/>
      <c r="D190" s="16"/>
      <c r="E190" s="23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4"/>
      <c r="D191" s="16"/>
      <c r="E191" s="23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4"/>
      <c r="D192" s="16"/>
      <c r="E192" s="23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4"/>
      <c r="D193" s="16"/>
      <c r="E193" s="23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4"/>
      <c r="D194" s="16"/>
      <c r="E194" s="23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4"/>
      <c r="D195" s="16"/>
      <c r="E195" s="23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4"/>
      <c r="D196" s="16"/>
      <c r="E196" s="23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4"/>
      <c r="D197" s="16"/>
      <c r="E197" s="23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4"/>
      <c r="D198" s="16"/>
      <c r="E198" s="23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4"/>
      <c r="D199" s="16"/>
      <c r="E199" s="23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4"/>
      <c r="D200" s="16"/>
      <c r="E200" s="23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4"/>
      <c r="D201" s="16"/>
      <c r="E201" s="23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4"/>
      <c r="D202" s="16"/>
      <c r="E202" s="23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4"/>
      <c r="D203" s="16"/>
      <c r="E203" s="23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4"/>
      <c r="D204" s="16"/>
      <c r="E204" s="23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4"/>
      <c r="D205" s="16"/>
      <c r="E205" s="23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4"/>
      <c r="D206" s="16"/>
      <c r="E206" s="23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4"/>
      <c r="D207" s="16"/>
      <c r="E207" s="23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4"/>
      <c r="D208" s="16"/>
      <c r="E208" s="23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4"/>
      <c r="D209" s="16"/>
      <c r="E209" s="23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4"/>
      <c r="D210" s="16"/>
      <c r="E210" s="23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4"/>
      <c r="D211" s="16"/>
      <c r="E211" s="23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4"/>
      <c r="D212" s="16"/>
      <c r="E212" s="23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4"/>
      <c r="D213" s="16"/>
      <c r="E213" s="23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4"/>
      <c r="D214" s="16"/>
      <c r="E214" s="23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4"/>
      <c r="D215" s="16"/>
      <c r="E215" s="23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4"/>
      <c r="D216" s="16"/>
      <c r="E216" s="23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4"/>
      <c r="D217" s="16"/>
      <c r="E217" s="23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4"/>
      <c r="D218" s="16"/>
      <c r="E218" s="23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4"/>
      <c r="D219" s="16"/>
      <c r="E219" s="23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4"/>
      <c r="D220" s="16"/>
      <c r="E220" s="23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4"/>
      <c r="D221" s="16"/>
      <c r="E221" s="23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4"/>
      <c r="D222" s="16"/>
      <c r="E222" s="23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4"/>
      <c r="D223" s="16"/>
      <c r="E223" s="23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4"/>
      <c r="D224" s="16"/>
      <c r="E224" s="23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4"/>
      <c r="D225" s="16"/>
      <c r="E225" s="23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4"/>
      <c r="D226" s="16"/>
      <c r="E226" s="23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4"/>
      <c r="D227" s="16"/>
      <c r="E227" s="23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4"/>
      <c r="D228" s="16"/>
      <c r="E228" s="23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4"/>
      <c r="D229" s="16"/>
      <c r="E229" s="23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4"/>
      <c r="D230" s="16"/>
      <c r="E230" s="23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4"/>
      <c r="D231" s="16"/>
      <c r="E231" s="23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4"/>
      <c r="D232" s="16"/>
      <c r="E232" s="23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4"/>
      <c r="D233" s="16"/>
      <c r="E233" s="23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4"/>
      <c r="D234" s="16"/>
      <c r="E234" s="23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4"/>
      <c r="D235" s="16"/>
      <c r="E235" s="23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4"/>
      <c r="D236" s="16"/>
      <c r="E236" s="23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4"/>
      <c r="D237" s="16"/>
      <c r="E237" s="23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4"/>
      <c r="D238" s="16"/>
      <c r="E238" s="23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4"/>
      <c r="D239" s="16"/>
      <c r="E239" s="23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4"/>
      <c r="D240" s="16"/>
      <c r="E240" s="23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4"/>
      <c r="D241" s="16"/>
      <c r="E241" s="23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4"/>
      <c r="D242" s="16"/>
      <c r="E242" s="23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4"/>
      <c r="D243" s="16"/>
      <c r="E243" s="23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4"/>
      <c r="D244" s="16"/>
      <c r="E244" s="23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4"/>
      <c r="D245" s="16"/>
      <c r="E245" s="23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4"/>
      <c r="D246" s="16"/>
      <c r="E246" s="23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4"/>
      <c r="D247" s="16"/>
      <c r="E247" s="23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4"/>
      <c r="D248" s="16"/>
      <c r="E248" s="23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4"/>
      <c r="D249" s="16"/>
      <c r="E249" s="23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4"/>
      <c r="D250" s="16"/>
      <c r="E250" s="23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4"/>
      <c r="D251" s="16"/>
      <c r="E251" s="23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4"/>
      <c r="D252" s="16"/>
      <c r="E252" s="23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4"/>
      <c r="D253" s="16"/>
      <c r="E253" s="23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4"/>
      <c r="D254" s="16"/>
      <c r="E254" s="23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4"/>
      <c r="D255" s="16"/>
      <c r="E255" s="23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4"/>
      <c r="D256" s="16"/>
      <c r="E256" s="23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4"/>
      <c r="D257" s="16"/>
      <c r="E257" s="23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4"/>
      <c r="D258" s="16"/>
      <c r="E258" s="23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4"/>
      <c r="D259" s="16"/>
      <c r="E259" s="23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4"/>
      <c r="D260" s="16"/>
      <c r="E260" s="23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4"/>
      <c r="D261" s="16"/>
      <c r="E261" s="23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4"/>
      <c r="D262" s="16"/>
      <c r="E262" s="23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4"/>
      <c r="D263" s="16"/>
      <c r="E263" s="23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4"/>
      <c r="D264" s="16"/>
      <c r="E264" s="23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4"/>
      <c r="D265" s="16"/>
      <c r="E265" s="23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4"/>
      <c r="D266" s="16"/>
      <c r="E266" s="23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4"/>
      <c r="D267" s="16"/>
      <c r="E267" s="23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4"/>
      <c r="D268" s="16"/>
      <c r="E268" s="23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4"/>
      <c r="D269" s="16"/>
      <c r="E269" s="23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4"/>
      <c r="D270" s="16"/>
      <c r="E270" s="23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4"/>
      <c r="D271" s="16"/>
      <c r="E271" s="23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4"/>
      <c r="D272" s="16"/>
      <c r="E272" s="23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4"/>
      <c r="D273" s="16"/>
      <c r="E273" s="23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4"/>
      <c r="D274" s="16"/>
      <c r="E274" s="23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4"/>
      <c r="D275" s="16"/>
      <c r="E275" s="23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4"/>
      <c r="D276" s="16"/>
      <c r="E276" s="23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4"/>
      <c r="D277" s="16"/>
      <c r="E277" s="23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4"/>
      <c r="D278" s="16"/>
      <c r="E278" s="23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4"/>
      <c r="D279" s="16"/>
      <c r="E279" s="23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4"/>
      <c r="D280" s="16"/>
      <c r="E280" s="23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4"/>
      <c r="D281" s="16"/>
      <c r="E281" s="23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4"/>
      <c r="D282" s="16"/>
      <c r="E282" s="23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4"/>
      <c r="D283" s="16"/>
      <c r="E283" s="23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4"/>
      <c r="D284" s="16"/>
      <c r="E284" s="23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4"/>
      <c r="D285" s="16"/>
      <c r="E285" s="23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4"/>
      <c r="D286" s="16"/>
      <c r="E286" s="23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4"/>
      <c r="D287" s="16"/>
      <c r="E287" s="23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4"/>
      <c r="D288" s="16"/>
      <c r="E288" s="23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4"/>
      <c r="D289" s="16"/>
      <c r="E289" s="23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4"/>
      <c r="D290" s="16"/>
      <c r="E290" s="23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4"/>
      <c r="D291" s="16"/>
      <c r="E291" s="23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4"/>
      <c r="D292" s="16"/>
      <c r="E292" s="23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4"/>
      <c r="D293" s="16"/>
      <c r="E293" s="23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4"/>
      <c r="D294" s="16"/>
      <c r="E294" s="23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4"/>
      <c r="D295" s="16"/>
      <c r="E295" s="23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4"/>
      <c r="D296" s="16"/>
      <c r="E296" s="23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4"/>
      <c r="D297" s="16"/>
      <c r="E297" s="23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4"/>
      <c r="D298" s="16"/>
      <c r="E298" s="23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4"/>
      <c r="D299" s="16"/>
      <c r="E299" s="23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4"/>
      <c r="D300" s="16"/>
      <c r="E300" s="23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4"/>
      <c r="D301" s="16"/>
      <c r="E301" s="23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4"/>
      <c r="D302" s="16"/>
      <c r="E302" s="23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4"/>
      <c r="D303" s="16"/>
      <c r="E303" s="23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4"/>
      <c r="D304" s="16"/>
      <c r="E304" s="23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4"/>
      <c r="D305" s="16"/>
      <c r="E305" s="23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4"/>
      <c r="D306" s="16"/>
      <c r="E306" s="23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4"/>
      <c r="D307" s="16"/>
      <c r="E307" s="23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4"/>
      <c r="D308" s="16"/>
      <c r="E308" s="23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4"/>
      <c r="D309" s="16"/>
      <c r="E309" s="23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4"/>
      <c r="D310" s="16"/>
      <c r="E310" s="23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4"/>
      <c r="D311" s="16"/>
      <c r="E311" s="23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4"/>
      <c r="D312" s="16"/>
      <c r="E312" s="23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4"/>
      <c r="D313" s="16"/>
      <c r="E313" s="23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4"/>
      <c r="D314" s="16"/>
      <c r="E314" s="23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4"/>
      <c r="D315" s="16"/>
      <c r="E315" s="23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4"/>
      <c r="D316" s="16"/>
      <c r="E316" s="23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4"/>
      <c r="D317" s="16"/>
      <c r="E317" s="23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4"/>
      <c r="D318" s="16"/>
      <c r="E318" s="23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4"/>
      <c r="D319" s="16"/>
      <c r="E319" s="23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4"/>
      <c r="D320" s="16"/>
      <c r="E320" s="23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4"/>
      <c r="D321" s="16"/>
      <c r="E321" s="23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4"/>
      <c r="D322" s="16"/>
      <c r="E322" s="23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4"/>
      <c r="D323" s="16"/>
      <c r="E323" s="23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4"/>
      <c r="D324" s="16"/>
      <c r="E324" s="23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4"/>
      <c r="D325" s="16"/>
      <c r="E325" s="23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4"/>
      <c r="D326" s="16"/>
      <c r="E326" s="23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4"/>
      <c r="D327" s="16"/>
      <c r="E327" s="23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4"/>
      <c r="D328" s="16"/>
      <c r="E328" s="23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4"/>
      <c r="D329" s="16"/>
      <c r="E329" s="23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4"/>
      <c r="D330" s="16"/>
      <c r="E330" s="23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4"/>
      <c r="D331" s="16"/>
      <c r="E331" s="23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4"/>
      <c r="D332" s="16"/>
      <c r="E332" s="23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4"/>
      <c r="D333" s="16"/>
      <c r="E333" s="23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4"/>
      <c r="D334" s="16"/>
      <c r="E334" s="23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4"/>
      <c r="D335" s="16"/>
      <c r="E335" s="23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4"/>
      <c r="D336" s="16"/>
      <c r="E336" s="23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4"/>
      <c r="D337" s="16"/>
      <c r="E337" s="23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4"/>
      <c r="D338" s="16"/>
      <c r="E338" s="23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4"/>
      <c r="D339" s="16"/>
      <c r="E339" s="23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4"/>
      <c r="D340" s="16"/>
      <c r="E340" s="23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4"/>
      <c r="D341" s="16"/>
      <c r="E341" s="23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4"/>
      <c r="D342" s="16"/>
      <c r="E342" s="23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4"/>
      <c r="D343" s="16"/>
      <c r="E343" s="23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4"/>
      <c r="D344" s="16"/>
      <c r="E344" s="23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4"/>
      <c r="D345" s="16"/>
      <c r="E345" s="23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4"/>
      <c r="D346" s="16"/>
      <c r="E346" s="23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4"/>
      <c r="D347" s="16"/>
      <c r="E347" s="23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4"/>
      <c r="D348" s="16"/>
      <c r="E348" s="23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4"/>
      <c r="D349" s="16"/>
      <c r="E349" s="23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4"/>
      <c r="D350" s="16"/>
      <c r="E350" s="23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4"/>
      <c r="D351" s="16"/>
      <c r="E351" s="23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4"/>
      <c r="D352" s="16"/>
      <c r="E352" s="23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4"/>
      <c r="D353" s="16"/>
      <c r="E353" s="23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4"/>
      <c r="D354" s="16"/>
      <c r="E354" s="23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4"/>
      <c r="D355" s="16"/>
      <c r="E355" s="23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4"/>
      <c r="D356" s="16"/>
      <c r="E356" s="23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4"/>
      <c r="D357" s="16"/>
      <c r="E357" s="23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4"/>
      <c r="D358" s="16"/>
      <c r="E358" s="23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4"/>
      <c r="D359" s="16"/>
      <c r="E359" s="23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4"/>
      <c r="D360" s="16"/>
      <c r="E360" s="23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4"/>
      <c r="D361" s="16"/>
      <c r="E361" s="23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4"/>
      <c r="D362" s="16"/>
      <c r="E362" s="23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4"/>
      <c r="D363" s="16"/>
      <c r="E363" s="23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4"/>
      <c r="D364" s="16"/>
      <c r="E364" s="23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4"/>
      <c r="D365" s="16"/>
      <c r="E365" s="23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4"/>
      <c r="D366" s="16"/>
      <c r="E366" s="23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4"/>
      <c r="D367" s="16"/>
      <c r="E367" s="23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4"/>
      <c r="D368" s="16"/>
      <c r="E368" s="23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4"/>
      <c r="D369" s="16"/>
      <c r="E369" s="23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4"/>
      <c r="D370" s="16"/>
      <c r="E370" s="23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4"/>
      <c r="D371" s="16"/>
      <c r="E371" s="23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4"/>
      <c r="D372" s="16"/>
      <c r="E372" s="23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4"/>
      <c r="D373" s="16"/>
      <c r="E373" s="23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4"/>
      <c r="D374" s="16"/>
      <c r="E374" s="23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4"/>
      <c r="D375" s="16"/>
      <c r="E375" s="23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4"/>
      <c r="D376" s="16"/>
      <c r="E376" s="23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4"/>
      <c r="D377" s="16"/>
      <c r="E377" s="23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4"/>
      <c r="D378" s="16"/>
      <c r="E378" s="23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4"/>
      <c r="D379" s="16"/>
      <c r="E379" s="23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4"/>
      <c r="D380" s="16"/>
      <c r="E380" s="23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4"/>
      <c r="D381" s="16"/>
      <c r="E381" s="23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4"/>
      <c r="D382" s="16"/>
      <c r="E382" s="23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4"/>
      <c r="D383" s="16"/>
      <c r="E383" s="23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4"/>
      <c r="D384" s="16"/>
      <c r="E384" s="23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4"/>
      <c r="D385" s="16"/>
      <c r="E385" s="23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4"/>
      <c r="D386" s="16"/>
      <c r="E386" s="23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4"/>
      <c r="D387" s="16"/>
      <c r="E387" s="23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4"/>
      <c r="D388" s="16"/>
      <c r="E388" s="23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4"/>
      <c r="D389" s="16"/>
      <c r="E389" s="23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4"/>
      <c r="D390" s="16"/>
      <c r="E390" s="23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4"/>
      <c r="D391" s="16"/>
      <c r="E391" s="23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4"/>
      <c r="D392" s="16"/>
      <c r="E392" s="23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4"/>
      <c r="D393" s="16"/>
      <c r="E393" s="23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4"/>
      <c r="D394" s="16"/>
      <c r="E394" s="23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4"/>
      <c r="D395" s="16"/>
      <c r="E395" s="23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4"/>
      <c r="D396" s="16"/>
      <c r="E396" s="23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4"/>
      <c r="D397" s="16"/>
      <c r="E397" s="23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4"/>
      <c r="D398" s="16"/>
      <c r="E398" s="23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4"/>
      <c r="D399" s="16"/>
      <c r="E399" s="23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4"/>
      <c r="D400" s="16"/>
      <c r="E400" s="23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4"/>
      <c r="D401" s="16"/>
      <c r="E401" s="23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4"/>
      <c r="D402" s="16"/>
      <c r="E402" s="23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4"/>
      <c r="D403" s="16"/>
      <c r="E403" s="23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4"/>
      <c r="D404" s="16"/>
      <c r="E404" s="23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4"/>
      <c r="D405" s="16"/>
      <c r="E405" s="23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4"/>
      <c r="D406" s="16"/>
      <c r="E406" s="23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4"/>
      <c r="D407" s="16"/>
      <c r="E407" s="23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4"/>
      <c r="D408" s="16"/>
      <c r="E408" s="23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4"/>
      <c r="D409" s="16"/>
      <c r="E409" s="23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4"/>
      <c r="D410" s="16"/>
      <c r="E410" s="23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4"/>
      <c r="D411" s="16"/>
      <c r="E411" s="23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4"/>
      <c r="D412" s="16"/>
      <c r="E412" s="23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4"/>
      <c r="D413" s="16"/>
      <c r="E413" s="23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4"/>
      <c r="D414" s="16"/>
      <c r="E414" s="23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4"/>
      <c r="D415" s="16"/>
      <c r="E415" s="23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4"/>
      <c r="D416" s="16"/>
      <c r="E416" s="23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4"/>
      <c r="D417" s="16"/>
      <c r="E417" s="23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4"/>
      <c r="D418" s="16"/>
      <c r="E418" s="23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4"/>
      <c r="D419" s="16"/>
      <c r="E419" s="23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4"/>
      <c r="D420" s="16"/>
      <c r="E420" s="23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4"/>
      <c r="D421" s="16"/>
      <c r="E421" s="23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4"/>
      <c r="D422" s="16"/>
      <c r="E422" s="23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4"/>
      <c r="D423" s="16"/>
      <c r="E423" s="23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4"/>
      <c r="D424" s="16"/>
      <c r="E424" s="23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4"/>
      <c r="D425" s="16"/>
      <c r="E425" s="23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4"/>
      <c r="D426" s="16"/>
      <c r="E426" s="23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4"/>
      <c r="D427" s="16"/>
      <c r="E427" s="23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4"/>
      <c r="D428" s="16"/>
      <c r="E428" s="23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4"/>
      <c r="D429" s="16"/>
      <c r="E429" s="23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4"/>
      <c r="D430" s="16"/>
      <c r="E430" s="23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4"/>
      <c r="D431" s="16"/>
      <c r="E431" s="23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4"/>
      <c r="D432" s="16"/>
      <c r="E432" s="23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4"/>
      <c r="D433" s="16"/>
      <c r="E433" s="23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4"/>
      <c r="D434" s="16"/>
      <c r="E434" s="23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4"/>
      <c r="D435" s="16"/>
      <c r="E435" s="23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4"/>
      <c r="D436" s="16"/>
      <c r="E436" s="23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4"/>
      <c r="D437" s="16"/>
      <c r="E437" s="23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4"/>
      <c r="D438" s="16"/>
      <c r="E438" s="23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4"/>
      <c r="D439" s="16"/>
      <c r="E439" s="23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4"/>
      <c r="D440" s="16"/>
      <c r="E440" s="23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4"/>
      <c r="D441" s="16"/>
      <c r="E441" s="23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4"/>
      <c r="D442" s="16"/>
      <c r="E442" s="23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4"/>
      <c r="D443" s="16"/>
      <c r="E443" s="23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4"/>
      <c r="D444" s="16"/>
      <c r="E444" s="23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4"/>
      <c r="D445" s="16"/>
      <c r="E445" s="23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4"/>
      <c r="D446" s="16"/>
      <c r="E446" s="23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4"/>
      <c r="D447" s="16"/>
      <c r="E447" s="23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4"/>
      <c r="D448" s="16"/>
      <c r="E448" s="23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4"/>
      <c r="D449" s="16"/>
      <c r="E449" s="23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4"/>
      <c r="D450" s="16"/>
      <c r="E450" s="23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4"/>
      <c r="D451" s="16"/>
      <c r="E451" s="23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4"/>
      <c r="D452" s="16"/>
      <c r="E452" s="23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4"/>
      <c r="D453" s="16"/>
      <c r="E453" s="23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4"/>
      <c r="D454" s="16"/>
      <c r="E454" s="23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4"/>
      <c r="D455" s="16"/>
      <c r="E455" s="23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4"/>
      <c r="D456" s="16"/>
      <c r="E456" s="23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4"/>
      <c r="D457" s="16"/>
      <c r="E457" s="23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4"/>
      <c r="D458" s="16"/>
      <c r="E458" s="23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4"/>
      <c r="D459" s="16"/>
      <c r="E459" s="23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4"/>
      <c r="D460" s="16"/>
      <c r="E460" s="23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4"/>
      <c r="D461" s="16"/>
      <c r="E461" s="23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4"/>
      <c r="D462" s="16"/>
      <c r="E462" s="23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4"/>
      <c r="D463" s="16"/>
      <c r="E463" s="23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4"/>
      <c r="D464" s="16"/>
      <c r="E464" s="23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4"/>
      <c r="D465" s="16"/>
      <c r="E465" s="23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4"/>
      <c r="D466" s="16"/>
      <c r="E466" s="23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4"/>
      <c r="D467" s="16"/>
      <c r="E467" s="23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4"/>
      <c r="D468" s="16"/>
      <c r="E468" s="23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4"/>
      <c r="D469" s="16"/>
      <c r="E469" s="23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4"/>
      <c r="D470" s="16"/>
      <c r="E470" s="23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4"/>
      <c r="D471" s="16"/>
      <c r="E471" s="23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4"/>
      <c r="D472" s="16"/>
      <c r="E472" s="23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4"/>
      <c r="D473" s="16"/>
      <c r="E473" s="23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4"/>
      <c r="D474" s="16"/>
      <c r="E474" s="23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4"/>
      <c r="D475" s="16"/>
      <c r="E475" s="23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4"/>
      <c r="D476" s="16"/>
      <c r="E476" s="23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4"/>
      <c r="D477" s="16"/>
      <c r="E477" s="23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4"/>
      <c r="D478" s="16"/>
      <c r="E478" s="23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4"/>
      <c r="D479" s="16"/>
      <c r="E479" s="23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4"/>
      <c r="D480" s="16"/>
      <c r="E480" s="23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4"/>
      <c r="D481" s="16"/>
      <c r="E481" s="23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4"/>
      <c r="D482" s="16"/>
      <c r="E482" s="23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4"/>
      <c r="D483" s="16"/>
      <c r="E483" s="23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4"/>
      <c r="D484" s="16"/>
      <c r="E484" s="23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4"/>
      <c r="D485" s="16"/>
      <c r="E485" s="23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4"/>
      <c r="D486" s="16"/>
      <c r="E486" s="23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4"/>
      <c r="D487" s="16"/>
      <c r="E487" s="23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4"/>
      <c r="D488" s="16"/>
      <c r="E488" s="23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4"/>
      <c r="D489" s="16"/>
      <c r="E489" s="23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4"/>
      <c r="D490" s="16"/>
      <c r="E490" s="23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4"/>
      <c r="D491" s="16"/>
      <c r="E491" s="23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4"/>
      <c r="D492" s="16"/>
      <c r="E492" s="23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4"/>
      <c r="D493" s="16"/>
      <c r="E493" s="23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4"/>
      <c r="D494" s="16"/>
      <c r="E494" s="23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4"/>
      <c r="D495" s="16"/>
      <c r="E495" s="23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4"/>
      <c r="D496" s="16"/>
      <c r="E496" s="23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4"/>
      <c r="D497" s="16"/>
      <c r="E497" s="23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4"/>
      <c r="D498" s="16"/>
      <c r="E498" s="23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4"/>
      <c r="D499" s="16"/>
      <c r="E499" s="23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4"/>
      <c r="D500" s="16"/>
      <c r="E500" s="23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4"/>
      <c r="D501" s="16"/>
      <c r="E501" s="23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4"/>
      <c r="D502" s="16"/>
      <c r="E502" s="23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4"/>
      <c r="D503" s="16"/>
      <c r="E503" s="23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4"/>
      <c r="D504" s="16"/>
      <c r="E504" s="23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4"/>
      <c r="D505" s="16"/>
      <c r="E505" s="23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4"/>
      <c r="D506" s="16"/>
      <c r="E506" s="23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4"/>
      <c r="D507" s="16"/>
      <c r="E507" s="23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4"/>
      <c r="D508" s="16"/>
      <c r="E508" s="23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4"/>
      <c r="D509" s="16"/>
      <c r="E509" s="23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4"/>
      <c r="D510" s="16"/>
      <c r="E510" s="23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4"/>
      <c r="D511" s="16"/>
      <c r="E511" s="23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4"/>
      <c r="D512" s="16"/>
      <c r="E512" s="23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4"/>
      <c r="D513" s="16"/>
      <c r="E513" s="23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4"/>
      <c r="D514" s="16"/>
      <c r="E514" s="23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4"/>
      <c r="D515" s="16"/>
      <c r="E515" s="23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4"/>
      <c r="D516" s="16"/>
      <c r="E516" s="23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4"/>
      <c r="D517" s="16"/>
      <c r="E517" s="23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4"/>
      <c r="D518" s="16"/>
      <c r="E518" s="23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4"/>
      <c r="D519" s="16"/>
      <c r="E519" s="23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4"/>
      <c r="D520" s="16"/>
      <c r="E520" s="23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4"/>
      <c r="D521" s="16"/>
      <c r="E521" s="23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4"/>
      <c r="D522" s="16"/>
      <c r="E522" s="23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4"/>
      <c r="D523" s="16"/>
      <c r="E523" s="23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4"/>
      <c r="D524" s="16"/>
      <c r="E524" s="23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4"/>
      <c r="D525" s="16"/>
      <c r="E525" s="23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4"/>
      <c r="D526" s="16"/>
      <c r="E526" s="23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4"/>
      <c r="D527" s="16"/>
      <c r="E527" s="23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4"/>
      <c r="D528" s="16"/>
      <c r="E528" s="23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4"/>
      <c r="D529" s="16"/>
      <c r="E529" s="23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4"/>
      <c r="D530" s="16"/>
      <c r="E530" s="23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4"/>
      <c r="D531" s="16"/>
      <c r="E531" s="23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4"/>
      <c r="D532" s="16"/>
      <c r="E532" s="23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4"/>
      <c r="D533" s="16"/>
      <c r="E533" s="23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4"/>
      <c r="D534" s="16"/>
      <c r="E534" s="23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4"/>
      <c r="D535" s="16"/>
      <c r="E535" s="23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4"/>
      <c r="D536" s="16"/>
      <c r="E536" s="23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4"/>
      <c r="D537" s="16"/>
      <c r="E537" s="23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4"/>
      <c r="D538" s="16"/>
      <c r="E538" s="23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4"/>
      <c r="D539" s="16"/>
      <c r="E539" s="23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4"/>
      <c r="D540" s="16"/>
      <c r="E540" s="23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4"/>
      <c r="D541" s="16"/>
      <c r="E541" s="23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4"/>
      <c r="D542" s="16"/>
      <c r="E542" s="23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4"/>
      <c r="D543" s="16"/>
      <c r="E543" s="23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4"/>
      <c r="D544" s="16"/>
      <c r="E544" s="23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4"/>
      <c r="D545" s="16"/>
      <c r="E545" s="23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4"/>
      <c r="D546" s="16"/>
      <c r="E546" s="23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4"/>
      <c r="D547" s="16"/>
      <c r="E547" s="23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4"/>
      <c r="D548" s="16"/>
      <c r="E548" s="23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4"/>
      <c r="D549" s="16"/>
      <c r="E549" s="23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4"/>
      <c r="D550" s="16"/>
      <c r="E550" s="23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4"/>
      <c r="D551" s="16"/>
      <c r="E551" s="23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4"/>
      <c r="D552" s="16"/>
      <c r="E552" s="23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4"/>
      <c r="D553" s="16"/>
      <c r="E553" s="23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4"/>
      <c r="D554" s="16"/>
      <c r="E554" s="23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4"/>
      <c r="D555" s="16"/>
      <c r="E555" s="23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4"/>
      <c r="D556" s="16"/>
      <c r="E556" s="23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4"/>
      <c r="D557" s="16"/>
      <c r="E557" s="23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4"/>
      <c r="D558" s="16"/>
      <c r="E558" s="23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4"/>
      <c r="D559" s="16"/>
      <c r="E559" s="23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4"/>
      <c r="D560" s="16"/>
      <c r="E560" s="23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4"/>
      <c r="D561" s="16"/>
      <c r="E561" s="23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4"/>
      <c r="D562" s="16"/>
      <c r="E562" s="23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4"/>
      <c r="D563" s="16"/>
      <c r="E563" s="23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4"/>
      <c r="D564" s="16"/>
      <c r="E564" s="23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4"/>
      <c r="D565" s="16"/>
      <c r="E565" s="23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4"/>
      <c r="D566" s="16"/>
      <c r="E566" s="23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4"/>
      <c r="D567" s="16"/>
      <c r="E567" s="23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4"/>
      <c r="D568" s="16"/>
      <c r="E568" s="23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4"/>
      <c r="D569" s="16"/>
      <c r="E569" s="23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4"/>
      <c r="D570" s="16"/>
      <c r="E570" s="23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4"/>
      <c r="D571" s="16"/>
      <c r="E571" s="23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4"/>
      <c r="D572" s="16"/>
      <c r="E572" s="23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4"/>
      <c r="D573" s="16"/>
      <c r="E573" s="23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4"/>
      <c r="D574" s="16"/>
      <c r="E574" s="23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4"/>
      <c r="D575" s="16"/>
      <c r="E575" s="23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4"/>
      <c r="D576" s="16"/>
      <c r="E576" s="23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4"/>
      <c r="D577" s="16"/>
      <c r="E577" s="23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4"/>
      <c r="D578" s="16"/>
      <c r="E578" s="23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4"/>
      <c r="D579" s="16"/>
      <c r="E579" s="23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4"/>
      <c r="D580" s="16"/>
      <c r="E580" s="23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4"/>
      <c r="D581" s="16"/>
      <c r="E581" s="23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4"/>
      <c r="D582" s="16"/>
      <c r="E582" s="23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4"/>
      <c r="D583" s="16"/>
      <c r="E583" s="23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4"/>
      <c r="D584" s="16"/>
      <c r="E584" s="23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4"/>
      <c r="D585" s="16"/>
      <c r="E585" s="23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4"/>
      <c r="D586" s="16"/>
      <c r="E586" s="23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4"/>
      <c r="D587" s="16"/>
      <c r="E587" s="23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4"/>
      <c r="D588" s="16"/>
      <c r="E588" s="23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4"/>
      <c r="D589" s="16"/>
      <c r="E589" s="23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4"/>
      <c r="D590" s="16"/>
      <c r="E590" s="23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4"/>
      <c r="D591" s="16"/>
      <c r="E591" s="23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4"/>
      <c r="D592" s="16"/>
      <c r="E592" s="23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4"/>
      <c r="D593" s="16"/>
      <c r="E593" s="23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4"/>
      <c r="D594" s="16"/>
      <c r="E594" s="23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4"/>
      <c r="D595" s="16"/>
      <c r="E595" s="23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4"/>
      <c r="D596" s="16"/>
      <c r="E596" s="23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4"/>
      <c r="D597" s="16"/>
      <c r="E597" s="23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4"/>
      <c r="D598" s="16"/>
      <c r="E598" s="23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4"/>
      <c r="D599" s="16"/>
      <c r="E599" s="23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4"/>
      <c r="D600" s="16"/>
      <c r="E600" s="23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4"/>
      <c r="D601" s="16"/>
      <c r="E601" s="23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4"/>
      <c r="D602" s="16"/>
      <c r="E602" s="23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4"/>
      <c r="D603" s="16"/>
      <c r="E603" s="23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4"/>
      <c r="D604" s="16"/>
      <c r="E604" s="23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4"/>
      <c r="D605" s="16"/>
      <c r="E605" s="23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4"/>
      <c r="D606" s="16"/>
      <c r="E606" s="23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4"/>
      <c r="D607" s="16"/>
      <c r="E607" s="23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4"/>
      <c r="D608" s="16"/>
      <c r="E608" s="23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4"/>
      <c r="D609" s="16"/>
      <c r="E609" s="23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4"/>
      <c r="D610" s="16"/>
      <c r="E610" s="23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4"/>
      <c r="D611" s="16"/>
      <c r="E611" s="23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4"/>
      <c r="D612" s="16"/>
      <c r="E612" s="23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4"/>
      <c r="D613" s="16"/>
      <c r="E613" s="23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4"/>
      <c r="D614" s="16"/>
      <c r="E614" s="23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4"/>
      <c r="D615" s="16"/>
      <c r="E615" s="23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4"/>
      <c r="D616" s="16"/>
      <c r="E616" s="23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4"/>
      <c r="D617" s="16"/>
      <c r="E617" s="23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4"/>
      <c r="D618" s="16"/>
      <c r="E618" s="23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4"/>
      <c r="D619" s="16"/>
      <c r="E619" s="23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4"/>
      <c r="D620" s="16"/>
      <c r="E620" s="23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4"/>
      <c r="D621" s="16"/>
      <c r="E621" s="23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4"/>
      <c r="D622" s="16"/>
      <c r="E622" s="23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4"/>
      <c r="D623" s="16"/>
      <c r="E623" s="23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4"/>
      <c r="D624" s="16"/>
      <c r="E624" s="23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4"/>
      <c r="D625" s="16"/>
      <c r="E625" s="23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4"/>
      <c r="D626" s="16"/>
      <c r="E626" s="23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4"/>
      <c r="D627" s="16"/>
      <c r="E627" s="23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4"/>
      <c r="D628" s="16"/>
      <c r="E628" s="23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4"/>
      <c r="D629" s="16"/>
      <c r="E629" s="23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4"/>
      <c r="D630" s="16"/>
      <c r="E630" s="23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4"/>
      <c r="D631" s="16"/>
      <c r="E631" s="23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4"/>
      <c r="D632" s="16"/>
      <c r="E632" s="23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4"/>
      <c r="D633" s="16"/>
      <c r="E633" s="23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4"/>
      <c r="D634" s="16"/>
      <c r="E634" s="23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4"/>
      <c r="D635" s="16"/>
      <c r="E635" s="23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4"/>
      <c r="D636" s="16"/>
      <c r="E636" s="23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4"/>
      <c r="D637" s="16"/>
      <c r="E637" s="23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4"/>
      <c r="D638" s="16"/>
      <c r="E638" s="23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4"/>
      <c r="D639" s="16"/>
      <c r="E639" s="23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4"/>
      <c r="D640" s="16"/>
      <c r="E640" s="23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4"/>
      <c r="D641" s="16"/>
      <c r="E641" s="23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4"/>
      <c r="D642" s="16"/>
      <c r="E642" s="23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4"/>
      <c r="D643" s="16"/>
      <c r="E643" s="23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4"/>
      <c r="D644" s="16"/>
      <c r="E644" s="23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4"/>
      <c r="D645" s="16"/>
      <c r="E645" s="23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4"/>
      <c r="D646" s="16"/>
      <c r="E646" s="23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4"/>
      <c r="D647" s="16"/>
      <c r="E647" s="23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4"/>
      <c r="D648" s="16"/>
      <c r="E648" s="23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4"/>
      <c r="D649" s="16"/>
      <c r="E649" s="23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4"/>
      <c r="D650" s="16"/>
      <c r="E650" s="23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4"/>
      <c r="D651" s="16"/>
      <c r="E651" s="23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4"/>
      <c r="D652" s="16"/>
      <c r="E652" s="23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4"/>
      <c r="D653" s="16"/>
      <c r="E653" s="23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4"/>
      <c r="D654" s="16"/>
      <c r="E654" s="23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4"/>
      <c r="D655" s="16"/>
      <c r="E655" s="23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4"/>
      <c r="D656" s="16"/>
      <c r="E656" s="23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4"/>
      <c r="D657" s="16"/>
      <c r="E657" s="23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4"/>
      <c r="D658" s="16"/>
      <c r="E658" s="23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4"/>
      <c r="D659" s="16"/>
      <c r="E659" s="23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4"/>
      <c r="D660" s="16"/>
      <c r="E660" s="23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4"/>
      <c r="D661" s="16"/>
      <c r="E661" s="23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4"/>
      <c r="D662" s="16"/>
      <c r="E662" s="23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4"/>
      <c r="D663" s="16"/>
      <c r="E663" s="23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4"/>
      <c r="D664" s="16"/>
      <c r="E664" s="23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4"/>
      <c r="D665" s="16"/>
      <c r="E665" s="23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4"/>
      <c r="D666" s="16"/>
      <c r="E666" s="23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4"/>
      <c r="D667" s="16"/>
      <c r="E667" s="23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4"/>
      <c r="D668" s="16"/>
      <c r="E668" s="23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4"/>
      <c r="D669" s="16"/>
      <c r="E669" s="23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4"/>
      <c r="D670" s="16"/>
      <c r="E670" s="23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4"/>
      <c r="D671" s="16"/>
      <c r="E671" s="23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4"/>
      <c r="D672" s="16"/>
      <c r="E672" s="23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4"/>
      <c r="D673" s="16"/>
      <c r="E673" s="23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4"/>
      <c r="D674" s="16"/>
      <c r="E674" s="23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4"/>
      <c r="D675" s="16"/>
      <c r="E675" s="23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4"/>
      <c r="D676" s="16"/>
      <c r="E676" s="23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4"/>
      <c r="D677" s="16"/>
      <c r="E677" s="23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4"/>
      <c r="D678" s="16"/>
      <c r="E678" s="23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4"/>
      <c r="D679" s="16"/>
      <c r="E679" s="23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4"/>
      <c r="D680" s="16"/>
      <c r="E680" s="23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4"/>
      <c r="D681" s="16"/>
      <c r="E681" s="23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4"/>
      <c r="D682" s="16"/>
      <c r="E682" s="23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4"/>
      <c r="D683" s="16"/>
      <c r="E683" s="23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4"/>
      <c r="D684" s="16"/>
      <c r="E684" s="23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4"/>
      <c r="D685" s="16"/>
      <c r="E685" s="23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4"/>
      <c r="D686" s="16"/>
      <c r="E686" s="23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4"/>
      <c r="D687" s="16"/>
      <c r="E687" s="23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4"/>
      <c r="D688" s="16"/>
      <c r="E688" s="23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4"/>
      <c r="D689" s="16"/>
      <c r="E689" s="23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4"/>
      <c r="D690" s="16"/>
      <c r="E690" s="23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4"/>
      <c r="D691" s="16"/>
      <c r="E691" s="23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4"/>
      <c r="D692" s="16"/>
      <c r="E692" s="23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4"/>
      <c r="D693" s="16"/>
      <c r="E693" s="23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4"/>
      <c r="D694" s="16"/>
      <c r="E694" s="23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4"/>
      <c r="D695" s="16"/>
      <c r="E695" s="23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4"/>
      <c r="D696" s="16"/>
      <c r="E696" s="23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4"/>
      <c r="D697" s="16"/>
      <c r="E697" s="23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4"/>
      <c r="D698" s="16"/>
      <c r="E698" s="23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4"/>
      <c r="D699" s="16"/>
      <c r="E699" s="23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4"/>
      <c r="D700" s="16"/>
      <c r="E700" s="23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4"/>
      <c r="D701" s="16"/>
      <c r="E701" s="23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4"/>
      <c r="D702" s="16"/>
      <c r="E702" s="23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4"/>
      <c r="D703" s="16"/>
      <c r="E703" s="23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4"/>
      <c r="D704" s="16"/>
      <c r="E704" s="23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4"/>
      <c r="D705" s="16"/>
      <c r="E705" s="23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4"/>
      <c r="D706" s="16"/>
      <c r="E706" s="23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4"/>
      <c r="D707" s="16"/>
      <c r="E707" s="23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4"/>
      <c r="D708" s="16"/>
      <c r="E708" s="23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4"/>
      <c r="D709" s="16"/>
      <c r="E709" s="23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4"/>
      <c r="D710" s="16"/>
      <c r="E710" s="23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4"/>
      <c r="D711" s="16"/>
      <c r="E711" s="23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4"/>
      <c r="D712" s="16"/>
      <c r="E712" s="23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4"/>
      <c r="D713" s="16"/>
      <c r="E713" s="23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4"/>
      <c r="D714" s="16"/>
      <c r="E714" s="23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4"/>
      <c r="D715" s="16"/>
      <c r="E715" s="23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4"/>
      <c r="D716" s="16"/>
      <c r="E716" s="23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4"/>
      <c r="D717" s="16"/>
      <c r="E717" s="23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4"/>
      <c r="D718" s="16"/>
      <c r="E718" s="23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4"/>
      <c r="D719" s="16"/>
      <c r="E719" s="23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4"/>
      <c r="D720" s="16"/>
      <c r="E720" s="23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4"/>
      <c r="D721" s="16"/>
      <c r="E721" s="23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4"/>
      <c r="D722" s="16"/>
      <c r="E722" s="23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4"/>
      <c r="D723" s="16"/>
      <c r="E723" s="23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4"/>
      <c r="D724" s="16"/>
      <c r="E724" s="23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4"/>
      <c r="D725" s="16"/>
      <c r="E725" s="23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4"/>
      <c r="D726" s="16"/>
      <c r="E726" s="23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4"/>
      <c r="D727" s="16"/>
      <c r="E727" s="23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4"/>
      <c r="D728" s="16"/>
      <c r="E728" s="23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4"/>
      <c r="D729" s="16"/>
      <c r="E729" s="23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4"/>
      <c r="D730" s="16"/>
      <c r="E730" s="23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4"/>
      <c r="D731" s="16"/>
      <c r="E731" s="23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4"/>
      <c r="D732" s="16"/>
      <c r="E732" s="23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4"/>
      <c r="D733" s="16"/>
      <c r="E733" s="23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4"/>
      <c r="D734" s="16"/>
      <c r="E734" s="23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4"/>
      <c r="D735" s="16"/>
      <c r="E735" s="23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4"/>
      <c r="D736" s="16"/>
      <c r="E736" s="23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4"/>
      <c r="D737" s="16"/>
      <c r="E737" s="23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4"/>
      <c r="D738" s="16"/>
      <c r="E738" s="23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4"/>
      <c r="D739" s="16"/>
      <c r="E739" s="23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4"/>
      <c r="D740" s="16"/>
      <c r="E740" s="23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4"/>
      <c r="D741" s="16"/>
      <c r="E741" s="23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4"/>
      <c r="D742" s="16"/>
      <c r="E742" s="23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4"/>
      <c r="D743" s="16"/>
      <c r="E743" s="23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4"/>
      <c r="D744" s="16"/>
      <c r="E744" s="23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4"/>
      <c r="D745" s="16"/>
      <c r="E745" s="23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4"/>
      <c r="D746" s="16"/>
      <c r="E746" s="23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4"/>
      <c r="D747" s="16"/>
      <c r="E747" s="23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4"/>
      <c r="D748" s="16"/>
      <c r="E748" s="23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4"/>
      <c r="D749" s="16"/>
      <c r="E749" s="23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4"/>
      <c r="D750" s="16"/>
      <c r="E750" s="23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4"/>
      <c r="D751" s="16"/>
      <c r="E751" s="23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4"/>
      <c r="D752" s="16"/>
      <c r="E752" s="23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4"/>
      <c r="D753" s="16"/>
      <c r="E753" s="23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4"/>
      <c r="D754" s="16"/>
      <c r="E754" s="23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4"/>
      <c r="D755" s="16"/>
      <c r="E755" s="23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4"/>
      <c r="D756" s="16"/>
      <c r="E756" s="23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4"/>
      <c r="D757" s="16"/>
      <c r="E757" s="23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4"/>
      <c r="D758" s="16"/>
      <c r="E758" s="23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4"/>
      <c r="D759" s="16"/>
      <c r="E759" s="23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4"/>
      <c r="D760" s="16"/>
      <c r="E760" s="23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4"/>
      <c r="D761" s="16"/>
      <c r="E761" s="23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4"/>
      <c r="D762" s="16"/>
      <c r="E762" s="23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4"/>
      <c r="D763" s="16"/>
      <c r="E763" s="23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4"/>
      <c r="D764" s="16"/>
      <c r="E764" s="23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4"/>
      <c r="D765" s="16"/>
      <c r="E765" s="23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4"/>
      <c r="D766" s="16"/>
      <c r="E766" s="23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4"/>
      <c r="D767" s="16"/>
      <c r="E767" s="23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4"/>
      <c r="D768" s="16"/>
      <c r="E768" s="23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4"/>
      <c r="D769" s="16"/>
      <c r="E769" s="23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4"/>
      <c r="D770" s="16"/>
      <c r="E770" s="23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4"/>
      <c r="D771" s="16"/>
      <c r="E771" s="23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4"/>
      <c r="D772" s="16"/>
      <c r="E772" s="23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4"/>
      <c r="D773" s="16"/>
      <c r="E773" s="23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4"/>
      <c r="D774" s="16"/>
      <c r="E774" s="23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4"/>
      <c r="D775" s="16"/>
      <c r="E775" s="23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4"/>
      <c r="D776" s="16"/>
      <c r="E776" s="23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4"/>
      <c r="D777" s="16"/>
      <c r="E777" s="23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4"/>
      <c r="D778" s="16"/>
      <c r="E778" s="23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4"/>
      <c r="D779" s="16"/>
      <c r="E779" s="23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4"/>
      <c r="D780" s="16"/>
      <c r="E780" s="23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4"/>
      <c r="D781" s="16"/>
      <c r="E781" s="23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4"/>
      <c r="D782" s="16"/>
      <c r="E782" s="23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4"/>
      <c r="D783" s="16"/>
      <c r="E783" s="23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4"/>
      <c r="D784" s="16"/>
      <c r="E784" s="23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4"/>
      <c r="D785" s="16"/>
      <c r="E785" s="23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4"/>
      <c r="D786" s="16"/>
      <c r="E786" s="23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4"/>
      <c r="D787" s="16"/>
      <c r="E787" s="23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4"/>
      <c r="D788" s="16"/>
      <c r="E788" s="23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4"/>
      <c r="D789" s="16"/>
      <c r="E789" s="23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4"/>
      <c r="D790" s="16"/>
      <c r="E790" s="23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4"/>
      <c r="D791" s="16"/>
      <c r="E791" s="23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4"/>
      <c r="D792" s="16"/>
      <c r="E792" s="23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4"/>
      <c r="D793" s="16"/>
      <c r="E793" s="23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4"/>
      <c r="D794" s="16"/>
      <c r="E794" s="23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4"/>
      <c r="D795" s="16"/>
      <c r="E795" s="23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4"/>
      <c r="D796" s="16"/>
      <c r="E796" s="23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4"/>
      <c r="D797" s="16"/>
      <c r="E797" s="23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4"/>
      <c r="D798" s="16"/>
      <c r="E798" s="23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4"/>
      <c r="D799" s="16"/>
      <c r="E799" s="23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4"/>
      <c r="D800" s="16"/>
      <c r="E800" s="23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4"/>
      <c r="D801" s="16"/>
      <c r="E801" s="23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4"/>
      <c r="D802" s="16"/>
      <c r="E802" s="23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4"/>
      <c r="D803" s="16"/>
      <c r="E803" s="23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4"/>
      <c r="D804" s="16"/>
      <c r="E804" s="23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4"/>
      <c r="D805" s="16"/>
      <c r="E805" s="23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4"/>
      <c r="D806" s="16"/>
      <c r="E806" s="23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4"/>
      <c r="D807" s="16"/>
      <c r="E807" s="23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4"/>
      <c r="D808" s="16"/>
      <c r="E808" s="23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4"/>
      <c r="D809" s="16"/>
      <c r="E809" s="23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4"/>
      <c r="D810" s="16"/>
      <c r="E810" s="23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4"/>
      <c r="D811" s="16"/>
      <c r="E811" s="23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4"/>
      <c r="D812" s="16"/>
      <c r="E812" s="23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4"/>
      <c r="D813" s="16"/>
      <c r="E813" s="23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4"/>
      <c r="D814" s="16"/>
      <c r="E814" s="23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4"/>
      <c r="D815" s="16"/>
      <c r="E815" s="23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4"/>
      <c r="D816" s="16"/>
      <c r="E816" s="23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4"/>
      <c r="D817" s="16"/>
      <c r="E817" s="23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4"/>
      <c r="D818" s="16"/>
      <c r="E818" s="23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4"/>
      <c r="D819" s="16"/>
      <c r="E819" s="23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4"/>
      <c r="D820" s="16"/>
      <c r="E820" s="23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4"/>
      <c r="D821" s="16"/>
      <c r="E821" s="23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4"/>
      <c r="D822" s="16"/>
      <c r="E822" s="23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4"/>
      <c r="D823" s="16"/>
      <c r="E823" s="23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4"/>
      <c r="D824" s="16"/>
      <c r="E824" s="23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4"/>
      <c r="D825" s="16"/>
      <c r="E825" s="23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4"/>
      <c r="D826" s="16"/>
      <c r="E826" s="23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4"/>
      <c r="D827" s="16"/>
      <c r="E827" s="23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4"/>
      <c r="D828" s="16"/>
      <c r="E828" s="23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4"/>
      <c r="D829" s="16"/>
      <c r="E829" s="23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4"/>
      <c r="D830" s="16"/>
      <c r="E830" s="23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4"/>
      <c r="D831" s="16"/>
      <c r="E831" s="23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4"/>
      <c r="D832" s="16"/>
      <c r="E832" s="23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4"/>
      <c r="D833" s="16"/>
      <c r="E833" s="23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4"/>
      <c r="D834" s="16"/>
      <c r="E834" s="23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4"/>
      <c r="D835" s="16"/>
      <c r="E835" s="23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4"/>
      <c r="D836" s="16"/>
      <c r="E836" s="23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4"/>
      <c r="D837" s="16"/>
      <c r="E837" s="23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4"/>
      <c r="D838" s="16"/>
      <c r="E838" s="23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4"/>
      <c r="D839" s="16"/>
      <c r="E839" s="23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4"/>
      <c r="D840" s="16"/>
      <c r="E840" s="23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4"/>
      <c r="D841" s="16"/>
      <c r="E841" s="23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4"/>
      <c r="D842" s="16"/>
      <c r="E842" s="23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4"/>
      <c r="D843" s="16"/>
      <c r="E843" s="23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4"/>
      <c r="D844" s="16"/>
      <c r="E844" s="23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4"/>
      <c r="D845" s="16"/>
      <c r="E845" s="23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4"/>
      <c r="D846" s="16"/>
      <c r="E846" s="23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4"/>
      <c r="D847" s="16"/>
      <c r="E847" s="23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4"/>
      <c r="D848" s="16"/>
      <c r="E848" s="23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4"/>
      <c r="D849" s="16"/>
      <c r="E849" s="23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4"/>
      <c r="D850" s="16"/>
      <c r="E850" s="23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4"/>
      <c r="D851" s="16"/>
      <c r="E851" s="23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4"/>
      <c r="D852" s="16"/>
      <c r="E852" s="23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4"/>
      <c r="D853" s="16"/>
      <c r="E853" s="23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4"/>
      <c r="D854" s="16"/>
      <c r="E854" s="23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4"/>
      <c r="D855" s="16"/>
      <c r="E855" s="23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4"/>
      <c r="D856" s="16"/>
      <c r="E856" s="23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4"/>
      <c r="D857" s="16"/>
      <c r="E857" s="23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4"/>
      <c r="D858" s="16"/>
      <c r="E858" s="23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4"/>
      <c r="D859" s="16"/>
      <c r="E859" s="23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4"/>
      <c r="D860" s="16"/>
      <c r="E860" s="23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4"/>
      <c r="D861" s="16"/>
      <c r="E861" s="23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4"/>
      <c r="D862" s="16"/>
      <c r="E862" s="23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4"/>
      <c r="D863" s="16"/>
      <c r="E863" s="23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4"/>
      <c r="D864" s="16"/>
      <c r="E864" s="23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4"/>
      <c r="D865" s="16"/>
      <c r="E865" s="23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4"/>
      <c r="D866" s="16"/>
      <c r="E866" s="23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4"/>
      <c r="D867" s="16"/>
      <c r="E867" s="23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4"/>
      <c r="D868" s="16"/>
      <c r="E868" s="23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4"/>
      <c r="D869" s="16"/>
      <c r="E869" s="23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4"/>
      <c r="D870" s="16"/>
      <c r="E870" s="23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4"/>
      <c r="D871" s="16"/>
      <c r="E871" s="23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4"/>
      <c r="D872" s="16"/>
      <c r="E872" s="23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4"/>
      <c r="D873" s="16"/>
      <c r="E873" s="23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4"/>
      <c r="D874" s="16"/>
      <c r="E874" s="23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4"/>
      <c r="D875" s="16"/>
      <c r="E875" s="23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4"/>
      <c r="D876" s="16"/>
      <c r="E876" s="23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4"/>
      <c r="D877" s="16"/>
      <c r="E877" s="23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4"/>
      <c r="D878" s="16"/>
      <c r="E878" s="23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4"/>
      <c r="D879" s="16"/>
      <c r="E879" s="23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4"/>
      <c r="D880" s="16"/>
      <c r="E880" s="23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4"/>
      <c r="D881" s="16"/>
      <c r="E881" s="23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4"/>
      <c r="D882" s="16"/>
      <c r="E882" s="23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4"/>
      <c r="D883" s="16"/>
      <c r="E883" s="23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4"/>
      <c r="D884" s="16"/>
      <c r="E884" s="23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4"/>
      <c r="D885" s="16"/>
      <c r="E885" s="23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4"/>
      <c r="D886" s="16"/>
      <c r="E886" s="23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4"/>
      <c r="D887" s="16"/>
      <c r="E887" s="23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4"/>
      <c r="D888" s="16"/>
      <c r="E888" s="23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4"/>
      <c r="D889" s="16"/>
      <c r="E889" s="23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4"/>
      <c r="D890" s="16"/>
      <c r="E890" s="23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4"/>
      <c r="D891" s="16"/>
      <c r="E891" s="23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4"/>
      <c r="D892" s="16"/>
      <c r="E892" s="23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4"/>
      <c r="D893" s="16"/>
      <c r="E893" s="23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4"/>
      <c r="D894" s="16"/>
      <c r="E894" s="23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4"/>
      <c r="D895" s="16"/>
      <c r="E895" s="23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4"/>
      <c r="D896" s="16"/>
      <c r="E896" s="23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4"/>
      <c r="D897" s="16"/>
      <c r="E897" s="23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4"/>
      <c r="D898" s="16"/>
      <c r="E898" s="23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4"/>
      <c r="D899" s="16"/>
      <c r="E899" s="23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4"/>
      <c r="D900" s="16"/>
      <c r="E900" s="23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4"/>
      <c r="D901" s="16"/>
      <c r="E901" s="23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4"/>
      <c r="D902" s="16"/>
      <c r="E902" s="23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4"/>
      <c r="D903" s="16"/>
      <c r="E903" s="23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4"/>
      <c r="D904" s="16"/>
      <c r="E904" s="23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4"/>
      <c r="D905" s="16"/>
      <c r="E905" s="23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4"/>
      <c r="D906" s="16"/>
      <c r="E906" s="23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4"/>
      <c r="D907" s="16"/>
      <c r="E907" s="23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4"/>
      <c r="D908" s="16"/>
      <c r="E908" s="23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4"/>
      <c r="D909" s="16"/>
      <c r="E909" s="23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4"/>
      <c r="D910" s="16"/>
      <c r="E910" s="23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4"/>
      <c r="D911" s="16"/>
      <c r="E911" s="23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4"/>
      <c r="D912" s="16"/>
      <c r="E912" s="23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4"/>
      <c r="D913" s="16"/>
      <c r="E913" s="23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4"/>
      <c r="D914" s="16"/>
      <c r="E914" s="23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4"/>
      <c r="D915" s="16"/>
      <c r="E915" s="23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4"/>
      <c r="D916" s="16"/>
      <c r="E916" s="23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4"/>
      <c r="D917" s="16"/>
      <c r="E917" s="23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4"/>
      <c r="D918" s="16"/>
      <c r="E918" s="23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4"/>
      <c r="D919" s="16"/>
      <c r="E919" s="23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4"/>
      <c r="D920" s="16"/>
      <c r="E920" s="23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4"/>
      <c r="D921" s="16"/>
      <c r="E921" s="23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4"/>
      <c r="D922" s="16"/>
      <c r="E922" s="23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4"/>
      <c r="D923" s="16"/>
      <c r="E923" s="23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4"/>
      <c r="D924" s="16"/>
      <c r="E924" s="23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4"/>
      <c r="D925" s="16"/>
      <c r="E925" s="23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4"/>
      <c r="D926" s="16"/>
      <c r="E926" s="23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4"/>
      <c r="D927" s="16"/>
      <c r="E927" s="23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4"/>
      <c r="D928" s="16"/>
      <c r="E928" s="23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4"/>
      <c r="D929" s="16"/>
      <c r="E929" s="23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4"/>
      <c r="D930" s="16"/>
      <c r="E930" s="23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4"/>
      <c r="D931" s="16"/>
      <c r="E931" s="23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4"/>
      <c r="D932" s="16"/>
      <c r="E932" s="23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4"/>
      <c r="D933" s="16"/>
      <c r="E933" s="23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4"/>
      <c r="D934" s="16"/>
      <c r="E934" s="23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4"/>
      <c r="D935" s="16"/>
      <c r="E935" s="23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4"/>
      <c r="D936" s="16"/>
      <c r="E936" s="23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4"/>
      <c r="D937" s="16"/>
      <c r="E937" s="23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4"/>
      <c r="D938" s="16"/>
      <c r="E938" s="23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4"/>
      <c r="D939" s="16"/>
      <c r="E939" s="23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4"/>
      <c r="D940" s="16"/>
      <c r="E940" s="23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4"/>
      <c r="D941" s="16"/>
      <c r="E941" s="23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4"/>
      <c r="D942" s="16"/>
      <c r="E942" s="23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4"/>
      <c r="D943" s="16"/>
      <c r="E943" s="23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4"/>
      <c r="D944" s="16"/>
      <c r="E944" s="23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4"/>
      <c r="D945" s="16"/>
      <c r="E945" s="23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4"/>
      <c r="D946" s="16"/>
      <c r="E946" s="23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4"/>
      <c r="D947" s="16"/>
      <c r="E947" s="23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4"/>
      <c r="D948" s="16"/>
      <c r="E948" s="23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4"/>
      <c r="D949" s="16"/>
      <c r="E949" s="23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4"/>
      <c r="D950" s="16"/>
      <c r="E950" s="23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4"/>
      <c r="D951" s="16"/>
      <c r="E951" s="23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4"/>
      <c r="D952" s="16"/>
      <c r="E952" s="23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4"/>
      <c r="D953" s="16"/>
      <c r="E953" s="23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4"/>
      <c r="D954" s="16"/>
      <c r="E954" s="23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4"/>
      <c r="D955" s="16"/>
      <c r="E955" s="23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4"/>
      <c r="D956" s="16"/>
      <c r="E956" s="23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4"/>
      <c r="D957" s="16"/>
      <c r="E957" s="23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4"/>
      <c r="D958" s="16"/>
      <c r="E958" s="23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4"/>
      <c r="D959" s="16"/>
      <c r="E959" s="23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4"/>
      <c r="D960" s="16"/>
      <c r="E960" s="23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4"/>
      <c r="D961" s="16"/>
      <c r="E961" s="23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4"/>
      <c r="D962" s="16"/>
      <c r="E962" s="23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4"/>
      <c r="D963" s="16"/>
      <c r="E963" s="23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4"/>
      <c r="D964" s="16"/>
      <c r="E964" s="23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4"/>
      <c r="D965" s="16"/>
      <c r="E965" s="23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4"/>
      <c r="D966" s="16"/>
      <c r="E966" s="23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4"/>
      <c r="D967" s="16"/>
      <c r="E967" s="23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4"/>
      <c r="D968" s="16"/>
      <c r="E968" s="23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4"/>
      <c r="D969" s="16"/>
      <c r="E969" s="23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4"/>
      <c r="D970" s="16"/>
      <c r="E970" s="23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4"/>
      <c r="D971" s="16"/>
      <c r="E971" s="23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4"/>
      <c r="D972" s="16"/>
      <c r="E972" s="23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4"/>
      <c r="D973" s="16"/>
      <c r="E973" s="23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4"/>
      <c r="D974" s="16"/>
      <c r="E974" s="23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4"/>
      <c r="D975" s="16"/>
      <c r="E975" s="23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4"/>
      <c r="D976" s="16"/>
      <c r="E976" s="23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4"/>
      <c r="D977" s="16"/>
      <c r="E977" s="23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4"/>
      <c r="D978" s="16"/>
      <c r="E978" s="23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4"/>
      <c r="D979" s="16"/>
      <c r="E979" s="23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4"/>
      <c r="D980" s="16"/>
      <c r="E980" s="23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4"/>
      <c r="D981" s="16"/>
      <c r="E981" s="23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4"/>
      <c r="D982" s="16"/>
      <c r="E982" s="23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4"/>
      <c r="D983" s="16"/>
      <c r="E983" s="23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4"/>
      <c r="D984" s="16"/>
      <c r="E984" s="23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4"/>
      <c r="D985" s="16"/>
      <c r="E985" s="23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4"/>
      <c r="D986" s="16"/>
      <c r="E986" s="23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4"/>
      <c r="D987" s="16"/>
      <c r="E987" s="23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4"/>
      <c r="D988" s="16"/>
      <c r="E988" s="23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4"/>
      <c r="D989" s="16"/>
      <c r="E989" s="23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4"/>
      <c r="D990" s="16"/>
      <c r="E990" s="23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4"/>
      <c r="D991" s="16"/>
      <c r="E991" s="23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4"/>
      <c r="D992" s="16"/>
      <c r="E992" s="23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4"/>
      <c r="D993" s="16"/>
      <c r="E993" s="23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4"/>
      <c r="D994" s="16"/>
      <c r="E994" s="23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4"/>
      <c r="D995" s="16"/>
      <c r="E995" s="23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4"/>
      <c r="D996" s="16"/>
      <c r="E996" s="23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4"/>
      <c r="D997" s="16"/>
      <c r="E997" s="23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4"/>
      <c r="D998" s="16"/>
      <c r="E998" s="23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4"/>
      <c r="D999" s="16"/>
      <c r="E999" s="23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4"/>
      <c r="D1000" s="16"/>
      <c r="E1000" s="23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4"/>
      <c r="D1001" s="16"/>
      <c r="E1001" s="23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4"/>
      <c r="D1002" s="16"/>
      <c r="E1002" s="23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4"/>
      <c r="D1003" s="16"/>
      <c r="E1003" s="23"/>
      <c r="F1003" s="16"/>
      <c r="G1003" s="16"/>
      <c r="H1003" s="16"/>
      <c r="I1003" s="16"/>
      <c r="J1003" s="16"/>
      <c r="K1003" s="16"/>
      <c r="L1003" s="16"/>
      <c r="M1003" s="16"/>
    </row>
  </sheetData>
  <dataConsolidate link="1"/>
  <mergeCells count="60">
    <mergeCell ref="A67:M67"/>
    <mergeCell ref="A68:M68"/>
    <mergeCell ref="A39:M39"/>
    <mergeCell ref="O39:T39"/>
    <mergeCell ref="O32:P32"/>
    <mergeCell ref="Q32:R32"/>
    <mergeCell ref="S32:T32"/>
    <mergeCell ref="U32:V32"/>
    <mergeCell ref="U39:W39"/>
    <mergeCell ref="A35:C35"/>
    <mergeCell ref="D35:G35"/>
    <mergeCell ref="I35:M35"/>
    <mergeCell ref="O35:Q35"/>
    <mergeCell ref="C32:D32"/>
    <mergeCell ref="E32:F32"/>
    <mergeCell ref="G32:H32"/>
    <mergeCell ref="I32:J32"/>
    <mergeCell ref="K32:L32"/>
    <mergeCell ref="M32:N32"/>
    <mergeCell ref="C30:D30"/>
    <mergeCell ref="G30:H30"/>
    <mergeCell ref="K30:L30"/>
    <mergeCell ref="O30:P30"/>
    <mergeCell ref="C31:D31"/>
    <mergeCell ref="G31:H31"/>
    <mergeCell ref="K31:L31"/>
    <mergeCell ref="O31:P31"/>
    <mergeCell ref="A19:W19"/>
    <mergeCell ref="E21:F21"/>
    <mergeCell ref="K21:L21"/>
    <mergeCell ref="C29:D29"/>
    <mergeCell ref="G29:H29"/>
    <mergeCell ref="K29:L29"/>
    <mergeCell ref="O29:P29"/>
    <mergeCell ref="M7:N7"/>
    <mergeCell ref="O7:P7"/>
    <mergeCell ref="Q7:R7"/>
    <mergeCell ref="S7:T7"/>
    <mergeCell ref="A12:B12"/>
    <mergeCell ref="C12:D12"/>
    <mergeCell ref="G12:H12"/>
    <mergeCell ref="I12:J12"/>
    <mergeCell ref="K12:L12"/>
    <mergeCell ref="M12:N12"/>
    <mergeCell ref="M6:N6"/>
    <mergeCell ref="O6:P6"/>
    <mergeCell ref="Q6:R6"/>
    <mergeCell ref="S6:T6"/>
    <mergeCell ref="A7:B7"/>
    <mergeCell ref="C7:D7"/>
    <mergeCell ref="E7:F7"/>
    <mergeCell ref="G7:H7"/>
    <mergeCell ref="I7:J7"/>
    <mergeCell ref="K7:L7"/>
    <mergeCell ref="A6:B6"/>
    <mergeCell ref="C6:D6"/>
    <mergeCell ref="E6:F6"/>
    <mergeCell ref="G6:H6"/>
    <mergeCell ref="I6:J6"/>
    <mergeCell ref="K6:L6"/>
  </mergeCells>
  <conditionalFormatting sqref="Y2">
    <cfRule type="expression" dxfId="4" priority="1">
      <formula>"&gt;.75"</formula>
    </cfRule>
    <cfRule type="expression" dxfId="3" priority="2">
      <formula>"&lt; -.05"</formula>
    </cfRule>
    <cfRule type="expression" dxfId="2" priority="3" stopIfTrue="1">
      <formula>"&gt; 0.5"</formula>
    </cfRule>
    <cfRule type="expression" dxfId="1" priority="4" stopIfTrue="1">
      <formula>"&lt;- .75"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5" r:id="rId4" name="cbPreserveContract">
          <controlPr defaultSize="0" autoLine="0" r:id="rId5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180975</xdr:colOff>
                <xdr:row>25</xdr:row>
                <xdr:rowOff>0</xdr:rowOff>
              </to>
            </anchor>
          </controlPr>
        </control>
      </mc:Choice>
      <mc:Fallback>
        <control shapeId="14345" r:id="rId4" name="cbPreserveContract"/>
      </mc:Fallback>
    </mc:AlternateContent>
    <mc:AlternateContent xmlns:mc="http://schemas.openxmlformats.org/markup-compatibility/2006">
      <mc:Choice Requires="x14">
        <control shapeId="14344" r:id="rId6" name="cmbDumpContracts">
          <controlPr defaultSize="0" autoLine="0" r:id="rId7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590550</xdr:colOff>
                <xdr:row>0</xdr:row>
                <xdr:rowOff>342900</xdr:rowOff>
              </to>
            </anchor>
          </controlPr>
        </control>
      </mc:Choice>
      <mc:Fallback>
        <control shapeId="14344" r:id="rId6" name="cmbDumpContracts"/>
      </mc:Fallback>
    </mc:AlternateContent>
    <mc:AlternateContent xmlns:mc="http://schemas.openxmlformats.org/markup-compatibility/2006">
      <mc:Choice Requires="x14">
        <control shapeId="14343" r:id="rId8" name="cmbEnableAutoHedge">
          <controlPr defaultSize="0" autoLine="0" r:id="rId9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0</xdr:row>
                <xdr:rowOff>304800</xdr:rowOff>
              </to>
            </anchor>
          </controlPr>
        </control>
      </mc:Choice>
      <mc:Fallback>
        <control shapeId="14343" r:id="rId8" name="cmbEnableAutoHedge"/>
      </mc:Fallback>
    </mc:AlternateContent>
    <mc:AlternateContent xmlns:mc="http://schemas.openxmlformats.org/markup-compatibility/2006">
      <mc:Choice Requires="x14">
        <control shapeId="14342" r:id="rId10" name="obNoRebalanceOnStartup">
          <controlPr defaultSize="0" autoLine="0" r:id="rId11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4342" r:id="rId10" name="obNoRebalanceOnStartup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0" r:id="rId14" name="CommandButton1">
          <controlPr defaultSize="0" autoLine="0" r:id="rId1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14340" r:id="rId14" name="CommandButton1"/>
      </mc:Fallback>
    </mc:AlternateContent>
    <mc:AlternateContent xmlns:mc="http://schemas.openxmlformats.org/markup-compatibility/2006">
      <mc:Choice Requires="x14">
        <control shapeId="14339" r:id="rId16" name="cmbSubscribePortfolio">
          <controlPr defaultSize="0" autoLine="0" autoPict="0" r:id="rId17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0</xdr:row>
                <xdr:rowOff>304800</xdr:rowOff>
              </to>
            </anchor>
          </controlPr>
        </control>
      </mc:Choice>
      <mc:Fallback>
        <control shapeId="14339" r:id="rId16" name="cmbSubscribePortfolio"/>
      </mc:Fallback>
    </mc:AlternateContent>
    <mc:AlternateContent xmlns:mc="http://schemas.openxmlformats.org/markup-compatibility/2006">
      <mc:Choice Requires="x14">
        <control shapeId="14338" r:id="rId18" name="cmbSubscribeAccountInfo">
          <controlPr defaultSize="0" autoLine="0" r:id="rId19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219075</xdr:colOff>
                <xdr:row>0</xdr:row>
                <xdr:rowOff>304800</xdr:rowOff>
              </to>
            </anchor>
          </controlPr>
        </control>
      </mc:Choice>
      <mc:Fallback>
        <control shapeId="14338" r:id="rId18" name="cmbSubscribeAccountInfo"/>
      </mc:Fallback>
    </mc:AlternateContent>
    <mc:AlternateContent xmlns:mc="http://schemas.openxmlformats.org/markup-compatibility/2006">
      <mc:Choice Requires="x14">
        <control shapeId="14337" r:id="rId20" name="cmbConnect">
          <controlPr defaultSize="0" autoLine="0" autoPict="0" r:id="rId21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0</xdr:row>
                <xdr:rowOff>304800</xdr:rowOff>
              </to>
            </anchor>
          </controlPr>
        </control>
      </mc:Choice>
      <mc:Fallback>
        <control shapeId="14337" r:id="rId20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78" customWidth="1"/>
    <col min="24" max="24" width="12.140625" customWidth="1"/>
    <col min="26" max="26" width="16.28515625" customWidth="1"/>
    <col min="31" max="31" width="10.42578125" customWidth="1"/>
    <col min="32" max="32" width="9.140625" style="80"/>
    <col min="33" max="33" width="9.5703125" bestFit="1" customWidth="1"/>
    <col min="34" max="34" width="9.85546875" customWidth="1"/>
  </cols>
  <sheetData>
    <row r="1" spans="2:37" x14ac:dyDescent="0.25">
      <c r="AE1" s="119" t="s">
        <v>126</v>
      </c>
      <c r="AF1" s="119"/>
      <c r="AG1" s="119"/>
      <c r="AH1" s="119"/>
      <c r="AI1" s="119"/>
      <c r="AJ1" s="119"/>
      <c r="AK1" s="119"/>
    </row>
    <row r="4" spans="2:37" x14ac:dyDescent="0.25">
      <c r="B4" s="103" t="s">
        <v>13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03"/>
      <c r="R4" s="104"/>
      <c r="S4" s="104"/>
      <c r="T4" s="109" t="s">
        <v>101</v>
      </c>
      <c r="U4" s="109"/>
      <c r="V4" s="109"/>
      <c r="W4" s="109"/>
      <c r="X4" s="109"/>
      <c r="Y4" s="109"/>
      <c r="Z4" s="109"/>
      <c r="AA4" s="109"/>
      <c r="AB4" s="109" t="s">
        <v>111</v>
      </c>
      <c r="AC4" s="109"/>
      <c r="AD4" s="109"/>
      <c r="AF4" s="80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66" t="s">
        <v>19</v>
      </c>
      <c r="O5" s="66" t="s">
        <v>21</v>
      </c>
      <c r="P5" s="66" t="s">
        <v>22</v>
      </c>
      <c r="Q5" s="66" t="s">
        <v>18</v>
      </c>
      <c r="R5" s="66" t="s">
        <v>20</v>
      </c>
      <c r="S5" s="66" t="s">
        <v>23</v>
      </c>
      <c r="T5" s="35" t="s">
        <v>45</v>
      </c>
      <c r="U5" s="35" t="s">
        <v>124</v>
      </c>
      <c r="V5" s="77" t="s">
        <v>102</v>
      </c>
      <c r="W5" s="35" t="s">
        <v>103</v>
      </c>
      <c r="X5" s="35" t="s">
        <v>104</v>
      </c>
      <c r="Y5" s="35" t="s">
        <v>105</v>
      </c>
      <c r="Z5" s="35" t="s">
        <v>106</v>
      </c>
      <c r="AA5" s="35" t="s">
        <v>107</v>
      </c>
      <c r="AB5" s="35" t="s">
        <v>103</v>
      </c>
      <c r="AC5" s="35" t="s">
        <v>104</v>
      </c>
      <c r="AD5" s="35" t="s">
        <v>105</v>
      </c>
      <c r="AE5" s="39" t="s">
        <v>115</v>
      </c>
      <c r="AF5" s="81" t="s">
        <v>116</v>
      </c>
      <c r="AG5" s="39" t="s">
        <v>117</v>
      </c>
      <c r="AH5" s="69" t="s">
        <v>121</v>
      </c>
      <c r="AI5" s="69" t="s">
        <v>118</v>
      </c>
      <c r="AJ5" s="69" t="s">
        <v>119</v>
      </c>
      <c r="AK5" s="69" t="s">
        <v>120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73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75">
        <v>8.1199351145806584E-5</v>
      </c>
      <c r="V6" s="74">
        <v>0.26420497997470704</v>
      </c>
      <c r="W6" s="2">
        <v>-9.6878701869559432E-3</v>
      </c>
      <c r="X6" s="75">
        <v>0.84191308475782911</v>
      </c>
      <c r="Y6" s="37">
        <v>-2.4950003905054767E-4</v>
      </c>
      <c r="Z6" s="38">
        <v>2.9470481567171625E-5</v>
      </c>
      <c r="AA6" s="2">
        <v>1.5650999999999999</v>
      </c>
      <c r="AB6" s="2">
        <f>W6*M6</f>
        <v>-9.6878701869559436E-2</v>
      </c>
      <c r="AC6" s="2" t="e">
        <f>AE6*M6</f>
        <v>#VALUE!</v>
      </c>
      <c r="AD6" s="2">
        <f>Y6*M6</f>
        <v>-2.4950003905054767E-3</v>
      </c>
      <c r="AE6" s="79" t="e">
        <f>BSGamma($AA$17,E6,D6,0.001,V6)</f>
        <v>#VALUE!</v>
      </c>
      <c r="AF6" s="80">
        <f t="shared" ref="AF6:AF37" si="0">IF(ISERR(AE6),0,AE6*M6)</f>
        <v>0</v>
      </c>
      <c r="AG6" s="31" t="e">
        <f>IF(AE6 = 0,0,(Y6*-10000)/AE6)</f>
        <v>#VALUE!</v>
      </c>
      <c r="AH6">
        <f>IF(F6="C",MAX(0,$AA$14-E6),MAX(0,E6-$AA$14))*10000</f>
        <v>0</v>
      </c>
      <c r="AI6" s="68">
        <f>MAX(0,(U6*10000)-AH6)</f>
        <v>0.81199351145806586</v>
      </c>
      <c r="AJ6" s="68">
        <f>AI6*M6</f>
        <v>8.1199351145806595</v>
      </c>
      <c r="AK6" s="67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73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75">
        <v>7.4421382497728584E-5</v>
      </c>
      <c r="V7" s="74">
        <v>0.24014391877688013</v>
      </c>
      <c r="W7" s="2">
        <v>-9.7672371887170713E-3</v>
      </c>
      <c r="X7" s="75">
        <v>0.96797095253886623</v>
      </c>
      <c r="Y7" s="37">
        <v>-2.2846199736357761E-4</v>
      </c>
      <c r="Z7" s="38">
        <v>3.0772258745588902E-5</v>
      </c>
      <c r="AA7" s="2">
        <v>1.5650999999999999</v>
      </c>
      <c r="AB7" s="2">
        <f t="shared" ref="AB7:AB70" si="4">W7*M7</f>
        <v>0</v>
      </c>
      <c r="AC7" s="2" t="e">
        <f t="shared" ref="AC7:AC70" si="5">AE7*M7</f>
        <v>#VALUE!</v>
      </c>
      <c r="AD7" s="2">
        <f t="shared" ref="AD7:AD70" si="6">Y7*M7</f>
        <v>0</v>
      </c>
      <c r="AE7" s="79" t="e">
        <f t="shared" ref="AE7:AE70" si="7">BSGamma($AA$17,E7,D7,0.001,V7)</f>
        <v>#VALUE!</v>
      </c>
      <c r="AF7" s="80">
        <f t="shared" si="0"/>
        <v>0</v>
      </c>
      <c r="AG7" s="31" t="e">
        <f t="shared" ref="AG7:AG70" si="8">IF(AE7 = 0,0,(Y7*-10000)/AE7)</f>
        <v>#VALUE!</v>
      </c>
      <c r="AH7">
        <f t="shared" ref="AH7:AH70" si="9">IF(F7="C",MAX(0,$AA$14-E7),MAX(0,E7-$AA$14))*10000</f>
        <v>0</v>
      </c>
      <c r="AI7" s="68">
        <f t="shared" ref="AI7:AI70" si="10">MAX(0,(U7*10000)-AH7)</f>
        <v>0.74421382497728583</v>
      </c>
      <c r="AJ7" s="68">
        <f t="shared" ref="AJ7:AJ70" si="11">AI7*M7</f>
        <v>0</v>
      </c>
      <c r="AK7" s="67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73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75">
        <v>7.1611499573167992E-5</v>
      </c>
      <c r="V8" s="74">
        <v>0.21823570997051434</v>
      </c>
      <c r="W8" s="2">
        <v>-1.0310207742769443E-2</v>
      </c>
      <c r="X8" s="75">
        <v>0</v>
      </c>
      <c r="Y8" s="37">
        <v>-2.1819140367112388E-4</v>
      </c>
      <c r="Z8" s="38">
        <v>3.5808876129176322E-5</v>
      </c>
      <c r="AA8" s="2">
        <v>1.5650999999999999</v>
      </c>
      <c r="AB8" s="2">
        <f t="shared" si="4"/>
        <v>0</v>
      </c>
      <c r="AC8" s="2" t="e">
        <f t="shared" si="5"/>
        <v>#VALUE!</v>
      </c>
      <c r="AD8" s="2">
        <f t="shared" si="6"/>
        <v>0</v>
      </c>
      <c r="AE8" s="79" t="e">
        <f t="shared" si="7"/>
        <v>#VALUE!</v>
      </c>
      <c r="AF8" s="80">
        <f t="shared" si="0"/>
        <v>0</v>
      </c>
      <c r="AG8" s="31" t="e">
        <f t="shared" si="8"/>
        <v>#VALUE!</v>
      </c>
      <c r="AH8">
        <f t="shared" si="9"/>
        <v>0</v>
      </c>
      <c r="AI8" s="68">
        <f t="shared" si="10"/>
        <v>0.71611499573167992</v>
      </c>
      <c r="AJ8" s="68">
        <f t="shared" si="11"/>
        <v>0</v>
      </c>
      <c r="AK8" s="67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73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75">
        <v>8.0178960996781138E-5</v>
      </c>
      <c r="V9" s="74">
        <v>0.1984803535556523</v>
      </c>
      <c r="W9" s="2">
        <v>-1.2365932135729427E-2</v>
      </c>
      <c r="X9" s="75">
        <v>0</v>
      </c>
      <c r="Y9" s="37">
        <v>-2.3096374601349581E-4</v>
      </c>
      <c r="Z9" s="38">
        <v>3.7211110609111571E-5</v>
      </c>
      <c r="AA9" s="2">
        <v>1.5650999999999999</v>
      </c>
      <c r="AB9" s="2">
        <f t="shared" si="4"/>
        <v>0</v>
      </c>
      <c r="AC9" s="2" t="e">
        <f t="shared" si="5"/>
        <v>#VALUE!</v>
      </c>
      <c r="AD9" s="2">
        <f t="shared" si="6"/>
        <v>0</v>
      </c>
      <c r="AE9" s="79" t="e">
        <f t="shared" si="7"/>
        <v>#VALUE!</v>
      </c>
      <c r="AF9" s="80">
        <f t="shared" si="0"/>
        <v>0</v>
      </c>
      <c r="AG9" s="31" t="e">
        <f t="shared" si="8"/>
        <v>#VALUE!</v>
      </c>
      <c r="AH9">
        <f t="shared" si="9"/>
        <v>0</v>
      </c>
      <c r="AI9" s="68">
        <f t="shared" si="10"/>
        <v>0.80178960996781135</v>
      </c>
      <c r="AJ9" s="68">
        <f t="shared" si="11"/>
        <v>0</v>
      </c>
      <c r="AK9" s="67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73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75">
        <v>9.787043407957923E-5</v>
      </c>
      <c r="V10" s="74">
        <v>0.18087784953227981</v>
      </c>
      <c r="W10" s="2">
        <v>-1.6053871129648158E-2</v>
      </c>
      <c r="X10" s="76">
        <v>0</v>
      </c>
      <c r="Y10" s="37">
        <v>-2.6307424795380687E-4</v>
      </c>
      <c r="Z10" s="38">
        <v>3.727217643731054E-5</v>
      </c>
      <c r="AA10" s="2">
        <v>1.5650999999999999</v>
      </c>
      <c r="AB10" s="2">
        <f t="shared" si="4"/>
        <v>0</v>
      </c>
      <c r="AC10" s="2" t="e">
        <f t="shared" si="5"/>
        <v>#VALUE!</v>
      </c>
      <c r="AD10" s="2">
        <f t="shared" si="6"/>
        <v>0</v>
      </c>
      <c r="AE10" s="79" t="e">
        <f t="shared" si="7"/>
        <v>#VALUE!</v>
      </c>
      <c r="AF10" s="80">
        <f t="shared" si="0"/>
        <v>0</v>
      </c>
      <c r="AG10" s="31" t="e">
        <f t="shared" si="8"/>
        <v>#VALUE!</v>
      </c>
      <c r="AH10">
        <f t="shared" si="9"/>
        <v>0</v>
      </c>
      <c r="AI10" s="68">
        <f t="shared" si="10"/>
        <v>0.97870434079579227</v>
      </c>
      <c r="AJ10" s="68">
        <f t="shared" si="11"/>
        <v>0</v>
      </c>
      <c r="AK10" s="67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73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75">
        <v>1.2338459576258055E-4</v>
      </c>
      <c r="V11" s="74">
        <v>0.16542819790035423</v>
      </c>
      <c r="W11" s="2">
        <v>-2.1560138228549582E-2</v>
      </c>
      <c r="X11" s="75">
        <v>0</v>
      </c>
      <c r="Y11" s="37">
        <v>-3.1239254104964881E-4</v>
      </c>
      <c r="Z11" s="38">
        <v>6.4093314576517895E-5</v>
      </c>
      <c r="AA11" s="2">
        <v>1.5650999999999999</v>
      </c>
      <c r="AB11" s="2">
        <f t="shared" si="4"/>
        <v>0</v>
      </c>
      <c r="AC11" s="2" t="e">
        <f t="shared" si="5"/>
        <v>#VALUE!</v>
      </c>
      <c r="AD11" s="2">
        <f t="shared" si="6"/>
        <v>0</v>
      </c>
      <c r="AE11" s="79" t="e">
        <f t="shared" si="7"/>
        <v>#VALUE!</v>
      </c>
      <c r="AF11" s="80">
        <f t="shared" si="0"/>
        <v>0</v>
      </c>
      <c r="AG11" s="31" t="e">
        <f t="shared" si="8"/>
        <v>#VALUE!</v>
      </c>
      <c r="AH11">
        <f t="shared" si="9"/>
        <v>0</v>
      </c>
      <c r="AI11" s="68">
        <f t="shared" si="10"/>
        <v>1.2338459576258056</v>
      </c>
      <c r="AJ11" s="68">
        <f t="shared" si="11"/>
        <v>0</v>
      </c>
      <c r="AK11" s="67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73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75">
        <v>1.9676249128862636E-4</v>
      </c>
      <c r="V12" s="74">
        <v>0.15213139865993242</v>
      </c>
      <c r="W12" s="2">
        <v>-3.4836869172406915E-2</v>
      </c>
      <c r="X12" s="75">
        <v>0</v>
      </c>
      <c r="Y12" s="37">
        <v>-4.2589234528331163E-4</v>
      </c>
      <c r="Z12" s="38">
        <v>6.9378177746595558E-5</v>
      </c>
      <c r="AA12" s="2">
        <v>1.5650999999999999</v>
      </c>
      <c r="AB12" s="2">
        <f t="shared" si="4"/>
        <v>0</v>
      </c>
      <c r="AC12" s="2" t="e">
        <f t="shared" si="5"/>
        <v>#VALUE!</v>
      </c>
      <c r="AD12" s="2">
        <f t="shared" si="6"/>
        <v>0</v>
      </c>
      <c r="AE12" s="79" t="e">
        <f t="shared" si="7"/>
        <v>#VALUE!</v>
      </c>
      <c r="AF12" s="80">
        <f t="shared" si="0"/>
        <v>0</v>
      </c>
      <c r="AG12" s="31" t="e">
        <f t="shared" si="8"/>
        <v>#VALUE!</v>
      </c>
      <c r="AH12">
        <f t="shared" si="9"/>
        <v>0</v>
      </c>
      <c r="AI12" s="68">
        <f t="shared" si="10"/>
        <v>1.9676249128862635</v>
      </c>
      <c r="AJ12" s="68">
        <f t="shared" si="11"/>
        <v>0</v>
      </c>
      <c r="AK12" s="67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73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75">
        <v>3.3657321716550412E-4</v>
      </c>
      <c r="V13" s="74">
        <v>0.14098745181098593</v>
      </c>
      <c r="W13" s="2">
        <v>-5.9208535931378342E-2</v>
      </c>
      <c r="X13" s="75">
        <v>0</v>
      </c>
      <c r="Y13" s="37">
        <v>-6.0446077599329222E-4</v>
      </c>
      <c r="Z13" s="38">
        <v>1.0864042001770417E-4</v>
      </c>
      <c r="AA13" s="2">
        <v>1.5650999999999999</v>
      </c>
      <c r="AB13" s="2">
        <f t="shared" si="4"/>
        <v>0</v>
      </c>
      <c r="AC13" s="2" t="e">
        <f t="shared" si="5"/>
        <v>#VALUE!</v>
      </c>
      <c r="AD13" s="2">
        <f t="shared" si="6"/>
        <v>0</v>
      </c>
      <c r="AE13" s="79" t="e">
        <f t="shared" si="7"/>
        <v>#VALUE!</v>
      </c>
      <c r="AF13" s="80">
        <f t="shared" si="0"/>
        <v>0</v>
      </c>
      <c r="AG13" s="31" t="e">
        <f t="shared" si="8"/>
        <v>#VALUE!</v>
      </c>
      <c r="AH13">
        <f t="shared" si="9"/>
        <v>0</v>
      </c>
      <c r="AI13" s="68">
        <f t="shared" si="10"/>
        <v>3.3657321716550412</v>
      </c>
      <c r="AJ13" s="68">
        <f t="shared" si="11"/>
        <v>0</v>
      </c>
      <c r="AK13" s="67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73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75">
        <v>6.2461154282803021E-4</v>
      </c>
      <c r="V14" s="74">
        <v>0.13199635735350057</v>
      </c>
      <c r="W14" s="2">
        <v>-0.10560974891081049</v>
      </c>
      <c r="X14" s="75">
        <v>0</v>
      </c>
      <c r="Y14" s="37">
        <v>-8.7852672117392106E-4</v>
      </c>
      <c r="Z14" s="38">
        <v>1.6322430590728465E-4</v>
      </c>
      <c r="AA14" s="2">
        <v>1.5650999999999999</v>
      </c>
      <c r="AB14" s="2">
        <f t="shared" si="4"/>
        <v>0</v>
      </c>
      <c r="AC14" s="2" t="e">
        <f t="shared" si="5"/>
        <v>#VALUE!</v>
      </c>
      <c r="AD14" s="2">
        <f t="shared" si="6"/>
        <v>0</v>
      </c>
      <c r="AE14" s="79" t="e">
        <f t="shared" si="7"/>
        <v>#VALUE!</v>
      </c>
      <c r="AF14" s="80">
        <f t="shared" si="0"/>
        <v>0</v>
      </c>
      <c r="AG14" s="31" t="e">
        <f t="shared" si="8"/>
        <v>#VALUE!</v>
      </c>
      <c r="AH14">
        <f t="shared" si="9"/>
        <v>0</v>
      </c>
      <c r="AI14" s="68">
        <f t="shared" si="10"/>
        <v>6.2461154282803024</v>
      </c>
      <c r="AJ14" s="68">
        <f t="shared" si="11"/>
        <v>0</v>
      </c>
      <c r="AK14" s="67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73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75">
        <v>1.1984139041402108E-3</v>
      </c>
      <c r="V15" s="74">
        <v>0.12515811528751897</v>
      </c>
      <c r="W15" s="2">
        <v>-0.18793765586023906</v>
      </c>
      <c r="X15" s="75">
        <v>0</v>
      </c>
      <c r="Y15" s="37">
        <v>-1.2388664701268209E-3</v>
      </c>
      <c r="Z15" s="38">
        <v>2.6185509900915273E-4</v>
      </c>
      <c r="AA15" s="2">
        <v>1.5650999999999999</v>
      </c>
      <c r="AB15" s="2">
        <f t="shared" si="4"/>
        <v>0</v>
      </c>
      <c r="AC15" s="2" t="e">
        <f t="shared" si="5"/>
        <v>#VALUE!</v>
      </c>
      <c r="AD15" s="2">
        <f t="shared" si="6"/>
        <v>0</v>
      </c>
      <c r="AE15" s="79" t="e">
        <f t="shared" si="7"/>
        <v>#VALUE!</v>
      </c>
      <c r="AF15" s="80">
        <f t="shared" si="0"/>
        <v>0</v>
      </c>
      <c r="AG15" s="31" t="e">
        <f t="shared" si="8"/>
        <v>#VALUE!</v>
      </c>
      <c r="AH15">
        <f t="shared" si="9"/>
        <v>0</v>
      </c>
      <c r="AI15" s="68">
        <f t="shared" si="10"/>
        <v>11.984139041402107</v>
      </c>
      <c r="AJ15" s="68">
        <f t="shared" si="11"/>
        <v>0</v>
      </c>
      <c r="AK15" s="67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73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75">
        <v>2.3571633551261869E-3</v>
      </c>
      <c r="V16" s="74">
        <v>0.1204727256130127</v>
      </c>
      <c r="W16" s="2">
        <v>-0.32187740475039894</v>
      </c>
      <c r="X16" s="75">
        <v>0</v>
      </c>
      <c r="Y16" s="37">
        <v>-1.5770148129181599E-3</v>
      </c>
      <c r="Z16" s="38">
        <v>3.3785626936487425E-4</v>
      </c>
      <c r="AA16" s="2">
        <v>1.5650999999999999</v>
      </c>
      <c r="AB16" s="2">
        <f t="shared" si="4"/>
        <v>0</v>
      </c>
      <c r="AC16" s="2" t="e">
        <f t="shared" si="5"/>
        <v>#VALUE!</v>
      </c>
      <c r="AD16" s="2">
        <f t="shared" si="6"/>
        <v>0</v>
      </c>
      <c r="AE16" s="79" t="e">
        <f t="shared" si="7"/>
        <v>#VALUE!</v>
      </c>
      <c r="AF16" s="80">
        <f t="shared" si="0"/>
        <v>0</v>
      </c>
      <c r="AG16" s="31" t="e">
        <f t="shared" si="8"/>
        <v>#VALUE!</v>
      </c>
      <c r="AH16">
        <f t="shared" si="9"/>
        <v>0</v>
      </c>
      <c r="AI16" s="68">
        <f t="shared" si="10"/>
        <v>23.571633551261868</v>
      </c>
      <c r="AJ16" s="68">
        <f t="shared" si="11"/>
        <v>0</v>
      </c>
      <c r="AK16" s="67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73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75">
        <v>7.1000000461935997E-3</v>
      </c>
      <c r="V17" s="74">
        <v>0.19486266952716297</v>
      </c>
      <c r="W17" s="2">
        <v>-0.49550698962638023</v>
      </c>
      <c r="X17" s="75">
        <v>0</v>
      </c>
      <c r="Y17" s="37">
        <v>-2.8652366511571609E-3</v>
      </c>
      <c r="Z17" s="38">
        <v>3.6659330718152687E-4</v>
      </c>
      <c r="AA17" s="2">
        <v>1.5650999999999999</v>
      </c>
      <c r="AB17" s="2">
        <f t="shared" si="4"/>
        <v>0</v>
      </c>
      <c r="AC17" s="2" t="e">
        <f t="shared" si="5"/>
        <v>#VALUE!</v>
      </c>
      <c r="AD17" s="2">
        <f t="shared" si="6"/>
        <v>0</v>
      </c>
      <c r="AE17" s="79" t="e">
        <f t="shared" si="7"/>
        <v>#VALUE!</v>
      </c>
      <c r="AF17" s="80">
        <f t="shared" si="0"/>
        <v>0</v>
      </c>
      <c r="AG17" s="31" t="e">
        <f t="shared" si="8"/>
        <v>#VALUE!</v>
      </c>
      <c r="AH17">
        <f t="shared" si="9"/>
        <v>0</v>
      </c>
      <c r="AI17" s="68">
        <f t="shared" si="10"/>
        <v>71.000000461935997</v>
      </c>
      <c r="AJ17" s="68">
        <f t="shared" si="11"/>
        <v>0</v>
      </c>
      <c r="AK17" s="67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73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75">
        <v>7.2386292668941759E-3</v>
      </c>
      <c r="V18" s="74">
        <v>0.11756050343842617</v>
      </c>
      <c r="W18" s="2">
        <v>-0.67253122920548303</v>
      </c>
      <c r="X18" s="75">
        <v>0</v>
      </c>
      <c r="Y18" s="37">
        <v>-1.5495704596294006E-3</v>
      </c>
      <c r="Z18" s="38">
        <v>3.3893781142562817E-4</v>
      </c>
      <c r="AA18" s="2">
        <v>1.5650999999999999</v>
      </c>
      <c r="AB18" s="2">
        <f t="shared" si="4"/>
        <v>0</v>
      </c>
      <c r="AC18" s="2" t="e">
        <f t="shared" si="5"/>
        <v>#VALUE!</v>
      </c>
      <c r="AD18" s="2">
        <f t="shared" si="6"/>
        <v>0</v>
      </c>
      <c r="AE18" s="79" t="e">
        <f t="shared" si="7"/>
        <v>#VALUE!</v>
      </c>
      <c r="AF18" s="80">
        <f t="shared" si="0"/>
        <v>0</v>
      </c>
      <c r="AG18" s="31" t="e">
        <f t="shared" si="8"/>
        <v>#VALUE!</v>
      </c>
      <c r="AH18">
        <f t="shared" si="9"/>
        <v>49.000000000001265</v>
      </c>
      <c r="AI18" s="68">
        <f t="shared" si="10"/>
        <v>23.386292668940499</v>
      </c>
      <c r="AJ18" s="68">
        <f t="shared" si="11"/>
        <v>0</v>
      </c>
      <c r="AK18" s="67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73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75">
        <v>1.1016346548179045E-2</v>
      </c>
      <c r="V19" s="74">
        <v>0.11933367093836011</v>
      </c>
      <c r="W19" s="2">
        <v>-0.81481940558608035</v>
      </c>
      <c r="X19" s="75">
        <v>0</v>
      </c>
      <c r="Y19" s="37">
        <v>-1.168430220345048E-3</v>
      </c>
      <c r="Z19" s="38">
        <v>2.4830637402398388E-4</v>
      </c>
      <c r="AA19" s="2">
        <v>1.5650999999999999</v>
      </c>
      <c r="AB19" s="2">
        <f t="shared" si="4"/>
        <v>0</v>
      </c>
      <c r="AC19" s="2" t="e">
        <f t="shared" si="5"/>
        <v>#VALUE!</v>
      </c>
      <c r="AD19" s="2">
        <f t="shared" si="6"/>
        <v>0</v>
      </c>
      <c r="AE19" s="79" t="e">
        <f t="shared" si="7"/>
        <v>#VALUE!</v>
      </c>
      <c r="AF19" s="80">
        <f t="shared" si="0"/>
        <v>0</v>
      </c>
      <c r="AG19" s="31" t="e">
        <f t="shared" si="8"/>
        <v>#VALUE!</v>
      </c>
      <c r="AH19">
        <f t="shared" si="9"/>
        <v>99.000000000000199</v>
      </c>
      <c r="AI19" s="68">
        <f t="shared" si="10"/>
        <v>11.163465481790254</v>
      </c>
      <c r="AJ19" s="68">
        <f t="shared" si="11"/>
        <v>0</v>
      </c>
      <c r="AK19" s="67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73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75">
        <v>1.5421554579886813E-2</v>
      </c>
      <c r="V20" s="74">
        <v>0.1232596908297694</v>
      </c>
      <c r="W20" s="2">
        <v>-0.9034281906599263</v>
      </c>
      <c r="X20" s="75">
        <v>0.45586362429465982</v>
      </c>
      <c r="Y20" s="37">
        <v>-7.6797840683540336E-4</v>
      </c>
      <c r="Z20" s="38">
        <v>1.6479683442466656E-4</v>
      </c>
      <c r="AA20" s="2">
        <v>1.5650999999999999</v>
      </c>
      <c r="AB20" s="2">
        <f t="shared" si="4"/>
        <v>0</v>
      </c>
      <c r="AC20" s="2" t="e">
        <f t="shared" si="5"/>
        <v>#VALUE!</v>
      </c>
      <c r="AD20" s="2">
        <f t="shared" si="6"/>
        <v>0</v>
      </c>
      <c r="AE20" s="79" t="e">
        <f t="shared" si="7"/>
        <v>#VALUE!</v>
      </c>
      <c r="AF20" s="80">
        <f t="shared" si="0"/>
        <v>0</v>
      </c>
      <c r="AG20" s="31" t="e">
        <f t="shared" si="8"/>
        <v>#VALUE!</v>
      </c>
      <c r="AH20">
        <f t="shared" si="9"/>
        <v>149.00000000000136</v>
      </c>
      <c r="AI20" s="68">
        <f t="shared" si="10"/>
        <v>5.2155457988667706</v>
      </c>
      <c r="AJ20" s="68">
        <f t="shared" si="11"/>
        <v>0</v>
      </c>
      <c r="AK20" s="67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73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75">
        <v>2.0139865568373858E-2</v>
      </c>
      <c r="V21" s="74">
        <v>0.1293385631126398</v>
      </c>
      <c r="W21" s="2">
        <v>-0.95204286396793458</v>
      </c>
      <c r="X21" s="75">
        <v>0</v>
      </c>
      <c r="Y21" s="37">
        <v>-4.7107727011627768E-4</v>
      </c>
      <c r="Z21" s="38">
        <v>1.1003700345069145E-4</v>
      </c>
      <c r="AA21" s="2">
        <v>1.5650999999999999</v>
      </c>
      <c r="AB21" s="2">
        <f t="shared" si="4"/>
        <v>0</v>
      </c>
      <c r="AC21" s="2" t="e">
        <f t="shared" si="5"/>
        <v>#VALUE!</v>
      </c>
      <c r="AD21" s="2">
        <f t="shared" si="6"/>
        <v>0</v>
      </c>
      <c r="AE21" s="79" t="e">
        <f t="shared" si="7"/>
        <v>#VALUE!</v>
      </c>
      <c r="AF21" s="80">
        <f t="shared" si="0"/>
        <v>0</v>
      </c>
      <c r="AG21" s="31" t="e">
        <f t="shared" si="8"/>
        <v>#VALUE!</v>
      </c>
      <c r="AH21">
        <f t="shared" si="9"/>
        <v>199.00000000000028</v>
      </c>
      <c r="AI21" s="68">
        <f t="shared" si="10"/>
        <v>2.3986556837382977</v>
      </c>
      <c r="AJ21" s="68">
        <f t="shared" si="11"/>
        <v>0</v>
      </c>
      <c r="AK21" s="67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73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75">
        <v>2.5021042245330444E-2</v>
      </c>
      <c r="V22" s="74">
        <v>0.13757028778701397</v>
      </c>
      <c r="W22" s="2">
        <v>-0.97506282275406442</v>
      </c>
      <c r="X22" s="75">
        <v>0</v>
      </c>
      <c r="Y22" s="37">
        <v>-2.928207005908077E-4</v>
      </c>
      <c r="Z22" s="38">
        <v>6.7546212518670989E-5</v>
      </c>
      <c r="AA22" s="2">
        <v>1.5650999999999999</v>
      </c>
      <c r="AB22" s="2">
        <f t="shared" si="4"/>
        <v>0</v>
      </c>
      <c r="AC22" s="2" t="e">
        <f t="shared" si="5"/>
        <v>#VALUE!</v>
      </c>
      <c r="AD22" s="2">
        <f t="shared" si="6"/>
        <v>0</v>
      </c>
      <c r="AE22" s="79" t="e">
        <f t="shared" si="7"/>
        <v>#VALUE!</v>
      </c>
      <c r="AF22" s="80">
        <f t="shared" si="0"/>
        <v>0</v>
      </c>
      <c r="AG22" s="31" t="e">
        <f t="shared" si="8"/>
        <v>#VALUE!</v>
      </c>
      <c r="AH22">
        <f t="shared" si="9"/>
        <v>249.00000000000145</v>
      </c>
      <c r="AI22" s="68">
        <f t="shared" si="10"/>
        <v>1.2104224533029821</v>
      </c>
      <c r="AJ22" s="68">
        <f t="shared" si="11"/>
        <v>0</v>
      </c>
      <c r="AK22" s="67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73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75">
        <v>2.9971969328718363E-2</v>
      </c>
      <c r="V23" s="74">
        <v>0.14795486485286347</v>
      </c>
      <c r="W23" s="2">
        <v>-0.98537525388845271</v>
      </c>
      <c r="X23" s="75">
        <v>0</v>
      </c>
      <c r="Y23" s="2">
        <v>-1.9919460149662467E-4</v>
      </c>
      <c r="Z23" s="38">
        <v>3.8053563388523032E-5</v>
      </c>
      <c r="AA23" s="2">
        <v>1.5650999999999999</v>
      </c>
      <c r="AB23" s="2">
        <f t="shared" si="4"/>
        <v>0</v>
      </c>
      <c r="AC23" s="2" t="e">
        <f t="shared" si="5"/>
        <v>#VALUE!</v>
      </c>
      <c r="AD23" s="2">
        <f t="shared" si="6"/>
        <v>0</v>
      </c>
      <c r="AE23" s="79" t="e">
        <f t="shared" si="7"/>
        <v>#VALUE!</v>
      </c>
      <c r="AF23" s="80">
        <f t="shared" si="0"/>
        <v>0</v>
      </c>
      <c r="AG23" s="31" t="e">
        <f t="shared" si="8"/>
        <v>#VALUE!</v>
      </c>
      <c r="AH23">
        <f t="shared" si="9"/>
        <v>299.0000000000004</v>
      </c>
      <c r="AI23" s="68">
        <f t="shared" si="10"/>
        <v>0.71969328718324732</v>
      </c>
      <c r="AJ23" s="68">
        <f t="shared" si="11"/>
        <v>0</v>
      </c>
      <c r="AK23" s="67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73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75">
        <v>3.4947170242700727E-2</v>
      </c>
      <c r="V24" s="74">
        <v>0.16049229431017409</v>
      </c>
      <c r="W24" s="2">
        <v>-0.99069384771629254</v>
      </c>
      <c r="X24" s="75">
        <v>0.96000685239764894</v>
      </c>
      <c r="Y24" s="2">
        <v>-1.4673614098978258E-4</v>
      </c>
      <c r="Z24" s="38">
        <v>2.9466031867542153E-5</v>
      </c>
      <c r="AA24" s="2">
        <v>1.5650999999999999</v>
      </c>
      <c r="AB24" s="2">
        <f t="shared" si="4"/>
        <v>0</v>
      </c>
      <c r="AC24" s="2" t="e">
        <f t="shared" si="5"/>
        <v>#VALUE!</v>
      </c>
      <c r="AD24" s="2">
        <f t="shared" si="6"/>
        <v>0</v>
      </c>
      <c r="AE24" s="79" t="e">
        <f t="shared" si="7"/>
        <v>#VALUE!</v>
      </c>
      <c r="AF24" s="80">
        <f t="shared" si="0"/>
        <v>0</v>
      </c>
      <c r="AG24" s="31" t="e">
        <f t="shared" si="8"/>
        <v>#VALUE!</v>
      </c>
      <c r="AH24">
        <f t="shared" si="9"/>
        <v>349.00000000000153</v>
      </c>
      <c r="AI24" s="68">
        <f t="shared" si="10"/>
        <v>0.47170242700570952</v>
      </c>
      <c r="AJ24" s="68">
        <f t="shared" si="11"/>
        <v>0</v>
      </c>
      <c r="AK24" s="67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73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75">
        <v>3.9938167651417097E-2</v>
      </c>
      <c r="V25" s="74">
        <v>0.17518257615898847</v>
      </c>
      <c r="W25" s="2">
        <v>-0.99295163726063207</v>
      </c>
      <c r="X25" s="75">
        <v>0.96459820214130731</v>
      </c>
      <c r="Y25" s="2">
        <v>-1.2498221345756254E-4</v>
      </c>
      <c r="Z25" s="38">
        <v>1.9661772495370433E-5</v>
      </c>
      <c r="AA25" s="2">
        <v>1.5650999999999999</v>
      </c>
      <c r="AB25" s="2">
        <f t="shared" si="4"/>
        <v>0</v>
      </c>
      <c r="AC25" s="2" t="e">
        <f t="shared" si="5"/>
        <v>#VALUE!</v>
      </c>
      <c r="AD25" s="2">
        <f t="shared" si="6"/>
        <v>0</v>
      </c>
      <c r="AE25" s="79" t="e">
        <f t="shared" si="7"/>
        <v>#VALUE!</v>
      </c>
      <c r="AF25" s="80">
        <f t="shared" si="0"/>
        <v>0</v>
      </c>
      <c r="AG25" s="31" t="e">
        <f t="shared" si="8"/>
        <v>#VALUE!</v>
      </c>
      <c r="AH25">
        <f t="shared" si="9"/>
        <v>399.00000000000045</v>
      </c>
      <c r="AI25" s="68">
        <f t="shared" si="10"/>
        <v>0.38167651417052184</v>
      </c>
      <c r="AJ25" s="68">
        <f t="shared" si="11"/>
        <v>0</v>
      </c>
      <c r="AK25" s="67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73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75">
        <v>4.4933497038128635E-2</v>
      </c>
      <c r="V26" s="74">
        <v>0.19202571039927818</v>
      </c>
      <c r="W26" s="2">
        <v>-0.99424128479175922</v>
      </c>
      <c r="X26" s="75">
        <v>0.93178526449189381</v>
      </c>
      <c r="Y26" s="2">
        <v>-1.1497841994031873E-4</v>
      </c>
      <c r="Z26" s="38">
        <v>1.9688702954205606E-5</v>
      </c>
      <c r="AA26" s="2">
        <v>1.5650999999999999</v>
      </c>
      <c r="AB26" s="2">
        <f t="shared" si="4"/>
        <v>0</v>
      </c>
      <c r="AC26" s="2" t="e">
        <f t="shared" si="5"/>
        <v>#VALUE!</v>
      </c>
      <c r="AD26" s="2">
        <f t="shared" si="6"/>
        <v>0</v>
      </c>
      <c r="AE26" s="79" t="e">
        <f t="shared" si="7"/>
        <v>#VALUE!</v>
      </c>
      <c r="AF26" s="80">
        <f t="shared" si="0"/>
        <v>0</v>
      </c>
      <c r="AG26" s="31" t="e">
        <f t="shared" si="8"/>
        <v>#VALUE!</v>
      </c>
      <c r="AH26">
        <f t="shared" si="9"/>
        <v>449.00000000000159</v>
      </c>
      <c r="AI26" s="68">
        <f t="shared" si="10"/>
        <v>0.33497038128473378</v>
      </c>
      <c r="AJ26" s="68">
        <f t="shared" si="11"/>
        <v>0</v>
      </c>
      <c r="AK26" s="67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73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75">
        <v>4.9933175905381037E-2</v>
      </c>
      <c r="V27" s="74">
        <v>0.21102169703104323</v>
      </c>
      <c r="W27" s="2">
        <v>-0.99475196361446627</v>
      </c>
      <c r="X27" s="75">
        <v>0.78384519397573749</v>
      </c>
      <c r="Y27" s="2">
        <v>-1.1677813097680746E-4</v>
      </c>
      <c r="Z27" s="38">
        <v>1.9716027393722191E-5</v>
      </c>
      <c r="AA27" s="2">
        <v>1.5650999999999999</v>
      </c>
      <c r="AB27" s="2">
        <f t="shared" si="4"/>
        <v>0</v>
      </c>
      <c r="AC27" s="2" t="e">
        <f t="shared" si="5"/>
        <v>#VALUE!</v>
      </c>
      <c r="AD27" s="2">
        <f t="shared" si="6"/>
        <v>0</v>
      </c>
      <c r="AE27" s="79" t="e">
        <f t="shared" si="7"/>
        <v>#VALUE!</v>
      </c>
      <c r="AF27" s="80">
        <f t="shared" si="0"/>
        <v>0</v>
      </c>
      <c r="AG27" s="31" t="e">
        <f t="shared" si="8"/>
        <v>#VALUE!</v>
      </c>
      <c r="AH27">
        <f t="shared" si="9"/>
        <v>499.00000000000057</v>
      </c>
      <c r="AI27" s="68">
        <f t="shared" si="10"/>
        <v>0.33175905380977611</v>
      </c>
      <c r="AJ27" s="68">
        <f t="shared" si="11"/>
        <v>0</v>
      </c>
      <c r="AK27" s="67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73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75">
        <v>5.4937219892936658E-2</v>
      </c>
      <c r="V28" s="74">
        <v>0.23217053605428362</v>
      </c>
      <c r="W28" s="2">
        <v>-0.99465768629688212</v>
      </c>
      <c r="X28" s="75">
        <v>0.72323851067159062</v>
      </c>
      <c r="Y28" s="2">
        <v>-1.3043410533604931E-4</v>
      </c>
      <c r="Z28" s="38">
        <v>1.9746513794292875E-5</v>
      </c>
      <c r="AA28" s="2">
        <v>1.5650999999999999</v>
      </c>
      <c r="AB28" s="2">
        <f t="shared" si="4"/>
        <v>0</v>
      </c>
      <c r="AC28" s="2" t="e">
        <f t="shared" si="5"/>
        <v>#VALUE!</v>
      </c>
      <c r="AD28" s="2">
        <f t="shared" si="6"/>
        <v>0</v>
      </c>
      <c r="AE28" s="79" t="e">
        <f t="shared" si="7"/>
        <v>#VALUE!</v>
      </c>
      <c r="AF28" s="80">
        <f t="shared" si="0"/>
        <v>0</v>
      </c>
      <c r="AG28" s="31" t="e">
        <f t="shared" si="8"/>
        <v>#VALUE!</v>
      </c>
      <c r="AH28">
        <f t="shared" si="9"/>
        <v>549.00000000000171</v>
      </c>
      <c r="AI28" s="68">
        <f t="shared" si="10"/>
        <v>0.37219892936491306</v>
      </c>
      <c r="AJ28" s="68">
        <f t="shared" si="11"/>
        <v>0</v>
      </c>
      <c r="AK28" s="67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73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75">
        <v>5.9945648867460698E-2</v>
      </c>
      <c r="V29" s="74">
        <v>0.25547222746899934</v>
      </c>
      <c r="W29" s="2">
        <v>-0.99410840163359981</v>
      </c>
      <c r="X29" s="75">
        <v>0.71422133303684943</v>
      </c>
      <c r="Y29" s="2">
        <v>-1.5599872907370662E-4</v>
      </c>
      <c r="Z29" s="38">
        <v>1.977947727223317E-5</v>
      </c>
      <c r="AA29" s="2">
        <v>1.5650999999999999</v>
      </c>
      <c r="AB29" s="2">
        <f t="shared" si="4"/>
        <v>0</v>
      </c>
      <c r="AC29" s="2" t="e">
        <f t="shared" si="5"/>
        <v>#VALUE!</v>
      </c>
      <c r="AD29" s="2">
        <f t="shared" si="6"/>
        <v>0</v>
      </c>
      <c r="AE29" s="79" t="e">
        <f t="shared" si="7"/>
        <v>#VALUE!</v>
      </c>
      <c r="AF29" s="80">
        <f t="shared" si="0"/>
        <v>0</v>
      </c>
      <c r="AG29" s="31" t="e">
        <f t="shared" si="8"/>
        <v>#VALUE!</v>
      </c>
      <c r="AH29">
        <f t="shared" si="9"/>
        <v>599.00000000000068</v>
      </c>
      <c r="AI29" s="68">
        <f t="shared" si="10"/>
        <v>0.45648867460624842</v>
      </c>
      <c r="AJ29" s="68">
        <f t="shared" si="11"/>
        <v>0</v>
      </c>
      <c r="AK29" s="67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73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75">
        <v>6.4958485315866926E-2</v>
      </c>
      <c r="V30" s="74">
        <v>0.2809267712752046</v>
      </c>
      <c r="W30" s="2">
        <v>-0.99322759936178417</v>
      </c>
      <c r="X30" s="75">
        <v>0.73250794366057015</v>
      </c>
      <c r="Y30" s="2">
        <v>-1.9352554713736398E-4</v>
      </c>
      <c r="Z30" s="38">
        <v>1.9812189702497762E-5</v>
      </c>
      <c r="AA30" s="2">
        <v>1.5650999999999999</v>
      </c>
      <c r="AB30" s="2">
        <f t="shared" si="4"/>
        <v>0</v>
      </c>
      <c r="AC30" s="2" t="e">
        <f t="shared" si="5"/>
        <v>#VALUE!</v>
      </c>
      <c r="AD30" s="2">
        <f t="shared" si="6"/>
        <v>0</v>
      </c>
      <c r="AE30" s="79" t="e">
        <f t="shared" si="7"/>
        <v>#VALUE!</v>
      </c>
      <c r="AF30" s="80">
        <f t="shared" si="0"/>
        <v>0</v>
      </c>
      <c r="AG30" s="31" t="e">
        <f t="shared" si="8"/>
        <v>#VALUE!</v>
      </c>
      <c r="AH30">
        <f t="shared" si="9"/>
        <v>648.99999999999955</v>
      </c>
      <c r="AI30" s="68">
        <f t="shared" si="10"/>
        <v>0.58485315866971632</v>
      </c>
      <c r="AJ30" s="68">
        <f t="shared" si="11"/>
        <v>0</v>
      </c>
      <c r="AK30" s="67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73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75">
        <v>6.9975749618210112E-2</v>
      </c>
      <c r="V31" s="74">
        <v>0.30853416747289941</v>
      </c>
      <c r="W31" s="2">
        <v>-0.99211342707809069</v>
      </c>
      <c r="X31" s="75">
        <v>0.76249876297262764</v>
      </c>
      <c r="Y31" s="2">
        <v>-2.4306472003765922E-4</v>
      </c>
      <c r="Z31" s="38">
        <v>1.9844476009819867E-5</v>
      </c>
      <c r="AA31" s="2">
        <v>1.5650999999999999</v>
      </c>
      <c r="AB31" s="2">
        <f t="shared" si="4"/>
        <v>0</v>
      </c>
      <c r="AC31" s="2" t="e">
        <f t="shared" si="5"/>
        <v>#VALUE!</v>
      </c>
      <c r="AD31" s="2">
        <f t="shared" si="6"/>
        <v>0</v>
      </c>
      <c r="AE31" s="79" t="e">
        <f t="shared" si="7"/>
        <v>#VALUE!</v>
      </c>
      <c r="AF31" s="80">
        <f t="shared" si="0"/>
        <v>0</v>
      </c>
      <c r="AG31" s="31" t="e">
        <f t="shared" si="8"/>
        <v>#VALUE!</v>
      </c>
      <c r="AH31">
        <f t="shared" si="9"/>
        <v>699.00000000000068</v>
      </c>
      <c r="AI31" s="68">
        <f t="shared" si="10"/>
        <v>0.75749618210045355</v>
      </c>
      <c r="AJ31" s="68">
        <f t="shared" si="11"/>
        <v>0</v>
      </c>
      <c r="AK31" s="67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73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75">
        <v>7.4997461117907296E-2</v>
      </c>
      <c r="V32" s="74">
        <v>0.33829441606204114</v>
      </c>
      <c r="W32" s="2">
        <v>-0.99084222167956415</v>
      </c>
      <c r="X32" s="75">
        <v>0.79477854501055389</v>
      </c>
      <c r="Y32" s="2">
        <v>-3.0467123538908616E-4</v>
      </c>
      <c r="Z32" s="38">
        <v>1.9876053409667582E-5</v>
      </c>
      <c r="AA32" s="2">
        <v>1.5650999999999999</v>
      </c>
      <c r="AB32" s="2">
        <f t="shared" si="4"/>
        <v>0</v>
      </c>
      <c r="AC32" s="2" t="e">
        <f t="shared" si="5"/>
        <v>#VALUE!</v>
      </c>
      <c r="AD32" s="2">
        <f t="shared" si="6"/>
        <v>0</v>
      </c>
      <c r="AE32" s="79" t="e">
        <f t="shared" si="7"/>
        <v>#VALUE!</v>
      </c>
      <c r="AF32" s="80">
        <f t="shared" si="0"/>
        <v>0</v>
      </c>
      <c r="AG32" s="31" t="e">
        <f t="shared" si="8"/>
        <v>#VALUE!</v>
      </c>
      <c r="AH32">
        <f t="shared" si="9"/>
        <v>749.00000000000193</v>
      </c>
      <c r="AI32" s="68">
        <f t="shared" si="10"/>
        <v>0.97461117907107564</v>
      </c>
      <c r="AJ32" s="68">
        <f t="shared" si="11"/>
        <v>0</v>
      </c>
      <c r="AK32" s="67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73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75">
        <v>8.0023639217036438E-2</v>
      </c>
      <c r="V33" s="74">
        <v>0.37020751704270083</v>
      </c>
      <c r="W33" s="2">
        <v>-0.98947196305720375</v>
      </c>
      <c r="X33" s="75">
        <v>0.82406090664307019</v>
      </c>
      <c r="Y33" s="2">
        <v>-3.7839448819390126E-4</v>
      </c>
      <c r="Z33" s="38">
        <v>3.3593444811463868E-5</v>
      </c>
      <c r="AA33" s="2">
        <v>1.5650999999999999</v>
      </c>
      <c r="AB33" s="2">
        <f t="shared" si="4"/>
        <v>0</v>
      </c>
      <c r="AC33" s="2" t="e">
        <f t="shared" si="5"/>
        <v>#VALUE!</v>
      </c>
      <c r="AD33" s="2">
        <f t="shared" si="6"/>
        <v>0</v>
      </c>
      <c r="AE33" s="79" t="e">
        <f t="shared" si="7"/>
        <v>#VALUE!</v>
      </c>
      <c r="AF33" s="80">
        <f t="shared" si="0"/>
        <v>0</v>
      </c>
      <c r="AG33" s="31" t="e">
        <f t="shared" si="8"/>
        <v>#VALUE!</v>
      </c>
      <c r="AH33">
        <f t="shared" si="9"/>
        <v>799.0000000000008</v>
      </c>
      <c r="AI33" s="68">
        <f t="shared" si="10"/>
        <v>1.2363921703636152</v>
      </c>
      <c r="AJ33" s="68">
        <f t="shared" si="11"/>
        <v>0</v>
      </c>
      <c r="AK33" s="67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73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75">
        <v>8.5070516615054173E-2</v>
      </c>
      <c r="V34" s="74">
        <v>0.40427347041482165</v>
      </c>
      <c r="W34" s="2">
        <v>-0.98705691075711555</v>
      </c>
      <c r="X34" s="75">
        <v>0.8966998586038698</v>
      </c>
      <c r="Y34" s="2">
        <v>-4.9113662857176266E-4</v>
      </c>
      <c r="Z34" s="38">
        <v>3.8697436539503194E-5</v>
      </c>
      <c r="AA34" s="2">
        <v>1.5650999999999999</v>
      </c>
      <c r="AB34" s="2">
        <f t="shared" si="4"/>
        <v>0</v>
      </c>
      <c r="AC34" s="2" t="e">
        <f t="shared" si="5"/>
        <v>#VALUE!</v>
      </c>
      <c r="AD34" s="2">
        <f t="shared" si="6"/>
        <v>0</v>
      </c>
      <c r="AE34" s="79" t="e">
        <f t="shared" si="7"/>
        <v>#VALUE!</v>
      </c>
      <c r="AF34" s="80">
        <f t="shared" si="0"/>
        <v>0</v>
      </c>
      <c r="AG34" s="31" t="e">
        <f t="shared" si="8"/>
        <v>#VALUE!</v>
      </c>
      <c r="AH34">
        <f t="shared" si="9"/>
        <v>848.99999999999977</v>
      </c>
      <c r="AI34" s="68">
        <f t="shared" si="10"/>
        <v>1.7051661505419133</v>
      </c>
      <c r="AJ34" s="68">
        <f t="shared" si="11"/>
        <v>0</v>
      </c>
      <c r="AK34" s="67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73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75">
        <v>9.0131182289735531E-2</v>
      </c>
      <c r="V35" s="74">
        <v>0.44049227617840359</v>
      </c>
      <c r="W35" s="2">
        <v>-0.98426134336016369</v>
      </c>
      <c r="X35" s="75">
        <v>0.97085895907125108</v>
      </c>
      <c r="Y35" s="2">
        <v>-6.3142971592561868E-4</v>
      </c>
      <c r="Z35" s="38">
        <v>3.8759053379827657E-5</v>
      </c>
      <c r="AA35" s="2">
        <v>1.5650999999999999</v>
      </c>
      <c r="AB35" s="2">
        <f t="shared" si="4"/>
        <v>0</v>
      </c>
      <c r="AC35" s="2" t="e">
        <f t="shared" si="5"/>
        <v>#VALUE!</v>
      </c>
      <c r="AD35" s="2">
        <f t="shared" si="6"/>
        <v>0</v>
      </c>
      <c r="AE35" s="79" t="e">
        <f t="shared" si="7"/>
        <v>#VALUE!</v>
      </c>
      <c r="AF35" s="80">
        <f t="shared" si="0"/>
        <v>0</v>
      </c>
      <c r="AG35" s="31" t="e">
        <f t="shared" si="8"/>
        <v>#VALUE!</v>
      </c>
      <c r="AH35">
        <f t="shared" si="9"/>
        <v>899.00000000000091</v>
      </c>
      <c r="AI35" s="68">
        <f t="shared" si="10"/>
        <v>2.3118228973544319</v>
      </c>
      <c r="AJ35" s="68">
        <f t="shared" si="11"/>
        <v>0</v>
      </c>
      <c r="AK35" s="67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73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75">
        <v>5.5180738412799829E-2</v>
      </c>
      <c r="V36" s="74">
        <v>0.26420497997470704</v>
      </c>
      <c r="W36" s="2">
        <v>0.9903783911365891</v>
      </c>
      <c r="X36" s="75">
        <v>8.4867609479617076E-7</v>
      </c>
      <c r="Y36" s="2">
        <v>-2.4913728829400539E-4</v>
      </c>
      <c r="Z36" s="38">
        <v>2.9470452230999367E-5</v>
      </c>
      <c r="AA36" s="2">
        <v>1.5650999999999999</v>
      </c>
      <c r="AB36" s="2">
        <f t="shared" si="4"/>
        <v>0</v>
      </c>
      <c r="AC36" s="2" t="e">
        <f t="shared" si="5"/>
        <v>#VALUE!</v>
      </c>
      <c r="AD36" s="2">
        <f t="shared" si="6"/>
        <v>0</v>
      </c>
      <c r="AE36" s="79" t="e">
        <f t="shared" si="7"/>
        <v>#VALUE!</v>
      </c>
      <c r="AF36" s="80">
        <f t="shared" si="0"/>
        <v>0</v>
      </c>
      <c r="AG36" s="31" t="e">
        <f t="shared" si="8"/>
        <v>#VALUE!</v>
      </c>
      <c r="AH36">
        <f t="shared" si="9"/>
        <v>550.99999999999932</v>
      </c>
      <c r="AI36" s="68">
        <f t="shared" si="10"/>
        <v>0.80738412799894377</v>
      </c>
      <c r="AJ36" s="68">
        <f t="shared" si="11"/>
        <v>0</v>
      </c>
      <c r="AK36" s="67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73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75">
        <v>5.0174002271439908E-2</v>
      </c>
      <c r="V37" s="74">
        <v>0.24014391877688013</v>
      </c>
      <c r="W37" s="2">
        <v>0.99029902415853122</v>
      </c>
      <c r="X37" s="75">
        <v>0</v>
      </c>
      <c r="Y37" s="2">
        <v>-2.2813216354481477E-4</v>
      </c>
      <c r="Z37" s="38">
        <v>3.0772230875823758E-5</v>
      </c>
      <c r="AA37" s="2">
        <v>1.5650999999999999</v>
      </c>
      <c r="AB37" s="2">
        <f t="shared" si="4"/>
        <v>0</v>
      </c>
      <c r="AC37" s="2" t="e">
        <f t="shared" si="5"/>
        <v>#VALUE!</v>
      </c>
      <c r="AD37" s="2">
        <f t="shared" si="6"/>
        <v>0</v>
      </c>
      <c r="AE37" s="79" t="e">
        <f t="shared" si="7"/>
        <v>#VALUE!</v>
      </c>
      <c r="AF37" s="80">
        <f t="shared" si="0"/>
        <v>0</v>
      </c>
      <c r="AG37" s="31" t="e">
        <f t="shared" si="8"/>
        <v>#VALUE!</v>
      </c>
      <c r="AH37">
        <f t="shared" si="9"/>
        <v>501.00000000000034</v>
      </c>
      <c r="AI37" s="68">
        <f t="shared" si="10"/>
        <v>0.74002271439871947</v>
      </c>
      <c r="AJ37" s="68">
        <f t="shared" si="11"/>
        <v>0</v>
      </c>
      <c r="AK37" s="67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73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75">
        <v>4.5171234214798316E-2</v>
      </c>
      <c r="V38" s="74">
        <v>0.21823570997051434</v>
      </c>
      <c r="W38" s="2">
        <v>0.98975605375086417</v>
      </c>
      <c r="X38" s="75">
        <v>0</v>
      </c>
      <c r="Y38" s="2">
        <v>-2.1789448305739866E-4</v>
      </c>
      <c r="Z38" s="38">
        <v>3.5808848475919752E-5</v>
      </c>
      <c r="AA38" s="2">
        <v>1.5650999999999999</v>
      </c>
      <c r="AB38" s="2">
        <f t="shared" si="4"/>
        <v>0</v>
      </c>
      <c r="AC38" s="2" t="e">
        <f t="shared" si="5"/>
        <v>#VALUE!</v>
      </c>
      <c r="AD38" s="2">
        <f t="shared" si="6"/>
        <v>0</v>
      </c>
      <c r="AE38" s="79" t="e">
        <f t="shared" si="7"/>
        <v>#VALUE!</v>
      </c>
      <c r="AF38" s="80">
        <f t="shared" ref="AF38:AF69" si="13">IF(ISERR(AE38),0,AE38*M38)</f>
        <v>0</v>
      </c>
      <c r="AG38" s="31" t="e">
        <f t="shared" si="8"/>
        <v>#VALUE!</v>
      </c>
      <c r="AH38">
        <f t="shared" si="9"/>
        <v>450.9999999999992</v>
      </c>
      <c r="AI38" s="68">
        <f t="shared" si="10"/>
        <v>0.71234214798397488</v>
      </c>
      <c r="AJ38" s="68">
        <f t="shared" si="11"/>
        <v>0</v>
      </c>
      <c r="AK38" s="67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73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75">
        <v>4.017984348371216E-2</v>
      </c>
      <c r="V39" s="74">
        <v>0.1984803535556523</v>
      </c>
      <c r="W39" s="2">
        <v>0.98770033251658362</v>
      </c>
      <c r="X39" s="75">
        <v>0</v>
      </c>
      <c r="Y39" s="2">
        <v>-2.3069967905503622E-4</v>
      </c>
      <c r="Z39" s="38">
        <v>3.7211099685380278E-5</v>
      </c>
      <c r="AA39" s="2">
        <v>1.5650999999999999</v>
      </c>
      <c r="AB39" s="2">
        <f t="shared" si="4"/>
        <v>0</v>
      </c>
      <c r="AC39" s="2" t="e">
        <f t="shared" si="5"/>
        <v>#VALUE!</v>
      </c>
      <c r="AD39" s="2">
        <f t="shared" si="6"/>
        <v>0</v>
      </c>
      <c r="AE39" s="79" t="e">
        <f t="shared" si="7"/>
        <v>#VALUE!</v>
      </c>
      <c r="AF39" s="80">
        <f t="shared" si="13"/>
        <v>0</v>
      </c>
      <c r="AG39" s="31" t="e">
        <f t="shared" si="8"/>
        <v>#VALUE!</v>
      </c>
      <c r="AH39">
        <f t="shared" si="9"/>
        <v>401.00000000000023</v>
      </c>
      <c r="AI39" s="68">
        <f t="shared" si="10"/>
        <v>0.79843483712136276</v>
      </c>
      <c r="AJ39" s="68">
        <f t="shared" si="11"/>
        <v>0</v>
      </c>
      <c r="AK39" s="67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73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75">
        <v>3.5197576778754069E-2</v>
      </c>
      <c r="V40" s="74">
        <v>0.18087784953227981</v>
      </c>
      <c r="W40" s="2">
        <v>0.98401239466735069</v>
      </c>
      <c r="X40" s="75">
        <v>0</v>
      </c>
      <c r="Y40" s="2">
        <v>-2.6284308136189993E-4</v>
      </c>
      <c r="Z40" s="38">
        <v>3.7272165494546539E-5</v>
      </c>
      <c r="AA40" s="2">
        <v>1.5650999999999999</v>
      </c>
      <c r="AB40" s="2">
        <f t="shared" si="4"/>
        <v>0</v>
      </c>
      <c r="AC40" s="2" t="e">
        <f t="shared" si="5"/>
        <v>#VALUE!</v>
      </c>
      <c r="AD40" s="2">
        <f t="shared" si="6"/>
        <v>0</v>
      </c>
      <c r="AE40" s="79" t="e">
        <f t="shared" si="7"/>
        <v>#VALUE!</v>
      </c>
      <c r="AF40" s="80">
        <f t="shared" si="13"/>
        <v>0</v>
      </c>
      <c r="AG40" s="31" t="e">
        <f t="shared" si="8"/>
        <v>#VALUE!</v>
      </c>
      <c r="AH40">
        <f t="shared" si="9"/>
        <v>350.99999999999909</v>
      </c>
      <c r="AI40" s="68">
        <f t="shared" si="10"/>
        <v>0.97576778754159932</v>
      </c>
      <c r="AJ40" s="68">
        <f t="shared" si="11"/>
        <v>0</v>
      </c>
      <c r="AK40" s="67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73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75">
        <v>3.0223132760095989E-2</v>
      </c>
      <c r="V41" s="74">
        <v>0.16542819790035423</v>
      </c>
      <c r="W41" s="2">
        <v>0.97850612927498648</v>
      </c>
      <c r="X41" s="75">
        <v>0</v>
      </c>
      <c r="Y41" s="2">
        <v>-3.1219426754247582E-4</v>
      </c>
      <c r="Z41" s="38">
        <v>6.4093262310570276E-5</v>
      </c>
      <c r="AA41" s="2">
        <v>1.5650999999999999</v>
      </c>
      <c r="AB41" s="2">
        <f t="shared" si="4"/>
        <v>0</v>
      </c>
      <c r="AC41" s="2" t="e">
        <f t="shared" si="5"/>
        <v>#VALUE!</v>
      </c>
      <c r="AD41" s="2">
        <f t="shared" si="6"/>
        <v>0</v>
      </c>
      <c r="AE41" s="79" t="e">
        <f t="shared" si="7"/>
        <v>#VALUE!</v>
      </c>
      <c r="AF41" s="80">
        <f t="shared" si="13"/>
        <v>0</v>
      </c>
      <c r="AG41" s="31" t="e">
        <f t="shared" si="8"/>
        <v>#VALUE!</v>
      </c>
      <c r="AH41">
        <f t="shared" si="9"/>
        <v>301.00000000000017</v>
      </c>
      <c r="AI41" s="68">
        <f t="shared" si="10"/>
        <v>1.2313276009597303</v>
      </c>
      <c r="AJ41" s="68">
        <f t="shared" si="11"/>
        <v>0</v>
      </c>
      <c r="AK41" s="67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73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75">
        <v>2.52965524313538E-2</v>
      </c>
      <c r="V42" s="74">
        <v>0.15213139865993242</v>
      </c>
      <c r="W42" s="2">
        <v>0.96522940856043193</v>
      </c>
      <c r="X42" s="75">
        <v>0</v>
      </c>
      <c r="Y42" s="2">
        <v>-4.2572685371954631E-4</v>
      </c>
      <c r="Z42" s="38">
        <v>6.9378089698285406E-5</v>
      </c>
      <c r="AA42" s="2">
        <v>1.5650999999999999</v>
      </c>
      <c r="AB42" s="2">
        <f t="shared" si="4"/>
        <v>0</v>
      </c>
      <c r="AC42" s="2" t="e">
        <f t="shared" si="5"/>
        <v>#VALUE!</v>
      </c>
      <c r="AD42" s="2">
        <f t="shared" si="6"/>
        <v>0</v>
      </c>
      <c r="AE42" s="79" t="e">
        <f t="shared" si="7"/>
        <v>#VALUE!</v>
      </c>
      <c r="AF42" s="80">
        <f t="shared" si="13"/>
        <v>0</v>
      </c>
      <c r="AG42" s="31" t="e">
        <f t="shared" si="8"/>
        <v>#VALUE!</v>
      </c>
      <c r="AH42">
        <f t="shared" si="9"/>
        <v>250.99999999999901</v>
      </c>
      <c r="AI42" s="68">
        <f t="shared" si="10"/>
        <v>1.9655243135389924</v>
      </c>
      <c r="AJ42" s="68">
        <f t="shared" si="11"/>
        <v>0</v>
      </c>
      <c r="AK42" s="67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73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75">
        <v>2.0436404881690615E-2</v>
      </c>
      <c r="V43" s="74">
        <v>0.14098745181098593</v>
      </c>
      <c r="W43" s="2">
        <v>0.9408577625029193</v>
      </c>
      <c r="X43" s="75">
        <v>0</v>
      </c>
      <c r="Y43" s="2">
        <v>-6.0432797633985607E-4</v>
      </c>
      <c r="Z43" s="38">
        <v>1.0864037632226167E-4</v>
      </c>
      <c r="AA43" s="2">
        <v>1.5650999999999999</v>
      </c>
      <c r="AB43" s="2">
        <f t="shared" si="4"/>
        <v>0</v>
      </c>
      <c r="AC43" s="2" t="e">
        <f t="shared" si="5"/>
        <v>#VALUE!</v>
      </c>
      <c r="AD43" s="2">
        <f t="shared" si="6"/>
        <v>0</v>
      </c>
      <c r="AE43" s="79" t="e">
        <f t="shared" si="7"/>
        <v>#VALUE!</v>
      </c>
      <c r="AF43" s="80">
        <f t="shared" si="13"/>
        <v>0</v>
      </c>
      <c r="AG43" s="31" t="e">
        <f t="shared" si="8"/>
        <v>#VALUE!</v>
      </c>
      <c r="AH43">
        <f t="shared" si="9"/>
        <v>201.00000000000006</v>
      </c>
      <c r="AI43" s="68">
        <f t="shared" si="10"/>
        <v>3.3640488169060916</v>
      </c>
      <c r="AJ43" s="68">
        <f t="shared" si="11"/>
        <v>0</v>
      </c>
      <c r="AK43" s="67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73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75">
        <v>1.5724484820930949E-2</v>
      </c>
      <c r="V44" s="74">
        <v>0.13199635735350057</v>
      </c>
      <c r="W44" s="2">
        <v>0.89445659155028767</v>
      </c>
      <c r="X44" s="75">
        <v>0</v>
      </c>
      <c r="Y44" s="2">
        <v>-8.7842645993631025E-4</v>
      </c>
      <c r="Z44" s="38">
        <v>1.6322422823190214E-4</v>
      </c>
      <c r="AA44" s="2">
        <v>1.5650999999999999</v>
      </c>
      <c r="AB44" s="2">
        <f t="shared" si="4"/>
        <v>0</v>
      </c>
      <c r="AC44" s="2" t="e">
        <f t="shared" si="5"/>
        <v>#VALUE!</v>
      </c>
      <c r="AD44" s="2">
        <f t="shared" si="6"/>
        <v>0</v>
      </c>
      <c r="AE44" s="79" t="e">
        <f t="shared" si="7"/>
        <v>#VALUE!</v>
      </c>
      <c r="AF44" s="80">
        <f t="shared" si="13"/>
        <v>0</v>
      </c>
      <c r="AG44" s="31" t="e">
        <f t="shared" si="8"/>
        <v>#VALUE!</v>
      </c>
      <c r="AH44">
        <f t="shared" si="9"/>
        <v>150.99999999999892</v>
      </c>
      <c r="AI44" s="68">
        <f t="shared" si="10"/>
        <v>6.2448482093105611</v>
      </c>
      <c r="AJ44" s="68">
        <f t="shared" si="11"/>
        <v>0</v>
      </c>
      <c r="AK44" s="67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73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75">
        <v>1.1298328568095721E-2</v>
      </c>
      <c r="V45" s="74">
        <v>0.12515811528751897</v>
      </c>
      <c r="W45" s="2">
        <v>0.81212876673398537</v>
      </c>
      <c r="X45" s="75">
        <v>0</v>
      </c>
      <c r="Y45" s="2">
        <v>-1.2387985114968151E-3</v>
      </c>
      <c r="Z45" s="38">
        <v>2.6185458969906275E-4</v>
      </c>
      <c r="AA45" s="2">
        <v>1.5650999999999999</v>
      </c>
      <c r="AB45" s="2">
        <f t="shared" si="4"/>
        <v>0</v>
      </c>
      <c r="AC45" s="2" t="e">
        <f t="shared" si="5"/>
        <v>#VALUE!</v>
      </c>
      <c r="AD45" s="2">
        <f t="shared" si="6"/>
        <v>0</v>
      </c>
      <c r="AE45" s="79" t="e">
        <f t="shared" si="7"/>
        <v>#VALUE!</v>
      </c>
      <c r="AF45" s="80">
        <f t="shared" si="13"/>
        <v>0</v>
      </c>
      <c r="AG45" s="31" t="e">
        <f t="shared" si="8"/>
        <v>#VALUE!</v>
      </c>
      <c r="AH45">
        <f t="shared" si="9"/>
        <v>100.99999999999997</v>
      </c>
      <c r="AI45" s="68">
        <f t="shared" si="10"/>
        <v>11.983285680957238</v>
      </c>
      <c r="AJ45" s="68">
        <f t="shared" si="11"/>
        <v>0</v>
      </c>
      <c r="AK45" s="67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73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75">
        <v>7.4571183521020025E-3</v>
      </c>
      <c r="V46" s="74">
        <v>0.1204727256130127</v>
      </c>
      <c r="W46" s="2">
        <v>0.67818925711837008</v>
      </c>
      <c r="X46" s="75">
        <v>0</v>
      </c>
      <c r="Y46" s="2">
        <v>-1.5769783665466137E-3</v>
      </c>
      <c r="Z46" s="38">
        <v>3.3785598623533534E-4</v>
      </c>
      <c r="AA46" s="2">
        <v>1.5650999999999999</v>
      </c>
      <c r="AB46" s="2">
        <f t="shared" si="4"/>
        <v>0</v>
      </c>
      <c r="AC46" s="2" t="e">
        <f t="shared" si="5"/>
        <v>#VALUE!</v>
      </c>
      <c r="AD46" s="2">
        <f t="shared" si="6"/>
        <v>0</v>
      </c>
      <c r="AE46" s="79" t="e">
        <f t="shared" si="7"/>
        <v>#VALUE!</v>
      </c>
      <c r="AF46" s="80">
        <f t="shared" si="13"/>
        <v>0</v>
      </c>
      <c r="AG46" s="31" t="e">
        <f t="shared" si="8"/>
        <v>#VALUE!</v>
      </c>
      <c r="AH46">
        <f t="shared" si="9"/>
        <v>50.99999999999882</v>
      </c>
      <c r="AI46" s="68">
        <f t="shared" si="10"/>
        <v>23.571183521021212</v>
      </c>
      <c r="AJ46" s="68">
        <f t="shared" si="11"/>
        <v>0</v>
      </c>
      <c r="AK46" s="67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73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75">
        <v>7.4000000022351742E-3</v>
      </c>
      <c r="V47" s="74">
        <v>0.20033945498258379</v>
      </c>
      <c r="W47" s="2">
        <v>0.50448938338421789</v>
      </c>
      <c r="X47" s="75">
        <v>0</v>
      </c>
      <c r="Y47" s="2">
        <v>-2.9458189595816023E-3</v>
      </c>
      <c r="Z47" s="38">
        <v>3.6659256154145461E-4</v>
      </c>
      <c r="AA47" s="2">
        <v>1.5650999999999999</v>
      </c>
      <c r="AB47" s="2">
        <f t="shared" si="4"/>
        <v>0</v>
      </c>
      <c r="AC47" s="2" t="e">
        <f t="shared" si="5"/>
        <v>#VALUE!</v>
      </c>
      <c r="AD47" s="2">
        <f t="shared" si="6"/>
        <v>0</v>
      </c>
      <c r="AE47" s="79" t="e">
        <f t="shared" si="7"/>
        <v>#VALUE!</v>
      </c>
      <c r="AF47" s="80">
        <f t="shared" si="13"/>
        <v>0</v>
      </c>
      <c r="AG47" s="31" t="e">
        <f t="shared" si="8"/>
        <v>#VALUE!</v>
      </c>
      <c r="AH47">
        <f t="shared" si="9"/>
        <v>0.99999999999988987</v>
      </c>
      <c r="AI47" s="68">
        <f t="shared" si="10"/>
        <v>73.000000022351855</v>
      </c>
      <c r="AJ47" s="68">
        <f t="shared" si="11"/>
        <v>0</v>
      </c>
      <c r="AK47" s="67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73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75">
        <v>2.3386601062499526E-3</v>
      </c>
      <c r="V48" s="74">
        <v>0.11756050343842617</v>
      </c>
      <c r="W48" s="2">
        <v>0.32753638011934455</v>
      </c>
      <c r="X48" s="75">
        <v>0</v>
      </c>
      <c r="Y48" s="2">
        <v>-1.5495961318951479E-3</v>
      </c>
      <c r="Z48" s="38">
        <v>3.3893723635753086E-4</v>
      </c>
      <c r="AA48" s="2">
        <v>1.5650999999999999</v>
      </c>
      <c r="AB48" s="2">
        <f t="shared" si="4"/>
        <v>0</v>
      </c>
      <c r="AC48" s="2" t="e">
        <f t="shared" si="5"/>
        <v>#VALUE!</v>
      </c>
      <c r="AD48" s="2">
        <f t="shared" si="6"/>
        <v>0</v>
      </c>
      <c r="AE48" s="79" t="e">
        <f t="shared" si="7"/>
        <v>#VALUE!</v>
      </c>
      <c r="AF48" s="80">
        <f t="shared" si="13"/>
        <v>0</v>
      </c>
      <c r="AG48" s="31" t="e">
        <f t="shared" si="8"/>
        <v>#VALUE!</v>
      </c>
      <c r="AH48">
        <f t="shared" si="9"/>
        <v>0</v>
      </c>
      <c r="AI48" s="68">
        <f t="shared" si="10"/>
        <v>23.386601062499526</v>
      </c>
      <c r="AJ48" s="68">
        <f t="shared" si="11"/>
        <v>0</v>
      </c>
      <c r="AK48" s="67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73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75">
        <v>1.1164091165729115E-3</v>
      </c>
      <c r="V49" s="74">
        <v>0.11933367093836011</v>
      </c>
      <c r="W49" s="2">
        <v>0.18524911076303147</v>
      </c>
      <c r="X49" s="75">
        <v>0</v>
      </c>
      <c r="Y49" s="2">
        <v>-1.1684861695963273E-3</v>
      </c>
      <c r="Z49" s="38">
        <v>2.4830867861856242E-4</v>
      </c>
      <c r="AA49" s="2">
        <v>1.5650999999999999</v>
      </c>
      <c r="AB49" s="2">
        <f t="shared" si="4"/>
        <v>0</v>
      </c>
      <c r="AC49" s="2" t="e">
        <f t="shared" si="5"/>
        <v>#VALUE!</v>
      </c>
      <c r="AD49" s="2">
        <f t="shared" si="6"/>
        <v>0</v>
      </c>
      <c r="AE49" s="79" t="e">
        <f t="shared" si="7"/>
        <v>#VALUE!</v>
      </c>
      <c r="AF49" s="80">
        <f t="shared" si="13"/>
        <v>0</v>
      </c>
      <c r="AG49" s="31" t="e">
        <f t="shared" si="8"/>
        <v>#VALUE!</v>
      </c>
      <c r="AH49">
        <f t="shared" si="9"/>
        <v>0</v>
      </c>
      <c r="AI49" s="68">
        <f t="shared" si="10"/>
        <v>11.164091165729115</v>
      </c>
      <c r="AJ49" s="68">
        <f t="shared" si="11"/>
        <v>0</v>
      </c>
      <c r="AK49" s="67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73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75">
        <v>5.216474251880307E-4</v>
      </c>
      <c r="V50" s="74">
        <v>0.1232596908297694</v>
      </c>
      <c r="W50" s="2">
        <v>9.6641212812860214E-2</v>
      </c>
      <c r="X50" s="75">
        <v>0</v>
      </c>
      <c r="Y50" s="2">
        <v>-7.6806409255681253E-4</v>
      </c>
      <c r="Z50" s="38">
        <v>1.6479641023945486E-4</v>
      </c>
      <c r="AA50" s="2">
        <v>1.5650999999999999</v>
      </c>
      <c r="AB50" s="2">
        <f t="shared" si="4"/>
        <v>0</v>
      </c>
      <c r="AC50" s="2" t="e">
        <f t="shared" si="5"/>
        <v>#VALUE!</v>
      </c>
      <c r="AD50" s="2">
        <f t="shared" si="6"/>
        <v>0</v>
      </c>
      <c r="AE50" s="79" t="e">
        <f t="shared" si="7"/>
        <v>#VALUE!</v>
      </c>
      <c r="AF50" s="80">
        <f t="shared" si="13"/>
        <v>0</v>
      </c>
      <c r="AG50" s="31" t="e">
        <f t="shared" si="8"/>
        <v>#VALUE!</v>
      </c>
      <c r="AH50">
        <f t="shared" si="9"/>
        <v>0</v>
      </c>
      <c r="AI50" s="68">
        <f t="shared" si="10"/>
        <v>5.2164742518803067</v>
      </c>
      <c r="AJ50" s="68">
        <f t="shared" si="11"/>
        <v>0</v>
      </c>
      <c r="AK50" s="67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73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75">
        <v>2.3998364970128798E-4</v>
      </c>
      <c r="V51" s="74">
        <v>0.1293385631126398</v>
      </c>
      <c r="W51" s="2">
        <v>4.8027688265695208E-2</v>
      </c>
      <c r="X51" s="75">
        <v>0</v>
      </c>
      <c r="Y51" s="2">
        <v>-4.7119122755980345E-4</v>
      </c>
      <c r="Z51" s="38">
        <v>1.1003789530448078E-4</v>
      </c>
      <c r="AA51" s="2">
        <v>1.5650999999999999</v>
      </c>
      <c r="AB51" s="2">
        <f t="shared" si="4"/>
        <v>0</v>
      </c>
      <c r="AC51" s="2" t="e">
        <f t="shared" si="5"/>
        <v>#VALUE!</v>
      </c>
      <c r="AD51" s="2">
        <f t="shared" si="6"/>
        <v>0</v>
      </c>
      <c r="AE51" s="79" t="e">
        <f t="shared" si="7"/>
        <v>#VALUE!</v>
      </c>
      <c r="AF51" s="80">
        <f t="shared" si="13"/>
        <v>0</v>
      </c>
      <c r="AG51" s="31" t="e">
        <f t="shared" si="8"/>
        <v>#VALUE!</v>
      </c>
      <c r="AH51">
        <f t="shared" si="9"/>
        <v>0</v>
      </c>
      <c r="AI51" s="68">
        <f t="shared" si="10"/>
        <v>2.3998364970128798</v>
      </c>
      <c r="AJ51" s="68">
        <f t="shared" si="11"/>
        <v>0</v>
      </c>
      <c r="AK51" s="67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73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75">
        <v>1.2118092944529462E-4</v>
      </c>
      <c r="V52" s="74">
        <v>0.13757028778701397</v>
      </c>
      <c r="W52" s="2">
        <v>2.5008897404942047E-2</v>
      </c>
      <c r="X52" s="75">
        <v>0</v>
      </c>
      <c r="Y52" s="2">
        <v>-2.9296286178520485E-4</v>
      </c>
      <c r="Z52" s="38">
        <v>6.7548805491670784E-5</v>
      </c>
      <c r="AA52" s="2">
        <v>1.5650999999999999</v>
      </c>
      <c r="AB52" s="2">
        <f t="shared" si="4"/>
        <v>0</v>
      </c>
      <c r="AC52" s="2" t="e">
        <f t="shared" si="5"/>
        <v>#VALUE!</v>
      </c>
      <c r="AD52" s="2">
        <f t="shared" si="6"/>
        <v>0</v>
      </c>
      <c r="AE52" s="79" t="e">
        <f t="shared" si="7"/>
        <v>#VALUE!</v>
      </c>
      <c r="AF52" s="80">
        <f t="shared" si="13"/>
        <v>0</v>
      </c>
      <c r="AG52" s="31" t="e">
        <f t="shared" si="8"/>
        <v>#VALUE!</v>
      </c>
      <c r="AH52">
        <f t="shared" si="9"/>
        <v>0</v>
      </c>
      <c r="AI52" s="68">
        <f t="shared" si="10"/>
        <v>1.2118092944529462</v>
      </c>
      <c r="AJ52" s="68">
        <f t="shared" si="11"/>
        <v>0</v>
      </c>
      <c r="AK52" s="67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73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75">
        <v>7.2126364204528251E-5</v>
      </c>
      <c r="V53" s="74">
        <v>0.14795486485286347</v>
      </c>
      <c r="W53" s="2">
        <v>1.469739074729449E-2</v>
      </c>
      <c r="X53" s="75">
        <v>0</v>
      </c>
      <c r="Y53" s="2">
        <v>-1.9936522724189968E-4</v>
      </c>
      <c r="Z53" s="38">
        <v>3.8055846713397462E-5</v>
      </c>
      <c r="AA53" s="2">
        <v>1.5650999999999999</v>
      </c>
      <c r="AB53" s="2">
        <f t="shared" si="4"/>
        <v>0</v>
      </c>
      <c r="AC53" s="2" t="e">
        <f t="shared" si="5"/>
        <v>#VALUE!</v>
      </c>
      <c r="AD53" s="2">
        <f t="shared" si="6"/>
        <v>0</v>
      </c>
      <c r="AE53" s="79" t="e">
        <f t="shared" si="7"/>
        <v>#VALUE!</v>
      </c>
      <c r="AF53" s="80">
        <f t="shared" si="13"/>
        <v>0</v>
      </c>
      <c r="AG53" s="31" t="e">
        <f t="shared" si="8"/>
        <v>#VALUE!</v>
      </c>
      <c r="AH53">
        <f t="shared" si="9"/>
        <v>0</v>
      </c>
      <c r="AI53" s="68">
        <f t="shared" si="10"/>
        <v>0.72126364204528248</v>
      </c>
      <c r="AJ53" s="68">
        <f t="shared" si="11"/>
        <v>0</v>
      </c>
      <c r="AK53" s="67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73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75">
        <v>4.7341293692565039E-5</v>
      </c>
      <c r="V54" s="74">
        <v>0.16049229431017409</v>
      </c>
      <c r="W54" s="2">
        <v>9.3796575175678007E-3</v>
      </c>
      <c r="X54" s="75">
        <v>0.95954405647310892</v>
      </c>
      <c r="Y54" s="2">
        <v>-1.4693501410608861E-4</v>
      </c>
      <c r="Z54" s="38">
        <v>2.9477129578996312E-5</v>
      </c>
      <c r="AA54" s="2">
        <v>1.5650999999999999</v>
      </c>
      <c r="AB54" s="2">
        <f t="shared" si="4"/>
        <v>0</v>
      </c>
      <c r="AC54" s="2" t="e">
        <f t="shared" si="5"/>
        <v>#VALUE!</v>
      </c>
      <c r="AD54" s="2">
        <f t="shared" si="6"/>
        <v>0</v>
      </c>
      <c r="AE54" s="79" t="e">
        <f t="shared" si="7"/>
        <v>#VALUE!</v>
      </c>
      <c r="AF54" s="80">
        <f t="shared" si="13"/>
        <v>0</v>
      </c>
      <c r="AG54" s="31" t="e">
        <f t="shared" si="8"/>
        <v>#VALUE!</v>
      </c>
      <c r="AH54">
        <f t="shared" si="9"/>
        <v>0</v>
      </c>
      <c r="AI54" s="68">
        <f t="shared" si="10"/>
        <v>0.4734129369256504</v>
      </c>
      <c r="AJ54" s="68">
        <f t="shared" si="11"/>
        <v>0</v>
      </c>
      <c r="AK54" s="67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73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75">
        <v>3.8359639553938722E-5</v>
      </c>
      <c r="V55" s="74">
        <v>0.17518257615898847</v>
      </c>
      <c r="W55" s="2">
        <v>7.1224100425666325E-3</v>
      </c>
      <c r="X55" s="75">
        <v>0.96421830226224814</v>
      </c>
      <c r="Y55" s="2">
        <v>-1.252089076573424E-4</v>
      </c>
      <c r="Z55" s="38">
        <v>1.9665808409435485E-5</v>
      </c>
      <c r="AA55" s="2">
        <v>1.5650999999999999</v>
      </c>
      <c r="AB55" s="2">
        <f t="shared" si="4"/>
        <v>0</v>
      </c>
      <c r="AC55" s="2" t="e">
        <f t="shared" si="5"/>
        <v>#VALUE!</v>
      </c>
      <c r="AD55" s="2">
        <f t="shared" si="6"/>
        <v>0</v>
      </c>
      <c r="AE55" s="79" t="e">
        <f t="shared" si="7"/>
        <v>#VALUE!</v>
      </c>
      <c r="AF55" s="80">
        <f t="shared" si="13"/>
        <v>0</v>
      </c>
      <c r="AG55" s="31" t="e">
        <f t="shared" si="8"/>
        <v>#VALUE!</v>
      </c>
      <c r="AH55">
        <f t="shared" si="9"/>
        <v>0</v>
      </c>
      <c r="AI55" s="68">
        <f t="shared" si="10"/>
        <v>0.38359639553938724</v>
      </c>
      <c r="AJ55" s="68">
        <f t="shared" si="11"/>
        <v>0</v>
      </c>
      <c r="AK55" s="67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73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75">
        <v>3.3708268785229029E-5</v>
      </c>
      <c r="V56" s="74">
        <v>0.19202571039927818</v>
      </c>
      <c r="W56" s="2">
        <v>5.8332014101459308E-3</v>
      </c>
      <c r="X56" s="75">
        <v>0.93145623559933899</v>
      </c>
      <c r="Y56" s="2">
        <v>-1.1523321629706423E-4</v>
      </c>
      <c r="Z56" s="38">
        <v>1.9696361030800222E-5</v>
      </c>
      <c r="AA56" s="2">
        <v>1.5650999999999999</v>
      </c>
      <c r="AB56" s="2">
        <f t="shared" si="4"/>
        <v>0</v>
      </c>
      <c r="AC56" s="2" t="e">
        <f t="shared" si="5"/>
        <v>#VALUE!</v>
      </c>
      <c r="AD56" s="2">
        <f t="shared" si="6"/>
        <v>0</v>
      </c>
      <c r="AE56" s="79" t="e">
        <f t="shared" si="7"/>
        <v>#VALUE!</v>
      </c>
      <c r="AF56" s="80">
        <f t="shared" si="13"/>
        <v>0</v>
      </c>
      <c r="AG56" s="31" t="e">
        <f t="shared" si="8"/>
        <v>#VALUE!</v>
      </c>
      <c r="AH56">
        <f t="shared" si="9"/>
        <v>0</v>
      </c>
      <c r="AI56" s="68">
        <f t="shared" si="10"/>
        <v>0.33708268785229029</v>
      </c>
      <c r="AJ56" s="68">
        <f t="shared" si="11"/>
        <v>0</v>
      </c>
      <c r="AK56" s="67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73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75">
        <v>3.3406769725283334E-5</v>
      </c>
      <c r="V57" s="74">
        <v>0.21102169703104323</v>
      </c>
      <c r="W57" s="2">
        <v>5.3227665009588747E-3</v>
      </c>
      <c r="X57" s="75">
        <v>0.78354081495236994</v>
      </c>
      <c r="Y57" s="2">
        <v>-1.170610648750622E-4</v>
      </c>
      <c r="Z57" s="38">
        <v>1.9726854084051157E-5</v>
      </c>
      <c r="AA57" s="2">
        <v>1.5650999999999999</v>
      </c>
      <c r="AB57" s="2">
        <f t="shared" si="4"/>
        <v>0</v>
      </c>
      <c r="AC57" s="2" t="e">
        <f t="shared" si="5"/>
        <v>#VALUE!</v>
      </c>
      <c r="AD57" s="2">
        <f t="shared" si="6"/>
        <v>0</v>
      </c>
      <c r="AE57" s="79" t="e">
        <f t="shared" si="7"/>
        <v>#VALUE!</v>
      </c>
      <c r="AF57" s="80">
        <f t="shared" si="13"/>
        <v>0</v>
      </c>
      <c r="AG57" s="31" t="e">
        <f t="shared" si="8"/>
        <v>#VALUE!</v>
      </c>
      <c r="AH57">
        <f t="shared" si="9"/>
        <v>0</v>
      </c>
      <c r="AI57" s="68">
        <f t="shared" si="10"/>
        <v>0.33406769725283336</v>
      </c>
      <c r="AJ57" s="68">
        <f t="shared" si="11"/>
        <v>0</v>
      </c>
      <c r="AK57" s="67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73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75">
        <v>3.7474658669514331E-5</v>
      </c>
      <c r="V58" s="74">
        <v>0.23217053605428362</v>
      </c>
      <c r="W58" s="2">
        <v>5.4170141095194035E-3</v>
      </c>
      <c r="X58" s="75">
        <v>0.72296178194305927</v>
      </c>
      <c r="Y58" s="2">
        <v>-1.307453745865314E-4</v>
      </c>
      <c r="Z58" s="38">
        <v>1.9757283687926151E-5</v>
      </c>
      <c r="AA58" s="2">
        <v>1.5650999999999999</v>
      </c>
      <c r="AB58" s="2">
        <f t="shared" si="4"/>
        <v>0</v>
      </c>
      <c r="AC58" s="2" t="e">
        <f t="shared" si="5"/>
        <v>#VALUE!</v>
      </c>
      <c r="AD58" s="2">
        <f t="shared" si="6"/>
        <v>0</v>
      </c>
      <c r="AE58" s="79" t="e">
        <f t="shared" si="7"/>
        <v>#VALUE!</v>
      </c>
      <c r="AF58" s="80">
        <f t="shared" si="13"/>
        <v>0</v>
      </c>
      <c r="AG58" s="31" t="e">
        <f t="shared" si="8"/>
        <v>#VALUE!</v>
      </c>
      <c r="AH58">
        <f t="shared" si="9"/>
        <v>0</v>
      </c>
      <c r="AI58" s="68">
        <f t="shared" si="10"/>
        <v>0.37474658669514332</v>
      </c>
      <c r="AJ58" s="68">
        <f t="shared" si="11"/>
        <v>0</v>
      </c>
      <c r="AK58" s="67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73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75">
        <v>4.5931375836816548E-5</v>
      </c>
      <c r="V59" s="74">
        <v>0.25547222746899934</v>
      </c>
      <c r="W59" s="2">
        <v>5.9660562201696056E-3</v>
      </c>
      <c r="X59" s="75">
        <v>0.71397426698489763</v>
      </c>
      <c r="Y59" s="2">
        <v>-1.5633885042448125E-4</v>
      </c>
      <c r="Z59" s="38">
        <v>1.9787647163791068E-5</v>
      </c>
      <c r="AA59" s="2">
        <v>1.5650999999999999</v>
      </c>
      <c r="AB59" s="2">
        <f t="shared" si="4"/>
        <v>0</v>
      </c>
      <c r="AC59" s="2" t="e">
        <f t="shared" si="5"/>
        <v>#VALUE!</v>
      </c>
      <c r="AD59" s="2">
        <f t="shared" si="6"/>
        <v>0</v>
      </c>
      <c r="AE59" s="79" t="e">
        <f t="shared" si="7"/>
        <v>#VALUE!</v>
      </c>
      <c r="AF59" s="80">
        <f t="shared" si="13"/>
        <v>0</v>
      </c>
      <c r="AG59" s="31" t="e">
        <f t="shared" si="8"/>
        <v>#VALUE!</v>
      </c>
      <c r="AH59">
        <f t="shared" si="9"/>
        <v>0</v>
      </c>
      <c r="AI59" s="68">
        <f t="shared" si="10"/>
        <v>0.45931375836816546</v>
      </c>
      <c r="AJ59" s="68">
        <f t="shared" si="11"/>
        <v>0</v>
      </c>
      <c r="AK59" s="67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73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75">
        <v>5.879628266652186E-5</v>
      </c>
      <c r="V60" s="74">
        <v>0.2809267712752046</v>
      </c>
      <c r="W60" s="2">
        <v>6.8465843625261889E-3</v>
      </c>
      <c r="X60" s="75">
        <v>0.73228623779271962</v>
      </c>
      <c r="Y60" s="2">
        <v>-1.9389397205251652E-4</v>
      </c>
      <c r="Z60" s="38">
        <v>1.9817943043638273E-5</v>
      </c>
      <c r="AA60" s="2">
        <v>1.5650999999999999</v>
      </c>
      <c r="AB60" s="2">
        <f t="shared" si="4"/>
        <v>0</v>
      </c>
      <c r="AC60" s="2" t="e">
        <f t="shared" si="5"/>
        <v>#VALUE!</v>
      </c>
      <c r="AD60" s="2">
        <f t="shared" si="6"/>
        <v>0</v>
      </c>
      <c r="AE60" s="79" t="e">
        <f t="shared" si="7"/>
        <v>#VALUE!</v>
      </c>
      <c r="AF60" s="80">
        <f t="shared" si="13"/>
        <v>0</v>
      </c>
      <c r="AG60" s="31" t="e">
        <f t="shared" si="8"/>
        <v>#VALUE!</v>
      </c>
      <c r="AH60">
        <f t="shared" si="9"/>
        <v>0</v>
      </c>
      <c r="AI60" s="68">
        <f t="shared" si="10"/>
        <v>0.5879628266652186</v>
      </c>
      <c r="AJ60" s="68">
        <f t="shared" si="11"/>
        <v>0</v>
      </c>
      <c r="AK60" s="67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73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75">
        <v>7.6088660456964788E-5</v>
      </c>
      <c r="V61" s="74">
        <v>0.30853416747289941</v>
      </c>
      <c r="W61" s="2">
        <v>7.9604370634031359E-3</v>
      </c>
      <c r="X61" s="75">
        <v>0.76230536640109481</v>
      </c>
      <c r="Y61" s="2">
        <v>-2.4346298812732108E-4</v>
      </c>
      <c r="Z61" s="38">
        <v>1.9848171079106384E-5</v>
      </c>
      <c r="AA61" s="2">
        <v>1.5650999999999999</v>
      </c>
      <c r="AB61" s="2">
        <f t="shared" si="4"/>
        <v>0</v>
      </c>
      <c r="AC61" s="2" t="e">
        <f t="shared" si="5"/>
        <v>#VALUE!</v>
      </c>
      <c r="AD61" s="2">
        <f t="shared" si="6"/>
        <v>0</v>
      </c>
      <c r="AE61" s="79" t="e">
        <f t="shared" si="7"/>
        <v>#VALUE!</v>
      </c>
      <c r="AF61" s="80">
        <f t="shared" si="13"/>
        <v>0</v>
      </c>
      <c r="AG61" s="31" t="e">
        <f t="shared" si="8"/>
        <v>#VALUE!</v>
      </c>
      <c r="AH61">
        <f t="shared" si="9"/>
        <v>0</v>
      </c>
      <c r="AI61" s="68">
        <f t="shared" si="10"/>
        <v>0.76088660456964785</v>
      </c>
      <c r="AJ61" s="68">
        <f t="shared" si="11"/>
        <v>0</v>
      </c>
      <c r="AK61" s="67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73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75">
        <v>9.782771035915851E-5</v>
      </c>
      <c r="V62" s="74">
        <v>0.33829441606204114</v>
      </c>
      <c r="W62" s="2">
        <v>9.231386342049331E-3</v>
      </c>
      <c r="X62" s="75">
        <v>0.79460596919069038</v>
      </c>
      <c r="Y62" s="2">
        <v>-3.0509791410599559E-4</v>
      </c>
      <c r="Z62" s="38">
        <v>1.9878332249756179E-5</v>
      </c>
      <c r="AA62" s="2">
        <v>1.5650999999999999</v>
      </c>
      <c r="AB62" s="2">
        <f t="shared" si="4"/>
        <v>0</v>
      </c>
      <c r="AC62" s="2" t="e">
        <f t="shared" si="5"/>
        <v>#VALUE!</v>
      </c>
      <c r="AD62" s="2">
        <f t="shared" si="6"/>
        <v>0</v>
      </c>
      <c r="AE62" s="79" t="e">
        <f t="shared" si="7"/>
        <v>#VALUE!</v>
      </c>
      <c r="AF62" s="80">
        <f t="shared" si="13"/>
        <v>0</v>
      </c>
      <c r="AG62" s="31" t="e">
        <f t="shared" si="8"/>
        <v>#VALUE!</v>
      </c>
      <c r="AH62">
        <f t="shared" si="9"/>
        <v>0</v>
      </c>
      <c r="AI62" s="68">
        <f t="shared" si="10"/>
        <v>0.97827710359158515</v>
      </c>
      <c r="AJ62" s="68">
        <f t="shared" si="11"/>
        <v>0</v>
      </c>
      <c r="AK62" s="67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73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75">
        <v>1.2403255473835201E-4</v>
      </c>
      <c r="V63" s="74">
        <v>0.37020751704270083</v>
      </c>
      <c r="W63" s="2">
        <v>1.0601392863491977E-2</v>
      </c>
      <c r="X63" s="75">
        <v>0.82390910321157418</v>
      </c>
      <c r="Y63" s="2">
        <v>-3.7885053357087256E-4</v>
      </c>
      <c r="Z63" s="38">
        <v>3.3613221409952267E-5</v>
      </c>
      <c r="AA63" s="2">
        <v>1.5650999999999999</v>
      </c>
      <c r="AB63" s="2">
        <f t="shared" si="4"/>
        <v>0</v>
      </c>
      <c r="AC63" s="2" t="e">
        <f t="shared" si="5"/>
        <v>#VALUE!</v>
      </c>
      <c r="AD63" s="2">
        <f t="shared" si="6"/>
        <v>0</v>
      </c>
      <c r="AE63" s="79" t="e">
        <f t="shared" si="7"/>
        <v>#VALUE!</v>
      </c>
      <c r="AF63" s="80">
        <f t="shared" si="13"/>
        <v>0</v>
      </c>
      <c r="AG63" s="31" t="e">
        <f t="shared" si="8"/>
        <v>#VALUE!</v>
      </c>
      <c r="AH63">
        <f t="shared" si="9"/>
        <v>0</v>
      </c>
      <c r="AI63" s="68">
        <f t="shared" si="10"/>
        <v>1.2403255473835202</v>
      </c>
      <c r="AJ63" s="68">
        <f t="shared" si="11"/>
        <v>0</v>
      </c>
      <c r="AK63" s="67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73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75">
        <v>1.7095647955773504E-4</v>
      </c>
      <c r="V64" s="74">
        <v>0.40427347041482165</v>
      </c>
      <c r="W64" s="2">
        <v>1.3016096373638784E-2</v>
      </c>
      <c r="X64" s="75">
        <v>0.89656273865530178</v>
      </c>
      <c r="Y64" s="2">
        <v>-4.916201945875079E-4</v>
      </c>
      <c r="Z64" s="38">
        <v>3.8703956722565386E-5</v>
      </c>
      <c r="AA64" s="2">
        <v>1.5650999999999999</v>
      </c>
      <c r="AB64" s="2">
        <f t="shared" si="4"/>
        <v>0</v>
      </c>
      <c r="AC64" s="2" t="e">
        <f t="shared" si="5"/>
        <v>#VALUE!</v>
      </c>
      <c r="AD64" s="2">
        <f t="shared" si="6"/>
        <v>0</v>
      </c>
      <c r="AE64" s="79" t="e">
        <f t="shared" si="7"/>
        <v>#VALUE!</v>
      </c>
      <c r="AF64" s="80">
        <f t="shared" si="13"/>
        <v>0</v>
      </c>
      <c r="AG64" s="31" t="e">
        <f t="shared" si="8"/>
        <v>#VALUE!</v>
      </c>
      <c r="AH64">
        <f t="shared" si="9"/>
        <v>0</v>
      </c>
      <c r="AI64" s="68">
        <f t="shared" si="10"/>
        <v>1.7095647955773505</v>
      </c>
      <c r="AJ64" s="68">
        <f t="shared" si="11"/>
        <v>0</v>
      </c>
      <c r="AK64" s="67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73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75">
        <v>2.3165590829105819E-4</v>
      </c>
      <c r="V65" s="74">
        <v>0.44049227617840359</v>
      </c>
      <c r="W65" s="2">
        <v>1.5811261977233655E-2</v>
      </c>
      <c r="X65" s="75">
        <v>0.97073908073251758</v>
      </c>
      <c r="Y65" s="2">
        <v>-6.3194333685412407E-4</v>
      </c>
      <c r="Z65" s="38">
        <v>3.876200967410198E-5</v>
      </c>
      <c r="AA65" s="2">
        <v>1.5650999999999999</v>
      </c>
      <c r="AB65" s="2">
        <f t="shared" si="4"/>
        <v>0</v>
      </c>
      <c r="AC65" s="2" t="e">
        <f t="shared" si="5"/>
        <v>#VALUE!</v>
      </c>
      <c r="AD65" s="2">
        <f t="shared" si="6"/>
        <v>0</v>
      </c>
      <c r="AE65" s="79" t="e">
        <f t="shared" si="7"/>
        <v>#VALUE!</v>
      </c>
      <c r="AF65" s="80">
        <f t="shared" si="13"/>
        <v>0</v>
      </c>
      <c r="AG65" s="31" t="e">
        <f t="shared" si="8"/>
        <v>#VALUE!</v>
      </c>
      <c r="AH65">
        <f t="shared" si="9"/>
        <v>0</v>
      </c>
      <c r="AI65" s="68">
        <f t="shared" si="10"/>
        <v>2.3165590829105818</v>
      </c>
      <c r="AJ65" s="68">
        <f t="shared" si="11"/>
        <v>0</v>
      </c>
      <c r="AK65" s="67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125</v>
      </c>
      <c r="M66" s="73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75">
        <v>1.4024361866305218E-4</v>
      </c>
      <c r="V66" s="74">
        <v>0.10908946559042221</v>
      </c>
      <c r="W66" s="2">
        <v>-1.5048388587889306E-2</v>
      </c>
      <c r="X66" s="75">
        <v>0</v>
      </c>
      <c r="Y66" s="2">
        <v>-5.8744395122650194E-5</v>
      </c>
      <c r="Z66" s="38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79">
        <f t="shared" si="7"/>
        <v>0.63430555235617592</v>
      </c>
      <c r="AF66" s="80">
        <f t="shared" si="13"/>
        <v>0</v>
      </c>
      <c r="AG66" s="31">
        <f t="shared" si="8"/>
        <v>0.92612140796245124</v>
      </c>
      <c r="AH66">
        <f t="shared" si="9"/>
        <v>0</v>
      </c>
      <c r="AI66" s="68">
        <f t="shared" si="10"/>
        <v>1.4024361866305217</v>
      </c>
      <c r="AJ66" s="68">
        <f t="shared" si="11"/>
        <v>0</v>
      </c>
      <c r="AK66" s="67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125</v>
      </c>
      <c r="M67" s="73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75">
        <v>1.7091252918472518E-4</v>
      </c>
      <c r="V67" s="74">
        <v>0.10347358242750815</v>
      </c>
      <c r="W67" s="2">
        <v>-1.8909580693521087E-2</v>
      </c>
      <c r="X67" s="75">
        <v>0</v>
      </c>
      <c r="Y67" s="2">
        <v>-6.8065663889373048E-5</v>
      </c>
      <c r="Z67" s="38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79">
        <f t="shared" si="7"/>
        <v>0.88752533916318399</v>
      </c>
      <c r="AF67" s="80">
        <f t="shared" si="13"/>
        <v>0</v>
      </c>
      <c r="AG67" s="31">
        <f t="shared" si="8"/>
        <v>0.76691516158343986</v>
      </c>
      <c r="AH67">
        <f t="shared" si="9"/>
        <v>0</v>
      </c>
      <c r="AI67" s="68">
        <f t="shared" si="10"/>
        <v>1.7091252918472517</v>
      </c>
      <c r="AJ67" s="68">
        <f t="shared" si="11"/>
        <v>0</v>
      </c>
      <c r="AK67" s="67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125</v>
      </c>
      <c r="M68" s="73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75">
        <v>2.2087118979903026E-4</v>
      </c>
      <c r="V68" s="74">
        <v>9.8277391541415682E-2</v>
      </c>
      <c r="W68" s="2">
        <v>-2.485039263321118E-2</v>
      </c>
      <c r="X68" s="75">
        <v>0</v>
      </c>
      <c r="Y68" s="2">
        <v>-8.1461483749445217E-5</v>
      </c>
      <c r="Z68" s="38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79">
        <f t="shared" si="7"/>
        <v>1.2898867982641682</v>
      </c>
      <c r="AF68" s="80">
        <f t="shared" si="13"/>
        <v>0</v>
      </c>
      <c r="AG68" s="31">
        <f t="shared" si="8"/>
        <v>0.63153978984101478</v>
      </c>
      <c r="AH68">
        <f t="shared" si="9"/>
        <v>0</v>
      </c>
      <c r="AI68" s="68">
        <f t="shared" si="10"/>
        <v>2.2087118979903027</v>
      </c>
      <c r="AJ68" s="68">
        <f t="shared" si="11"/>
        <v>0</v>
      </c>
      <c r="AK68" s="67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125</v>
      </c>
      <c r="M69" s="73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75">
        <v>3.0525823040291824E-4</v>
      </c>
      <c r="V69" s="74">
        <v>9.3500892932148361E-2</v>
      </c>
      <c r="W69" s="2">
        <v>-3.4496333851781462E-2</v>
      </c>
      <c r="X69" s="75">
        <v>0</v>
      </c>
      <c r="Y69" s="2">
        <v>-1.0166154490831713E-4</v>
      </c>
      <c r="Z69" s="38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79">
        <f t="shared" si="7"/>
        <v>1.9374359000083829</v>
      </c>
      <c r="AF69" s="80">
        <f t="shared" si="13"/>
        <v>0</v>
      </c>
      <c r="AG69" s="31">
        <f t="shared" si="8"/>
        <v>0.52472210775013128</v>
      </c>
      <c r="AH69">
        <f t="shared" si="9"/>
        <v>0</v>
      </c>
      <c r="AI69" s="68">
        <f t="shared" si="10"/>
        <v>3.0525823040291824</v>
      </c>
      <c r="AJ69" s="68">
        <f t="shared" si="11"/>
        <v>0</v>
      </c>
      <c r="AK69" s="67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125</v>
      </c>
      <c r="M70" s="73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75">
        <v>4.2430784877228365E-4</v>
      </c>
      <c r="V70" s="74">
        <v>8.9144086599702632E-2</v>
      </c>
      <c r="W70" s="2">
        <v>-4.7955376057874304E-2</v>
      </c>
      <c r="X70" s="75">
        <v>0</v>
      </c>
      <c r="Y70" s="2">
        <v>-1.2692565479226184E-4</v>
      </c>
      <c r="Z70" s="38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79">
        <f t="shared" si="7"/>
        <v>2.9824741492593558</v>
      </c>
      <c r="AF70" s="80">
        <f t="shared" ref="AF70:AF101" si="17">IF(ISERR(AE70),0,AE70*M70)</f>
        <v>0</v>
      </c>
      <c r="AG70" s="31">
        <f t="shared" si="8"/>
        <v>0.42557168458201572</v>
      </c>
      <c r="AH70">
        <f t="shared" si="9"/>
        <v>0</v>
      </c>
      <c r="AI70" s="68">
        <f t="shared" si="10"/>
        <v>4.243078487722836</v>
      </c>
      <c r="AJ70" s="68">
        <f t="shared" si="11"/>
        <v>0</v>
      </c>
      <c r="AK70" s="67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125</v>
      </c>
      <c r="M71" s="73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75">
        <v>6.1686464319775445E-4</v>
      </c>
      <c r="V71" s="74">
        <v>8.5206972544082049E-2</v>
      </c>
      <c r="W71" s="2">
        <v>-6.889121112523823E-2</v>
      </c>
      <c r="X71" s="75">
        <v>0</v>
      </c>
      <c r="Y71" s="2">
        <v>-1.6176339292787062E-4</v>
      </c>
      <c r="Z71" s="38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79">
        <f t="shared" ref="AE71:AE125" si="21">BSGamma($AA$17,E71,D71,0.001,V71)</f>
        <v>4.648568035246786</v>
      </c>
      <c r="AF71" s="80">
        <f t="shared" si="17"/>
        <v>0</v>
      </c>
      <c r="AG71" s="31">
        <f t="shared" ref="AG71:AG125" si="22">IF(AE71 = 0,0,(Y71*-10000)/AE71)</f>
        <v>0.34798542626747386</v>
      </c>
      <c r="AH71">
        <f t="shared" ref="AH71:AH125" si="23">IF(F71="C",MAX(0,$AA$14-E71),MAX(0,E71-$AA$14))*10000</f>
        <v>0</v>
      </c>
      <c r="AI71" s="68">
        <f t="shared" ref="AI71:AI125" si="24">MAX(0,(U71*10000)-AH71)</f>
        <v>6.1686464319775443</v>
      </c>
      <c r="AJ71" s="68">
        <f t="shared" ref="AJ71:AJ125" si="25">AI71*M71</f>
        <v>0</v>
      </c>
      <c r="AK71" s="67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125</v>
      </c>
      <c r="M72" s="73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75">
        <v>9.375124077932583E-4</v>
      </c>
      <c r="V72" s="74">
        <v>8.1689550765279506E-2</v>
      </c>
      <c r="W72" s="2">
        <v>-0.1011482523224258</v>
      </c>
      <c r="X72" s="75">
        <v>0</v>
      </c>
      <c r="Y72" s="2">
        <v>-2.061677808913667E-4</v>
      </c>
      <c r="Z72" s="38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79">
        <f t="shared" si="21"/>
        <v>7.2183328365271553</v>
      </c>
      <c r="AF72" s="80">
        <f t="shared" si="17"/>
        <v>0</v>
      </c>
      <c r="AG72" s="31">
        <f t="shared" si="22"/>
        <v>0.28561689459384504</v>
      </c>
      <c r="AH72">
        <f t="shared" si="23"/>
        <v>0</v>
      </c>
      <c r="AI72" s="68">
        <f t="shared" si="24"/>
        <v>9.3751240779325826</v>
      </c>
      <c r="AJ72" s="68">
        <f t="shared" si="25"/>
        <v>0</v>
      </c>
      <c r="AK72" s="67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125</v>
      </c>
      <c r="M73" s="73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75">
        <v>1.416978241784104E-3</v>
      </c>
      <c r="V73" s="74">
        <v>7.8591821263305661E-2</v>
      </c>
      <c r="W73" s="2">
        <v>-0.14660509614944628</v>
      </c>
      <c r="X73" s="75">
        <v>0</v>
      </c>
      <c r="Y73" s="2">
        <v>-2.5777221457805126E-4</v>
      </c>
      <c r="Z73" s="38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79">
        <f t="shared" si="21"/>
        <v>10.946242744063969</v>
      </c>
      <c r="AF73" s="80">
        <f t="shared" si="17"/>
        <v>0</v>
      </c>
      <c r="AG73" s="31">
        <f t="shared" si="22"/>
        <v>0.23548921817747773</v>
      </c>
      <c r="AH73">
        <f t="shared" si="23"/>
        <v>0</v>
      </c>
      <c r="AI73" s="68">
        <f t="shared" si="24"/>
        <v>14.16978241784104</v>
      </c>
      <c r="AJ73" s="68">
        <f t="shared" si="25"/>
        <v>0</v>
      </c>
      <c r="AK73" s="67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125</v>
      </c>
      <c r="M74" s="73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75">
        <v>2.6000000070780516E-3</v>
      </c>
      <c r="V74" s="74">
        <v>8.2106750773082798E-2</v>
      </c>
      <c r="W74" s="2">
        <v>-0.22845899713945739</v>
      </c>
      <c r="X74" s="75">
        <v>0</v>
      </c>
      <c r="Y74" s="2">
        <v>-3.5504937711312948E-4</v>
      </c>
      <c r="Z74" s="38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79">
        <f t="shared" si="21"/>
        <v>15.767026579246666</v>
      </c>
      <c r="AF74" s="80">
        <f t="shared" si="17"/>
        <v>0</v>
      </c>
      <c r="AG74" s="31">
        <f t="shared" si="22"/>
        <v>0.22518473938546085</v>
      </c>
      <c r="AH74">
        <f t="shared" si="23"/>
        <v>0</v>
      </c>
      <c r="AI74" s="68">
        <f t="shared" si="24"/>
        <v>26.000000070780516</v>
      </c>
      <c r="AJ74" s="68">
        <f t="shared" si="25"/>
        <v>0</v>
      </c>
      <c r="AK74" s="67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125</v>
      </c>
      <c r="M75" s="73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75">
        <v>3.7000000011175871E-3</v>
      </c>
      <c r="V75" s="74">
        <v>7.8934224134678738E-2</v>
      </c>
      <c r="W75" s="2">
        <v>-0.30734476741151529</v>
      </c>
      <c r="X75" s="75">
        <v>0</v>
      </c>
      <c r="Y75" s="2">
        <v>-3.9760947845931372E-4</v>
      </c>
      <c r="Z75" s="38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79">
        <f t="shared" si="21"/>
        <v>20.553349914767818</v>
      </c>
      <c r="AF75" s="80">
        <f t="shared" si="17"/>
        <v>0</v>
      </c>
      <c r="AG75" s="31">
        <f t="shared" si="22"/>
        <v>0.19345239589076754</v>
      </c>
      <c r="AH75">
        <f t="shared" si="23"/>
        <v>0</v>
      </c>
      <c r="AI75" s="68">
        <f t="shared" si="24"/>
        <v>37.000000011175871</v>
      </c>
      <c r="AJ75" s="68">
        <f t="shared" si="25"/>
        <v>0</v>
      </c>
      <c r="AK75" s="67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125</v>
      </c>
      <c r="M76" s="73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75">
        <v>5.2999998442828655E-3</v>
      </c>
      <c r="V76" s="74">
        <v>7.6751744999702859E-2</v>
      </c>
      <c r="W76" s="2">
        <v>-0.40536358511188464</v>
      </c>
      <c r="X76" s="75">
        <v>0</v>
      </c>
      <c r="Y76" s="2">
        <v>-4.2732813817634654E-4</v>
      </c>
      <c r="Z76" s="38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79">
        <f t="shared" si="21"/>
        <v>24.671845776984629</v>
      </c>
      <c r="AF76" s="80">
        <f t="shared" si="17"/>
        <v>0</v>
      </c>
      <c r="AG76" s="31">
        <f t="shared" si="22"/>
        <v>0.17320477034392934</v>
      </c>
      <c r="AH76">
        <f t="shared" si="23"/>
        <v>0</v>
      </c>
      <c r="AI76" s="68">
        <f t="shared" si="24"/>
        <v>52.999998442828655</v>
      </c>
      <c r="AJ76" s="68">
        <f t="shared" si="25"/>
        <v>0</v>
      </c>
      <c r="AK76" s="67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125</v>
      </c>
      <c r="M77" s="73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75">
        <v>7.4000000022351742E-3</v>
      </c>
      <c r="V77" s="74">
        <v>7.4396303419425852E-2</v>
      </c>
      <c r="W77" s="2">
        <v>-0.5158690329125325</v>
      </c>
      <c r="X77" s="75">
        <v>0</v>
      </c>
      <c r="Y77" s="2">
        <v>-4.2621403421939149E-4</v>
      </c>
      <c r="Z77" s="38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79">
        <f t="shared" si="21"/>
        <v>26.978028151692275</v>
      </c>
      <c r="AF77" s="80">
        <f t="shared" si="17"/>
        <v>0</v>
      </c>
      <c r="AG77" s="31">
        <f t="shared" si="22"/>
        <v>0.1579856140051718</v>
      </c>
      <c r="AH77">
        <f t="shared" si="23"/>
        <v>0</v>
      </c>
      <c r="AI77" s="68">
        <f t="shared" si="24"/>
        <v>74.000000022351742</v>
      </c>
      <c r="AJ77" s="68">
        <f t="shared" si="25"/>
        <v>0</v>
      </c>
      <c r="AK77" s="67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125</v>
      </c>
      <c r="M78" s="73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75">
        <v>9.849963790279654E-3</v>
      </c>
      <c r="V78" s="74">
        <v>6.9398557905767433E-2</v>
      </c>
      <c r="W78" s="2">
        <v>-0.63690171392061634</v>
      </c>
      <c r="X78" s="75">
        <v>0</v>
      </c>
      <c r="Y78" s="2">
        <v>-3.7354043882210003E-4</v>
      </c>
      <c r="Z78" s="38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79">
        <f t="shared" si="21"/>
        <v>27.219618558653107</v>
      </c>
      <c r="AF78" s="80">
        <f t="shared" si="17"/>
        <v>0</v>
      </c>
      <c r="AG78" s="31">
        <f t="shared" si="22"/>
        <v>0.13723206224113366</v>
      </c>
      <c r="AH78">
        <f t="shared" si="23"/>
        <v>49.000000000001265</v>
      </c>
      <c r="AI78" s="68">
        <f t="shared" si="24"/>
        <v>49.499637902795271</v>
      </c>
      <c r="AJ78" s="68">
        <f t="shared" si="25"/>
        <v>0</v>
      </c>
      <c r="AK78" s="67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125</v>
      </c>
      <c r="M79" s="73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75">
        <v>1.3283389033889077E-2</v>
      </c>
      <c r="V79" s="74">
        <v>6.881898206473025E-2</v>
      </c>
      <c r="W79" s="2">
        <v>-0.74548194298778125</v>
      </c>
      <c r="X79" s="75">
        <v>0</v>
      </c>
      <c r="Y79" s="2">
        <v>-3.1622184771077586E-4</v>
      </c>
      <c r="Z79" s="38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79">
        <f t="shared" si="21"/>
        <v>22.583244688203539</v>
      </c>
      <c r="AF79" s="80">
        <f t="shared" si="17"/>
        <v>0</v>
      </c>
      <c r="AG79" s="31">
        <f t="shared" si="22"/>
        <v>0.14002498404312813</v>
      </c>
      <c r="AH79">
        <f t="shared" si="23"/>
        <v>99.000000000000199</v>
      </c>
      <c r="AI79" s="68">
        <f t="shared" si="24"/>
        <v>33.833890338890569</v>
      </c>
      <c r="AJ79" s="68">
        <f t="shared" si="25"/>
        <v>0</v>
      </c>
      <c r="AK79" s="67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125</v>
      </c>
      <c r="M80" s="73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75">
        <v>1.7238446061206374E-2</v>
      </c>
      <c r="V80" s="74">
        <v>6.8659098500514659E-2</v>
      </c>
      <c r="W80" s="2">
        <v>-0.83383467431171088</v>
      </c>
      <c r="X80" s="75">
        <v>0</v>
      </c>
      <c r="Y80" s="2">
        <v>-2.4504692679877814E-4</v>
      </c>
      <c r="Z80" s="38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79">
        <f t="shared" si="21"/>
        <v>16.307230721454378</v>
      </c>
      <c r="AF80" s="80">
        <f t="shared" si="17"/>
        <v>0</v>
      </c>
      <c r="AG80" s="31">
        <f t="shared" si="22"/>
        <v>0.15026887825680027</v>
      </c>
      <c r="AH80">
        <f t="shared" si="23"/>
        <v>149.00000000000136</v>
      </c>
      <c r="AI80" s="68">
        <f t="shared" si="24"/>
        <v>23.384460612062384</v>
      </c>
      <c r="AJ80" s="68">
        <f t="shared" si="25"/>
        <v>0</v>
      </c>
      <c r="AK80" s="67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125</v>
      </c>
      <c r="M81" s="73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75">
        <v>2.1592768441763846E-2</v>
      </c>
      <c r="V81" s="74">
        <v>6.8918907213120661E-2</v>
      </c>
      <c r="W81" s="2">
        <v>-0.89843898729750027</v>
      </c>
      <c r="X81" s="75">
        <v>0.31230709313196536</v>
      </c>
      <c r="Y81" s="2">
        <v>-1.7512937547703081E-4</v>
      </c>
      <c r="Z81" s="38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79">
        <f t="shared" si="21"/>
        <v>10.365697229834311</v>
      </c>
      <c r="AF81" s="80">
        <f t="shared" si="17"/>
        <v>0</v>
      </c>
      <c r="AG81" s="31">
        <f t="shared" si="22"/>
        <v>0.16895088829430352</v>
      </c>
      <c r="AH81">
        <f t="shared" si="23"/>
        <v>199.00000000000028</v>
      </c>
      <c r="AI81" s="68">
        <f t="shared" si="24"/>
        <v>16.927684417638176</v>
      </c>
      <c r="AJ81" s="68">
        <f t="shared" si="25"/>
        <v>0</v>
      </c>
      <c r="AK81" s="67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125</v>
      </c>
      <c r="M82" s="73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75">
        <v>2.6221137682861727E-2</v>
      </c>
      <c r="V82" s="74">
        <v>6.9598408202555362E-2</v>
      </c>
      <c r="W82" s="2">
        <v>-0.941242699965532</v>
      </c>
      <c r="X82" s="75">
        <v>1.4557493288944705E-10</v>
      </c>
      <c r="Y82" s="2">
        <v>-1.1700372223668011E-4</v>
      </c>
      <c r="Z82" s="38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79">
        <f t="shared" si="21"/>
        <v>5.9191029213285846</v>
      </c>
      <c r="AF82" s="80">
        <f t="shared" si="17"/>
        <v>0</v>
      </c>
      <c r="AG82" s="31">
        <f t="shared" si="22"/>
        <v>0.19767137654436626</v>
      </c>
      <c r="AH82">
        <f t="shared" si="23"/>
        <v>249.00000000000145</v>
      </c>
      <c r="AI82" s="68">
        <f t="shared" si="24"/>
        <v>13.21137682861584</v>
      </c>
      <c r="AJ82" s="68">
        <f t="shared" si="25"/>
        <v>0</v>
      </c>
      <c r="AK82" s="67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125</v>
      </c>
      <c r="M83" s="73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75">
        <v>3.101912880198604E-2</v>
      </c>
      <c r="V83" s="74">
        <v>7.0697601468808102E-2</v>
      </c>
      <c r="W83" s="2">
        <v>-0.96735155062787792</v>
      </c>
      <c r="X83" s="75">
        <v>0.95512081462560372</v>
      </c>
      <c r="Y83" s="2">
        <v>-7.4427053950772829E-5</v>
      </c>
      <c r="Z83" s="38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79">
        <f t="shared" si="21"/>
        <v>3.119939934847078</v>
      </c>
      <c r="AF83" s="80">
        <f t="shared" si="17"/>
        <v>0</v>
      </c>
      <c r="AG83" s="31">
        <f t="shared" si="22"/>
        <v>0.23855284237842489</v>
      </c>
      <c r="AH83">
        <f t="shared" si="23"/>
        <v>299.0000000000004</v>
      </c>
      <c r="AI83" s="68">
        <f t="shared" si="24"/>
        <v>11.191288019859996</v>
      </c>
      <c r="AJ83" s="68">
        <f t="shared" si="25"/>
        <v>0</v>
      </c>
      <c r="AK83" s="67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125</v>
      </c>
      <c r="M84" s="73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75">
        <v>3.5913001313962231E-2</v>
      </c>
      <c r="V84" s="74">
        <v>7.2216487011885988E-2</v>
      </c>
      <c r="W84" s="2">
        <v>-0.98238765674169393</v>
      </c>
      <c r="X84" s="75">
        <v>8.8368733316568249E-2</v>
      </c>
      <c r="Y84" s="2">
        <v>-4.5882789192456088E-5</v>
      </c>
      <c r="Z84" s="38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79">
        <f t="shared" si="21"/>
        <v>1.5660080366976274</v>
      </c>
      <c r="AF84" s="80">
        <f t="shared" si="17"/>
        <v>0</v>
      </c>
      <c r="AG84" s="31">
        <f t="shared" si="22"/>
        <v>0.29299204165780002</v>
      </c>
      <c r="AH84">
        <f t="shared" si="23"/>
        <v>349.00000000000153</v>
      </c>
      <c r="AI84" s="68">
        <f t="shared" si="24"/>
        <v>10.130013139620758</v>
      </c>
      <c r="AJ84" s="68">
        <f t="shared" si="25"/>
        <v>0</v>
      </c>
      <c r="AK84" s="67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125</v>
      </c>
      <c r="M85" s="73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75">
        <v>4.0857647090208234E-2</v>
      </c>
      <c r="V85" s="74">
        <v>7.4155064831785467E-2</v>
      </c>
      <c r="W85" s="2">
        <v>-0.99081709690255992</v>
      </c>
      <c r="X85" s="75">
        <v>0.96871027631197282</v>
      </c>
      <c r="Y85" s="2">
        <v>-2.7631934819026774E-5</v>
      </c>
      <c r="Z85" s="38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79">
        <f t="shared" si="21"/>
        <v>0.77283153011488925</v>
      </c>
      <c r="AF85" s="80">
        <f t="shared" si="17"/>
        <v>0</v>
      </c>
      <c r="AG85" s="31">
        <f t="shared" si="22"/>
        <v>0.35754150474320068</v>
      </c>
      <c r="AH85">
        <f t="shared" si="23"/>
        <v>399.00000000000045</v>
      </c>
      <c r="AI85" s="68">
        <f t="shared" si="24"/>
        <v>9.5764709020818941</v>
      </c>
      <c r="AJ85" s="68">
        <f t="shared" si="25"/>
        <v>0</v>
      </c>
      <c r="AK85" s="67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125</v>
      </c>
      <c r="M86" s="73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75">
        <v>4.5831666032853526E-2</v>
      </c>
      <c r="V86" s="74">
        <v>7.6513334928510091E-2</v>
      </c>
      <c r="W86" s="2">
        <v>-0.99506620802919665</v>
      </c>
      <c r="X86" s="75">
        <v>0.89302224548306097</v>
      </c>
      <c r="Y86" s="2">
        <v>-1.7196847431938451E-5</v>
      </c>
      <c r="Z86" s="38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79">
        <f t="shared" si="21"/>
        <v>0.38637157942115008</v>
      </c>
      <c r="AF86" s="80">
        <f t="shared" si="17"/>
        <v>0</v>
      </c>
      <c r="AG86" s="31">
        <f t="shared" si="22"/>
        <v>0.44508572441332861</v>
      </c>
      <c r="AH86">
        <f t="shared" si="23"/>
        <v>449.00000000000159</v>
      </c>
      <c r="AI86" s="68">
        <f t="shared" si="24"/>
        <v>9.3166603285336578</v>
      </c>
      <c r="AJ86" s="68">
        <f t="shared" si="25"/>
        <v>0</v>
      </c>
      <c r="AK86" s="67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125</v>
      </c>
      <c r="M87" s="73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75">
        <v>5.0818822908783166E-2</v>
      </c>
      <c r="V87" s="74">
        <v>7.9291297302056307E-2</v>
      </c>
      <c r="W87" s="2">
        <v>-0.99725158365350686</v>
      </c>
      <c r="X87" s="75">
        <v>0.55577517275093047</v>
      </c>
      <c r="Y87" s="2">
        <v>-1.1360915932008898E-5</v>
      </c>
      <c r="Z87" s="38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79">
        <f t="shared" si="21"/>
        <v>0.20075488680675285</v>
      </c>
      <c r="AF87" s="80">
        <f t="shared" si="17"/>
        <v>0</v>
      </c>
      <c r="AG87" s="31">
        <f t="shared" si="22"/>
        <v>0.56590980736349117</v>
      </c>
      <c r="AH87">
        <f t="shared" si="23"/>
        <v>499.00000000000057</v>
      </c>
      <c r="AI87" s="68">
        <f t="shared" si="24"/>
        <v>9.1882290878310755</v>
      </c>
      <c r="AJ87" s="68">
        <f t="shared" si="25"/>
        <v>0</v>
      </c>
      <c r="AK87" s="67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125</v>
      </c>
      <c r="M88" s="73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75">
        <v>5.5810241044231573E-2</v>
      </c>
      <c r="V88" s="74">
        <v>8.2488951952424117E-2</v>
      </c>
      <c r="W88" s="2">
        <v>-0.99872032790875331</v>
      </c>
      <c r="X88" s="75">
        <v>0.32862269706191033</v>
      </c>
      <c r="Y88" s="2">
        <v>-7.1170250806483598E-6</v>
      </c>
      <c r="Z88" s="38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79">
        <f t="shared" si="21"/>
        <v>0.11058674456662299</v>
      </c>
      <c r="AF88" s="80">
        <f t="shared" si="17"/>
        <v>0</v>
      </c>
      <c r="AG88" s="31">
        <f t="shared" si="22"/>
        <v>0.64356945387434816</v>
      </c>
      <c r="AH88">
        <f t="shared" si="23"/>
        <v>549.00000000000171</v>
      </c>
      <c r="AI88" s="68">
        <f t="shared" si="24"/>
        <v>9.102410442314067</v>
      </c>
      <c r="AJ88" s="68">
        <f t="shared" si="25"/>
        <v>0</v>
      </c>
      <c r="AK88" s="67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125</v>
      </c>
      <c r="M89" s="73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75">
        <v>6.080730140755982E-2</v>
      </c>
      <c r="V89" s="74">
        <v>8.6106298879613519E-2</v>
      </c>
      <c r="W89" s="2">
        <v>-0.99927152965490784</v>
      </c>
      <c r="X89" s="75">
        <v>0.23426743885702728</v>
      </c>
      <c r="Y89" s="2">
        <v>-5.4134136970684019E-6</v>
      </c>
      <c r="Z89" s="38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79">
        <f t="shared" si="21"/>
        <v>6.5471991380473285E-2</v>
      </c>
      <c r="AF89" s="80">
        <f t="shared" si="17"/>
        <v>0</v>
      </c>
      <c r="AG89" s="31">
        <f t="shared" si="22"/>
        <v>0.82682893599642782</v>
      </c>
      <c r="AH89">
        <f t="shared" si="23"/>
        <v>599.00000000000068</v>
      </c>
      <c r="AI89" s="68">
        <f t="shared" si="24"/>
        <v>9.0730140755974844</v>
      </c>
      <c r="AJ89" s="68">
        <f t="shared" si="25"/>
        <v>0</v>
      </c>
      <c r="AK89" s="67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125</v>
      </c>
      <c r="M90" s="73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75">
        <v>6.5805048176177078E-2</v>
      </c>
      <c r="V90" s="74">
        <v>9.0143338083628066E-2</v>
      </c>
      <c r="W90" s="2">
        <v>-0.99968592676117185</v>
      </c>
      <c r="X90" s="75">
        <v>0.16573057236891009</v>
      </c>
      <c r="Y90" s="2">
        <v>-4.0743950792055731E-6</v>
      </c>
      <c r="Z90" s="38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79">
        <f t="shared" si="21"/>
        <v>4.1982351810892229E-2</v>
      </c>
      <c r="AF90" s="80">
        <f t="shared" si="17"/>
        <v>0</v>
      </c>
      <c r="AG90" s="31">
        <f t="shared" si="22"/>
        <v>0.97050186648868975</v>
      </c>
      <c r="AH90">
        <f t="shared" si="23"/>
        <v>648.99999999999955</v>
      </c>
      <c r="AI90" s="68">
        <f t="shared" si="24"/>
        <v>9.0504817617712661</v>
      </c>
      <c r="AJ90" s="68">
        <f t="shared" si="25"/>
        <v>0</v>
      </c>
      <c r="AK90" s="67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125</v>
      </c>
      <c r="M91" s="73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75">
        <v>7.0803294364885874E-2</v>
      </c>
      <c r="V91" s="74">
        <v>9.4600069564467759E-2</v>
      </c>
      <c r="W91" s="2">
        <v>-0.999999999999999</v>
      </c>
      <c r="X91" s="75">
        <v>0.11570355845254587</v>
      </c>
      <c r="Y91" s="2">
        <v>-2.9997405643752208E-6</v>
      </c>
      <c r="Z91" s="38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79">
        <f t="shared" si="21"/>
        <v>2.9228555375860422E-2</v>
      </c>
      <c r="AF91" s="80">
        <f t="shared" si="17"/>
        <v>0</v>
      </c>
      <c r="AG91" s="31">
        <f t="shared" si="22"/>
        <v>1.0263047645702932</v>
      </c>
      <c r="AH91">
        <f t="shared" si="23"/>
        <v>699.00000000000068</v>
      </c>
      <c r="AI91" s="68">
        <f t="shared" si="24"/>
        <v>9.0329436488580086</v>
      </c>
      <c r="AJ91" s="68">
        <f t="shared" si="25"/>
        <v>0</v>
      </c>
      <c r="AK91" s="67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125</v>
      </c>
      <c r="M92" s="73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75">
        <v>7.5802867299009688E-2</v>
      </c>
      <c r="V92" s="74">
        <v>9.9476493322129045E-2</v>
      </c>
      <c r="W92" s="2">
        <v>-0.999999999999999</v>
      </c>
      <c r="X92" s="75">
        <v>9.717201547329514E-2</v>
      </c>
      <c r="Y92" s="2">
        <v>-2.7195614108035901E-6</v>
      </c>
      <c r="Z92" s="38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79">
        <f t="shared" si="21"/>
        <v>2.2055765639346737E-2</v>
      </c>
      <c r="AF92" s="80">
        <f t="shared" si="17"/>
        <v>0</v>
      </c>
      <c r="AG92" s="31">
        <f t="shared" si="22"/>
        <v>1.2330387687616633</v>
      </c>
      <c r="AH92">
        <f t="shared" si="23"/>
        <v>749.00000000000193</v>
      </c>
      <c r="AI92" s="68">
        <f t="shared" si="24"/>
        <v>9.0286729900949467</v>
      </c>
      <c r="AJ92" s="68">
        <f t="shared" si="25"/>
        <v>0</v>
      </c>
      <c r="AK92" s="67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125</v>
      </c>
      <c r="M93" s="73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75">
        <v>8.0802648662578025E-2</v>
      </c>
      <c r="V93" s="74">
        <v>0.10477260935661192</v>
      </c>
      <c r="W93" s="2">
        <v>-0.999999999999999</v>
      </c>
      <c r="X93" s="75">
        <v>8.4850529324475107E-2</v>
      </c>
      <c r="Y93" s="2">
        <v>-2.5857661098615359E-6</v>
      </c>
      <c r="Z93" s="38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79">
        <f t="shared" si="21"/>
        <v>1.7952005887158576E-2</v>
      </c>
      <c r="AF93" s="80">
        <f t="shared" si="17"/>
        <v>0</v>
      </c>
      <c r="AG93" s="31">
        <f t="shared" si="22"/>
        <v>1.4403772626384808</v>
      </c>
      <c r="AH93">
        <f t="shared" si="23"/>
        <v>799.0000000000008</v>
      </c>
      <c r="AI93" s="68">
        <f t="shared" si="24"/>
        <v>9.0264866257793983</v>
      </c>
      <c r="AJ93" s="68">
        <f t="shared" si="25"/>
        <v>0</v>
      </c>
      <c r="AK93" s="67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125</v>
      </c>
      <c r="M94" s="73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75">
        <v>8.5802592579225401E-2</v>
      </c>
      <c r="V94" s="74">
        <v>0.11048841766791995</v>
      </c>
      <c r="W94" s="2">
        <v>-0.999999999999999</v>
      </c>
      <c r="X94" s="75">
        <v>7.6854006162068209E-2</v>
      </c>
      <c r="Y94" s="2">
        <v>-2.5755545616893304E-6</v>
      </c>
      <c r="Z94" s="38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79">
        <f t="shared" si="21"/>
        <v>1.5652900362701106E-2</v>
      </c>
      <c r="AF94" s="80">
        <f t="shared" si="17"/>
        <v>0</v>
      </c>
      <c r="AG94" s="31">
        <f t="shared" si="22"/>
        <v>1.645416825003597</v>
      </c>
      <c r="AH94">
        <f t="shared" si="23"/>
        <v>848.99999999999977</v>
      </c>
      <c r="AI94" s="68">
        <f t="shared" si="24"/>
        <v>9.0259257922542702</v>
      </c>
      <c r="AJ94" s="68">
        <f t="shared" si="25"/>
        <v>0</v>
      </c>
      <c r="AK94" s="67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125</v>
      </c>
      <c r="M95" s="73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75">
        <v>9.0802697769349655E-2</v>
      </c>
      <c r="V95" s="74">
        <v>0.11662391825604956</v>
      </c>
      <c r="W95" s="2">
        <v>-0.999999999999999</v>
      </c>
      <c r="X95" s="75">
        <v>7.2216037511528886E-2</v>
      </c>
      <c r="Y95" s="2">
        <v>-2.6899540681410207E-6</v>
      </c>
      <c r="Z95" s="38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79">
        <f t="shared" si="21"/>
        <v>1.4503985611099472E-2</v>
      </c>
      <c r="AF95" s="80">
        <f t="shared" si="17"/>
        <v>0</v>
      </c>
      <c r="AG95" s="31">
        <f t="shared" si="22"/>
        <v>1.8546309547373503</v>
      </c>
      <c r="AH95">
        <f t="shared" si="23"/>
        <v>899.00000000000091</v>
      </c>
      <c r="AI95" s="68">
        <f t="shared" si="24"/>
        <v>9.0269776934956099</v>
      </c>
      <c r="AJ95" s="68">
        <f t="shared" si="25"/>
        <v>0</v>
      </c>
      <c r="AK95" s="67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125</v>
      </c>
      <c r="M96" s="73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75">
        <v>5.4319785196485774E-2</v>
      </c>
      <c r="V96" s="74">
        <v>0.10723529180589253</v>
      </c>
      <c r="W96" s="2">
        <v>0.98707203057288928</v>
      </c>
      <c r="X96" s="75">
        <v>0</v>
      </c>
      <c r="Y96" s="2">
        <v>-5.2469350336438748E-5</v>
      </c>
      <c r="Z96" s="38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79">
        <f t="shared" si="21"/>
        <v>0.57412003519343957</v>
      </c>
      <c r="AF96" s="80">
        <f t="shared" si="17"/>
        <v>0</v>
      </c>
      <c r="AG96" s="31">
        <f t="shared" si="22"/>
        <v>0.91390906291504226</v>
      </c>
      <c r="AH96">
        <f t="shared" si="23"/>
        <v>550.99999999999932</v>
      </c>
      <c r="AI96" s="68">
        <f t="shared" si="24"/>
        <v>0</v>
      </c>
      <c r="AJ96" s="68">
        <f t="shared" si="25"/>
        <v>0</v>
      </c>
      <c r="AK96" s="67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125</v>
      </c>
      <c r="M97" s="73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75">
        <v>4.9356611380239168E-2</v>
      </c>
      <c r="V97" s="74">
        <v>0.10224471891346454</v>
      </c>
      <c r="W97" s="2">
        <v>0.98271392014671832</v>
      </c>
      <c r="X97" s="75">
        <v>0</v>
      </c>
      <c r="Y97" s="2">
        <v>-6.3812852870000851E-5</v>
      </c>
      <c r="Z97" s="38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79">
        <f t="shared" si="21"/>
        <v>0.83396264261532693</v>
      </c>
      <c r="AF97" s="80">
        <f t="shared" si="17"/>
        <v>0</v>
      </c>
      <c r="AG97" s="31">
        <f t="shared" si="22"/>
        <v>0.76517639531049264</v>
      </c>
      <c r="AH97">
        <f t="shared" si="23"/>
        <v>501.00000000000034</v>
      </c>
      <c r="AI97" s="68">
        <f t="shared" si="24"/>
        <v>0</v>
      </c>
      <c r="AJ97" s="68">
        <f t="shared" si="25"/>
        <v>0</v>
      </c>
      <c r="AK97" s="67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125</v>
      </c>
      <c r="M98" s="73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75">
        <v>4.440670335962453E-2</v>
      </c>
      <c r="V98" s="74">
        <v>9.7579074379925856E-2</v>
      </c>
      <c r="W98" s="2">
        <v>0.9767743652221681</v>
      </c>
      <c r="X98" s="75">
        <v>0</v>
      </c>
      <c r="Y98" s="2">
        <v>-7.8007163637898805E-5</v>
      </c>
      <c r="Z98" s="38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79">
        <f t="shared" si="21"/>
        <v>1.2488462492093453</v>
      </c>
      <c r="AF98" s="80">
        <f t="shared" si="17"/>
        <v>0</v>
      </c>
      <c r="AG98" s="31">
        <f t="shared" si="22"/>
        <v>0.62463384653864129</v>
      </c>
      <c r="AH98">
        <f t="shared" si="23"/>
        <v>450.9999999999992</v>
      </c>
      <c r="AI98" s="68">
        <f t="shared" si="24"/>
        <v>0</v>
      </c>
      <c r="AJ98" s="68">
        <f t="shared" si="25"/>
        <v>0</v>
      </c>
      <c r="AK98" s="67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125</v>
      </c>
      <c r="M99" s="73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75">
        <v>3.9498694572012154E-2</v>
      </c>
      <c r="V99" s="74">
        <v>9.3238358205276484E-2</v>
      </c>
      <c r="W99" s="2">
        <v>0.96650233880327663</v>
      </c>
      <c r="X99" s="75">
        <v>0</v>
      </c>
      <c r="Y99" s="2">
        <v>-1.0021199337090616E-4</v>
      </c>
      <c r="Z99" s="38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79">
        <f t="shared" si="21"/>
        <v>1.9168569331935386</v>
      </c>
      <c r="AF99" s="80">
        <f t="shared" si="17"/>
        <v>0</v>
      </c>
      <c r="AG99" s="31">
        <f t="shared" si="22"/>
        <v>0.52279328538072012</v>
      </c>
      <c r="AH99">
        <f t="shared" si="23"/>
        <v>401.00000000000023</v>
      </c>
      <c r="AI99" s="68">
        <f t="shared" si="24"/>
        <v>0</v>
      </c>
      <c r="AJ99" s="68">
        <f t="shared" si="25"/>
        <v>0</v>
      </c>
      <c r="AK99" s="67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125</v>
      </c>
      <c r="M100" s="73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75">
        <v>3.4624608160590938E-2</v>
      </c>
      <c r="V100" s="74">
        <v>8.9222570389523526E-2</v>
      </c>
      <c r="W100" s="2">
        <v>0.95251170745195557</v>
      </c>
      <c r="X100" s="75">
        <v>0</v>
      </c>
      <c r="Y100" s="2">
        <v>-1.271536281950097E-4</v>
      </c>
      <c r="Z100" s="38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79">
        <f t="shared" si="21"/>
        <v>2.9904025310550573</v>
      </c>
      <c r="AF100" s="80">
        <f t="shared" si="17"/>
        <v>0</v>
      </c>
      <c r="AG100" s="31">
        <f t="shared" si="22"/>
        <v>0.42520572690308706</v>
      </c>
      <c r="AH100">
        <f t="shared" si="23"/>
        <v>350.99999999999909</v>
      </c>
      <c r="AI100" s="68">
        <f t="shared" si="24"/>
        <v>0</v>
      </c>
      <c r="AJ100" s="68">
        <f t="shared" si="25"/>
        <v>0</v>
      </c>
      <c r="AK100" s="67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125</v>
      </c>
      <c r="M101" s="73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75">
        <v>2.9824240434176308E-2</v>
      </c>
      <c r="V101" s="74">
        <v>8.5531710932656324E-2</v>
      </c>
      <c r="W101" s="2">
        <v>0.93109328133273772</v>
      </c>
      <c r="X101" s="75">
        <v>0</v>
      </c>
      <c r="Y101" s="2">
        <v>-1.6345104842675119E-4</v>
      </c>
      <c r="Z101" s="38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79">
        <f t="shared" si="21"/>
        <v>4.687883315662531</v>
      </c>
      <c r="AF101" s="80">
        <f t="shared" si="17"/>
        <v>0</v>
      </c>
      <c r="AG101" s="31">
        <f t="shared" si="22"/>
        <v>0.34866705807427062</v>
      </c>
      <c r="AH101">
        <f t="shared" si="23"/>
        <v>301.00000000000017</v>
      </c>
      <c r="AI101" s="68">
        <f t="shared" si="24"/>
        <v>0</v>
      </c>
      <c r="AJ101" s="68">
        <f t="shared" si="25"/>
        <v>0</v>
      </c>
      <c r="AK101" s="67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125</v>
      </c>
      <c r="M102" s="73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75">
        <v>2.5155949349616805E-2</v>
      </c>
      <c r="V102" s="74">
        <v>8.2165779834681985E-2</v>
      </c>
      <c r="W102" s="2">
        <v>0.89819873517080717</v>
      </c>
      <c r="X102" s="75">
        <v>0</v>
      </c>
      <c r="Y102" s="2">
        <v>-2.0917589293509284E-4</v>
      </c>
      <c r="Z102" s="38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79">
        <f t="shared" si="21"/>
        <v>7.278144141128764</v>
      </c>
      <c r="AF102" s="80">
        <f t="shared" ref="AF102:AF125" si="26">IF(ISERR(AE102),0,AE102*M102)</f>
        <v>0</v>
      </c>
      <c r="AG102" s="31">
        <f t="shared" si="22"/>
        <v>0.28740278961094035</v>
      </c>
      <c r="AH102">
        <f t="shared" si="23"/>
        <v>250.99999999999901</v>
      </c>
      <c r="AI102" s="68">
        <f t="shared" si="24"/>
        <v>0.55949349616903987</v>
      </c>
      <c r="AJ102" s="68">
        <f t="shared" si="25"/>
        <v>0</v>
      </c>
      <c r="AK102" s="67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125</v>
      </c>
      <c r="M103" s="73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75">
        <v>2.0646510785923843E-2</v>
      </c>
      <c r="V103" s="74">
        <v>7.9124777095596954E-2</v>
      </c>
      <c r="W103" s="2">
        <v>0.85232660263713667</v>
      </c>
      <c r="X103" s="75">
        <v>0</v>
      </c>
      <c r="Y103" s="2">
        <v>-2.6134138565999206E-4</v>
      </c>
      <c r="Z103" s="38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79">
        <f t="shared" si="21"/>
        <v>10.995936082646931</v>
      </c>
      <c r="AF103" s="80">
        <f t="shared" si="26"/>
        <v>0</v>
      </c>
      <c r="AG103" s="31">
        <f t="shared" si="22"/>
        <v>0.2376708846756794</v>
      </c>
      <c r="AH103">
        <f t="shared" si="23"/>
        <v>201.00000000000006</v>
      </c>
      <c r="AI103" s="68">
        <f t="shared" si="24"/>
        <v>5.4651078592383726</v>
      </c>
      <c r="AJ103" s="68">
        <f t="shared" si="25"/>
        <v>0</v>
      </c>
      <c r="AK103" s="67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125</v>
      </c>
      <c r="M104" s="73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75">
        <v>1.7200000584125519E-2</v>
      </c>
      <c r="V104" s="74">
        <v>8.7588735445913224E-2</v>
      </c>
      <c r="W104" s="2">
        <v>0.75726981248408365</v>
      </c>
      <c r="X104" s="75">
        <v>0</v>
      </c>
      <c r="Y104" s="2">
        <v>-3.9156215779300965E-4</v>
      </c>
      <c r="Z104" s="38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79">
        <f t="shared" si="21"/>
        <v>15.578274110218999</v>
      </c>
      <c r="AF104" s="80">
        <f t="shared" si="26"/>
        <v>0</v>
      </c>
      <c r="AG104" s="31">
        <f t="shared" si="22"/>
        <v>0.25135143663710069</v>
      </c>
      <c r="AH104">
        <f t="shared" si="23"/>
        <v>150.99999999999892</v>
      </c>
      <c r="AI104" s="68">
        <f t="shared" si="24"/>
        <v>21.000005841256268</v>
      </c>
      <c r="AJ104" s="68">
        <f t="shared" si="25"/>
        <v>0</v>
      </c>
      <c r="AK104" s="67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125</v>
      </c>
      <c r="M105" s="73"/>
      <c r="N105" s="2"/>
      <c r="O105" s="2"/>
      <c r="P105" s="2"/>
      <c r="Q105" s="2"/>
      <c r="R105" s="2"/>
      <c r="S105" s="2"/>
      <c r="T105" s="2"/>
      <c r="U105" s="75"/>
      <c r="V105" s="74"/>
      <c r="W105" s="2"/>
      <c r="X105" s="75"/>
      <c r="Y105" s="2"/>
      <c r="Z105" s="38"/>
      <c r="AA105" s="2"/>
      <c r="AB105" s="2">
        <f t="shared" si="18"/>
        <v>0</v>
      </c>
      <c r="AC105" s="2" t="e">
        <f t="shared" si="19"/>
        <v>#VALUE!</v>
      </c>
      <c r="AD105" s="2">
        <f t="shared" si="20"/>
        <v>0</v>
      </c>
      <c r="AE105" s="79" t="e">
        <f t="shared" si="21"/>
        <v>#VALUE!</v>
      </c>
      <c r="AF105" s="80">
        <f t="shared" si="26"/>
        <v>0</v>
      </c>
      <c r="AG105" s="31" t="e">
        <f t="shared" si="22"/>
        <v>#VALUE!</v>
      </c>
      <c r="AH105">
        <f t="shared" si="23"/>
        <v>100.99999999999997</v>
      </c>
      <c r="AI105" s="68">
        <f t="shared" si="24"/>
        <v>0</v>
      </c>
      <c r="AJ105" s="68">
        <f t="shared" si="25"/>
        <v>0</v>
      </c>
      <c r="AK105" s="67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125</v>
      </c>
      <c r="M106" s="73"/>
      <c r="N106" s="2"/>
      <c r="O106" s="2"/>
      <c r="P106" s="2"/>
      <c r="Q106" s="2"/>
      <c r="R106" s="2"/>
      <c r="S106" s="2"/>
      <c r="T106" s="2"/>
      <c r="U106" s="75"/>
      <c r="V106" s="74"/>
      <c r="W106" s="2"/>
      <c r="X106" s="75"/>
      <c r="Y106" s="2"/>
      <c r="Z106" s="38"/>
      <c r="AA106" s="2"/>
      <c r="AB106" s="2">
        <f t="shared" si="18"/>
        <v>0</v>
      </c>
      <c r="AC106" s="2" t="e">
        <f t="shared" si="19"/>
        <v>#VALUE!</v>
      </c>
      <c r="AD106" s="2">
        <f t="shared" si="20"/>
        <v>0</v>
      </c>
      <c r="AE106" s="79" t="e">
        <f t="shared" si="21"/>
        <v>#VALUE!</v>
      </c>
      <c r="AF106" s="80">
        <f t="shared" si="26"/>
        <v>0</v>
      </c>
      <c r="AG106" s="31" t="e">
        <f t="shared" si="22"/>
        <v>#VALUE!</v>
      </c>
      <c r="AH106">
        <f t="shared" si="23"/>
        <v>50.99999999999882</v>
      </c>
      <c r="AI106" s="68">
        <f t="shared" si="24"/>
        <v>0</v>
      </c>
      <c r="AJ106" s="68">
        <f t="shared" si="25"/>
        <v>0</v>
      </c>
      <c r="AK106" s="67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125</v>
      </c>
      <c r="M107" s="73"/>
      <c r="N107" s="2"/>
      <c r="O107" s="2"/>
      <c r="P107" s="2"/>
      <c r="Q107" s="2"/>
      <c r="R107" s="2"/>
      <c r="S107" s="2"/>
      <c r="T107" s="2"/>
      <c r="U107" s="75"/>
      <c r="V107" s="74"/>
      <c r="W107" s="2"/>
      <c r="X107" s="75"/>
      <c r="Y107" s="2"/>
      <c r="Z107" s="38"/>
      <c r="AA107" s="2"/>
      <c r="AB107" s="2">
        <f t="shared" si="18"/>
        <v>0</v>
      </c>
      <c r="AC107" s="2" t="e">
        <f t="shared" si="19"/>
        <v>#VALUE!</v>
      </c>
      <c r="AD107" s="2">
        <f t="shared" si="20"/>
        <v>0</v>
      </c>
      <c r="AE107" s="79" t="e">
        <f t="shared" si="21"/>
        <v>#VALUE!</v>
      </c>
      <c r="AF107" s="80">
        <f t="shared" si="26"/>
        <v>0</v>
      </c>
      <c r="AG107" s="31" t="e">
        <f t="shared" si="22"/>
        <v>#VALUE!</v>
      </c>
      <c r="AH107">
        <f t="shared" si="23"/>
        <v>0.99999999999988987</v>
      </c>
      <c r="AI107" s="68">
        <f t="shared" si="24"/>
        <v>0</v>
      </c>
      <c r="AJ107" s="68">
        <f t="shared" si="25"/>
        <v>0</v>
      </c>
      <c r="AK107" s="67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125</v>
      </c>
      <c r="M108" s="73"/>
      <c r="N108" s="2"/>
      <c r="O108" s="2"/>
      <c r="P108" s="2"/>
      <c r="Q108" s="2"/>
      <c r="R108" s="2"/>
      <c r="S108" s="2"/>
      <c r="T108" s="2"/>
      <c r="U108" s="75"/>
      <c r="V108" s="74"/>
      <c r="W108" s="2"/>
      <c r="X108" s="75"/>
      <c r="Y108" s="2"/>
      <c r="Z108" s="38"/>
      <c r="AA108" s="2"/>
      <c r="AB108" s="2">
        <f t="shared" si="18"/>
        <v>0</v>
      </c>
      <c r="AC108" s="2" t="e">
        <f t="shared" si="19"/>
        <v>#VALUE!</v>
      </c>
      <c r="AD108" s="2">
        <f t="shared" si="20"/>
        <v>0</v>
      </c>
      <c r="AE108" s="79" t="e">
        <f t="shared" si="21"/>
        <v>#VALUE!</v>
      </c>
      <c r="AF108" s="80">
        <f t="shared" si="26"/>
        <v>0</v>
      </c>
      <c r="AG108" s="31" t="e">
        <f t="shared" si="22"/>
        <v>#VALUE!</v>
      </c>
      <c r="AH108">
        <f t="shared" si="23"/>
        <v>0</v>
      </c>
      <c r="AI108" s="68">
        <f t="shared" si="24"/>
        <v>0</v>
      </c>
      <c r="AJ108" s="68">
        <f t="shared" si="25"/>
        <v>0</v>
      </c>
      <c r="AK108" s="67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125</v>
      </c>
      <c r="M109" s="73"/>
      <c r="N109" s="2"/>
      <c r="O109" s="2"/>
      <c r="P109" s="2"/>
      <c r="Q109" s="2"/>
      <c r="R109" s="2"/>
      <c r="S109" s="2"/>
      <c r="T109" s="2"/>
      <c r="U109" s="75"/>
      <c r="V109" s="74"/>
      <c r="W109" s="2"/>
      <c r="X109" s="75"/>
      <c r="Y109" s="2"/>
      <c r="Z109" s="38"/>
      <c r="AA109" s="2"/>
      <c r="AB109" s="2">
        <f t="shared" si="18"/>
        <v>0</v>
      </c>
      <c r="AC109" s="2" t="e">
        <f t="shared" si="19"/>
        <v>#VALUE!</v>
      </c>
      <c r="AD109" s="2">
        <f t="shared" si="20"/>
        <v>0</v>
      </c>
      <c r="AE109" s="79" t="e">
        <f t="shared" si="21"/>
        <v>#VALUE!</v>
      </c>
      <c r="AF109" s="80">
        <f t="shared" si="26"/>
        <v>0</v>
      </c>
      <c r="AG109" s="31" t="e">
        <f t="shared" si="22"/>
        <v>#VALUE!</v>
      </c>
      <c r="AH109">
        <f t="shared" si="23"/>
        <v>0</v>
      </c>
      <c r="AI109" s="68">
        <f t="shared" si="24"/>
        <v>0</v>
      </c>
      <c r="AJ109" s="68">
        <f t="shared" si="25"/>
        <v>0</v>
      </c>
      <c r="AK109" s="67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125</v>
      </c>
      <c r="M110" s="73"/>
      <c r="N110" s="2"/>
      <c r="O110" s="2"/>
      <c r="P110" s="2"/>
      <c r="Q110" s="2"/>
      <c r="R110" s="2"/>
      <c r="S110" s="2"/>
      <c r="T110" s="2"/>
      <c r="U110" s="75"/>
      <c r="V110" s="74"/>
      <c r="W110" s="2"/>
      <c r="X110" s="75"/>
      <c r="Y110" s="2"/>
      <c r="Z110" s="38"/>
      <c r="AA110" s="2"/>
      <c r="AB110" s="2">
        <f t="shared" si="18"/>
        <v>0</v>
      </c>
      <c r="AC110" s="2" t="e">
        <f t="shared" si="19"/>
        <v>#VALUE!</v>
      </c>
      <c r="AD110" s="2">
        <f t="shared" si="20"/>
        <v>0</v>
      </c>
      <c r="AE110" s="79" t="e">
        <f t="shared" si="21"/>
        <v>#VALUE!</v>
      </c>
      <c r="AF110" s="80">
        <f t="shared" si="26"/>
        <v>0</v>
      </c>
      <c r="AG110" s="31" t="e">
        <f t="shared" si="22"/>
        <v>#VALUE!</v>
      </c>
      <c r="AH110">
        <f t="shared" si="23"/>
        <v>0</v>
      </c>
      <c r="AI110" s="68">
        <f t="shared" si="24"/>
        <v>0</v>
      </c>
      <c r="AJ110" s="68">
        <f t="shared" si="25"/>
        <v>0</v>
      </c>
      <c r="AK110" s="67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125</v>
      </c>
      <c r="M111" s="73"/>
      <c r="N111" s="2"/>
      <c r="O111" s="2"/>
      <c r="P111" s="2"/>
      <c r="Q111" s="2"/>
      <c r="R111" s="2"/>
      <c r="S111" s="2"/>
      <c r="T111" s="2"/>
      <c r="U111" s="75"/>
      <c r="V111" s="74"/>
      <c r="W111" s="2"/>
      <c r="X111" s="75"/>
      <c r="Y111" s="2"/>
      <c r="Z111" s="38"/>
      <c r="AA111" s="2"/>
      <c r="AB111" s="2">
        <f t="shared" si="18"/>
        <v>0</v>
      </c>
      <c r="AC111" s="2" t="e">
        <f t="shared" si="19"/>
        <v>#VALUE!</v>
      </c>
      <c r="AD111" s="2">
        <f t="shared" si="20"/>
        <v>0</v>
      </c>
      <c r="AE111" s="79" t="e">
        <f t="shared" si="21"/>
        <v>#VALUE!</v>
      </c>
      <c r="AF111" s="80">
        <f t="shared" si="26"/>
        <v>0</v>
      </c>
      <c r="AG111" s="31" t="e">
        <f t="shared" si="22"/>
        <v>#VALUE!</v>
      </c>
      <c r="AH111">
        <f t="shared" si="23"/>
        <v>0</v>
      </c>
      <c r="AI111" s="68">
        <f t="shared" si="24"/>
        <v>0</v>
      </c>
      <c r="AJ111" s="68">
        <f t="shared" si="25"/>
        <v>0</v>
      </c>
      <c r="AK111" s="67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125</v>
      </c>
      <c r="M112" s="73"/>
      <c r="N112" s="2"/>
      <c r="O112" s="2"/>
      <c r="P112" s="2"/>
      <c r="Q112" s="2"/>
      <c r="R112" s="2"/>
      <c r="S112" s="2"/>
      <c r="T112" s="2"/>
      <c r="U112" s="75"/>
      <c r="V112" s="74"/>
      <c r="W112" s="2"/>
      <c r="X112" s="75"/>
      <c r="Y112" s="2"/>
      <c r="Z112" s="38"/>
      <c r="AA112" s="2"/>
      <c r="AB112" s="2">
        <f t="shared" si="18"/>
        <v>0</v>
      </c>
      <c r="AC112" s="2" t="e">
        <f t="shared" si="19"/>
        <v>#VALUE!</v>
      </c>
      <c r="AD112" s="2">
        <f t="shared" si="20"/>
        <v>0</v>
      </c>
      <c r="AE112" s="79" t="e">
        <f t="shared" si="21"/>
        <v>#VALUE!</v>
      </c>
      <c r="AF112" s="80">
        <f t="shared" si="26"/>
        <v>0</v>
      </c>
      <c r="AG112" s="31" t="e">
        <f t="shared" si="22"/>
        <v>#VALUE!</v>
      </c>
      <c r="AH112">
        <f t="shared" si="23"/>
        <v>0</v>
      </c>
      <c r="AI112" s="68">
        <f t="shared" si="24"/>
        <v>0</v>
      </c>
      <c r="AJ112" s="68">
        <f t="shared" si="25"/>
        <v>0</v>
      </c>
      <c r="AK112" s="67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125</v>
      </c>
      <c r="M113" s="73"/>
      <c r="N113" s="2"/>
      <c r="O113" s="2"/>
      <c r="P113" s="2"/>
      <c r="Q113" s="2"/>
      <c r="R113" s="2"/>
      <c r="S113" s="2"/>
      <c r="T113" s="2"/>
      <c r="U113" s="75"/>
      <c r="V113" s="74"/>
      <c r="W113" s="2"/>
      <c r="X113" s="75"/>
      <c r="Y113" s="2"/>
      <c r="Z113" s="38"/>
      <c r="AA113" s="2"/>
      <c r="AB113" s="2">
        <f t="shared" si="18"/>
        <v>0</v>
      </c>
      <c r="AC113" s="2" t="e">
        <f t="shared" si="19"/>
        <v>#VALUE!</v>
      </c>
      <c r="AD113" s="2">
        <f t="shared" si="20"/>
        <v>0</v>
      </c>
      <c r="AE113" s="79" t="e">
        <f t="shared" si="21"/>
        <v>#VALUE!</v>
      </c>
      <c r="AF113" s="80">
        <f t="shared" si="26"/>
        <v>0</v>
      </c>
      <c r="AG113" s="31" t="e">
        <f t="shared" si="22"/>
        <v>#VALUE!</v>
      </c>
      <c r="AH113">
        <f t="shared" si="23"/>
        <v>0</v>
      </c>
      <c r="AI113" s="68">
        <f t="shared" si="24"/>
        <v>0</v>
      </c>
      <c r="AJ113" s="68">
        <f t="shared" si="25"/>
        <v>0</v>
      </c>
      <c r="AK113" s="67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125</v>
      </c>
      <c r="M114" s="73"/>
      <c r="N114" s="2"/>
      <c r="O114" s="2"/>
      <c r="P114" s="2"/>
      <c r="Q114" s="2"/>
      <c r="R114" s="2"/>
      <c r="S114" s="2"/>
      <c r="T114" s="2"/>
      <c r="U114" s="75"/>
      <c r="V114" s="74"/>
      <c r="W114" s="2"/>
      <c r="X114" s="75"/>
      <c r="Y114" s="2"/>
      <c r="Z114" s="38"/>
      <c r="AA114" s="2"/>
      <c r="AB114" s="2">
        <f t="shared" si="18"/>
        <v>0</v>
      </c>
      <c r="AC114" s="2" t="e">
        <f t="shared" si="19"/>
        <v>#VALUE!</v>
      </c>
      <c r="AD114" s="2">
        <f t="shared" si="20"/>
        <v>0</v>
      </c>
      <c r="AE114" s="79" t="e">
        <f t="shared" si="21"/>
        <v>#VALUE!</v>
      </c>
      <c r="AF114" s="80">
        <f t="shared" si="26"/>
        <v>0</v>
      </c>
      <c r="AG114" s="31" t="e">
        <f t="shared" si="22"/>
        <v>#VALUE!</v>
      </c>
      <c r="AH114">
        <f t="shared" si="23"/>
        <v>0</v>
      </c>
      <c r="AI114" s="68">
        <f t="shared" si="24"/>
        <v>0</v>
      </c>
      <c r="AJ114" s="68">
        <f t="shared" si="25"/>
        <v>0</v>
      </c>
      <c r="AK114" s="67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125</v>
      </c>
      <c r="M115" s="73"/>
      <c r="N115" s="2"/>
      <c r="O115" s="2"/>
      <c r="P115" s="2"/>
      <c r="Q115" s="2"/>
      <c r="R115" s="2"/>
      <c r="S115" s="2"/>
      <c r="T115" s="2"/>
      <c r="U115" s="75"/>
      <c r="V115" s="74"/>
      <c r="W115" s="2"/>
      <c r="X115" s="75"/>
      <c r="Y115" s="2"/>
      <c r="Z115" s="38"/>
      <c r="AA115" s="2"/>
      <c r="AB115" s="2">
        <f t="shared" si="18"/>
        <v>0</v>
      </c>
      <c r="AC115" s="2" t="e">
        <f t="shared" si="19"/>
        <v>#VALUE!</v>
      </c>
      <c r="AD115" s="2">
        <f t="shared" si="20"/>
        <v>0</v>
      </c>
      <c r="AE115" s="79" t="e">
        <f t="shared" si="21"/>
        <v>#VALUE!</v>
      </c>
      <c r="AF115" s="80">
        <f t="shared" si="26"/>
        <v>0</v>
      </c>
      <c r="AG115" s="31" t="e">
        <f t="shared" si="22"/>
        <v>#VALUE!</v>
      </c>
      <c r="AH115">
        <f t="shared" si="23"/>
        <v>0</v>
      </c>
      <c r="AI115" s="68">
        <f t="shared" si="24"/>
        <v>0</v>
      </c>
      <c r="AJ115" s="68">
        <f t="shared" si="25"/>
        <v>0</v>
      </c>
      <c r="AK115" s="67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125</v>
      </c>
      <c r="M116" s="73"/>
      <c r="N116" s="2"/>
      <c r="O116" s="2"/>
      <c r="P116" s="2"/>
      <c r="Q116" s="2"/>
      <c r="R116" s="2"/>
      <c r="S116" s="2"/>
      <c r="T116" s="2"/>
      <c r="U116" s="75"/>
      <c r="V116" s="74"/>
      <c r="W116" s="2"/>
      <c r="X116" s="75"/>
      <c r="Y116" s="2"/>
      <c r="Z116" s="38"/>
      <c r="AA116" s="2"/>
      <c r="AB116" s="2">
        <f t="shared" si="18"/>
        <v>0</v>
      </c>
      <c r="AC116" s="2" t="e">
        <f t="shared" si="19"/>
        <v>#VALUE!</v>
      </c>
      <c r="AD116" s="2">
        <f t="shared" si="20"/>
        <v>0</v>
      </c>
      <c r="AE116" s="79" t="e">
        <f t="shared" si="21"/>
        <v>#VALUE!</v>
      </c>
      <c r="AF116" s="80">
        <f t="shared" si="26"/>
        <v>0</v>
      </c>
      <c r="AG116" s="31" t="e">
        <f t="shared" si="22"/>
        <v>#VALUE!</v>
      </c>
      <c r="AH116">
        <f t="shared" si="23"/>
        <v>0</v>
      </c>
      <c r="AI116" s="68">
        <f t="shared" si="24"/>
        <v>0</v>
      </c>
      <c r="AJ116" s="68">
        <f t="shared" si="25"/>
        <v>0</v>
      </c>
      <c r="AK116" s="67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125</v>
      </c>
      <c r="M117" s="73"/>
      <c r="N117" s="2"/>
      <c r="O117" s="2"/>
      <c r="P117" s="2"/>
      <c r="Q117" s="2"/>
      <c r="R117" s="2"/>
      <c r="S117" s="2"/>
      <c r="T117" s="2"/>
      <c r="U117" s="75"/>
      <c r="V117" s="74"/>
      <c r="W117" s="2"/>
      <c r="X117" s="75"/>
      <c r="Y117" s="2"/>
      <c r="Z117" s="38"/>
      <c r="AA117" s="2"/>
      <c r="AB117" s="2">
        <f t="shared" si="18"/>
        <v>0</v>
      </c>
      <c r="AC117" s="2" t="e">
        <f t="shared" si="19"/>
        <v>#VALUE!</v>
      </c>
      <c r="AD117" s="2">
        <f t="shared" si="20"/>
        <v>0</v>
      </c>
      <c r="AE117" s="79" t="e">
        <f t="shared" si="21"/>
        <v>#VALUE!</v>
      </c>
      <c r="AF117" s="80">
        <f t="shared" si="26"/>
        <v>0</v>
      </c>
      <c r="AG117" s="31" t="e">
        <f t="shared" si="22"/>
        <v>#VALUE!</v>
      </c>
      <c r="AH117">
        <f t="shared" si="23"/>
        <v>0</v>
      </c>
      <c r="AI117" s="68">
        <f t="shared" si="24"/>
        <v>0</v>
      </c>
      <c r="AJ117" s="68">
        <f t="shared" si="25"/>
        <v>0</v>
      </c>
      <c r="AK117" s="67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125</v>
      </c>
      <c r="M118" s="73"/>
      <c r="N118" s="2"/>
      <c r="O118" s="2"/>
      <c r="P118" s="2"/>
      <c r="Q118" s="2"/>
      <c r="R118" s="2"/>
      <c r="S118" s="2"/>
      <c r="T118" s="2"/>
      <c r="U118" s="75"/>
      <c r="V118" s="74"/>
      <c r="W118" s="2"/>
      <c r="X118" s="75"/>
      <c r="Y118" s="2"/>
      <c r="Z118" s="38"/>
      <c r="AA118" s="2"/>
      <c r="AB118" s="2">
        <f t="shared" si="18"/>
        <v>0</v>
      </c>
      <c r="AC118" s="2" t="e">
        <f t="shared" si="19"/>
        <v>#VALUE!</v>
      </c>
      <c r="AD118" s="2">
        <f t="shared" si="20"/>
        <v>0</v>
      </c>
      <c r="AE118" s="79" t="e">
        <f t="shared" si="21"/>
        <v>#VALUE!</v>
      </c>
      <c r="AF118" s="80">
        <f t="shared" si="26"/>
        <v>0</v>
      </c>
      <c r="AG118" s="31" t="e">
        <f t="shared" si="22"/>
        <v>#VALUE!</v>
      </c>
      <c r="AH118">
        <f t="shared" si="23"/>
        <v>0</v>
      </c>
      <c r="AI118" s="68">
        <f t="shared" si="24"/>
        <v>0</v>
      </c>
      <c r="AJ118" s="68">
        <f t="shared" si="25"/>
        <v>0</v>
      </c>
      <c r="AK118" s="67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125</v>
      </c>
      <c r="M119" s="73"/>
      <c r="N119" s="2"/>
      <c r="O119" s="2"/>
      <c r="P119" s="2"/>
      <c r="Q119" s="2"/>
      <c r="R119" s="2"/>
      <c r="S119" s="2"/>
      <c r="T119" s="2"/>
      <c r="U119" s="75"/>
      <c r="V119" s="74"/>
      <c r="W119" s="2"/>
      <c r="X119" s="75"/>
      <c r="Y119" s="2"/>
      <c r="Z119" s="38"/>
      <c r="AA119" s="2"/>
      <c r="AB119" s="2">
        <f t="shared" si="18"/>
        <v>0</v>
      </c>
      <c r="AC119" s="2" t="e">
        <f t="shared" si="19"/>
        <v>#VALUE!</v>
      </c>
      <c r="AD119" s="2">
        <f t="shared" si="20"/>
        <v>0</v>
      </c>
      <c r="AE119" s="79" t="e">
        <f t="shared" si="21"/>
        <v>#VALUE!</v>
      </c>
      <c r="AF119" s="80">
        <f t="shared" si="26"/>
        <v>0</v>
      </c>
      <c r="AG119" s="31" t="e">
        <f t="shared" si="22"/>
        <v>#VALUE!</v>
      </c>
      <c r="AH119">
        <f t="shared" si="23"/>
        <v>0</v>
      </c>
      <c r="AI119" s="68">
        <f t="shared" si="24"/>
        <v>0</v>
      </c>
      <c r="AJ119" s="68">
        <f t="shared" si="25"/>
        <v>0</v>
      </c>
      <c r="AK119" s="67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125</v>
      </c>
      <c r="M120" s="73"/>
      <c r="N120" s="2"/>
      <c r="O120" s="2"/>
      <c r="P120" s="2"/>
      <c r="Q120" s="2"/>
      <c r="R120" s="2"/>
      <c r="S120" s="2"/>
      <c r="T120" s="2"/>
      <c r="U120" s="75"/>
      <c r="V120" s="74"/>
      <c r="W120" s="2"/>
      <c r="X120" s="75"/>
      <c r="Y120" s="2"/>
      <c r="Z120" s="38"/>
      <c r="AA120" s="2"/>
      <c r="AB120" s="2">
        <f t="shared" si="18"/>
        <v>0</v>
      </c>
      <c r="AC120" s="2" t="e">
        <f t="shared" si="19"/>
        <v>#VALUE!</v>
      </c>
      <c r="AD120" s="2">
        <f t="shared" si="20"/>
        <v>0</v>
      </c>
      <c r="AE120" s="79" t="e">
        <f t="shared" si="21"/>
        <v>#VALUE!</v>
      </c>
      <c r="AF120" s="80">
        <f t="shared" si="26"/>
        <v>0</v>
      </c>
      <c r="AG120" s="31" t="e">
        <f t="shared" si="22"/>
        <v>#VALUE!</v>
      </c>
      <c r="AH120">
        <f t="shared" si="23"/>
        <v>0</v>
      </c>
      <c r="AI120" s="68">
        <f t="shared" si="24"/>
        <v>0</v>
      </c>
      <c r="AJ120" s="68">
        <f t="shared" si="25"/>
        <v>0</v>
      </c>
      <c r="AK120" s="67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125</v>
      </c>
      <c r="M121" s="73"/>
      <c r="N121" s="2"/>
      <c r="O121" s="2"/>
      <c r="P121" s="2"/>
      <c r="Q121" s="2"/>
      <c r="R121" s="2"/>
      <c r="S121" s="2"/>
      <c r="T121" s="2"/>
      <c r="U121" s="75"/>
      <c r="V121" s="74"/>
      <c r="W121" s="2"/>
      <c r="X121" s="75"/>
      <c r="Y121" s="2"/>
      <c r="Z121" s="38"/>
      <c r="AA121" s="2"/>
      <c r="AB121" s="2">
        <f t="shared" si="18"/>
        <v>0</v>
      </c>
      <c r="AC121" s="2" t="e">
        <f t="shared" si="19"/>
        <v>#VALUE!</v>
      </c>
      <c r="AD121" s="2">
        <f t="shared" si="20"/>
        <v>0</v>
      </c>
      <c r="AE121" s="79" t="e">
        <f t="shared" si="21"/>
        <v>#VALUE!</v>
      </c>
      <c r="AF121" s="80">
        <f t="shared" si="26"/>
        <v>0</v>
      </c>
      <c r="AG121" s="31" t="e">
        <f t="shared" si="22"/>
        <v>#VALUE!</v>
      </c>
      <c r="AH121">
        <f t="shared" si="23"/>
        <v>0</v>
      </c>
      <c r="AI121" s="68">
        <f t="shared" si="24"/>
        <v>0</v>
      </c>
      <c r="AJ121" s="68">
        <f t="shared" si="25"/>
        <v>0</v>
      </c>
      <c r="AK121" s="67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125</v>
      </c>
      <c r="M122" s="73"/>
      <c r="N122" s="2"/>
      <c r="O122" s="2"/>
      <c r="P122" s="2"/>
      <c r="Q122" s="2"/>
      <c r="R122" s="2"/>
      <c r="S122" s="2"/>
      <c r="T122" s="2"/>
      <c r="U122" s="75"/>
      <c r="V122" s="74"/>
      <c r="W122" s="2"/>
      <c r="X122" s="75"/>
      <c r="Y122" s="2"/>
      <c r="Z122" s="38"/>
      <c r="AA122" s="2"/>
      <c r="AB122" s="2">
        <f t="shared" si="18"/>
        <v>0</v>
      </c>
      <c r="AC122" s="2" t="e">
        <f t="shared" si="19"/>
        <v>#VALUE!</v>
      </c>
      <c r="AD122" s="2">
        <f t="shared" si="20"/>
        <v>0</v>
      </c>
      <c r="AE122" s="79" t="e">
        <f t="shared" si="21"/>
        <v>#VALUE!</v>
      </c>
      <c r="AF122" s="80">
        <f t="shared" si="26"/>
        <v>0</v>
      </c>
      <c r="AG122" s="31" t="e">
        <f t="shared" si="22"/>
        <v>#VALUE!</v>
      </c>
      <c r="AH122">
        <f t="shared" si="23"/>
        <v>0</v>
      </c>
      <c r="AI122" s="68">
        <f t="shared" si="24"/>
        <v>0</v>
      </c>
      <c r="AJ122" s="68">
        <f t="shared" si="25"/>
        <v>0</v>
      </c>
      <c r="AK122" s="67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125</v>
      </c>
      <c r="M123" s="73"/>
      <c r="N123" s="2"/>
      <c r="O123" s="2"/>
      <c r="P123" s="2"/>
      <c r="Q123" s="2"/>
      <c r="R123" s="2"/>
      <c r="S123" s="2"/>
      <c r="T123" s="2"/>
      <c r="U123" s="75"/>
      <c r="V123" s="74"/>
      <c r="W123" s="2"/>
      <c r="X123" s="75"/>
      <c r="Y123" s="2"/>
      <c r="Z123" s="38"/>
      <c r="AA123" s="2"/>
      <c r="AB123" s="2">
        <f t="shared" si="18"/>
        <v>0</v>
      </c>
      <c r="AC123" s="2" t="e">
        <f t="shared" si="19"/>
        <v>#VALUE!</v>
      </c>
      <c r="AD123" s="2">
        <f t="shared" si="20"/>
        <v>0</v>
      </c>
      <c r="AE123" s="79" t="e">
        <f t="shared" si="21"/>
        <v>#VALUE!</v>
      </c>
      <c r="AF123" s="80">
        <f t="shared" si="26"/>
        <v>0</v>
      </c>
      <c r="AG123" s="31" t="e">
        <f t="shared" si="22"/>
        <v>#VALUE!</v>
      </c>
      <c r="AH123">
        <f t="shared" si="23"/>
        <v>0</v>
      </c>
      <c r="AI123" s="68">
        <f t="shared" si="24"/>
        <v>0</v>
      </c>
      <c r="AJ123" s="68">
        <f t="shared" si="25"/>
        <v>0</v>
      </c>
      <c r="AK123" s="67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125</v>
      </c>
      <c r="M124" s="73"/>
      <c r="N124" s="2"/>
      <c r="O124" s="2"/>
      <c r="P124" s="2"/>
      <c r="Q124" s="2"/>
      <c r="R124" s="2"/>
      <c r="S124" s="2"/>
      <c r="T124" s="2"/>
      <c r="U124" s="75"/>
      <c r="V124" s="74"/>
      <c r="W124" s="2"/>
      <c r="X124" s="75"/>
      <c r="Y124" s="2"/>
      <c r="Z124" s="38"/>
      <c r="AA124" s="2"/>
      <c r="AB124" s="2">
        <f t="shared" si="18"/>
        <v>0</v>
      </c>
      <c r="AC124" s="2" t="e">
        <f t="shared" si="19"/>
        <v>#VALUE!</v>
      </c>
      <c r="AD124" s="2">
        <f t="shared" si="20"/>
        <v>0</v>
      </c>
      <c r="AE124" s="79" t="e">
        <f t="shared" si="21"/>
        <v>#VALUE!</v>
      </c>
      <c r="AF124" s="80">
        <f t="shared" si="26"/>
        <v>0</v>
      </c>
      <c r="AG124" s="31" t="e">
        <f t="shared" si="22"/>
        <v>#VALUE!</v>
      </c>
      <c r="AH124">
        <f t="shared" si="23"/>
        <v>0</v>
      </c>
      <c r="AI124" s="68">
        <f t="shared" si="24"/>
        <v>0</v>
      </c>
      <c r="AJ124" s="68">
        <f t="shared" si="25"/>
        <v>0</v>
      </c>
      <c r="AK124" s="67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125</v>
      </c>
      <c r="M125" s="73"/>
      <c r="N125" s="2"/>
      <c r="O125" s="2"/>
      <c r="P125" s="2"/>
      <c r="Q125" s="2"/>
      <c r="R125" s="2"/>
      <c r="S125" s="2"/>
      <c r="T125" s="2"/>
      <c r="U125" s="75"/>
      <c r="V125" s="74"/>
      <c r="W125" s="2"/>
      <c r="X125" s="75"/>
      <c r="Y125" s="2"/>
      <c r="Z125" s="38"/>
      <c r="AA125" s="2"/>
      <c r="AB125" s="2">
        <f t="shared" si="18"/>
        <v>0</v>
      </c>
      <c r="AC125" s="2" t="e">
        <f t="shared" si="19"/>
        <v>#VALUE!</v>
      </c>
      <c r="AD125" s="2">
        <f t="shared" si="20"/>
        <v>0</v>
      </c>
      <c r="AE125" s="79" t="e">
        <f t="shared" si="21"/>
        <v>#VALUE!</v>
      </c>
      <c r="AF125" s="80">
        <f t="shared" si="26"/>
        <v>0</v>
      </c>
      <c r="AG125" s="31" t="e">
        <f t="shared" si="22"/>
        <v>#VALUE!</v>
      </c>
      <c r="AH125">
        <f t="shared" si="23"/>
        <v>0</v>
      </c>
      <c r="AI125" s="68">
        <f t="shared" si="24"/>
        <v>0</v>
      </c>
      <c r="AJ125" s="68">
        <f t="shared" si="25"/>
        <v>0</v>
      </c>
      <c r="AK125" s="67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4"/>
  <sheetViews>
    <sheetView workbookViewId="0">
      <selection activeCell="A2" sqref="A2"/>
    </sheetView>
  </sheetViews>
  <sheetFormatPr defaultRowHeight="15" x14ac:dyDescent="0.25"/>
  <cols>
    <col min="1" max="1" width="17.42578125" customWidth="1"/>
  </cols>
  <sheetData>
    <row r="1" spans="1:2" x14ac:dyDescent="0.25">
      <c r="A1" t="s">
        <v>189</v>
      </c>
      <c r="B1">
        <v>63</v>
      </c>
    </row>
    <row r="2" spans="1:2" x14ac:dyDescent="0.25">
      <c r="A2" t="s">
        <v>190</v>
      </c>
      <c r="B2">
        <v>1003</v>
      </c>
    </row>
    <row r="3" spans="1:2" x14ac:dyDescent="0.25">
      <c r="A3" t="s">
        <v>210</v>
      </c>
      <c r="B3">
        <v>41</v>
      </c>
    </row>
    <row r="4" spans="1:2" x14ac:dyDescent="0.25">
      <c r="A4" t="s">
        <v>211</v>
      </c>
      <c r="B4">
        <v>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9" t="s">
        <v>221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3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03" t="s">
        <v>57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25"/>
      <c r="AP1" s="25"/>
      <c r="AQ1" s="25"/>
      <c r="AR1" s="25"/>
      <c r="AS1" s="25"/>
      <c r="AT1" s="25"/>
      <c r="AU1" s="25"/>
      <c r="AV1" s="26"/>
    </row>
    <row r="2" spans="1:48" x14ac:dyDescent="0.25">
      <c r="A2" s="120" t="s">
        <v>26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21"/>
      <c r="M2" s="122" t="s">
        <v>27</v>
      </c>
      <c r="N2" s="122"/>
      <c r="O2" s="122"/>
      <c r="P2" s="122"/>
      <c r="Q2" s="122"/>
      <c r="R2" s="122" t="s">
        <v>28</v>
      </c>
      <c r="S2" s="122"/>
      <c r="T2" s="122"/>
      <c r="U2" s="122"/>
      <c r="V2" s="122"/>
      <c r="W2" s="122"/>
      <c r="X2" s="122"/>
      <c r="Y2" s="116" t="s">
        <v>41</v>
      </c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23"/>
      <c r="AM2" s="123"/>
      <c r="AN2" s="123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2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3"/>
      <c r="Q5" s="16"/>
      <c r="R5" s="2"/>
      <c r="S5" s="2"/>
      <c r="T5" s="2"/>
      <c r="U5" s="2"/>
      <c r="V5" s="2"/>
      <c r="W5" s="2"/>
      <c r="X5" s="2"/>
      <c r="Y5" s="16"/>
      <c r="Z5" s="22"/>
      <c r="AA5" s="16"/>
      <c r="AB5" s="23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3"/>
      <c r="Q6" s="16"/>
      <c r="R6" s="2"/>
      <c r="S6" s="2"/>
      <c r="T6" s="2"/>
      <c r="U6" s="2"/>
      <c r="V6" s="2"/>
      <c r="W6" s="2"/>
      <c r="X6" s="2"/>
      <c r="Y6" s="16"/>
      <c r="Z6" s="22"/>
      <c r="AA6" s="16"/>
      <c r="AB6" s="23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3"/>
      <c r="Q7" s="16"/>
      <c r="R7" s="2"/>
      <c r="S7" s="2"/>
      <c r="T7" s="2"/>
      <c r="U7" s="2"/>
      <c r="V7" s="2"/>
      <c r="W7" s="2"/>
      <c r="X7" s="2"/>
      <c r="Y7" s="16"/>
      <c r="Z7" s="22"/>
      <c r="AA7" s="16"/>
      <c r="AB7" s="23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3"/>
      <c r="Q8" s="16"/>
      <c r="R8" s="2"/>
      <c r="S8" s="2"/>
      <c r="T8" s="2"/>
      <c r="U8" s="2"/>
      <c r="V8" s="2"/>
      <c r="W8" s="2"/>
      <c r="X8" s="2"/>
      <c r="Y8" s="16"/>
      <c r="Z8" s="22"/>
      <c r="AA8" s="16"/>
      <c r="AB8" s="23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3"/>
      <c r="Q9" s="16"/>
      <c r="R9" s="2"/>
      <c r="S9" s="2"/>
      <c r="T9" s="2"/>
      <c r="U9" s="2"/>
      <c r="V9" s="2"/>
      <c r="W9" s="2"/>
      <c r="X9" s="2"/>
      <c r="Y9" s="16"/>
      <c r="Z9" s="22"/>
      <c r="AA9" s="16"/>
      <c r="AB9" s="23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3"/>
      <c r="Q10" s="16"/>
      <c r="R10" s="2"/>
      <c r="S10" s="2"/>
      <c r="T10" s="2"/>
      <c r="U10" s="2"/>
      <c r="V10" s="2"/>
      <c r="W10" s="2"/>
      <c r="X10" s="2"/>
      <c r="Y10" s="16"/>
      <c r="Z10" s="22"/>
      <c r="AA10" s="16"/>
      <c r="AB10" s="23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3"/>
      <c r="Q11" s="16"/>
      <c r="R11" s="2"/>
      <c r="S11" s="2"/>
      <c r="T11" s="2"/>
      <c r="U11" s="2"/>
      <c r="V11" s="2"/>
      <c r="W11" s="2"/>
      <c r="X11" s="2"/>
      <c r="Y11" s="16"/>
      <c r="Z11" s="22"/>
      <c r="AA11" s="16"/>
      <c r="AB11" s="23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3"/>
      <c r="Q12" s="16"/>
      <c r="R12" s="2"/>
      <c r="S12" s="2"/>
      <c r="T12" s="2"/>
      <c r="U12" s="2"/>
      <c r="V12" s="2"/>
      <c r="W12" s="2"/>
      <c r="X12" s="2"/>
      <c r="Y12" s="16"/>
      <c r="Z12" s="22"/>
      <c r="AA12" s="16"/>
      <c r="AB12" s="23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3"/>
      <c r="Q13" s="16"/>
      <c r="R13" s="2"/>
      <c r="S13" s="2"/>
      <c r="T13" s="2"/>
      <c r="U13" s="2"/>
      <c r="V13" s="2"/>
      <c r="W13" s="2"/>
      <c r="X13" s="2"/>
      <c r="Y13" s="16"/>
      <c r="Z13" s="22"/>
      <c r="AA13" s="16"/>
      <c r="AB13" s="23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3"/>
      <c r="Q14" s="16"/>
      <c r="R14" s="2"/>
      <c r="S14" s="2"/>
      <c r="T14" s="2"/>
      <c r="U14" s="2"/>
      <c r="V14" s="2"/>
      <c r="W14" s="2"/>
      <c r="X14" s="2"/>
      <c r="Y14" s="16"/>
      <c r="Z14" s="22"/>
      <c r="AA14" s="16"/>
      <c r="AB14" s="23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3"/>
      <c r="Q15" s="16"/>
      <c r="R15" s="2"/>
      <c r="S15" s="2"/>
      <c r="T15" s="2"/>
      <c r="U15" s="2"/>
      <c r="V15" s="2"/>
      <c r="W15" s="2"/>
      <c r="X15" s="2"/>
      <c r="Y15" s="16"/>
      <c r="Z15" s="22"/>
      <c r="AA15" s="16"/>
      <c r="AB15" s="23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3"/>
      <c r="Q16" s="16"/>
      <c r="R16" s="2"/>
      <c r="S16" s="2"/>
      <c r="T16" s="2"/>
      <c r="U16" s="2"/>
      <c r="V16" s="2"/>
      <c r="W16" s="2"/>
      <c r="X16" s="2"/>
      <c r="Y16" s="16"/>
      <c r="Z16" s="22"/>
      <c r="AA16" s="16"/>
      <c r="AB16" s="23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3"/>
      <c r="Q17" s="16"/>
      <c r="R17" s="2"/>
      <c r="S17" s="2"/>
      <c r="T17" s="2"/>
      <c r="U17" s="2"/>
      <c r="V17" s="2"/>
      <c r="W17" s="2"/>
      <c r="X17" s="2"/>
      <c r="Y17" s="16"/>
      <c r="Z17" s="22"/>
      <c r="AA17" s="16"/>
      <c r="AB17" s="23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3"/>
      <c r="Q18" s="16"/>
      <c r="R18" s="2"/>
      <c r="S18" s="2"/>
      <c r="T18" s="2"/>
      <c r="U18" s="2"/>
      <c r="V18" s="2"/>
      <c r="W18" s="2"/>
      <c r="X18" s="2"/>
      <c r="Y18" s="16"/>
      <c r="Z18" s="22"/>
      <c r="AA18" s="16"/>
      <c r="AB18" s="23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3"/>
      <c r="Q19" s="16"/>
      <c r="R19" s="2"/>
      <c r="S19" s="2"/>
      <c r="T19" s="2"/>
      <c r="U19" s="2"/>
      <c r="V19" s="2"/>
      <c r="W19" s="2"/>
      <c r="X19" s="2"/>
      <c r="Y19" s="16"/>
      <c r="Z19" s="22"/>
      <c r="AA19" s="16"/>
      <c r="AB19" s="23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3"/>
      <c r="Q20" s="16"/>
      <c r="R20" s="2"/>
      <c r="S20" s="2"/>
      <c r="T20" s="2"/>
      <c r="U20" s="2"/>
      <c r="V20" s="2"/>
      <c r="W20" s="2"/>
      <c r="X20" s="2"/>
      <c r="Y20" s="16"/>
      <c r="Z20" s="22"/>
      <c r="AA20" s="16"/>
      <c r="AB20" s="23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3"/>
      <c r="Q21" s="16"/>
      <c r="R21" s="2"/>
      <c r="S21" s="2"/>
      <c r="T21" s="2"/>
      <c r="U21" s="2"/>
      <c r="V21" s="2"/>
      <c r="W21" s="2"/>
      <c r="X21" s="2"/>
      <c r="Y21" s="16"/>
      <c r="Z21" s="22"/>
      <c r="AA21" s="16"/>
      <c r="AB21" s="23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3"/>
      <c r="Q22" s="16"/>
      <c r="R22" s="2"/>
      <c r="S22" s="2"/>
      <c r="T22" s="2"/>
      <c r="U22" s="2"/>
      <c r="V22" s="2"/>
      <c r="W22" s="2"/>
      <c r="X22" s="2"/>
      <c r="Y22" s="16"/>
      <c r="Z22" s="22"/>
      <c r="AA22" s="16"/>
      <c r="AB22" s="23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3"/>
      <c r="Q23" s="16"/>
      <c r="R23" s="2"/>
      <c r="S23" s="2"/>
      <c r="T23" s="2"/>
      <c r="U23" s="2"/>
      <c r="V23" s="2"/>
      <c r="W23" s="2"/>
      <c r="X23" s="2"/>
      <c r="Y23" s="16"/>
      <c r="Z23" s="22"/>
      <c r="AA23" s="16"/>
      <c r="AB23" s="23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3"/>
      <c r="Q24" s="16"/>
      <c r="R24" s="2"/>
      <c r="S24" s="2"/>
      <c r="T24" s="2"/>
      <c r="U24" s="2"/>
      <c r="V24" s="2"/>
      <c r="W24" s="2"/>
      <c r="X24" s="2"/>
      <c r="Y24" s="16"/>
      <c r="Z24" s="22"/>
      <c r="AA24" s="16"/>
      <c r="AB24" s="23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3"/>
      <c r="Q25" s="16"/>
      <c r="R25" s="2"/>
      <c r="S25" s="2"/>
      <c r="T25" s="2"/>
      <c r="U25" s="2"/>
      <c r="V25" s="2"/>
      <c r="W25" s="2"/>
      <c r="X25" s="2"/>
      <c r="Y25" s="16"/>
      <c r="Z25" s="22"/>
      <c r="AA25" s="16"/>
      <c r="AB25" s="23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3"/>
      <c r="Q26" s="16"/>
      <c r="R26" s="2"/>
      <c r="S26" s="2"/>
      <c r="T26" s="2"/>
      <c r="U26" s="2"/>
      <c r="V26" s="2"/>
      <c r="W26" s="2"/>
      <c r="X26" s="2"/>
      <c r="Y26" s="16"/>
      <c r="Z26" s="22"/>
      <c r="AA26" s="16"/>
      <c r="AB26" s="23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3"/>
      <c r="Q27" s="16"/>
      <c r="R27" s="2"/>
      <c r="S27" s="2"/>
      <c r="T27" s="2"/>
      <c r="U27" s="2"/>
      <c r="V27" s="2"/>
      <c r="W27" s="2"/>
      <c r="X27" s="2"/>
      <c r="Y27" s="16"/>
      <c r="Z27" s="22"/>
      <c r="AA27" s="16"/>
      <c r="AB27" s="23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3"/>
      <c r="Q28" s="16"/>
      <c r="R28" s="2"/>
      <c r="S28" s="2"/>
      <c r="T28" s="2"/>
      <c r="U28" s="2"/>
      <c r="V28" s="2"/>
      <c r="W28" s="2"/>
      <c r="X28" s="2"/>
      <c r="Y28" s="16"/>
      <c r="Z28" s="22"/>
      <c r="AA28" s="16"/>
      <c r="AB28" s="23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3"/>
      <c r="Q29" s="16"/>
      <c r="R29" s="2"/>
      <c r="S29" s="2"/>
      <c r="T29" s="2"/>
      <c r="U29" s="2"/>
      <c r="V29" s="2"/>
      <c r="W29" s="2"/>
      <c r="X29" s="2"/>
      <c r="Y29" s="16"/>
      <c r="Z29" s="22"/>
      <c r="AA29" s="16"/>
      <c r="AB29" s="23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3"/>
      <c r="Q30" s="16"/>
      <c r="R30" s="2"/>
      <c r="S30" s="2"/>
      <c r="T30" s="2"/>
      <c r="U30" s="2"/>
      <c r="V30" s="2"/>
      <c r="W30" s="2"/>
      <c r="X30" s="2"/>
      <c r="Y30" s="16"/>
      <c r="Z30" s="22"/>
      <c r="AA30" s="16"/>
      <c r="AB30" s="23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3"/>
      <c r="Q31" s="16"/>
      <c r="R31" s="2"/>
      <c r="S31" s="2"/>
      <c r="T31" s="2"/>
      <c r="U31" s="2"/>
      <c r="V31" s="2"/>
      <c r="W31" s="2"/>
      <c r="X31" s="2"/>
      <c r="Y31" s="16"/>
      <c r="Z31" s="22"/>
      <c r="AA31" s="16"/>
      <c r="AB31" s="23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3"/>
      <c r="Q32" s="16"/>
      <c r="R32" s="2"/>
      <c r="S32" s="2"/>
      <c r="T32" s="2"/>
      <c r="U32" s="2"/>
      <c r="V32" s="2"/>
      <c r="W32" s="2"/>
      <c r="X32" s="2"/>
      <c r="Y32" s="16"/>
      <c r="Z32" s="22"/>
      <c r="AA32" s="16"/>
      <c r="AB32" s="23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3"/>
      <c r="Q33" s="16"/>
      <c r="R33" s="2"/>
      <c r="S33" s="2"/>
      <c r="T33" s="2"/>
      <c r="U33" s="2"/>
      <c r="V33" s="2"/>
      <c r="W33" s="2"/>
      <c r="X33" s="2"/>
      <c r="Y33" s="16"/>
      <c r="Z33" s="22"/>
      <c r="AA33" s="16"/>
      <c r="AB33" s="23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3"/>
      <c r="Q34" s="16"/>
      <c r="R34" s="2"/>
      <c r="S34" s="2"/>
      <c r="T34" s="2"/>
      <c r="U34" s="2"/>
      <c r="V34" s="2"/>
      <c r="W34" s="2"/>
      <c r="X34" s="2"/>
      <c r="Y34" s="16"/>
      <c r="Z34" s="22"/>
      <c r="AA34" s="16"/>
      <c r="AB34" s="23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3"/>
      <c r="Q35" s="16"/>
      <c r="R35" s="2"/>
      <c r="S35" s="2"/>
      <c r="T35" s="2"/>
      <c r="U35" s="2"/>
      <c r="V35" s="2"/>
      <c r="W35" s="2"/>
      <c r="X35" s="2"/>
      <c r="Y35" s="16"/>
      <c r="Z35" s="22"/>
      <c r="AA35" s="16"/>
      <c r="AB35" s="23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3"/>
      <c r="Q36" s="16"/>
      <c r="R36" s="2"/>
      <c r="S36" s="2"/>
      <c r="T36" s="2"/>
      <c r="U36" s="2"/>
      <c r="V36" s="2"/>
      <c r="W36" s="2"/>
      <c r="X36" s="2"/>
      <c r="Y36" s="16"/>
      <c r="Z36" s="22"/>
      <c r="AA36" s="16"/>
      <c r="AB36" s="23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3"/>
      <c r="Q37" s="16"/>
      <c r="R37" s="2"/>
      <c r="S37" s="2"/>
      <c r="T37" s="2"/>
      <c r="U37" s="2"/>
      <c r="V37" s="2"/>
      <c r="W37" s="2"/>
      <c r="X37" s="2"/>
      <c r="Y37" s="16"/>
      <c r="Z37" s="22"/>
      <c r="AA37" s="16"/>
      <c r="AB37" s="23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3"/>
      <c r="Q38" s="16"/>
      <c r="R38" s="2"/>
      <c r="S38" s="2"/>
      <c r="T38" s="2"/>
      <c r="U38" s="2"/>
      <c r="V38" s="2"/>
      <c r="W38" s="2"/>
      <c r="X38" s="2"/>
      <c r="Y38" s="16"/>
      <c r="Z38" s="22"/>
      <c r="AA38" s="16"/>
      <c r="AB38" s="23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3"/>
      <c r="Q39" s="16"/>
      <c r="R39" s="2"/>
      <c r="S39" s="2"/>
      <c r="T39" s="2"/>
      <c r="U39" s="2"/>
      <c r="V39" s="2"/>
      <c r="W39" s="2"/>
      <c r="X39" s="2"/>
      <c r="Y39" s="16"/>
      <c r="Z39" s="22"/>
      <c r="AA39" s="16"/>
      <c r="AB39" s="23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3"/>
      <c r="Q40" s="16"/>
      <c r="R40" s="2"/>
      <c r="S40" s="2"/>
      <c r="T40" s="2"/>
      <c r="U40" s="2"/>
      <c r="V40" s="2"/>
      <c r="W40" s="2"/>
      <c r="X40" s="2"/>
      <c r="Y40" s="16"/>
      <c r="Z40" s="22"/>
      <c r="AA40" s="16"/>
      <c r="AB40" s="23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3"/>
      <c r="Q41" s="16"/>
      <c r="R41" s="2"/>
      <c r="S41" s="2"/>
      <c r="T41" s="2"/>
      <c r="U41" s="2"/>
      <c r="V41" s="2"/>
      <c r="W41" s="2"/>
      <c r="X41" s="2"/>
      <c r="Y41" s="16"/>
      <c r="Z41" s="22"/>
      <c r="AA41" s="16"/>
      <c r="AB41" s="23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3"/>
      <c r="Q42" s="16"/>
      <c r="R42" s="2"/>
      <c r="S42" s="2"/>
      <c r="T42" s="2"/>
      <c r="U42" s="2"/>
      <c r="V42" s="2"/>
      <c r="W42" s="2"/>
      <c r="X42" s="2"/>
      <c r="Y42" s="16"/>
      <c r="Z42" s="22"/>
      <c r="AA42" s="16"/>
      <c r="AB42" s="23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3"/>
      <c r="Q43" s="16"/>
      <c r="R43" s="2"/>
      <c r="S43" s="2"/>
      <c r="T43" s="2"/>
      <c r="U43" s="2"/>
      <c r="V43" s="2"/>
      <c r="W43" s="2"/>
      <c r="X43" s="2"/>
      <c r="Y43" s="16"/>
      <c r="Z43" s="22"/>
      <c r="AA43" s="16"/>
      <c r="AB43" s="23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3"/>
      <c r="Q44" s="16"/>
      <c r="R44" s="2"/>
      <c r="S44" s="2"/>
      <c r="T44" s="2"/>
      <c r="U44" s="2"/>
      <c r="V44" s="2"/>
      <c r="W44" s="2"/>
      <c r="X44" s="2"/>
      <c r="Y44" s="16"/>
      <c r="Z44" s="22"/>
      <c r="AA44" s="16"/>
      <c r="AB44" s="23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3"/>
      <c r="Q45" s="16"/>
      <c r="R45" s="2"/>
      <c r="S45" s="2"/>
      <c r="T45" s="2"/>
      <c r="U45" s="2"/>
      <c r="V45" s="2"/>
      <c r="W45" s="2"/>
      <c r="X45" s="2"/>
      <c r="Y45" s="16"/>
      <c r="Z45" s="22"/>
      <c r="AA45" s="16"/>
      <c r="AB45" s="23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3"/>
      <c r="Q46" s="16"/>
      <c r="R46" s="2"/>
      <c r="S46" s="2"/>
      <c r="T46" s="2"/>
      <c r="U46" s="2"/>
      <c r="V46" s="2"/>
      <c r="W46" s="2"/>
      <c r="X46" s="2"/>
      <c r="Y46" s="16"/>
      <c r="Z46" s="22"/>
      <c r="AA46" s="16"/>
      <c r="AB46" s="23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3"/>
      <c r="Q47" s="16"/>
      <c r="R47" s="2"/>
      <c r="S47" s="2"/>
      <c r="T47" s="2"/>
      <c r="U47" s="2"/>
      <c r="V47" s="2"/>
      <c r="W47" s="2"/>
      <c r="X47" s="2"/>
      <c r="Y47" s="16"/>
      <c r="Z47" s="22"/>
      <c r="AA47" s="16"/>
      <c r="AB47" s="23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3"/>
      <c r="Q48" s="16"/>
      <c r="R48" s="2"/>
      <c r="S48" s="2"/>
      <c r="T48" s="2"/>
      <c r="U48" s="2"/>
      <c r="V48" s="2"/>
      <c r="W48" s="2"/>
      <c r="X48" s="2"/>
      <c r="Y48" s="16"/>
      <c r="Z48" s="22"/>
      <c r="AA48" s="16"/>
      <c r="AB48" s="23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3"/>
      <c r="Q49" s="16"/>
      <c r="R49" s="2"/>
      <c r="S49" s="2"/>
      <c r="T49" s="2"/>
      <c r="U49" s="2"/>
      <c r="V49" s="2"/>
      <c r="W49" s="2"/>
      <c r="X49" s="2"/>
      <c r="Y49" s="16"/>
      <c r="Z49" s="22"/>
      <c r="AA49" s="16"/>
      <c r="AB49" s="23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3"/>
      <c r="Q50" s="16"/>
      <c r="R50" s="2"/>
      <c r="S50" s="2"/>
      <c r="T50" s="2"/>
      <c r="U50" s="2"/>
      <c r="V50" s="2"/>
      <c r="W50" s="2"/>
      <c r="X50" s="2"/>
      <c r="Y50" s="16"/>
      <c r="Z50" s="22"/>
      <c r="AA50" s="16"/>
      <c r="AB50" s="23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3"/>
      <c r="Q51" s="16"/>
      <c r="R51" s="2"/>
      <c r="S51" s="2"/>
      <c r="T51" s="2"/>
      <c r="U51" s="2"/>
      <c r="V51" s="2"/>
      <c r="W51" s="2"/>
      <c r="X51" s="2"/>
      <c r="Y51" s="16"/>
      <c r="Z51" s="22"/>
      <c r="AA51" s="16"/>
      <c r="AB51" s="23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3"/>
      <c r="Q52" s="16"/>
      <c r="R52" s="2"/>
      <c r="S52" s="2"/>
      <c r="T52" s="2"/>
      <c r="U52" s="2"/>
      <c r="V52" s="2"/>
      <c r="W52" s="2"/>
      <c r="X52" s="2"/>
      <c r="Y52" s="16"/>
      <c r="Z52" s="22"/>
      <c r="AA52" s="16"/>
      <c r="AB52" s="23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3"/>
      <c r="Q53" s="16"/>
      <c r="R53" s="2"/>
      <c r="S53" s="2"/>
      <c r="T53" s="2"/>
      <c r="U53" s="2"/>
      <c r="V53" s="2"/>
      <c r="W53" s="2"/>
      <c r="X53" s="2"/>
      <c r="Y53" s="16"/>
      <c r="Z53" s="22"/>
      <c r="AA53" s="16"/>
      <c r="AB53" s="23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3"/>
      <c r="Q54" s="16"/>
      <c r="R54" s="2"/>
      <c r="S54" s="2"/>
      <c r="T54" s="2"/>
      <c r="U54" s="2"/>
      <c r="V54" s="2"/>
      <c r="W54" s="2"/>
      <c r="X54" s="2"/>
      <c r="Y54" s="16"/>
      <c r="Z54" s="22"/>
      <c r="AA54" s="16"/>
      <c r="AB54" s="23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3"/>
      <c r="Q55" s="16"/>
      <c r="R55" s="2"/>
      <c r="S55" s="2"/>
      <c r="T55" s="2"/>
      <c r="U55" s="2"/>
      <c r="V55" s="2"/>
      <c r="W55" s="2"/>
      <c r="X55" s="2"/>
      <c r="Y55" s="16"/>
      <c r="Z55" s="22"/>
      <c r="AA55" s="16"/>
      <c r="AB55" s="23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3"/>
      <c r="Q56" s="16"/>
      <c r="R56" s="2"/>
      <c r="S56" s="2"/>
      <c r="T56" s="2"/>
      <c r="U56" s="2"/>
      <c r="V56" s="2"/>
      <c r="W56" s="2"/>
      <c r="X56" s="2"/>
      <c r="Y56" s="16"/>
      <c r="Z56" s="22"/>
      <c r="AA56" s="16"/>
      <c r="AB56" s="23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3"/>
      <c r="Q57" s="16"/>
      <c r="R57" s="2"/>
      <c r="S57" s="2"/>
      <c r="T57" s="2"/>
      <c r="U57" s="2"/>
      <c r="V57" s="2"/>
      <c r="W57" s="2"/>
      <c r="X57" s="2"/>
      <c r="Y57" s="16"/>
      <c r="Z57" s="22"/>
      <c r="AA57" s="16"/>
      <c r="AB57" s="23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3"/>
      <c r="Q58" s="16"/>
      <c r="R58" s="2"/>
      <c r="S58" s="2"/>
      <c r="T58" s="2"/>
      <c r="U58" s="2"/>
      <c r="V58" s="2"/>
      <c r="W58" s="2"/>
      <c r="X58" s="2"/>
      <c r="Y58" s="16"/>
      <c r="Z58" s="22"/>
      <c r="AA58" s="16"/>
      <c r="AB58" s="23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3"/>
      <c r="Q59" s="16"/>
      <c r="R59" s="2"/>
      <c r="S59" s="2"/>
      <c r="T59" s="2"/>
      <c r="U59" s="2"/>
      <c r="V59" s="2"/>
      <c r="W59" s="2"/>
      <c r="X59" s="2"/>
      <c r="Y59" s="16"/>
      <c r="Z59" s="22"/>
      <c r="AA59" s="16"/>
      <c r="AB59" s="23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3"/>
      <c r="Q60" s="16"/>
      <c r="R60" s="2"/>
      <c r="S60" s="2"/>
      <c r="T60" s="2"/>
      <c r="U60" s="2"/>
      <c r="V60" s="2"/>
      <c r="W60" s="2"/>
      <c r="X60" s="2"/>
      <c r="Y60" s="16"/>
      <c r="Z60" s="22"/>
      <c r="AA60" s="16"/>
      <c r="AB60" s="23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3"/>
      <c r="Q61" s="16"/>
      <c r="R61" s="2"/>
      <c r="S61" s="2"/>
      <c r="T61" s="2"/>
      <c r="U61" s="2"/>
      <c r="V61" s="2"/>
      <c r="W61" s="2"/>
      <c r="X61" s="2"/>
      <c r="Y61" s="16"/>
      <c r="Z61" s="22"/>
      <c r="AA61" s="16"/>
      <c r="AB61" s="23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3"/>
      <c r="Q62" s="16"/>
      <c r="R62" s="2"/>
      <c r="S62" s="2"/>
      <c r="T62" s="2"/>
      <c r="U62" s="2"/>
      <c r="V62" s="2"/>
      <c r="W62" s="2"/>
      <c r="X62" s="2"/>
      <c r="Y62" s="16"/>
      <c r="Z62" s="22"/>
      <c r="AA62" s="16"/>
      <c r="AB62" s="23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3"/>
      <c r="Q63" s="16"/>
      <c r="R63" s="2"/>
      <c r="S63" s="2"/>
      <c r="T63" s="2"/>
      <c r="U63" s="2"/>
      <c r="V63" s="2"/>
      <c r="W63" s="2"/>
      <c r="X63" s="2"/>
      <c r="Y63" s="16"/>
      <c r="Z63" s="22"/>
      <c r="AA63" s="16"/>
      <c r="AB63" s="23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3"/>
      <c r="Q64" s="16"/>
      <c r="R64" s="2"/>
      <c r="S64" s="2"/>
      <c r="T64" s="2"/>
      <c r="U64" s="2"/>
      <c r="V64" s="2"/>
      <c r="W64" s="2"/>
      <c r="X64" s="2"/>
      <c r="Y64" s="16"/>
      <c r="Z64" s="22"/>
      <c r="AA64" s="16"/>
      <c r="AB64" s="23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3"/>
      <c r="Q65" s="16"/>
      <c r="R65" s="2"/>
      <c r="S65" s="2"/>
      <c r="T65" s="2"/>
      <c r="U65" s="2"/>
      <c r="V65" s="2"/>
      <c r="W65" s="2"/>
      <c r="X65" s="2"/>
      <c r="Y65" s="16"/>
      <c r="Z65" s="22"/>
      <c r="AA65" s="16"/>
      <c r="AB65" s="23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3"/>
      <c r="Q66" s="16"/>
      <c r="R66" s="2"/>
      <c r="S66" s="2"/>
      <c r="T66" s="2"/>
      <c r="U66" s="2"/>
      <c r="V66" s="2"/>
      <c r="W66" s="2"/>
      <c r="X66" s="2"/>
      <c r="Y66" s="16"/>
      <c r="Z66" s="22"/>
      <c r="AA66" s="16"/>
      <c r="AB66" s="23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3"/>
      <c r="Q67" s="16"/>
      <c r="R67" s="2"/>
      <c r="S67" s="2"/>
      <c r="T67" s="2"/>
      <c r="U67" s="2"/>
      <c r="V67" s="2"/>
      <c r="W67" s="2"/>
      <c r="X67" s="2"/>
      <c r="Y67" s="16"/>
      <c r="Z67" s="22"/>
      <c r="AA67" s="16"/>
      <c r="AB67" s="23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3"/>
      <c r="Q68" s="16"/>
      <c r="R68" s="2"/>
      <c r="S68" s="2"/>
      <c r="T68" s="2"/>
      <c r="U68" s="2"/>
      <c r="V68" s="2"/>
      <c r="W68" s="2"/>
      <c r="X68" s="2"/>
      <c r="Y68" s="16"/>
      <c r="Z68" s="22"/>
      <c r="AA68" s="16"/>
      <c r="AB68" s="23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3"/>
      <c r="Q69" s="16"/>
      <c r="R69" s="2"/>
      <c r="S69" s="2"/>
      <c r="T69" s="2"/>
      <c r="U69" s="2"/>
      <c r="V69" s="2"/>
      <c r="W69" s="2"/>
      <c r="X69" s="2"/>
      <c r="Y69" s="16"/>
      <c r="Z69" s="22"/>
      <c r="AA69" s="16"/>
      <c r="AB69" s="23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3"/>
      <c r="Q70" s="16"/>
      <c r="R70" s="2"/>
      <c r="S70" s="2"/>
      <c r="T70" s="2"/>
      <c r="U70" s="2"/>
      <c r="V70" s="2"/>
      <c r="W70" s="2"/>
      <c r="X70" s="2"/>
      <c r="Y70" s="16"/>
      <c r="Z70" s="22"/>
      <c r="AA70" s="16"/>
      <c r="AB70" s="23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3"/>
      <c r="Q71" s="16"/>
      <c r="R71" s="2"/>
      <c r="S71" s="2"/>
      <c r="T71" s="2"/>
      <c r="U71" s="2"/>
      <c r="V71" s="2"/>
      <c r="W71" s="2"/>
      <c r="X71" s="2"/>
      <c r="Y71" s="16"/>
      <c r="Z71" s="22"/>
      <c r="AA71" s="16"/>
      <c r="AB71" s="23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3"/>
      <c r="Q72" s="16"/>
      <c r="R72" s="2"/>
      <c r="S72" s="2"/>
      <c r="T72" s="2"/>
      <c r="U72" s="2"/>
      <c r="V72" s="2"/>
      <c r="W72" s="2"/>
      <c r="X72" s="2"/>
      <c r="Y72" s="16"/>
      <c r="Z72" s="22"/>
      <c r="AA72" s="16"/>
      <c r="AB72" s="23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3"/>
      <c r="Q73" s="16"/>
      <c r="R73" s="2"/>
      <c r="S73" s="2"/>
      <c r="T73" s="2"/>
      <c r="U73" s="2"/>
      <c r="V73" s="2"/>
      <c r="W73" s="2"/>
      <c r="X73" s="2"/>
      <c r="Y73" s="16"/>
      <c r="Z73" s="22"/>
      <c r="AA73" s="16"/>
      <c r="AB73" s="23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3"/>
      <c r="Q74" s="16"/>
      <c r="R74" s="2"/>
      <c r="S74" s="2"/>
      <c r="T74" s="2"/>
      <c r="U74" s="2"/>
      <c r="V74" s="2"/>
      <c r="W74" s="2"/>
      <c r="X74" s="2"/>
      <c r="Y74" s="16"/>
      <c r="Z74" s="22"/>
      <c r="AA74" s="16"/>
      <c r="AB74" s="23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3"/>
      <c r="Q75" s="16"/>
      <c r="R75" s="2"/>
      <c r="S75" s="2"/>
      <c r="T75" s="2"/>
      <c r="U75" s="2"/>
      <c r="V75" s="2"/>
      <c r="W75" s="2"/>
      <c r="X75" s="2"/>
      <c r="Y75" s="16"/>
      <c r="Z75" s="22"/>
      <c r="AA75" s="16"/>
      <c r="AB75" s="23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3"/>
      <c r="Q76" s="16"/>
      <c r="R76" s="2"/>
      <c r="S76" s="2"/>
      <c r="T76" s="2"/>
      <c r="U76" s="2"/>
      <c r="V76" s="2"/>
      <c r="W76" s="2"/>
      <c r="X76" s="2"/>
      <c r="Y76" s="16"/>
      <c r="Z76" s="22"/>
      <c r="AA76" s="16"/>
      <c r="AB76" s="23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3"/>
      <c r="Q77" s="16"/>
      <c r="R77" s="2"/>
      <c r="S77" s="2"/>
      <c r="T77" s="2"/>
      <c r="U77" s="2"/>
      <c r="V77" s="2"/>
      <c r="W77" s="2"/>
      <c r="X77" s="2"/>
      <c r="Y77" s="16"/>
      <c r="Z77" s="22"/>
      <c r="AA77" s="16"/>
      <c r="AB77" s="23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3"/>
      <c r="Q78" s="16"/>
      <c r="R78" s="2"/>
      <c r="S78" s="2"/>
      <c r="T78" s="2"/>
      <c r="U78" s="2"/>
      <c r="V78" s="2"/>
      <c r="W78" s="2"/>
      <c r="X78" s="2"/>
      <c r="Y78" s="16"/>
      <c r="Z78" s="22"/>
      <c r="AA78" s="16"/>
      <c r="AB78" s="23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3"/>
      <c r="Q79" s="16"/>
      <c r="R79" s="2"/>
      <c r="S79" s="2"/>
      <c r="T79" s="2"/>
      <c r="U79" s="2"/>
      <c r="V79" s="2"/>
      <c r="W79" s="2"/>
      <c r="X79" s="2"/>
      <c r="Y79" s="16"/>
      <c r="Z79" s="22"/>
      <c r="AA79" s="16"/>
      <c r="AB79" s="23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3"/>
      <c r="Q80" s="16"/>
      <c r="R80" s="2"/>
      <c r="S80" s="2"/>
      <c r="T80" s="2"/>
      <c r="U80" s="2"/>
      <c r="V80" s="2"/>
      <c r="W80" s="2"/>
      <c r="X80" s="2"/>
      <c r="Y80" s="16"/>
      <c r="Z80" s="22"/>
      <c r="AA80" s="16"/>
      <c r="AB80" s="23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3"/>
      <c r="Q81" s="16"/>
      <c r="R81" s="2"/>
      <c r="S81" s="2"/>
      <c r="T81" s="2"/>
      <c r="U81" s="2"/>
      <c r="V81" s="2"/>
      <c r="W81" s="2"/>
      <c r="X81" s="2"/>
      <c r="Y81" s="16"/>
      <c r="Z81" s="22"/>
      <c r="AA81" s="16"/>
      <c r="AB81" s="23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3"/>
      <c r="Q82" s="16"/>
      <c r="R82" s="2"/>
      <c r="S82" s="2"/>
      <c r="T82" s="2"/>
      <c r="U82" s="2"/>
      <c r="V82" s="2"/>
      <c r="W82" s="2"/>
      <c r="X82" s="2"/>
      <c r="Y82" s="16"/>
      <c r="Z82" s="22"/>
      <c r="AA82" s="16"/>
      <c r="AB82" s="23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3"/>
      <c r="Q83" s="16"/>
      <c r="R83" s="2"/>
      <c r="S83" s="2"/>
      <c r="T83" s="2"/>
      <c r="U83" s="2"/>
      <c r="V83" s="2"/>
      <c r="W83" s="2"/>
      <c r="X83" s="2"/>
      <c r="Y83" s="16"/>
      <c r="Z83" s="22"/>
      <c r="AA83" s="16"/>
      <c r="AB83" s="23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3"/>
      <c r="Q84" s="16"/>
      <c r="R84" s="2"/>
      <c r="S84" s="2"/>
      <c r="T84" s="2"/>
      <c r="U84" s="2"/>
      <c r="V84" s="2"/>
      <c r="W84" s="2"/>
      <c r="X84" s="2"/>
      <c r="Y84" s="16"/>
      <c r="Z84" s="22"/>
      <c r="AA84" s="16"/>
      <c r="AB84" s="23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3"/>
      <c r="Q85" s="16"/>
      <c r="R85" s="2"/>
      <c r="S85" s="2"/>
      <c r="T85" s="2"/>
      <c r="U85" s="2"/>
      <c r="V85" s="2"/>
      <c r="W85" s="2"/>
      <c r="X85" s="2"/>
      <c r="Y85" s="16"/>
      <c r="Z85" s="22"/>
      <c r="AA85" s="16"/>
      <c r="AB85" s="23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3"/>
      <c r="Q86" s="16"/>
      <c r="R86" s="2"/>
      <c r="S86" s="2"/>
      <c r="T86" s="2"/>
      <c r="U86" s="2"/>
      <c r="V86" s="2"/>
      <c r="W86" s="2"/>
      <c r="X86" s="2"/>
      <c r="Y86" s="16"/>
      <c r="Z86" s="22"/>
      <c r="AA86" s="16"/>
      <c r="AB86" s="23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3"/>
      <c r="Q87" s="16"/>
      <c r="R87" s="2"/>
      <c r="S87" s="2"/>
      <c r="T87" s="2"/>
      <c r="U87" s="2"/>
      <c r="V87" s="2"/>
      <c r="W87" s="2"/>
      <c r="X87" s="2"/>
      <c r="Y87" s="16"/>
      <c r="Z87" s="22"/>
      <c r="AA87" s="16"/>
      <c r="AB87" s="23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3"/>
      <c r="Q88" s="16"/>
      <c r="R88" s="2"/>
      <c r="S88" s="2"/>
      <c r="T88" s="2"/>
      <c r="U88" s="2"/>
      <c r="V88" s="2"/>
      <c r="W88" s="2"/>
      <c r="X88" s="2"/>
      <c r="Y88" s="16"/>
      <c r="Z88" s="22"/>
      <c r="AA88" s="16"/>
      <c r="AB88" s="23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3"/>
      <c r="Q89" s="16"/>
      <c r="R89" s="2"/>
      <c r="S89" s="2"/>
      <c r="T89" s="2"/>
      <c r="U89" s="2"/>
      <c r="V89" s="2"/>
      <c r="W89" s="2"/>
      <c r="X89" s="2"/>
      <c r="Y89" s="16"/>
      <c r="Z89" s="22"/>
      <c r="AA89" s="16"/>
      <c r="AB89" s="23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3"/>
      <c r="Q90" s="16"/>
      <c r="R90" s="2"/>
      <c r="S90" s="2"/>
      <c r="T90" s="2"/>
      <c r="U90" s="2"/>
      <c r="V90" s="2"/>
      <c r="W90" s="2"/>
      <c r="X90" s="2"/>
      <c r="Y90" s="16"/>
      <c r="Z90" s="22"/>
      <c r="AA90" s="16"/>
      <c r="AB90" s="23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3"/>
      <c r="Q91" s="16"/>
      <c r="R91" s="2"/>
      <c r="S91" s="2"/>
      <c r="T91" s="2"/>
      <c r="U91" s="2"/>
      <c r="V91" s="2"/>
      <c r="W91" s="2"/>
      <c r="X91" s="2"/>
      <c r="Y91" s="16"/>
      <c r="Z91" s="22"/>
      <c r="AA91" s="16"/>
      <c r="AB91" s="23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3"/>
      <c r="Q92" s="16"/>
      <c r="R92" s="2"/>
      <c r="S92" s="2"/>
      <c r="T92" s="2"/>
      <c r="U92" s="2"/>
      <c r="V92" s="2"/>
      <c r="W92" s="2"/>
      <c r="X92" s="2"/>
      <c r="Y92" s="16"/>
      <c r="Z92" s="22"/>
      <c r="AA92" s="16"/>
      <c r="AB92" s="23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3"/>
      <c r="Q93" s="16"/>
      <c r="R93" s="2"/>
      <c r="S93" s="2"/>
      <c r="T93" s="2"/>
      <c r="U93" s="2"/>
      <c r="V93" s="2"/>
      <c r="W93" s="2"/>
      <c r="X93" s="2"/>
      <c r="Y93" s="16"/>
      <c r="Z93" s="22"/>
      <c r="AA93" s="16"/>
      <c r="AB93" s="23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2014-12-11T12:12:24Z</dcterms:modified>
</cp:coreProperties>
</file>