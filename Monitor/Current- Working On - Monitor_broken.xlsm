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89" i="15"/>
  <c r="Y89" i="15" s="1"/>
  <c r="W89" i="15"/>
  <c r="U89" i="15"/>
  <c r="X88" i="15"/>
  <c r="Y88" i="15" s="1"/>
  <c r="W88" i="15"/>
  <c r="U88" i="15"/>
  <c r="X87" i="15"/>
  <c r="Y87" i="15" s="1"/>
  <c r="W87" i="15"/>
  <c r="U87" i="15"/>
  <c r="X86" i="15"/>
  <c r="Y86" i="15" s="1"/>
  <c r="W86" i="15"/>
  <c r="U86" i="15"/>
  <c r="X85" i="15"/>
  <c r="Y85" i="15" s="1"/>
  <c r="W85" i="15"/>
  <c r="U85" i="15"/>
  <c r="X84" i="15"/>
  <c r="Y84" i="15" s="1"/>
  <c r="W84" i="15"/>
  <c r="U84" i="15"/>
  <c r="X83" i="15"/>
  <c r="Y83" i="15" s="1"/>
  <c r="W83" i="15"/>
  <c r="U83" i="15"/>
  <c r="X82" i="15"/>
  <c r="Y82" i="15" s="1"/>
  <c r="W82" i="15"/>
  <c r="U82" i="15"/>
  <c r="X81" i="15"/>
  <c r="Y81" i="15" s="1"/>
  <c r="W81" i="15"/>
  <c r="U81" i="15"/>
  <c r="X80" i="15"/>
  <c r="Y80" i="15" s="1"/>
  <c r="W80" i="15"/>
  <c r="U80" i="15"/>
  <c r="X79" i="15"/>
  <c r="Y79" i="15" s="1"/>
  <c r="W79" i="15"/>
  <c r="U79" i="15"/>
  <c r="X78" i="15"/>
  <c r="Y78" i="15" s="1"/>
  <c r="W78" i="15"/>
  <c r="U78" i="15"/>
  <c r="X77" i="15"/>
  <c r="Y77" i="15" s="1"/>
  <c r="W77" i="15"/>
  <c r="U77" i="15"/>
  <c r="X76" i="15"/>
  <c r="W76" i="15"/>
  <c r="U76" i="15"/>
  <c r="X75" i="15"/>
  <c r="W75" i="15"/>
  <c r="U75" i="15"/>
  <c r="X74" i="15"/>
  <c r="W74" i="15"/>
  <c r="U74" i="15"/>
  <c r="X73" i="15"/>
  <c r="W73" i="15"/>
  <c r="U73" i="15"/>
  <c r="X72" i="15"/>
  <c r="W72" i="15"/>
  <c r="U72" i="15"/>
  <c r="X71" i="15"/>
  <c r="W71" i="15"/>
  <c r="U71" i="15"/>
  <c r="X70" i="15"/>
  <c r="W70" i="15"/>
  <c r="U70" i="15"/>
  <c r="X69" i="15"/>
  <c r="W69" i="15"/>
  <c r="U69" i="15"/>
  <c r="AE125" i="13"/>
  <c r="AE121" i="13"/>
  <c r="AE117" i="13"/>
  <c r="AE113" i="13"/>
  <c r="AE109" i="13"/>
  <c r="AE105" i="13"/>
  <c r="AE101" i="13"/>
  <c r="AE97" i="13"/>
  <c r="AE93" i="13"/>
  <c r="AE89" i="13"/>
  <c r="AE85" i="13"/>
  <c r="AE81" i="13"/>
  <c r="AE77" i="13"/>
  <c r="AE73" i="13"/>
  <c r="AE69" i="13"/>
  <c r="AE65" i="13"/>
  <c r="AE61" i="13"/>
  <c r="AE57" i="13"/>
  <c r="AE55" i="13"/>
  <c r="AE51" i="13"/>
  <c r="AE47" i="13"/>
  <c r="AE45" i="13"/>
  <c r="AE42" i="13"/>
  <c r="AE40" i="13"/>
  <c r="AE37" i="13"/>
  <c r="AE35" i="13"/>
  <c r="AE33" i="13"/>
  <c r="AE32" i="13"/>
  <c r="AE29" i="13"/>
  <c r="AE27" i="13"/>
  <c r="AE25" i="13"/>
  <c r="AE23" i="13"/>
  <c r="AE21" i="13"/>
  <c r="AE18" i="13"/>
  <c r="AE17" i="13"/>
  <c r="AE15" i="13"/>
  <c r="AE12" i="13"/>
  <c r="AE10" i="13"/>
  <c r="AE8" i="13"/>
  <c r="AE6" i="13"/>
  <c r="AE124" i="13"/>
  <c r="AE120" i="13"/>
  <c r="AE116" i="13"/>
  <c r="AE112" i="13"/>
  <c r="AE108" i="13"/>
  <c r="AE104" i="13"/>
  <c r="AE100" i="13"/>
  <c r="AE96" i="13"/>
  <c r="AE92" i="13"/>
  <c r="AE88" i="13"/>
  <c r="AE84" i="13"/>
  <c r="AE80" i="13"/>
  <c r="AE76" i="13"/>
  <c r="AE72" i="13"/>
  <c r="AE68" i="13"/>
  <c r="AE64" i="13"/>
  <c r="AE60" i="13"/>
  <c r="AE56" i="13"/>
  <c r="AE52" i="13"/>
  <c r="AE48" i="13"/>
  <c r="AE123" i="13"/>
  <c r="AE119" i="13"/>
  <c r="AE115" i="13"/>
  <c r="AE111" i="13"/>
  <c r="AE107" i="13"/>
  <c r="AE103" i="13"/>
  <c r="AE99" i="13"/>
  <c r="AE95" i="13"/>
  <c r="AE91" i="13"/>
  <c r="AE87" i="13"/>
  <c r="AE83" i="13"/>
  <c r="AE79" i="13"/>
  <c r="AE75" i="13"/>
  <c r="AE71" i="13"/>
  <c r="AE67" i="13"/>
  <c r="AE59" i="13"/>
  <c r="AE53" i="13"/>
  <c r="AE122" i="13"/>
  <c r="AE118" i="13"/>
  <c r="AE114" i="13"/>
  <c r="AE110" i="13"/>
  <c r="AE106" i="13"/>
  <c r="AE102" i="13"/>
  <c r="AE98" i="13"/>
  <c r="AE94" i="13"/>
  <c r="AE90" i="13"/>
  <c r="AE86" i="13"/>
  <c r="AE82" i="13"/>
  <c r="AE78" i="13"/>
  <c r="AE74" i="13"/>
  <c r="AE70" i="13"/>
  <c r="AE66" i="13"/>
  <c r="AE62" i="13"/>
  <c r="AE58" i="13"/>
  <c r="AE54" i="13"/>
  <c r="AE50" i="13"/>
  <c r="AE46" i="13"/>
  <c r="AE44" i="13"/>
  <c r="AE43" i="13"/>
  <c r="AE41" i="13"/>
  <c r="AE39" i="13"/>
  <c r="AE38" i="13"/>
  <c r="AE36" i="13"/>
  <c r="AE34" i="13"/>
  <c r="AE31" i="13"/>
  <c r="AE30" i="13"/>
  <c r="AE28" i="13"/>
  <c r="AE26" i="13"/>
  <c r="AE24" i="13"/>
  <c r="AE22" i="13"/>
  <c r="AE20" i="13"/>
  <c r="AE19" i="13"/>
  <c r="AE16" i="13"/>
  <c r="AE14" i="13"/>
  <c r="AE13" i="13"/>
  <c r="AE11" i="13"/>
  <c r="AE9" i="13"/>
  <c r="AE7" i="13"/>
  <c r="AE63" i="13"/>
  <c r="AE49" i="13"/>
  <c r="H64" i="15"/>
  <c r="F64" i="15"/>
  <c r="D64" i="15"/>
  <c r="B64" i="15"/>
  <c r="AA89" i="15"/>
  <c r="AA73" i="15"/>
  <c r="AA87" i="15"/>
  <c r="AA71" i="15"/>
  <c r="AA74" i="15"/>
  <c r="AA80" i="15"/>
  <c r="AA85" i="15"/>
  <c r="AA83" i="15"/>
  <c r="AA70" i="15"/>
  <c r="AA76" i="15"/>
  <c r="AA79" i="15"/>
  <c r="AA77" i="15"/>
  <c r="AA72" i="15"/>
  <c r="AA75" i="15"/>
  <c r="AA78" i="15"/>
  <c r="AA84" i="15"/>
  <c r="AA69" i="15"/>
  <c r="AA86" i="15"/>
  <c r="AA81" i="15"/>
  <c r="AA82" i="15"/>
  <c r="AA88" i="15"/>
  <c r="AF49" i="13" l="1"/>
  <c r="AC49" i="13"/>
  <c r="AG49" i="13"/>
  <c r="AG63" i="13"/>
  <c r="AF63" i="13"/>
  <c r="AC63" i="13"/>
  <c r="AF7" i="13"/>
  <c r="AG7" i="13"/>
  <c r="AC7" i="13"/>
  <c r="AF9" i="13"/>
  <c r="AG9" i="13"/>
  <c r="AC9" i="13"/>
  <c r="AF11" i="13"/>
  <c r="AG11" i="13"/>
  <c r="AC11" i="13"/>
  <c r="AF13" i="13"/>
  <c r="AC13" i="13"/>
  <c r="AG13" i="13"/>
  <c r="AF14" i="13"/>
  <c r="AG14" i="13"/>
  <c r="AC14" i="13"/>
  <c r="AF16" i="13"/>
  <c r="AC16" i="13"/>
  <c r="AG16" i="13"/>
  <c r="AF19" i="13"/>
  <c r="AG19" i="13"/>
  <c r="AC19" i="13"/>
  <c r="AF20" i="13"/>
  <c r="AG20" i="13"/>
  <c r="AC20" i="13"/>
  <c r="AF22" i="13"/>
  <c r="AC22" i="13"/>
  <c r="AG22" i="13"/>
  <c r="AF24" i="13"/>
  <c r="AG24" i="13"/>
  <c r="AC24" i="13"/>
  <c r="AF26" i="13"/>
  <c r="AG26" i="13"/>
  <c r="AC26" i="13"/>
  <c r="AF28" i="13"/>
  <c r="AG28" i="13"/>
  <c r="AC28" i="13"/>
  <c r="AF30" i="13"/>
  <c r="AG30" i="13"/>
  <c r="AC30" i="13"/>
  <c r="AF31" i="13"/>
  <c r="AG31" i="13"/>
  <c r="AC31" i="13"/>
  <c r="AF34" i="13"/>
  <c r="AC34" i="13"/>
  <c r="AG34" i="13"/>
  <c r="AC36" i="13"/>
  <c r="AG36" i="13"/>
  <c r="AF36" i="13"/>
  <c r="AC38" i="13"/>
  <c r="AF38" i="13"/>
  <c r="AG38" i="13"/>
  <c r="AG39" i="13"/>
  <c r="AC39" i="13"/>
  <c r="AF39" i="13"/>
  <c r="AC41" i="13"/>
  <c r="AF41" i="13"/>
  <c r="AG41" i="13"/>
  <c r="AG43" i="13"/>
  <c r="AC43" i="13"/>
  <c r="AF43" i="13"/>
  <c r="AG44" i="13"/>
  <c r="AF44" i="13"/>
  <c r="AC44" i="13"/>
  <c r="AG46" i="13"/>
  <c r="AF46" i="13"/>
  <c r="AC46" i="13"/>
  <c r="AF50" i="13"/>
  <c r="AC50" i="13"/>
  <c r="AG50" i="13"/>
  <c r="AF54" i="13"/>
  <c r="AC54" i="13"/>
  <c r="AG54" i="13"/>
  <c r="AC58" i="13"/>
  <c r="AF58" i="13"/>
  <c r="AG58" i="13"/>
  <c r="AC62" i="13"/>
  <c r="AF62" i="13"/>
  <c r="AG62" i="13"/>
  <c r="AG66" i="13"/>
  <c r="AF66" i="13"/>
  <c r="AC66" i="13"/>
  <c r="AC70" i="13"/>
  <c r="AF70" i="13"/>
  <c r="AG70" i="13"/>
  <c r="AC74" i="13"/>
  <c r="AF74" i="13"/>
  <c r="AG74" i="13"/>
  <c r="AC78" i="13"/>
  <c r="AF78" i="13"/>
  <c r="AG78" i="13"/>
  <c r="AG82" i="13"/>
  <c r="AF82" i="13"/>
  <c r="AC82" i="13"/>
  <c r="AC86" i="13"/>
  <c r="AF86" i="13"/>
  <c r="AG86" i="13"/>
  <c r="AC90" i="13"/>
  <c r="AF90" i="13"/>
  <c r="AG90" i="13"/>
  <c r="AC94" i="13"/>
  <c r="AF94" i="13"/>
  <c r="AG94" i="13"/>
  <c r="AC98" i="13"/>
  <c r="AF98" i="13"/>
  <c r="AG98" i="13"/>
  <c r="AC102" i="13"/>
  <c r="AF102" i="13"/>
  <c r="AG102" i="13"/>
  <c r="AG106" i="13"/>
  <c r="AF106" i="13"/>
  <c r="AC106" i="13"/>
  <c r="AG110" i="13"/>
  <c r="AC110" i="13"/>
  <c r="AF110" i="13"/>
  <c r="AG114" i="13"/>
  <c r="AC114" i="13"/>
  <c r="AF114" i="13"/>
  <c r="AG118" i="13"/>
  <c r="AC118" i="13"/>
  <c r="AF118" i="13"/>
  <c r="AG122" i="13"/>
  <c r="AC122" i="13"/>
  <c r="AF122" i="13"/>
  <c r="AF53" i="13"/>
  <c r="AC53" i="13"/>
  <c r="AG53" i="13"/>
  <c r="AC59" i="13"/>
  <c r="AF59" i="13"/>
  <c r="AG59" i="13"/>
  <c r="AC67" i="13"/>
  <c r="AF67" i="13"/>
  <c r="AG67" i="13"/>
  <c r="AC71" i="13"/>
  <c r="AF71" i="13"/>
  <c r="AG71" i="13"/>
  <c r="AC75" i="13"/>
  <c r="AF75" i="13"/>
  <c r="AG75" i="13"/>
  <c r="AC79" i="13"/>
  <c r="AF79" i="13"/>
  <c r="AG79" i="13"/>
  <c r="AF83" i="13"/>
  <c r="AG83" i="13"/>
  <c r="AC83" i="13"/>
  <c r="AC87" i="13"/>
  <c r="AF87" i="13"/>
  <c r="AG87" i="13"/>
  <c r="AG91" i="13"/>
  <c r="AF91" i="13"/>
  <c r="AC91" i="13"/>
  <c r="AC95" i="13"/>
  <c r="AF95" i="13"/>
  <c r="AG95" i="13"/>
  <c r="AC99" i="13"/>
  <c r="AF99" i="13"/>
  <c r="AG99" i="13"/>
  <c r="AC103" i="13"/>
  <c r="AF103" i="13"/>
  <c r="AG103" i="13"/>
  <c r="AG107" i="13"/>
  <c r="AF107" i="13"/>
  <c r="AC107" i="13"/>
  <c r="AG111" i="13"/>
  <c r="AC111" i="13"/>
  <c r="AF111" i="13"/>
  <c r="AG115" i="13"/>
  <c r="AC115" i="13"/>
  <c r="AF115" i="13"/>
  <c r="AG119" i="13"/>
  <c r="AF119" i="13"/>
  <c r="AC119" i="13"/>
  <c r="AG123" i="13"/>
  <c r="AC123" i="13"/>
  <c r="AF123" i="13"/>
  <c r="AF48" i="13"/>
  <c r="AG48" i="13"/>
  <c r="AC48" i="13"/>
  <c r="AF52" i="13"/>
  <c r="AG52" i="13"/>
  <c r="AC52" i="13"/>
  <c r="AF56" i="13"/>
  <c r="AG56" i="13"/>
  <c r="AC56" i="13"/>
  <c r="AC60" i="13"/>
  <c r="AF60" i="13"/>
  <c r="AG60" i="13"/>
  <c r="AC64" i="13"/>
  <c r="AF64" i="13"/>
  <c r="AG64" i="13"/>
  <c r="AC68" i="13"/>
  <c r="AF68" i="13"/>
  <c r="AG68" i="13"/>
  <c r="AC72" i="13"/>
  <c r="AF72" i="13"/>
  <c r="AG72" i="13"/>
  <c r="AC76" i="13"/>
  <c r="AF76" i="13"/>
  <c r="AG76" i="13"/>
  <c r="AG80" i="13"/>
  <c r="AF80" i="13"/>
  <c r="AC80" i="13"/>
  <c r="AC84" i="13"/>
  <c r="AF84" i="13"/>
  <c r="AG84" i="13"/>
  <c r="AC88" i="13"/>
  <c r="AF88" i="13"/>
  <c r="AG88" i="13"/>
  <c r="AG92" i="13"/>
  <c r="AF92" i="13"/>
  <c r="AC92" i="13"/>
  <c r="AC96" i="13"/>
  <c r="AF96" i="13"/>
  <c r="AG96" i="13"/>
  <c r="AC100" i="13"/>
  <c r="AF100" i="13"/>
  <c r="AG100" i="13"/>
  <c r="AC104" i="13"/>
  <c r="AF104" i="13"/>
  <c r="AG104" i="13"/>
  <c r="AG108" i="13"/>
  <c r="AC108" i="13"/>
  <c r="AF108" i="13"/>
  <c r="AG112" i="13"/>
  <c r="AC112" i="13"/>
  <c r="AF112" i="13"/>
  <c r="AG116" i="13"/>
  <c r="AC116" i="13"/>
  <c r="AF116" i="13"/>
  <c r="AG120" i="13"/>
  <c r="AC120" i="13"/>
  <c r="AF120" i="13"/>
  <c r="AG124" i="13"/>
  <c r="AC124" i="13"/>
  <c r="AF124" i="13"/>
  <c r="AF6" i="13"/>
  <c r="AG6" i="13"/>
  <c r="AC6" i="13"/>
  <c r="AF8" i="13"/>
  <c r="AG8" i="13"/>
  <c r="AC8" i="13"/>
  <c r="AF10" i="13"/>
  <c r="AG10" i="13"/>
  <c r="AC10" i="13"/>
  <c r="AF12" i="13"/>
  <c r="AC12" i="13"/>
  <c r="AG12" i="13"/>
  <c r="AF15" i="13"/>
  <c r="AG15" i="13"/>
  <c r="AC15" i="13"/>
  <c r="AF17" i="13"/>
  <c r="AG17" i="13"/>
  <c r="AC17" i="13"/>
  <c r="AF18" i="13"/>
  <c r="AC18" i="13"/>
  <c r="AG18" i="13"/>
  <c r="AF21" i="13"/>
  <c r="AG21" i="13"/>
  <c r="AC21" i="13"/>
  <c r="AF23" i="13"/>
  <c r="AC23" i="13"/>
  <c r="AG23" i="13"/>
  <c r="AF25" i="13"/>
  <c r="AG25" i="13"/>
  <c r="AC25" i="13"/>
  <c r="AF27" i="13"/>
  <c r="AG27" i="13"/>
  <c r="AC27" i="13"/>
  <c r="AF29" i="13"/>
  <c r="AG29" i="13"/>
  <c r="AC29" i="13"/>
  <c r="AF32" i="13"/>
  <c r="AG32" i="13"/>
  <c r="AC32" i="13"/>
  <c r="AF33" i="13"/>
  <c r="AC33" i="13"/>
  <c r="AG33" i="13"/>
  <c r="AF35" i="13"/>
  <c r="AC35" i="13"/>
  <c r="AG35" i="13"/>
  <c r="AG37" i="13"/>
  <c r="AF37" i="13"/>
  <c r="AC37" i="13"/>
  <c r="AG40" i="13"/>
  <c r="AF40" i="13"/>
  <c r="AC40" i="13"/>
  <c r="AC42" i="13"/>
  <c r="AF42" i="13"/>
  <c r="AG42" i="13"/>
  <c r="AC45" i="13"/>
  <c r="AG45" i="13"/>
  <c r="AF45" i="13"/>
  <c r="AF47" i="13"/>
  <c r="AC47" i="13"/>
  <c r="AG47" i="13"/>
  <c r="AF51" i="13"/>
  <c r="AC51" i="13"/>
  <c r="AG51" i="13"/>
  <c r="AF55" i="13"/>
  <c r="AC55" i="13"/>
  <c r="AG55" i="13"/>
  <c r="AC57" i="13"/>
  <c r="AF57" i="13"/>
  <c r="AG57" i="13"/>
  <c r="AC61" i="13"/>
  <c r="AF61" i="13"/>
  <c r="AG61" i="13"/>
  <c r="AC65" i="13"/>
  <c r="AF65" i="13"/>
  <c r="AG65" i="13"/>
  <c r="AC69" i="13"/>
  <c r="AF69" i="13"/>
  <c r="AG69" i="13"/>
  <c r="AC73" i="13"/>
  <c r="AF73" i="13"/>
  <c r="AG73" i="13"/>
  <c r="AC77" i="13"/>
  <c r="AF77" i="13"/>
  <c r="AG77" i="13"/>
  <c r="AG81" i="13"/>
  <c r="AF81" i="13"/>
  <c r="AC81" i="13"/>
  <c r="AC85" i="13"/>
  <c r="AF85" i="13"/>
  <c r="AG85" i="13"/>
  <c r="AC89" i="13"/>
  <c r="AF89" i="13"/>
  <c r="AG89" i="13"/>
  <c r="AC93" i="13"/>
  <c r="AF93" i="13"/>
  <c r="AG93" i="13"/>
  <c r="AC97" i="13"/>
  <c r="AF97" i="13"/>
  <c r="AG97" i="13"/>
  <c r="AC101" i="13"/>
  <c r="AF101" i="13"/>
  <c r="AG101" i="13"/>
  <c r="AC105" i="13"/>
  <c r="AF105" i="13"/>
  <c r="AG105" i="13"/>
  <c r="AG109" i="13"/>
  <c r="AC109" i="13"/>
  <c r="AF109" i="13"/>
  <c r="AG113" i="13"/>
  <c r="AC113" i="13"/>
  <c r="AF113" i="13"/>
  <c r="AG117" i="13"/>
  <c r="AC117" i="13"/>
  <c r="AF117" i="13"/>
  <c r="AG121" i="13"/>
  <c r="AC121" i="13"/>
  <c r="AF121" i="13"/>
  <c r="AG125" i="13"/>
  <c r="AC125" i="13"/>
  <c r="AF125" i="13"/>
  <c r="Y76" i="15"/>
  <c r="Y70" i="15"/>
  <c r="Y74" i="15"/>
  <c r="Y69" i="15"/>
  <c r="Y75" i="15"/>
  <c r="Y71" i="15"/>
  <c r="Y73" i="15"/>
  <c r="Y72" i="15"/>
  <c r="Q37" i="15"/>
  <c r="S37" i="15"/>
  <c r="T37" i="15" s="1"/>
  <c r="R37" i="15"/>
  <c r="Z79" i="15"/>
  <c r="Z72" i="15"/>
  <c r="Z69" i="15"/>
  <c r="Z71" i="15"/>
  <c r="Z84" i="15"/>
  <c r="Z85" i="15"/>
  <c r="Z88" i="15"/>
  <c r="Z81" i="15"/>
  <c r="Z86" i="15"/>
  <c r="Z80" i="15"/>
  <c r="Z73" i="15"/>
  <c r="Z77" i="15"/>
  <c r="Z83" i="15"/>
  <c r="Z89" i="15"/>
  <c r="Z76" i="15"/>
  <c r="Z87" i="15"/>
  <c r="Z82" i="15"/>
  <c r="Z78" i="15"/>
  <c r="Z74" i="15"/>
  <c r="Z70" i="15"/>
  <c r="Z75" i="15"/>
  <c r="AF4" i="13" l="1"/>
  <c r="AB77" i="15"/>
  <c r="AC77" i="15" s="1"/>
  <c r="AD77" i="15" s="1"/>
  <c r="AB75" i="15"/>
  <c r="AC75" i="15" s="1"/>
  <c r="AD75" i="15" s="1"/>
  <c r="AB84" i="15"/>
  <c r="AC84" i="15" s="1"/>
  <c r="AD84" i="15" s="1"/>
  <c r="AB89" i="15"/>
  <c r="AC89" i="15" s="1"/>
  <c r="AD89" i="15" s="1"/>
  <c r="AB73" i="15"/>
  <c r="AC73" i="15" s="1"/>
  <c r="AD73" i="15" s="1"/>
  <c r="AB87" i="15"/>
  <c r="AC87" i="15" s="1"/>
  <c r="AD87" i="15" s="1"/>
  <c r="AB71" i="15"/>
  <c r="AC71" i="15" s="1"/>
  <c r="AD71" i="15" s="1"/>
  <c r="AB74" i="15"/>
  <c r="AC74" i="15" s="1"/>
  <c r="AD74" i="15" s="1"/>
  <c r="AB80" i="15"/>
  <c r="AC80" i="15" s="1"/>
  <c r="AD80" i="15" s="1"/>
  <c r="AB85" i="15"/>
  <c r="AC85" i="15" s="1"/>
  <c r="AD85" i="15" s="1"/>
  <c r="AB69" i="15"/>
  <c r="AC69" i="15" s="1"/>
  <c r="AD69" i="15" s="1"/>
  <c r="AB83" i="15"/>
  <c r="AC83" i="15" s="1"/>
  <c r="AD83" i="15" s="1"/>
  <c r="AB86" i="15"/>
  <c r="AC86" i="15" s="1"/>
  <c r="AD86" i="15" s="1"/>
  <c r="AB70" i="15"/>
  <c r="AC70" i="15" s="1"/>
  <c r="AD70" i="15" s="1"/>
  <c r="AB72" i="15"/>
  <c r="AC72" i="15" s="1"/>
  <c r="AD72" i="15" s="1"/>
  <c r="AB78" i="15"/>
  <c r="AC78" i="15" s="1"/>
  <c r="AD78" i="15" s="1"/>
  <c r="AB81" i="15"/>
  <c r="AC81" i="15" s="1"/>
  <c r="AD81" i="15" s="1"/>
  <c r="AB76" i="15"/>
  <c r="AC76" i="15" s="1"/>
  <c r="AD76" i="15" s="1"/>
  <c r="AB79" i="15"/>
  <c r="AC79" i="15" s="1"/>
  <c r="AD79" i="15" s="1"/>
  <c r="AB82" i="15"/>
  <c r="AC82" i="15" s="1"/>
  <c r="AD82" i="15" s="1"/>
  <c r="AB88" i="15"/>
  <c r="AC88" i="15" s="1"/>
  <c r="AD88" i="15" s="1"/>
  <c r="AG67" i="15" l="1"/>
  <c r="W37" i="15" s="1"/>
  <c r="V37" i="15" s="1"/>
  <c r="S38" i="15"/>
  <c r="R38" i="15"/>
  <c r="S39" i="15" l="1"/>
  <c r="S42" i="15" s="1"/>
  <c r="R39" i="15"/>
  <c r="S41" i="15" s="1"/>
  <c r="R41" i="15"/>
  <c r="R42" i="15"/>
</calcChain>
</file>

<file path=xl/sharedStrings.xml><?xml version="1.0" encoding="utf-8"?>
<sst xmlns="http://schemas.openxmlformats.org/spreadsheetml/2006/main" count="25212" uniqueCount="7124">
  <si>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</si>
  <si>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</si>
  <si>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</si>
  <si>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</si>
  <si>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</si>
  <si>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</si>
  <si>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</si>
  <si>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</si>
  <si>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</si>
  <si>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</si>
  <si>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</si>
  <si>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</si>
  <si>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</si>
  <si>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</si>
  <si>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</si>
  <si>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</si>
  <si>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</si>
  <si>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</si>
  <si>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</si>
  <si>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</si>
  <si>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</si>
  <si>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</si>
  <si>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</si>
  <si>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</si>
  <si>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</si>
  <si>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</si>
  <si>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</si>
  <si>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</si>
  <si>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</si>
  <si>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</si>
  <si>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</si>
  <si>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</si>
  <si>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</si>
  <si>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</si>
  <si>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</si>
  <si>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</si>
  <si>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</si>
  <si>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</si>
  <si>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</si>
  <si>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</si>
  <si>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</si>
  <si>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</si>
  <si>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</si>
  <si>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</si>
  <si>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</si>
  <si>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</si>
  <si>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</si>
  <si>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</si>
  <si>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</si>
  <si>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</si>
  <si>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</si>
  <si>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</si>
  <si>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</si>
  <si>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</si>
  <si>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</si>
  <si>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</si>
  <si>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</si>
  <si>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</si>
  <si>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</si>
  <si>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</si>
  <si>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</si>
  <si>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</si>
  <si>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</si>
  <si>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</si>
  <si>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</si>
  <si>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</si>
  <si>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</si>
  <si>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</si>
  <si>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</si>
  <si>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</si>
  <si>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</si>
  <si>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</si>
  <si>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</si>
  <si>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</si>
  <si>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</si>
  <si>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</si>
  <si>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</si>
  <si>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</si>
  <si>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</si>
  <si>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</si>
  <si>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</si>
  <si>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</si>
  <si>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</si>
  <si>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</si>
  <si>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</si>
  <si>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</si>
  <si>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</si>
  <si>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</si>
  <si>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</si>
  <si>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</si>
  <si>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</si>
  <si>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</si>
  <si>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</si>
  <si>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</si>
  <si>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</si>
  <si>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</si>
  <si>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</si>
  <si>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</si>
  <si>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</si>
  <si>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</si>
  <si>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</si>
  <si>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</si>
  <si>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</si>
  <si>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</si>
  <si>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</si>
  <si>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</si>
  <si>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</si>
  <si>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</si>
  <si>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</si>
  <si>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</si>
  <si>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</si>
  <si>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</si>
  <si>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</si>
  <si>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</si>
  <si>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</si>
  <si>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</si>
  <si>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</si>
  <si>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</si>
  <si>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</si>
  <si>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</si>
  <si>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</si>
  <si>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</si>
  <si>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</si>
  <si>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</si>
  <si>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</si>
  <si>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</si>
  <si>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</si>
  <si>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</si>
  <si>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</si>
  <si>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</si>
  <si>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54.171.93.132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</si>
  <si>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</si>
  <si>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</si>
  <si>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</si>
  <si>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</si>
  <si>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</si>
  <si>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</si>
  <si>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</si>
  <si>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</si>
  <si>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</si>
  <si>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</si>
  <si>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</si>
  <si>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</si>
  <si>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</si>
  <si>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</si>
  <si>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</si>
  <si>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</si>
  <si>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</si>
  <si>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</si>
  <si>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</si>
  <si>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</si>
  <si>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</si>
  <si>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</si>
  <si>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</si>
  <si>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</si>
  <si>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</si>
  <si>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</si>
  <si>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</si>
  <si>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</si>
  <si>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</si>
  <si>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</si>
  <si>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</si>
  <si>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</si>
  <si>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</si>
  <si>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</si>
  <si>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</si>
  <si>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</si>
  <si>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</si>
  <si>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</si>
  <si>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</si>
  <si>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</si>
  <si>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</si>
  <si>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</si>
  <si>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</si>
  <si>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</si>
  <si>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</si>
  <si>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</si>
  <si>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</si>
  <si>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</si>
  <si>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</si>
  <si>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</si>
  <si>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</si>
  <si>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</si>
  <si>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</si>
  <si>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</si>
  <si>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</si>
  <si>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</si>
  <si>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</si>
  <si>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</si>
  <si>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</si>
  <si>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AUTOSTOP_FIRST_ROW</t>
  </si>
  <si>
    <t>AUTOSTOP_FIRST_COL</t>
  </si>
  <si>
    <t>PreSubmitted</t>
  </si>
  <si>
    <t>SELL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</si>
  <si>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</si>
  <si>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</si>
  <si>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</si>
  <si>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</si>
  <si>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</si>
  <si>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</si>
  <si>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</si>
  <si>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</si>
  <si>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</si>
  <si>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</si>
  <si>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 xml:space="preserve"> </t>
  </si>
  <si>
    <t>AutoShaper</t>
  </si>
  <si>
    <t>Calls</t>
  </si>
  <si>
    <t>Puts</t>
  </si>
  <si>
    <t>Sequence Number</t>
  </si>
  <si>
    <t>Target Position</t>
  </si>
  <si>
    <t>Acutal Position</t>
  </si>
  <si>
    <t>Actual Position</t>
  </si>
  <si>
    <t>Position Code</t>
  </si>
  <si>
    <t>Target Margin %</t>
  </si>
  <si>
    <t>ROW_HEDGE_INSTRUMENT</t>
  </si>
  <si>
    <t>ROW_ACCOUNT_INFO</t>
  </si>
  <si>
    <t>Not Subscribed</t>
  </si>
  <si>
    <t>TWS Control NOT connected</t>
  </si>
  <si>
    <t>Distance to Strike</t>
  </si>
  <si>
    <t>Distance to Trigger</t>
  </si>
  <si>
    <t>Diatance to Strike</t>
  </si>
  <si>
    <t>STP LMT</t>
  </si>
  <si>
    <t>?</t>
  </si>
  <si>
    <t>Cancelled</t>
  </si>
  <si>
    <t>Canceled</t>
  </si>
  <si>
    <t>6B2G5 P1510</t>
  </si>
  <si>
    <t>6B2G5 P1515</t>
  </si>
  <si>
    <t>6B2G5 C1520</t>
  </si>
  <si>
    <t>6B2G5 C1525</t>
  </si>
  <si>
    <t>6B2G5 P1520</t>
  </si>
  <si>
    <t>6B2G5 C1530</t>
  </si>
  <si>
    <t>6B2G5 C1535</t>
  </si>
  <si>
    <t>In-Flight</t>
  </si>
  <si>
    <t>Submitted</t>
  </si>
  <si>
    <t>DU179595</t>
  </si>
  <si>
    <t>BOT</t>
  </si>
  <si>
    <t>PendingSubmit</t>
  </si>
  <si>
    <t>SLD</t>
  </si>
  <si>
    <t>PendingCancel</t>
  </si>
  <si>
    <t>6B2G5 P1525</t>
  </si>
  <si>
    <t>Max Cross Ticks</t>
  </si>
  <si>
    <t>0001f4e5.54d9b688.01.01</t>
  </si>
  <si>
    <t>20150210  20:01:09</t>
  </si>
  <si>
    <t>0001f4e5.54d9b68c.01.01</t>
  </si>
  <si>
    <t>20150210  20:01:10</t>
  </si>
  <si>
    <t>0001f4e5.54d9b690.01.01</t>
  </si>
  <si>
    <t>20150210  20:01:13</t>
  </si>
  <si>
    <t>0001f4e5.54d9b696.01.01</t>
  </si>
  <si>
    <t>0001f4e5.54d9b698.01.01</t>
  </si>
  <si>
    <t>20150210  20:01:15</t>
  </si>
  <si>
    <t>0001f4e5.54d9b72f.01.01</t>
  </si>
  <si>
    <t>20150210  20:05:47</t>
  </si>
  <si>
    <t>0001f4e5.54d9b730.01.01</t>
  </si>
  <si>
    <t>0001f4e5.54d9b74a.01.01</t>
  </si>
  <si>
    <t>20150210  20:06:06</t>
  </si>
  <si>
    <t>0001f4e5.54d9b74b.01.01</t>
  </si>
  <si>
    <t>0001f4e5.54d9b74f.01.01</t>
  </si>
  <si>
    <t>20150210  20:06:09</t>
  </si>
  <si>
    <t>0001f4e5.54d9b758.01.01</t>
  </si>
  <si>
    <t>20150210  20:06:20</t>
  </si>
  <si>
    <t>0001f4e5.54d9b759.01.01</t>
  </si>
  <si>
    <t>20150210  20:06:21</t>
  </si>
  <si>
    <t>0001f4e5.54d9b760.01.01</t>
  </si>
  <si>
    <t>20150210  20:06:39</t>
  </si>
  <si>
    <t>0001f4e5.54d9b761.01.01</t>
  </si>
  <si>
    <t>20150210  20:06:40</t>
  </si>
  <si>
    <t>0001f4e5.54d9b76a.01.01</t>
  </si>
  <si>
    <t>20150210  20:06:47</t>
  </si>
  <si>
    <t>0001f4e5.54d9b76b.01.01</t>
  </si>
  <si>
    <t>20150210  20:06:50</t>
  </si>
  <si>
    <t>0001f4e5.54d9b76c.01.01</t>
  </si>
  <si>
    <t>20150210  20:06:52</t>
  </si>
  <si>
    <t>0001f4e5.54d9b76e.01.01</t>
  </si>
  <si>
    <t>20150210  20:06:54</t>
  </si>
  <si>
    <t>0001f4e5.54d9b76f.01.01</t>
  </si>
  <si>
    <t>20150210  20:06:56</t>
  </si>
  <si>
    <t>0001f4e5.54d9b770.01.01</t>
  </si>
  <si>
    <t>20150210  20:06:57</t>
  </si>
  <si>
    <t>0001f4e5.54d9b772.01.01</t>
  </si>
  <si>
    <t>20150210  20:06:59</t>
  </si>
  <si>
    <t>0001f4e5.54d9b794.01.01</t>
  </si>
  <si>
    <t>20150210  20:07:37</t>
  </si>
  <si>
    <t>0001f4e5.54d9b795.01.01</t>
  </si>
  <si>
    <t>0001f4e5.54d9b797.01.01</t>
  </si>
  <si>
    <t>20150210  20:07:39</t>
  </si>
  <si>
    <t>0001f4e5.54d9b798.01.01</t>
  </si>
  <si>
    <t>20150210  20:07:40</t>
  </si>
  <si>
    <t>0001f4e5.54d9b799.01.01</t>
  </si>
  <si>
    <t>20150210  20:07:41</t>
  </si>
  <si>
    <t>0001f4e5.54d9b79a.01.01</t>
  </si>
  <si>
    <t>20150210  20:07:44</t>
  </si>
  <si>
    <t>0001f4e5.54d9b79b.01.01</t>
  </si>
  <si>
    <t>0001f4e5.54d9b79e.01.01</t>
  </si>
  <si>
    <t>20150210  20:07:45</t>
  </si>
  <si>
    <t>0001f4e5.54d9b7a2.01.01</t>
  </si>
  <si>
    <t>20150210  20:07:46</t>
  </si>
  <si>
    <t>0001f4e5.54d9b7bf.01.01</t>
  </si>
  <si>
    <t>20150210  20:08:32</t>
  </si>
  <si>
    <t>0001f4e5.54d9b7ce.01.01</t>
  </si>
  <si>
    <t>20150210  20:09:11</t>
  </si>
  <si>
    <t>0001f4e5.54d9b7cf.01.01</t>
  </si>
  <si>
    <t>0001f4e5.54d9b7d0.01.01</t>
  </si>
  <si>
    <t>0001f4e5.54d9b7d1.01.01</t>
  </si>
  <si>
    <t>20150210  20:09:12</t>
  </si>
  <si>
    <t>0001f4e5.54d9b7d3.01.01</t>
  </si>
  <si>
    <t>20150210  20:09:14</t>
  </si>
  <si>
    <t>0001f4e5.54d9b7e8.01.01</t>
  </si>
  <si>
    <t>20150210  20:09:45</t>
  </si>
  <si>
    <t>0001f4e5.54d9b7ea.01.01</t>
  </si>
  <si>
    <t>0001f4e5.54d9b7f1.01.01</t>
  </si>
  <si>
    <t>20150210  20:09:58</t>
  </si>
  <si>
    <t>0001f4e5.54d9b7f2.01.01</t>
  </si>
  <si>
    <t>20150210  20:10:00</t>
  </si>
  <si>
    <t>0001f4e5.54d9b804.01.01</t>
  </si>
  <si>
    <t>20150210  20:10:13</t>
  </si>
  <si>
    <t>0001f4e5.54d9b809.01.01</t>
  </si>
  <si>
    <t>20150210  20:10:16</t>
  </si>
  <si>
    <t>0001f4e5.54d9b80a.01.01</t>
  </si>
  <si>
    <t>20150210  20:10:18</t>
  </si>
  <si>
    <t>0001f4e5.54d9b80e.01.01</t>
  </si>
  <si>
    <t>20150210  20:10:20</t>
  </si>
  <si>
    <t>0001f4e5.54d9b80f.01.01</t>
  </si>
  <si>
    <t>20150210  20:10:22</t>
  </si>
  <si>
    <t>0001f4e5.54d9b818.01.01</t>
  </si>
  <si>
    <t>20150210  20:10:44</t>
  </si>
  <si>
    <t>0001f4e5.54d9b819.01.01</t>
  </si>
  <si>
    <t>20150210  20:10:45</t>
  </si>
  <si>
    <t>0001f4e5.54d9b81c.01.01</t>
  </si>
  <si>
    <t>20150210  20:10:47</t>
  </si>
  <si>
    <t>0001f4e5.54d9b81d.01.01</t>
  </si>
  <si>
    <t>20150210  20:10:49</t>
  </si>
  <si>
    <t>0001f4e5.54d9b81e.01.01</t>
  </si>
  <si>
    <t>0001f4e5.54d9b820.01.01</t>
  </si>
  <si>
    <t>20150210  20:10:51</t>
  </si>
  <si>
    <t>0001f4e5.54d9b821.01.01</t>
  </si>
  <si>
    <t>20150210  20:10:53</t>
  </si>
  <si>
    <t>0001f4e5.54d9b893.01.01</t>
  </si>
  <si>
    <t>20150210  20:15:24</t>
  </si>
  <si>
    <t>0001f4e5.54d9b894.01.01</t>
  </si>
  <si>
    <t>0001f4e5.54d9b895.01.01</t>
  </si>
  <si>
    <t>0001f4e5.54d9b897.01.01</t>
  </si>
  <si>
    <t>20150210  20:15:25</t>
  </si>
  <si>
    <t>0001f4e5.54d9b898.01.01</t>
  </si>
  <si>
    <t>0001f4e5.54d9b899.01.01</t>
  </si>
  <si>
    <t>20150210  20:15:28</t>
  </si>
  <si>
    <t>0001f4e5.54d9b89a.01.01</t>
  </si>
  <si>
    <t>20150210  20:15:29</t>
  </si>
  <si>
    <t>0001f4e5.54d9b89f.01.01</t>
  </si>
  <si>
    <t>20150210  20:15:40</t>
  </si>
  <si>
    <t>0001f4e5.54d9b8b3.01.01</t>
  </si>
  <si>
    <t>20150210  20:15:59</t>
  </si>
  <si>
    <t>0001f4e5.54d9b8b5.01.01</t>
  </si>
  <si>
    <t>20150210  20:16:00</t>
  </si>
  <si>
    <t>0001f4e5.54d9b8d2.01.01</t>
  </si>
  <si>
    <t>20150210  20:17:20</t>
  </si>
  <si>
    <t>0001f4e5.54d9b8d3.01.01</t>
  </si>
  <si>
    <t>20150210  20:17:22</t>
  </si>
  <si>
    <t>0001f4e5.54d9b8ed.01.01</t>
  </si>
  <si>
    <t>20150210  20:18:23</t>
  </si>
  <si>
    <t>0001f4e5.54d9b8ee.01.01</t>
  </si>
  <si>
    <t>20150210  20:18:24</t>
  </si>
  <si>
    <t>0001f4e5.54d9b8f0.01.01</t>
  </si>
  <si>
    <t>0001f4e5.54d9b8f9.01.01</t>
  </si>
  <si>
    <t>20150210  20:18:39</t>
  </si>
  <si>
    <t>0001f4e5.54d9b8fa.01.01</t>
  </si>
  <si>
    <t>20150210  20:18:40</t>
  </si>
  <si>
    <t>0001f4e5.54d9b8fb.01.01</t>
  </si>
  <si>
    <t>20150210  20:18:42</t>
  </si>
  <si>
    <t>0001f4e5.54d9b8fd.01.01</t>
  </si>
  <si>
    <t>20150210  20:18:44</t>
  </si>
  <si>
    <t>0001f4e5.54d9b8fe.01.01</t>
  </si>
  <si>
    <t>20150210  20:18:46</t>
  </si>
  <si>
    <t>0001f4e5.54d9b902.01.01</t>
  </si>
  <si>
    <t>20150210  20:18:57</t>
  </si>
  <si>
    <t>0001f4e5.54d9b903.01.01</t>
  </si>
  <si>
    <t>0001f4e5.54d9b904.01.01</t>
  </si>
  <si>
    <t>20150210  20:18:59</t>
  </si>
  <si>
    <t>0001f4e5.54d9b905.01.01</t>
  </si>
  <si>
    <t>0001f4e5.54d9b908.01.01</t>
  </si>
  <si>
    <t>20150210  20:19:01</t>
  </si>
  <si>
    <t>0001f4e5.54d9b90a.01.01</t>
  </si>
  <si>
    <t>20150210  20:19:03</t>
  </si>
  <si>
    <t>0001f4e5.54d9b90b.01.01</t>
  </si>
  <si>
    <t>20150210  20:19:05</t>
  </si>
  <si>
    <t>0001f4e5.54d9b90c.01.01</t>
  </si>
  <si>
    <t>20150210  20:19:07</t>
  </si>
  <si>
    <t>0001f4e5.54d9b90d.01.01</t>
  </si>
  <si>
    <t>20150210  20:19:09</t>
  </si>
  <si>
    <t>0001f4e5.54d9b91a.01.01</t>
  </si>
  <si>
    <t>20150210  20:19:24</t>
  </si>
  <si>
    <t>0001f4e5.54d9ba81.01.01</t>
  </si>
  <si>
    <t>20150210  20:30:14</t>
  </si>
  <si>
    <t>0001f4e5.54d9ba9b.01.01</t>
  </si>
  <si>
    <t>20150210  20:30:38</t>
  </si>
  <si>
    <t>0001f4e5.54d9babf.01.01</t>
  </si>
  <si>
    <t>20150210  20:31:09</t>
  </si>
  <si>
    <t>0001f4e5.54d9bac0.01.01</t>
  </si>
  <si>
    <t>20150210  20:31:10</t>
  </si>
  <si>
    <t>0001f4e5.54d9bac3.01.01</t>
  </si>
  <si>
    <t>20150210  20:31:11</t>
  </si>
  <si>
    <t>0001f4e5.54d9bac6.01.01</t>
  </si>
  <si>
    <t>20150210  20:31:14</t>
  </si>
  <si>
    <t>0001f4e5.54d9bae3.01.01</t>
  </si>
  <si>
    <t>20150210  20:31:59</t>
  </si>
  <si>
    <t>0001f4e5.54d9bae4.01.01</t>
  </si>
  <si>
    <t>0001f4e5.54d9bae6.01.01</t>
  </si>
  <si>
    <t>0001f4e5.54d9bae7.01.01</t>
  </si>
  <si>
    <t>20150210  20:32:01</t>
  </si>
  <si>
    <t>0001f4e5.54d9bae8.01.01</t>
  </si>
  <si>
    <t>20150210  20:32:02</t>
  </si>
  <si>
    <t>0001f4e5.54d9baef.01.01</t>
  </si>
  <si>
    <t>20150210  20:32:17</t>
  </si>
  <si>
    <t>0001f4e5.54d9baf5.01.01</t>
  </si>
  <si>
    <t>20150210  20:32:19</t>
  </si>
  <si>
    <t>0001f4e5.54d9baf6.01.01</t>
  </si>
  <si>
    <t>20150210  20:32:21</t>
  </si>
  <si>
    <t>0001f4e5.54d9bb73.01.01</t>
  </si>
  <si>
    <t>20150210  20:38:34</t>
  </si>
  <si>
    <t>0001f4e5.54d9bb75.01.01</t>
  </si>
  <si>
    <t>20150210  20:38:37</t>
  </si>
  <si>
    <t>0001f4e5.54d9bb8e.01.01</t>
  </si>
  <si>
    <t>20150210  20:39:36</t>
  </si>
  <si>
    <t>0001f4e5.54d9bb8f.01.01</t>
  </si>
  <si>
    <t>0001f4e5.54d9bb9d.01.01</t>
  </si>
  <si>
    <t>20150210  20:39:55</t>
  </si>
  <si>
    <t>0001f4e5.54d9bb9f.01.01</t>
  </si>
  <si>
    <t>20150210  20:39:57</t>
  </si>
  <si>
    <t>0001f4e5.54d9bba0.01.01</t>
  </si>
  <si>
    <t>20150210  20:39:58</t>
  </si>
  <si>
    <t>0001f4e5.54d9bba2.01.01</t>
  </si>
  <si>
    <t>20150210  20:40:00</t>
  </si>
  <si>
    <t>0001f4e5.54d9bba3.01.01</t>
  </si>
  <si>
    <t>0001f4e5.54d9bba5.01.01</t>
  </si>
  <si>
    <t>20150210  20:40:03</t>
  </si>
  <si>
    <t>0001f4e5.54d9bba9.01.01</t>
  </si>
  <si>
    <t>0001f4e5.54d9bbab.01.01</t>
  </si>
  <si>
    <t>20150210  20:40:04</t>
  </si>
  <si>
    <t>0001f4e5.54d9bbac.01.01</t>
  </si>
  <si>
    <t>0001f4e5.54d9bbae.01.01</t>
  </si>
  <si>
    <t>20150210  20:40:07</t>
  </si>
  <si>
    <t>0001f4e5.54d9bbb0.01.01</t>
  </si>
  <si>
    <t>20150210  20:40:08</t>
  </si>
  <si>
    <t>0001f4e5.54d9bbb1.01.01</t>
  </si>
  <si>
    <t>20150210  20:40:10</t>
  </si>
  <si>
    <t>0001f4e5.54d9bbb2.01.01</t>
  </si>
  <si>
    <t>20150210  20:40:11</t>
  </si>
  <si>
    <t>0001f4e5.54d9bbb5.01.01</t>
  </si>
  <si>
    <t>20150210  20:40:12</t>
  </si>
  <si>
    <t>0001f4e5.54d9bbb7.01.01</t>
  </si>
  <si>
    <t>20150210  20:40:13</t>
  </si>
  <si>
    <t>0001f4e5.54d9bbb8.01.01</t>
  </si>
  <si>
    <t>20150210  20:40:14</t>
  </si>
  <si>
    <t>0001f4e5.54d9bbb9.01.01</t>
  </si>
  <si>
    <t>0001f4e5.54d9bbba.01.01</t>
  </si>
  <si>
    <t>0001f4e5.54d9bbbb.01.01</t>
  </si>
  <si>
    <t>20150210  20:40:28</t>
  </si>
  <si>
    <t>0001f4e5.54d9be6d.01.01</t>
  </si>
  <si>
    <t>20150210  21:00:01</t>
  </si>
  <si>
    <t>0001f4e5.54d9be6e.01.01</t>
  </si>
  <si>
    <t>0001f4e5.54d9be70.01.01</t>
  </si>
  <si>
    <t>0001f4e5.54d9be71.01.01</t>
  </si>
  <si>
    <t>0001f4e5.54d9be72.01.01</t>
  </si>
  <si>
    <t>0001f4e5.54d9be73.01.01</t>
  </si>
  <si>
    <t>0001f4e5.54d9be77.01.01</t>
  </si>
  <si>
    <t>0001f4e5.54d9be99.01.01</t>
  </si>
  <si>
    <t>20150210  21:00:25</t>
  </si>
  <si>
    <t>0001f4e5.54d9be9b.01.01</t>
  </si>
  <si>
    <t>20150210  21:00:26</t>
  </si>
  <si>
    <t>0001f4e5.54d9be9c.01.01</t>
  </si>
  <si>
    <t>0001f4e5.54d9be9d.01.01</t>
  </si>
  <si>
    <t>20150210  21:00:27</t>
  </si>
  <si>
    <t>0001f4e5.54d9be9e.01.01</t>
  </si>
  <si>
    <t>20150210  21:00:28</t>
  </si>
  <si>
    <t>0001f4e5.54d9be9f.01.01</t>
  </si>
  <si>
    <t>0001f4e5.54d9bea0.01.01</t>
  </si>
  <si>
    <t>0001f4e5.54d9bea2.01.01</t>
  </si>
  <si>
    <t>20150210  21:00:32</t>
  </si>
  <si>
    <t>0001f4e5.54d9bea4.01.01</t>
  </si>
  <si>
    <t>20150210  21:00:34</t>
  </si>
  <si>
    <t>0001f4e5.54d9bea5.01.01</t>
  </si>
  <si>
    <t>20150210  21:00:35</t>
  </si>
  <si>
    <t>0001f4e5.54d9bea6.01.01</t>
  </si>
  <si>
    <t>20150210  21:00:38</t>
  </si>
  <si>
    <t>0001f4e5.54d9bea7.01.01</t>
  </si>
  <si>
    <t>20150210  21:00:39</t>
  </si>
  <si>
    <t>2015-2-11 10:46:25.854: openOrderEx - I am here</t>
  </si>
  <si>
    <t>2015-2-11 10:46:25.856: RTWSControl - orderStatus -  entering orderStatus id is 9700 status is PreSubmitted</t>
  </si>
  <si>
    <t>2015-2-11 10:46:25.856: OrderManager - UpdateOrderStatus - id 9700 Setting status to PreSubmitted workingOrderCount is now 0 workingQty 0</t>
  </si>
  <si>
    <t>2015-2-11 10:46:25.857: RTWSControl - OrderStatus - Got OrderStatus Message id:9700 status: PreSubmitted filled: 0</t>
  </si>
  <si>
    <t>2015-2-11 10:46:25.857: RTWSControl - OrderStatus - exiting orderStatus</t>
  </si>
  <si>
    <t>2015-2-11 10:46:26.63: openOrderEnd - I am here</t>
  </si>
  <si>
    <t>2015-2-11 10:46:26.64: RTWSControl - nextValidId - entering nextValidId id is 9701</t>
  </si>
  <si>
    <t>2015-2-11 10:46:26.87: WatchlistView - initialize - an error occurredSelect method of Range class failed</t>
  </si>
  <si>
    <t>2015-2-11 10:46:26.138: RTWSControl - errMsg - got error message 2104:Market data farm connection is OK:usfuturewith id -1</t>
  </si>
  <si>
    <t>2015-2-11 10:46:26.146: RTWSControl - errMsg - got error message 2104:Market data farm connection is OK:usfuture.uswith id -1</t>
  </si>
  <si>
    <t>2015-2-11 10:46:26.169: RTWSControl - errMsg - got error message 2104:Market data farm connection is OK:cashfarmwith id -1</t>
  </si>
  <si>
    <t>2015-2-11 10:46:26.173: RTWSControl - errMsg - got error message 2104:Market data farm connection is OK:usfarmwith id -1</t>
  </si>
  <si>
    <t>2015-2-11 10:46:26.177: RTWSControl - errMsg - got error message 2106:HMDS data farm connection is OK:ilhmdswith id -1</t>
  </si>
  <si>
    <t>2015-2-11 10:46:26.228: RTWSControl - contractDetailsEx - got contractDetails id 0 British pound 6BH5</t>
  </si>
  <si>
    <t>2015-2-11 10:46:26.233: RTWSControl - contractDetailsEnd - Got contract details end event</t>
  </si>
  <si>
    <t>2015-2-11 10:46:26.447: RTWSControl - orderStatus -  entering orderStatus id is 9700 status is Cancelled</t>
  </si>
  <si>
    <t>2015-2-11 10:46:26.448: OrderManager - UpdateOrderStatus - id 9700 Setting status to Cancelled workingOrderCount is now 0 workingQty 0</t>
  </si>
  <si>
    <t>2015-2-11 10:46:26.453: RTWSControl - OrderStatus - Got OrderStatus Message id:9700 status: Cancelled filled: 0</t>
  </si>
  <si>
    <t>2015-2-11 10:46:26.453: RTWSControl - OrderStatus - exiting orderStatus</t>
  </si>
  <si>
    <t>2015-2-11 10:46:26.469: RTWSControl - errMsg - got error message 202:Order Canceled - reason:with id 9700</t>
  </si>
  <si>
    <t>2015-2-11 10:46:26.469: OrderManager - canceledOrder - cleaning up after canceled order 9700BEWARE UNACCOUNTED FOR EXECUTIONS!!!</t>
  </si>
  <si>
    <t>2015-2-11 10:46:26.470: OrderManager - terminateOrder - cleaning up after Canceled 9700  order was supposed to SELL 30 1.5142 STP LMT workingQty/OrderCount now -30/-1</t>
  </si>
  <si>
    <t>2015-2-11 10:46:26.470: OrderManager - terminateOrder - terminating order who had no caller</t>
  </si>
  <si>
    <t>2015-2-11 10:46:30.843: Algorithm - updatePortfolio - haveAllDetails is False</t>
  </si>
  <si>
    <t>2015-2-11 10:46:30.881: Algorithm - updatePortfolio - haveAllDetails is False</t>
  </si>
  <si>
    <t>2015-2-11 10:46:30.899: Algorithm - updatePortfolio - haveAllDetails is False</t>
  </si>
  <si>
    <t>2015-2-11 10:46:30.939: Algorithm - updatePortfolio - haveAllDetails is False</t>
  </si>
  <si>
    <t>2015-2-11 10:46:30.969: Algorithm - updatePortfolio - haveAllDetails is False</t>
  </si>
  <si>
    <t>2015-2-11 10:46:31.16: Algorithm - updatePortfolio - haveAllDetails is False</t>
  </si>
  <si>
    <t>2015-2-11 10:46:31.53: Algorithm - updatePortfolio - haveAllDetails is False</t>
  </si>
  <si>
    <t>2015-2-11 10:46:31.70: Algorithm - updatePortfolio - haveAllDetails is False</t>
  </si>
  <si>
    <t>2015-2-11 10:46:31.106: Algorithm - updatePortfolio - haveAllDetails is False</t>
  </si>
  <si>
    <t>2015-2-11 10:46:31.135: Algorithm - updatePortfolio - haveAllDetails is False</t>
  </si>
  <si>
    <t>2015-2-11 10:46:31.177: RTWSControl - contractDetailsEx - got contractDetails id 0 British pound 6B2G5 P1510</t>
  </si>
  <si>
    <t>2015-2-11 10:46:31.181: RTWSControl - contractDetailsEnd - Got contract details end event</t>
  </si>
  <si>
    <t>2015-2-11 10:46:31.209: RTWSControl - contractDetailsEx - got contractDetails id 0 British pound 6B2G5 P1515</t>
  </si>
  <si>
    <t>2015-2-11 10:46:31.213: RTWSControl - contractDetailsEnd - Got contract details end event</t>
  </si>
  <si>
    <t>2015-2-11 10:46:31.218: RTWSControl - contractDetailsEx - got contractDetails id 0 British pound 6B2G5 C1520</t>
  </si>
  <si>
    <t>2015-2-11 10:46:31.249: RTWSControl - contractDetailsEnd - Got contract details end event</t>
  </si>
  <si>
    <t>2015-2-11 10:46:31.254: RTWSControl - contractDetailsEx - got contractDetails id 0 British pound 6B2G5 C1525</t>
  </si>
  <si>
    <t>2015-2-11 10:46:31.258: RTWSControl - contractDetailsEnd - Got contract details end event</t>
  </si>
  <si>
    <t>2015-2-11 10:46:31.293: RTWSControl - contractDetailsEx - got contractDetails id 0 British pound 6B2G5 P1520</t>
  </si>
  <si>
    <t>2015-2-11 10:46:31.296: RTWSControl - contractDetailsEnd - Got contract details end event</t>
  </si>
  <si>
    <t>2015-2-11 10:46:31.302: RTWSControl - contractDetailsEx - got contractDetails id 0 British pound 6B2G5 P1525</t>
  </si>
  <si>
    <t>2015-2-11 10:46:31.333: RTWSControl - contractDetailsEnd - Got contract details end event</t>
  </si>
  <si>
    <t>2015-2-11 10:46:31.338: RTWSControl - contractDetailsEx - got contractDetails id 0 British pound 6B2G5 C1530</t>
  </si>
  <si>
    <t>2015-2-11 10:46:31.342: RTWSControl - contractDetailsEnd - Got contract details end event</t>
  </si>
  <si>
    <t>2015-2-11 10:46:31.379: RTWSControl - contractDetailsEx - got contractDetails id 0 British pound 6B2G5 C1535</t>
  </si>
  <si>
    <t>2015-2-11 10:46:31.382: RTWSControl - contractDetailsEnd - Got contract details end event</t>
  </si>
  <si>
    <t>2015-2-11 10:46:40.212: Algorithm - FindNextStrikes - price is 1.52884995 nextStrikeUp/Down 1.53/1.525</t>
  </si>
  <si>
    <t>2015-2-11 10:46:40.212: Algorithm - getPortfolioForwardDelta - required deltas is 120 currentHedgePosition is 70</t>
  </si>
  <si>
    <t>2015-2-11 10:46:40.212: Algorithm - getHedgeShortfall - required deltas is 120 price is 1.52884995 currentHedgePositionDeltas is 70</t>
  </si>
  <si>
    <t>2015-2-11 10:46:40.212: Algorithm - processTransitionPoint - nextUpper/LowerStrikes are 1.53/1.525 requiredDeltas/currentPosition/currentHedgeShortfall/direction/transitionPrice are 120/70/50/0/1.52884995</t>
  </si>
  <si>
    <t>2015-2-11 10:46:40.212: TransitionLogger - processTransitionpoint - checking transition - currentHedgeShortfall is 50</t>
  </si>
  <si>
    <t>2015-2-11 10:46:40.213: Algorithm - updatePortfolio - haveAllDetails is True</t>
  </si>
  <si>
    <t>2015-2-11 10:46:40.215: Algorithm - FindNextStrikes - price is 1.52884995 nextStrikeUp/Down 1.53/1.525</t>
  </si>
  <si>
    <t>2015-2-11 10:46:40.215: Algorithm - getPortfolioForwardDelta - required deltas is 120 currentHedgePosition is 70</t>
  </si>
  <si>
    <t>2015-2-11 10:46:40.215: Algorithm - getHedgeShortfall - required deltas is 120 price is 1.52884995 currentHedgePositionDeltas is 70</t>
  </si>
  <si>
    <t>2015-2-11 10:46:40.215: Algorithm - processTransitionPoint - nextUpper/LowerStrikes are 1.53/1.525 requiredDeltas/currentPosition/currentHedgeShortfall/direction/transitionPrice are 120/70/50/0/1.52884995</t>
  </si>
  <si>
    <t>2015-2-11 10:46:40.215: TransitionLogger - processTransitionpoint - checking transition - currentHedgeShortfall is 50</t>
  </si>
  <si>
    <t>2015-2-11 10:46:40.215: Algorithm - updatePortfolio - haveAllDetails is True</t>
  </si>
  <si>
    <t>2015-2-11 10:46:40.230: Algorithm - FindNextStrikes - price is 1.52895 nextStrikeUp/Down 1.53/1.525</t>
  </si>
  <si>
    <t>2015-2-11 10:46:40.230: Algorithm - getPortfolioForwardDelta - required deltas is 120 currentHedgePosition is 70</t>
  </si>
  <si>
    <t>2015-2-11 10:46:40.230: Algorithm - getHedgeShortfall - required deltas is 120 price is 1.52895 currentHedgePositionDeltas is 70</t>
  </si>
  <si>
    <t>2015-2-11 10:46:40.230: Algorithm - processTransitionPoint - nextUpper/LowerStrikes are 1.53/1.525 requiredDeltas/currentPosition/currentHedgeShortfall/direction/transitionPrice are 120/70/50/0/1.52895</t>
  </si>
  <si>
    <t>2015-2-11 10:46:40.230: TransitionLogger - processTransitionpoint - checking transition - currentHedgeShortfall is 50</t>
  </si>
  <si>
    <t>2015-2-11 10:46:40.231: Algorithm - updatePortfolio - haveAllDetails is True</t>
  </si>
  <si>
    <t>2015-2-11 10:46:40.268: Algorithm - FindNextStrikes - price is 1.52895 nextStrikeUp/Down 1.53/1.525</t>
  </si>
  <si>
    <t>2015-2-11 10:46:40.268: Algorithm - getPortfolioForwardDelta - required deltas is 120 currentHedgePosition is 70</t>
  </si>
  <si>
    <t>2015-2-11 10:46:40.268: Algorithm - getHedgeShortfall - required deltas is 120 price is 1.52895 currentHedgePositionDeltas is 70</t>
  </si>
  <si>
    <t>2015-2-11 10:46:40.268: Algorithm - processTransitionPoint - nextUpper/LowerStrikes are 1.53/1.525 requiredDeltas/currentPosition/currentHedgeShortfall/direction/transitionPrice are 120/70/50/0/1.52895</t>
  </si>
  <si>
    <t>2015-2-11 10:46:40.268: TransitionLogger - processTransitionpoint - checking transition - currentHedgeShortfall is 50</t>
  </si>
  <si>
    <t>2015-2-11 10:46:40.269: Algorithm - updatePortfolio - haveAllDetails is True</t>
  </si>
  <si>
    <t>2015-2-11 10:46:40.302: Algorithm - FindNextStrikes - price is 1.52895 nextStrikeUp/Down 1.53/1.525</t>
  </si>
  <si>
    <t>2015-2-11 10:46:40.302: Algorithm - getPortfolioForwardDelta - required deltas is 120 currentHedgePosition is 70</t>
  </si>
  <si>
    <t>2015-2-11 10:46:40.302: Algorithm - getHedgeShortfall - required deltas is 120 price is 1.52895 currentHedgePositionDeltas is 70</t>
  </si>
  <si>
    <t>2015-2-11 10:46:40.302: Algorithm - processTransitionPoint - nextUpper/LowerStrikes are 1.53/1.525 requiredDeltas/currentPosition/currentHedgeShortfall/direction/transitionPrice are 120/70/50/0/1.52895</t>
  </si>
  <si>
    <t>2015-2-11 10:46:40.303: TransitionLogger - processTransitionpoint - checking transition - currentHedgeShortfall is 50</t>
  </si>
  <si>
    <t>2015-2-11 10:46:40.303: Algorithm - updatePortfolio - haveAllDetails is True</t>
  </si>
  <si>
    <t>2015-2-11 10:46:40.319: Algorithm - FindNextStrikes - price is 1.52895 nextStrikeUp/Down 1.53/1.525</t>
  </si>
  <si>
    <t>2015-2-11 10:46:40.319: Algorithm - getPortfolioForwardDelta - required deltas is 120 currentHedgePosition is 70</t>
  </si>
  <si>
    <t>2015-2-11 10:46:40.320: Algorithm - getHedgeShortfall - required deltas is 120 price is 1.52895 currentHedgePositionDeltas is 70</t>
  </si>
  <si>
    <t>2015-2-11 10:46:40.320: Algorithm - processTransitionPoint - nextUpper/LowerStrikes are 1.53/1.525 requiredDeltas/currentPosition/currentHedgeShortfall/direction/transitionPrice are 120/70/50/0/1.52895</t>
  </si>
  <si>
    <t>2015-2-11 10:46:40.320: TransitionLogger - processTransitionpoint - checking transition - currentHedgeShortfall is 50</t>
  </si>
  <si>
    <t>2015-2-11 10:46:40.320: Algorithm - updatePortfolio - haveAllDetails is True</t>
  </si>
  <si>
    <t>2015-2-11 10:46:40.355: Algorithm - FindNextStrikes - price is 1.52895 nextStrikeUp/Down 1.53/1.525</t>
  </si>
  <si>
    <t>2015-2-11 10:46:40.355: Algorithm - getPortfolioForwardDelta - required deltas is 120 currentHedgePosition is 70</t>
  </si>
  <si>
    <t>2015-2-11 10:46:40.355: Algorithm - getHedgeShortfall - required deltas is 120 price is 1.52895 currentHedgePositionDeltas is 70</t>
  </si>
  <si>
    <t>2015-2-11 10:46:40.355: Algorithm - processTransitionPoint - nextUpper/LowerStrikes are 1.53/1.525 requiredDeltas/currentPosition/currentHedgeShortfall/direction/transitionPrice are 120/70/50/0/1.52895</t>
  </si>
  <si>
    <t>2015-2-11 10:46:40.356: TransitionLogger - processTransitionpoint - checking transition - currentHedgeShortfall is 50</t>
  </si>
  <si>
    <t>2015-2-11 10:46:40.356: Algorithm - updatePortfolio - haveAllDetails is True</t>
  </si>
  <si>
    <t>2015-2-11 10:46:40.385: Algorithm - FindNextStrikes - price is 1.52895 nextStrikeUp/Down 1.53/1.525</t>
  </si>
  <si>
    <t>2015-2-11 10:46:40.385: Algorithm - getPortfolioForwardDelta - required deltas is 120 currentHedgePosition is 70</t>
  </si>
  <si>
    <t>2015-2-11 10:46:40.385: Algorithm - getHedgeShortfall - required deltas is 120 price is 1.52895 currentHedgePositionDeltas is 70</t>
  </si>
  <si>
    <t>2015-2-11 10:46:40.385: Algorithm - processTransitionPoint - nextUpper/LowerStrikes are 1.53/1.525 requiredDeltas/currentPosition/currentHedgeShortfall/direction/transitionPrice are 120/70/50/0/1.52895</t>
  </si>
  <si>
    <t>2015-2-11 10:46:40.385: TransitionLogger - processTransitionpoint - checking transition - currentHedgeShortfall is 50</t>
  </si>
  <si>
    <t>2015-2-11 10:46:40.386: Algorithm - updatePortfolio - haveAllDetails is True</t>
  </si>
  <si>
    <t>2015-2-11 10:46:40.427: Algorithm - FindNextStrikes - price is 1.52895 nextStrikeUp/Down 1.53/1.525</t>
  </si>
  <si>
    <t>2015-2-11 10:46:40.427: Algorithm - getPortfolioForwardDelta - required deltas is 120 currentHedgePosition is 70</t>
  </si>
  <si>
    <t>2015-2-11 10:46:40.427: Algorithm - getHedgeShortfall - required deltas is 120 price is 1.52895 currentHedgePositionDeltas is 70</t>
  </si>
  <si>
    <t>2015-2-11 10:46:40.427: Algorithm - processTransitionPoint - nextUpper/LowerStrikes are 1.53/1.525 requiredDeltas/currentPosition/currentHedgeShortfall/direction/transitionPrice are 120/70/50/0/1.52895</t>
  </si>
  <si>
    <t>2015-2-11 10:46:40.427: TransitionLogger - processTransitionpoint - checking transition - currentHedgeShortfall is 50</t>
  </si>
  <si>
    <t>2015-2-11 10:46:40.428: Algorithm - updatePortfolio - haveAllDetails is True</t>
  </si>
  <si>
    <t>2015-2-11 10:46:40.445: Algorithm - FindNextStrikes - price is 1.52895 nextStrikeUp/Down 1.53/1.525</t>
  </si>
  <si>
    <t>2015-2-11 10:46:40.445: Algorithm - getPortfolioForwardDelta - required deltas is 120 currentHedgePosition is 70</t>
  </si>
  <si>
    <t>2015-2-11 10:46:40.445: Algorithm - getHedgeShortfall - required deltas is 120 price is 1.52895 currentHedgePositionDeltas is 70</t>
  </si>
  <si>
    <t>2015-2-11 10:46:40.445: Algorithm - processTransitionPoint - nextUpper/LowerStrikes are 1.53/1.525 requiredDeltas/currentPosition/currentHedgeShortfall/direction/transitionPrice are 120/70/50/0/1.52895</t>
  </si>
  <si>
    <t>2015-2-11 10:46:40.446: TransitionLogger - processTransitionpoint - checking transition - currentHedgeShortfall is 50</t>
  </si>
  <si>
    <t>2015-2-11 10:46:40.446: Algorithm - updatePortfolio - haveAllDetails is True</t>
  </si>
  <si>
    <t>2015-2-11 10:46:40.504: Algorithm - FindNextStrikes - price is 1.52895 nextStrikeUp/Down 1.53/1.525</t>
  </si>
  <si>
    <t>2015-2-11 10:46:40.504: Algorithm - getPortfolioForwardDelta - required deltas is 120 currentHedgePosition is 70</t>
  </si>
  <si>
    <t>2015-2-11 10:46:40.504: Algorithm - getHedgeShortfall - required deltas is 120 price is 1.52895 currentHedgePositionDeltas is 70</t>
  </si>
  <si>
    <t>2015-2-11 10:46:40.504: Algorithm - processTransitionPoint - nextUpper/LowerStrikes are 1.53/1.525 requiredDeltas/currentPosition/currentHedgeShortfall/direction/transitionPrice are 120/70/50/0/1.52895</t>
  </si>
  <si>
    <t>2015-2-11 10:46:40.504: TransitionLogger - processTransitionpoint - checking transition - currentHedgeShortfall is 50</t>
  </si>
  <si>
    <t>2015-2-11 10:46:40.505: Algorithm - updatePortfolio - haveAllDetails is True</t>
  </si>
  <si>
    <t>2015-2-11 10:47:0.655: Algorithm - rehedge - rehedging 50 contracts</t>
  </si>
  <si>
    <t>2015-2-11 10:47:0.655: Algortihm - rehedge - inside the loop</t>
  </si>
  <si>
    <t>2015-2-11 10:47:0.656: OrderManager - PlaceOrder - id 9701 workingQty -25</t>
  </si>
  <si>
    <t>2015-2-11 10:47:0.663: OrderManager - sendOrder - exiting place order id 9701 BUY 5 1.5288  - workingQty -25 currentPosition is 70 workingOrderCount is 0</t>
  </si>
  <si>
    <t>2015-2-11 10:47:0.663: Algorithm - rehedge - placing an order - orderSize is 5 workingQty is -25 working order count 0</t>
  </si>
  <si>
    <t>2015-2-11 10:47:0.809: RTWSControl - nextValidId - entering nextValidId id is 9702</t>
  </si>
  <si>
    <t>2015-2-11 10:47:1.84: openOrderEx - I am here</t>
  </si>
  <si>
    <t>2015-2-11 10:47:1.102: RTWSControl - orderStatus -  entering orderStatus id is 9701 status is Submitted</t>
  </si>
  <si>
    <t>2015-2-11 10:47:1.103: OrderManager - UpdateOrderStatus - id 9701 Setting status to Submitted workingOrderCount is now 0 workingQty -25</t>
  </si>
  <si>
    <t>2015-2-11 10:47:1.108: RTWSControl - OrderStatus - Got OrderStatus Message id:9701 status: Submitted filled: 0</t>
  </si>
  <si>
    <t>2015-2-11 10:47:1.108: RTWSControl - OrderStatus - exiting orderStatus</t>
  </si>
  <si>
    <t>2015-2-11 10:47:4.863: Algorithm - rehedge - rehedging 50 contracts</t>
  </si>
  <si>
    <t>2015-2-11 10:47:4.863: Algorithm - rehedge - Need to place order but already have a working order - workingQty is -25 working order count 0</t>
  </si>
  <si>
    <t>2015-2-11 10:47:4.869: OrderManager - PlaceOrder - id 9702 workingQty -10</t>
  </si>
  <si>
    <t>2015-2-11 10:47:4.875: OrderManager - sendOrder - exiting place order id 9702 BUY 15 1.5312  - workingQty -10 currentPosition is 70 workingOrderCount is 1</t>
  </si>
  <si>
    <t>2015-2-11 10:47:4.875: OrderManager - createOrder - exiting without creating order - did not have validID</t>
  </si>
  <si>
    <t>2015-2-11 10:47:4.979: RTWSControl - nextValidId - entering nextValidId id is 9703</t>
  </si>
  <si>
    <t>2015-2-11 10:47:5.127: openOrderEx - I am here</t>
  </si>
  <si>
    <t>2015-2-11 10:47:5.142: RTWSControl - orderStatus -  entering orderStatus id is 9702 status is PreSubmitted</t>
  </si>
  <si>
    <t>2015-2-11 10:47:5.142: OrderManager - UpdateOrderStatus - id 9702 Setting status to PreSubmitted workingOrderCount is now 1 workingQty -10</t>
  </si>
  <si>
    <t>2015-2-11 10:47:5.146: RTWSControl - OrderStatus - Got OrderStatus Message id:9702 status: PreSubmitted filled: 0</t>
  </si>
  <si>
    <t>2015-2-11 10:47:5.146: RTWSControl - OrderStatus - exiting orderStatus</t>
  </si>
  <si>
    <t>2015-2-11 10:47:5.663: Algorithm - rehedge - rehedging 50 contracts</t>
  </si>
  <si>
    <t>2015-2-11 10:47:5.663: Algorithm - rehedge - Need to place order but already have a working order - workingQty is -10 working order count 1</t>
  </si>
  <si>
    <t>2015-2-11 10:47:5.669: OrderManager - PlaceOrder - id 9703 workingQty -25</t>
  </si>
  <si>
    <t>2015-2-11 10:47:5.673: OrderManager - sendOrder - exiting place order id 9703 SELL 15 1.5249  - workingQty -25 currentPosition is 70 workingOrderCount is 2</t>
  </si>
  <si>
    <t>2015-2-11 10:47:5.750: RTWSControl - nextValidId - entering nextValidId id is 9704</t>
  </si>
  <si>
    <t>2015-2-11 10:47:5.975: openOrderEx - I am here</t>
  </si>
  <si>
    <t>2015-2-11 10:47:5.987: RTWSControl - orderStatus -  entering orderStatus id is 9703 status is PreSubmitted</t>
  </si>
  <si>
    <t>2015-2-11 10:47:5.987: OrderManager - UpdateOrderStatus - id 9703 Setting status to PreSubmitted workingOrderCount is now 2 workingQty -25</t>
  </si>
  <si>
    <t>2015-2-11 10:47:5.990: RTWSControl - OrderStatus - Got OrderStatus Message id:9703 status: PreSubmitted filled: 0</t>
  </si>
  <si>
    <t>2015-2-11 10:47:5.990: RTWSControl - OrderStatus - exiting orderStatus</t>
  </si>
  <si>
    <t>2015-2-11 10:47:13.575: Algorithm - rehedge - rehedging 50 contracts</t>
  </si>
  <si>
    <t>2015-2-11 10:47:13.576: Algorithm - rehedge - Need to place order but already have a working order - workingQty is -25 working order count 2</t>
  </si>
  <si>
    <t>2015-2-11 10:47:21.904: RTWSControl - execDetails -  entering execDetailsEx execution id is 0001f4e5.54da9b2d.01.01 shares/cumQty is 3/3</t>
  </si>
  <si>
    <t>2015-2-11 10:47:21.904: Algorithm - FindNextStrikes - price is 1.52885 nextStrikeUp/Down 1.53/1.525</t>
  </si>
  <si>
    <t>2015-2-11 10:47:21.904: Algorithm - getPortfolioForwardDelta - required deltas is 120 currentHedgePosition is 73</t>
  </si>
  <si>
    <t>2015-2-11 10:47:21.904: Algorithm - getHedgeShortfall - required deltas is 120 price is 1.52895 currentHedgePositionDeltas is 73</t>
  </si>
  <si>
    <t>2015-2-11 10:47:21.904: Algorithm - processTransitionPoint - nextUpper/LowerStrikes are 1.53/1.525 requiredDeltas/currentPosition/currentHedgeShortfall/direction/transitionPrice are 120/73/47/1/1.52895</t>
  </si>
  <si>
    <t>2015-2-11 10:47:21.904: TransitionLogger - processTransitionpoint - checking transition - currentHedgeShortfall is 47</t>
  </si>
  <si>
    <t>2015-2-11 10:47:21.904: OrderManager - updateExecution - got a fill for id 9701 qty 3 side BOT price 1.5288 - new working order size is -28 new instrument.qty is 73</t>
  </si>
  <si>
    <t>0001f4e5.54da9b2d.01.01</t>
  </si>
  <si>
    <t>20150211  10:47:23</t>
  </si>
  <si>
    <t>2015-2-11 10:47:21.904: OrderManagerView - UpdateExecutionView - entering updateExecutionView  executionId is 0001f4e5.54da9b2d.01.01</t>
  </si>
  <si>
    <t>2015-2-11 10:47:21.904: OrderManagerView - updateExecutionView -  exiting UpdateExecutionView</t>
  </si>
  <si>
    <t>2015-2-11 10:47:21.904: RTWSControl - execDetails -  exiting execDetailsEx</t>
  </si>
  <si>
    <t>2015-2-11 10:47:21.904: RTWSControl - execDetails - Got execution Message id:-1</t>
  </si>
  <si>
    <t>2015-2-11 10:47:21.904: openOrderEx - I am here</t>
  </si>
  <si>
    <t>2015-2-11 10:47:21.919: RTWSControl - orderStatus -  entering orderStatus id is 9701 status is Submitted</t>
  </si>
  <si>
    <t>2015-2-11 10:47:21.919: OrderManager - UpdateOrderStatus - id 9701 Setting status to Submitted workingOrderCount is now 2 workingQty -28</t>
  </si>
  <si>
    <t>2015-2-11 10:47:21.919: RTWSControl - OrderStatus - Got OrderStatus Message id:9701 status: Submitted filled: 3</t>
  </si>
  <si>
    <t>2015-2-11 10:47:21.919: RTWSControl - OrderStatus - exiting orderStatus</t>
  </si>
  <si>
    <t>2015-2-11 10:47:21.997: Algorithm - rehedge - rehedging 47 contracts</t>
  </si>
  <si>
    <t>2015-2-11 10:47:21.997: Algorithm - rehedge - Need to place order but already have a working order - workingQty is -28 working order count 2</t>
  </si>
  <si>
    <t>2015-2-11 10:47:22.436: openOrderEx - I am here</t>
  </si>
  <si>
    <t>2015-2-11 10:47:22.452: RTWSControl - orderStatus -  entering orderStatus id is 9701 status is Submitted</t>
  </si>
  <si>
    <t>2015-2-11 10:47:22.452: OrderManager - UpdateOrderStatus - id 9701 Setting status to Submitted workingOrderCount is now 2 workingQty -28</t>
  </si>
  <si>
    <t>2015-2-11 10:47:22.452: RTWSControl - OrderStatus - Got OrderStatus Message id:9701 status: Submitted filled: 3</t>
  </si>
  <si>
    <t>2015-2-11 10:47:22.452: RTWSControl - OrderStatus - exiting orderStatus</t>
  </si>
  <si>
    <t>2015-2-11 10:47:22.483: Algorithm - rehedge - rehedging 47 contracts</t>
  </si>
  <si>
    <t>2015-2-11 10:47:22.483: Algorithm - rehedge - Need to place order but already have a working order - workingQty is -28 working order count 2</t>
  </si>
  <si>
    <t>2015-2-11 10:47:22.514: RTWSControl - execDetails -  entering execDetailsEx execution id is 0001f4e5.54da9b2e.01.01 shares/cumQty is 2/5</t>
  </si>
  <si>
    <t>2015-2-11 10:47:22.514: Algorithm - FindNextStrikes - price is 1.52875 nextStrikeUp/Down 1.53/1.525</t>
  </si>
  <si>
    <t>2015-2-11 10:47:22.514: Algorithm - getPortfolioForwardDelta - required deltas is 120 currentHedgePosition is 75</t>
  </si>
  <si>
    <t>2015-2-11 10:47:22.514: Algorithm - getHedgeShortfall - required deltas is 120 price is 1.52865 currentHedgePositionDeltas is 75</t>
  </si>
  <si>
    <t>2015-2-11 10:47:22.514: Algorithm - processTransitionPoint - nextUpper/LowerStrikes are 1.53/1.525 requiredDeltas/currentPosition/currentHedgeShortfall/direction/transitionPrice are 120/75/45/-1/1.52865</t>
  </si>
  <si>
    <t>2015-2-11 10:47:22.514: TransitionLogger - processTransitionpoint - checking transition - currentHedgeShortfall is 45</t>
  </si>
  <si>
    <t>2015-2-11 10:47:22.514: OrderManager - updateExecution - got a fill for id 9701 qty 2 side BOT price 1.5288 - new working order size is -30 new instrument.qty is 75</t>
  </si>
  <si>
    <t>0001f4e5.54da9b2e.01.01</t>
  </si>
  <si>
    <t>2015-2-11 10:47:22.514: OrderManagerView - UpdateExecutionView - entering updateExecutionView  executionId is 0001f4e5.54da9b2e.01.01</t>
  </si>
  <si>
    <t>2015-2-11 10:47:22.514: OrderManagerView - updateExecutionView -  exiting UpdateExecutionView</t>
  </si>
  <si>
    <t>2015-2-11 10:47:22.514: RTWSControl - execDetails -  exiting execDetailsEx</t>
  </si>
  <si>
    <t>2015-2-11 10:47:22.514: RTWSControl - execDetails - Got execution Message id:-1</t>
  </si>
  <si>
    <t>2015-2-11 10:47:22.530: openOrderEx - I am here</t>
  </si>
  <si>
    <t>2015-2-11 10:47:22.545: RTWSControl - orderStatus -  entering orderStatus id is 9701 status is Filled</t>
  </si>
  <si>
    <t>2015-2-11 10:47:22.545: OrderManager - UpdateOrderStatus - id 9701 Setting status to Filled workingOrderCount is now 1 workingQty -30</t>
  </si>
  <si>
    <t>2015-2-11 10:47:22.545: OrderManager - terminateOrder - cleaning up after Filled 9701  order was supposed to BUY 5 1.5288 LMT workingQty/OrderCount now -30/0</t>
  </si>
  <si>
    <t>2015-2-11 10:47:22.545: RTWSControl - OrderStatus - Got OrderStatus Message id:9701 status: Filled filled: 5</t>
  </si>
  <si>
    <t>2015-2-11 10:47:22.545: RTWSControl - OrderStatus - exiting orderStatus</t>
  </si>
  <si>
    <t>2015-2-11 10:47:22.561: openOrderEx - I am here</t>
  </si>
  <si>
    <t>2015-2-11 10:47:22.561: RTWSControl - orderStatus -  entering orderStatus id is 9701 status is Filled</t>
  </si>
  <si>
    <t>2015-2-11 10:47:22.561: OrderManager - UpdateOrderStatus - id 9701 Setting status to Filled workingOrderCount is now 0 workingQty -30</t>
  </si>
  <si>
    <t>2015-2-11 10:47:22.561: OrderManager - terminateOrder - cleaning up after Filled 9701  order was supposed to BUY 5 1.5288 LMT workingQty/OrderCount now -30/-1</t>
  </si>
  <si>
    <t>2015-2-11 10:47:22.561: RTWSControl - OrderStatus - Got OrderStatus Message id:9701 status: Filled filled: 5</t>
  </si>
  <si>
    <t>2015-2-11 10:47:22.561: RTWSControl - OrderStatus - exiting orderStatus</t>
  </si>
  <si>
    <t>2015-2-11 10:47:24.45: Algorithm - FindNextStrikes - price is 1.52875 nextStrikeUp/Down 1.53/1.525</t>
  </si>
  <si>
    <t>2015-2-11 10:47:24.45: Algorithm - getPortfolioForwardDelta - required deltas is 120 currentHedgePosition is 75</t>
  </si>
  <si>
    <t>2015-2-11 10:47:24.45: Algorithm - getHedgeShortfall - required deltas is 120 price is 1.52865 currentHedgePositionDeltas is 75</t>
  </si>
  <si>
    <t>2015-2-11 10:47:24.45: Algorithm - processTransitionPoint - nextUpper/LowerStrikes are 1.53/1.525 requiredDeltas/currentPosition/currentHedgeShortfall/direction/transitionPrice are 120/75/45/-1/1.52865</t>
  </si>
  <si>
    <t>2015-2-11 10:47:24.45: TransitionLogger - processTransitionpoint - checking transition - currentHedgeShortfall is 45</t>
  </si>
  <si>
    <t>2015-2-11 10:47:24.45: Algorithm - rehedge - rehedging 45 contracts</t>
  </si>
  <si>
    <t>2015-2-11 10:47:24.45: Algortihm - rehedge - inside the loop</t>
  </si>
  <si>
    <t>2015-2-11 10:47:24.45: Algorithm - rehedge - trying to trade BUT contracts is 45 and direction indicator is -1</t>
  </si>
  <si>
    <t>2015-2-11 10:47:24.45: Algorithm - updatePortfolio - haveAllDetails is True</t>
  </si>
  <si>
    <t>2015-2-11 10:47:24.60: Algorithm - FindNextStrikes - price is 1.52875 nextStrikeUp/Down 1.53/1.525</t>
  </si>
  <si>
    <t>2015-2-11 10:47:24.60: Algorithm - getPortfolioForwardDelta - required deltas is 120 currentHedgePosition is 75</t>
  </si>
  <si>
    <t>2015-2-11 10:47:24.60: Algorithm - getHedgeShortfall - required deltas is 120 price is 1.52865 currentHedgePositionDeltas is 75</t>
  </si>
  <si>
    <t>2015-2-11 10:47:24.60: Algorithm - processTransitionPoint - nextUpper/LowerStrikes are 1.53/1.525 requiredDeltas/currentPosition/currentHedgeShortfall/direction/transitionPrice are 120/75/45/-1/1.52865</t>
  </si>
  <si>
    <t>2015-2-11 10:47:24.60: TransitionLogger - processTransitionpoint - checking transition - currentHedgeShortfall is 45</t>
  </si>
  <si>
    <t>2015-2-11 10:47:24.60: Algorithm - rehedge - rehedging 45 contracts</t>
  </si>
  <si>
    <t>2015-2-11 10:47:24.60: Algortihm - rehedge - inside the loop</t>
  </si>
  <si>
    <t>2015-2-11 10:47:24.60: Algorithm - rehedge - trying to trade BUT contracts is 45 and direction indicator is -1</t>
  </si>
  <si>
    <t>2015-2-11 10:47:24.60: Algorithm - updatePortfolio - haveAllDetails is True</t>
  </si>
  <si>
    <t>2015-2-11 10:47:24.107: Algorithm - FindNextStrikes - price is 1.52875 nextStrikeUp/Down 1.53/1.525</t>
  </si>
  <si>
    <t>2015-2-11 10:47:24.107: Algorithm - getPortfolioForwardDelta - required deltas is 120 currentHedgePosition is 75</t>
  </si>
  <si>
    <t>2015-2-11 10:47:24.107: Algorithm - getHedgeShortfall - required deltas is 120 price is 1.52865 currentHedgePositionDeltas is 75</t>
  </si>
  <si>
    <t>2015-2-11 10:47:24.107: Algorithm - rehedge - trying to trade BUT contracts is 45 and direction indicator is -1</t>
  </si>
  <si>
    <t>2015-2-11 10:47:24.107: Algorithm - updatePortfolio - haveAllDetails is True</t>
  </si>
  <si>
    <t>2015-2-11 10:47:24.138: Algorithm - FindNextStrikes - price is 1.52875 nextStrikeUp/Down 1.53/1.525</t>
  </si>
  <si>
    <t>2015-2-11 10:47:24.138: Algorithm - getPortfolioForwardDelta - required deltas is 120 currentHedgePosition is 75</t>
  </si>
  <si>
    <t>2015-2-11 10:47:24.138: Algorithm - getHedgeShortfall - required deltas is 120 price is 1.52865 currentHedgePositionDeltas is 75</t>
  </si>
  <si>
    <t>2015-2-11 10:47:24.138: Algorithm - processTransitionPoint - nextUpper/LowerStrikes are 1.53/1.525 requiredDeltas/currentPosition/currentHedgeShortfall/direction/transitionPrice are 120/75/45/-1/1.52865</t>
  </si>
  <si>
    <t>2015-2-11 10:47:24.138: TransitionLogger - processTransitionpoint - checking transition - currentHedgeShortfall is 45</t>
  </si>
  <si>
    <t>2015-2-11 10:47:24.138: Algorithm - rehedge - rehedging 45 contracts</t>
  </si>
  <si>
    <t>2015-2-11 10:47:24.138: Algortihm - rehedge - inside the loop</t>
  </si>
  <si>
    <t>2015-2-11 10:47:24.138: Algorithm - rehedge - trying to trade BUT contracts is 45 and direction indicator is -1</t>
  </si>
  <si>
    <t>2015-2-11 10:47:24.138: Algorithm - updatePortfolio - haveAllDetails is True</t>
  </si>
  <si>
    <t>2015-2-11 10:47:24.154: Algorithm - FindNextStrikes - price is 1.52875 nextStrikeUp/Down 1.53/1.525</t>
  </si>
  <si>
    <t>2015-2-11 10:47:24.154: Algorithm - getPortfolioForwardDelta - required deltas is 120 currentHedgePosition is 75</t>
  </si>
  <si>
    <t>2015-2-11 10:47:24.154: Algorithm - getHedgeShortfall - required deltas is 120 price is 1.52865 currentHedgePositionDeltas is 75</t>
  </si>
  <si>
    <t>2015-2-11 10:47:24.154: Algorithm - processTransitionPoint - nextUpper/LowerStrikes are 1.53/1.525 requiredDeltas/currentPosition/currentHedgeShortfall/direction/transitionPrice are 120/75/45/-1/1.52865</t>
  </si>
  <si>
    <t>2015-2-11 10:47:24.154: TransitionLogger - processTransitionpoint - checking transition - currentHedgeShortfall is 45</t>
  </si>
  <si>
    <t>2015-2-11 10:47:24.154: Algorithm - rehedge - rehedging 45 contracts</t>
  </si>
  <si>
    <t>2015-2-11 10:47:24.154: Algortihm - rehedge - inside the loop</t>
  </si>
  <si>
    <t>2015-2-11 10:47:24.154: Algorithm - rehedge - trying to trade BUT contracts is 45 and direction indicator is -1</t>
  </si>
  <si>
    <t>2015-2-11 10:47:24.154: Algorithm - updatePortfolio - haveAllDetails is True</t>
  </si>
  <si>
    <t>2015-2-11 10:47:24.185: Algorithm - FindNextStrikes - price is 1.52875 nextStrikeUp/Down 1.53/1.525</t>
  </si>
  <si>
    <t>2015-2-11 10:47:24.185: Algorithm - getPortfolioForwardDelta - required deltas is 120 currentHedgePosition is 75</t>
  </si>
  <si>
    <t>2015-2-11 10:47:24.185: Algorithm - getHedgeShortfall - required deltas is 120 price is 1.52865 currentHedgePositionDeltas is 75</t>
  </si>
  <si>
    <t>2015-2-11 10:47:24.185: Algorithm - processTransitionPoint - nextUpper/LowerStrikes are 1.53/1.525 requiredDeltas/currentPosition/currentHedgeShortfall/direction/transitionPrice are 120/75/45/-1/1.52865</t>
  </si>
  <si>
    <t>2015-2-11 10:47:24.185: TransitionLogger - processTransitionpoint - checking transition - currentHedgeShortfall is 45</t>
  </si>
  <si>
    <t>2015-2-11 10:47:24.185: Algorithm - rehedge - rehedging 45 contracts</t>
  </si>
  <si>
    <t>2015-2-11 10:47:24.185: Algortihm - rehedge - inside the loop</t>
  </si>
  <si>
    <t>2015-2-11 10:47:24.185: Algorithm - rehedge - trying to trade BUT contracts is 45 and direction indicator is -1</t>
  </si>
  <si>
    <t>2015-2-11 10:47:24.185: Algorithm - updatePortfolio - haveAllDetails is True</t>
  </si>
  <si>
    <t>2015-2-11 10:47:24.216: Algorithm - FindNextStrikes - price is 1.52875 nextStrikeUp/Down 1.53/1.525</t>
  </si>
  <si>
    <t>2015-2-11 10:47:24.216: Algorithm - getPortfolioForwardDelta - required deltas is 120 currentHedgePosition is 75</t>
  </si>
  <si>
    <t>2015-2-11 10:47:24.216: Algorithm - getHedgeShortfall - required deltas is 120 price is 1.52865 currentHedgePositionDeltas is 75</t>
  </si>
  <si>
    <t>2015-2-11 10:47:24.216: Algorithm - processTransitionPoint - nextUpper/LowerStrikes are 1.53/1.525 requiredDeltas/currentPosition/currentHedgeShortfall/direction/transitionPrice are 120/75/45/-1/1.52865</t>
  </si>
  <si>
    <t>2015-2-11 10:47:24.216: TransitionLogger - processTransitionpoint - checking transition - currentHedgeShortfall is 45</t>
  </si>
  <si>
    <t>2015-2-11 10:47:24.216: Algorithm - rehedge - rehedging 45 contracts</t>
  </si>
  <si>
    <t>2015-2-11 10:47:24.216: Algortihm - rehedge - inside the loop</t>
  </si>
  <si>
    <t>2015-2-11 10:47:24.216: Algorithm - rehedge - trying to trade BUT contracts is 45 and direction indicator is -1</t>
  </si>
  <si>
    <t>2015-2-11 10:47:24.216: Algorithm - updatePortfolio - haveAllDetails is True</t>
  </si>
  <si>
    <t>2015-2-11 10:47:24.248: Algorithm - FindNextStrikes - price is 1.52875 nextStrikeUp/Down 1.53/1.525</t>
  </si>
  <si>
    <t>2015-2-11 10:47:24.248: Algorithm - getPortfolioForwardDelta - required deltas is 120 currentHedgePosition is 75</t>
  </si>
  <si>
    <t>2015-2-11 10:47:24.248: Algorithm - getHedgeShortfall - required deltas is 120 price is 1.52865 currentHedgePositionDeltas is 75</t>
  </si>
  <si>
    <t>2015-2-11 10:47:24.248: Algorithm - processTransitionPoint - nextUpper/LowerStrikes are 1.53/1.525 requiredDeltas/currentPosition/currentHedgeShortfall/direction/transitionPrice are 120/75/45/-1/1.52865</t>
  </si>
  <si>
    <t>2015-2-11 10:47:24.248: TransitionLogger - processTransitionpoint - checking transition - currentHedgeShortfall is 45</t>
  </si>
  <si>
    <t>2015-2-11 10:47:24.248: Algorithm - rehedge - rehedging 45 contracts</t>
  </si>
  <si>
    <t>2015-2-11 10:47:24.263: Algortihm - rehedge - inside the loop</t>
  </si>
  <si>
    <t>2015-2-11 10:47:24.263: Algorithm - rehedge - trying to trade BUT contracts is 45 and direction indicator is -1</t>
  </si>
  <si>
    <t>2015-2-11 10:47:24.263: Algorithm - updatePortfolio - haveAllDetails is True</t>
  </si>
  <si>
    <t>2015-2-11 10:47:24.279: Algorithm - FindNextStrikes - price is 1.52875 nextStrikeUp/Down 1.53/1.525</t>
  </si>
  <si>
    <t>2015-2-11 10:47:24.279: Algorithm - getPortfolioForwardDelta - required deltas is 120 currentHedgePosition is 75</t>
  </si>
  <si>
    <t>2015-2-11 10:47:24.279: Algorithm - getHedgeShortfall - required deltas is 120 price is 1.52865 currentHedgePositionDeltas is 75</t>
  </si>
  <si>
    <t>2015-2-11 10:47:24.279: Algorithm - processTransitionPoint - nextUpper/LowerStrikes are 1.53/1.525 requiredDeltas/currentPosition/currentHedgeShortfall/direction/transitionPrice are 120/75/45/-1/1.52865</t>
  </si>
  <si>
    <t>2015-2-11 10:47:24.279: TransitionLogger - processTransitionpoint - checking transition - currentHedgeShortfall is 45</t>
  </si>
  <si>
    <t>2015-2-11 10:47:24.279: Algorithm - rehedge - rehedging 45 contracts</t>
  </si>
  <si>
    <t>2015-2-11 10:47:24.279: Algortihm - rehedge - inside the loop</t>
  </si>
  <si>
    <t>2015-2-11 10:47:24.279: Algorithm - rehedge - trying to trade BUT contracts is 45 and direction indicator is -1</t>
  </si>
  <si>
    <t>2015-2-11 10:47:24.279: Algorithm - updatePortfolio - haveAllDetails is True</t>
  </si>
  <si>
    <t>2015-2-11 10:47:24.310: Algorithm - FindNextStrikes - price is 1.52875 nextStrikeUp/Down 1.53/1.525</t>
  </si>
  <si>
    <t>2015-2-11 10:47:24.310: Algorithm - getPortfolioForwardDelta - required deltas is 120 currentHedgePosition is 75</t>
  </si>
  <si>
    <t>2015-2-11 10:47:24.310: Algorithm - getHedgeShortfall - required deltas is 120 price is 1.52865 currentHedgePositionDeltas is 75</t>
  </si>
  <si>
    <t>2015-2-11 10:47:24.310: Algorithm - processTransitionPoint - nextUpper/LowerStrikes are 1.53/1.525 requiredDeltas/currentPosition/currentHedgeShortfall/direction/transitionPrice are 120/75/45/-1/1.52865</t>
  </si>
  <si>
    <t>2015-2-11 10:47:24.310: TransitionLogger - processTransitionpoint - checking transition - currentHedgeShortfall is 45</t>
  </si>
  <si>
    <t>2015-2-11 10:47:24.310: Algorithm - rehedge - rehedging 45 contracts</t>
  </si>
  <si>
    <t>2015-2-11 10:47:24.310: Algortihm - rehedge - inside the loop</t>
  </si>
  <si>
    <t>2015-2-11 10:47:24.310: Algorithm - rehedge - trying to trade BUT contracts is 45 and direction indicator is -1</t>
  </si>
  <si>
    <t>2015-2-11 10:47:24.310: Algorithm - updatePortfolio - haveAllDetails is True</t>
  </si>
  <si>
    <t>2015-2-11 10:47:24.341: Algorithm - rehedge - rehedging 45 contracts</t>
  </si>
  <si>
    <t>2015-2-11 10:47:24.341: Algortihm - rehedge - inside the loop</t>
  </si>
  <si>
    <t>2015-2-11 10:47:24.341: Algorithm - rehedge - trying to trade BUT contracts is 45 and direction indicator is -1</t>
  </si>
  <si>
    <t>2015-2-11 10:47:30.798: Algorithm - rehedge - rehedging 45 contracts</t>
  </si>
  <si>
    <t>2015-2-11 10:47:30.798: Algortihm - rehedge - inside the loop</t>
  </si>
  <si>
    <t>2015-2-11 10:47:30.798: Algorithm - rehedge - trying to trade BUT contracts is 45 and direction indicator is -1</t>
  </si>
  <si>
    <t>2015-2-11 10:47:31.313: Algorithm - rehedge - rehedging 45 contracts</t>
  </si>
  <si>
    <t>2015-2-11 10:47:31.313: Algortihm - rehedge - inside the loop</t>
  </si>
  <si>
    <t>2015-2-11 10:47:31.313: Algorithm - rehedge - trying to trade BUT contracts is 45 and direction indicator is -1</t>
  </si>
  <si>
    <t>2015-2-11 10:47:31.518: Algorithm - rehedge - rehedging 45 contracts</t>
  </si>
  <si>
    <t>2015-2-11 10:47:31.518: Algortihm - rehedge - inside the loop</t>
  </si>
  <si>
    <t>2015-2-11 10:47:31.518: Algorithm - rehedge - trying to trade BUT contracts is 45 and direction indicator is -1</t>
  </si>
  <si>
    <t>2015-2-11 10:47:38.724: Algorithm - FindNextStrikes - price is 1.52875 nextStrikeUp/Down 1.53/1.525</t>
  </si>
  <si>
    <t>2015-2-11 10:47:38.724: Algorithm - getPortfolioForwardDelta - required deltas is 120 currentHedgePosition is 75</t>
  </si>
  <si>
    <t>2015-2-11 10:47:38.724: Algorithm - getHedgeShortfall - required deltas is 120 price is 1.52865 currentHedgePositionDeltas is 75</t>
  </si>
  <si>
    <t>2015-2-11 10:47:38.724: Algorithm - processTransitionPoint - nextUpper/LowerStrikes are 1.53/1.525 requiredDeltas/currentPosition/currentHedgeShortfall/direction/transitionPrice are 120/75/45/-1/1.52865</t>
  </si>
  <si>
    <t>2015-2-11 10:47:38.724: TransitionLogger - processTransitionpoint - checking transition - currentHedgeShortfall is 45</t>
  </si>
  <si>
    <t>2015-2-11 10:47:38.724: Algorithm - rehedge - rehedging 45 contracts</t>
  </si>
  <si>
    <t>2015-2-11 10:47:38.724: Algortihm - rehedge - inside the loop</t>
  </si>
  <si>
    <t>2015-2-11 10:47:38.724: Algorithm - rehedge - trying to trade BUT contracts is 45 and direction indicator is -1</t>
  </si>
  <si>
    <t>2015-2-11 10:47:38.724: Algorithm - updatePortfolio - haveAllDetails is True</t>
  </si>
  <si>
    <t>2015-2-11 10:47:38.755: Algorithm - FindNextStrikes - price is 1.52875 nextStrikeUp/Down 1.53/1.525</t>
  </si>
  <si>
    <t>2015-2-11 10:47:38.755: Algorithm - getPortfolioForwardDelta - required deltas is 120 currentHedgePosition is 75</t>
  </si>
  <si>
    <t>2015-2-11 10:47:38.755: Algorithm - getHedgeShortfall - required deltas is 120 price is 1.52865 currentHedgePositionDeltas is 75</t>
  </si>
  <si>
    <t>2015-2-11 10:47:38.755: Algorithm - processTransitionPoint - nextUpper/LowerStrikes are 1.53/1.525 requiredDeltas/currentPosition/currentHedgeShortfall/direction/transitionPrice are 120/75/45/-1/1.52865</t>
  </si>
  <si>
    <t>2015-2-11 10:47:38.755: TransitionLogger - processTransitionpoint - checking transition - currentHedgeShortfall is 45</t>
  </si>
  <si>
    <t>2015-2-11 10:47:38.770: Algorithm - rehedge - rehedging 45 contracts</t>
  </si>
  <si>
    <t>2015-2-11 10:47:38.770: Algortihm - rehedge - inside the loop</t>
  </si>
  <si>
    <t>2015-2-11 10:47:38.770: Algorithm - rehedge - trying to trade BUT contracts is 45 and direction indicator is -1</t>
  </si>
  <si>
    <t>2015-2-11 10:47:38.770: Algorithm - updatePortfolio - haveAllDetails is True</t>
  </si>
  <si>
    <t>2015-2-11 10:47:38.802: Algorithm - FindNextStrikes - price is 1.52875 nextStrikeUp/Down 1.53/1.525</t>
  </si>
  <si>
    <t>2015-2-11 10:47:38.802: Algorithm - getPortfolioForwardDelta - required deltas is 120 currentHedgePosition is 75</t>
  </si>
  <si>
    <t>2015-2-11 10:47:38.802: Algorithm - getHedgeShortfall - required deltas is 120 price is 1.52865 currentHedgePositionDeltas is 75</t>
  </si>
  <si>
    <t>2015-2-11 10:47:38.802: Algorithm - processTransitionPoint - nextUpper/LowerStrikes are 1.53/1.525 requiredDeltas/currentPosition/currentHedgeShortfall/direction/transitionPrice are 120/75/45/-1/1.52865</t>
  </si>
  <si>
    <t>2015-2-11 10:47:38.802: TransitionLogger - processTransitionpoint - checking transition - currentHedgeShortfall is 45</t>
  </si>
  <si>
    <t>2015-2-11 10:47:38.802: Algorithm - rehedge - rehedging 45 contracts</t>
  </si>
  <si>
    <t>2015-2-11 10:47:38.802: Algortihm - rehedge - inside the loop</t>
  </si>
  <si>
    <t>2015-2-11 10:47:38.817: Algorithm - rehedge - trying to trade BUT contracts is 45 and direction indicator is -1</t>
  </si>
  <si>
    <t>2015-2-11 10:47:38.817: Algorithm - updatePortfolio - haveAllDetails is True</t>
  </si>
  <si>
    <t>2015-2-11 10:47:38.833: Algorithm - FindNextStrikes - price is 1.52875 nextStrikeUp/Down 1.53/1.525</t>
  </si>
  <si>
    <t>2015-2-11 10:47:38.833: Algorithm - getPortfolioForwardDelta - required deltas is 120 currentHedgePosition is 75</t>
  </si>
  <si>
    <t>2015-2-11 10:47:38.833: Algorithm - getHedgeShortfall - required deltas is 120 price is 1.52865 currentHedgePositionDeltas is 75</t>
  </si>
  <si>
    <t>2015-2-11 10:47:38.833: Algorithm - processTransitionPoint - nextUpper/LowerStrikes are 1.53/1.525 requiredDeltas/currentPosition/currentHedgeShortfall/direction/transitionPrice are 120/75/45/-1/1.52865</t>
  </si>
  <si>
    <t>2015-2-11 10:47:38.833: TransitionLogger - processTransitionpoint - checking transition - currentHedgeShortfall is 45</t>
  </si>
  <si>
    <t>2015-2-11 10:47:38.833: Algorithm - rehedge - rehedging 45 contracts</t>
  </si>
  <si>
    <t>2015-2-11 10:47:38.833: Algortihm - rehedge - inside the loop</t>
  </si>
  <si>
    <t>2015-2-11 10:47:38.833: Algorithm - rehedge - trying to trade BUT contracts is 45 and direction indicator is -1</t>
  </si>
  <si>
    <t>2015-2-11 10:47:38.833: Algorithm - updatePortfolio - haveAllDetails is True</t>
  </si>
  <si>
    <t>2015-2-11 10:47:38.848: Algorithm - FindNextStrikes - price is 1.52875 nextStrikeUp/Down 1.53/1.525</t>
  </si>
  <si>
    <t>2015-2-11 10:47:38.848: Algorithm - getPortfolioForwardDelta - required deltas is 120 currentHedgePosition is 75</t>
  </si>
  <si>
    <t>2015-2-11 10:47:38.848: Algorithm - getHedgeShortfall - required deltas is 120 price is 1.52865 currentHedgePositionDeltas is 75</t>
  </si>
  <si>
    <t>2015-2-11 10:47:38.848: Algorithm - processTransitionPoint - nextUpper/LowerStrikes are 1.53/1.525 requiredDeltas/currentPosition/currentHedgeShortfall/direction/transitionPrice are 120/75/45/-1/1.52865</t>
  </si>
  <si>
    <t>2015-2-11 10:47:38.848: TransitionLogger - processTransitionpoint - checking transition - currentHedgeShortfall is 45</t>
  </si>
  <si>
    <t>2015-2-11 10:47:38.848: Algorithm - rehedge - rehedging 45 contracts</t>
  </si>
  <si>
    <t>2015-2-11 10:47:38.848: Algortihm - rehedge - inside the loop</t>
  </si>
  <si>
    <t>2015-2-11 10:47:38.848: Algorithm - rehedge - trying to trade BUT contracts is 45 and direction indicator is -1</t>
  </si>
  <si>
    <t>2015-2-11 10:47:38.848: Algorithm - updatePortfolio - haveAllDetails is True</t>
  </si>
  <si>
    <t>2015-2-11 10:47:38.880: Algorithm - FindNextStrikes - price is 1.52875 nextStrikeUp/Down 1.53/1.525</t>
  </si>
  <si>
    <t>2015-2-11 10:47:38.880: Algorithm - getPortfolioForwardDelta - required deltas is 120 currentHedgePosition is 75</t>
  </si>
  <si>
    <t>2015-2-11 10:47:38.880: Algorithm - getHedgeShortfall - required deltas is 120 price is 1.52865 currentHedgePositionDeltas is 75</t>
  </si>
  <si>
    <t>2015-2-11 10:47:38.880: Algorithm - processTransitionPoint - nextUpper/LowerStrikes are 1.53/1.525 requiredDeltas/currentPosition/currentHedgeShortfall/direction/transitionPrice are 120/75/45/-1/1.52865</t>
  </si>
  <si>
    <t>2015-2-11 10:47:38.880: TransitionLogger - processTransitionpoint - checking transition - currentHedgeShortfall is 45</t>
  </si>
  <si>
    <t>2015-2-11 10:47:38.895: Algorithm - rehedge - rehedging 45 contracts</t>
  </si>
  <si>
    <t>2015-2-11 10:47:38.895: Algortihm - rehedge - inside the loop</t>
  </si>
  <si>
    <t>2015-2-11 10:47:38.895: Algorithm - rehedge - trying to trade BUT contracts is 45 and direction indicator is -1</t>
  </si>
  <si>
    <t>2015-2-11 10:47:38.895: Algorithm - updatePortfolio - haveAllDetails is True</t>
  </si>
  <si>
    <t>2015-2-11 10:47:38.926: Algorithm - FindNextStrikes - price is 1.52875 nextStrikeUp/Down 1.53/1.525</t>
  </si>
  <si>
    <t>2015-2-11 10:47:38.926: Algorithm - getPortfolioForwardDelta - required deltas is 120 currentHedgePosition is 75</t>
  </si>
  <si>
    <t>2015-2-11 10:47:38.926: Algorithm - getHedgeShortfall - required deltas is 120 price is 1.52865 currentHedgePositionDeltas is 75</t>
  </si>
  <si>
    <t>2015-2-11 10:47:38.926: Algorithm - processTransitionPoint - nextUpper/LowerStrikes are 1.53/1.525 requiredDeltas/currentPosition/currentHedgeShortfall/direction/transitionPrice are 120/75/45/-1/1.52865</t>
  </si>
  <si>
    <t>2015-2-11 10:47:38.926: TransitionLogger - processTransitionpoint - checking transition - currentHedgeShortfall is 45</t>
  </si>
  <si>
    <t>2015-2-11 10:47:38.926: Algorithm - rehedge - rehedging 45 contracts</t>
  </si>
  <si>
    <t>2015-2-11 10:47:38.942: Algortihm - rehedge - inside the loop</t>
  </si>
  <si>
    <t>2015-2-11 10:47:38.942: Algorithm - rehedge - trying to trade BUT contracts is 45 and direction indicator is -1</t>
  </si>
  <si>
    <t>2015-2-11 10:47:38.942: Algorithm - updatePortfolio - haveAllDetails is True</t>
  </si>
  <si>
    <t>2015-2-11 10:47:38.958: Algorithm - FindNextStrikes - price is 1.52875 nextStrikeUp/Down 1.53/1.525</t>
  </si>
  <si>
    <t>2015-2-11 10:47:38.958: Algorithm - getPortfolioForwardDelta - required deltas is 120 currentHedgePosition is 75</t>
  </si>
  <si>
    <t>2015-2-11 10:47:38.958: Algorithm - getHedgeShortfall - required deltas is 120 price is 1.52865 currentHedgePositionDeltas is 75</t>
  </si>
  <si>
    <t>2015-2-11 10:47:38.958: Algorithm - processTransitionPoint - nextUpper/LowerStrikes are 1.53/1.525 requiredDeltas/currentPosition/currentHedgeShortfall/direction/transitionPrice are 120/75/45/-1/1.52865</t>
  </si>
  <si>
    <t>2015-2-11 10:47:38.958: TransitionLogger - processTransitionpoint - checking transition - currentHedgeShortfall is 45</t>
  </si>
  <si>
    <t>2015-2-11 10:47:38.958: Algorithm - rehedge - rehedging 45 contracts</t>
  </si>
  <si>
    <t>2015-2-11 10:47:38.958: Algortihm - rehedge - inside the loop</t>
  </si>
  <si>
    <t>2015-2-11 10:47:38.958: Algorithm - rehedge - trying to trade BUT contracts is 45 and direction indicator is -1</t>
  </si>
  <si>
    <t>2015-2-11 10:47:38.958: Algorithm - updatePortfolio - haveAllDetails is True</t>
  </si>
  <si>
    <t>2015-2-11 10:47:38.973: Algorithm - FindNextStrikes - price is 1.52875 nextStrikeUp/Down 1.53/1.525</t>
  </si>
  <si>
    <t>2015-2-11 10:47:38.973: Algorithm - getPortfolioForwardDelta - required deltas is 120 currentHedgePosition is 75</t>
  </si>
  <si>
    <t>2015-2-11 10:47:38.973: Algorithm - getHedgeShortfall - required deltas is 120 price is 1.52865 currentHedgePositionDeltas is 75</t>
  </si>
  <si>
    <t>2015-2-11 10:47:38.973: Algorithm - processTransitionPoint - nextUpper/LowerStrikes are 1.53/1.525 requiredDeltas/currentPosition/currentHedgeShortfall/direction/transitionPrice are 120/75/45/-1/1.52865</t>
  </si>
  <si>
    <t>2015-2-11 10:47:38.973: TransitionLogger - processTransitionpoint - checking transition - currentHedgeShortfall is 45</t>
  </si>
  <si>
    <t>2015-2-11 10:47:38.973: Algorithm - rehedge - rehedging 45 contracts</t>
  </si>
  <si>
    <t>2015-2-11 10:47:38.973: Algortihm - rehedge - inside the loop</t>
  </si>
  <si>
    <t>2015-2-11 10:47:38.973: Algorithm - rehedge - trying to trade BUT contracts is 45 and direction indicator is -1</t>
  </si>
  <si>
    <t>2015-2-11 10:47:38.973: Algorithm - updatePortfolio - haveAllDetails is True</t>
  </si>
  <si>
    <t>2015-2-11 10:47:39.51: Algorithm - FindNextStrikes - price is 1.52875 nextStrikeUp/Down 1.53/1.525</t>
  </si>
  <si>
    <t>2015-2-11 10:47:39.51: Algorithm - getPortfolioForwardDelta - required deltas is 120 currentHedgePosition is 75</t>
  </si>
  <si>
    <t>2015-2-11 10:47:39.51: Algorithm - getHedgeShortfall - required deltas is 120 price is 1.52865 currentHedgePositionDeltas is 75</t>
  </si>
  <si>
    <t>2015-2-11 10:47:39.51: Algorithm - processTransitionPoint - nextUpper/LowerStrikes are 1.53/1.525 requiredDeltas/currentPosition/currentHedgeShortfall/direction/transitionPrice are 120/75/45/-1/1.52865</t>
  </si>
  <si>
    <t>2015-2-11 10:47:39.51: TransitionLogger - processTransitionpoint - checking transition - currentHedgeShortfall is 45</t>
  </si>
  <si>
    <t>2015-2-11 10:47:39.51: Algorithm - rehedge - rehedging 45 contracts</t>
  </si>
  <si>
    <t>2015-2-11 10:47:39.51: Algortihm - rehedge - inside the loop</t>
  </si>
  <si>
    <t>2015-2-11 10:47:39.51: Algorithm - rehedge - trying to trade BUT contracts is 45 and direction indicator is -1</t>
  </si>
  <si>
    <t>2015-2-11 10:47:39.51: Algorithm - updatePortfolio - haveAllDetails is True</t>
  </si>
  <si>
    <t>2015-2-11 10:47:40.98: Algorithm - rehedge - rehedging 45 contracts</t>
  </si>
  <si>
    <t>2015-2-11 10:47:40.98: Algortihm - rehedge - inside the loop</t>
  </si>
  <si>
    <t>2015-2-11 10:47:40.98: Algorithm - rehedge - trying to trade BUT contracts is 45 and direction indicator is -1</t>
  </si>
  <si>
    <t>2015-2-11 10:47:40.990: Algorithm - rehedge - rehedging 45 contracts</t>
  </si>
  <si>
    <t>2015-2-11 10:47:40.990: Algortihm - rehedge - inside the loop</t>
  </si>
  <si>
    <t>2015-2-11 10:47:40.990: Algorithm - rehedge - trying to trade BUT contracts is 45 and direction indicator is -1</t>
  </si>
  <si>
    <t>2015-2-11 10:47:41.411: Algorithm - rehedge - rehedging 45 contracts</t>
  </si>
  <si>
    <t>2015-2-11 10:47:41.411: Algortihm - rehedge - inside the loop</t>
  </si>
  <si>
    <t>2015-2-11 10:47:41.411: Algorithm - rehedge - trying to trade BUT contracts is 45 and direction indicator is -1</t>
  </si>
  <si>
    <t>2015-2-11 10:47:41.803: Algorithm - rehedge - rehedging 45 contracts</t>
  </si>
  <si>
    <t>2015-2-11 10:47:41.803: Algortihm - rehedge - inside the loop</t>
  </si>
  <si>
    <t>2015-2-11 10:47:41.803: Algorithm - rehedge - trying to trade BUT contracts is 45 and direction indicator is -1</t>
  </si>
  <si>
    <t>2015-2-11 10:47:43.68: Algorithm - rehedge - rehedging 45 contracts</t>
  </si>
  <si>
    <t>2015-2-11 10:47:43.68: Algortihm - rehedge - inside the loop</t>
  </si>
  <si>
    <t>2015-2-11 10:47:43.68: Algorithm - rehedge - trying to trade BUT contracts is 45 and direction indicator is -1</t>
  </si>
  <si>
    <t>2015-2-11 10:47:43.256: Algorithm - rehedge - rehedging 45 contracts</t>
  </si>
  <si>
    <t>2015-2-11 10:47:43.256: Algortihm - rehedge - inside the loop</t>
  </si>
  <si>
    <t>2015-2-11 10:47:43.256: Algorithm - rehedge - trying to trade BUT contracts is 45 and direction indicator is -1</t>
  </si>
  <si>
    <t>2015-2-11 10:47:44.960: Algorithm - rehedge - rehedging 45 contracts</t>
  </si>
  <si>
    <t>2015-2-11 10:47:44.960: Algortihm - rehedge - inside the loop</t>
  </si>
  <si>
    <t>2015-2-11 10:47:44.960: Algorithm - rehedge - trying to trade BUT contracts is 45 and direction indicator is -1</t>
  </si>
  <si>
    <t>2015-2-11 10:47:45.22: Algorithm - rehedge - rehedging 45 contracts</t>
  </si>
  <si>
    <t>2015-2-11 10:47:45.22: Algortihm - rehedge - inside the loop</t>
  </si>
  <si>
    <t>2015-2-11 10:47:45.22: OrderManager - PlaceOrder - id 9704 workingQty -25</t>
  </si>
  <si>
    <t>2015-2-11 10:47:45.22: OrderManager - sendOrder - exiting place order id 9704 BUY 5 1.5288  - workingQty -25 currentPosition is 75 workingOrderCount is 0</t>
  </si>
  <si>
    <t>2015-2-11 10:47:45.22: Algorithm - rehedge - placing an order - orderSize is 5 workingQty is -25 working order count 0</t>
  </si>
  <si>
    <t>2015-2-11 10:47:45.397: RTWSControl - nextValidId - entering nextValidId id is 9705</t>
  </si>
  <si>
    <t>2015-2-11 10:47:45.412: openOrderEx - I am here</t>
  </si>
  <si>
    <t>2015-2-11 10:47:45.428: RTWSControl - orderStatus -  entering orderStatus id is 9704 status is Submitted</t>
  </si>
  <si>
    <t>2015-2-11 10:47:45.428: OrderManager - UpdateOrderStatus - id 9704 Setting status to Submitted workingOrderCount is now 0 workingQty -25</t>
  </si>
  <si>
    <t>2015-2-11 10:47:45.428: RTWSControl - OrderStatus - Got OrderStatus Message id:9704 status: Submitted filled: 0</t>
  </si>
  <si>
    <t>2015-2-11 10:47:45.428: RTWSControl - OrderStatus - exiting orderStatus</t>
  </si>
  <si>
    <t>2015-2-11 10:47:47.821: Algorithm - rehedge - rehedging 45 contracts</t>
  </si>
  <si>
    <t>2015-2-11 10:47:47.821: Algorithm - rehedge - Need to place order but already have a working order - workingQty is -25 working order count 0</t>
  </si>
  <si>
    <t>2015-2-11 10:47:48.133: Algorithm - rehedge - rehedging 45 contracts</t>
  </si>
  <si>
    <t>2015-2-11 10:47:48.133: Algorithm - rehedge - Need to place order but already have a working order - workingQty is -25 working order count 0</t>
  </si>
  <si>
    <t>2015-2-11 10:47:49.102: Algorithm - rehedge - rehedging 45 contracts</t>
  </si>
  <si>
    <t>2015-2-11 10:47:49.102: Algorithm - rehedge - Need to place order but already have a working order - workingQty is -25 working order count 0</t>
  </si>
  <si>
    <t>2015-2-11 10:47:54.647: Algorithm - rehedge - rehedging 45 contracts</t>
  </si>
  <si>
    <t>2015-2-11 10:47:54.647: Algorithm - rehedge - Need to place order but already have a working order - workingQty is -25 working order count 0</t>
  </si>
  <si>
    <t>2015-2-11 10:47:54.912: Algorithm - rehedge - rehedging 45 contracts</t>
  </si>
  <si>
    <t>2015-2-11 10:47:54.912: Algorithm - rehedge - Need to place order but already have a working order - workingQty is -25 working order count 0</t>
  </si>
  <si>
    <t>2015-2-11 10:47:56.67: Algorithm - rehedge - rehedging 45 contracts</t>
  </si>
  <si>
    <t>2015-2-11 10:47:56.67: Algorithm - rehedge - Need to place order but already have a working order - workingQty is -25 working order count 0</t>
  </si>
  <si>
    <t>2015-2-11 10:47:56.582: Algorithm - rehedge - rehedging 45 contracts</t>
  </si>
  <si>
    <t>2015-2-11 10:47:56.582: Algorithm - rehedge - Need to place order but already have a working order - workingQty is -25 working order count 0</t>
  </si>
  <si>
    <t>2015-2-11 10:47:58.766: Algorithm - rehedge - rehedging 45 contracts</t>
  </si>
  <si>
    <t>2015-2-11 10:47:58.766: Algorithm - rehedge - Need to place order but already have a working order - workingQty is -25 working order count 0</t>
  </si>
  <si>
    <t>2015-2-11 10:47:59.344: Algorithm - rehedge - rehedging 45 contracts</t>
  </si>
  <si>
    <t>2015-2-11 10:47:59.344: Algorithm - rehedge - Need to place order but already have a working order - workingQty is -25 working order count 0</t>
  </si>
  <si>
    <t>2015-2-11 10:48:4.554: Algorithm - rehedge - rehedging 45 contracts</t>
  </si>
  <si>
    <t>2015-2-11 10:48:4.554: Algorithm - rehedge - Need to place order but already have a working order - workingQty is -25 working order count 0</t>
  </si>
  <si>
    <t>2015-2-11 10:48:20.962: Algorithm - rehedge - rehedging 45 contracts</t>
  </si>
  <si>
    <t>2015-2-11 10:48:20.962: Algorithm - rehedge - Need to place order but already have a working order - workingQty is -25 working order count 0</t>
  </si>
  <si>
    <t>2015-2-11 10:48:22.101: Algorithm - rehedge - rehedging 45 contracts</t>
  </si>
  <si>
    <t>2015-2-11 10:48:22.101: Algorithm - rehedge - Need to place order but already have a working order - workingQty is -25 working order count 0</t>
  </si>
  <si>
    <t>2015-2-11 10:48:23.319: Algorithm - rehedge - rehedging 45 contracts</t>
  </si>
  <si>
    <t>2015-2-11 10:48:23.319: Algorithm - rehedge - Need to place order but already have a working order - workingQty is -25 working order count 0</t>
  </si>
  <si>
    <t>2015-2-11 10:48:24.725: Algorithm - rehedge - rehedging 45 contracts</t>
  </si>
  <si>
    <t>2015-2-11 10:48:24.725: Algorithm - rehedge - Need to place order but already have a working order - workingQty is -25 working order count 0</t>
  </si>
  <si>
    <t>2015-2-11 10:48:24.928: Algorithm - rehedge - rehedging 45 contracts</t>
  </si>
  <si>
    <t>2015-2-11 10:48:24.928: Algorithm - rehedge - Need to place order but already have a working order - workingQty is -25 working order count 0</t>
  </si>
  <si>
    <t>2015-2-11 10:48:36.794: Algorithm - rehedge - rehedging 45 contracts</t>
  </si>
  <si>
    <t>2015-2-11 10:48:36.794: Algorithm - rehedge - Need to place order but already have a working order - workingQty is -25 working order count 0</t>
  </si>
  <si>
    <t>2015-2-11 10:48:43.654: Algorithm - rehedge - rehedging 45 contracts</t>
  </si>
  <si>
    <t>2015-2-11 10:48:43.654: Algorithm - rehedge - Need to place order but already have a working order - workingQty is -25 working order count 0</t>
  </si>
  <si>
    <t>2015-2-11 10:48:45.200: Algorithm - rehedge - rehedging 45 contracts</t>
  </si>
  <si>
    <t>2015-2-11 10:48:45.200: Algorithm - rehedge - Need to place order but already have a working order - workingQty is -25 working order count 0</t>
  </si>
  <si>
    <t>2015-2-11 10:48:46.468: Algorithm - rehedge - rehedging 45 contracts</t>
  </si>
  <si>
    <t>2015-2-11 10:48:46.468: Algorithm - rehedge - Need to place order but already have a working order - workingQty is -25 working order count 0</t>
  </si>
  <si>
    <t>2015-2-11 10:48:52.632: Algorithm - rehedge - rehedging 45 contracts</t>
  </si>
  <si>
    <t>2015-2-11 10:48:52.632: Algorithm - rehedge - Need to place order but already have a working order - workingQty is -25 working order count 0</t>
  </si>
  <si>
    <t>2015-2-11 10:48:52.853: Algorithm - rehedge - rehedging 45 contracts</t>
  </si>
  <si>
    <t>2015-2-11 10:48:52.853: Algorithm - rehedge - Need to place order but already have a working order - workingQty is -25 working order count 0</t>
  </si>
  <si>
    <t>2015-2-11 10:48:53.227: Algorithm - rehedge - rehedging 45 contracts</t>
  </si>
  <si>
    <t>2015-2-11 10:48:53.227: Algorithm - rehedge - Need to place order but already have a working order - workingQty is -25 working order count 0</t>
  </si>
  <si>
    <t>2015-2-11 10:48:57.330: Algorithm - rehedge - rehedging 45 contracts</t>
  </si>
  <si>
    <t>2015-2-11 10:48:57.330: Algorithm - rehedge - Need to place order but already have a working order - workingQty is -25 working order count 0</t>
  </si>
  <si>
    <t>2015-2-11 10:48:59.222: Algorithm - rehedge - rehedging 45 contracts</t>
  </si>
  <si>
    <t>2015-2-11 10:48:59.222: Algorithm - rehedge - Need to place order but already have a working order - workingQty is -25 working order count 0</t>
  </si>
  <si>
    <t>2015-2-11 10:49:7.179: Algorithm - rehedge - rehedging 45 contracts</t>
  </si>
  <si>
    <t>2015-2-11 10:49:7.179: Algorithm - rehedge - Need to place order but already have a working order - workingQty is -25 working order count 0</t>
  </si>
  <si>
    <t>2015-2-11 10:49:7.849: Algorithm - rehedge - rehedging 45 contracts</t>
  </si>
  <si>
    <t>2015-2-11 10:49:7.849: Algorithm - rehedge - Need to place order but already have a working order - workingQty is -25 working order count 0</t>
  </si>
  <si>
    <t>2015-2-11 10:49:8.54: Algorithm - rehedge - rehedging 45 contracts</t>
  </si>
  <si>
    <t>2015-2-11 10:49:8.70: Algorithm - rehedge - Need to place order but already have a working order - workingQty is -25 working order count 0</t>
  </si>
  <si>
    <t>2015-2-11 10:49:8.507: Algorithm - rehedge - rehedging 45 contracts</t>
  </si>
  <si>
    <t>2015-2-11 10:49:8.507: Algorithm - rehedge - Need to place order but already have a working order - workingQty is -25 working order count 0</t>
  </si>
  <si>
    <t>2015-2-11 10:49:9.226: Algorithm - rehedge - rehedging 45 contracts</t>
  </si>
  <si>
    <t>2015-2-11 10:49:9.226: Algorithm - rehedge - Need to place order but already have a working order - workingQty is -25 working order count 0</t>
  </si>
  <si>
    <t>2015-2-11 10:49:9.289: Algorithm - rehedge - rehedging 45 contracts</t>
  </si>
  <si>
    <t>2015-2-11 10:49:9.289: Algorithm - rehedge - Need to place order but already have a working order - workingQty is -25 working order count 0</t>
  </si>
  <si>
    <t>2015-2-11 10:49:12.220: Algorithm - rehedge - rehedging 45 contracts</t>
  </si>
  <si>
    <t>2015-2-11 10:49:12.220: Algorithm - rehedge - Need to place order but already have a working order - workingQty is -25 working order count 0</t>
  </si>
  <si>
    <t>2015-2-11 10:49:12.438: Algorithm - rehedge - rehedging 45 contracts</t>
  </si>
  <si>
    <t>2015-2-11 10:49:12.438: Algorithm - rehedge - Need to place order but already have a working order - workingQty is -25 working order count 0</t>
  </si>
  <si>
    <t>2015-2-11 10:49:18.160: Algorithm - rehedge - rehedging 45 contracts</t>
  </si>
  <si>
    <t>2015-2-11 10:49:18.175: Algorithm - rehedge - Need to place order but already have a working order - workingQty is -25 working order count 0</t>
  </si>
  <si>
    <t>2015-2-11 10:49:18.862: Algorithm - rehedge - rehedging 45 contracts</t>
  </si>
  <si>
    <t>2015-2-11 10:49:18.862: Algorithm - rehedge - Need to place order but already have a working order - workingQty is -25 working order count 0</t>
  </si>
  <si>
    <t>2015-2-11 10:49:49.375: Algorithm - rehedge - rehedging 45 contracts</t>
  </si>
  <si>
    <t>2015-2-11 10:49:49.375: Algorithm - rehedge - Need to place order but already have a working order - workingQty is -25 working order count 0</t>
  </si>
  <si>
    <t>2015-2-11 10:49:52.635: Algorithm - rehedge - rehedging 45 contracts</t>
  </si>
  <si>
    <t>2015-2-11 10:49:52.635: Algorithm - rehedge - Need to place order but already have a working order - workingQty is -25 working order count 0</t>
  </si>
  <si>
    <t>2015-2-11 10:50:16.168: Algorithm - rehedge - rehedging 45 contracts</t>
  </si>
  <si>
    <t>2015-2-11 10:50:16.168: Algorithm - rehedge - Need to place order but already have a working order - workingQty is -25 working order count 0</t>
  </si>
  <si>
    <t>2015-2-11 10:50:16.839: Algorithm - rehedge - rehedging 45 contracts</t>
  </si>
  <si>
    <t>2015-2-11 10:50:16.839: Algorithm - rehedge - Need to place order but already have a working order - workingQty is -25 working order count 0</t>
  </si>
  <si>
    <t>2015-2-11 10:50:37.578: Algorithm - rehedge - rehedging 45 contracts</t>
  </si>
  <si>
    <t>2015-2-11 10:50:37.578: Algorithm - rehedge - Need to place order but already have a working order - workingQty is -25 working order count 0</t>
  </si>
  <si>
    <t>2015-2-11 10:50:38.734: Algorithm - FindNextStrikes - price is 1.5291 nextStrikeUp/Down 1.53/1.525</t>
  </si>
  <si>
    <t>2015-2-11 10:50:38.734: Algorithm - getPortfolioForwardDelta - required deltas is 120 currentHedgePosition is 75</t>
  </si>
  <si>
    <t>2015-2-11 10:50:38.734: Algorithm - getHedgeShortfall - required deltas is 120 price is 1.5292 currentHedgePositionDeltas is 75</t>
  </si>
  <si>
    <t>2015-2-11 10:50:38.750: Algorithm - processTransitionPoint - nextUpper/LowerStrikes are 1.53/1.525 requiredDeltas/currentPosition/currentHedgeShortfall/direction/transitionPrice are 120/75/45/1/1.5292</t>
  </si>
  <si>
    <t>2015-2-11 10:50:38.750: TransitionLogger - processTransitionpoint - checking transition - currentHedgeShortfall is 45</t>
  </si>
  <si>
    <t>2015-2-11 10:50:38.750: Algorithm - rehedge - rehedging 45 contracts</t>
  </si>
  <si>
    <t>2015-2-11 10:50:38.750: Algorithm - rehedge - Need to place order but already have a working order - workingQty is -25 working order count 0</t>
  </si>
  <si>
    <t>2015-2-11 10:50:38.750: Algorithm - updatePortfolio - haveAllDetails is True</t>
  </si>
  <si>
    <t>2015-2-11 10:50:38.781: Algorithm - FindNextStrikes - price is 1.5291 nextStrikeUp/Down 1.53/1.525</t>
  </si>
  <si>
    <t>2015-2-11 10:50:38.781: Algorithm - getPortfolioForwardDelta - required deltas is 120 currentHedgePosition is 75</t>
  </si>
  <si>
    <t>2015-2-11 10:50:38.781: Algorithm - getHedgeShortfall - required deltas is 120 price is 1.5292 currentHedgePositionDeltas is 75</t>
  </si>
  <si>
    <t>2015-2-11 10:50:38.781: Algorithm - processTransitionPoint - nextUpper/LowerStrikes are 1.53/1.525 requiredDeltas/currentPosition/currentHedgeShortfall/direction/transitionPrice are 120/75/45/1/1.5292</t>
  </si>
  <si>
    <t>2015-2-11 10:50:38.796: TransitionLogger - processTransitionpoint - checking transition - currentHedgeShortfall is 45</t>
  </si>
  <si>
    <t>2015-2-11 10:50:38.796: Algorithm - rehedge - rehedging 45 contracts</t>
  </si>
  <si>
    <t>2015-2-11 10:50:38.796: Algorithm - rehedge - Need to place order but already have a working order - workingQty is -25 working order count 0</t>
  </si>
  <si>
    <t>2015-2-11 10:50:38.796: Algorithm - updatePortfolio - haveAllDetails is True</t>
  </si>
  <si>
    <t>2015-2-11 10:50:38.843: Algorithm - FindNextStrikes - price is 1.5291 nextStrikeUp/Down 1.53/1.525</t>
  </si>
  <si>
    <t>2015-2-11 10:50:38.843: Algorithm - getPortfolioForwardDelta - required deltas is 120 currentHedgePosition is 75</t>
  </si>
  <si>
    <t>2015-2-11 10:50:38.843: Algorithm - getHedgeShortfall - required deltas is 120 price is 1.5292 currentHedgePositionDeltas is 75</t>
  </si>
  <si>
    <t>2015-2-11 10:50:38.843: Algorithm - processTransitionPoint - nextUpper/LowerStrikes are 1.53/1.525 requiredDeltas/currentPosition/currentHedgeShortfall/direction/transitionPrice are 120/75/45/1/1.5292</t>
  </si>
  <si>
    <t>2015-2-11 10:50:38.843: TransitionLogger - processTransitionpoint - checking transition - currentHedgeShortfall is 45</t>
  </si>
  <si>
    <t>2015-2-11 10:50:38.843: Algorithm - rehedge - rehedging 45 contracts</t>
  </si>
  <si>
    <t>2015-2-11 10:50:38.843: Algorithm - rehedge - Need to place order but already have a working order - workingQty is -25 working order count 0</t>
  </si>
  <si>
    <t>2015-2-11 10:50:38.843: Algorithm - updatePortfolio - haveAllDetails is True</t>
  </si>
  <si>
    <t>2015-2-11 10:50:38.890: Algorithm - FindNextStrikes - price is 1.5291 nextStrikeUp/Down 1.53/1.525</t>
  </si>
  <si>
    <t>2015-2-11 10:50:38.890: Algorithm - getPortfolioForwardDelta - required deltas is 120 currentHedgePosition is 75</t>
  </si>
  <si>
    <t>2015-2-11 10:50:38.890: Algorithm - getHedgeShortfall - required deltas is 120 price is 1.5292 currentHedgePositionDeltas is 75</t>
  </si>
  <si>
    <t>2015-2-11 10:50:38.890: Algorithm - processTransitionPoint - nextUpper/LowerStrikes are 1.53/1.525 requiredDeltas/currentPosition/currentHedgeShortfall/direction/transitionPrice are 120/75/45/1/1.5292</t>
  </si>
  <si>
    <t>2015-2-11 10:50:38.890: TransitionLogger - processTransitionpoint - checking transition - currentHedgeShortfall is 45</t>
  </si>
  <si>
    <t>2015-2-11 10:50:38.890: Algorithm - rehedge - rehedging 45 contracts</t>
  </si>
  <si>
    <t>2015-2-11 10:50:38.890: Algorithm - rehedge - Need to place order but already have a working order - workingQty is -25 working order count 0</t>
  </si>
  <si>
    <t>2015-2-11 10:50:38.890: Algorithm - updatePortfolio - haveAllDetails is True</t>
  </si>
  <si>
    <t>2015-2-11 10:50:38.937: Algorithm - FindNextStrikes - price is 1.5291 nextStrikeUp/Down 1.53/1.525</t>
  </si>
  <si>
    <t>2015-2-11 10:50:38.937: Algorithm - getPortfolioForwardDelta - required deltas is 120 currentHedgePosition is 75</t>
  </si>
  <si>
    <t>2015-2-11 10:50:38.937: Algorithm - getHedgeShortfall - required deltas is 120 price is 1.5292 currentHedgePositionDeltas is 75</t>
  </si>
  <si>
    <t>2015-2-11 10:50:38.937: Algorithm - processTransitionPoint - nextUpper/LowerStrikes are 1.53/1.525 requiredDeltas/currentPosition/currentHedgeShortfall/direction/transitionPrice are 120/75/45/1/1.5292</t>
  </si>
  <si>
    <t>2015-2-11 10:50:38.937: TransitionLogger - processTransitionpoint - checking transition - currentHedgeShortfall is 45</t>
  </si>
  <si>
    <t>2015-2-11 10:50:38.937: Algorithm - rehedge - rehedging 45 contracts</t>
  </si>
  <si>
    <t>2015-2-11 10:50:38.937: Algorithm - rehedge - Need to place order but already have a working order - workingQty is -25 working order count 0</t>
  </si>
  <si>
    <t>2015-2-11 10:50:38.937: Algorithm - updatePortfolio - haveAllDetails is True</t>
  </si>
  <si>
    <t>2015-2-11 10:50:38.984: Algorithm - FindNextStrikes - price is 1.5291 nextStrikeUp/Down 1.53/1.525</t>
  </si>
  <si>
    <t>2015-2-11 10:50:38.984: Algorithm - getPortfolioForwardDelta - required deltas is 120 currentHedgePosition is 75</t>
  </si>
  <si>
    <t>2015-2-11 10:50:38.984: Algorithm - getHedgeShortfall - required deltas is 120 price is 1.5292 currentHedgePositionDeltas is 75</t>
  </si>
  <si>
    <t>2015-2-11 10:50:38.984: Algorithm - processTransitionPoint - nextUpper/LowerStrikes are 1.53/1.525 requiredDeltas/currentPosition/currentHedgeShortfall/direction/transitionPrice are 120/75/45/1/1.5292</t>
  </si>
  <si>
    <t>2015-2-11 10:50:38.984: TransitionLogger - processTransitionpoint - checking transition - currentHedgeShortfall is 45</t>
  </si>
  <si>
    <t>2015-2-11 10:50:38.984: Algorithm - rehedge - rehedging 45 contracts</t>
  </si>
  <si>
    <t>2015-2-11 10:50:38.984: Algorithm - rehedge - Need to place order but already have a working order - workingQty is -25 working order count 0</t>
  </si>
  <si>
    <t>2015-2-11 10:50:38.984: Algorithm - updatePortfolio - haveAllDetails is True</t>
  </si>
  <si>
    <t>2015-2-11 10:50:39.30: Algorithm - FindNextStrikes - price is 1.5291 nextStrikeUp/Down 1.53/1.525</t>
  </si>
  <si>
    <t>2015-2-11 10:50:39.30: Algorithm - getPortfolioForwardDelta - required deltas is 120 currentHedgePosition is 75</t>
  </si>
  <si>
    <t>2015-2-11 10:50:39.30: Algorithm - getHedgeShortfall - required deltas is 120 price is 1.5292 currentHedgePositionDeltas is 75</t>
  </si>
  <si>
    <t>2015-2-11 10:50:39.30: Algorithm - processTransitionPoint - nextUpper/LowerStrikes are 1.53/1.525 requiredDeltas/currentPosition/currentHedgeShortfall/direction/transitionPrice are 120/75/45/1/1.5292</t>
  </si>
  <si>
    <t>2015-2-11 10:50:39.30: TransitionLogger - processTransitionpoint - checking transition - currentHedgeShortfall is 45</t>
  </si>
  <si>
    <t>2015-2-11 10:50:39.30: Algorithm - rehedge - rehedging 45 contracts</t>
  </si>
  <si>
    <t>2015-2-11 10:50:39.30: Algorithm - rehedge - Need to place order but already have a working order - workingQty is -25 working order count 0</t>
  </si>
  <si>
    <t>2015-2-11 10:50:39.30: Algorithm - updatePortfolio - haveAllDetails is True</t>
  </si>
  <si>
    <t>2015-2-11 10:50:39.62: Algorithm - FindNextStrikes - price is 1.5291 nextStrikeUp/Down 1.53/1.525</t>
  </si>
  <si>
    <t>2015-2-11 10:50:39.62: Algorithm - getPortfolioForwardDelta - required deltas is 120 currentHedgePosition is 75</t>
  </si>
  <si>
    <t>2015-2-11 10:50:39.62: Algorithm - getHedgeShortfall - required deltas is 120 price is 1.5292 currentHedgePositionDeltas is 75</t>
  </si>
  <si>
    <t>2015-2-11 10:50:39.62: Algorithm - processTransitionPoint - nextUpper/LowerStrikes are 1.53/1.525 requiredDeltas/currentPosition/currentHedgeShortfall/direction/transitionPrice are 120/75/45/1/1.5292</t>
  </si>
  <si>
    <t>2015-2-11 10:50:39.62: TransitionLogger - processTransitionpoint - checking transition - currentHedgeShortfall is 45</t>
  </si>
  <si>
    <t>2015-2-11 10:50:39.62: Algorithm - rehedge - rehedging 45 contracts</t>
  </si>
  <si>
    <t>2015-2-11 10:50:39.62: Algorithm - rehedge - Need to place order but already have a working order - workingQty is -25 working order count 0</t>
  </si>
  <si>
    <t>2015-2-11 10:50:39.62: Algorithm - updatePortfolio - haveAllDetails is True</t>
  </si>
  <si>
    <t>2015-2-11 10:50:39.108: Algorithm - FindNextStrikes - price is 1.5291 nextStrikeUp/Down 1.53/1.525</t>
  </si>
  <si>
    <t>2015-2-11 10:50:39.108: Algorithm - getPortfolioForwardDelta - required deltas is 120 currentHedgePosition is 75</t>
  </si>
  <si>
    <t>2015-2-11 10:50:39.108: Algorithm - getHedgeShortfall - required deltas is 120 price is 1.5292 currentHedgePositionDeltas is 75</t>
  </si>
  <si>
    <t>2015-2-11 10:50:39.108: Algorithm - processTransitionPoint - nextUpper/LowerStrikes are 1.53/1.525 requiredDeltas/currentPosition/currentHedgeShortfall/direction/transitionPrice are 120/75/45/1/1.5292</t>
  </si>
  <si>
    <t>2015-2-11 10:50:39.108: TransitionLogger - processTransitionpoint - checking transition - currentHedgeShortfall is 45</t>
  </si>
  <si>
    <t>2015-2-11 10:50:39.108: Algorithm - rehedge - rehedging 45 contracts</t>
  </si>
  <si>
    <t>2015-2-11 10:50:39.108: Algorithm - rehedge - Need to place order but already have a working order - workingQty is -25 working order count 0</t>
  </si>
  <si>
    <t>2015-2-11 10:50:39.108: Algorithm - updatePortfolio - haveAllDetails is True</t>
  </si>
  <si>
    <t>2015-2-11 10:50:39.155: Algorithm - FindNextStrikes - price is 1.5291 nextStrikeUp/Down 1.53/1.525</t>
  </si>
  <si>
    <t>2015-2-11 10:50:39.155: Algorithm - getPortfolioForwardDelta - required deltas is 120 currentHedgePosition is 75</t>
  </si>
  <si>
    <t>2015-2-11 10:50:39.155: Algorithm - getHedgeShortfall - required deltas is 120 price is 1.5292 currentHedgePositionDeltas is 75</t>
  </si>
  <si>
    <t>2015-2-11 10:50:39.155: Algorithm - processTransitionPoint - nextUpper/LowerStrikes are 1.53/1.525 requiredDeltas/currentPosition/currentHedgeShortfall/direction/transitionPrice are 120/75/45/1/1.5292</t>
  </si>
  <si>
    <t>2015-2-11 10:50:39.155: TransitionLogger - processTransitionpoint - checking transition - currentHedgeShortfall is 45</t>
  </si>
  <si>
    <t>2015-2-11 10:50:39.155: Algorithm - rehedge - rehedging 45 contracts</t>
  </si>
  <si>
    <t>2015-2-11 10:50:39.155: Algorithm - rehedge - Need to place order but already have a working order - workingQty is -25 working order count 0</t>
  </si>
  <si>
    <t>2015-2-11 10:50:39.155: Algorithm - updatePortfolio - haveAllDetails is True</t>
  </si>
  <si>
    <t>2015-2-11 10:50:39.202: Algorithm - rehedge - rehedging 45 contracts</t>
  </si>
  <si>
    <t>2015-2-11 10:50:39.202: Algorithm - rehedge - Need to place order but already have a working order - workingQty is -25 working order count 0</t>
  </si>
  <si>
    <t>2015-2-11 10:50:39.594: Algorithm - rehedge - rehedging 45 contracts</t>
  </si>
  <si>
    <t>2015-2-11 10:50:39.594: Algorithm - rehedge - Need to place order but already have a working order - workingQty is -25 working order count 0</t>
  </si>
  <si>
    <t>2015-2-11 10:50:39.625: Algorithm - rehedge - rehedging 45 contracts</t>
  </si>
  <si>
    <t>2015-2-11 10:50:39.625: Algorithm - rehedge - Need to place order but already have a working order - workingQty is -25 working order count 0</t>
  </si>
  <si>
    <t>2015-2-11 10:50:45.427: Algorithm - rehedge - rehedging 45 contracts</t>
  </si>
  <si>
    <t>2015-2-11 10:50:45.427: Algorithm - rehedge - Need to place order but already have a working order - workingQty is -25 working order count 0</t>
  </si>
  <si>
    <t>2015-2-11 10:50:59.452: Algorithm - rehedge - rehedging 45 contracts</t>
  </si>
  <si>
    <t>2015-2-11 10:50:59.452: Algorithm - rehedge - Need to place order but already have a working order - workingQty is -25 working order count 0</t>
  </si>
  <si>
    <t>2015-2-11 10:51:0.48: Algorithm - rehedge - rehedging 45 contracts</t>
  </si>
  <si>
    <t>2015-2-11 10:51:0.48: Algorithm - rehedge - Need to place order but already have a working order - workingQty is -25 working order count 0</t>
  </si>
  <si>
    <t>2015-2-11 10:51:7.857: Algorithm - rehedge - rehedging 45 contracts</t>
  </si>
  <si>
    <t>2015-2-11 10:51:7.873: Algorithm - rehedge - Need to place order but already have a working order - workingQty is -25 working order count 0</t>
  </si>
  <si>
    <t>2015-2-11 10:51:10.231: Algorithm - rehedge - rehedging 45 contracts</t>
  </si>
  <si>
    <t>2015-2-11 10:51:10.231: Algorithm - rehedge - Need to place order but already have a working order - workingQty is -25 working order count 0</t>
  </si>
  <si>
    <t>2015-2-11 10:51:10.277: Algorithm - rehedge - rehedging 45 contracts</t>
  </si>
  <si>
    <t>2015-2-11 10:51:10.277: Algorithm - rehedge - Need to place order but already have a working order - workingQty is -25 working order count 0</t>
  </si>
  <si>
    <t>2015-2-11 10:51:10.683: Algorithm - rehedge - rehedging 45 contracts</t>
  </si>
  <si>
    <t>2015-2-11 10:51:10.683: Algorithm - rehedge - Need to place order but already have a working order - workingQty is -25 working order count 0</t>
  </si>
  <si>
    <t>2015-2-11 10:51:10.730: Algorithm - rehedge - rehedging 45 contracts</t>
  </si>
  <si>
    <t>2015-2-11 10:51:10.730: Algorithm - rehedge - Need to place order but already have a working order - workingQty is -25 working order count 0</t>
  </si>
  <si>
    <t>2015-2-11 10:51:13.571: Algorithm - rehedge - rehedging 45 contracts</t>
  </si>
  <si>
    <t>2015-2-11 10:51:13.571: Algorithm - rehedge - Need to place order but already have a working order - workingQty is -25 working order count 0</t>
  </si>
  <si>
    <t>2015-2-11 10:51:15.104: Algorithm - rehedge - rehedging 45 contracts</t>
  </si>
  <si>
    <t>2015-2-11 10:51:15.104: Algorithm - rehedge - Need to place order but already have a working order - workingQty is -25 working order count 0</t>
  </si>
  <si>
    <t>2015-2-11 10:51:16.307: Algorithm - rehedge - rehedging 45 contracts</t>
  </si>
  <si>
    <t>2015-2-11 10:51:16.307: Algorithm - rehedge - Need to place order but already have a working order - workingQty is -25 working order count 0</t>
  </si>
  <si>
    <t>2015-2-11 10:51:20.894: Algorithm - rehedge - rehedging 45 contracts</t>
  </si>
  <si>
    <t>2015-2-11 10:51:20.894: Algorithm - rehedge - Need to place order but already have a working order - workingQty is -25 working order count 0</t>
  </si>
  <si>
    <t>2015-2-11 10:51:21.879: Algorithm - rehedge - rehedging 45 contracts</t>
  </si>
  <si>
    <t>2015-2-11 10:51:21.879: Algorithm - rehedge - Need to place order but already have a working order - workingQty is -25 working order count 0</t>
  </si>
  <si>
    <t>2015-2-11 10:51:22.68: Algorithm - rehedge - rehedging 45 contracts</t>
  </si>
  <si>
    <t>2015-2-11 10:51:22.68: Algorithm - rehedge - Need to place order but already have a working order - workingQty is -25 working order count 0</t>
  </si>
  <si>
    <t>2015-2-11 10:51:28.946: Algorithm - rehedge - rehedging 45 contracts</t>
  </si>
  <si>
    <t>2015-2-11 10:51:28.946: Algorithm - rehedge - Need to place order but already have a working order - workingQty is -25 working order count 0</t>
  </si>
  <si>
    <t>2015-2-11 10:51:29.8: Algorithm - rehedge - rehedging 45 contracts</t>
  </si>
  <si>
    <t>2015-2-11 10:51:29.8: Algorithm - rehedge - Need to place order but already have a working order - workingQty is -25 working order count 0</t>
  </si>
  <si>
    <t>2015-2-11 10:51:31.976: Algorithm - rehedge - rehedging 45 contracts</t>
  </si>
  <si>
    <t>2015-2-11 10:51:31.976: Algorithm - rehedge - Need to place order but already have a working order - workingQty is -25 working order count 0</t>
  </si>
  <si>
    <t>2015-2-11 10:51:33.616: Algorithm - rehedge - rehedging 45 contracts</t>
  </si>
  <si>
    <t>2015-2-11 10:51:33.616: Algorithm - rehedge - Need to place order but already have a working order - workingQty is -25 working order count 0</t>
  </si>
  <si>
    <t>2015-2-11 10:51:40.179: Algorithm - rehedge - rehedging 45 contracts</t>
  </si>
  <si>
    <t>2015-2-11 10:51:40.179: Algorithm - rehedge - Need to place order but already have a working order - workingQty is -25 working order count 0</t>
  </si>
  <si>
    <t>2015-2-11 10:51:46.134: Algorithm - rehedge - rehedging 45 contracts</t>
  </si>
  <si>
    <t>2015-2-11 10:51:46.134: Algorithm - rehedge - Need to place order but already have a working order - workingQty is -25 working order count 0</t>
  </si>
  <si>
    <t>2015-2-11 10:52:0.446: Algorithm - rehedge - rehedging 45 contracts</t>
  </si>
  <si>
    <t>2015-2-11 10:52:0.446: Algorithm - rehedge - Need to place order but already have a working order - workingQty is -25 working order count 0</t>
  </si>
  <si>
    <t>2015-2-11 10:52:0.478: Algorithm - rehedge - rehedging 45 contracts</t>
  </si>
  <si>
    <t>2015-2-11 10:52:0.493: Algorithm - rehedge - Need to place order but already have a working order - workingQty is -25 working order count 0</t>
  </si>
  <si>
    <t>2015-2-11 10:52:0.868: Algorithm - rehedge - rehedging 45 contracts</t>
  </si>
  <si>
    <t>2015-2-11 10:52:0.868: Algorithm - rehedge - Need to place order but already have a working order - workingQty is -25 working order count 0</t>
  </si>
  <si>
    <t>2015-2-11 10:52:0.899: Algorithm - rehedge - rehedging 45 contracts</t>
  </si>
  <si>
    <t>2015-2-11 10:52:0.899: Algorithm - rehedge - Need to place order but already have a working order - workingQty is -25 working order count 0</t>
  </si>
  <si>
    <t>2015-2-11 10:52:1.258: Algorithm - rehedge - rehedging 45 contracts</t>
  </si>
  <si>
    <t>2015-2-11 10:52:1.258: Algorithm - rehedge - Need to place order but already have a working order - workingQty is -25 working order count 0</t>
  </si>
  <si>
    <t>2015-2-11 10:52:2.303: Algorithm - rehedge - rehedging 45 contracts</t>
  </si>
  <si>
    <t>2015-2-11 10:52:2.303: Algorithm - rehedge - Need to place order but already have a working order - workingQty is -25 working order count 0</t>
  </si>
  <si>
    <t>2015-2-11 10:52:21.96: Algorithm - rehedge - rehedging 45 contracts</t>
  </si>
  <si>
    <t>2015-2-11 10:52:21.96: Algorithm - rehedge - Need to place order but already have a working order - workingQty is -25 working order count 0</t>
  </si>
  <si>
    <t>2015-2-11 10:52:29.813: Algorithm - rehedge - rehedging 45 contracts</t>
  </si>
  <si>
    <t>2015-2-11 10:52:29.813: Algorithm - rehedge - Need to place order but already have a working order - workingQty is -25 working order count 0</t>
  </si>
  <si>
    <t>2015-2-11 10:52:30.594: Algorithm - rehedge - rehedging 45 contracts</t>
  </si>
  <si>
    <t>2015-2-11 10:52:30.594: Algorithm - rehedge - Need to place order but already have a working order - workingQty is -25 working order count 0</t>
  </si>
  <si>
    <t>2015-2-11 10:52:32.828: Algorithm - rehedge - rehedging 45 contracts</t>
  </si>
  <si>
    <t>2015-2-11 10:52:32.828: Algorithm - rehedge - Need to place order but already have a working order - workingQty is -25 working order count 0</t>
  </si>
  <si>
    <t>2015-2-11 10:52:43.868: Algorithm - rehedge - rehedging 45 contracts</t>
  </si>
  <si>
    <t>2015-2-11 10:52:43.868: Algorithm - rehedge - Need to place order but already have a working order - workingQty is -25 working order count 0</t>
  </si>
  <si>
    <t>2015-2-11 10:52:43.946: Algorithm - rehedge - rehedging 45 contracts</t>
  </si>
  <si>
    <t>2015-2-11 10:52:43.946: Algorithm - rehedge - Need to place order but already have a working order - workingQty is -25 working order count 0</t>
  </si>
  <si>
    <t>2015-2-11 10:52:46.392: Algorithm - rehedge - rehedging 45 contracts</t>
  </si>
  <si>
    <t>2015-2-11 10:52:46.392: Algorithm - rehedge - Need to place order but already have a working order - workingQty is -25 working order count 0</t>
  </si>
  <si>
    <t>2015-2-11 10:52:47.62: Algorithm - rehedge - rehedging 45 contracts</t>
  </si>
  <si>
    <t>2015-2-11 10:52:47.62: Algorithm - rehedge - Need to place order but already have a working order - workingQty is -25 working order count 0</t>
  </si>
  <si>
    <t>2015-2-11 10:52:48.548: Algorithm - rehedge - rehedging 45 contracts</t>
  </si>
  <si>
    <t>2015-2-11 10:52:48.548: Algorithm - rehedge - Need to place order but already have a working order - workingQty is -25 working order count 0</t>
  </si>
  <si>
    <t>2015-2-11 10:52:49.48: Algorithm - rehedge - rehedging 45 contracts</t>
  </si>
  <si>
    <t>2015-2-11 10:52:49.48: Algorithm - rehedge - Need to place order but already have a working order - workingQty is -25 working order count 0</t>
  </si>
  <si>
    <t>2015-2-11 10:52:49.301: Algorithm - rehedge - rehedging 45 contracts</t>
  </si>
  <si>
    <t>2015-2-11 10:52:49.301: Algorithm - rehedge - Need to place order but already have a working order - workingQty is -25 working order count 0</t>
  </si>
  <si>
    <t>2015-2-11 10:52:49.769: Algorithm - rehedge - rehedging 45 contracts</t>
  </si>
  <si>
    <t>2015-2-11 10:52:49.769: Algorithm - rehedge - Need to place order but already have a working order - workingQty is -25 working order count 0</t>
  </si>
  <si>
    <t>2015-2-11 10:52:54.880: Algorithm - rehedge - rehedging 45 contracts</t>
  </si>
  <si>
    <t>2015-2-11 10:52:54.880: Algorithm - rehedge - Need to place order but already have a working order - workingQty is -25 working order count 0</t>
  </si>
  <si>
    <t>2015-2-11 10:53:0.588: Algorithm - rehedge - rehedging 45 contracts</t>
  </si>
  <si>
    <t>2015-2-11 10:53:0.588: Algorithm - rehedge - Need to place order but already have a working order - workingQty is -25 working order count 0</t>
  </si>
  <si>
    <t>2015-2-11 10:53:2.729: Algorithm - rehedge - rehedging 45 contracts</t>
  </si>
  <si>
    <t>2015-2-11 10:53:2.729: Algorithm - rehedge - Need to place order but already have a working order - workingQty is -25 working order count 0</t>
  </si>
  <si>
    <t>2015-2-11 10:53:5.387: Algorithm - rehedge - rehedging 45 contracts</t>
  </si>
  <si>
    <t>2015-2-11 10:53:5.387: Algorithm - rehedge - Need to place order but already have a working order - workingQty is -25 working order count 0</t>
  </si>
  <si>
    <t>2015-2-11 10:53:6.124: Algorithm - rehedge - rehedging 45 contracts</t>
  </si>
  <si>
    <t>2015-2-11 10:53:6.124: Algorithm - rehedge - Need to place order but already have a working order - workingQty is -25 working order count 0</t>
  </si>
  <si>
    <t>2015-2-11 10:53:7.500: Algorithm - rehedge - rehedging 45 contracts</t>
  </si>
  <si>
    <t>2015-2-11 10:53:7.500: Algorithm - rehedge - Need to place order but already have a working order - workingQty is -25 working order count 0</t>
  </si>
  <si>
    <t>2015-2-11 10:53:29.91: Algorithm - rehedge - rehedging 45 contracts</t>
  </si>
  <si>
    <t>2015-2-11 10:53:29.91: Algorithm - rehedge - Need to place order but already have a working order - workingQty is -25 working order count 0</t>
  </si>
  <si>
    <t>2015-2-11 10:53:29.372: Algorithm - rehedge - rehedging 45 contracts</t>
  </si>
  <si>
    <t>2015-2-11 10:53:29.388: Algorithm - rehedge - Need to place order but already have a working order - workingQty is -25 working order count 0</t>
  </si>
  <si>
    <t>2015-2-11 10:53:38.531: Algorithm - FindNextStrikes - price is 1.52925 nextStrikeUp/Down 1.53/1.525</t>
  </si>
  <si>
    <t>2015-2-11 10:53:38.531: Algorithm - getPortfolioForwardDelta - required deltas is 120 currentHedgePosition is 75</t>
  </si>
  <si>
    <t>2015-2-11 10:53:38.531: Algorithm - getHedgeShortfall - required deltas is 120 price is 1.52935 currentHedgePositionDeltas is 75</t>
  </si>
  <si>
    <t>2015-2-11 10:53:38.531: Algorithm - processTransitionPoint - nextUpper/LowerStrikes are 1.53/1.525 requiredDeltas/currentPosition/currentHedgeShortfall/direction/transitionPrice are 120/75/45/1/1.52935</t>
  </si>
  <si>
    <t>2015-2-11 10:53:38.531: TransitionLogger - processTransitionpoint - checking transition - currentHedgeShortfall is 45</t>
  </si>
  <si>
    <t>2015-2-11 10:53:38.531: Algorithm - rehedge - rehedging 45 contracts</t>
  </si>
  <si>
    <t>2015-2-11 10:53:38.531: Algorithm - rehedge - Need to place order but already have a working order - workingQty is -25 working order count 0</t>
  </si>
  <si>
    <t>2015-2-11 10:53:38.531: Algorithm - updatePortfolio - haveAllDetails is True</t>
  </si>
  <si>
    <t>2015-2-11 10:53:38.562: Algorithm - FindNextStrikes - price is 1.52925 nextStrikeUp/Down 1.53/1.525</t>
  </si>
  <si>
    <t>2015-2-11 10:53:38.578: Algorithm - getPortfolioForwardDelta - required deltas is 120 currentHedgePosition is 75</t>
  </si>
  <si>
    <t>2015-2-11 10:53:38.578: Algorithm - getHedgeShortfall - required deltas is 120 price is 1.52935 currentHedgePositionDeltas is 75</t>
  </si>
  <si>
    <t>2015-2-11 10:53:38.578: Algorithm - processTransitionPoint - nextUpper/LowerStrikes are 1.53/1.525 requiredDeltas/currentPosition/currentHedgeShortfall/direction/transitionPrice are 120/75/45/1/1.52935</t>
  </si>
  <si>
    <t>2015-2-11 10:53:38.578: TransitionLogger - processTransitionpoint - checking transition - currentHedgeShortfall is 45</t>
  </si>
  <si>
    <t>2015-2-11 10:53:38.578: Algorithm - rehedge - rehedging 45 contracts</t>
  </si>
  <si>
    <t>2015-2-11 10:53:38.578: Algorithm - rehedge - Need to place order but already have a working order - workingQty is -25 working order count 0</t>
  </si>
  <si>
    <t>2015-2-11 10:53:38.578: Algorithm - updatePortfolio - haveAllDetails is True</t>
  </si>
  <si>
    <t>2015-2-11 10:53:38.625: Algorithm - FindNextStrikes - price is 1.52925 nextStrikeUp/Down 1.53/1.525</t>
  </si>
  <si>
    <t>2015-2-11 10:53:38.625: Algorithm - getPortfolioForwardDelta - required deltas is 120 currentHedgePosition is 75</t>
  </si>
  <si>
    <t>2015-2-11 10:53:38.625: Algorithm - getHedgeShortfall - required deltas is 120 price is 1.52935 currentHedgePositionDeltas is 75</t>
  </si>
  <si>
    <t>2015-2-11 10:53:38.625: Algorithm - processTransitionPoint - nextUpper/LowerStrikes are 1.53/1.525 requiredDeltas/currentPosition/currentHedgeShortfall/direction/transitionPrice are 120/75/45/1/1.52935</t>
  </si>
  <si>
    <t>2015-2-11 10:53:38.625: TransitionLogger - processTransitionpoint - checking transition - currentHedgeShortfall is 45</t>
  </si>
  <si>
    <t>2015-2-11 10:53:38.625: Algorithm - rehedge - rehedging 45 contracts</t>
  </si>
  <si>
    <t>2015-2-11 10:53:38.625: Algorithm - rehedge - Need to place order but already have a working order - workingQty is -25 working order count 0</t>
  </si>
  <si>
    <t>2015-2-11 10:53:38.625: Algorithm - updatePortfolio - haveAllDetails is True</t>
  </si>
  <si>
    <t>2015-2-11 10:53:38.656: Algorithm - FindNextStrikes - price is 1.52925 nextStrikeUp/Down 1.53/1.525</t>
  </si>
  <si>
    <t>2015-2-11 10:53:38.656: Algorithm - getPortfolioForwardDelta - required deltas is 120 currentHedgePosition is 75</t>
  </si>
  <si>
    <t>2015-2-11 10:53:38.656: Algorithm - getHedgeShortfall - required deltas is 120 price is 1.52935 currentHedgePositionDeltas is 75</t>
  </si>
  <si>
    <t>2015-2-11 10:53:38.672: Algorithm - processTransitionPoint - nextUpper/LowerStrikes are 1.53/1.525 requiredDeltas/currentPosition/currentHedgeShortfall/direction/transitionPrice are 120/75/45/1/1.52935</t>
  </si>
  <si>
    <t>2015-2-11 10:53:38.672: TransitionLogger - processTransitionpoint - checking transition - currentHedgeShortfall is 45</t>
  </si>
  <si>
    <t>2015-2-11 10:53:38.672: Algorithm - rehedge - rehedging 45 contracts</t>
  </si>
  <si>
    <t>2015-2-11 10:53:38.672: Algorithm - rehedge - Need to place order but already have a working order - workingQty is -25 working order count 0</t>
  </si>
  <si>
    <t>2015-2-11 10:53:38.672: Algorithm - updatePortfolio - haveAllDetails is True</t>
  </si>
  <si>
    <t>2015-2-11 10:53:38.734: Algorithm - FindNextStrikes - price is 1.52925 nextStrikeUp/Down 1.53/1.525</t>
  </si>
  <si>
    <t>2015-2-11 10:53:38.734: Algorithm - getPortfolioForwardDelta - required deltas is 120 currentHedgePosition is 75</t>
  </si>
  <si>
    <t>2015-2-11 10:53:38.734: Algorithm - getHedgeShortfall - required deltas is 120 price is 1.52935 currentHedgePositionDeltas is 75</t>
  </si>
  <si>
    <t>2015-2-11 10:53:38.734: Algorithm - processTransitionPoint - nextUpper/LowerStrikes are 1.53/1.525 requiredDeltas/currentPosition/currentHedgeShortfall/direction/transitionPrice are 120/75/45/1/1.52935</t>
  </si>
  <si>
    <t>2015-2-11 10:53:38.734: TransitionLogger - processTransitionpoint - checking transition - currentHedgeShortfall is 45</t>
  </si>
  <si>
    <t>2015-2-11 10:53:38.734: Algorithm - rehedge - rehedging 45 contracts</t>
  </si>
  <si>
    <t>2015-2-11 10:53:38.734: Algorithm - rehedge - Need to place order but already have a working order - workingQty is -25 working order count 0</t>
  </si>
  <si>
    <t>2015-2-11 10:53:38.734: Algorithm - updatePortfolio - haveAllDetails is True</t>
  </si>
  <si>
    <t>2015-2-11 10:53:38.781: Algorithm - FindNextStrikes - price is 1.52925 nextStrikeUp/Down 1.53/1.525</t>
  </si>
  <si>
    <t>2015-2-11 10:53:38.781: Algorithm - getPortfolioForwardDelta - required deltas is 120 currentHedgePosition is 75</t>
  </si>
  <si>
    <t>2015-2-11 10:53:38.781: Algorithm - getHedgeShortfall - required deltas is 120 price is 1.52935 currentHedgePositionDeltas is 75</t>
  </si>
  <si>
    <t>2015-2-11 10:53:38.781: Algorithm - processTransitionPoint - nextUpper/LowerStrikes are 1.53/1.525 requiredDeltas/currentPosition/currentHedgeShortfall/direction/transitionPrice are 120/75/45/1/1.52935</t>
  </si>
  <si>
    <t>2015-2-11 10:53:38.781: TransitionLogger - processTransitionpoint - checking transition - currentHedgeShortfall is 45</t>
  </si>
  <si>
    <t>2015-2-11 10:53:38.781: Algorithm - rehedge - rehedging 45 contracts</t>
  </si>
  <si>
    <t>2015-2-11 10:53:38.781: Algorithm - rehedge - Need to place order but already have a working order - workingQty is -25 working order count 0</t>
  </si>
  <si>
    <t>2015-2-11 10:53:38.781: Algorithm - updatePortfolio - haveAllDetails is True</t>
  </si>
  <si>
    <t>2015-2-11 10:53:38.828: Algorithm - FindNextStrikes - price is 1.52925 nextStrikeUp/Down 1.53/1.525</t>
  </si>
  <si>
    <t>2015-2-11 10:53:38.828: Algorithm - getPortfolioForwardDelta - required deltas is 120 currentHedgePosition is 75</t>
  </si>
  <si>
    <t>2015-2-11 10:53:38.828: Algorithm - getHedgeShortfall - required deltas is 120 price is 1.52935 currentHedgePositionDeltas is 75</t>
  </si>
  <si>
    <t>2015-2-11 10:53:38.828: Algorithm - processTransitionPoint - nextUpper/LowerStrikes are 1.53/1.525 requiredDeltas/currentPosition/currentHedgeShortfall/direction/transitionPrice are 120/75/45/1/1.52935</t>
  </si>
  <si>
    <t>2015-2-11 10:53:38.828: TransitionLogger - processTransitionpoint - checking transition - currentHedgeShortfall is 45</t>
  </si>
  <si>
    <t>2015-2-11 10:53:38.828: Algorithm - rehedge - rehedging 45 contracts</t>
  </si>
  <si>
    <t>2015-2-11 10:53:38.828: Algorithm - rehedge - Need to place order but already have a working order - workingQty is -25 working order count 0</t>
  </si>
  <si>
    <t>2015-2-11 10:53:38.828: Algorithm - updatePortfolio - haveAllDetails is True</t>
  </si>
  <si>
    <t>2015-2-11 10:53:38.874: Algorithm - FindNextStrikes - price is 1.52925 nextStrikeUp/Down 1.53/1.525</t>
  </si>
  <si>
    <t>2015-2-11 10:53:38.874: Algorithm - getPortfolioForwardDelta - required deltas is 120 currentHedgePosition is 75</t>
  </si>
  <si>
    <t>2015-2-11 10:53:38.874: Algorithm - getHedgeShortfall - required deltas is 120 price is 1.52935 currentHedgePositionDeltas is 75</t>
  </si>
  <si>
    <t>2015-2-11 10:53:38.874: Algorithm - processTransitionPoint - nextUpper/LowerStrikes are 1.53/1.525 requiredDeltas/currentPosition/currentHedgeShortfall/direction/transitionPrice are 120/75/45/1/1.52935</t>
  </si>
  <si>
    <t>2015-2-11 10:53:38.874: TransitionLogger - processTransitionpoint - checking transition - currentHedgeShortfall is 45</t>
  </si>
  <si>
    <t>2015-2-11 10:53:38.874: Algorithm - rehedge - rehedging 45 contracts</t>
  </si>
  <si>
    <t>2015-2-11 10:53:38.874: Algorithm - rehedge - Need to place order but already have a working order - workingQty is -25 working order count 0</t>
  </si>
  <si>
    <t>2015-2-11 10:53:38.874: Algorithm - updatePortfolio - haveAllDetails is True</t>
  </si>
  <si>
    <t>2015-2-11 10:53:38.937: Algorithm - FindNextStrikes - price is 1.52925 nextStrikeUp/Down 1.53/1.525</t>
  </si>
  <si>
    <t>2015-2-11 10:53:38.937: Algorithm - getPortfolioForwardDelta - required deltas is 120 currentHedgePosition is 75</t>
  </si>
  <si>
    <t>2015-2-11 10:53:38.937: Algorithm - getHedgeShortfall - required deltas is 120 price is 1.52935 currentHedgePositionDeltas is 75</t>
  </si>
  <si>
    <t>2015-2-11 10:53:38.937: Algorithm - processTransitionPoint - nextUpper/LowerStrikes are 1.53/1.525 requiredDeltas/currentPosition/currentHedgeShortfall/direction/transitionPrice are 120/75/45/1/1.52935</t>
  </si>
  <si>
    <t>2015-2-11 10:53:38.937: TransitionLogger - processTransitionpoint - checking transition - currentHedgeShortfall is 45</t>
  </si>
  <si>
    <t>2015-2-11 10:53:38.937: Algorithm - rehedge - rehedging 45 contracts</t>
  </si>
  <si>
    <t>2015-2-11 10:53:38.937: Algorithm - rehedge - Need to place order but already have a working order - workingQty is -25 working order count 0</t>
  </si>
  <si>
    <t>2015-2-11 10:53:38.952: Algorithm - updatePortfolio - haveAllDetails is True</t>
  </si>
  <si>
    <t>2015-2-11 10:53:38.999: Algorithm - FindNextStrikes - price is 1.52925 nextStrikeUp/Down 1.53/1.525</t>
  </si>
  <si>
    <t>2015-2-11 10:53:38.999: Algorithm - getPortfolioForwardDelta - required deltas is 120 currentHedgePosition is 75</t>
  </si>
  <si>
    <t>2015-2-11 10:53:38.999: Algorithm - getHedgeShortfall - required deltas is 120 price is 1.52935 currentHedgePositionDeltas is 75</t>
  </si>
  <si>
    <t>2015-2-11 10:53:38.999: Algorithm - processTransitionPoint - nextUpper/LowerStrikes are 1.53/1.525 requiredDeltas/currentPosition/currentHedgeShortfall/direction/transitionPrice are 120/75/45/1/1.52935</t>
  </si>
  <si>
    <t>2015-2-11 10:53:38.999: TransitionLogger - processTransitionpoint - checking transition - currentHedgeShortfall is 45</t>
  </si>
  <si>
    <t>2015-2-11 10:53:38.999: Algorithm - rehedge - rehedging 45 contracts</t>
  </si>
  <si>
    <t>2015-2-11 10:53:38.999: Algorithm - rehedge - Need to place order but already have a working order - workingQty is -25 working order count 0</t>
  </si>
  <si>
    <t>2015-2-11 10:53:38.999: Algorithm - updatePortfolio - haveAllDetails is True</t>
  </si>
  <si>
    <t>2015-2-11 10:53:41.636: Algorithm - rehedge - rehedging 45 contracts</t>
  </si>
  <si>
    <t>2015-2-11 10:53:41.636: Algorithm - rehedge - Need to place order but already have a working order - workingQty is -25 working order count 0</t>
  </si>
  <si>
    <t>2015-2-11 10:53:42.946: Algorithm - rehedge - rehedging 45 contracts</t>
  </si>
  <si>
    <t>2015-2-11 10:53:42.946: Algorithm - rehedge - Need to place order but already have a working order - workingQty is -25 working order count 0</t>
  </si>
  <si>
    <t>2015-2-11 10:53:44.771: Algorithm - rehedge - rehedging 45 contracts</t>
  </si>
  <si>
    <t>2015-2-11 10:53:44.771: Algorithm - rehedge - Need to place order but already have a working order - workingQty is -25 working order count 0</t>
  </si>
  <si>
    <t>2015-2-11 10:53:53.458: Algorithm - rehedge - rehedging 45 contracts</t>
  </si>
  <si>
    <t>2015-2-11 10:53:53.458: Algorithm - rehedge - Need to place order but already have a working order - workingQty is -25 working order count 0</t>
  </si>
  <si>
    <t>2015-2-11 10:54:24.698: Algorithm - rehedge - rehedging 45 contracts</t>
  </si>
  <si>
    <t>2015-2-11 10:54:24.699: Algorithm - rehedge - Need to place order but already have a working order - workingQty is -25 working order count 0</t>
  </si>
  <si>
    <t>2015-2-11 10:54:25.74: Algorithm - rehedge - rehedging 45 contracts</t>
  </si>
  <si>
    <t>2015-2-11 10:54:25.90: Algorithm - rehedge - Need to place order but already have a working order - workingQty is -25 working order count 0</t>
  </si>
  <si>
    <t>2015-2-11 10:54:25.121: Algorithm - rehedge - rehedging 45 contracts</t>
  </si>
  <si>
    <t>2015-2-11 10:54:25.121: Algorithm - rehedge - Need to place order but already have a working order - workingQty is -25 working order count 0</t>
  </si>
  <si>
    <t>2015-2-11 10:54:25.339: Algorithm - rehedge - rehedging 45 contracts</t>
  </si>
  <si>
    <t>2015-2-11 10:54:25.339: Algorithm - rehedge - Need to place order but already have a working order - workingQty is -25 working order count 0</t>
  </si>
  <si>
    <t>2015-2-11 10:54:44.620: Algorithm - rehedge - rehedging 45 contracts</t>
  </si>
  <si>
    <t>2015-2-11 10:54:44.620: Algorithm - rehedge - Need to place order but already have a working order - workingQty is -25 working order count 0</t>
  </si>
  <si>
    <t>2015-2-11 10:54:47.528: Algorithm - rehedge - rehedging 45 contracts</t>
  </si>
  <si>
    <t>2015-2-11 10:54:47.543: Algorithm - rehedge - Need to place order but already have a working order - workingQty is -25 working order count 0</t>
  </si>
  <si>
    <t>2015-2-11 10:54:49.669: Algorithm - rehedge - rehedging 45 contracts</t>
  </si>
  <si>
    <t>2015-2-11 10:54:49.669: Algorithm - rehedge - Need to place order but already have a working order - workingQty is -25 working order count 0</t>
  </si>
  <si>
    <t>2015-2-11 10:54:51.249: Algorithm - rehedge - rehedging 45 contracts</t>
  </si>
  <si>
    <t>2015-2-11 10:54:51.249: Algorithm - rehedge - Need to place order but already have a working order - workingQty is -25 working order count 0</t>
  </si>
  <si>
    <t>2015-2-11 10:54:51.499: Algorithm - rehedge - rehedging 45 contracts</t>
  </si>
  <si>
    <t>2015-2-11 10:54:51.499: Algorithm - rehedge - Need to place order but already have a working order - workingQty is -25 working order count 0</t>
  </si>
  <si>
    <t>2015-2-11 10:54:52.421: Algorithm - rehedge - rehedging 45 contracts</t>
  </si>
  <si>
    <t>2015-2-11 10:54:52.421: Algorithm - rehedge - Need to place order but already have a working order - workingQty is -25 working order count 0</t>
  </si>
  <si>
    <t>2015-2-11 10:54:52.499: Algorithm - rehedge - rehedging 45 contracts</t>
  </si>
  <si>
    <t>2015-2-11 10:54:52.499: Algorithm - rehedge - Need to place order but already have a working order - workingQty is -25 working order count 0</t>
  </si>
  <si>
    <t>2015-2-11 10:54:52.796: Algorithm - rehedge - rehedging 45 contracts</t>
  </si>
  <si>
    <t>2015-2-11 10:54:52.796: Algorithm - rehedge - Need to place order but already have a working order - workingQty is -25 working order count 0</t>
  </si>
  <si>
    <t>2015-2-11 10:54:52.843: Algorithm - rehedge - rehedging 45 contracts</t>
  </si>
  <si>
    <t>2015-2-11 10:54:52.843: Algorithm - rehedge - Need to place order but already have a working order - workingQty is -25 working order count 0</t>
  </si>
  <si>
    <t>2015-2-11 10:54:52.905: Algorithm - rehedge - rehedging 45 contracts</t>
  </si>
  <si>
    <t>2015-2-11 10:54:52.905: Algorithm - rehedge - Need to place order but already have a working order - workingQty is -25 working order count 0</t>
  </si>
  <si>
    <t>2015-2-11 10:54:53.145: Algorithm - rehedge - rehedging 45 contracts</t>
  </si>
  <si>
    <t>2015-2-11 10:54:53.145: Algorithm - rehedge - Need to place order but already have a working order - workingQty is -25 working order count 0</t>
  </si>
  <si>
    <t>2015-2-11 10:54:56.396: Algorithm - rehedge - rehedging 45 contracts</t>
  </si>
  <si>
    <t>2015-2-11 10:54:56.396: Algorithm - rehedge - Need to place order but already have a working order - workingQty is -25 working order count 0</t>
  </si>
  <si>
    <t>2015-2-11 10:54:56.630: Algorithm - rehedge - rehedging 45 contracts</t>
  </si>
  <si>
    <t>2015-2-11 10:54:56.630: Algorithm - rehedge - Need to place order but already have a working order - workingQty is -25 working order count 0</t>
  </si>
  <si>
    <t>2015-2-11 10:54:57.568: Algorithm - rehedge - rehedging 45 contracts</t>
  </si>
  <si>
    <t>2015-2-11 10:54:57.583: Algorithm - rehedge - Need to place order but already have a working order - workingQty is -25 working order count 0</t>
  </si>
  <si>
    <t>2015-2-11 10:55:28.967: Algorithm - rehedge - rehedging 45 contracts</t>
  </si>
  <si>
    <t>2015-2-11 10:55:28.967: Algorithm - rehedge - Need to place order but already have a working order - workingQty is -25 working order count 0</t>
  </si>
  <si>
    <t>2015-2-11 10:55:29.45: Algorithm - rehedge - rehedging 45 contracts</t>
  </si>
  <si>
    <t>2015-2-11 10:55:29.45: Algorithm - rehedge - Need to place order but already have a working order - workingQty is -25 working order count 0</t>
  </si>
  <si>
    <t>2015-2-11 10:55:30.153: Algorithm - rehedge - rehedging 45 contracts</t>
  </si>
  <si>
    <t>2015-2-11 10:55:30.153: Algorithm - rehedge - Need to place order but already have a working order - workingQty is -25 working order count 0</t>
  </si>
  <si>
    <t>2015-2-11 10:55:30.199: Algorithm - rehedge - rehedging 45 contracts</t>
  </si>
  <si>
    <t>2015-2-11 10:55:30.199: Algorithm - rehedge - Need to place order but already have a working order - workingQty is -25 working order count 0</t>
  </si>
  <si>
    <t>2015-2-11 10:55:31.309: Algorithm - rehedge - rehedging 45 contracts</t>
  </si>
  <si>
    <t>2015-2-11 10:55:31.309: Algorithm - rehedge - Need to place order but already have a working order - workingQty is -25 working order count 0</t>
  </si>
  <si>
    <t>2015-2-11 10:55:32.60: Algorithm - rehedge - rehedging 45 contracts</t>
  </si>
  <si>
    <t>2015-2-11 10:55:32.60: Algorithm - rehedge - Need to place order but already have a working order - workingQty is -25 working order count 0</t>
  </si>
  <si>
    <t>2015-2-11 10:55:43.237: Algorithm - rehedge - rehedging 45 contracts</t>
  </si>
  <si>
    <t>2015-2-11 10:55:43.237: Algorithm - rehedge - Need to place order but already have a working order - workingQty is -25 working order count 0</t>
  </si>
  <si>
    <t>2015-2-11 10:56:5.782: Algorithm - rehedge - rehedging 45 contracts</t>
  </si>
  <si>
    <t>2015-2-11 10:56:5.782: Algorithm - rehedge - Need to place order but already have a working order - workingQty is -25 working order count 0</t>
  </si>
  <si>
    <t>2015-2-11 10:56:22.330: Algorithm - rehedge - rehedging 45 contracts</t>
  </si>
  <si>
    <t>2015-2-11 10:56:22.330: Algorithm - rehedge - Need to place order but already have a working order - workingQty is -25 working order count 0</t>
  </si>
  <si>
    <t>2015-2-11 10:56:22.753: Algorithm - rehedge - rehedging 45 contracts</t>
  </si>
  <si>
    <t>2015-2-11 10:56:22.753: Algorithm - rehedge - Need to place order but already have a working order - workingQty is -25 working order count 0</t>
  </si>
  <si>
    <t>2015-2-11 10:56:23.3: Algorithm - rehedge - rehedging 45 contracts</t>
  </si>
  <si>
    <t>2015-2-11 10:56:23.3: Algorithm - rehedge - Need to place order but already have a working order - workingQty is -25 working order count 0</t>
  </si>
  <si>
    <t>2015-2-11 10:56:23.660: Algorithm - rehedge - rehedging 45 contracts</t>
  </si>
  <si>
    <t>2015-2-11 10:56:23.660: Algorithm - rehedge - Need to place order but already have a working order - workingQty is -25 working order count 0</t>
  </si>
  <si>
    <t>2015-2-11 10:56:23.925: Algorithm - rehedge - rehedging 45 contracts</t>
  </si>
  <si>
    <t>2015-2-11 10:56:23.941: Algorithm - rehedge - Need to place order but already have a working order - workingQty is -25 working order count 0</t>
  </si>
  <si>
    <t>2015-2-11 10:56:24.237: Algorithm - rehedge - rehedging 45 contracts</t>
  </si>
  <si>
    <t>2015-2-11 10:56:24.237: Algorithm - rehedge - Need to place order but already have a working order - workingQty is -25 working order count 0</t>
  </si>
  <si>
    <t>2015-2-11 10:56:24.315: Algorithm - rehedge - rehedging 45 contracts</t>
  </si>
  <si>
    <t>2015-2-11 10:56:24.315: Algorithm - rehedge - Need to place order but already have a working order - workingQty is -25 working order count 0</t>
  </si>
  <si>
    <t>2015-2-11 10:56:24.378: Algorithm - rehedge - rehedging 45 contracts</t>
  </si>
  <si>
    <t>2015-2-11 10:56:24.378: Algorithm - rehedge - Need to place order but already have a working order - workingQty is -25 working order count 0</t>
  </si>
  <si>
    <t>2015-2-11 10:56:24.645: Algorithm - rehedge - rehedging 45 contracts</t>
  </si>
  <si>
    <t>2015-2-11 10:56:24.645: Algorithm - rehedge - Need to place order but already have a working order - workingQty is -25 working order count 0</t>
  </si>
  <si>
    <t>2015-2-11 10:56:24.723: Algorithm - rehedge - rehedging 45 contracts</t>
  </si>
  <si>
    <t>2015-2-11 10:56:24.723: Algorithm - rehedge - Need to place order but already have a working order - workingQty is -25 working order count 0</t>
  </si>
  <si>
    <t>2015-2-11 10:56:24.988: Algorithm - rehedge - rehedging 45 contracts</t>
  </si>
  <si>
    <t>2015-2-11 10:56:24.988: Algorithm - rehedge - Need to place order but already have a working order - workingQty is -25 working order count 0</t>
  </si>
  <si>
    <t>2015-2-11 10:56:25.975: Algorithm - rehedge - rehedging 45 contracts</t>
  </si>
  <si>
    <t>2015-2-11 10:56:25.975: Algorithm - rehedge - Need to place order but already have a working order - workingQty is -25 working order count 0</t>
  </si>
  <si>
    <t>2015-2-11 10:56:26.100: Algorithm - rehedge - rehedging 45 contracts</t>
  </si>
  <si>
    <t>2015-2-11 10:56:26.100: Algorithm - rehedge - Need to place order but already have a working order - workingQty is -25 working order count 0</t>
  </si>
  <si>
    <t>2015-2-11 10:56:26.318: Algorithm - rehedge - rehedging 45 contracts</t>
  </si>
  <si>
    <t>2015-2-11 10:56:26.318: Algorithm - rehedge - Need to place order but already have a working order - workingQty is -25 working order count 0</t>
  </si>
  <si>
    <t>2015-2-11 10:56:26.616: Algorithm - rehedge - rehedging 45 contracts</t>
  </si>
  <si>
    <t>2015-2-11 10:56:26.632: Algorithm - rehedge - Need to place order but already have a working order - workingQty is -25 working order count 0</t>
  </si>
  <si>
    <t>2015-2-11 10:56:26.663: Algorithm - rehedge - rehedging 45 contracts</t>
  </si>
  <si>
    <t>2015-2-11 10:56:26.663: Algorithm - rehedge - Need to place order but already have a working order - workingQty is -25 working order count 0</t>
  </si>
  <si>
    <t>2015-2-11 10:56:28.86: Algorithm - rehedge - rehedging 45 contracts</t>
  </si>
  <si>
    <t>2015-2-11 10:56:28.86: Algorithm - rehedge - Need to place order but already have a working order - workingQty is -25 working order count 0</t>
  </si>
  <si>
    <t>2015-2-11 10:56:28.133: Algorithm - rehedge - rehedging 45 contracts</t>
  </si>
  <si>
    <t>2015-2-11 10:56:28.133: Algorithm - rehedge - Need to place order but already have a working order - workingQty is -25 working order count 0</t>
  </si>
  <si>
    <t>2015-2-11 10:56:29.367: Algorithm - rehedge - rehedging 45 contracts</t>
  </si>
  <si>
    <t>2015-2-11 10:56:29.367: Algorithm - rehedge - Need to place order but already have a working order - workingQty is -25 working order count 0</t>
  </si>
  <si>
    <t>2015-2-11 10:56:29.554: Algorithm - rehedge - rehedging 45 contracts</t>
  </si>
  <si>
    <t>2015-2-11 10:56:29.554: Algorithm - rehedge - Need to place order but already have a working order - workingQty is -25 working order count 0</t>
  </si>
  <si>
    <t>2015-2-11 10:56:29.743: Algorithm - rehedge - rehedging 45 contracts</t>
  </si>
  <si>
    <t>2015-2-11 10:56:29.743: Algorithm - rehedge - Need to place order but already have a working order - workingQty is -25 working order count 0</t>
  </si>
  <si>
    <t>2015-2-11 10:56:30.336: Algorithm - rehedge - rehedging 45 contracts</t>
  </si>
  <si>
    <t>2015-2-11 10:56:30.336: Algorithm - rehedge - Need to place order but already have a working order - workingQty is -25 working order count 0</t>
  </si>
  <si>
    <t>2015-2-11 10:56:31.524: Algorithm - rehedge - rehedging 45 contracts</t>
  </si>
  <si>
    <t>2015-2-11 10:56:31.539: Algorithm - rehedge - Need to place order but already have a working order - workingQty is -25 working order count 0</t>
  </si>
  <si>
    <t>2015-2-11 10:56:31.869: Algorithm - rehedge - rehedging 45 contracts</t>
  </si>
  <si>
    <t>2015-2-11 10:56:31.885: Algorithm - rehedge - Need to place order but already have a working order - workingQty is -25 working order count 0</t>
  </si>
  <si>
    <t>2015-2-11 10:56:32.760: Algorithm - rehedge - rehedging 45 contracts</t>
  </si>
  <si>
    <t>2015-2-11 10:56:32.760: Algorithm - rehedge - Need to place order but already have a working order - workingQty is -25 working order count 0</t>
  </si>
  <si>
    <t>2015-2-11 10:56:32.776: Algorithm - rehedge - rehedging 45 contracts</t>
  </si>
  <si>
    <t>2015-2-11 10:56:32.776: Algorithm - rehedge - Need to place order but already have a working order - workingQty is -25 working order count 0</t>
  </si>
  <si>
    <t>2015-2-11 10:56:34.198: Algorithm - rehedge - rehedging 45 contracts</t>
  </si>
  <si>
    <t>2015-2-11 10:56:34.198: Algorithm - rehedge - Need to place order but already have a working order - workingQty is -25 working order count 0</t>
  </si>
  <si>
    <t>2015-2-11 10:56:35.244: Algorithm - rehedge - rehedging 45 contracts</t>
  </si>
  <si>
    <t>2015-2-11 10:56:35.244: Algorithm - rehedge - Need to place order but already have a working order - workingQty is -25 working order count 0</t>
  </si>
  <si>
    <t>2015-2-11 10:56:38.750: Algorithm - FindNextStrikes - price is 1.52925 nextStrikeUp/Down 1.53/1.525</t>
  </si>
  <si>
    <t>2015-2-11 10:56:38.750: Algorithm - getPortfolioForwardDelta - required deltas is 120 currentHedgePosition is 75</t>
  </si>
  <si>
    <t>2015-2-11 10:56:38.750: Algorithm - getHedgeShortfall - required deltas is 120 price is 1.52915 currentHedgePositionDeltas is 75</t>
  </si>
  <si>
    <t>2015-2-11 10:56:38.750: Algorithm - processTransitionPoint - nextUpper/LowerStrikes are 1.53/1.525 requiredDeltas/currentPosition/currentHedgeShortfall/direction/transitionPrice are 120/75/45/-1/1.52915</t>
  </si>
  <si>
    <t>2015-2-11 10:56:38.766: TransitionLogger - processTransitionpoint - checking transition - currentHedgeShortfall is 45</t>
  </si>
  <si>
    <t>2015-2-11 10:56:38.766: Algorithm - rehedge - rehedging 45 contracts</t>
  </si>
  <si>
    <t>2015-2-11 10:56:38.766: Algorithm - rehedge - Need to place order but already have a working order - workingQty is -25 working order count 0</t>
  </si>
  <si>
    <t>2015-2-11 10:56:38.766: Algorithm - updatePortfolio - haveAllDetails is True</t>
  </si>
  <si>
    <t>2015-2-11 10:56:38.797: Algorithm - FindNextStrikes - price is 1.52925 nextStrikeUp/Down 1.53/1.525</t>
  </si>
  <si>
    <t>2015-2-11 10:56:38.797: Algorithm - getPortfolioForwardDelta - required deltas is 120 currentHedgePosition is 75</t>
  </si>
  <si>
    <t>2015-2-11 10:56:38.797: Algorithm - getHedgeShortfall - required deltas is 120 price is 1.52915 currentHedgePositionDeltas is 75</t>
  </si>
  <si>
    <t>2015-2-11 10:56:38.797: Algorithm - processTransitionPoint - nextUpper/LowerStrikes are 1.53/1.525 requiredDeltas/currentPosition/currentHedgeShortfall/direction/transitionPrice are 120/75/45/-1/1.52915</t>
  </si>
  <si>
    <t>2015-2-11 10:56:38.797: TransitionLogger - processTransitionpoint - checking transition - currentHedgeShortfall is 45</t>
  </si>
  <si>
    <t>2015-2-11 10:56:38.797: Algorithm - rehedge - rehedging 45 contracts</t>
  </si>
  <si>
    <t>2015-2-11 10:56:38.812: Algorithm - rehedge - Need to place order but already have a working order - workingQty is -25 working order count 0</t>
  </si>
  <si>
    <t>2015-2-11 10:56:38.812: Algorithm - updatePortfolio - haveAllDetails is True</t>
  </si>
  <si>
    <t>2015-2-11 10:56:38.844: Algorithm - FindNextStrikes - price is 1.52925 nextStrikeUp/Down 1.53/1.525</t>
  </si>
  <si>
    <t>2015-2-11 10:56:38.844: Algorithm - getPortfolioForwardDelta - required deltas is 120 currentHedgePosition is 75</t>
  </si>
  <si>
    <t>2015-2-11 10:56:38.844: Algorithm - getHedgeShortfall - required deltas is 120 price is 1.52915 currentHedgePositionDeltas is 75</t>
  </si>
  <si>
    <t>2015-2-11 10:56:38.844: Algorithm - processTransitionPoint - nextUpper/LowerStrikes are 1.53/1.525 requiredDeltas/currentPosition/currentHedgeShortfall/direction/transitionPrice are 120/75/45/-1/1.52915</t>
  </si>
  <si>
    <t>2015-2-11 10:56:38.844: TransitionLogger - processTransitionpoint - checking transition - currentHedgeShortfall is 45</t>
  </si>
  <si>
    <t>2015-2-11 10:56:38.844: Algorithm - rehedge - rehedging 45 contracts</t>
  </si>
  <si>
    <t>2015-2-11 10:56:38.844: Algorithm - rehedge - Need to place order but already have a working order - workingQty is -25 working order count 0</t>
  </si>
  <si>
    <t>2015-2-11 10:56:38.859: Algorithm - updatePortfolio - haveAllDetails is True</t>
  </si>
  <si>
    <t>2015-2-11 10:56:38.875: Algorithm - FindNextStrikes - price is 1.52925 nextStrikeUp/Down 1.53/1.525</t>
  </si>
  <si>
    <t>2015-2-11 10:56:38.875: Algorithm - getPortfolioForwardDelta - required deltas is 120 currentHedgePosition is 75</t>
  </si>
  <si>
    <t>2015-2-11 10:56:38.875: Algorithm - getHedgeShortfall - required deltas is 120 price is 1.52915 currentHedgePositionDeltas is 75</t>
  </si>
  <si>
    <t>2015-2-11 10:56:38.875: Algorithm - processTransitionPoint - nextUpper/LowerStrikes are 1.53/1.525 requiredDeltas/currentPosition/currentHedgeShortfall/direction/transitionPrice are 120/75/45/-1/1.52915</t>
  </si>
  <si>
    <t>2015-2-11 10:56:38.875: TransitionLogger - processTransitionpoint - checking transition - currentHedgeShortfall is 45</t>
  </si>
  <si>
    <t>2015-2-11 10:56:38.875: Algorithm - rehedge - rehedging 45 contracts</t>
  </si>
  <si>
    <t>2015-2-11 10:56:38.875: Algorithm - rehedge - Need to place order but already have a working order - workingQty is -25 working order count 0</t>
  </si>
  <si>
    <t>2015-2-11 10:56:38.890: Algorithm - updatePortfolio - haveAllDetails is True</t>
  </si>
  <si>
    <t>2015-2-11 10:56:38.922: Algorithm - FindNextStrikes - price is 1.52925 nextStrikeUp/Down 1.53/1.525</t>
  </si>
  <si>
    <t>2015-2-11 10:56:38.922: Algorithm - getPortfolioForwardDelta - required deltas is 120 currentHedgePosition is 75</t>
  </si>
  <si>
    <t>2015-2-11 10:56:38.922: Algorithm - getHedgeShortfall - required deltas is 120 price is 1.52915 currentHedgePositionDeltas is 75</t>
  </si>
  <si>
    <t>2015-2-11 10:56:38.922: Algorithm - processTransitionPoint - nextUpper/LowerStrikes are 1.53/1.525 requiredDeltas/currentPosition/currentHedgeShortfall/direction/transitionPrice are 120/75/45/-1/1.52915</t>
  </si>
  <si>
    <t>2015-2-11 10:56:38.922: TransitionLogger - processTransitionpoint - checking transition - currentHedgeShortfall is 45</t>
  </si>
  <si>
    <t>2015-2-11 10:56:38.922: Algorithm - rehedge - rehedging 45 contracts</t>
  </si>
  <si>
    <t>2015-2-11 10:56:38.922: Algorithm - rehedge - Need to place order but already have a working order - workingQty is -25 working order count 0</t>
  </si>
  <si>
    <t>2015-2-11 10:56:38.922: Algorithm - updatePortfolio - haveAllDetails is True</t>
  </si>
  <si>
    <t>2015-2-11 10:56:38.968: Algorithm - FindNextStrikes - price is 1.52925 nextStrikeUp/Down 1.53/1.525</t>
  </si>
  <si>
    <t>2015-2-11 10:56:38.968: Algorithm - getPortfolioForwardDelta - required deltas is 120 currentHedgePosition is 75</t>
  </si>
  <si>
    <t>2015-2-11 10:56:38.968: Algorithm - getHedgeShortfall - required deltas is 120 price is 1.52915 currentHedgePositionDeltas is 75</t>
  </si>
  <si>
    <t>2015-2-11 10:56:38.968: Algorithm - processTransitionPoint - nextUpper/LowerStrikes are 1.53/1.525 requiredDeltas/currentPosition/currentHedgeShortfall/direction/transitionPrice are 120/75/45/-1/1.52915</t>
  </si>
  <si>
    <t>2015-2-11 10:56:38.968: TransitionLogger - processTransitionpoint - checking transition - currentHedgeShortfall is 45</t>
  </si>
  <si>
    <t>2015-2-11 10:56:38.984: Algorithm - rehedge - rehedging 45 contracts</t>
  </si>
  <si>
    <t>2015-2-11 10:56:38.984: Algorithm - rehedge - Need to place order but already have a working order - workingQty is -25 working order count 0</t>
  </si>
  <si>
    <t>2015-2-11 10:56:38.984: Algorithm - updatePortfolio - haveAllDetails is True</t>
  </si>
  <si>
    <t>2015-2-11 10:56:39.15: Algorithm - FindNextStrikes - price is 1.52925 nextStrikeUp/Down 1.53/1.525</t>
  </si>
  <si>
    <t>2015-2-11 10:56:39.31: Algorithm - getPortfolioForwardDelta - required deltas is 120 currentHedgePosition is 75</t>
  </si>
  <si>
    <t>2015-2-11 10:56:39.31: Algorithm - getHedgeShortfall - required deltas is 120 price is 1.52915 currentHedgePositionDeltas is 75</t>
  </si>
  <si>
    <t>2015-2-11 10:56:39.31: Algorithm - processTransitionPoint - nextUpper/LowerStrikes are 1.53/1.525 requiredDeltas/currentPosition/currentHedgeShortfall/direction/transitionPrice are 120/75/45/-1/1.52915</t>
  </si>
  <si>
    <t>2015-2-11 10:56:39.31: TransitionLogger - processTransitionpoint - checking transition - currentHedgeShortfall is 45</t>
  </si>
  <si>
    <t>2015-2-11 10:56:39.31: Algorithm - rehedge - rehedging 45 contracts</t>
  </si>
  <si>
    <t>2015-2-11 10:56:39.31: Algorithm - rehedge - Need to place order but already have a working order - workingQty is -25 working order count 0</t>
  </si>
  <si>
    <t>2015-2-11 10:56:39.31: Algorithm - updatePortfolio - haveAllDetails is True</t>
  </si>
  <si>
    <t>2015-2-11 10:56:39.78: Algorithm - FindNextStrikes - price is 1.52925 nextStrikeUp/Down 1.53/1.525</t>
  </si>
  <si>
    <t>2015-2-11 10:56:39.78: Algorithm - getPortfolioForwardDelta - required deltas is 120 currentHedgePosition is 75</t>
  </si>
  <si>
    <t>2015-2-11 10:56:39.78: Algorithm - getHedgeShortfall - required deltas is 120 price is 1.52915 currentHedgePositionDeltas is 75</t>
  </si>
  <si>
    <t>2015-2-11 10:56:39.78: Algorithm - processTransitionPoint - nextUpper/LowerStrikes are 1.53/1.525 requiredDeltas/currentPosition/currentHedgeShortfall/direction/transitionPrice are 120/75/45/-1/1.52915</t>
  </si>
  <si>
    <t>2015-2-11 10:56:39.78: TransitionLogger - processTransitionpoint - checking transition - currentHedgeShortfall is 45</t>
  </si>
  <si>
    <t>2015-2-11 10:56:39.78: Algorithm - rehedge - rehedging 45 contracts</t>
  </si>
  <si>
    <t>2015-2-11 10:56:39.78: Algorithm - rehedge - Need to place order but already have a working order - workingQty is -25 working order count 0</t>
  </si>
  <si>
    <t>2015-2-11 10:56:39.93: Algorithm - updatePortfolio - haveAllDetails is True</t>
  </si>
  <si>
    <t>2015-2-11 10:56:41.502: Algorithm - rehedge - rehedging 45 contracts</t>
  </si>
  <si>
    <t>2015-2-11 10:56:41.502: Algorithm - rehedge - Need to place order but already have a working order - workingQty is -25 working order count 0</t>
  </si>
  <si>
    <t>2015-2-11 10:56:41.580: Algorithm - rehedge - rehedging 45 contracts</t>
  </si>
  <si>
    <t>2015-2-11 10:56:41.580: Algorithm - rehedge - Need to place order but already have a working order - workingQty is -25 working order count 0</t>
  </si>
  <si>
    <t>2015-2-11 10:56:42.172: Algorithm - rehedge - rehedging 45 contracts</t>
  </si>
  <si>
    <t>2015-2-11 10:56:42.172: Algorithm - rehedge - Need to place order but already have a working order - workingQty is -25 working order count 0</t>
  </si>
  <si>
    <t>2015-2-11 10:56:42.406: Algorithm - rehedge - rehedging 45 contracts</t>
  </si>
  <si>
    <t>2015-2-11 10:56:42.406: Algorithm - rehedge - Need to place order but already have a working order - workingQty is -25 working order count 0</t>
  </si>
  <si>
    <t>2015-2-11 10:56:47.284: Algorithm - rehedge - rehedging 45 contracts</t>
  </si>
  <si>
    <t>2015-2-11 10:56:47.284: Algorithm - rehedge - Need to place order but already have a working order - workingQty is -25 working order count 0</t>
  </si>
  <si>
    <t>2015-2-11 10:56:51.417: Algorithm - rehedge - rehedging 45 contracts</t>
  </si>
  <si>
    <t>2015-2-11 10:56:51.417: Algorithm - rehedge - Need to place order but already have a working order - workingQty is -25 working order count 0</t>
  </si>
  <si>
    <t>2015-2-11 10:56:53.155: Algorithm - rehedge - rehedging 45 contracts</t>
  </si>
  <si>
    <t>2015-2-11 10:56:53.155: Algorithm - rehedge - Need to place order but already have a working order - workingQty is -25 working order count 0</t>
  </si>
  <si>
    <t>2015-2-11 10:56:53.373: Algorithm - rehedge - rehedging 45 contracts</t>
  </si>
  <si>
    <t>2015-2-11 10:56:53.373: Algorithm - rehedge - Need to place order but already have a working order - workingQty is -25 working order count 0</t>
  </si>
  <si>
    <t>2015-2-11 10:56:55.15: Algorithm - rehedge - rehedging 45 contracts</t>
  </si>
  <si>
    <t>2015-2-11 10:56:55.31: Algorithm - rehedge - Need to place order but already have a working order - workingQty is -25 working order count 0</t>
  </si>
  <si>
    <t>2015-2-11 10:56:55.452: Algorithm - rehedge - rehedging 45 contracts</t>
  </si>
  <si>
    <t>2015-2-11 10:56:55.468: Algorithm - rehedge - Need to place order but already have a working order - workingQty is -25 working order count 0</t>
  </si>
  <si>
    <t>2015-2-11 10:56:56.234: Algorithm - rehedge - rehedging 45 contracts</t>
  </si>
  <si>
    <t>2015-2-11 10:56:56.234: Algorithm - rehedge - Need to place order but already have a working order - workingQty is -25 working order count 0</t>
  </si>
  <si>
    <t>2015-2-11 10:57:4.503: Algorithm - rehedge - rehedging 45 contracts</t>
  </si>
  <si>
    <t>2015-2-11 10:57:4.503: Algorithm - rehedge - Need to place order but already have a working order - workingQty is -25 working order count 0</t>
  </si>
  <si>
    <t>2015-2-11 10:57:8.857: Algorithm - rehedge - rehedging 45 contracts</t>
  </si>
  <si>
    <t>2015-2-11 10:57:8.857: Algorithm - rehedge - Need to place order but already have a working order - workingQty is -25 working order count 0</t>
  </si>
  <si>
    <t>2015-2-11 10:57:8.935: Algorithm - rehedge - rehedging 45 contracts</t>
  </si>
  <si>
    <t>2015-2-11 10:57:8.951: Algorithm - rehedge - Need to place order but already have a working order - workingQty is -25 working order count 0</t>
  </si>
  <si>
    <t>2015-2-11 10:57:9.704: Algorithm - rehedge - rehedging 45 contracts</t>
  </si>
  <si>
    <t>2015-2-11 10:57:9.704: Algorithm - rehedge - Need to place order but already have a working order - workingQty is -25 working order count 0</t>
  </si>
  <si>
    <t>2015-2-11 10:57:10.0: Algorithm - rehedge - rehedging 45 contracts</t>
  </si>
  <si>
    <t>2015-2-11 10:57:10.0: Algorithm - rehedge - Need to place order but already have a working order - workingQty is -25 working order count 0</t>
  </si>
  <si>
    <t>2015-2-11 10:57:12.268: Algorithm - rehedge - rehedging 45 contracts</t>
  </si>
  <si>
    <t>2015-2-11 10:57:12.268: Algorithm - rehedge - Need to place order but already have a working order - workingQty is -25 working order count 0</t>
  </si>
  <si>
    <t>2015-2-11 10:57:12.315: Algorithm - rehedge - rehedging 45 contracts</t>
  </si>
  <si>
    <t>2015-2-11 10:57:12.315: Algorithm - rehedge - Need to place order but already have a working order - workingQty is -25 working order count 0</t>
  </si>
  <si>
    <t>2015-2-11 10:57:13.877: Algorithm - rehedge - rehedging 45 contracts</t>
  </si>
  <si>
    <t>2015-2-11 10:57:13.877: Algorithm - rehedge - Need to place order but already have a working order - workingQty is -25 working order count 0</t>
  </si>
  <si>
    <t>2015-2-11 10:57:14.2: Algorithm - rehedge - rehedging 45 contracts</t>
  </si>
  <si>
    <t>2015-2-11 10:57:14.2: Algorithm - rehedge - Need to place order but already have a working order - workingQty is -25 working order count 0</t>
  </si>
  <si>
    <t>2015-2-11 10:57:22.339: Algorithm - rehedge - rehedging 45 contracts</t>
  </si>
  <si>
    <t>2015-2-11 10:57:22.339: Algorithm - rehedge - Need to place order but already have a working order - workingQty is -25 working order count 0</t>
  </si>
  <si>
    <t>2015-2-11 10:57:22.964: Algorithm - rehedge - rehedging 45 contracts</t>
  </si>
  <si>
    <t>2015-2-11 10:57:22.964: Algorithm - rehedge - Need to place order but already have a working order - workingQty is -25 working order count 0</t>
  </si>
  <si>
    <t>2015-2-11 10:57:25.309: Algorithm - rehedge - rehedging 45 contracts</t>
  </si>
  <si>
    <t>2015-2-11 10:57:25.309: Algorithm - rehedge - Need to place order but already have a working order - workingQty is -25 working order count 0</t>
  </si>
  <si>
    <t>2015-2-11 10:57:25.371: Algorithm - rehedge - rehedging 45 contracts</t>
  </si>
  <si>
    <t>2015-2-11 10:57:25.371: Algorithm - rehedge - Need to place order but already have a working order - workingQty is -25 working order count 0</t>
  </si>
  <si>
    <t>2015-2-11 10:57:25.993: Algorithm - rehedge - rehedging 45 contracts</t>
  </si>
  <si>
    <t>2015-2-11 10:57:25.993: Algorithm - rehedge - Need to place order but already have a working order - workingQty is -25 working order count 0</t>
  </si>
  <si>
    <t>2015-2-11 10:57:26.134: Algorithm - rehedge - rehedging 45 contracts</t>
  </si>
  <si>
    <t>2015-2-11 10:57:26.134: Algorithm - rehedge - Need to place order but already have a working order - workingQty is -25 working order count 0</t>
  </si>
  <si>
    <t>2015-2-11 10:57:30.59: Algorithm - rehedge - rehedging 45 contracts</t>
  </si>
  <si>
    <t>2015-2-11 10:57:30.59: Algorithm - rehedge - Need to place order but already have a working order - workingQty is -25 working order count 0</t>
  </si>
  <si>
    <t>2015-2-11 10:57:33.29: Algorithm - rehedge - rehedging 45 contracts</t>
  </si>
  <si>
    <t>2015-2-11 10:57:33.45: Algorithm - rehedge - Need to place order but already have a working order - workingQty is -25 working order count 0</t>
  </si>
  <si>
    <t>2015-2-11 10:57:33.60: Algorithm - rehedge - rehedging 45 contracts</t>
  </si>
  <si>
    <t>2015-2-11 10:57:33.60: Algorithm - rehedge - Need to place order but already have a working order - workingQty is -25 working order count 0</t>
  </si>
  <si>
    <t>2015-2-11 10:57:40.356: Algorithm - rehedge - rehedging 45 contracts</t>
  </si>
  <si>
    <t>2015-2-11 10:57:40.356: Algorithm - rehedge - Need to place order but already have a working order - workingQty is -25 working order count 0</t>
  </si>
  <si>
    <t>2015-2-11 10:57:40.434: Algorithm - rehedge - rehedging 45 contracts</t>
  </si>
  <si>
    <t>2015-2-11 10:57:40.434: Algorithm - rehedge - Need to place order but already have a working order - workingQty is -25 working order count 0</t>
  </si>
  <si>
    <t>2015-2-11 10:57:41.738: RTWSControl - execDetails -  entering execDetailsEx execution id is 0001f4e5.54da9b8d.01.01 shares/cumQty is 4/4</t>
  </si>
  <si>
    <t>2015-2-11 10:57:41.738: Algorithm - FindNextStrikes - price is 1.52885 nextStrikeUp/Down 1.53/1.525</t>
  </si>
  <si>
    <t>2015-2-11 10:57:41.738: Algorithm - getPortfolioForwardDelta - required deltas is 120 currentHedgePosition is 79</t>
  </si>
  <si>
    <t>2015-2-11 10:57:41.754: Algorithm - getHedgeShortfall - required deltas is 120 price is 1.52875 currentHedgePositionDeltas is 79</t>
  </si>
  <si>
    <t>2015-2-11 10:57:41.754: Algorithm - processTransitionPoint - nextUpper/LowerStrikes are 1.53/1.525 requiredDeltas/currentPosition/currentHedgeShortfall/direction/transitionPrice are 120/79/41/-1/1.52875</t>
  </si>
  <si>
    <t>2015-2-11 10:57:41.754: TransitionLogger - processTransitionpoint - checking transition - currentHedgeShortfall is 41</t>
  </si>
  <si>
    <t>2015-2-11 10:57:41.754: OrderManager - updateExecution - got a fill for id 9704 qty 4 side BOT price 1.5288 - new working order size is -29 new instrument.qty is 79</t>
  </si>
  <si>
    <t>0001f4e5.54da9b8d.01.01</t>
  </si>
  <si>
    <t>20150211  10:57:42</t>
  </si>
  <si>
    <t>2015-2-11 10:57:41.754: OrderManagerView - UpdateExecutionView - entering updateExecutionView  executionId is 0001f4e5.54da9b8d.01.01</t>
  </si>
  <si>
    <t>2015-2-11 10:57:41.754: OrderManagerView - updateExecutionView -  exiting UpdateExecutionView</t>
  </si>
  <si>
    <t>2015-2-11 10:57:41.754: RTWSControl - execDetails -  exiting execDetailsEx</t>
  </si>
  <si>
    <t>2015-2-11 10:57:41.754: RTWSControl - execDetails - Got execution Message id:-1</t>
  </si>
  <si>
    <t>2015-2-11 10:57:41.770: openOrderEx - I am here</t>
  </si>
  <si>
    <t>2015-2-11 10:57:41.785: RTWSControl - orderStatus -  entering orderStatus id is 9704 status is Submitted</t>
  </si>
  <si>
    <t>2015-2-11 10:57:41.785: OrderManager - UpdateOrderStatus - id 9704 Setting status to Submitted workingOrderCount is now 0 workingQty -29</t>
  </si>
  <si>
    <t>2015-2-11 10:57:41.785: RTWSControl - OrderStatus - Got OrderStatus Message id:9704 status: Submitted filled: 4</t>
  </si>
  <si>
    <t>2015-2-11 10:57:41.785: RTWSControl - OrderStatus - exiting orderStatus</t>
  </si>
  <si>
    <t>2015-2-11 10:57:41.879: openOrderEx - I am here</t>
  </si>
  <si>
    <t>2015-2-11 10:57:41.879: RTWSControl - orderStatus -  entering orderStatus id is 9704 status is Submitted</t>
  </si>
  <si>
    <t>2015-2-11 10:57:41.879: OrderManager - UpdateOrderStatus - id 9704 Setting status to Submitted workingOrderCount is now 0 workingQty -29</t>
  </si>
  <si>
    <t>2015-2-11 10:57:41.879: RTWSControl - OrderStatus - Got OrderStatus Message id:9704 status: Submitted filled: 4</t>
  </si>
  <si>
    <t>2015-2-11 10:57:41.879: RTWSControl - OrderStatus - exiting orderStatus</t>
  </si>
  <si>
    <t>2015-2-11 10:57:43.303: Algorithm - FindNextStrikes - price is 1.52885 nextStrikeUp/Down 1.53/1.525</t>
  </si>
  <si>
    <t>2015-2-11 10:57:43.303: Algorithm - getPortfolioForwardDelta - required deltas is 120 currentHedgePosition is 79</t>
  </si>
  <si>
    <t>2015-2-11 10:57:43.303: Algorithm - getHedgeShortfall - required deltas is 120 price is 1.52875 currentHedgePositionDeltas is 79</t>
  </si>
  <si>
    <t>2015-2-11 10:57:43.303: Algorithm - processTransitionPoint - nextUpper/LowerStrikes are 1.53/1.525 requiredDeltas/currentPosition/currentHedgeShortfall/direction/transitionPrice are 120/79/41/-1/1.52875</t>
  </si>
  <si>
    <t>2015-2-11 10:57:43.319: TransitionLogger - processTransitionpoint - checking transition - currentHedgeShortfall is 41</t>
  </si>
  <si>
    <t>2015-2-11 10:57:43.319: Algorithm - rehedge - rehedging 41 contracts</t>
  </si>
  <si>
    <t>2015-2-11 10:57:43.319: Algorithm - rehedge - Need to place order but already have a working order - workingQty is -29 working order count 0</t>
  </si>
  <si>
    <t>2015-2-11 10:57:43.319: Algorithm - updatePortfolio - haveAllDetails is True</t>
  </si>
  <si>
    <t>2015-2-11 10:57:43.335: Algorithm - FindNextStrikes - price is 1.52885 nextStrikeUp/Down 1.53/1.525</t>
  </si>
  <si>
    <t>2015-2-11 10:57:43.335: Algorithm - getPortfolioForwardDelta - required deltas is 120 currentHedgePosition is 79</t>
  </si>
  <si>
    <t>2015-2-11 10:57:43.335: Algorithm - getHedgeShortfall - required deltas is 120 price is 1.52875 currentHedgePositionDeltas is 79</t>
  </si>
  <si>
    <t>2015-2-11 10:57:43.335: Algorithm - processTransitionPoint - nextUpper/LowerStrikes are 1.53/1.525 requiredDeltas/currentPosition/currentHedgeShortfall/direction/transitionPrice are 120/79/41/-1/1.52875</t>
  </si>
  <si>
    <t>2015-2-11 10:57:43.350: TransitionLogger - processTransitionpoint - checking transition - currentHedgeShortfall is 41</t>
  </si>
  <si>
    <t>2015-2-11 10:57:43.350: Algorithm - rehedge - rehedging 41 contracts</t>
  </si>
  <si>
    <t>2015-2-11 10:57:43.350: Algorithm - rehedge - Need to place order but already have a working order - workingQty is -29 working order count 0</t>
  </si>
  <si>
    <t>2015-2-11 10:57:43.350: Algorithm - updatePortfolio - haveAllDetails is True</t>
  </si>
  <si>
    <t>2015-2-11 10:57:43.381: Algorithm - FindNextStrikes - price is 1.52885 nextStrikeUp/Down 1.53/1.525</t>
  </si>
  <si>
    <t>2015-2-11 10:57:43.381: Algorithm - getPortfolioForwardDelta - required deltas is 120 currentHedgePosition is 79</t>
  </si>
  <si>
    <t>2015-2-11 10:57:43.381: Algorithm - getHedgeShortfall - required deltas is 120 price is 1.52875 currentHedgePositionDeltas is 79</t>
  </si>
  <si>
    <t>2015-2-11 10:57:43.381: Algorithm - processTransitionPoint - nextUpper/LowerStrikes are 1.53/1.525 requiredDeltas/currentPosition/currentHedgeShortfall/direction/transitionPrice are 120/79/41/-1/1.52875</t>
  </si>
  <si>
    <t>2015-2-11 10:57:43.381: TransitionLogger - processTransitionpoint - checking transition - currentHedgeShortfall is 41</t>
  </si>
  <si>
    <t>2015-2-11 10:57:43.381: Algorithm - rehedge - rehedging 41 contracts</t>
  </si>
  <si>
    <t>2015-2-11 10:57:43.381: Algorithm - rehedge - Need to place order but already have a working order - workingQty is -29 working order count 0</t>
  </si>
  <si>
    <t>2015-2-11 10:57:43.397: Algorithm - updatePortfolio - haveAllDetails is True</t>
  </si>
  <si>
    <t>2015-2-11 10:57:43.428: Algorithm - FindNextStrikes - price is 1.52885 nextStrikeUp/Down 1.53/1.525</t>
  </si>
  <si>
    <t>2015-2-11 10:57:43.428: Algorithm - getPortfolioForwardDelta - required deltas is 120 currentHedgePosition is 79</t>
  </si>
  <si>
    <t>2015-2-11 10:57:43.428: Algorithm - getHedgeShortfall - required deltas is 120 price is 1.52875 currentHedgePositionDeltas is 79</t>
  </si>
  <si>
    <t>2015-2-11 10:57:43.428: Algorithm - processTransitionPoint - nextUpper/LowerStrikes are 1.53/1.525 requiredDeltas/currentPosition/currentHedgeShortfall/direction/transitionPrice are 120/79/41/-1/1.52875</t>
  </si>
  <si>
    <t>2015-2-11 10:57:43.428: TransitionLogger - processTransitionpoint - checking transition - currentHedgeShortfall is 41</t>
  </si>
  <si>
    <t>2015-2-11 10:57:43.428: Algorithm - rehedge - rehedging 41 contracts</t>
  </si>
  <si>
    <t>2015-2-11 10:57:43.428: Algorithm - rehedge - Need to place order but already have a working order - workingQty is -29 working order count 0</t>
  </si>
  <si>
    <t>2015-2-11 10:57:43.428: Algorithm - updatePortfolio - haveAllDetails is True</t>
  </si>
  <si>
    <t>2015-2-11 10:57:43.491: Algorithm - FindNextStrikes - price is 1.52885 nextStrikeUp/Down 1.53/1.525</t>
  </si>
  <si>
    <t>2015-2-11 10:57:43.491: Algorithm - getPortfolioForwardDelta - required deltas is 120 currentHedgePosition is 79</t>
  </si>
  <si>
    <t>2015-2-11 10:57:43.491: Algorithm - getHedgeShortfall - required deltas is 120 price is 1.52875 currentHedgePositionDeltas is 79</t>
  </si>
  <si>
    <t>2015-2-11 10:57:43.491: Algorithm - processTransitionPoint - nextUpper/LowerStrikes are 1.53/1.525 requiredDeltas/currentPosition/currentHedgeShortfall/direction/transitionPrice are 120/79/41/-1/1.52875</t>
  </si>
  <si>
    <t>2015-2-11 10:57:43.491: TransitionLogger - processTransitionpoint - checking transition - currentHedgeShortfall is 41</t>
  </si>
  <si>
    <t>2015-2-11 10:57:43.491: Algorithm - rehedge - rehedging 41 contracts</t>
  </si>
  <si>
    <t>2015-2-11 10:57:43.491: Algorithm - rehedge - Need to place order but already have a working order - workingQty is -29 working order count 0</t>
  </si>
  <si>
    <t>2015-2-11 10:57:43.491: Algorithm - updatePortfolio - haveAllDetails is True</t>
  </si>
  <si>
    <t>2015-2-11 10:57:43.553: Algorithm - FindNextStrikes - price is 1.52885 nextStrikeUp/Down 1.53/1.525</t>
  </si>
  <si>
    <t>2015-2-11 10:57:43.553: Algorithm - getPortfolioForwardDelta - required deltas is 120 currentHedgePosition is 79</t>
  </si>
  <si>
    <t>2015-2-11 10:57:43.553: Algorithm - getHedgeShortfall - required deltas is 120 price is 1.52875 currentHedgePositionDeltas is 79</t>
  </si>
  <si>
    <t>2015-2-11 10:57:43.553: Algorithm - processTransitionPoint - nextUpper/LowerStrikes are 1.53/1.525 requiredDeltas/currentPosition/currentHedgeShortfall/direction/transitionPrice are 120/79/41/-1/1.52875</t>
  </si>
  <si>
    <t>2015-2-11 10:57:43.553: TransitionLogger - processTransitionpoint - checking transition - currentHedgeShortfall is 41</t>
  </si>
  <si>
    <t>2015-2-11 10:57:43.553: Algorithm - rehedge - rehedging 41 contracts</t>
  </si>
  <si>
    <t>2015-2-11 10:57:43.553: Algorithm - rehedge - Need to place order but already have a working order - workingQty is -29 working order count 0</t>
  </si>
  <si>
    <t>2015-2-11 10:57:43.553: Algorithm - updatePortfolio - haveAllDetails is True</t>
  </si>
  <si>
    <t>2015-2-11 10:57:43.600: Algorithm - FindNextStrikes - price is 1.52885 nextStrikeUp/Down 1.53/1.525</t>
  </si>
  <si>
    <t>2015-2-11 10:57:43.600: Algorithm - getPortfolioForwardDelta - required deltas is 120 currentHedgePosition is 79</t>
  </si>
  <si>
    <t>2015-2-11 10:57:43.600: Algorithm - getHedgeShortfall - required deltas is 120 price is 1.52875 currentHedgePositionDeltas is 79</t>
  </si>
  <si>
    <t>2015-2-11 10:57:43.600: Algorithm - processTransitionPoint - nextUpper/LowerStrikes are 1.53/1.525 requiredDeltas/currentPosition/currentHedgeShortfall/direction/transitionPrice are 120/79/41/-1/1.52875</t>
  </si>
  <si>
    <t>2015-2-11 10:57:43.600: TransitionLogger - processTransitionpoint - checking transition - currentHedgeShortfall is 41</t>
  </si>
  <si>
    <t>2015-2-11 10:57:43.600: Algorithm - rehedge - rehedging 41 contracts</t>
  </si>
  <si>
    <t>2015-2-11 10:57:43.600: Algorithm - rehedge - Need to place order but already have a working order - workingQty is -29 working order count 0</t>
  </si>
  <si>
    <t>2015-2-11 10:57:43.600: Algorithm - updatePortfolio - haveAllDetails is True</t>
  </si>
  <si>
    <t>2015-2-11 10:57:43.631: Algorithm - FindNextStrikes - price is 1.52885 nextStrikeUp/Down 1.53/1.525</t>
  </si>
  <si>
    <t>2015-2-11 10:57:43.631: Algorithm - getPortfolioForwardDelta - required deltas is 120 currentHedgePosition is 79</t>
  </si>
  <si>
    <t>2015-2-11 10:57:43.631: Algorithm - getHedgeShortfall - required deltas is 120 price is 1.52875 currentHedgePositionDeltas is 79</t>
  </si>
  <si>
    <t>2015-2-11 10:57:43.631: Algorithm - processTransitionPoint - nextUpper/LowerStrikes are 1.53/1.525 requiredDeltas/currentPosition/currentHedgeShortfall/direction/transitionPrice are 120/79/41/-1/1.52875</t>
  </si>
  <si>
    <t>2015-2-11 10:57:43.631: TransitionLogger - processTransitionpoint - checking transition - currentHedgeShortfall is 41</t>
  </si>
  <si>
    <t>2015-2-11 10:57:43.631: Algorithm - rehedge - rehedging 41 contracts</t>
  </si>
  <si>
    <t>2015-2-11 10:57:43.631: Algorithm - rehedge - Need to place order but already have a working order - workingQty is -29 working order count 0</t>
  </si>
  <si>
    <t>2015-2-11 10:57:43.631: Algorithm - updatePortfolio - haveAllDetails is True</t>
  </si>
  <si>
    <t>2015-2-11 10:57:43.727: Algorithm - FindNextStrikes - price is 1.52885 nextStrikeUp/Down 1.53/1.525</t>
  </si>
  <si>
    <t>2015-2-11 10:57:43.727: Algorithm - getPortfolioForwardDelta - required deltas is 120 currentHedgePosition is 79</t>
  </si>
  <si>
    <t>2015-2-11 10:57:43.727: Algorithm - getHedgeShortfall - required deltas is 120 price is 1.52875 currentHedgePositionDeltas is 79</t>
  </si>
  <si>
    <t>2015-2-11 10:57:43.727: Algorithm - processTransitionPoint - nextUpper/LowerStrikes are 1.53/1.525 requiredDeltas/currentPosition/currentHedgeShortfall/direction/transitionPrice are 120/79/41/-1/1.52875</t>
  </si>
  <si>
    <t>2015-2-11 10:57:43.727: TransitionLogger - processTransitionpoint - checking transition - currentHedgeShortfall is 41</t>
  </si>
  <si>
    <t>2015-2-11 10:57:43.727: Algorithm - rehedge - rehedging 41 contracts</t>
  </si>
  <si>
    <t>2015-2-11 10:57:43.727: Algorithm - rehedge - Need to place order but already have a working order - workingQty is -29 working order count 0</t>
  </si>
  <si>
    <t>2015-2-11 10:57:43.742: Algorithm - updatePortfolio - haveAllDetails is True</t>
  </si>
  <si>
    <t>2015-2-11 10:57:43.789: Algorithm - FindNextStrikes - price is 1.52885 nextStrikeUp/Down 1.53/1.525</t>
  </si>
  <si>
    <t>2015-2-11 10:57:43.789: Algorithm - getPortfolioForwardDelta - required deltas is 120 currentHedgePosition is 79</t>
  </si>
  <si>
    <t>2015-2-11 10:57:43.789: Algorithm - getHedgeShortfall - required deltas is 120 price is 1.52875 currentHedgePositionDeltas is 79</t>
  </si>
  <si>
    <t>2015-2-11 10:57:43.789: Algorithm - processTransitionPoint - nextUpper/LowerStrikes are 1.53/1.525 requiredDeltas/currentPosition/currentHedgeShortfall/direction/transitionPrice are 120/79/41/-1/1.52875</t>
  </si>
  <si>
    <t>2015-2-11 10:57:43.789: TransitionLogger - processTransitionpoint - checking transition - currentHedgeShortfall is 41</t>
  </si>
  <si>
    <t>2015-2-11 10:57:43.789: Algorithm - rehedge - rehedging 41 contracts</t>
  </si>
  <si>
    <t>2015-2-11 10:57:43.789: Algorithm - rehedge - Need to place order but already have a working order - workingQty is -29 working order count 0</t>
  </si>
  <si>
    <t>2015-2-11 10:57:43.789: Algorithm - updatePortfolio - haveAllDetails is True</t>
  </si>
  <si>
    <t>2015-2-11 10:57:52.58: RTWSControl - execDetails -  entering execDetailsEx execution id is 0001f4e5.54da9b8f.01.01 shares/cumQty is 1/5</t>
  </si>
  <si>
    <t>2015-2-11 10:57:52.58: Algorithm - FindNextStrikes - price is 1.52885 nextStrikeUp/Down 1.53/1.525</t>
  </si>
  <si>
    <t>2015-2-11 10:57:52.58: Algorithm - getPortfolioForwardDelta - required deltas is 120 currentHedgePosition is 80</t>
  </si>
  <si>
    <t>2015-2-11 10:57:52.58: Algorithm - getHedgeShortfall - required deltas is 120 price is 1.52875 currentHedgePositionDeltas is 80</t>
  </si>
  <si>
    <t>2015-2-11 10:57:52.58: Algorithm - processTransitionPoint - nextUpper/LowerStrikes are 1.53/1.525 requiredDeltas/currentPosition/currentHedgeShortfall/direction/transitionPrice are 120/80/40/-1/1.52875</t>
  </si>
  <si>
    <t>2015-2-11 10:57:52.58: TransitionLogger - processTransitionpoint - checking transition - currentHedgeShortfall is 40</t>
  </si>
  <si>
    <t>2015-2-11 10:57:52.58: OrderManager - updateExecution - got a fill for id 9704 qty 1 side BOT price 1.5288 - new working order size is -30 new instrument.qty is 80</t>
  </si>
  <si>
    <t>0001f4e5.54da9b8f.01.01</t>
  </si>
  <si>
    <t>20150211  10:57:53</t>
  </si>
  <si>
    <t>2015-2-11 10:57:52.73: OrderManagerView - UpdateExecutionView - entering updateExecutionView  executionId is 0001f4e5.54da9b8f.01.01</t>
  </si>
  <si>
    <t>2015-2-11 10:57:52.73: OrderManagerView - updateExecutionView -  exiting UpdateExecutionView</t>
  </si>
  <si>
    <t>2015-2-11 10:57:52.73: RTWSControl - execDetails -  exiting execDetailsEx</t>
  </si>
  <si>
    <t>2015-2-11 10:57:52.73: RTWSControl - execDetails - Got execution Message id:-1</t>
  </si>
  <si>
    <t>2015-2-11 10:57:52.89: openOrderEx - I am here</t>
  </si>
  <si>
    <t>2015-2-11 10:57:52.104: RTWSControl - orderStatus -  entering orderStatus id is 9704 status is Filled</t>
  </si>
  <si>
    <t>2015-2-11 10:57:52.104: OrderManager - UpdateOrderStatus - id 9704 Setting status to Filled workingOrderCount is now -1 workingQty -30</t>
  </si>
  <si>
    <t>2015-2-11 10:57:52.120: OrderManager - terminateOrder - cleaning up after Filled 9704  order was supposed to BUY 5 1.5288 LMT workingQty/OrderCount now -30/-2</t>
  </si>
  <si>
    <t>2015-2-11 10:57:52.120: RTWSControl - OrderStatus - Got OrderStatus Message id:9704 status: Filled filled: 5</t>
  </si>
  <si>
    <t>2015-2-11 10:57:52.120: RTWSControl - OrderStatus - exiting orderStatus</t>
  </si>
  <si>
    <t>2015-2-11 10:57:52.167: Algorithm - rehedge - rehedging 40 contracts</t>
  </si>
  <si>
    <t>2015-2-11 10:57:52.167: Algortihm - rehedge - inside the loop</t>
  </si>
  <si>
    <t>2015-2-11 10:57:52.167: Algorithm - rehedge - trying to trade BUT contracts is 40 and direction indicator is -1</t>
  </si>
  <si>
    <t>2015-2-11 10:57:52.260: openOrderEx - I am here</t>
  </si>
  <si>
    <t>2015-2-11 10:57:52.276: RTWSControl - orderStatus -  entering orderStatus id is 9704 status is Filled</t>
  </si>
  <si>
    <t>2015-2-11 10:57:52.276: OrderManager - UpdateOrderStatus - id 9704 Setting status to Filled workingOrderCount is now -2 workingQty -30</t>
  </si>
  <si>
    <t>2015-2-11 10:57:52.276: OrderManager - terminateOrder - cleaning up after Filled 9704  order was supposed to BUY 5 1.5288 LMT workingQty/OrderCount now -30/-3</t>
  </si>
  <si>
    <t>2015-2-11 10:57:52.276: RTWSControl - OrderStatus - Got OrderStatus Message id:9704 status: Filled filled: 5</t>
  </si>
  <si>
    <t>2015-2-11 10:57:52.276: RTWSControl - OrderStatus - exiting orderStatus</t>
  </si>
  <si>
    <t>2015-2-11 10:57:54.418: Algorithm - FindNextStrikes - price is 1.5288 nextStrikeUp/Down 1.53/1.525</t>
  </si>
  <si>
    <t>2015-2-11 10:57:54.418: Algorithm - getPortfolioForwardDelta - required deltas is 120 currentHedgePosition is 80</t>
  </si>
  <si>
    <t>2015-2-11 10:57:54.418: Algorithm - getHedgeShortfall - required deltas is 120 price is 1.5287 currentHedgePositionDeltas is 80</t>
  </si>
  <si>
    <t>2015-2-11 10:57:54.418: Algorithm - processTransitionPoint - nextUpper/LowerStrikes are 1.53/1.525 requiredDeltas/currentPosition/currentHedgeShortfall/direction/transitionPrice are 120/80/40/-1/1.5287</t>
  </si>
  <si>
    <t>2015-2-11 10:57:54.434: TransitionLogger - processTransitionpoint - checking transition - currentHedgeShortfall is 40</t>
  </si>
  <si>
    <t>2015-2-11 10:57:54.434: Algorithm - rehedge - rehedging 40 contracts</t>
  </si>
  <si>
    <t>2015-2-11 10:57:54.434: Algortihm - rehedge - inside the loop</t>
  </si>
  <si>
    <t>2015-2-11 10:57:54.434: Algorithm - rehedge - trying to trade BUT contracts is 40 and direction indicator is -1</t>
  </si>
  <si>
    <t>2015-2-11 10:57:54.434: Algorithm - updatePortfolio - haveAllDetails is True</t>
  </si>
  <si>
    <t>2015-2-11 10:57:54.465: Algorithm - FindNextStrikes - price is 1.5288 nextStrikeUp/Down 1.53/1.525</t>
  </si>
  <si>
    <t>2015-2-11 10:57:54.465: Algorithm - getPortfolioForwardDelta - required deltas is 120 currentHedgePosition is 80</t>
  </si>
  <si>
    <t>2015-2-11 10:57:54.465: Algorithm - getHedgeShortfall - required deltas is 120 price is 1.5287 currentHedgePositionDeltas is 80</t>
  </si>
  <si>
    <t>2015-2-11 10:57:54.465: Algorithm - processTransitionPoint - nextUpper/LowerStrikes are 1.53/1.525 requiredDeltas/currentPosition/currentHedgeShortfall/direction/transitionPrice are 120/80/40/-1/1.5287</t>
  </si>
  <si>
    <t>2015-2-11 10:57:54.465: TransitionLogger - processTransitionpoint - checking transition - currentHedgeShortfall is 40</t>
  </si>
  <si>
    <t>2015-2-11 10:57:54.465: Algorithm - rehedge - rehedging 40 contracts</t>
  </si>
  <si>
    <t>2015-2-11 10:57:54.465: Algortihm - rehedge - inside the loop</t>
  </si>
  <si>
    <t>2015-2-11 10:57:54.465: Algorithm - rehedge - trying to trade BUT contracts is 40 and direction indicator is -1</t>
  </si>
  <si>
    <t>2015-2-11 10:57:54.481: Algorithm - updatePortfolio - haveAllDetails is True</t>
  </si>
  <si>
    <t>2015-2-11 10:57:54.512: Algorithm - FindNextStrikes - price is 1.5288 nextStrikeUp/Down 1.53/1.525</t>
  </si>
  <si>
    <t>2015-2-11 10:57:54.512: Algorithm - getPortfolioForwardDelta - required deltas is 120 currentHedgePosition is 80</t>
  </si>
  <si>
    <t>2015-2-11 10:57:54.512: Algorithm - getHedgeShortfall - required deltas is 120 price is 1.5287 currentHedgePositionDeltas is 80</t>
  </si>
  <si>
    <t>2015-2-11 10:57:54.512: Algorithm - processTransitionPoint - nextUpper/LowerStrikes are 1.53/1.525 requiredDeltas/currentPosition/currentHedgeShortfall/direction/transitionPrice are 120/80/40/-1/1.5287</t>
  </si>
  <si>
    <t>2015-2-11 10:57:54.512: TransitionLogger - processTransitionpoint - checking transition - currentHedgeShortfall is 40</t>
  </si>
  <si>
    <t>2015-2-11 10:57:54.512: Algorithm - rehedge - rehedging 40 contracts</t>
  </si>
  <si>
    <t>2015-2-11 10:57:54.512: Algortihm - rehedge - inside the loop</t>
  </si>
  <si>
    <t>2015-2-11 10:57:54.527: Algorithm - rehedge - trying to trade BUT contracts is 40 and direction indicator is -1</t>
  </si>
  <si>
    <t>2015-2-11 10:57:54.527: Algorithm - updatePortfolio - haveAllDetails is True</t>
  </si>
  <si>
    <t>2015-2-11 10:57:54.574: Algorithm - FindNextStrikes - price is 1.5288 nextStrikeUp/Down 1.53/1.525</t>
  </si>
  <si>
    <t>2015-2-11 10:57:54.574: Algorithm - getPortfolioForwardDelta - required deltas is 120 currentHedgePosition is 80</t>
  </si>
  <si>
    <t>2015-2-11 10:57:54.574: Algorithm - getHedgeShortfall - required deltas is 120 price is 1.5287 currentHedgePositionDeltas is 80</t>
  </si>
  <si>
    <t>2015-2-11 10:57:54.574: Algorithm - processTransitionPoint - nextUpper/LowerStrikes are 1.53/1.525 requiredDeltas/currentPosition/currentHedgeShortfall/direction/transitionPrice are 120/80/40/-1/1.5287</t>
  </si>
  <si>
    <t>2015-2-11 10:57:54.574: TransitionLogger - processTransitionpoint - checking transition - currentHedgeShortfall is 40</t>
  </si>
  <si>
    <t>2015-2-11 10:57:54.574: Algorithm - rehedge - rehedging 40 contracts</t>
  </si>
  <si>
    <t>2015-2-11 10:57:54.574: Algortihm - rehedge - inside the loop</t>
  </si>
  <si>
    <t>2015-2-11 10:57:54.574: Algorithm - rehedge - trying to trade BUT contracts is 40 and direction indicator is -1</t>
  </si>
  <si>
    <t>2015-2-11 10:57:54.590: Algorithm - updatePortfolio - haveAllDetails is True</t>
  </si>
  <si>
    <t>2015-2-11 10:57:54.637: Algorithm - FindNextStrikes - price is 1.5288 nextStrikeUp/Down 1.53/1.525</t>
  </si>
  <si>
    <t>2015-2-11 10:57:54.637: Algorithm - getPortfolioForwardDelta - required deltas is 120 currentHedgePosition is 80</t>
  </si>
  <si>
    <t>2015-2-11 10:57:54.637: Algorithm - getHedgeShortfall - required deltas is 120 price is 1.5287 currentHedgePositionDeltas is 80</t>
  </si>
  <si>
    <t>2015-2-11 10:57:54.637: Algorithm - processTransitionPoint - nextUpper/LowerStrikes are 1.53/1.525 requiredDeltas/currentPosition/currentHedgeShortfall/direction/transitionPrice are 120/80/40/-1/1.5287</t>
  </si>
  <si>
    <t>2015-2-11 10:57:54.637: TransitionLogger - processTransitionpoint - checking transition - currentHedgeShortfall is 40</t>
  </si>
  <si>
    <t>2015-2-11 10:57:54.637: Algorithm - rehedge - rehedging 40 contracts</t>
  </si>
  <si>
    <t>2015-2-11 10:57:54.637: Algortihm - rehedge - inside the loop</t>
  </si>
  <si>
    <t>2015-2-11 10:57:54.637: Algorithm - rehedge - trying to trade BUT contracts is 40 and direction indicator is -1</t>
  </si>
  <si>
    <t>2015-2-11 10:57:54.637: Algorithm - updatePortfolio - haveAllDetails is True</t>
  </si>
  <si>
    <t>2015-2-11 10:57:54.668: Algorithm - FindNextStrikes - price is 1.5288 nextStrikeUp/Down 1.53/1.525</t>
  </si>
  <si>
    <t>2015-2-11 10:57:54.668: Algorithm - getPortfolioForwardDelta - required deltas is 120 currentHedgePosition is 80</t>
  </si>
  <si>
    <t>2015-2-11 10:57:54.668: Algorithm - getHedgeShortfall - required deltas is 120 price is 1.5287 currentHedgePositionDeltas is 80</t>
  </si>
  <si>
    <t>2015-2-11 10:57:54.668: Algorithm - processTransitionPoint - nextUpper/LowerStrikes are 1.53/1.525 requiredDeltas/currentPosition/currentHedgeShortfall/direction/transitionPrice are 120/80/40/-1/1.5287</t>
  </si>
  <si>
    <t>2015-2-11 10:57:54.668: TransitionLogger - processTransitionpoint - checking transition - currentHedgeShortfall is 40</t>
  </si>
  <si>
    <t>2015-2-11 10:57:54.668: Algorithm - rehedge - rehedging 40 contracts</t>
  </si>
  <si>
    <t>2015-2-11 10:57:54.668: Algortihm - rehedge - inside the loop</t>
  </si>
  <si>
    <t>2015-2-11 10:57:54.668: Algorithm - rehedge - trying to trade BUT contracts is 40 and direction indicator is -1</t>
  </si>
  <si>
    <t>2015-2-11 10:57:54.668: Algorithm - updatePortfolio - haveAllDetails is True</t>
  </si>
  <si>
    <t>2015-2-11 10:57:54.715: Algorithm - FindNextStrikes - price is 1.5288 nextStrikeUp/Down 1.53/1.525</t>
  </si>
  <si>
    <t>2015-2-11 10:57:54.715: Algorithm - getPortfolioForwardDelta - required deltas is 120 currentHedgePosition is 80</t>
  </si>
  <si>
    <t>2015-2-11 10:57:54.715: Algorithm - getHedgeShortfall - required deltas is 120 price is 1.5287 currentHedgePositionDeltas is 80</t>
  </si>
  <si>
    <t>2015-2-11 10:57:54.715: Algorithm - processTransitionPoint - nextUpper/LowerStrikes are 1.53/1.525 requiredDeltas/currentPosition/currentHedgeShortfall/direction/transitionPrice are 120/80/40/-1/1.5287</t>
  </si>
  <si>
    <t>2015-2-11 10:57:54.715: TransitionLogger - processTransitionpoint - checking transition - currentHedgeShortfall is 40</t>
  </si>
  <si>
    <t>2015-2-11 10:57:54.715: Algorithm - rehedge - rehedging 40 contracts</t>
  </si>
  <si>
    <t>2015-2-11 10:57:54.715: Algortihm - rehedge - inside the loop</t>
  </si>
  <si>
    <t>2015-2-11 10:57:54.715: Algorithm - rehedge - trying to trade BUT contracts is 40 and direction indicator is -1</t>
  </si>
  <si>
    <t>2015-2-11 10:57:54.715: Algorithm - updatePortfolio - haveAllDetails is True</t>
  </si>
  <si>
    <t>2015-2-11 10:57:54.761: Algorithm - FindNextStrikes - price is 1.5288 nextStrikeUp/Down 1.53/1.525</t>
  </si>
  <si>
    <t>2015-2-11 10:57:54.761: Algorithm - getPortfolioForwardDelta - required deltas is 120 currentHedgePosition is 80</t>
  </si>
  <si>
    <t>2015-2-11 10:57:54.761: Algorithm - getHedgeShortfall - required deltas is 120 price is 1.5287 currentHedgePositionDeltas is 80</t>
  </si>
  <si>
    <t>2015-2-11 10:57:54.761: Algorithm - processTransitionPoint - nextUpper/LowerStrikes are 1.53/1.525 requiredDeltas/currentPosition/currentHedgeShortfall/direction/transitionPrice are 120/80/40/-1/1.5287</t>
  </si>
  <si>
    <t>2015-2-11 10:57:54.761: TransitionLogger - processTransitionpoint - checking transition - currentHedgeShortfall is 40</t>
  </si>
  <si>
    <t>2015-2-11 10:57:54.761: Algorithm - rehedge - rehedging 40 contracts</t>
  </si>
  <si>
    <t>2015-2-11 10:57:54.761: Algortihm - rehedge - inside the loop</t>
  </si>
  <si>
    <t>2015-2-11 10:57:54.761: Algorithm - rehedge - trying to trade BUT contracts is 40 and direction indicator is -1</t>
  </si>
  <si>
    <t>2015-2-11 10:57:54.761: Algorithm - updatePortfolio - haveAllDetails is True</t>
  </si>
  <si>
    <t>2015-2-11 10:57:54.855: Algorithm - FindNextStrikes - price is 1.5288 nextStrikeUp/Down 1.53/1.525</t>
  </si>
  <si>
    <t>2015-2-11 10:57:54.855: Algorithm - getPortfolioForwardDelta - required deltas is 120 currentHedgePosition is 80</t>
  </si>
  <si>
    <t>2015-2-11 10:57:54.855: Algorithm - getHedgeShortfall - required deltas is 120 price is 1.5287 currentHedgePositionDeltas is 80</t>
  </si>
  <si>
    <t>2015-2-11 10:57:54.871: Algorithm - processTransitionPoint - nextUpper/LowerStrikes are 1.53/1.525 requiredDeltas/currentPosition/currentHedgeShortfall/direction/transitionPrice are 120/80/40/-1/1.5287</t>
  </si>
  <si>
    <t>2015-2-11 10:57:54.871: TransitionLogger - processTransitionpoint - checking transition - currentHedgeShortfall is 40</t>
  </si>
  <si>
    <t>2015-2-11 10:57:54.871: Algorithm - rehedge - rehedging 40 contracts</t>
  </si>
  <si>
    <t>2015-2-11 10:57:54.871: Algortihm - rehedge - inside the loop</t>
  </si>
  <si>
    <t>2015-2-11 10:57:54.871: Algorithm - rehedge - trying to trade BUT contracts is 40 and direction indicator is -1</t>
  </si>
  <si>
    <t>2015-2-11 10:57:54.871: Algorithm - updatePortfolio - haveAllDetails is True</t>
  </si>
  <si>
    <t>2015-2-11 10:57:54.966: Algorithm - FindNextStrikes - price is 1.5288 nextStrikeUp/Down 1.53/1.525</t>
  </si>
  <si>
    <t>2015-2-11 10:57:54.966: Algorithm - getPortfolioForwardDelta - required deltas is 120 currentHedgePosition is 80</t>
  </si>
  <si>
    <t>2015-2-11 10:57:54.966: Algorithm - getHedgeShortfall - required deltas is 120 price is 1.5287 currentHedgePositionDeltas is 80</t>
  </si>
  <si>
    <t>2015-2-11 10:57:54.966: Algorithm - processTransitionPoint - nextUpper/LowerStrikes are 1.53/1.525 requiredDeltas/currentPosition/currentHedgeShortfall/direction/transitionPrice are 120/80/40/-1/1.5287</t>
  </si>
  <si>
    <t>2015-2-11 10:57:54.966: TransitionLogger - processTransitionpoint - checking transition - currentHedgeShortfall is 40</t>
  </si>
  <si>
    <t>2015-2-11 10:57:54.966: Algorithm - rehedge - rehedging 40 contracts</t>
  </si>
  <si>
    <t>2015-2-11 10:57:54.966: Algortihm - rehedge - inside the loop</t>
  </si>
  <si>
    <t>2015-2-11 10:57:54.966: Algorithm - rehedge - trying to trade BUT contracts is 40 and direction indicator is -1</t>
  </si>
  <si>
    <t>2015-2-11 10:57:54.982: Algorithm - updatePortfolio - haveAllDetails is True</t>
  </si>
  <si>
    <t>2015-2-11 10:57:55.138: Algorithm - rehedge - rehedging 40 contracts</t>
  </si>
  <si>
    <t>2015-2-11 10:57:55.138: Algortihm - rehedge - inside the loop</t>
  </si>
  <si>
    <t>2015-2-11 10:57:55.138: Algorithm - rehedge - trying to trade BUT contracts is 40 and direction indicator is -1</t>
  </si>
  <si>
    <t>2015-2-11 10:57:55.169: Algorithm - rehedge - rehedging 40 contracts</t>
  </si>
  <si>
    <t>2015-2-11 10:57:55.169: Algortihm - rehedge - inside the loop</t>
  </si>
  <si>
    <t>2015-2-11 10:57:55.169: Algorithm - rehedge - trying to trade BUT contracts is 40 and direction indicator is -1</t>
  </si>
  <si>
    <t>2015-2-11 10:57:55.913: Algorithm - rehedge - rehedging 40 contracts</t>
  </si>
  <si>
    <t>2015-2-11 10:57:55.913: Algortihm - rehedge - inside the loop</t>
  </si>
  <si>
    <t>2015-2-11 10:57:55.913: Algorithm - rehedge - trying to trade BUT contracts is 40 and direction indicator is -1</t>
  </si>
  <si>
    <t>2015-2-11 10:57:55.944: Algorithm - rehedge - rehedging 40 contracts</t>
  </si>
  <si>
    <t>2015-2-11 10:57:55.944: Algortihm - rehedge - inside the loop</t>
  </si>
  <si>
    <t>2015-2-11 10:57:55.944: Algorithm - rehedge - trying to trade BUT contracts is 40 and direction indicator is -1</t>
  </si>
  <si>
    <t>2015-2-11 10:57:56.865: Algorithm - rehedge - rehedging 40 contracts</t>
  </si>
  <si>
    <t>2015-2-11 10:57:56.865: Algortihm - rehedge - inside the loop</t>
  </si>
  <si>
    <t>2015-2-11 10:57:56.865: Algorithm - rehedge - trying to trade BUT contracts is 40 and direction indicator is -1</t>
  </si>
  <si>
    <t>2015-2-11 10:57:56.912: Algorithm - rehedge - rehedging 40 contracts</t>
  </si>
  <si>
    <t>2015-2-11 10:57:56.912: Algortihm - rehedge - inside the loop</t>
  </si>
  <si>
    <t>2015-2-11 10:57:56.912: Algorithm - rehedge - trying to trade BUT contracts is 40 and direction indicator is -1</t>
  </si>
  <si>
    <t>2015-2-11 10:57:58.320: Algorithm - rehedge - rehedging 40 contracts</t>
  </si>
  <si>
    <t>2015-2-11 10:57:58.320: Algortihm - rehedge - inside the loop</t>
  </si>
  <si>
    <t>2015-2-11 10:57:58.335: Algorithm - rehedge - trying to trade BUT contracts is 40 and direction indicator is -1</t>
  </si>
  <si>
    <t>2015-2-11 10:57:58.351: Algorithm - rehedge - rehedging 40 contracts</t>
  </si>
  <si>
    <t>2015-2-11 10:57:58.351: Algortihm - rehedge - inside the loop</t>
  </si>
  <si>
    <t>2015-2-11 10:57:58.351: Algorithm - rehedge - trying to trade BUT contracts is 40 and direction indicator is -1</t>
  </si>
  <si>
    <t>2015-2-11 10:57:58.788: Algorithm - rehedge - rehedging 40 contracts</t>
  </si>
  <si>
    <t>2015-2-11 10:57:58.788: Algortihm - rehedge - inside the loop</t>
  </si>
  <si>
    <t>2015-2-11 10:57:58.788: Algorithm - rehedge - trying to trade BUT contracts is 40 and direction indicator is -1</t>
  </si>
  <si>
    <t>2015-2-11 10:57:59.351: Algorithm - rehedge - rehedging 40 contracts</t>
  </si>
  <si>
    <t>2015-2-11 10:57:59.351: Algortihm - rehedge - inside the loop</t>
  </si>
  <si>
    <t>2015-2-11 10:57:59.351: Algorithm - rehedge - trying to trade BUT contracts is 40 and direction indicator is -1</t>
  </si>
  <si>
    <t>2015-2-11 10:57:59.585: Algorithm - rehedge - rehedging 40 contracts</t>
  </si>
  <si>
    <t>2015-2-11 10:57:59.585: Algortihm - rehedge - inside the loop</t>
  </si>
  <si>
    <t>2015-2-11 10:57:59.585: Algorithm - rehedge - trying to trade BUT contracts is 40 and direction indicator is -1</t>
  </si>
  <si>
    <t>2015-2-11 10:58:0.383: Algorithm - FindNextStrikes - price is 1.5287 nextStrikeUp/Down 1.53/1.525</t>
  </si>
  <si>
    <t>2015-2-11 10:58:0.383: Algorithm - getPortfolioForwardDelta - required deltas is 120 currentHedgePosition is 80</t>
  </si>
  <si>
    <t>2015-2-11 10:58:0.383: Algorithm - getHedgeShortfall - required deltas is 120 price is 1.5286 currentHedgePositionDeltas is 80</t>
  </si>
  <si>
    <t>2015-2-11 10:58:0.383: Algorithm - processTransitionPoint - nextUpper/LowerStrikes are 1.53/1.525 requiredDeltas/currentPosition/currentHedgeShortfall/direction/transitionPrice are 120/80/40/-1/1.5286</t>
  </si>
  <si>
    <t>2015-2-11 10:58:0.383: TransitionLogger - processTransitionpoint - checking transition - currentHedgeShortfall is 40</t>
  </si>
  <si>
    <t>2015-2-11 10:58:0.383: Algorithm - rehedge - rehedging 40 contracts</t>
  </si>
  <si>
    <t>2015-2-11 10:58:0.383: Algortihm - rehedge - inside the loop</t>
  </si>
  <si>
    <t>2015-2-11 10:58:0.398: Algorithm - rehedge - trying to trade BUT contracts is 40 and direction indicator is -1</t>
  </si>
  <si>
    <t>2015-2-11 10:58:0.398: Algorithm - updatePortfolio - haveAllDetails is True</t>
  </si>
  <si>
    <t>2015-2-11 10:58:0.430: Algorithm - FindNextStrikes - price is 1.5287 nextStrikeUp/Down 1.53/1.525</t>
  </si>
  <si>
    <t>2015-2-11 10:58:0.430: Algorithm - getPortfolioForwardDelta - required deltas is 120 currentHedgePosition is 80</t>
  </si>
  <si>
    <t>2015-2-11 10:58:0.430: Algorithm - getHedgeShortfall - required deltas is 120 price is 1.5286 currentHedgePositionDeltas is 80</t>
  </si>
  <si>
    <t>2015-2-11 10:58:0.430: Algorithm - processTransitionPoint - nextUpper/LowerStrikes are 1.53/1.525 requiredDeltas/currentPosition/currentHedgeShortfall/direction/transitionPrice are 120/80/40/-1/1.5286</t>
  </si>
  <si>
    <t>2015-2-11 10:58:0.430: TransitionLogger - processTransitionpoint - checking transition - currentHedgeShortfall is 40</t>
  </si>
  <si>
    <t>2015-2-11 10:58:0.430: Algorithm - rehedge - rehedging 40 contracts</t>
  </si>
  <si>
    <t>2015-2-11 10:58:0.445: Algortihm - rehedge - inside the loop</t>
  </si>
  <si>
    <t>2015-2-11 10:58:0.445: Algorithm - rehedge - trying to trade BUT contracts is 40 and direction indicator is -1</t>
  </si>
  <si>
    <t>2015-2-11 10:58:0.445: Algorithm - updatePortfolio - haveAllDetails is True</t>
  </si>
  <si>
    <t>2015-2-11 10:58:0.461: Algorithm - FindNextStrikes - price is 1.5287 nextStrikeUp/Down 1.53/1.525</t>
  </si>
  <si>
    <t>2015-2-11 10:58:0.461: Algorithm - getPortfolioForwardDelta - required deltas is 120 currentHedgePosition is 80</t>
  </si>
  <si>
    <t>2015-2-11 10:58:0.461: Algorithm - getHedgeShortfall - required deltas is 120 price is 1.5286 currentHedgePositionDeltas is 80</t>
  </si>
  <si>
    <t>2015-2-11 10:58:0.476: Algorithm - processTransitionPoint - nextUpper/LowerStrikes are 1.53/1.525 requiredDeltas/currentPosition/currentHedgeShortfall/direction/transitionPrice are 120/80/40/-1/1.5286</t>
  </si>
  <si>
    <t>2015-2-11 10:58:0.476: TransitionLogger - processTransitionpoint - checking transition - currentHedgeShortfall is 40</t>
  </si>
  <si>
    <t>2015-2-11 10:58:0.476: Algorithm - rehedge - rehedging 40 contracts</t>
  </si>
  <si>
    <t>2015-2-11 10:58:0.476: Algortihm - rehedge - inside the loop</t>
  </si>
  <si>
    <t>2015-2-11 10:58:0.476: Algorithm - rehedge - trying to trade BUT contracts is 40 and direction indicator is -1</t>
  </si>
  <si>
    <t>2015-2-11 10:58:0.476: Algorithm - updatePortfolio - haveAllDetails is True</t>
  </si>
  <si>
    <t>2015-2-11 10:58:0.508: Algorithm - FindNextStrikes - price is 1.5287 nextStrikeUp/Down 1.53/1.525</t>
  </si>
  <si>
    <t>2015-2-11 10:58:0.508: Algorithm - getPortfolioForwardDelta - required deltas is 120 currentHedgePosition is 80</t>
  </si>
  <si>
    <t>2015-2-11 10:58:0.508: Algorithm - getHedgeShortfall - required deltas is 120 price is 1.5286 currentHedgePositionDeltas is 80</t>
  </si>
  <si>
    <t>2015-2-11 10:58:0.508: Algorithm - processTransitionPoint - nextUpper/LowerStrikes are 1.53/1.525 requiredDeltas/currentPosition/currentHedgeShortfall/direction/transitionPrice are 120/80/40/-1/1.5286</t>
  </si>
  <si>
    <t>2015-2-11 10:58:0.508: TransitionLogger - processTransitionpoint - checking transition - currentHedgeShortfall is 40</t>
  </si>
  <si>
    <t>2015-2-11 10:58:0.523: Algorithm - rehedge - rehedging 40 contracts</t>
  </si>
  <si>
    <t>2015-2-11 10:58:0.523: Algortihm - rehedge - inside the loop</t>
  </si>
  <si>
    <t>2015-2-11 10:58:0.523: Algorithm - rehedge - trying to trade BUT contracts is 40 and direction indicator is -1</t>
  </si>
  <si>
    <t>2015-2-11 10:58:0.523: Algorithm - updatePortfolio - haveAllDetails is True</t>
  </si>
  <si>
    <t>2015-2-11 10:58:0.554: Algorithm - FindNextStrikes - price is 1.5287 nextStrikeUp/Down 1.53/1.525</t>
  </si>
  <si>
    <t>2015-2-11 10:58:0.554: Algorithm - getPortfolioForwardDelta - required deltas is 120 currentHedgePosition is 80</t>
  </si>
  <si>
    <t>2015-2-11 10:58:0.554: Algorithm - getHedgeShortfall - required deltas is 120 price is 1.5286 currentHedgePositionDeltas is 80</t>
  </si>
  <si>
    <t>2015-2-11 10:58:0.554: Algorithm - processTransitionPoint - nextUpper/LowerStrikes are 1.53/1.525 requiredDeltas/currentPosition/currentHedgeShortfall/direction/transitionPrice are 120/80/40/-1/1.5286</t>
  </si>
  <si>
    <t>2015-2-11 10:58:0.554: TransitionLogger - processTransitionpoint - checking transition - currentHedgeShortfall is 40</t>
  </si>
  <si>
    <t>2015-2-11 10:58:0.554: Algorithm - rehedge - rehedging 40 contracts</t>
  </si>
  <si>
    <t>2015-2-11 10:58:0.554: Algortihm - rehedge - inside the loop</t>
  </si>
  <si>
    <t>2015-2-11 10:58:0.570: Algorithm - rehedge - trying to trade BUT contracts is 40 and direction indicator is -1</t>
  </si>
  <si>
    <t>2015-2-11 10:58:0.570: Algorithm - updatePortfolio - haveAllDetails is True</t>
  </si>
  <si>
    <t>2015-2-11 10:58:0.960: Algorithm - rehedge - rehedging 40 contracts</t>
  </si>
  <si>
    <t>2015-2-11 10:58:0.960: Algortihm - rehedge - inside the loop</t>
  </si>
  <si>
    <t>2015-2-11 10:58:0.960: Algorithm - rehedge - trying to trade BUT contracts is 40 and direction indicator is -1</t>
  </si>
  <si>
    <t>2015-2-11 10:58:0.993: Algorithm - rehedge - rehedging 40 contracts</t>
  </si>
  <si>
    <t>2015-2-11 10:58:0.993: Algortihm - rehedge - inside the loop</t>
  </si>
  <si>
    <t>2015-2-11 10:58:0.993: Algorithm - rehedge - trying to trade BUT contracts is 40 and direction indicator is -1</t>
  </si>
  <si>
    <t>2015-2-11 10:58:4.247: Algorithm - rehedge - rehedging 40 contracts</t>
  </si>
  <si>
    <t>2015-2-11 10:58:4.247: Algortihm - rehedge - inside the loop</t>
  </si>
  <si>
    <t>2015-2-11 10:58:4.247: Algorithm - rehedge - trying to trade BUT contracts is 40 and direction indicator is -1</t>
  </si>
  <si>
    <t>2015-2-11 10:58:5.559: Algorithm - rehedge - rehedging 40 contracts</t>
  </si>
  <si>
    <t>2015-2-11 10:58:5.559: Algortihm - rehedge - inside the loop</t>
  </si>
  <si>
    <t>2015-2-11 10:58:5.559: Algorithm - rehedge - trying to trade BUT contracts is 40 and direction indicator is -1</t>
  </si>
  <si>
    <t>2015-2-11 10:58:5.747: Algorithm - rehedge - rehedging 40 contracts</t>
  </si>
  <si>
    <t>2015-2-11 10:58:5.747: Algortihm - rehedge - inside the loop</t>
  </si>
  <si>
    <t>2015-2-11 10:58:5.747: Algorithm - rehedge - trying to trade BUT contracts is 40 and direction indicator is -1</t>
  </si>
  <si>
    <t>2015-2-11 10:58:20.765: Algorithm - rehedge - rehedging 40 contracts</t>
  </si>
  <si>
    <t>2015-2-11 10:58:20.766: Algortihm - rehedge - inside the loop</t>
  </si>
  <si>
    <t>2015-2-11 10:58:20.767: Algorithm - rehedge - trying to trade BUT contracts is 40 and direction indicator is -1</t>
  </si>
  <si>
    <t>2015-2-11 10:58:20.908: Algorithm - rehedge - rehedging 40 contracts</t>
  </si>
  <si>
    <t>2015-2-11 10:58:20.909: Algortihm - rehedge - inside the loop</t>
  </si>
  <si>
    <t>2015-2-11 10:58:20.910: Algorithm - rehedge - trying to trade BUT contracts is 40 and direction indicator is -1</t>
  </si>
  <si>
    <t>2015-2-11 10:58:24.677: Algorithm - rehedge - rehedging 40 contracts</t>
  </si>
  <si>
    <t>2015-2-11 10:58:24.679: Algortihm - rehedge - inside the loop</t>
  </si>
  <si>
    <t>2015-2-11 10:58:24.681: Algorithm - rehedge - trying to trade BUT contracts is 40 and direction indicator is -1</t>
  </si>
  <si>
    <t>2015-2-11 10:58:26.710: Algorithm - rehedge - rehedging 40 contracts</t>
  </si>
  <si>
    <t>2015-2-11 10:58:26.712: Algortihm - rehedge - inside the loop</t>
  </si>
  <si>
    <t>2015-2-11 10:58:26.713: Algorithm - rehedge - trying to trade BUT contracts is 40 and direction indicator is -1</t>
  </si>
  <si>
    <t>2015-2-11 10:58:27.630: Algorithm - rehedge - rehedging 40 contracts</t>
  </si>
  <si>
    <t>2015-2-11 10:58:27.631: Algortihm - rehedge - inside the loop</t>
  </si>
  <si>
    <t>2015-2-11 10:58:27.632: Algorithm - rehedge - trying to trade BUT contracts is 40 and direction indicator is -1</t>
  </si>
  <si>
    <t>2015-2-11 10:58:28.170: Algorithm - rehedge - rehedging 40 contracts</t>
  </si>
  <si>
    <t>2015-2-11 10:58:28.172: Algortihm - rehedge - inside the loop</t>
  </si>
  <si>
    <t>2015-2-11 10:58:28.175: Algorithm - rehedge - trying to trade BUT contracts is 40 and direction indicator is -1</t>
  </si>
  <si>
    <t>2015-2-11 10:58:29.485: Algorithm - rehedge - rehedging 40 contracts</t>
  </si>
  <si>
    <t>2015-2-11 10:58:29.487: Algortihm - rehedge - inside the loop</t>
  </si>
  <si>
    <t>2015-2-11 10:58:29.488: Algorithm - rehedge - trying to trade BUT contracts is 40 and direction indicator is -1</t>
  </si>
  <si>
    <t>2015-2-11 10:58:30.73: Algorithm - rehedge - rehedging 40 contracts</t>
  </si>
  <si>
    <t>2015-2-11 10:58:30.75: Algortihm - rehedge - inside the loop</t>
  </si>
  <si>
    <t>2015-2-11 10:58:30.77: Algorithm - rehedge - trying to trade BUT contracts is 40 and direction indicator is -1</t>
  </si>
  <si>
    <t>2015-2-11 10:58:30.460: Algorithm - rehedge - rehedging 40 contracts</t>
  </si>
  <si>
    <t>2015-2-11 10:58:30.461: Algortihm - rehedge - inside the loop</t>
  </si>
  <si>
    <t>2015-2-11 10:58:30.462: Algorithm - rehedge - trying to trade BUT contracts is 40 and direction indicator is -1</t>
  </si>
  <si>
    <t>2015-2-11 10:58:31.875: Algorithm - rehedge - rehedging 40 contracts</t>
  </si>
  <si>
    <t>2015-2-11 10:58:31.876: Algortihm - rehedge - inside the loop</t>
  </si>
  <si>
    <t>2015-2-11 10:58:31.877: Algorithm - rehedge - trying to trade BUT contracts is 40 and direction indicator is -1</t>
  </si>
  <si>
    <t>2015-2-11 10:58:40.8: Algorithm - rehedge - rehedging 40 contracts</t>
  </si>
  <si>
    <t>2015-2-11 10:58:40.9: Algortihm - rehedge - inside the loop</t>
  </si>
  <si>
    <t>2015-2-11 10:58:40.9: Algorithm - rehedge - trying to trade BUT contracts is 40 and direction indicator is -1</t>
  </si>
  <si>
    <t>2015-2-11 10:58:48.2: Algorithm - rehedge - rehedging 40 contracts</t>
  </si>
  <si>
    <t>2015-2-11 10:58:48.3: Algortihm - rehedge - inside the loop</t>
  </si>
  <si>
    <t>2015-2-11 10:58:48.4: Algorithm - rehedge - trying to trade BUT contracts is 40 and direction indicator is -1</t>
  </si>
  <si>
    <t>2015-2-11 10:58:49.220: Algorithm - rehedge - rehedging 40 contracts</t>
  </si>
  <si>
    <t>2015-2-11 10:58:49.222: Algortihm - rehedge - inside the loop</t>
  </si>
  <si>
    <t>2015-2-11 10:58:49.225: Algorithm - rehedge - trying to trade BUT contracts is 40 and direction indicator is -1</t>
  </si>
  <si>
    <t>2015-2-11 10:58:49.439: Algorithm - rehedge - rehedging 40 contracts</t>
  </si>
  <si>
    <t>2015-2-11 10:58:49.439: Algortihm - rehedge - inside the loop</t>
  </si>
  <si>
    <t>2015-2-11 10:58:49.439: Algorithm - rehedge - trying to trade BUT contracts is 40 and direction indicator is -1</t>
  </si>
  <si>
    <t>2015-2-11 10:58:55.510: Algorithm - rehedge - rehedging 40 contracts</t>
  </si>
  <si>
    <t>2015-2-11 10:58:55.511: Algortihm - rehedge - inside the loop</t>
  </si>
  <si>
    <t>2015-2-11 10:58:55.511: Algorithm - rehedge - trying to trade BUT contracts is 40 and direction indicator is -1</t>
  </si>
  <si>
    <t>2015-2-11 10:58:55.531: Algorithm - rehedge - rehedging 40 contracts</t>
  </si>
  <si>
    <t>2015-2-11 10:58:55.531: Algortihm - rehedge - inside the loop</t>
  </si>
  <si>
    <t>2015-2-11 10:58:55.531: Algorithm - rehedge - trying to trade BUT contracts is 40 and direction indicator is -1</t>
  </si>
  <si>
    <t>2015-2-11 10:58:56.202: Algorithm - rehedge - rehedging 40 contracts</t>
  </si>
  <si>
    <t>2015-2-11 10:58:56.202: Algortihm - rehedge - inside the loop</t>
  </si>
  <si>
    <t>2015-2-11 10:58:56.202: OrderManager - PlaceOrder - id 9705 workingQty -25</t>
  </si>
  <si>
    <t>2015-2-11 10:58:56.218: OrderManager - sendOrder - exiting place order id 9705 BUY 5 1.5287  - workingQty -25 currentPosition is 80 workingOrderCount is -2</t>
  </si>
  <si>
    <t>2015-2-11 10:58:56.218: Algorithm - rehedge - placing an order - orderSize is 5 workingQty is -25 working order count -2</t>
  </si>
  <si>
    <t>2015-2-11 10:58:56.723: RTWSControl - nextValidId - entering nextValidId id is 9706</t>
  </si>
  <si>
    <t>2015-2-11 10:58:56.742: openOrderEx - I am here</t>
  </si>
  <si>
    <t>2015-2-11 10:58:56.763: RTWSControl - orderStatus -  entering orderStatus id is 9705 status is Submitted</t>
  </si>
  <si>
    <t>2015-2-11 10:58:56.764: OrderManager - UpdateOrderStatus - id 9705 Setting status to Submitted workingOrderCount is now -2 workingQty -25</t>
  </si>
  <si>
    <t>2015-2-11 10:58:56.766: RTWSControl - OrderStatus - Got OrderStatus Message id:9705 status: Submitted filled: 0</t>
  </si>
  <si>
    <t>2015-2-11 10:58:56.766: RTWSControl - OrderStatus - exiting orderStatus</t>
  </si>
  <si>
    <t>2015-2-11 10:58:57.448: Algorithm - rehedge - rehedging 40 contracts</t>
  </si>
  <si>
    <t>2015-2-11 10:58:57.449: Algorithm - rehedge - Need to place order but already have a working order - workingQty is -25 working order count -2</t>
  </si>
  <si>
    <t>2015-2-11 10:59:6.64: RTWSControl - execDetails -  entering execDetailsEx execution id is 0001f4e5.54da9ba5.01.01 shares/cumQty is 1/1</t>
  </si>
  <si>
    <t>2015-2-11 10:59:6.64: Algorithm - FindNextStrikes - price is 1.52875 nextStrikeUp/Down 1.53/1.525</t>
  </si>
  <si>
    <t>2015-2-11 10:59:6.64: Algorithm - getPortfolioForwardDelta - required deltas is 120 currentHedgePosition is 81</t>
  </si>
  <si>
    <t>2015-2-11 10:59:6.64: Algorithm - getHedgeShortfall - required deltas is 120 price is 1.52885 currentHedgePositionDeltas is 81</t>
  </si>
  <si>
    <t>2015-2-11 10:59:6.64: Algorithm - processTransitionPoint - nextUpper/LowerStrikes are 1.53/1.525 requiredDeltas/currentPosition/currentHedgeShortfall/direction/transitionPrice are 120/81/39/1/1.52885</t>
  </si>
  <si>
    <t>2015-2-11 10:59:6.64: TransitionLogger - processTransitionpoint - checking transition - currentHedgeShortfall is 39</t>
  </si>
  <si>
    <t>2015-2-11 10:59:6.64: OrderManager - updateExecution - got a fill for id 9705 qty 1 side BOT price 1.5287 - new working order size is -26 new instrument.qty is 81</t>
  </si>
  <si>
    <t>0001f4e5.54da9ba5.01.01</t>
  </si>
  <si>
    <t>20150211  10:59:07</t>
  </si>
  <si>
    <t>2015-2-11 10:59:6.80: OrderManagerView - UpdateExecutionView - entering updateExecutionView  executionId is 0001f4e5.54da9ba5.01.01</t>
  </si>
  <si>
    <t>2015-2-11 10:59:6.80: OrderManagerView - updateExecutionView -  exiting UpdateExecutionView</t>
  </si>
  <si>
    <t>2015-2-11 10:59:6.80: RTWSControl - execDetails -  exiting execDetailsEx</t>
  </si>
  <si>
    <t>2015-2-11 10:59:6.80: RTWSControl - execDetails - Got execution Message id:-1</t>
  </si>
  <si>
    <t>2015-2-11 10:59:6.95: openOrderEx - I am here</t>
  </si>
  <si>
    <t>2015-2-11 10:59:6.141: RTWSControl - orderStatus -  entering orderStatus id is 9705 status is Submitted</t>
  </si>
  <si>
    <t>2015-2-11 10:59:6.141: OrderManager - UpdateOrderStatus - id 9705 Setting status to Submitted workingOrderCount is now -2 workingQty -26</t>
  </si>
  <si>
    <t>2015-2-11 10:59:6.144: RTWSControl - OrderStatus - Got OrderStatus Message id:9705 status: Submitted filled: 1</t>
  </si>
  <si>
    <t>2015-2-11 10:59:6.144: RTWSControl - OrderStatus - exiting orderStatus</t>
  </si>
  <si>
    <t>2015-2-11 10:59:6.172: Algorithm - rehedge - rehedging 39 contracts</t>
  </si>
  <si>
    <t>2015-2-11 10:59:6.173: Algorithm - rehedge - Need to place order but already have a working order - workingQty is -26 working order count -2</t>
  </si>
  <si>
    <t>2015-2-11 10:59:6.414: Algorithm - rehedge - rehedging 39 contracts</t>
  </si>
  <si>
    <t>2015-2-11 10:59:6.414: Algorithm - rehedge - Need to place order but already have a working order - workingQty is -26 working order count -2</t>
  </si>
  <si>
    <t>2015-2-11 10:59:6.467: RTWSControl - execDetails -  entering execDetailsEx execution id is 0001f4e5.54da9ba6.01.01 shares/cumQty is 4/5</t>
  </si>
  <si>
    <t>2015-2-11 10:59:6.468: Algorithm - FindNextStrikes - price is 1.52865 nextStrikeUp/Down 1.53/1.525</t>
  </si>
  <si>
    <t>2015-2-11 10:59:6.468: Algorithm - getPortfolioForwardDelta - required deltas is 120 currentHedgePosition is 85</t>
  </si>
  <si>
    <t>2015-2-11 10:59:6.468: Algorithm - getHedgeShortfall - required deltas is 120 price is 1.52875 currentHedgePositionDeltas is 85</t>
  </si>
  <si>
    <t>2015-2-11 10:59:6.469: Algorithm - processTransitionPoint - nextUpper/LowerStrikes are 1.53/1.525 requiredDeltas/currentPosition/currentHedgeShortfall/direction/transitionPrice are 120/85/35/1/1.52875</t>
  </si>
  <si>
    <t>2015-2-11 10:59:6.469: TransitionLogger - processTransitionpoint - checking transition - currentHedgeShortfall is 35</t>
  </si>
  <si>
    <t>2015-2-11 10:59:6.469: OrderManager - updateExecution - got a fill for id 9705 qty 4 side BOT price 1.5287 - new working order size is -30 new instrument.qty is 85</t>
  </si>
  <si>
    <t>0001f4e5.54da9ba6.01.01</t>
  </si>
  <si>
    <t>2015-2-11 10:59:6.472: OrderManagerView - UpdateExecutionView - entering updateExecutionView  executionId is 0001f4e5.54da9ba6.01.01</t>
  </si>
  <si>
    <t>2015-2-11 10:59:6.473: OrderManagerView - updateExecutionView -  exiting UpdateExecutionView</t>
  </si>
  <si>
    <t>2015-2-11 10:59:6.473: RTWSControl - execDetails -  exiting execDetailsEx</t>
  </si>
  <si>
    <t>2015-2-11 10:59:6.473: RTWSControl - execDetails - Got execution Message id:-1</t>
  </si>
  <si>
    <t>2015-2-11 10:59:6.483: openOrderEx - I am here</t>
  </si>
  <si>
    <t>2015-2-11 10:59:6.492: RTWSControl - orderStatus -  entering orderStatus id is 9705 status is Filled</t>
  </si>
  <si>
    <t>2015-2-11 10:59:6.493: OrderManager - UpdateOrderStatus - id 9705 Setting status to Filled workingOrderCount is now -3 workingQty -30</t>
  </si>
  <si>
    <t>2015-2-11 10:59:6.494: OrderManager - terminateOrder - cleaning up after Filled 9705  order was supposed to BUY 5 1.5287 LMT workingQty/OrderCount now -30/-4</t>
  </si>
  <si>
    <t>2015-2-11 10:59:6.495: RTWSControl - OrderStatus - Got OrderStatus Message id:9705 status: Filled filled: 5</t>
  </si>
  <si>
    <t>2015-2-11 10:59:6.495: RTWSControl - OrderStatus - exiting orderStatus</t>
  </si>
  <si>
    <t>2015-2-11 10:59:6.514: openOrderEx - I am here</t>
  </si>
  <si>
    <t>2015-2-11 10:59:6.522: RTWSControl - orderStatus -  entering orderStatus id is 9705 status is Filled</t>
  </si>
  <si>
    <t>2015-2-11 10:59:6.522: OrderManager - UpdateOrderStatus - id 9705 Setting status to Filled workingOrderCount is now -4 workingQty -30</t>
  </si>
  <si>
    <t>2015-2-11 10:59:6.523: OrderManager - terminateOrder - cleaning up after Filled 9705  order was supposed to BUY 5 1.5287 LMT workingQty/OrderCount now -30/-5</t>
  </si>
  <si>
    <t>2015-2-11 10:59:6.525: RTWSControl - OrderStatus - Got OrderStatus Message id:9705 status: Filled filled: 5</t>
  </si>
  <si>
    <t>2015-2-11 10:59:6.525: RTWSControl - OrderStatus - exiting orderStatus</t>
  </si>
  <si>
    <t>2015-2-11 10:59:6.535: openOrderEx - I am here</t>
  </si>
  <si>
    <t>2015-2-11 10:59:6.554: RTWSControl - orderStatus -  entering orderStatus id is 9705 status is Filled</t>
  </si>
  <si>
    <t>2015-2-11 10:59:6.554: OrderManager - UpdateOrderStatus - id 9705 Setting status to Filled workingOrderCount is now -5 workingQty -30</t>
  </si>
  <si>
    <t>2015-2-11 10:59:6.555: OrderManager - terminateOrder - cleaning up after Filled 9705  order was supposed to BUY 5 1.5287 LMT workingQty/OrderCount now -30/-6</t>
  </si>
  <si>
    <t>2015-2-11 10:59:6.556: RTWSControl - OrderStatus - Got OrderStatus Message id:9705 status: Filled filled: 5</t>
  </si>
  <si>
    <t>2015-2-11 10:59:6.556: RTWSControl - OrderStatus - exiting orderStatus</t>
  </si>
  <si>
    <t>2015-2-11 10:59:8.246: Algorithm - FindNextStrikes - price is 1.52865 nextStrikeUp/Down 1.53/1.525</t>
  </si>
  <si>
    <t>2015-2-11 10:59:8.247: Algorithm - getPortfolioForwardDelta - required deltas is 120 currentHedgePosition is 85</t>
  </si>
  <si>
    <t>2015-2-11 10:59:8.248: Algorithm - getHedgeShortfall - required deltas is 120 price is 1.52875 currentHedgePositionDeltas is 85</t>
  </si>
  <si>
    <t>2015-2-11 10:59:8.248: Algorithm - processTransitionPoint - nextUpper/LowerStrikes are 1.53/1.525 requiredDeltas/currentPosition/currentHedgeShortfall/direction/transitionPrice are 120/85/35/1/1.52875</t>
  </si>
  <si>
    <t>2015-2-11 10:59:8.249: TransitionLogger - processTransitionpoint - checking transition - currentHedgeShortfall is 35</t>
  </si>
  <si>
    <t>2015-2-11 10:59:8.249: Algorithm - rehedge - rehedging 35 contracts</t>
  </si>
  <si>
    <t>2015-2-11 10:59:8.249: Algortihm - rehedge - inside the loop</t>
  </si>
  <si>
    <t>2015-2-11 10:59:8.250: OrderManager - PlaceOrder - id 9706 workingQty -25</t>
  </si>
  <si>
    <t>2015-2-11 10:59:8.252: OrderManager - sendOrder - exiting place order id 9706 BUY 5 1.5286  - workingQty -25 currentPosition is 85 workingOrderCount is -5</t>
  </si>
  <si>
    <t>2015-2-11 10:59:8.252: Algorithm - rehedge - placing an order - orderSize is 5 workingQty is -25 working order count -5</t>
  </si>
  <si>
    <t>2015-2-11 10:59:8.253: Algorithm - updatePortfolio - haveAllDetails is True</t>
  </si>
  <si>
    <t>2015-2-11 10:59:8.278: Algorithm - FindNextStrikes - price is 1.52865 nextStrikeUp/Down 1.53/1.525</t>
  </si>
  <si>
    <t>2015-2-11 10:59:8.279: Algorithm - getPortfolioForwardDelta - required deltas is 120 currentHedgePosition is 85</t>
  </si>
  <si>
    <t>2015-2-11 10:59:8.279: Algorithm - getHedgeShortfall - required deltas is 120 price is 1.52875 currentHedgePositionDeltas is 85</t>
  </si>
  <si>
    <t>2015-2-11 10:59:8.280: Algorithm - processTransitionPoint - nextUpper/LowerStrikes are 1.53/1.525 requiredDeltas/currentPosition/currentHedgeShortfall/direction/transitionPrice are 120/85/35/1/1.52875</t>
  </si>
  <si>
    <t>2015-2-11 10:59:8.280: TransitionLogger - processTransitionpoint - checking transition - currentHedgeShortfall is 35</t>
  </si>
  <si>
    <t>2015-2-11 10:59:8.281: Algorithm - rehedge - rehedging 35 contracts</t>
  </si>
  <si>
    <t>2015-2-11 10:59:8.281: Algorithm - rehedge - Need to place order but already have a working order - workingQty is -25 working order count -5</t>
  </si>
  <si>
    <t>2015-2-11 10:59:8.282: Algorithm - updatePortfolio - haveAllDetails is True</t>
  </si>
  <si>
    <t>2015-2-11 10:59:8.320: Algorithm - FindNextStrikes - price is 1.52865 nextStrikeUp/Down 1.53/1.525</t>
  </si>
  <si>
    <t>2015-2-11 10:59:8.321: Algorithm - getPortfolioForwardDelta - required deltas is 120 currentHedgePosition is 85</t>
  </si>
  <si>
    <t>2015-2-11 10:59:8.321: Algorithm - getHedgeShortfall - required deltas is 120 price is 1.52875 currentHedgePositionDeltas is 85</t>
  </si>
  <si>
    <t>2015-2-11 10:59:8.321: Algorithm - processTransitionPoint - nextUpper/LowerStrikes are 1.53/1.525 requiredDeltas/currentPosition/currentHedgeShortfall/direction/transitionPrice are 120/85/35/1/1.52875</t>
  </si>
  <si>
    <t>2015-2-11 10:59:8.322: TransitionLogger - processTransitionpoint - checking transition - currentHedgeShortfall is 35</t>
  </si>
  <si>
    <t>2015-2-11 10:59:8.322: Algorithm - rehedge - rehedging 35 contracts</t>
  </si>
  <si>
    <t>2015-2-11 10:59:8.322: Algorithm - rehedge - Need to place order but already have a working order - workingQty is -25 working order count -5</t>
  </si>
  <si>
    <t>2015-2-11 10:59:8.323: Algorithm - updatePortfolio - haveAllDetails is True</t>
  </si>
  <si>
    <t>2015-2-11 10:59:8.354: Algorithm - FindNextStrikes - price is 1.52865 nextStrikeUp/Down 1.53/1.525</t>
  </si>
  <si>
    <t>2015-2-11 10:59:8.354: Algorithm - getPortfolioForwardDelta - required deltas is 120 currentHedgePosition is 85</t>
  </si>
  <si>
    <t>2015-2-11 10:59:8.355: Algorithm - getHedgeShortfall - required deltas is 120 price is 1.52875 currentHedgePositionDeltas is 85</t>
  </si>
  <si>
    <t>2015-2-11 10:59:8.355: Algorithm - processTransitionPoint - nextUpper/LowerStrikes are 1.53/1.525 requiredDeltas/currentPosition/currentHedgeShortfall/direction/transitionPrice are 120/85/35/1/1.52875</t>
  </si>
  <si>
    <t>2015-2-11 10:59:8.356: TransitionLogger - processTransitionpoint - checking transition - currentHedgeShortfall is 35</t>
  </si>
  <si>
    <t>2015-2-11 10:59:8.356: Algorithm - rehedge - rehedging 35 contracts</t>
  </si>
  <si>
    <t>2015-2-11 10:59:8.356: Algorithm - rehedge - Need to place order but already have a working order - workingQty is -25 working order count -5</t>
  </si>
  <si>
    <t>2015-2-11 10:59:8.358: Algorithm - updatePortfolio - haveAllDetails is True</t>
  </si>
  <si>
    <t>2015-2-11 10:59:8.398: Algorithm - FindNextStrikes - price is 1.52865 nextStrikeUp/Down 1.53/1.525</t>
  </si>
  <si>
    <t>2015-2-11 10:59:8.398: Algorithm - getPortfolioForwardDelta - required deltas is 120 currentHedgePosition is 85</t>
  </si>
  <si>
    <t>2015-2-11 10:59:8.398: Algorithm - getHedgeShortfall - required deltas is 120 price is 1.52875 currentHedgePositionDeltas is 85</t>
  </si>
  <si>
    <t>2015-2-11 10:59:8.399: Algorithm - processTransitionPoint - nextUpper/LowerStrikes are 1.53/1.525 requiredDeltas/currentPosition/currentHedgeShortfall/direction/transitionPrice are 120/85/35/1/1.52875</t>
  </si>
  <si>
    <t>2015-2-11 10:59:8.399: TransitionLogger - processTransitionpoint - checking transition - currentHedgeShortfall is 35</t>
  </si>
  <si>
    <t>2015-2-11 10:59:8.400: Algorithm - rehedge - rehedging 35 contracts</t>
  </si>
  <si>
    <t>2015-2-11 10:59:8.400: Algorithm - rehedge - Need to place order but already have a working order - workingQty is -25 working order count -5</t>
  </si>
  <si>
    <t>2015-2-11 10:59:8.401: Algorithm - updatePortfolio - haveAllDetails is True</t>
  </si>
  <si>
    <t>2015-2-11 10:59:8.438: Algorithm - FindNextStrikes - price is 1.52865 nextStrikeUp/Down 1.53/1.525</t>
  </si>
  <si>
    <t>2015-2-11 10:59:8.438: Algorithm - getPortfolioForwardDelta - required deltas is 120 currentHedgePosition is 85</t>
  </si>
  <si>
    <t>2015-2-11 10:59:8.439: Algorithm - getHedgeShortfall - required deltas is 120 price is 1.52875 currentHedgePositionDeltas is 85</t>
  </si>
  <si>
    <t>2015-2-11 10:59:8.439: Algorithm - processTransitionPoint - nextUpper/LowerStrikes are 1.53/1.525 requiredDeltas/currentPosition/currentHedgeShortfall/direction/transitionPrice are 120/85/35/1/1.52875</t>
  </si>
  <si>
    <t>2015-2-11 10:59:8.440: TransitionLogger - processTransitionpoint - checking transition - currentHedgeShortfall is 35</t>
  </si>
  <si>
    <t>2015-2-11 10:59:8.440: Algorithm - rehedge - rehedging 35 contracts</t>
  </si>
  <si>
    <t>2015-2-11 10:59:8.440: Algorithm - rehedge - Need to place order but already have a working order - workingQty is -25 working order count -5</t>
  </si>
  <si>
    <t>2015-2-11 10:59:8.442: Algorithm - updatePortfolio - haveAllDetails is True</t>
  </si>
  <si>
    <t>2015-2-11 10:59:8.464: Algorithm - FindNextStrikes - price is 1.52865 nextStrikeUp/Down 1.53/1.525</t>
  </si>
  <si>
    <t>2015-2-11 10:59:8.464: Algorithm - getPortfolioForwardDelta - required deltas is 120 currentHedgePosition is 85</t>
  </si>
  <si>
    <t>2015-2-11 10:59:8.464: Algorithm - getHedgeShortfall - required deltas is 120 price is 1.52875 currentHedgePositionDeltas is 85</t>
  </si>
  <si>
    <t>2015-2-11 10:59:8.464: Algorithm - processTransitionPoint - nextUpper/LowerStrikes are 1.53/1.525 requiredDeltas/currentPosition/currentHedgeShortfall/direction/transitionPrice are 120/85/35/1/1.52875</t>
  </si>
  <si>
    <t>2015-2-11 10:59:8.464: TransitionLogger - processTransitionpoint - checking transition - currentHedgeShortfall is 35</t>
  </si>
  <si>
    <t>2015-2-11 10:59:8.464: Algorithm - rehedge - rehedging 35 contracts</t>
  </si>
  <si>
    <t>2015-2-11 10:59:8.464: Algorithm - rehedge - Need to place order but already have a working order - workingQty is -25 working order count -5</t>
  </si>
  <si>
    <t>2015-2-11 10:59:8.464: Algorithm - updatePortfolio - haveAllDetails is True</t>
  </si>
  <si>
    <t>2015-2-11 10:59:8.528: Algorithm - FindNextStrikes - price is 1.52865 nextStrikeUp/Down 1.53/1.525</t>
  </si>
  <si>
    <t>2015-2-11 10:59:8.528: Algorithm - getPortfolioForwardDelta - required deltas is 120 currentHedgePosition is 85</t>
  </si>
  <si>
    <t>2015-2-11 10:59:8.528: Algorithm - getHedgeShortfall - required deltas is 120 price is 1.52875 currentHedgePositionDeltas is 85</t>
  </si>
  <si>
    <t>2015-2-11 10:59:8.528: Algorithm - processTransitionPoint - nextUpper/LowerStrikes are 1.53/1.525 requiredDeltas/currentPosition/currentHedgeShortfall/direction/transitionPrice are 120/85/35/1/1.52875</t>
  </si>
  <si>
    <t>2015-2-11 10:59:8.528: TransitionLogger - processTransitionpoint - checking transition - currentHedgeShortfall is 35</t>
  </si>
  <si>
    <t>2015-2-11 10:59:8.528: Algorithm - rehedge - rehedging 35 contracts</t>
  </si>
  <si>
    <t>2015-2-11 10:59:8.528: Algorithm - rehedge - Need to place order but already have a working order - workingQty is -25 working order count -5</t>
  </si>
  <si>
    <t>2015-2-11 10:59:8.528: Algorithm - updatePortfolio - haveAllDetails is True</t>
  </si>
  <si>
    <t>2015-2-11 10:59:8.559: Algorithm - FindNextStrikes - price is 1.52865 nextStrikeUp/Down 1.53/1.525</t>
  </si>
  <si>
    <t>2015-2-11 10:59:8.559: Algorithm - getPortfolioForwardDelta - required deltas is 120 currentHedgePosition is 85</t>
  </si>
  <si>
    <t>2015-2-11 10:59:8.559: Algorithm - getHedgeShortfall - required deltas is 120 price is 1.52875 currentHedgePositionDeltas is 85</t>
  </si>
  <si>
    <t>2015-2-11 10:59:8.559: Algorithm - processTransitionPoint - nextUpper/LowerStrikes are 1.53/1.525 requiredDeltas/currentPosition/currentHedgeShortfall/direction/transitionPrice are 120/85/35/1/1.52875</t>
  </si>
  <si>
    <t>2015-2-11 10:59:8.559: TransitionLogger - processTransitionpoint - checking transition - currentHedgeShortfall is 35</t>
  </si>
  <si>
    <t>2015-2-11 10:59:8.559: Algorithm - rehedge - rehedging 35 contracts</t>
  </si>
  <si>
    <t>2015-2-11 10:59:8.559: Algorithm - rehedge - Need to place order but already have a working order - workingQty is -25 working order count -5</t>
  </si>
  <si>
    <t>2015-2-11 10:59:8.559: Algorithm - updatePortfolio - haveAllDetails is True</t>
  </si>
  <si>
    <t>2015-2-11 10:59:8.590: Algorithm - FindNextStrikes - price is 1.52865 nextStrikeUp/Down 1.53/1.525</t>
  </si>
  <si>
    <t>2015-2-11 10:59:8.590: Algorithm - getPortfolioForwardDelta - required deltas is 120 currentHedgePosition is 85</t>
  </si>
  <si>
    <t>2015-2-11 10:59:8.590: Algorithm - getHedgeShortfall - required deltas is 120 price is 1.52875 currentHedgePositionDeltas is 85</t>
  </si>
  <si>
    <t>2015-2-11 10:59:8.590: Algorithm - processTransitionPoint - nextUpper/LowerStrikes are 1.53/1.525 requiredDeltas/currentPosition/currentHedgeShortfall/direction/transitionPrice are 120/85/35/1/1.52875</t>
  </si>
  <si>
    <t>2015-2-11 10:59:8.590: TransitionLogger - processTransitionpoint - checking transition - currentHedgeShortfall is 35</t>
  </si>
  <si>
    <t>2015-2-11 10:59:8.590: Algorithm - rehedge - rehedging 35 contracts</t>
  </si>
  <si>
    <t>2015-2-11 10:59:8.590: Algorithm - rehedge - Need to place order but already have a working order - workingQty is -25 working order count -5</t>
  </si>
  <si>
    <t>2015-2-11 10:59:8.590: Algorithm - updatePortfolio - haveAllDetails is True</t>
  </si>
  <si>
    <t>2015-2-11 10:59:8.631: RTWSControl - nextValidId - entering nextValidId id is 9707</t>
  </si>
  <si>
    <t>2015-2-11 10:59:8.646: openOrderEx - I am here</t>
  </si>
  <si>
    <t>2015-2-11 10:59:8.676: RTWSControl - orderStatus -  entering orderStatus id is 9706 status is Submitted</t>
  </si>
  <si>
    <t>2015-2-11 10:59:8.677: OrderManager - UpdateOrderStatus - id 9706 Setting status to Submitted workingOrderCount is now -5 workingQty -25</t>
  </si>
  <si>
    <t>2015-2-11 10:59:8.679: RTWSControl - OrderStatus - Got OrderStatus Message id:9706 status: Submitted filled: 0</t>
  </si>
  <si>
    <t>2015-2-11 10:59:8.679: RTWSControl - OrderStatus - exiting orderStatus</t>
  </si>
  <si>
    <t>2015-2-11 10:59:21.182: Algorithm - rehedge - rehedging 35 contracts</t>
  </si>
  <si>
    <t>2015-2-11 10:59:21.183: Algorithm - rehedge - Need to place order but already have a working order - workingQty is -25 working order count -5</t>
  </si>
  <si>
    <t>2015-2-11 10:59:21.950: OrderManager - cancelOrder - cancelling order id 9706</t>
  </si>
  <si>
    <t>2015-2-11 10:59:21.951: Algorithm - checkWorkingOrders - cancelling BUY - orderPrice 1.5286 too far from marketPrice 1.52875</t>
  </si>
  <si>
    <t>2015-2-11 10:59:21.951: Algorithm - rehedge - rehedging 35 contracts</t>
  </si>
  <si>
    <t>2015-2-11 10:59:21.952: Algorithm - rehedge - Need to place order but already have a working order - workingQty is -25 working order count -5</t>
  </si>
  <si>
    <t>2015-2-11 10:59:21.954: OrderManager - cancelOrder - cancelling order id 9702</t>
  </si>
  <si>
    <t>2015-2-11 10:59:21.954: OrderManager - PlaceOrder - id 9707 workingQty -8</t>
  </si>
  <si>
    <t>2015-2-11 10:59:21.956: OrderManager - sendOrder - exiting place order id 9707 BUY 17 1.5337  - workingQty -8 currentPosition is 85 workingOrderCount is -4</t>
  </si>
  <si>
    <t>2015-2-11 10:59:22.63: Algorithm - rehedge - rehedging 35 contracts</t>
  </si>
  <si>
    <t>2015-2-11 10:59:22.63: Algorithm - rehedge - Need to place order but already have a working order - workingQty is -8 working order count -4</t>
  </si>
  <si>
    <t>2015-2-11 10:59:22.110: RTWSControl - nextValidId - entering nextValidId id is 9708</t>
  </si>
  <si>
    <t>2015-2-11 10:59:23.177: RTWSControl - orderStatus -  entering orderStatus id is 9706 status is Cancelled</t>
  </si>
  <si>
    <t>2015-2-11 10:59:23.177: OrderManager - UpdateOrderStatus - id 9706 Setting status to Cancelled workingOrderCount is now -4 workingQty -8</t>
  </si>
  <si>
    <t>2015-2-11 10:59:23.179: RTWSControl - OrderStatus - Got OrderStatus Message id:9706 status: Cancelled filled: 0</t>
  </si>
  <si>
    <t>2015-2-11 10:59:23.180: RTWSControl - OrderStatus - exiting orderStatus</t>
  </si>
  <si>
    <t>2015-2-11 10:59:23.187: RTWSControl - errMsg - got error message 202:Order Canceled - reason:with id 9706</t>
  </si>
  <si>
    <t>2015-2-11 10:59:23.187: OrderManager - canceledOrder - cleaning up after canceled order 9706BEWARE UNACCOUNTED FOR EXECUTIONS!!!</t>
  </si>
  <si>
    <t>2015-2-11 10:59:23.188: OrderManager - terminateOrder - cleaning up after Canceled 9706  order was supposed to BUY 5 1.5286 LMT workingQty/OrderCount now -13/-5</t>
  </si>
  <si>
    <t>2015-2-11 10:59:23.195: RTWSControl - orderStatus -  entering orderStatus id is 9702 status is Cancelled</t>
  </si>
  <si>
    <t>2015-2-11 10:59:23.195: OrderManager - UpdateOrderStatus - id 9702 Setting status to Cancelled workingOrderCount is now -5 workingQty -13</t>
  </si>
  <si>
    <t>2015-2-11 10:59:23.198: RTWSControl - OrderStatus - Got OrderStatus Message id:9702 status: Cancelled filled: 0</t>
  </si>
  <si>
    <t>2015-2-11 10:59:23.198: RTWSControl - OrderStatus - exiting orderStatus</t>
  </si>
  <si>
    <t>2015-2-11 10:59:23.218: RTWSControl - errMsg - got error message 202:Order Canceled - reason:with id 9702</t>
  </si>
  <si>
    <t>2015-2-11 10:59:23.219: OrderManager - canceledOrder - cleaning up after canceled order 9702BEWARE UNACCOUNTED FOR EXECUTIONS!!!</t>
  </si>
  <si>
    <t>2015-2-11 10:59:23.219: OrderManager - terminateOrder - cleaning up after Canceled 9702  order was supposed to BUY 15 1.5312 STP LMT workingQty/OrderCount now -28/-6</t>
  </si>
  <si>
    <t>2015-2-11 10:59:23.230: openOrderEx - I am here</t>
  </si>
  <si>
    <t>2015-2-11 10:59:23.240: RTWSControl - orderStatus -  entering orderStatus id is 9707 status is PreSubmitted</t>
  </si>
  <si>
    <t>2015-2-11 10:59:23.240: OrderManager - UpdateOrderStatus - id 9707 Setting status to PreSubmitted workingOrderCount is now -6 workingQty -28</t>
  </si>
  <si>
    <t>2015-2-11 10:59:23.243: RTWSControl - OrderStatus - Got OrderStatus Message id:9707 status: PreSubmitted filled: 0</t>
  </si>
  <si>
    <t>2015-2-11 10:59:23.243: RTWSControl - OrderStatus - exiting orderStatus</t>
  </si>
  <si>
    <t>2015-2-11 10:59:23.262: Algorithm - FindNextStrikes - price is 1.5287 nextStrikeUp/Down 1.53/1.525</t>
  </si>
  <si>
    <t>2015-2-11 10:59:23.263: Algorithm - getPortfolioForwardDelta - required deltas is 120 currentHedgePosition is 85</t>
  </si>
  <si>
    <t>2015-2-11 10:59:23.263: Algorithm - getHedgeShortfall - required deltas is 120 price is 1.5288 currentHedgePositionDeltas is 85</t>
  </si>
  <si>
    <t>2015-2-11 10:59:23.263: Algorithm - processTransitionPoint - nextUpper/LowerStrikes are 1.53/1.525 requiredDeltas/currentPosition/currentHedgeShortfall/direction/transitionPrice are 120/85/35/1/1.5288</t>
  </si>
  <si>
    <t>2015-2-11 10:59:23.264: TransitionLogger - processTransitionpoint - checking transition - currentHedgeShortfall is 35</t>
  </si>
  <si>
    <t>2015-2-11 10:59:23.264: Algorithm - rehedge - rehedging 35 contracts</t>
  </si>
  <si>
    <t>2015-2-11 10:59:23.265: Algortihm - rehedge - inside the loop</t>
  </si>
  <si>
    <t>2015-2-11 10:59:23.265: OrderManager - PlaceOrder - id 9708 workingQty -23</t>
  </si>
  <si>
    <t>2015-2-11 10:59:23.268: OrderManager - sendOrder - exiting place order id 9708 BUY 5 1.5287  - workingQty -23 currentPosition is 85 workingOrderCount is -5</t>
  </si>
  <si>
    <t>2015-2-11 10:59:23.269: Algorithm - rehedge - placing an order - orderSize is 5 workingQty is -23 working order count -5</t>
  </si>
  <si>
    <t>2015-2-11 10:59:23.270: Algorithm - updatePortfolio - haveAllDetails is True</t>
  </si>
  <si>
    <t>2015-2-11 10:59:23.290: Algorithm - FindNextStrikes - price is 1.5287 nextStrikeUp/Down 1.53/1.525</t>
  </si>
  <si>
    <t>2015-2-11 10:59:23.291: Algorithm - getPortfolioForwardDelta - required deltas is 120 currentHedgePosition is 85</t>
  </si>
  <si>
    <t>2015-2-11 10:59:23.291: Algorithm - getHedgeShortfall - required deltas is 120 price is 1.5288 currentHedgePositionDeltas is 85</t>
  </si>
  <si>
    <t>2015-2-11 10:59:23.292: Algorithm - processTransitionPoint - nextUpper/LowerStrikes are 1.53/1.525 requiredDeltas/currentPosition/currentHedgeShortfall/direction/transitionPrice are 120/85/35/1/1.5288</t>
  </si>
  <si>
    <t>2015-2-11 10:59:23.293: TransitionLogger - processTransitionpoint - checking transition - currentHedgeShortfall is 35</t>
  </si>
  <si>
    <t>2015-2-11 10:59:23.293: Algorithm - rehedge - rehedging 35 contracts</t>
  </si>
  <si>
    <t>2015-2-11 10:59:23.293: Algorithm - rehedge - Need to place order but already have a working order - workingQty is -23 working order count -5</t>
  </si>
  <si>
    <t>2015-2-11 10:59:23.294: Algorithm - updatePortfolio - haveAllDetails is True</t>
  </si>
  <si>
    <t>2015-2-11 10:59:23.329: Algorithm - FindNextStrikes - price is 1.5287 nextStrikeUp/Down 1.53/1.525</t>
  </si>
  <si>
    <t>2015-2-11 10:59:23.329: Algorithm - getPortfolioForwardDelta - required deltas is 120 currentHedgePosition is 85</t>
  </si>
  <si>
    <t>2015-2-11 10:59:23.330: Algorithm - getHedgeShortfall - required deltas is 120 price is 1.5288 currentHedgePositionDeltas is 85</t>
  </si>
  <si>
    <t>2015-2-11 10:59:23.330: Algorithm - processTransitionPoint - nextUpper/LowerStrikes are 1.53/1.525 requiredDeltas/currentPosition/currentHedgeShortfall/direction/transitionPrice are 120/85/35/1/1.5288</t>
  </si>
  <si>
    <t>2015-2-11 10:59:23.331: TransitionLogger - processTransitionpoint - checking transition - currentHedgeShortfall is 35</t>
  </si>
  <si>
    <t>2015-2-11 10:59:23.331: Algorithm - rehedge - rehedging 35 contracts</t>
  </si>
  <si>
    <t>2015-2-11 10:59:23.331: Algorithm - rehedge - Need to place order but already have a working order - workingQty is -23 working order count -5</t>
  </si>
  <si>
    <t>2015-2-11 10:59:23.332: Algorithm - updatePortfolio - haveAllDetails is True</t>
  </si>
  <si>
    <t>2015-2-11 10:59:23.364: Algorithm - FindNextStrikes - price is 1.5287 nextStrikeUp/Down 1.53/1.525</t>
  </si>
  <si>
    <t>2015-2-11 10:59:23.364: Algorithm - getPortfolioForwardDelta - required deltas is 120 currentHedgePosition is 85</t>
  </si>
  <si>
    <t>2015-2-11 10:59:23.364: Algorithm - getHedgeShortfall - required deltas is 120 price is 1.5288 currentHedgePositionDeltas is 85</t>
  </si>
  <si>
    <t>2015-2-11 10:59:23.365: Algorithm - processTransitionPoint - nextUpper/LowerStrikes are 1.53/1.525 requiredDeltas/currentPosition/currentHedgeShortfall/direction/transitionPrice are 120/85/35/1/1.5288</t>
  </si>
  <si>
    <t>2015-2-11 10:59:23.366: TransitionLogger - processTransitionpoint - checking transition - currentHedgeShortfall is 35</t>
  </si>
  <si>
    <t>2015-2-11 10:59:23.366: Algorithm - rehedge - rehedging 35 contracts</t>
  </si>
  <si>
    <t>2015-2-11 10:59:23.366: Algorithm - rehedge - Need to place order but already have a working order - workingQty is -23 working order count -5</t>
  </si>
  <si>
    <t>2015-2-11 10:59:23.367: Algorithm - updatePortfolio - haveAllDetails is True</t>
  </si>
  <si>
    <t>2015-2-11 10:59:23.406: Algorithm - FindNextStrikes - price is 1.5287 nextStrikeUp/Down 1.53/1.525</t>
  </si>
  <si>
    <t>2015-2-11 10:59:23.407: Algorithm - getPortfolioForwardDelta - required deltas is 120 currentHedgePosition is 85</t>
  </si>
  <si>
    <t>2015-2-11 10:59:23.407: Algorithm - getHedgeShortfall - required deltas is 120 price is 1.5288 currentHedgePositionDeltas is 85</t>
  </si>
  <si>
    <t>2015-2-11 10:59:23.408: Algorithm - processTransitionPoint - nextUpper/LowerStrikes are 1.53/1.525 requiredDeltas/currentPosition/currentHedgeShortfall/direction/transitionPrice are 120/85/35/1/1.5288</t>
  </si>
  <si>
    <t>2015-2-11 10:59:23.408: TransitionLogger - processTransitionpoint - checking transition - currentHedgeShortfall is 35</t>
  </si>
  <si>
    <t>2015-2-11 10:59:23.408: Algorithm - rehedge - rehedging 35 contracts</t>
  </si>
  <si>
    <t>2015-2-11 10:59:23.409: Algorithm - rehedge - Need to place order but already have a working order - workingQty is -23 working order count -5</t>
  </si>
  <si>
    <t>2015-2-11 10:59:23.410: Algorithm - updatePortfolio - haveAllDetails is True</t>
  </si>
  <si>
    <t>2015-2-11 10:59:23.454: Algorithm - FindNextStrikes - price is 1.5287 nextStrikeUp/Down 1.53/1.525</t>
  </si>
  <si>
    <t>2015-2-11 10:59:23.454: Algorithm - getPortfolioForwardDelta - required deltas is 120 currentHedgePosition is 85</t>
  </si>
  <si>
    <t>2015-2-11 10:59:23.454: Algorithm - getHedgeShortfall - required deltas is 120 price is 1.5288 currentHedgePositionDeltas is 85</t>
  </si>
  <si>
    <t>2015-2-11 10:59:23.455: Algorithm - processTransitionPoint - nextUpper/LowerStrikes are 1.53/1.525 requiredDeltas/currentPosition/currentHedgeShortfall/direction/transitionPrice are 120/85/35/1/1.5288</t>
  </si>
  <si>
    <t>2015-2-11 10:59:23.456: TransitionLogger - processTransitionpoint - checking transition - currentHedgeShortfall is 35</t>
  </si>
  <si>
    <t>2015-2-11 10:59:23.456: Algorithm - rehedge - rehedging 35 contracts</t>
  </si>
  <si>
    <t>2015-2-11 10:59:23.456: Algorithm - rehedge - Need to place order but already have a working order - workingQty is -23 working order count -5</t>
  </si>
  <si>
    <t>2015-2-11 10:59:23.457: Algorithm - updatePortfolio - haveAllDetails is True</t>
  </si>
  <si>
    <t>2015-2-11 10:59:23.491: Algorithm - FindNextStrikes - price is 1.5287 nextStrikeUp/Down 1.53/1.525</t>
  </si>
  <si>
    <t>2015-2-11 10:59:23.492: Algorithm - getPortfolioForwardDelta - required deltas is 120 currentHedgePosition is 85</t>
  </si>
  <si>
    <t>2015-2-11 10:59:23.492: Algorithm - getHedgeShortfall - required deltas is 120 price is 1.5288 currentHedgePositionDeltas is 85</t>
  </si>
  <si>
    <t>2015-2-11 10:59:23.493: Algorithm - processTransitionPoint - nextUpper/LowerStrikes are 1.53/1.525 requiredDeltas/currentPosition/currentHedgeShortfall/direction/transitionPrice are 120/85/35/1/1.5288</t>
  </si>
  <si>
    <t>2015-2-11 10:59:23.493: TransitionLogger - processTransitionpoint - checking transition - currentHedgeShortfall is 35</t>
  </si>
  <si>
    <t>2015-2-11 10:59:23.494: Algorithm - rehedge - rehedging 35 contracts</t>
  </si>
  <si>
    <t>2015-2-11 10:59:23.494: Algorithm - rehedge - Need to place order but already have a working order - workingQty is -23 working order count -5</t>
  </si>
  <si>
    <t>2015-2-11 10:59:23.495: Algorithm - updatePortfolio - haveAllDetails is True</t>
  </si>
  <si>
    <t>2015-2-11 10:59:23.534: Algorithm - FindNextStrikes - price is 1.5287 nextStrikeUp/Down 1.53/1.525</t>
  </si>
  <si>
    <t>2015-2-11 10:59:23.534: Algorithm - getPortfolioForwardDelta - required deltas is 120 currentHedgePosition is 85</t>
  </si>
  <si>
    <t>2015-2-11 10:59:23.534: Algorithm - getHedgeShortfall - required deltas is 120 price is 1.5288 currentHedgePositionDeltas is 85</t>
  </si>
  <si>
    <t>2015-2-11 10:59:23.535: Algorithm - processTransitionPoint - nextUpper/LowerStrikes are 1.53/1.525 requiredDeltas/currentPosition/currentHedgeShortfall/direction/transitionPrice are 120/85/35/1/1.5288</t>
  </si>
  <si>
    <t>2015-2-11 10:59:23.536: TransitionLogger - processTransitionpoint - checking transition - currentHedgeShortfall is 35</t>
  </si>
  <si>
    <t>2015-2-11 10:59:23.536: Algorithm - rehedge - rehedging 35 contracts</t>
  </si>
  <si>
    <t>2015-2-11 10:59:23.536: Algorithm - rehedge - Need to place order but already have a working order - workingQty is -23 working order count -5</t>
  </si>
  <si>
    <t>2015-2-11 10:59:23.537: Algorithm - updatePortfolio - haveAllDetails is True</t>
  </si>
  <si>
    <t>2015-2-11 10:59:23.571: Algorithm - FindNextStrikes - price is 1.5287 nextStrikeUp/Down 1.53/1.525</t>
  </si>
  <si>
    <t>2015-2-11 10:59:23.571: Algorithm - getPortfolioForwardDelta - required deltas is 120 currentHedgePosition is 85</t>
  </si>
  <si>
    <t>2015-2-11 10:59:23.571: Algorithm - getHedgeShortfall - required deltas is 120 price is 1.5288 currentHedgePositionDeltas is 85</t>
  </si>
  <si>
    <t>2015-2-11 10:59:23.572: Algorithm - processTransitionPoint - nextUpper/LowerStrikes are 1.53/1.525 requiredDeltas/currentPosition/currentHedgeShortfall/direction/transitionPrice are 120/85/35/1/1.5288</t>
  </si>
  <si>
    <t>2015-2-11 10:59:23.573: TransitionLogger - processTransitionpoint - checking transition - currentHedgeShortfall is 35</t>
  </si>
  <si>
    <t>2015-2-11 10:59:23.573: Algorithm - rehedge - rehedging 35 contracts</t>
  </si>
  <si>
    <t>2015-2-11 10:59:23.573: Algorithm - rehedge - Need to place order but already have a working order - workingQty is -23 working order count -5</t>
  </si>
  <si>
    <t>2015-2-11 10:59:23.574: Algorithm - updatePortfolio - haveAllDetails is True</t>
  </si>
  <si>
    <t>2015-2-11 10:59:23.612: Algorithm - FindNextStrikes - price is 1.5287 nextStrikeUp/Down 1.53/1.525</t>
  </si>
  <si>
    <t>2015-2-11 10:59:23.612: Algorithm - getPortfolioForwardDelta - required deltas is 120 currentHedgePosition is 85</t>
  </si>
  <si>
    <t>2015-2-11 10:59:23.612: Algorithm - getHedgeShortfall - required deltas is 120 price is 1.5288 currentHedgePositionDeltas is 85</t>
  </si>
  <si>
    <t>2015-2-11 10:59:23.613: Algorithm - processTransitionPoint - nextUpper/LowerStrikes are 1.53/1.525 requiredDeltas/currentPosition/currentHedgeShortfall/direction/transitionPrice are 120/85/35/1/1.5288</t>
  </si>
  <si>
    <t>2015-2-11 10:59:23.614: TransitionLogger - processTransitionpoint - checking transition - currentHedgeShortfall is 35</t>
  </si>
  <si>
    <t>2015-2-11 10:59:23.614: Algorithm - rehedge - rehedging 35 contracts</t>
  </si>
  <si>
    <t>2015-2-11 10:59:23.614: Algorithm - rehedge - Need to place order but already have a working order - workingQty is -23 working order count -5</t>
  </si>
  <si>
    <t>2015-2-11 10:59:23.615: Algorithm - updatePortfolio - haveAllDetails is True</t>
  </si>
  <si>
    <t>2015-2-11 10:59:24.316: Algorithm - rehedge - rehedging 35 contracts</t>
  </si>
  <si>
    <t>2015-2-11 10:59:24.316: Algorithm - rehedge - Need to place order but already have a working order - workingQty is -23 working order count -5</t>
  </si>
  <si>
    <t>2015-2-11 10:59:24.318: OrderManager - cancelOrder - cancelling order id 9703</t>
  </si>
  <si>
    <t>2015-2-11 10:59:24.319: OrderManager - createOrder - exiting without creating order - did not have validID</t>
  </si>
  <si>
    <t>2015-2-11 10:59:24.384: Algorithm - rehedge - rehedging 35 contracts</t>
  </si>
  <si>
    <t>2015-2-11 10:59:24.385: Algorithm - rehedge - Need to place order but already have a working order - workingQty is -23 working order count -5</t>
  </si>
  <si>
    <t>2015-2-11 10:59:24.387: OrderManager - createOrder - exiting without creating order - did not have validID</t>
  </si>
  <si>
    <t>2015-2-11 10:59:24.451: Algorithm - rehedge - rehedging 35 contracts</t>
  </si>
  <si>
    <t>2015-2-11 10:59:24.452: Algorithm - rehedge - Need to place order but already have a working order - workingQty is -23 working order count -5</t>
  </si>
  <si>
    <t>2015-2-11 10:59:24.454: OrderManager - createOrder - exiting without creating order - did not have validID</t>
  </si>
  <si>
    <t>2015-2-11 10:59:24.513: Algorithm - rehedge - rehedging 35 contracts</t>
  </si>
  <si>
    <t>2015-2-11 10:59:24.513: Algorithm - rehedge - Need to place order but already have a working order - workingQty is -23 working order count -5</t>
  </si>
  <si>
    <t>2015-2-11 10:59:24.515: OrderManager - createOrder - exiting without creating order - did not have validID</t>
  </si>
  <si>
    <t>2015-2-11 10:59:24.572: RTWSControl - nextValidId - entering nextValidId id is 9709</t>
  </si>
  <si>
    <t>2015-2-11 10:59:24.594: Algorithm - rehedge - rehedging 35 contracts</t>
  </si>
  <si>
    <t>2015-2-11 10:59:24.595: Algorithm - rehedge - Need to place order but already have a working order - workingQty is -23 working order count -5</t>
  </si>
  <si>
    <t>2015-2-11 10:59:24.597: OrderManager - PlaceOrder - id 9709 workingQty -41</t>
  </si>
  <si>
    <t>2015-2-11 10:59:24.597: OrderManagerView - findNextOORow - there are no available OpenOrderView Rows!!!!!!</t>
  </si>
  <si>
    <t>2015-2-11 10:59:24.598: OrderManager - sendOrder - exiting place order id 9709 SELL 18 1.5267  - workingQty -41 currentPosition is 85 workingOrderCount is -4</t>
  </si>
  <si>
    <t>2015-2-11 10:59:24.644: openOrderEx - I am here</t>
  </si>
  <si>
    <t>2015-2-11 10:59:24.654: RTWSControl - orderStatus -  entering orderStatus id is 9708 status is Submitted</t>
  </si>
  <si>
    <t>2015-2-11 10:59:24.655: OrderManager - UpdateOrderStatus - id 9708 Setting status to Submitted workingOrderCount is now -4 workingQty -41</t>
  </si>
  <si>
    <t>2015-2-11 10:59:24.658: RTWSControl - OrderStatus - Got OrderStatus Message id:9708 status: Submitted filled: 0</t>
  </si>
  <si>
    <t>2015-2-11 10:59:24.659: RTWSControl - OrderStatus - exiting orderStatus</t>
  </si>
  <si>
    <t>2015-2-11 10:59:24.861: RTWSControl - orderStatus -  entering orderStatus id is 9703 status is Cancelled</t>
  </si>
  <si>
    <t>2015-2-11 10:59:24.862: OrderManager - UpdateOrderStatus - id 9703 Setting status to Cancelled workingOrderCount is now -4 workingQty -41</t>
  </si>
  <si>
    <t>2015-2-11 10:59:24.864: RTWSControl - OrderStatus - Got OrderStatus Message id:9703 status: Cancelled filled: 0</t>
  </si>
  <si>
    <t>2015-2-11 10:59:24.864: RTWSControl - OrderStatus - exiting orderStatus</t>
  </si>
  <si>
    <t>2015-2-11 10:59:24.872: RTWSControl - errMsg - got error message 202:Order Canceled - reason:with id 9703</t>
  </si>
  <si>
    <t>2015-2-11 10:59:24.872: OrderManager - canceledOrder - cleaning up after canceled order 9703BEWARE UNACCOUNTED FOR EXECUTIONS!!!</t>
  </si>
  <si>
    <t>2015-2-11 10:59:24.873: OrderManager - terminateOrder - cleaning up after Canceled 9703  order was supposed to SELL 15 1.5249 STP LMT workingQty/OrderCount now -56/-5</t>
  </si>
  <si>
    <t>2015-2-11 10:59:25.149: RTWSControl - nextValidId - entering nextValidId id is 9710</t>
  </si>
  <si>
    <t>2015-2-11 10:59:25.158: openOrderEx - I am here</t>
  </si>
  <si>
    <t>2015-2-11 10:59:25.175: RTWSControl - orderStatus -  entering orderStatus id is 9709 status is PreSubmitted</t>
  </si>
  <si>
    <t>2015-2-11 10:59:25.175: OrderManager - UpdateOrderStatus - id 9709 Setting status to PreSubmitted workingOrderCount is now -5 workingQty -56</t>
  </si>
  <si>
    <t>2015-2-11 10:59:25.177: RTWSControl - OrderStatus - Got OrderStatus Message id:9709 status: PreSubmitted filled: 0</t>
  </si>
  <si>
    <t>2015-2-11 10:59:25.178: RTWSControl - OrderStatus - exiting orderStatus</t>
  </si>
  <si>
    <t>2015-2-11 10:59:26.23: RTWSControl - execDetails -  entering execDetailsEx execution id is 0001f4e5.54da9bac.01.01 shares/cumQty is 3/3</t>
  </si>
  <si>
    <t>2015-2-11 10:59:26.26: Algorithm - FindNextStrikes - price is 1.52875 nextStrikeUp/Down 1.53/1.525</t>
  </si>
  <si>
    <t>2015-2-11 10:59:26.27: Algorithm - getPortfolioForwardDelta - required deltas is 120 currentHedgePosition is 88</t>
  </si>
  <si>
    <t>2015-2-11 10:59:26.29: Algorithm - getHedgeShortfall - required deltas is 120 price is 1.52885 currentHedgePositionDeltas is 88</t>
  </si>
  <si>
    <t>2015-2-11 10:59:26.32: Algorithm - processTransitionPoint - nextUpper/LowerStrikes are 1.53/1.525 requiredDeltas/currentPosition/currentHedgeShortfall/direction/transitionPrice are 120/88/32/1/1.52885</t>
  </si>
  <si>
    <t>2015-2-11 10:59:26.34: TransitionLogger - processTransitionpoint - checking transition - currentHedgeShortfall is 32</t>
  </si>
  <si>
    <t>2015-2-11 10:59:26.35: OrderManager - updateExecution - got a fill for id 9708 qty 3 side BOT price 1.5287 - new working order size is -59 new instrument.qty is 88</t>
  </si>
  <si>
    <t>0001f4e5.54da9bac.01.01</t>
  </si>
  <si>
    <t>20150211  10:59:27</t>
  </si>
  <si>
    <t>2015-2-11 10:59:26.43: OrderManagerView - UpdateExecutionView - entering updateExecutionView  executionId is 0001f4e5.54da9bac.01.01</t>
  </si>
  <si>
    <t>2015-2-11 10:59:26.45: OrderManagerView - updateExecutionView -  exiting UpdateExecutionView</t>
  </si>
  <si>
    <t>2015-2-11 10:59:26.46: RTWSControl - execDetails -  exiting execDetailsEx</t>
  </si>
  <si>
    <t>2015-2-11 10:59:26.46: RTWSControl - execDetails - Got execution Message id:-1</t>
  </si>
  <si>
    <t>2015-2-11 10:59:26.64: openOrderEx - I am here</t>
  </si>
  <si>
    <t>2015-2-11 10:59:26.85: RTWSControl - orderStatus -  entering orderStatus id is 9708 status is Submitted</t>
  </si>
  <si>
    <t>2015-2-11 10:59:26.85: OrderManager - UpdateOrderStatus - id 9708 Setting status to Submitted workingOrderCount is now -5 workingQty -59</t>
  </si>
  <si>
    <t>2015-2-11 10:59:26.89: RTWSControl - OrderStatus - Got OrderStatus Message id:9708 status: Submitted filled: 3</t>
  </si>
  <si>
    <t>2015-2-11 10:59:26.89: RTWSControl - OrderStatus - exiting orderStatus</t>
  </si>
  <si>
    <t>2015-2-11 10:59:26.366: openOrderEx - I am here</t>
  </si>
  <si>
    <t>2015-2-11 10:59:26.377: RTWSControl - orderStatus -  entering orderStatus id is 9708 status is Submitted</t>
  </si>
  <si>
    <t>2015-2-11 10:59:26.377: OrderManager - UpdateOrderStatus - id 9708 Setting status to Submitted workingOrderCount is now -5 workingQty -59</t>
  </si>
  <si>
    <t>2015-2-11 10:59:26.380: RTWSControl - OrderStatus - Got OrderStatus Message id:9708 status: Submitted filled: 3</t>
  </si>
  <si>
    <t>2015-2-11 10:59:26.381: RTWSControl - OrderStatus - exiting orderStatus</t>
  </si>
  <si>
    <t>2015-2-11 10:59:27.899: Algorithm - FindNextStrikes - price is 1.52875 nextStrikeUp/Down 1.53/1.525</t>
  </si>
  <si>
    <t>2015-2-11 10:59:27.899: Algorithm - getPortfolioForwardDelta - required deltas is 120 currentHedgePosition is 88</t>
  </si>
  <si>
    <t>2015-2-11 10:59:27.900: Algorithm - getHedgeShortfall - required deltas is 120 price is 1.52885 currentHedgePositionDeltas is 88</t>
  </si>
  <si>
    <t>2015-2-11 10:59:27.900: Algorithm - processTransitionPoint - nextUpper/LowerStrikes are 1.53/1.525 requiredDeltas/currentPosition/currentHedgeShortfall/direction/transitionPrice are 120/88/32/1/1.52885</t>
  </si>
  <si>
    <t>2015-2-11 10:59:27.901: TransitionLogger - processTransitionpoint - checking transition - currentHedgeShortfall is 32</t>
  </si>
  <si>
    <t>2015-2-11 10:59:27.901: Algorithm - rehedge - rehedging 32 contracts</t>
  </si>
  <si>
    <t>2015-2-11 10:59:27.901: Algorithm - rehedge - Need to place order but already have a working order - workingQty is -59 working order count -5</t>
  </si>
  <si>
    <t>2015-2-11 10:59:27.903: Algorithm - updatePortfolio - haveAllDetails is True</t>
  </si>
  <si>
    <t>2015-2-11 10:59:27.937: Algorithm - FindNextStrikes - price is 1.52875 nextStrikeUp/Down 1.53/1.525</t>
  </si>
  <si>
    <t>2015-2-11 10:59:27.938: Algorithm - getPortfolioForwardDelta - required deltas is 120 currentHedgePosition is 88</t>
  </si>
  <si>
    <t>2015-2-11 10:59:27.938: Algorithm - getHedgeShortfall - required deltas is 120 price is 1.52885 currentHedgePositionDeltas is 88</t>
  </si>
  <si>
    <t>2015-2-11 10:59:27.939: Algorithm - processTransitionPoint - nextUpper/LowerStrikes are 1.53/1.525 requiredDeltas/currentPosition/currentHedgeShortfall/direction/transitionPrice are 120/88/32/1/1.52885</t>
  </si>
  <si>
    <t>2015-2-11 10:59:27.940: TransitionLogger - processTransitionpoint - checking transition - currentHedgeShortfall is 32</t>
  </si>
  <si>
    <t>2015-2-11 10:59:27.940: Algorithm - rehedge - rehedging 32 contracts</t>
  </si>
  <si>
    <t>2015-2-11 10:59:27.940: Algorithm - rehedge - Need to place order but already have a working order - workingQty is -59 working order count -5</t>
  </si>
  <si>
    <t>2015-2-11 10:59:27.941: Algorithm - updatePortfolio - haveAllDetails is True</t>
  </si>
  <si>
    <t>2015-2-11 10:59:27.984: Algorithm - FindNextStrikes - price is 1.52875 nextStrikeUp/Down 1.53/1.525</t>
  </si>
  <si>
    <t>2015-2-11 10:59:27.984: Algorithm - getPortfolioForwardDelta - required deltas is 120 currentHedgePosition is 88</t>
  </si>
  <si>
    <t>2015-2-11 10:59:27.985: Algorithm - getHedgeShortfall - required deltas is 120 price is 1.52885 currentHedgePositionDeltas is 88</t>
  </si>
  <si>
    <t>2015-2-11 10:59:27.986: Algorithm - processTransitionPoint - nextUpper/LowerStrikes are 1.53/1.525 requiredDeltas/currentPosition/currentHedgeShortfall/direction/transitionPrice are 120/88/32/1/1.52885</t>
  </si>
  <si>
    <t>2015-2-11 10:59:27.987: TransitionLogger - processTransitionpoint - checking transition - currentHedgeShortfall is 32</t>
  </si>
  <si>
    <t>2015-2-11 10:59:27.987: Algorithm - rehedge - rehedging 32 contracts</t>
  </si>
  <si>
    <t>2015-2-11 10:59:27.987: Algorithm - rehedge - Need to place order but already have a working order - workingQty is -59 working order count -5</t>
  </si>
  <si>
    <t>2015-2-11 10:59:27.989: Algorithm - updatePortfolio - haveAllDetails is True</t>
  </si>
  <si>
    <t>2015-2-11 10:59:42.804: Algorithm - FindNextStrikes - price is 1.52875 nextStrikeUp/Down 1.53/1.525</t>
  </si>
  <si>
    <t>2015-2-11 10:59:42.805: Algorithm - getPortfolioForwardDelta - required deltas is 120 currentHedgePosition is 88</t>
  </si>
  <si>
    <t>2015-2-11 10:59:42.805: Algorithm - getHedgeShortfall - required deltas is 120 price is 1.52885 currentHedgePositionDeltas is 88</t>
  </si>
  <si>
    <t>2015-2-11 10:59:42.806: Algorithm - processTransitionPoint - nextUpper/LowerStrikes are 1.53/1.525 requiredDeltas/currentPosition/currentHedgeShortfall/direction/transitionPrice are 120/88/32/1/1.52885</t>
  </si>
  <si>
    <t>2015-2-11 10:59:42.806: TransitionLogger - processTransitionpoint - checking transition - currentHedgeShortfall is 32</t>
  </si>
  <si>
    <t>2015-2-11 10:59:42.806: Algorithm - rehedge - rehedging 32 contracts</t>
  </si>
  <si>
    <t>2015-2-11 10:59:42.807: Algorithm - rehedge - Need to place order but already have a working order - workingQty is -59 working order count -5</t>
  </si>
  <si>
    <t>2015-2-11 10:59:42.808: Algorithm - updatePortfolio - haveAllDetails is True</t>
  </si>
  <si>
    <t>2015-2-11 10:59:42.826: Algorithm - FindNextStrikes - price is 1.52875 nextStrikeUp/Down 1.53/1.525</t>
  </si>
  <si>
    <t>2015-2-11 10:59:42.826: Algorithm - getPortfolioForwardDelta - required deltas is 120 currentHedgePosition is 88</t>
  </si>
  <si>
    <t>2015-2-11 10:59:42.827: Algorithm - getHedgeShortfall - required deltas is 120 price is 1.52885 currentHedgePositionDeltas is 88</t>
  </si>
  <si>
    <t>2015-2-11 10:59:42.827: Algorithm - processTransitionPoint - nextUpper/LowerStrikes are 1.53/1.525 requiredDeltas/currentPosition/currentHedgeShortfall/direction/transitionPrice are 120/88/32/1/1.52885</t>
  </si>
  <si>
    <t>2015-2-11 10:59:42.828: TransitionLogger - processTransitionpoint - checking transition - currentHedgeShortfall is 32</t>
  </si>
  <si>
    <t>2015-2-11 10:59:42.828: Algorithm - rehedge - rehedging 32 contracts</t>
  </si>
  <si>
    <t>2015-2-11 10:59:42.828: Algorithm - rehedge - Need to place order but already have a working order - workingQty is -59 working order count -5</t>
  </si>
  <si>
    <t>2015-2-11 10:59:42.830: Algorithm - updatePortfolio - haveAllDetails is True</t>
  </si>
  <si>
    <t>2015-2-11 10:59:42.869: Algorithm - FindNextStrikes - price is 1.52875 nextStrikeUp/Down 1.53/1.525</t>
  </si>
  <si>
    <t>2015-2-11 10:59:42.870: Algorithm - getPortfolioForwardDelta - required deltas is 120 currentHedgePosition is 88</t>
  </si>
  <si>
    <t>2015-2-11 10:59:42.870: Algorithm - getHedgeShortfall - required deltas is 120 price is 1.52885 currentHedgePositionDeltas is 88</t>
  </si>
  <si>
    <t>2015-2-11 10:59:42.871: Algorithm - processTransitionPoint - nextUpper/LowerStrikes are 1.53/1.525 requiredDeltas/currentPosition/currentHedgeShortfall/direction/transitionPrice are 120/88/32/1/1.52885</t>
  </si>
  <si>
    <t>2015-2-11 10:59:42.871: TransitionLogger - processTransitionpoint - checking transition - currentHedgeShortfall is 32</t>
  </si>
  <si>
    <t>2015-2-11 10:59:42.872: Algorithm - rehedge - rehedging 32 contracts</t>
  </si>
  <si>
    <t>2015-2-11 10:59:42.872: Algorithm - rehedge - Need to place order but already have a working order - workingQty is -59 working order count -5</t>
  </si>
  <si>
    <t>2015-2-11 10:59:42.873: Algorithm - updatePortfolio - haveAllDetails is True</t>
  </si>
  <si>
    <t>2015-2-11 10:59:42.907: Algorithm - FindNextStrikes - price is 1.52875 nextStrikeUp/Down 1.53/1.525</t>
  </si>
  <si>
    <t>2015-2-11 10:59:42.908: Algorithm - getPortfolioForwardDelta - required deltas is 120 currentHedgePosition is 88</t>
  </si>
  <si>
    <t>2015-2-11 10:59:42.908: Algorithm - getHedgeShortfall - required deltas is 120 price is 1.52885 currentHedgePositionDeltas is 88</t>
  </si>
  <si>
    <t>2015-2-11 10:59:42.909: Algorithm - processTransitionPoint - nextUpper/LowerStrikes are 1.53/1.525 requiredDeltas/currentPosition/currentHedgeShortfall/direction/transitionPrice are 120/88/32/1/1.52885</t>
  </si>
  <si>
    <t>2015-2-11 10:59:42.909: TransitionLogger - processTransitionpoint - checking transition - currentHedgeShortfall is 32</t>
  </si>
  <si>
    <t>2015-2-11 10:59:42.909: Algorithm - rehedge - rehedging 32 contracts</t>
  </si>
  <si>
    <t>2015-2-11 10:59:42.910: Algorithm - rehedge - Need to place order but already have a working order - workingQty is -59 working order count -5</t>
  </si>
  <si>
    <t>2015-2-11 10:59:42.911: Algorithm - updatePortfolio - haveAllDetails is True</t>
  </si>
  <si>
    <t>2015-2-11 10:59:42.944: Algorithm - FindNextStrikes - price is 1.52875 nextStrikeUp/Down 1.53/1.525</t>
  </si>
  <si>
    <t>2015-2-11 10:59:42.945: Algorithm - getPortfolioForwardDelta - required deltas is 120 currentHedgePosition is 88</t>
  </si>
  <si>
    <t>2015-2-11 10:59:42.945: Algorithm - getHedgeShortfall - required deltas is 120 price is 1.52885 currentHedgePositionDeltas is 88</t>
  </si>
  <si>
    <t>2015-2-11 10:59:42.946: Algorithm - processTransitionPoint - nextUpper/LowerStrikes are 1.53/1.525 requiredDeltas/currentPosition/currentHedgeShortfall/direction/transitionPrice are 120/88/32/1/1.52885</t>
  </si>
  <si>
    <t>2015-2-11 10:59:42.946: TransitionLogger - processTransitionpoint - checking transition - currentHedgeShortfall is 32</t>
  </si>
  <si>
    <t>2015-2-11 10:59:42.946: Algorithm - rehedge - rehedging 32 contracts</t>
  </si>
  <si>
    <t>2015-2-11 10:59:42.947: Algorithm - rehedge - Need to place order but already have a working order - workingQty is -59 working order count -5</t>
  </si>
  <si>
    <t>2015-2-11 10:59:42.948: Algorithm - updatePortfolio - haveAllDetails is True</t>
  </si>
  <si>
    <t>2015-2-11 10:59:42.986: Algorithm - FindNextStrikes - price is 1.52875 nextStrikeUp/Down 1.53/1.525</t>
  </si>
  <si>
    <t>2015-2-11 10:59:42.987: Algorithm - getPortfolioForwardDelta - required deltas is 120 currentHedgePosition is 88</t>
  </si>
  <si>
    <t>2015-2-11 10:59:42.987: Algorithm - getHedgeShortfall - required deltas is 120 price is 1.52885 currentHedgePositionDeltas is 88</t>
  </si>
  <si>
    <t>2015-2-11 10:59:42.988: Algorithm - processTransitionPoint - nextUpper/LowerStrikes are 1.53/1.525 requiredDeltas/currentPosition/currentHedgeShortfall/direction/transitionPrice are 120/88/32/1/1.52885</t>
  </si>
  <si>
    <t>2015-2-11 10:59:42.988: TransitionLogger - processTransitionpoint - checking transition - currentHedgeShortfall is 32</t>
  </si>
  <si>
    <t>2015-2-11 10:59:42.989: Algorithm - rehedge - rehedging 32 contracts</t>
  </si>
  <si>
    <t>2015-2-11 10:59:42.989: Algorithm - rehedge - Need to place order but already have a working order - workingQty is -59 working order count -5</t>
  </si>
  <si>
    <t>2015-2-11 10:59:42.990: Algorithm - updatePortfolio - haveAllDetails is True</t>
  </si>
  <si>
    <t>2015-2-11 10:59:43.30: Algorithm - FindNextStrikes - price is 1.52875 nextStrikeUp/Down 1.53/1.525</t>
  </si>
  <si>
    <t>2015-2-11 10:59:43.30: Algorithm - getPortfolioForwardDelta - required deltas is 120 currentHedgePosition is 88</t>
  </si>
  <si>
    <t>2015-2-11 10:59:43.30: Algorithm - getHedgeShortfall - required deltas is 120 price is 1.52885 currentHedgePositionDeltas is 88</t>
  </si>
  <si>
    <t>2015-2-11 10:59:43.31: Algorithm - processTransitionPoint - nextUpper/LowerStrikes are 1.53/1.525 requiredDeltas/currentPosition/currentHedgeShortfall/direction/transitionPrice are 120/88/32/1/1.52885</t>
  </si>
  <si>
    <t>2015-2-11 10:59:43.31: TransitionLogger - processTransitionpoint - checking transition - currentHedgeShortfall is 32</t>
  </si>
  <si>
    <t>2015-2-11 10:59:43.32: Algorithm - rehedge - rehedging 32 contracts</t>
  </si>
  <si>
    <t>2015-2-11 10:59:43.32: Algorithm - rehedge - Need to place order but already have a working order - workingQty is -59 working order count -5</t>
  </si>
  <si>
    <t>2015-2-11 10:59:43.33: Algorithm - updatePortfolio - haveAllDetails is True</t>
  </si>
  <si>
    <t>2015-2-11 10:59:43.72: Algorithm - FindNextStrikes - price is 1.52875 nextStrikeUp/Down 1.53/1.525</t>
  </si>
  <si>
    <t>2015-2-11 10:59:43.73: Algorithm - getPortfolioForwardDelta - required deltas is 120 currentHedgePosition is 88</t>
  </si>
  <si>
    <t>2015-2-11 10:59:43.73: Algorithm - getHedgeShortfall - required deltas is 120 price is 1.52885 currentHedgePositionDeltas is 88</t>
  </si>
  <si>
    <t>2015-2-11 10:59:43.74: Algorithm - processTransitionPoint - nextUpper/LowerStrikes are 1.53/1.525 requiredDeltas/currentPosition/currentHedgeShortfall/direction/transitionPrice are 120/88/32/1/1.52885</t>
  </si>
  <si>
    <t>2015-2-11 10:59:43.74: TransitionLogger - processTransitionpoint - checking transition - currentHedgeShortfall is 32</t>
  </si>
  <si>
    <t>2015-2-11 10:59:43.74: Algorithm - rehedge - rehedging 32 contracts</t>
  </si>
  <si>
    <t>2015-2-11 10:59:43.75: Algorithm - rehedge - Need to place order but already have a working order - workingQty is -59 working order count -5</t>
  </si>
  <si>
    <t>2015-2-11 10:59:43.76: Algorithm - updatePortfolio - haveAllDetails is True</t>
  </si>
  <si>
    <t>2015-2-11 10:59:43.115: Algorithm - FindNextStrikes - price is 1.52875 nextStrikeUp/Down 1.53/1.525</t>
  </si>
  <si>
    <t>2015-2-11 10:59:43.115: Algorithm - getPortfolioForwardDelta - required deltas is 120 currentHedgePosition is 88</t>
  </si>
  <si>
    <t>2015-2-11 10:59:43.115: Algorithm - getHedgeShortfall - required deltas is 120 price is 1.52885 currentHedgePositionDeltas is 88</t>
  </si>
  <si>
    <t>2015-2-11 10:59:43.116: Algorithm - processTransitionPoint - nextUpper/LowerStrikes are 1.53/1.525 requiredDeltas/currentPosition/currentHedgeShortfall/direction/transitionPrice are 120/88/32/1/1.52885</t>
  </si>
  <si>
    <t>2015-2-11 10:59:43.116: TransitionLogger - processTransitionpoint - checking transition - currentHedgeShortfall is 32</t>
  </si>
  <si>
    <t>2015-2-11 10:59:43.117: Algorithm - rehedge - rehedging 32 contracts</t>
  </si>
  <si>
    <t>2015-2-11 10:59:43.117: Algorithm - rehedge - Need to place order but already have a working order - workingQty is -59 working order count -5</t>
  </si>
  <si>
    <t>2015-2-11 10:59:43.118: Algorithm - updatePortfolio - haveAllDetails is True</t>
  </si>
  <si>
    <t>2015-2-11 10:59:43.155: Algorithm - FindNextStrikes - price is 1.52875 nextStrikeUp/Down 1.53/1.525</t>
  </si>
  <si>
    <t>2015-2-11 10:59:43.156: Algorithm - getPortfolioForwardDelta - required deltas is 120 currentHedgePosition is 88</t>
  </si>
  <si>
    <t>2015-2-11 10:59:43.156: Algorithm - getHedgeShortfall - required deltas is 120 price is 1.52885 currentHedgePositionDeltas is 88</t>
  </si>
  <si>
    <t>2015-2-11 10:59:43.157: Algorithm - processTransitionPoint - nextUpper/LowerStrikes are 1.53/1.525 requiredDeltas/currentPosition/currentHedgeShortfall/direction/transitionPrice are 120/88/32/1/1.52885</t>
  </si>
  <si>
    <t>2015-2-11 10:59:43.157: TransitionLogger - processTransitionpoint - checking transition - currentHedgeShortfall is 32</t>
  </si>
  <si>
    <t>2015-2-11 10:59:43.157: Algorithm - rehedge - rehedging 32 contracts</t>
  </si>
  <si>
    <t>2015-2-11 10:59:43.158: Algorithm - rehedge - Need to place order but already have a working order - workingQty is -59 working order count -5</t>
  </si>
  <si>
    <t>2015-2-11 10:59:43.159: Algorithm - updatePortfolio - haveAllDetails is True</t>
  </si>
  <si>
    <t>2015-2-11 10:59:49.130: RTWSControl - execDetails -  entering execDetailsEx execution id is 0001f4e5.54da9bb2.01.01 shares/cumQty is 2/5</t>
  </si>
  <si>
    <t>2015-2-11 10:59:49.132: Algorithm - FindNextStrikes - price is 1.52875 nextStrikeUp/Down 1.53/1.525</t>
  </si>
  <si>
    <t>2015-2-11 10:59:49.133: Algorithm - getPortfolioForwardDelta - required deltas is 120 currentHedgePosition is 90</t>
  </si>
  <si>
    <t>2015-2-11 10:59:49.134: Algorithm - getHedgeShortfall - required deltas is 120 price is 1.52885 currentHedgePositionDeltas is 90</t>
  </si>
  <si>
    <t>2015-2-11 10:59:49.136: Algorithm - processTransitionPoint - nextUpper/LowerStrikes are 1.53/1.525 requiredDeltas/currentPosition/currentHedgeShortfall/direction/transitionPrice are 120/90/30/1/1.52885</t>
  </si>
  <si>
    <t>2015-2-11 10:59:49.138: TransitionLogger - processTransitionpoint - checking transition - currentHedgeShortfall is 30</t>
  </si>
  <si>
    <t>2015-2-11 10:59:49.139: OrderManager - updateExecution - got a fill for id 9708 qty 2 side BOT price 1.5287 - new working order size is -61 new instrument.qty is 90</t>
  </si>
  <si>
    <t>0001f4e5.54da9bb2.01.01</t>
  </si>
  <si>
    <t>20150211  10:59:50</t>
  </si>
  <si>
    <t>2015-2-11 10:59:49.147: OrderManagerView - UpdateExecutionView - entering updateExecutionView  executionId is 0001f4e5.54da9bb2.01.01</t>
  </si>
  <si>
    <t>2015-2-11 10:59:49.150: OrderManagerView - updateExecutionView -  exiting UpdateExecutionView</t>
  </si>
  <si>
    <t>2015-2-11 10:59:49.151: RTWSControl - execDetails -  exiting execDetailsEx</t>
  </si>
  <si>
    <t>2015-2-11 10:59:49.152: RTWSControl - execDetails - Got execution Message id:-1</t>
  </si>
  <si>
    <t>2015-2-11 10:59:49.176: openOrderEx - I am here</t>
  </si>
  <si>
    <t>2015-2-11 10:59:49.216: RTWSControl - orderStatus -  entering orderStatus id is 9708 status is Filled</t>
  </si>
  <si>
    <t>2015-2-11 10:59:49.217: OrderManager - UpdateOrderStatus - id 9708 Setting status to Filled workingOrderCount is now -6 workingQty -61</t>
  </si>
  <si>
    <t>2015-2-11 10:59:49.218: OrderManager - terminateOrder - cleaning up after Filled 9708  order was supposed to BUY 5 1.5287 LMT workingQty/OrderCount now -61/-7</t>
  </si>
  <si>
    <t>2015-2-11 10:59:49.221: RTWSControl - OrderStatus - Got OrderStatus Message id:9708 status: Filled filled: 5</t>
  </si>
  <si>
    <t>2015-2-11 10:59:49.221: RTWSControl - OrderStatus - exiting orderStatus</t>
  </si>
  <si>
    <t>2015-2-11 10:59:49.395: Algorithm - rehedge - rehedging 30 contracts</t>
  </si>
  <si>
    <t>2015-2-11 10:59:49.396: Algortihm - rehedge - inside the loop</t>
  </si>
  <si>
    <t>2015-2-11 10:59:49.396: OrderManager - PlaceOrder - id 9710 workingQty -56</t>
  </si>
  <si>
    <t>2015-2-11 10:59:49.398: OrderManager - sendOrder - exiting place order id 9710 BUY 5 1.5287  - workingQty -56 currentPosition is 90 workingOrderCount is -6</t>
  </si>
  <si>
    <t>2015-2-11 10:59:49.399: Algorithm - rehedge - placing an order - orderSize is 5 workingQty is -56 working order count -6</t>
  </si>
  <si>
    <t>2015-2-11 10:59:49.423: Algorithm - rehedge - rehedging 30 contracts</t>
  </si>
  <si>
    <t>2015-2-11 10:59:49.423: Algorithm - rehedge - Need to place order but already have a working order - workingQty is -56 working order count -6</t>
  </si>
  <si>
    <t>2015-2-11 10:59:49.528: openOrderEx - I am here</t>
  </si>
  <si>
    <t>2015-2-11 10:59:49.535: RTWSControl - orderStatus -  entering orderStatus id is 9708 status is Filled</t>
  </si>
  <si>
    <t>2015-2-11 10:59:49.535: OrderManager - UpdateOrderStatus - id 9708 Setting status to Filled workingOrderCount is now -6 workingQty -56</t>
  </si>
  <si>
    <t>2015-2-11 10:59:49.536: OrderManager - terminateOrder - cleaning up after Filled 9708  order was supposed to BUY 5 1.5287 LMT workingQty/OrderCount now -56/-7</t>
  </si>
  <si>
    <t>2015-2-11 10:59:49.538: RTWSControl - OrderStatus - Got OrderStatus Message id:9708 status: Filled filled: 5</t>
  </si>
  <si>
    <t>2015-2-11 10:59:49.538: RTWSControl - OrderStatus - exiting orderStatus</t>
  </si>
  <si>
    <t>2015-2-11 10:59:49.565: RTWSControl - nextValidId - entering nextValidId id is 9711</t>
  </si>
  <si>
    <t>2015-2-11 10:59:49.771: Algorithm - rehedge - rehedging 30 contracts</t>
  </si>
  <si>
    <t>2015-2-11 10:59:49.771: Algorithm - rehedge - Need to place order but already have a working order - workingQty is -56 working order count -7</t>
  </si>
  <si>
    <t>2015-2-11 10:59:49.816: RTWSControl - execDetails -  entering execDetailsEx execution id is 0001f4e5.54da9bb3.01.01 shares/cumQty is 4/4</t>
  </si>
  <si>
    <t>2015-2-11 10:59:49.817: Algorithm - FindNextStrikes - price is 1.5287 nextStrikeUp/Down 1.53/1.525</t>
  </si>
  <si>
    <t>2015-2-11 10:59:49.817: Algorithm - getPortfolioForwardDelta - required deltas is 120 currentHedgePosition is 94</t>
  </si>
  <si>
    <t>2015-2-11 10:59:49.817: Algorithm - getHedgeShortfall - required deltas is 120 price is 1.5288 currentHedgePositionDeltas is 94</t>
  </si>
  <si>
    <t>2015-2-11 10:59:49.818: Algorithm - processTransitionPoint - nextUpper/LowerStrikes are 1.53/1.525 requiredDeltas/currentPosition/currentHedgeShortfall/direction/transitionPrice are 120/94/26/1/1.5288</t>
  </si>
  <si>
    <t>2015-2-11 10:59:49.819: TransitionLogger - processTransitionpoint - checking transition - currentHedgeShortfall is 26</t>
  </si>
  <si>
    <t>2015-2-11 10:59:49.819: OrderManager - updateExecution - got a fill for id 9710 qty 4 side BOT price 1.5287 - new working order size is -60 new instrument.qty is 94</t>
  </si>
  <si>
    <t>0001f4e5.54da9bb3.01.01</t>
  </si>
  <si>
    <t>2015-2-11 10:59:49.821: OrderManagerView - UpdateExecutionView - entering updateExecutionView  executionId is 0001f4e5.54da9bb3.01.01</t>
  </si>
  <si>
    <t>2015-2-11 10:59:49.822: OrderManagerView - updateExecutionView -  exiting UpdateExecutionView</t>
  </si>
  <si>
    <t>2015-2-11 10:59:49.823: RTWSControl - execDetails -  exiting execDetailsEx</t>
  </si>
  <si>
    <t>2015-2-11 10:59:49.823: RTWSControl - execDetails - Got execution Message id:-1</t>
  </si>
  <si>
    <t>2015-2-11 10:59:49.833: openOrderEx - I am here</t>
  </si>
  <si>
    <t>2015-2-11 10:59:49.847: RTWSControl - orderStatus -  entering orderStatus id is 9710 status is PendingSubmit</t>
  </si>
  <si>
    <t>2015-2-11 10:59:49.847: OrderManager - UpdateOrderStatus - id 9710 Setting status to PendingSubmit workingOrderCount is now -7 workingQty -60</t>
  </si>
  <si>
    <t>2015-2-11 10:59:49.849: RTWSControl - OrderStatus - Got OrderStatus Message id:9710 status: PendingSubmit filled: 4</t>
  </si>
  <si>
    <t>2015-2-11 10:59:49.849: RTWSControl - OrderStatus - exiting orderStatus</t>
  </si>
  <si>
    <t>2015-2-11 10:59:49.859: openOrderEx - I am here</t>
  </si>
  <si>
    <t>2015-2-11 10:59:49.868: RTWSControl - orderStatus -  entering orderStatus id is 9710 status is Submitted</t>
  </si>
  <si>
    <t>2015-2-11 10:59:49.869: OrderManager - UpdateOrderStatus - id 9710 Setting status to Submitted workingOrderCount is now -7 workingQty -60</t>
  </si>
  <si>
    <t>2015-2-11 10:59:49.871: RTWSControl - OrderStatus - Got OrderStatus Message id:9710 status: Submitted filled: 4</t>
  </si>
  <si>
    <t>2015-2-11 10:59:49.871: RTWSControl - OrderStatus - exiting orderStatus</t>
  </si>
  <si>
    <t>2015-2-11 10:59:49.892: openOrderEx - I am here</t>
  </si>
  <si>
    <t>2015-2-11 10:59:49.902: RTWSControl - orderStatus -  entering orderStatus id is 9710 status is Submitted</t>
  </si>
  <si>
    <t>2015-2-11 10:59:49.902: OrderManager - UpdateOrderStatus - id 9710 Setting status to Submitted workingOrderCount is now -7 workingQty -60</t>
  </si>
  <si>
    <t>2015-2-11 10:59:49.904: RTWSControl - OrderStatus - Got OrderStatus Message id:9710 status: Submitted filled: 4</t>
  </si>
  <si>
    <t>2015-2-11 10:59:49.904: RTWSControl - OrderStatus - exiting orderStatus</t>
  </si>
  <si>
    <t>2015-2-11 10:59:50.102: Algorithm - rehedge - rehedging 26 contracts</t>
  </si>
  <si>
    <t>2015-2-11 10:59:50.103: Algorithm - rehedge - Need to place order but already have a working order - workingQty is -60 working order count -7</t>
  </si>
  <si>
    <t>2015-2-11 10:59:50.184: RTWSControl - execDetails -  entering execDetailsEx execution id is 0001f4e5.54da9bb4.01.01 shares/cumQty is 1/5</t>
  </si>
  <si>
    <t>2015-2-11 10:59:50.185: Algorithm - FindNextStrikes - price is 1.52865 nextStrikeUp/Down 1.53/1.525</t>
  </si>
  <si>
    <t>2015-2-11 10:59:50.186: Algorithm - getPortfolioForwardDelta - required deltas is 120 currentHedgePosition is 95</t>
  </si>
  <si>
    <t>2015-2-11 10:59:50.186: Algorithm - getHedgeShortfall - required deltas is 120 price is 1.52875 currentHedgePositionDeltas is 95</t>
  </si>
  <si>
    <t>2015-2-11 10:59:50.187: Algorithm - processTransitionPoint - nextUpper/LowerStrikes are 1.53/1.525 requiredDeltas/currentPosition/currentHedgeShortfall/direction/transitionPrice are 120/95/25/1/1.52875</t>
  </si>
  <si>
    <t>2015-2-11 10:59:50.188: TransitionLogger - processTransitionpoint - checking transition - currentHedgeShortfall is 25</t>
  </si>
  <si>
    <t>2015-2-11 10:59:50.188: OrderManager - updateExecution - got a fill for id 9710 qty 1 side BOT price 1.5287 - new working order size is -61 new instrument.qty is 95</t>
  </si>
  <si>
    <t>0001f4e5.54da9bb4.01.01</t>
  </si>
  <si>
    <t>20150211  10:59:51</t>
  </si>
  <si>
    <t>2015-2-11 10:59:50.191: OrderManagerView - UpdateExecutionView - entering updateExecutionView  executionId is 0001f4e5.54da9bb4.01.01</t>
  </si>
  <si>
    <t>2015-2-11 10:59:50.192: OrderManagerView - updateExecutionView -  exiting UpdateExecutionView</t>
  </si>
  <si>
    <t>2015-2-11 10:59:50.192: RTWSControl - execDetails -  exiting execDetailsEx</t>
  </si>
  <si>
    <t>2015-2-11 10:59:50.192: RTWSControl - execDetails - Got execution Message id:-1</t>
  </si>
  <si>
    <t>2015-2-11 10:59:50.223: openOrderEx - I am here</t>
  </si>
  <si>
    <t>2015-2-11 10:59:50.232: RTWSControl - orderStatus -  entering orderStatus id is 9710 status is Filled</t>
  </si>
  <si>
    <t>2015-2-11 10:59:50.232: OrderManager - UpdateOrderStatus - id 9710 Setting status to Filled workingOrderCount is now -8 workingQty -61</t>
  </si>
  <si>
    <t>2015-2-11 10:59:50.233: OrderManager - terminateOrder - cleaning up after Filled 9710  order was supposed to BUY 5 1.5287 LMT workingQty/OrderCount now -61/-9</t>
  </si>
  <si>
    <t>2015-2-11 10:59:50.235: RTWSControl - OrderStatus - Got OrderStatus Message id:9710 status: Filled filled: 5</t>
  </si>
  <si>
    <t>2015-2-11 10:59:50.235: RTWSControl - OrderStatus - exiting orderStatus</t>
  </si>
  <si>
    <t>2015-2-11 10:59:50.292: openOrderEx - I am here</t>
  </si>
  <si>
    <t>2015-2-11 10:59:50.300: RTWSControl - orderStatus -  entering orderStatus id is 9710 status is Filled</t>
  </si>
  <si>
    <t>2015-2-11 10:59:50.300: OrderManager - UpdateOrderStatus - id 9710 Setting status to Filled workingOrderCount is now -9 workingQty -61</t>
  </si>
  <si>
    <t>2015-2-11 10:59:50.301: OrderManager - terminateOrder - cleaning up after Filled 9710  order was supposed to BUY 5 1.5287 LMT workingQty/OrderCount now -61/-10</t>
  </si>
  <si>
    <t>2015-2-11 10:59:50.302: RTWSControl - OrderStatus - Got OrderStatus Message id:9710 status: Filled filled: 5</t>
  </si>
  <si>
    <t>2015-2-11 10:59:50.302: RTWSControl - OrderStatus - exiting orderStatus</t>
  </si>
  <si>
    <t>2015-2-11 10:59:50.947: Algorithm - FindNextStrikes - price is 1.52865 nextStrikeUp/Down 1.53/1.525</t>
  </si>
  <si>
    <t>2015-2-11 10:59:50.947: Algorithm - getPortfolioForwardDelta - required deltas is 120 currentHedgePosition is 95</t>
  </si>
  <si>
    <t>2015-2-11 10:59:50.947: Algorithm - getHedgeShortfall - required deltas is 120 price is 1.52875 currentHedgePositionDeltas is 95</t>
  </si>
  <si>
    <t>2015-2-11 10:59:50.948: Algorithm - processTransitionPoint - nextUpper/LowerStrikes are 1.53/1.525 requiredDeltas/currentPosition/currentHedgeShortfall/direction/transitionPrice are 120/95/25/1/1.52875</t>
  </si>
  <si>
    <t>2015-2-11 10:59:50.949: TransitionLogger - processTransitionpoint - checking transition - currentHedgeShortfall is 25</t>
  </si>
  <si>
    <t>2015-2-11 10:59:50.949: Algorithm - rehedge - rehedging 25 contracts</t>
  </si>
  <si>
    <t>2015-2-11 10:59:50.950: Algortihm - rehedge - inside the loop</t>
  </si>
  <si>
    <t>2015-2-11 10:59:50.950: OrderManager - PlaceOrder - id 9711 workingQty -56</t>
  </si>
  <si>
    <t>2015-2-11 10:59:50.953: OrderManager - sendOrder - exiting place order id 9711 BUY 5 1.5286  - workingQty -56 currentPosition is 95 workingOrderCount is -9</t>
  </si>
  <si>
    <t>2015-2-11 10:59:50.953: Algorithm - rehedge - placing an order - orderSize is 5 workingQty is -56 working order count -9</t>
  </si>
  <si>
    <t>2015-2-11 10:59:50.954: Algorithm - updatePortfolio - haveAllDetails is True</t>
  </si>
  <si>
    <t>2015-2-11 10:59:51.256: RTWSControl - nextValidId - entering nextValidId id is 9712</t>
  </si>
  <si>
    <t>2015-2-11 10:59:51.271: openOrderEx - I am here</t>
  </si>
  <si>
    <t>2015-2-11 10:59:51.304: RTWSControl - orderStatus -  entering orderStatus id is 9711 status is Submitted</t>
  </si>
  <si>
    <t>2015-2-11 10:59:51.304: OrderManager - UpdateOrderStatus - id 9711 Setting status to Submitted workingOrderCount is now -9 workingQty -56</t>
  </si>
  <si>
    <t>2015-2-11 10:59:51.308: RTWSControl - OrderStatus - Got OrderStatus Message id:9711 status: Submitted filled: 0</t>
  </si>
  <si>
    <t>2015-2-11 10:59:51.308: RTWSControl - OrderStatus - exiting orderStatus</t>
  </si>
  <si>
    <t>2015-2-11 10:59:53.630: Algorithm - rehedge - rehedging 25 contracts</t>
  </si>
  <si>
    <t>2015-2-11 10:59:53.630: Algorithm - rehedge - Need to place order but already have a working order - workingQty is -56 working order count -9</t>
  </si>
  <si>
    <t>2015-2-11 10:59:53.633: OrderManager - cancelOrder - cancelling order id 9707</t>
  </si>
  <si>
    <t>2015-2-11 10:59:53.633: OrderManager - PlaceOrder - id 9712 workingQty -30</t>
  </si>
  <si>
    <t>2015-2-11 10:59:53.633: OrderManagerView - findNextOORow - there are no available OpenOrderView Rows!!!!!!</t>
  </si>
  <si>
    <t>2015-2-11 10:59:53.635: OrderManager - sendOrder - exiting place order id 9712 BUY 26 1.5362  - workingQty -30 currentPosition is 95 workingOrderCount is -8</t>
  </si>
  <si>
    <t>2015-2-11 10:59:53.635: OrderManager - cancelOrder - cancelling order id 9709</t>
  </si>
  <si>
    <t>2015-2-11 10:59:53.636: OrderManager - createOrder - exiting without creating order - did not have validID</t>
  </si>
  <si>
    <t>2015-2-11 10:59:53.690: OrderManager - cancelOrder - cancelling order id 9711</t>
  </si>
  <si>
    <t>2015-2-11 10:59:53.690: Algorithm - checkWorkingOrders - cancelling BUY - orderPrice 1.5286 too far from marketPrice 1.52875</t>
  </si>
  <si>
    <t>2015-2-11 10:59:53.691: Algorithm - rehedge - rehedging 25 contracts</t>
  </si>
  <si>
    <t>2015-2-11 10:59:53.691: Algorithm - rehedge - Need to place order but already have a working order - workingQty is -30 working order count -8</t>
  </si>
  <si>
    <t>2015-2-11 10:59:53.693: OrderManager - createOrder - exiting without creating order - did not have validID</t>
  </si>
  <si>
    <t>2015-2-11 10:59:53.936: RTWSControl - nextValidId - entering nextValidId id is 9713</t>
  </si>
  <si>
    <t>2015-2-11 10:59:53.947: RTWSControl - orderStatus -  entering orderStatus id is 9707 status is Cancelled</t>
  </si>
  <si>
    <t>2015-2-11 10:59:53.947: OrderManager - UpdateOrderStatus - id 9707 Setting status to Cancelled workingOrderCount is now -8 workingQty -30</t>
  </si>
  <si>
    <t>2015-2-11 10:59:53.950: RTWSControl - OrderStatus - Got OrderStatus Message id:9707 status: Cancelled filled: 0</t>
  </si>
  <si>
    <t>2015-2-11 10:59:53.950: RTWSControl - OrderStatus - exiting orderStatus</t>
  </si>
  <si>
    <t>2015-2-11 10:59:53.958: RTWSControl - errMsg - got error message 202:Order Canceled - reason:with id 9707</t>
  </si>
  <si>
    <t>2015-2-11 10:59:53.958: OrderManager - canceledOrder - cleaning up after canceled order 9707BEWARE UNACCOUNTED FOR EXECUTIONS!!!</t>
  </si>
  <si>
    <t>2015-2-11 10:59:53.959: OrderManager - terminateOrder - cleaning up after Canceled 9707  order was supposed to BUY 17 1.5337 STP LMT workingQty/OrderCount now -47/-9</t>
  </si>
  <si>
    <t>2015-2-11 10:59:53.972: RTWSControl - orderStatus -  entering orderStatus id is 9709 status is Cancelled</t>
  </si>
  <si>
    <t>2015-2-11 10:59:53.973: OrderManager - UpdateOrderStatus - id 9709 Setting status to Cancelled workingOrderCount is now -9 workingQty -47</t>
  </si>
  <si>
    <t>2015-2-11 10:59:53.975: RTWSControl - OrderStatus - Got OrderStatus Message id:9709 status: Cancelled filled: 0</t>
  </si>
  <si>
    <t>2015-2-11 10:59:53.975: RTWSControl - OrderStatus - exiting orderStatus</t>
  </si>
  <si>
    <t>2015-2-11 10:59:53.982: RTWSControl - errMsg - got error message 202:Order Canceled - reason:with id 9709</t>
  </si>
  <si>
    <t>2015-2-11 10:59:53.982: OrderManager - canceledOrder - cleaning up after canceled order 9709BEWARE UNACCOUNTED FOR EXECUTIONS!!!</t>
  </si>
  <si>
    <t>2015-2-11 10:59:53.983: OrderManager - terminateOrder - cleaning up after Canceled 9709  order was supposed to SELL 18 1.5267 STP LMT workingQty/OrderCount now -65/-10</t>
  </si>
  <si>
    <t>2015-2-11 10:59:54.179: openOrderEx - I am here</t>
  </si>
  <si>
    <t>2015-2-11 10:59:54.208: RTWSControl - orderStatus -  entering orderStatus id is 9712 status is PreSubmitted</t>
  </si>
  <si>
    <t>2015-2-11 10:59:54.208: OrderManager - UpdateOrderStatus - id 9712 Setting status to PreSubmitted workingOrderCount is now -10 workingQty -65</t>
  </si>
  <si>
    <t>2015-2-11 10:59:54.212: RTWSControl - OrderStatus - Got OrderStatus Message id:9712 status: PreSubmitted filled: 0</t>
  </si>
  <si>
    <t>2015-2-11 10:59:54.213: RTWSControl - OrderStatus - exiting orderStatus</t>
  </si>
  <si>
    <t>2015-2-11 10:59:54.249: RTWSControl - orderStatus -  entering orderStatus id is 9711 status is Cancelled</t>
  </si>
  <si>
    <t>2015-2-11 10:59:54.250: OrderManager - UpdateOrderStatus - id 9711 Setting status to Cancelled workingOrderCount is now -10 workingQty -65</t>
  </si>
  <si>
    <t>2015-2-11 10:59:54.253: RTWSControl - OrderStatus - Got OrderStatus Message id:9711 status: Cancelled filled: 0</t>
  </si>
  <si>
    <t>2015-2-11 10:59:54.253: RTWSControl - OrderStatus - exiting orderStatus</t>
  </si>
  <si>
    <t>2015-2-11 10:59:54.262: RTWSControl - errMsg - got error message 202:Order Canceled - reason:with id 9711</t>
  </si>
  <si>
    <t>2015-2-11 10:59:54.262: OrderManager - canceledOrder - cleaning up after canceled order 9711BEWARE UNACCOUNTED FOR EXECUTIONS!!!</t>
  </si>
  <si>
    <t>2015-2-11 10:59:54.263: OrderManager - terminateOrder - cleaning up after Canceled 9711  order was supposed to BUY 5 1.5286 LMT workingQty/OrderCount now -70/-11</t>
  </si>
  <si>
    <t>2015-2-11 10:59:55.754: Algorithm - rehedge - rehedging 25 contracts</t>
  </si>
  <si>
    <t>2015-2-11 10:59:55.754: Algortihm - rehedge - inside the loop</t>
  </si>
  <si>
    <t>2015-2-11 10:59:55.755: OrderManager - PlaceOrder - id 9713 workingQty -65</t>
  </si>
  <si>
    <t>2015-2-11 10:59:55.758: OrderManager - sendOrder - exiting place order id 9713 BUY 5 1.5287  - workingQty -65 currentPosition is 95 workingOrderCount is -10</t>
  </si>
  <si>
    <t>2015-2-11 10:59:55.760: Algorithm - rehedge - placing an order - orderSize is 5 workingQty is -65 working order count -10</t>
  </si>
  <si>
    <t>2015-2-11 10:59:55.763: OrderManager - createOrder - exiting without creating order - did not have validID</t>
  </si>
  <si>
    <t>2015-2-11 10:59:55.892: RTWSControl - nextValidId - entering nextValidId id is 9714</t>
  </si>
  <si>
    <t>2015-2-11 10:59:56.54: Algorithm - rehedge - rehedging 25 contracts</t>
  </si>
  <si>
    <t>2015-2-11 10:59:56.56: Algorithm - rehedge - Need to place order but already have a working order - workingQty is -65 working order count -10</t>
  </si>
  <si>
    <t>2015-2-11 10:59:56.65: OrderManager - PlaceOrder - id 9714 workingQty -92</t>
  </si>
  <si>
    <t>2015-2-11 10:59:56.70: OrderManager - sendOrder - exiting place order id 9714 SELL 27 1.5271  - workingQty -92 currentPosition is 95 workingOrderCount is -9</t>
  </si>
  <si>
    <t>2015-2-11 10:59:56.138: openOrderEx - I am here</t>
  </si>
  <si>
    <t>2015-2-11 10:59:56.146: RTWSControl - orderStatus -  entering orderStatus id is 9713 status is Submitted</t>
  </si>
  <si>
    <t>2015-2-11 10:59:56.147: OrderManager - UpdateOrderStatus - id 9713 Setting status to Submitted workingOrderCount is now -9 workingQty -92</t>
  </si>
  <si>
    <t>2015-2-11 10:59:56.149: RTWSControl - OrderStatus - Got OrderStatus Message id:9713 status: Submitted filled: 0</t>
  </si>
  <si>
    <t>2015-2-11 10:59:56.149: RTWSControl - OrderStatus - exiting orderStatus</t>
  </si>
  <si>
    <t>2015-2-11 10:59:56.182: RTWSControl - nextValidId - entering nextValidId id is 9715</t>
  </si>
  <si>
    <t>2015-2-11 10:59:56.379: openOrderEx - I am here</t>
  </si>
  <si>
    <t>2015-2-11 10:59:56.408: RTWSControl - orderStatus -  entering orderStatus id is 9714 status is PreSubmitted</t>
  </si>
  <si>
    <t>2015-2-11 10:59:56.409: OrderManager - UpdateOrderStatus - id 9714 Setting status to PreSubmitted workingOrderCount is now -9 workingQty -92</t>
  </si>
  <si>
    <t>2015-2-11 10:59:56.414: RTWSControl - OrderStatus - Got OrderStatus Message id:9714 status: PreSubmitted filled: 0</t>
  </si>
  <si>
    <t>2015-2-11 10:59:56.415: RTWSControl - OrderStatus - exiting orderStatus</t>
  </si>
  <si>
    <t>2015-2-11 11:0:2.946: RTWSControl - execDetails -  entering execDetailsEx execution id is 0001f4e5.54da9bc6.01.01 shares/cumQty is 1/1</t>
  </si>
  <si>
    <t>2015-2-11 11:0:2.947: Algorithm - FindNextStrikes - price is 1.52875 nextStrikeUp/Down 1.53/1.525</t>
  </si>
  <si>
    <t>2015-2-11 11:0:2.948: Algorithm - getPortfolioForwardDelta - required deltas is 120 currentHedgePosition is 96</t>
  </si>
  <si>
    <t>2015-2-11 11:0:2.948: Algorithm - getHedgeShortfall - required deltas is 120 price is 1.52885 currentHedgePositionDeltas is 96</t>
  </si>
  <si>
    <t>2015-2-11 11:0:2.950: Algorithm - processTransitionPoint - nextUpper/LowerStrikes are 1.53/1.525 requiredDeltas/currentPosition/currentHedgeShortfall/direction/transitionPrice are 120/96/24/1/1.52885</t>
  </si>
  <si>
    <t>2015-2-11 11:0:2.951: TransitionLogger - processTransitionpoint - checking transition - currentHedgeShortfall is 24</t>
  </si>
  <si>
    <t>2015-2-11 11:0:2.952: OrderManager - updateExecution - got a fill for id 9713 qty 1 side BOT price 1.5287 - new working order size is -93 new instrument.qty is 96</t>
  </si>
  <si>
    <t>0001f4e5.54da9bc6.01.01</t>
  </si>
  <si>
    <t>20150211  11:00:04</t>
  </si>
  <si>
    <t>2015-2-11 11:0:2.957: OrderManagerView - UpdateExecutionView - entering updateExecutionView  executionId is 0001f4e5.54da9bc6.01.01</t>
  </si>
  <si>
    <t>2015-2-11 11:0:2.959: OrderManagerView - updateExecutionView -  exiting UpdateExecutionView</t>
  </si>
  <si>
    <t>2015-2-11 11:0:2.961: RTWSControl - execDetails -  exiting execDetailsEx</t>
  </si>
  <si>
    <t>2015-2-11 11:0:2.961: RTWSControl - execDetails - Got execution Message id:-1</t>
  </si>
  <si>
    <t>2015-2-11 11:0:3.145: openOrderEx - I am here</t>
  </si>
  <si>
    <t>2015-2-11 11:0:3.201: RTWSControl - orderStatus -  entering orderStatus id is 9713 status is Submitted</t>
  </si>
  <si>
    <t>2015-2-11 11:0:3.202: OrderManager - UpdateOrderStatus - id 9713 Setting status to Submitted workingOrderCount is now -9 workingQty -93</t>
  </si>
  <si>
    <t>2015-2-11 11:0:3.207: RTWSControl - OrderStatus - Got OrderStatus Message id:9713 status: Submitted filled: 1</t>
  </si>
  <si>
    <t>2015-2-11 11:0:3.207: RTWSControl - OrderStatus - exiting orderStatus</t>
  </si>
  <si>
    <t>2015-2-11 11:0:3.232: openOrderEx - I am here</t>
  </si>
  <si>
    <t>2015-2-11 11:0:3.252: RTWSControl - orderStatus -  entering orderStatus id is 9713 status is Submitted</t>
  </si>
  <si>
    <t>2015-2-11 11:0:3.253: OrderManager - UpdateOrderStatus - id 9713 Setting status to Submitted workingOrderCount is now -9 workingQty -93</t>
  </si>
  <si>
    <t>2015-2-11 11:0:3.258: RTWSControl - OrderStatus - Got OrderStatus Message id:9713 status: Submitted filled: 1</t>
  </si>
  <si>
    <t>2015-2-11 11:0:3.259: RTWSControl - OrderStatus - exiting orderStatus</t>
  </si>
  <si>
    <t>2015-2-11 11:0:4.945: Algorithm - FindNextStrikes - price is 1.52875 nextStrikeUp/Down 1.53/1.525</t>
  </si>
  <si>
    <t>2015-2-11 11:0:4.945: Algorithm - getPortfolioForwardDelta - required deltas is 120 currentHedgePosition is 96</t>
  </si>
  <si>
    <t>2015-2-11 11:0:4.946: Algorithm - getHedgeShortfall - required deltas is 120 price is 1.52885 currentHedgePositionDeltas is 96</t>
  </si>
  <si>
    <t>2015-2-11 11:0:4.946: Algorithm - processTransitionPoint - nextUpper/LowerStrikes are 1.53/1.525 requiredDeltas/currentPosition/currentHedgeShortfall/direction/transitionPrice are 120/96/24/1/1.52885</t>
  </si>
  <si>
    <t>2015-2-11 11:0:4.947: TransitionLogger - processTransitionpoint - checking transition - currentHedgeShortfall is 24</t>
  </si>
  <si>
    <t>2015-2-11 11:0:4.947: Algorithm - rehedge - rehedging 24 contracts</t>
  </si>
  <si>
    <t>2015-2-11 11:0:4.948: Algorithm - rehedge - Need to place order but already have a working order - workingQty is -93 working order count -9</t>
  </si>
  <si>
    <t>2015-2-11 11:0:4.949: Algorithm - updatePortfolio - haveAllDetails is True</t>
  </si>
  <si>
    <t>2015-2-11 11:0:4.981: Algorithm - FindNextStrikes - price is 1.52875 nextStrikeUp/Down 1.53/1.525</t>
  </si>
  <si>
    <t>2015-2-11 11:0:4.981: Algorithm - getPortfolioForwardDelta - required deltas is 120 currentHedgePosition is 96</t>
  </si>
  <si>
    <t>2015-2-11 11:0:4.981: Algorithm - getHedgeShortfall - required deltas is 120 price is 1.52885 currentHedgePositionDeltas is 96</t>
  </si>
  <si>
    <t>2015-2-11 11:0:4.982: Algorithm - processTransitionPoint - nextUpper/LowerStrikes are 1.53/1.525 requiredDeltas/currentPosition/currentHedgeShortfall/direction/transitionPrice are 120/96/24/1/1.52885</t>
  </si>
  <si>
    <t>2015-2-11 11:0:4.983: TransitionLogger - processTransitionpoint - checking transition - currentHedgeShortfall is 24</t>
  </si>
  <si>
    <t>2015-2-11 11:0:4.983: Algorithm - rehedge - rehedging 24 contracts</t>
  </si>
  <si>
    <t>2015-2-11 11:0:4.983: Algorithm - rehedge - Need to place order but already have a working order - workingQty is -93 working order count -9</t>
  </si>
  <si>
    <t>2015-2-11 11:0:4.984: Algorithm - updatePortfolio - haveAllDetails is True</t>
  </si>
  <si>
    <t>2015-2-11 11:0:5.28: RTWSControl - execDetails -  entering execDetailsEx execution id is 0001f4e5.54da9bc7.01.01 shares/cumQty is 2/3</t>
  </si>
  <si>
    <t>2015-2-11 11:0:5.29: Algorithm - FindNextStrikes - price is 1.52875 nextStrikeUp/Down 1.53/1.525</t>
  </si>
  <si>
    <t>2015-2-11 11:0:5.29: Algorithm - getPortfolioForwardDelta - required deltas is 120 currentHedgePosition is 98</t>
  </si>
  <si>
    <t>2015-2-11 11:0:5.30: Algorithm - getHedgeShortfall - required deltas is 120 price is 1.52885 currentHedgePositionDeltas is 98</t>
  </si>
  <si>
    <t>2015-2-11 11:0:5.30: Algorithm - processTransitionPoint - nextUpper/LowerStrikes are 1.53/1.525 requiredDeltas/currentPosition/currentHedgeShortfall/direction/transitionPrice are 120/98/22/1/1.52885</t>
  </si>
  <si>
    <t>2015-2-11 11:0:5.31: TransitionLogger - processTransitionpoint - checking transition - currentHedgeShortfall is 22</t>
  </si>
  <si>
    <t>2015-2-11 11:0:5.31: OrderManager - updateExecution - got a fill for id 9713 qty 2 side BOT price 1.5287 - new working order size is -95 new instrument.qty is 98</t>
  </si>
  <si>
    <t>0001f4e5.54da9bc7.01.01</t>
  </si>
  <si>
    <t>20150211  11:00:06</t>
  </si>
  <si>
    <t>2015-2-11 11:0:5.34: OrderManagerView - UpdateExecutionView - entering updateExecutionView  executionId is 0001f4e5.54da9bc7.01.01</t>
  </si>
  <si>
    <t>2015-2-11 11:0:5.35: OrderManagerView - updateExecutionView -  exiting UpdateExecutionView</t>
  </si>
  <si>
    <t>2015-2-11 11:0:5.35: RTWSControl - execDetails -  exiting execDetailsEx</t>
  </si>
  <si>
    <t>2015-2-11 11:0:5.35: RTWSControl - execDetails - Got execution Message id:-1</t>
  </si>
  <si>
    <t>2015-2-11 11:0:5.46: openOrderEx - I am here</t>
  </si>
  <si>
    <t>2015-2-11 11:0:5.58: RTWSControl - orderStatus -  entering orderStatus id is 9713 status is Submitted</t>
  </si>
  <si>
    <t>2015-2-11 11:0:5.59: OrderManager - UpdateOrderStatus - id 9713 Setting status to Submitted workingOrderCount is now -9 workingQty -95</t>
  </si>
  <si>
    <t>2015-2-11 11:0:5.61: RTWSControl - OrderStatus - Got OrderStatus Message id:9713 status: Submitted filled: 3</t>
  </si>
  <si>
    <t>2015-2-11 11:0:5.61: RTWSControl - OrderStatus - exiting orderStatus</t>
  </si>
  <si>
    <t>2015-2-11 11:0:5.103: Algorithm - rehedge - rehedging 22 contracts</t>
  </si>
  <si>
    <t>2015-2-11 11:0:5.104: Algorithm - rehedge - Need to place order but already have a working order - workingQty is -95 working order count -9</t>
  </si>
  <si>
    <t>2015-2-11 11:0:5.437: Algorithm - rehedge - rehedging 22 contracts</t>
  </si>
  <si>
    <t>2015-2-11 11:0:5.437: Algorithm - rehedge - Need to place order but already have a working order - workingQty is -95 working order count -9</t>
  </si>
  <si>
    <t>2015-2-11 11:0:5.479: RTWSControl - execDetails -  entering execDetailsEx execution id is 0001f4e5.54da9bc8.01.01 shares/cumQty is 2/5</t>
  </si>
  <si>
    <t>2015-2-11 11:0:5.480: Algorithm - FindNextStrikes - price is 1.52865 nextStrikeUp/Down 1.53/1.525</t>
  </si>
  <si>
    <t>2015-2-11 11:0:5.480: Algorithm - getPortfolioForwardDelta - required deltas is 120 currentHedgePosition is 100</t>
  </si>
  <si>
    <t>2015-2-11 11:0:5.480: Algorithm - getHedgeShortfall - required deltas is 120 price is 1.52875 currentHedgePositionDeltas is 100</t>
  </si>
  <si>
    <t>2015-2-11 11:0:5.481: Algorithm - processTransitionPoint - nextUpper/LowerStrikes are 1.53/1.525 requiredDeltas/currentPosition/currentHedgeShortfall/direction/transitionPrice are 120/100/20/1/1.52875</t>
  </si>
  <si>
    <t>2015-2-11 11:0:5.482: TransitionLogger - processTransitionpoint - checking transition - currentHedgeShortfall is 20</t>
  </si>
  <si>
    <t>2015-2-11 11:0:5.482: OrderManager - updateExecution - got a fill for id 9713 qty 2 side BOT price 1.5287 - new working order size is -97 new instrument.qty is 100</t>
  </si>
  <si>
    <t>0001f4e5.54da9bc8.01.01</t>
  </si>
  <si>
    <t>2015-2-11 11:0:5.484: OrderManagerView - UpdateExecutionView - entering updateExecutionView  executionId is 0001f4e5.54da9bc8.01.01</t>
  </si>
  <si>
    <t>2015-2-11 11:0:5.485: OrderManagerView - updateExecutionView -  exiting UpdateExecutionView</t>
  </si>
  <si>
    <t>2015-2-11 11:0:5.485: RTWSControl - execDetails -  exiting execDetailsEx</t>
  </si>
  <si>
    <t>2015-2-11 11:0:5.486: RTWSControl - execDetails - Got execution Message id:-1</t>
  </si>
  <si>
    <t>2015-2-11 11:0:5.496: openOrderEx - I am here</t>
  </si>
  <si>
    <t>2015-2-11 11:0:5.505: RTWSControl - orderStatus -  entering orderStatus id is 9713 status is Filled</t>
  </si>
  <si>
    <t>2015-2-11 11:0:5.506: OrderManager - UpdateOrderStatus - id 9713 Setting status to Filled workingOrderCount is now -10 workingQty -97</t>
  </si>
  <si>
    <t>2015-2-11 11:0:5.507: OrderManager - terminateOrder - cleaning up after Filled 9713  order was supposed to BUY 5 1.5287 LMT workingQty/OrderCount now -97/-11</t>
  </si>
  <si>
    <t>2015-2-11 11:0:5.508: RTWSControl - OrderStatus - Got OrderStatus Message id:9713 status: Filled filled: 5</t>
  </si>
  <si>
    <t>2015-2-11 11:0:5.508: RTWSControl - OrderStatus - exiting orderStatus</t>
  </si>
  <si>
    <t>2015-2-11 11:0:5.519: openOrderEx - I am here</t>
  </si>
  <si>
    <t>2015-2-11 11:0:5.527: RTWSControl - orderStatus -  entering orderStatus id is 9713 status is Filled</t>
  </si>
  <si>
    <t>2015-2-11 11:0:5.527: OrderManager - UpdateOrderStatus - id 9713 Setting status to Filled workingOrderCount is now -11 workingQty -97</t>
  </si>
  <si>
    <t>2015-2-11 11:0:5.528: OrderManager - terminateOrder - cleaning up after Filled 9713  order was supposed to BUY 5 1.5287 LMT workingQty/OrderCount now -97/-12</t>
  </si>
  <si>
    <t>2015-2-11 11:0:5.530: RTWSControl - OrderStatus - Got OrderStatus Message id:9713 status: Filled filled: 5</t>
  </si>
  <si>
    <t>2015-2-11 11:0:5.530: RTWSControl - OrderStatus - exiting orderStatus</t>
  </si>
  <si>
    <t>2015-2-11 11:0:5.540: openOrderEx - I am here</t>
  </si>
  <si>
    <t>2015-2-11 11:0:5.555: RTWSControl - orderStatus -  entering orderStatus id is 9713 status is Filled</t>
  </si>
  <si>
    <t>2015-2-11 11:0:5.555: OrderManager - UpdateOrderStatus - id 9713 Setting status to Filled workingOrderCount is now -12 workingQty -97</t>
  </si>
  <si>
    <t>2015-2-11 11:0:5.556: OrderManager - terminateOrder - cleaning up after Filled 9713  order was supposed to BUY 5 1.5287 LMT workingQty/OrderCount now -97/-13</t>
  </si>
  <si>
    <t>2015-2-11 11:0:5.558: RTWSControl - OrderStatus - Got OrderStatus Message id:9713 status: Filled filled: 5</t>
  </si>
  <si>
    <t>2015-2-11 11:0:5.558: RTWSControl - OrderStatus - exiting orderStatus</t>
  </si>
  <si>
    <t>2015-2-11 11:0:6.323: Algorithm - FindNextStrikes - price is 1.52865 nextStrikeUp/Down 1.53/1.525</t>
  </si>
  <si>
    <t>2015-2-11 11:0:6.324: Algorithm - getPortfolioForwardDelta - required deltas is 120 currentHedgePosition is 100</t>
  </si>
  <si>
    <t>2015-2-11 11:0:6.324: Algorithm - getHedgeShortfall - required deltas is 120 price is 1.52875 currentHedgePositionDeltas is 100</t>
  </si>
  <si>
    <t>2015-2-11 11:0:6.325: Algorithm - processTransitionPoint - nextUpper/LowerStrikes are 1.53/1.525 requiredDeltas/currentPosition/currentHedgeShortfall/direction/transitionPrice are 120/100/20/1/1.52875</t>
  </si>
  <si>
    <t>2015-2-11 11:0:6.325: TransitionLogger - processTransitionpoint - checking transition - currentHedgeShortfall is 20</t>
  </si>
  <si>
    <t>2015-2-11 11:0:6.326: Algorithm - rehedge - rehedging 20 contracts</t>
  </si>
  <si>
    <t>2015-2-11 11:0:6.326: Algortihm - rehedge - inside the loop</t>
  </si>
  <si>
    <t>2015-2-11 11:0:6.327: OrderManager - PlaceOrder - id 9715 workingQty -92</t>
  </si>
  <si>
    <t>2015-2-11 11:0:6.328: OrderManager - sendOrder - exiting place order id 9715 BUY 5 1.5286  - workingQty -92 currentPosition is 100 workingOrderCount is -12</t>
  </si>
  <si>
    <t>2015-2-11 11:0:6.328: Algorithm - rehedge - placing an order - orderSize is 5 workingQty is -92 working order count -12</t>
  </si>
  <si>
    <t>2015-2-11 11:0:6.329: Algorithm - updatePortfolio - haveAllDetails is True</t>
  </si>
  <si>
    <t>2015-2-11 11:0:6.375: Algorithm - FindNextStrikes - price is 1.52865 nextStrikeUp/Down 1.53/1.525</t>
  </si>
  <si>
    <t>2015-2-11 11:0:6.375: Algorithm - getPortfolioForwardDelta - required deltas is 120 currentHedgePosition is 100</t>
  </si>
  <si>
    <t>2015-2-11 11:0:6.376: Algorithm - getHedgeShortfall - required deltas is 120 price is 1.52875 currentHedgePositionDeltas is 100</t>
  </si>
  <si>
    <t>2015-2-11 11:0:6.376: Algorithm - processTransitionPoint - nextUpper/LowerStrikes are 1.53/1.525 requiredDeltas/currentPosition/currentHedgeShortfall/direction/transitionPrice are 120/100/20/1/1.52875</t>
  </si>
  <si>
    <t>2015-2-11 11:0:6.377: TransitionLogger - processTransitionpoint - checking transition - currentHedgeShortfall is 20</t>
  </si>
  <si>
    <t>2015-2-11 11:0:6.377: Algorithm - rehedge - rehedging 20 contracts</t>
  </si>
  <si>
    <t>2015-2-11 11:0:6.377: Algorithm - rehedge - Need to place order but already have a working order - workingQty is -92 working order count -12</t>
  </si>
  <si>
    <t>2015-2-11 11:0:6.378: Algorithm - updatePortfolio - haveAllDetails is True</t>
  </si>
  <si>
    <t>2015-2-11 11:0:6.432: Algorithm - rehedge - rehedging 20 contracts</t>
  </si>
  <si>
    <t>2015-2-11 11:0:6.433: Algorithm - rehedge - Need to place order but already have a working order - workingQty is -92 working order count -12</t>
  </si>
  <si>
    <t>2015-2-11 11:0:6.435: OrderManager - cancelOrder - cancelling order id 9712</t>
  </si>
  <si>
    <t>2015-2-11 11:0:6.435: OrderManager - createOrder - exiting without creating order - did not have validID</t>
  </si>
  <si>
    <t>2015-2-11 11:0:6.558: RTWSControl - nextValidId - entering nextValidId id is 9716</t>
  </si>
  <si>
    <t>2015-2-11 11:0:6.878: openOrderEx - I am here</t>
  </si>
  <si>
    <t>2015-2-11 11:0:6.895: RTWSControl - orderStatus -  entering orderStatus id is 9715 status is Submitted</t>
  </si>
  <si>
    <t>2015-2-11 11:0:6.895: OrderManager - UpdateOrderStatus - id 9715 Setting status to Submitted workingOrderCount is now -12 workingQty -92</t>
  </si>
  <si>
    <t>2015-2-11 11:0:6.897: RTWSControl - OrderStatus - Got OrderStatus Message id:9715 status: Submitted filled: 0</t>
  </si>
  <si>
    <t>2015-2-11 11:0:6.897: RTWSControl - OrderStatus - exiting orderStatus</t>
  </si>
  <si>
    <t>2015-2-11 11:0:6.904: RTWSControl - orderStatus -  entering orderStatus id is 9712 status is Cancelled</t>
  </si>
  <si>
    <t>2015-2-11 11:0:6.905: OrderManager - UpdateOrderStatus - id 9712 Setting status to Cancelled workingOrderCount is now -12 workingQty -92</t>
  </si>
  <si>
    <t>2015-2-11 11:0:6.907: RTWSControl - OrderStatus - Got OrderStatus Message id:9712 status: Cancelled filled: 0</t>
  </si>
  <si>
    <t>2015-2-11 11:0:6.907: RTWSControl - OrderStatus - exiting orderStatus</t>
  </si>
  <si>
    <t>2015-2-11 11:0:6.915: RTWSControl - errMsg - got error message 202:Order Canceled - reason:with id 9712</t>
  </si>
  <si>
    <t>2015-2-11 11:0:6.915: OrderManager - canceledOrder - cleaning up after canceled order 9712BEWARE UNACCOUNTED FOR EXECUTIONS!!!</t>
  </si>
  <si>
    <t>2015-2-11 11:0:6.916: OrderManager - terminateOrder - cleaning up after Canceled 9712  order was supposed to BUY 26 1.5362 STP LMT workingQty/OrderCount now -118/-13</t>
  </si>
  <si>
    <t>2015-2-11 11:0:16.740: Algorithm - rehedge - rehedging 20 contracts</t>
  </si>
  <si>
    <t>2015-2-11 11:0:16.742: Algorithm - rehedge - Need to place order but already have a working order - workingQty is -118 working order count -13</t>
  </si>
  <si>
    <t>2015-2-11 11:0:16.750: OrderManager - PlaceOrder - id 9716 workingQty -88</t>
  </si>
  <si>
    <t>2015-2-11 11:0:16.755: OrderManager - sendOrder - exiting place order id 9716 BUY 30 1.5378  - workingQty -88 currentPosition is 100 workingOrderCount is -12</t>
  </si>
  <si>
    <t>2015-2-11 11:0:16.758: OrderManager - cancelOrder - cancelling order id 9714</t>
  </si>
  <si>
    <t>2015-2-11 11:0:16.759: OrderManager - createOrder - exiting without creating order - did not have validID</t>
  </si>
  <si>
    <t>2015-2-11 11:0:16.885: RTWSControl - nextValidId - entering nextValidId id is 9717</t>
  </si>
  <si>
    <t>2015-2-11 11:0:17.69: openOrderEx - I am here</t>
  </si>
  <si>
    <t>2015-2-11 11:0:17.99: RTWSControl - orderStatus -  entering orderStatus id is 9716 status is PreSubmitted</t>
  </si>
  <si>
    <t>2015-2-11 11:0:17.100: OrderManager - UpdateOrderStatus - id 9716 Setting status to PreSubmitted workingOrderCount is now -12 workingQty -88</t>
  </si>
  <si>
    <t>2015-2-11 11:0:17.102: RTWSControl - OrderStatus - Got OrderStatus Message id:9716 status: PreSubmitted filled: 0</t>
  </si>
  <si>
    <t>2015-2-11 11:0:17.102: RTWSControl - OrderStatus - exiting orderStatus</t>
  </si>
  <si>
    <t>2015-2-11 11:0:17.126: RTWSControl - orderStatus -  entering orderStatus id is 9714 status is Cancelled</t>
  </si>
  <si>
    <t>2015-2-11 11:0:17.127: OrderManager - UpdateOrderStatus - id 9714 Setting status to Cancelled workingOrderCount is now -12 workingQty -88</t>
  </si>
  <si>
    <t>2015-2-11 11:0:17.129: RTWSControl - OrderStatus - Got OrderStatus Message id:9714 status: Cancelled filled: 0</t>
  </si>
  <si>
    <t>2015-2-11 11:0:17.129: RTWSControl - OrderStatus - exiting orderStatus</t>
  </si>
  <si>
    <t>2015-2-11 11:0:17.136: RTWSControl - errMsg - got error message 202:Order Canceled - reason:with id 9714</t>
  </si>
  <si>
    <t>2015-2-11 11:0:17.136: OrderManager - canceledOrder - cleaning up after canceled order 9714BEWARE UNACCOUNTED FOR EXECUTIONS!!!</t>
  </si>
  <si>
    <t>2015-2-11 11:0:17.137: OrderManager - terminateOrder - cleaning up after Canceled 9714  order was supposed to SELL 27 1.5271 STP LMT workingQty/OrderCount now -115/-13</t>
  </si>
  <si>
    <t>2015-2-11 11:0:20.428: RTWSControl - execDetails -  entering execDetailsEx execution id is 0001f4e5.54da9bcc.01.01 shares/cumQty is 5/5</t>
  </si>
  <si>
    <t>2015-2-11 11:0:20.430: Algorithm - FindNextStrikes - price is 1.52865 nextStrikeUp/Down 1.53/1.525</t>
  </si>
  <si>
    <t>2015-2-11 11:0:20.430: Algorithm - getPortfolioForwardDelta - required deltas is 120 currentHedgePosition is 105</t>
  </si>
  <si>
    <t>2015-2-11 11:0:20.431: Algorithm - getHedgeShortfall - required deltas is 120 price is 1.52875 currentHedgePositionDeltas is 105</t>
  </si>
  <si>
    <t>2015-2-11 11:0:20.432: Algorithm - processTransitionPoint - nextUpper/LowerStrikes are 1.53/1.525 requiredDeltas/currentPosition/currentHedgeShortfall/direction/transitionPrice are 120/105/15/1/1.52875</t>
  </si>
  <si>
    <t>2015-2-11 11:0:20.433: TransitionLogger - processTransitionpoint - checking transition - currentHedgeShortfall is 15</t>
  </si>
  <si>
    <t>2015-2-11 11:0:20.433: OrderManager - updateExecution - got a fill for id 9715 qty 5 side BOT price 1.5286 - new working order size is -120 new instrument.qty is 105</t>
  </si>
  <si>
    <t>0001f4e5.54da9bcc.01.01</t>
  </si>
  <si>
    <t>20150211  11:00:21</t>
  </si>
  <si>
    <t>2015-2-11 11:0:20.438: OrderManagerView - UpdateExecutionView - entering updateExecutionView  executionId is 0001f4e5.54da9bcc.01.01</t>
  </si>
  <si>
    <t>2015-2-11 11:0:20.439: OrderManagerView - updateExecutionView -  exiting UpdateExecutionView</t>
  </si>
  <si>
    <t>2015-2-11 11:0:20.440: RTWSControl - execDetails -  exiting execDetailsEx</t>
  </si>
  <si>
    <t>2015-2-11 11:0:20.440: RTWSControl - execDetails - Got execution Message id:-1</t>
  </si>
  <si>
    <t>2015-2-11 11:0:20.458: openOrderEx - I am here</t>
  </si>
  <si>
    <t>2015-2-11 11:0:20.466: RTWSControl - orderStatus -  entering orderStatus id is 9715 status is Filled</t>
  </si>
  <si>
    <t>2015-2-11 11:0:20.467: OrderManager - UpdateOrderStatus - id 9715 Setting status to Filled workingOrderCount is now -14 workingQty -120</t>
  </si>
  <si>
    <t>2015-2-11 11:0:20.468: OrderManager - terminateOrder - cleaning up after Filled 9715  order was supposed to BUY 5 1.5286 LMT workingQty/OrderCount now -120/-15</t>
  </si>
  <si>
    <t>2015-2-11 11:0:20.469: RTWSControl - OrderStatus - Got OrderStatus Message id:9715 status: Filled filled: 5</t>
  </si>
  <si>
    <t>2015-2-11 11:0:20.470: RTWSControl - OrderStatus - exiting orderStatus</t>
  </si>
  <si>
    <t>2015-2-11 11:0:20.678: Algorithm - rehedge - rehedging 15 contracts</t>
  </si>
  <si>
    <t>2015-2-11 11:0:20.679: Algortihm - rehedge - inside the loop</t>
  </si>
  <si>
    <t>2015-2-11 11:0:20.679: Algorithm - rehedge - trying to trade BUT contracts is 15 and direction indicator is -1</t>
  </si>
  <si>
    <t>2015-2-11 11:0:20.681: OrderManager - PlaceOrder - id 9717 workingQty -148</t>
  </si>
  <si>
    <t>2015-2-11 11:0:20.683: OrderManager - sendOrder - exiting place order id 9717 SELL 28 1.5271  - workingQty -148 currentPosition is 105 workingOrderCount is -14</t>
  </si>
  <si>
    <t>2015-2-11 11:0:20.732: Algorithm - rehedge - rehedging 15 contracts</t>
  </si>
  <si>
    <t>2015-2-11 11:0:20.732: Algortihm - rehedge - inside the loop</t>
  </si>
  <si>
    <t>2015-2-11 11:0:20.733: Algorithm - rehedge - trying to trade BUT contracts is 15 and direction indicator is -1</t>
  </si>
  <si>
    <t>2015-2-11 11:0:21.144: openOrderEx - I am here</t>
  </si>
  <si>
    <t>2015-2-11 11:0:21.152: RTWSControl - orderStatus -  entering orderStatus id is 9715 status is Filled</t>
  </si>
  <si>
    <t>2015-2-11 11:0:21.152: OrderManager - UpdateOrderStatus - id 9715 Setting status to Filled workingOrderCount is now -14 workingQty -148</t>
  </si>
  <si>
    <t>2015-2-11 11:0:21.153: OrderManager - terminateOrder - cleaning up after Filled 9715  order was supposed to BUY 5 1.5286 LMT workingQty/OrderCount now -148/-15</t>
  </si>
  <si>
    <t>2015-2-11 11:0:21.155: RTWSControl - OrderStatus - Got OrderStatus Message id:9715 status: Filled filled: 5</t>
  </si>
  <si>
    <t>2015-2-11 11:0:21.155: RTWSControl - OrderStatus - exiting orderStatus</t>
  </si>
  <si>
    <t>2015-2-11 11:0:21.181: Algorithm - rehedge - rehedging 15 contracts</t>
  </si>
  <si>
    <t>2015-2-11 11:0:21.181: Algortihm - rehedge - inside the loop</t>
  </si>
  <si>
    <t>2015-2-11 11:0:21.181: Algorithm - rehedge - trying to trade BUT contracts is 15 and direction indicator is -1</t>
  </si>
  <si>
    <t>2015-2-11 11:0:21.303: RTWSControl - nextValidId - entering nextValidId id is 9718</t>
  </si>
  <si>
    <t>2015-2-11 11:0:21.312: openOrderEx - I am here</t>
  </si>
  <si>
    <t>2015-2-11 11:0:21.321: RTWSControl - orderStatus -  entering orderStatus id is 9717 status is PreSubmitted</t>
  </si>
  <si>
    <t>2015-2-11 11:0:21.321: OrderManager - UpdateOrderStatus - id 9717 Setting status to PreSubmitted workingOrderCount is now -15 workingQty -148</t>
  </si>
  <si>
    <t>2015-2-11 11:0:21.323: RTWSControl - OrderStatus - Got OrderStatus Message id:9717 status: PreSubmitted filled: 0</t>
  </si>
  <si>
    <t>2015-2-11 11:0:21.324: RTWSControl - OrderStatus - exiting orderStatus</t>
  </si>
  <si>
    <t>2015-2-11 11:0:22.313: Algorithm - FindNextStrikes - price is 1.5286 nextStrikeUp/Down 1.53/1.525</t>
  </si>
  <si>
    <t>2015-2-11 11:0:22.314: Algorithm - getPortfolioForwardDelta - required deltas is 120 currentHedgePosition is 105</t>
  </si>
  <si>
    <t>2015-2-11 11:0:22.314: Algorithm - getHedgeShortfall - required deltas is 120 price is 1.5285 currentHedgePositionDeltas is 105</t>
  </si>
  <si>
    <t>2015-2-11 11:0:22.315: Algorithm - processTransitionPoint - nextUpper/LowerStrikes are 1.53/1.525 requiredDeltas/currentPosition/currentHedgeShortfall/direction/transitionPrice are 120/105/15/-1/1.5285</t>
  </si>
  <si>
    <t>2015-2-11 11:0:22.315: TransitionLogger - processTransitionpoint - checking transition - currentHedgeShortfall is 15</t>
  </si>
  <si>
    <t>2015-2-11 11:0:22.316: Algorithm - rehedge - rehedging 15 contracts</t>
  </si>
  <si>
    <t>2015-2-11 11:0:22.316: Algortihm - rehedge - inside the loop</t>
  </si>
  <si>
    <t>2015-2-11 11:0:22.316: Algorithm - rehedge - trying to trade BUT contracts is 15 and direction indicator is -1</t>
  </si>
  <si>
    <t>2015-2-11 11:0:22.318: Algorithm - updatePortfolio - haveAllDetails is True</t>
  </si>
  <si>
    <t>2015-2-11 11:0:22.354: Algorithm - FindNextStrikes - price is 1.5286 nextStrikeUp/Down 1.53/1.525</t>
  </si>
  <si>
    <t>2015-2-11 11:0:22.354: Algorithm - getPortfolioForwardDelta - required deltas is 120 currentHedgePosition is 105</t>
  </si>
  <si>
    <t>2015-2-11 11:0:22.354: Algorithm - getHedgeShortfall - required deltas is 120 price is 1.5285 currentHedgePositionDeltas is 105</t>
  </si>
  <si>
    <t>2015-2-11 11:0:22.355: Algorithm - processTransitionPoint - nextUpper/LowerStrikes are 1.53/1.525 requiredDeltas/currentPosition/currentHedgeShortfall/direction/transitionPrice are 120/105/15/-1/1.5285</t>
  </si>
  <si>
    <t>2015-2-11 11:0:22.356: TransitionLogger - processTransitionpoint - checking transition - currentHedgeShortfall is 15</t>
  </si>
  <si>
    <t>2015-2-11 11:0:22.356: Algorithm - rehedge - rehedging 15 contracts</t>
  </si>
  <si>
    <t>2015-2-11 11:0:22.356: Algortihm - rehedge - inside the loop</t>
  </si>
  <si>
    <t>2015-2-11 11:0:22.356: Algorithm - rehedge - trying to trade BUT contracts is 15 and direction indicator is -1</t>
  </si>
  <si>
    <t>2015-2-11 11:0:22.357: Algorithm - updatePortfolio - haveAllDetails is True</t>
  </si>
  <si>
    <t>2015-2-11 11:0:22.398: Algorithm - FindNextStrikes - price is 1.5286 nextStrikeUp/Down 1.53/1.525</t>
  </si>
  <si>
    <t>2015-2-11 11:0:22.399: Algorithm - getPortfolioForwardDelta - required deltas is 120 currentHedgePosition is 105</t>
  </si>
  <si>
    <t>2015-2-11 11:0:22.399: Algorithm - getHedgeShortfall - required deltas is 120 price is 1.5285 currentHedgePositionDeltas is 105</t>
  </si>
  <si>
    <t>2015-2-11 11:0:22.399: Algorithm - processTransitionPoint - nextUpper/LowerStrikes are 1.53/1.525 requiredDeltas/currentPosition/currentHedgeShortfall/direction/transitionPrice are 120/105/15/-1/1.5285</t>
  </si>
  <si>
    <t>2015-2-11 11:0:22.400: TransitionLogger - processTransitionpoint - checking transition - currentHedgeShortfall is 15</t>
  </si>
  <si>
    <t>2015-2-11 11:0:22.400: Algorithm - rehedge - rehedging 15 contracts</t>
  </si>
  <si>
    <t>2015-2-11 11:0:22.400: Algortihm - rehedge - inside the loop</t>
  </si>
  <si>
    <t>2015-2-11 11:0:22.401: Algorithm - rehedge - trying to trade BUT contracts is 15 and direction indicator is -1</t>
  </si>
  <si>
    <t>2015-2-11 11:0:22.401: Algorithm - updatePortfolio - haveAllDetails is True</t>
  </si>
  <si>
    <t>2015-2-11 11:0:22.434: Algorithm - FindNextStrikes - price is 1.5286 nextStrikeUp/Down 1.53/1.525</t>
  </si>
  <si>
    <t>2015-2-11 11:0:22.435: Algorithm - getPortfolioForwardDelta - required deltas is 120 currentHedgePosition is 105</t>
  </si>
  <si>
    <t>2015-2-11 11:0:22.435: Algorithm - getHedgeShortfall - required deltas is 120 price is 1.5285 currentHedgePositionDeltas is 105</t>
  </si>
  <si>
    <t>2015-2-11 11:0:22.436: Algorithm - processTransitionPoint - nextUpper/LowerStrikes are 1.53/1.525 requiredDeltas/currentPosition/currentHedgeShortfall/direction/transitionPrice are 120/105/15/-1/1.5285</t>
  </si>
  <si>
    <t>2015-2-11 11:0:22.436: TransitionLogger - processTransitionpoint - checking transition - currentHedgeShortfall is 15</t>
  </si>
  <si>
    <t>2015-2-11 11:0:22.436: Algorithm - rehedge - rehedging 15 contracts</t>
  </si>
  <si>
    <t>2015-2-11 11:0:22.437: Algortihm - rehedge - inside the loop</t>
  </si>
  <si>
    <t>2015-2-11 11:0:22.437: Algorithm - rehedge - trying to trade BUT contracts is 15 and direction indicator is -1</t>
  </si>
  <si>
    <t>2015-2-11 11:0:22.438: Algorithm - updatePortfolio - haveAllDetails is True</t>
  </si>
  <si>
    <t>2015-2-11 11:0:22.472: Algorithm - FindNextStrikes - price is 1.5286 nextStrikeUp/Down 1.53/1.525</t>
  </si>
  <si>
    <t>2015-2-11 11:0:22.472: Algorithm - getPortfolioForwardDelta - required deltas is 120 currentHedgePosition is 105</t>
  </si>
  <si>
    <t>2015-2-11 11:0:22.472: Algorithm - getHedgeShortfall - required deltas is 120 price is 1.5285 currentHedgePositionDeltas is 105</t>
  </si>
  <si>
    <t>2015-2-11 11:0:22.473: Algorithm - processTransitionPoint - nextUpper/LowerStrikes are 1.53/1.525 requiredDeltas/currentPosition/currentHedgeShortfall/direction/transitionPrice are 120/105/15/-1/1.5285</t>
  </si>
  <si>
    <t>2015-2-11 11:0:22.473: TransitionLogger - processTransitionpoint - checking transition - currentHedgeShortfall is 15</t>
  </si>
  <si>
    <t>2015-2-11 11:0:22.474: Algorithm - rehedge - rehedging 15 contracts</t>
  </si>
  <si>
    <t>2015-2-11 11:0:22.474: Algortihm - rehedge - inside the loop</t>
  </si>
  <si>
    <t>2015-2-11 11:0:22.474: Algorithm - rehedge - trying to trade BUT contracts is 15 and direction indicator is -1</t>
  </si>
  <si>
    <t>2015-2-11 11:0:22.475: Algorithm - updatePortfolio - haveAllDetails is True</t>
  </si>
  <si>
    <t>2015-2-11 11:0:22.521: Algorithm - FindNextStrikes - price is 1.5286 nextStrikeUp/Down 1.53/1.525</t>
  </si>
  <si>
    <t>2015-2-11 11:0:22.521: Algorithm - getPortfolioForwardDelta - required deltas is 120 currentHedgePosition is 105</t>
  </si>
  <si>
    <t>2015-2-11 11:0:22.521: Algorithm - getHedgeShortfall - required deltas is 120 price is 1.5285 currentHedgePositionDeltas is 105</t>
  </si>
  <si>
    <t>2015-2-11 11:0:22.522: Algorithm - processTransitionPoint - nextUpper/LowerStrikes are 1.53/1.525 requiredDeltas/currentPosition/currentHedgeShortfall/direction/transitionPrice are 120/105/15/-1/1.5285</t>
  </si>
  <si>
    <t>2015-2-11 11:0:22.522: TransitionLogger - processTransitionpoint - checking transition - currentHedgeShortfall is 15</t>
  </si>
  <si>
    <t>2015-2-11 11:0:22.523: Algorithm - rehedge - rehedging 15 contracts</t>
  </si>
  <si>
    <t>2015-2-11 11:0:22.523: Algortihm - rehedge - inside the loop</t>
  </si>
  <si>
    <t>2015-2-11 11:0:22.523: Algorithm - rehedge - trying to trade BUT contracts is 15 and direction indicator is -1</t>
  </si>
  <si>
    <t>2015-2-11 11:0:22.524: Algorithm - updatePortfolio - haveAllDetails is True</t>
  </si>
  <si>
    <t>2015-2-11 11:0:22.562: Algorithm - FindNextStrikes - price is 1.5286 nextStrikeUp/Down 1.53/1.525</t>
  </si>
  <si>
    <t>2015-2-11 11:0:22.562: Algorithm - getPortfolioForwardDelta - required deltas is 120 currentHedgePosition is 105</t>
  </si>
  <si>
    <t>2015-2-11 11:0:22.563: Algorithm - getHedgeShortfall - required deltas is 120 price is 1.5285 currentHedgePositionDeltas is 105</t>
  </si>
  <si>
    <t>2015-2-11 11:0:22.563: Algorithm - processTransitionPoint - nextUpper/LowerStrikes are 1.53/1.525 requiredDeltas/currentPosition/currentHedgeShortfall/direction/transitionPrice are 120/105/15/-1/1.5285</t>
  </si>
  <si>
    <t>2015-2-11 11:0:22.564: TransitionLogger - processTransitionpoint - checking transition - currentHedgeShortfall is 15</t>
  </si>
  <si>
    <t>2015-2-11 11:0:22.564: Algorithm - rehedge - rehedging 15 contracts</t>
  </si>
  <si>
    <t>2015-2-11 11:0:22.564: Algortihm - rehedge - inside the loop</t>
  </si>
  <si>
    <t>2015-2-11 11:0:22.565: Algorithm - rehedge - trying to trade BUT contracts is 15 and direction indicator is -1</t>
  </si>
  <si>
    <t>2015-2-11 11:0:22.565: Algorithm - updatePortfolio - haveAllDetails is True</t>
  </si>
  <si>
    <t>2015-2-11 11:0:22.608: Algorithm - FindNextStrikes - price is 1.5286 nextStrikeUp/Down 1.53/1.525</t>
  </si>
  <si>
    <t>2015-2-11 11:0:22.608: Algorithm - getPortfolioForwardDelta - required deltas is 120 currentHedgePosition is 105</t>
  </si>
  <si>
    <t>2015-2-11 11:0:22.608: Algorithm - getHedgeShortfall - required deltas is 120 price is 1.5285 currentHedgePositionDeltas is 105</t>
  </si>
  <si>
    <t>2015-2-11 11:0:22.609: Algorithm - processTransitionPoint - nextUpper/LowerStrikes are 1.53/1.525 requiredDeltas/currentPosition/currentHedgeShortfall/direction/transitionPrice are 120/105/15/-1/1.5285</t>
  </si>
  <si>
    <t>2015-2-11 11:0:22.610: TransitionLogger - processTransitionpoint - checking transition - currentHedgeShortfall is 15</t>
  </si>
  <si>
    <t>2015-2-11 11:0:22.610: Algorithm - rehedge - rehedging 15 contracts</t>
  </si>
  <si>
    <t>2015-2-11 11:0:22.610: Algortihm - rehedge - inside the loop</t>
  </si>
  <si>
    <t>2015-2-11 11:0:22.611: Algorithm - rehedge - trying to trade BUT contracts is 15 and direction indicator is -1</t>
  </si>
  <si>
    <t>2015-2-11 11:0:22.611: Algorithm - updatePortfolio - haveAllDetails is True</t>
  </si>
  <si>
    <t>2015-2-11 11:0:22.646: Algorithm - FindNextStrikes - price is 1.5286 nextStrikeUp/Down 1.53/1.525</t>
  </si>
  <si>
    <t>2015-2-11 11:0:22.646: Algorithm - getPortfolioForwardDelta - required deltas is 120 currentHedgePosition is 105</t>
  </si>
  <si>
    <t>2015-2-11 11:0:22.647: Algorithm - getHedgeShortfall - required deltas is 120 price is 1.5285 currentHedgePositionDeltas is 105</t>
  </si>
  <si>
    <t>2015-2-11 11:0:22.647: Algorithm - processTransitionPoint - nextUpper/LowerStrikes are 1.53/1.525 requiredDeltas/currentPosition/currentHedgeShortfall/direction/transitionPrice are 120/105/15/-1/1.5285</t>
  </si>
  <si>
    <t>2015-2-11 11:0:22.648: TransitionLogger - processTransitionpoint - checking transition - currentHedgeShortfall is 15</t>
  </si>
  <si>
    <t>2015-2-11 11:0:22.648: Algorithm - rehedge - rehedging 15 contracts</t>
  </si>
  <si>
    <t>2015-2-11 11:0:22.648: Algortihm - rehedge - inside the loop</t>
  </si>
  <si>
    <t>2015-2-11 11:0:22.648: Algorithm - rehedge - trying to trade BUT contracts is 15 and direction indicator is -1</t>
  </si>
  <si>
    <t>2015-2-11 11:0:22.649: Algorithm - updatePortfolio - haveAllDetails is True</t>
  </si>
  <si>
    <t>2015-2-11 11:0:22.686: Algorithm - FindNextStrikes - price is 1.5286 nextStrikeUp/Down 1.53/1.525</t>
  </si>
  <si>
    <t>2015-2-11 11:0:22.686: Algorithm - getPortfolioForwardDelta - required deltas is 120 currentHedgePosition is 105</t>
  </si>
  <si>
    <t>2015-2-11 11:0:22.687: Algorithm - getHedgeShortfall - required deltas is 120 price is 1.5285 currentHedgePositionDeltas is 105</t>
  </si>
  <si>
    <t>2015-2-11 11:0:22.687: Algorithm - processTransitionPoint - nextUpper/LowerStrikes are 1.53/1.525 requiredDeltas/currentPosition/currentHedgeShortfall/direction/transitionPrice are 120/105/15/-1/1.5285</t>
  </si>
  <si>
    <t>2015-2-11 11:0:22.688: TransitionLogger - processTransitionpoint - checking transition - currentHedgeShortfall is 15</t>
  </si>
  <si>
    <t>2015-2-11 11:0:22.688: Algorithm - rehedge - rehedging 15 contracts</t>
  </si>
  <si>
    <t>2015-2-11 11:0:22.689: Algortihm - rehedge - inside the loop</t>
  </si>
  <si>
    <t>2015-2-11 11:0:22.689: Algorithm - rehedge - trying to trade BUT contracts is 15 and direction indicator is -1</t>
  </si>
  <si>
    <t>2015-2-11 11:0:22.689: Algorithm - updatePortfolio - haveAllDetails is True</t>
  </si>
  <si>
    <t>2015-2-11 11:0:22.723: Algorithm - rehedge - rehedging 15 contracts</t>
  </si>
  <si>
    <t>2015-2-11 11:0:22.723: Algortihm - rehedge - inside the loop</t>
  </si>
  <si>
    <t>2015-2-11 11:0:22.724: Algorithm - rehedge - trying to trade BUT contracts is 15 and direction indicator is -1</t>
  </si>
  <si>
    <t>2015-2-11 11:0:22.725: OrderManager - cancelOrder - cancelling order id 9717</t>
  </si>
  <si>
    <t>2015-2-11 11:0:22.726: OrderManager - PlaceOrder - id 9718 workingQty -180</t>
  </si>
  <si>
    <t>2015-2-11 11:0:22.727: OrderManager - sendOrder - exiting place order id 9718 SELL 32 1.5271  - workingQty -180 currentPosition is 105 workingOrderCount is -14</t>
  </si>
  <si>
    <t>2015-2-11 11:0:23.145: Algorithm - rehedge - rehedging 15 contracts</t>
  </si>
  <si>
    <t>2015-2-11 11:0:23.145: Algortihm - rehedge - inside the loop</t>
  </si>
  <si>
    <t>2015-2-11 11:0:23.146: Algorithm - rehedge - trying to trade BUT contracts is 15 and direction indicator is -1</t>
  </si>
  <si>
    <t>2015-2-11 11:0:23.147: OrderManager - cancelOrder - cancelling order id 9716</t>
  </si>
  <si>
    <t>2015-2-11 11:0:23.147: OrderManager - createOrder - exiting without creating order - did not have validID</t>
  </si>
  <si>
    <t>2015-2-11 11:0:23.274: Algorithm - rehedge - rehedging 15 contracts</t>
  </si>
  <si>
    <t>2015-2-11 11:0:23.274: Algortihm - rehedge - inside the loop</t>
  </si>
  <si>
    <t>2015-2-11 11:0:23.275: Algorithm - rehedge - trying to trade BUT contracts is 15 and direction indicator is -1</t>
  </si>
  <si>
    <t>2015-2-11 11:0:23.276: OrderManager - createOrder - exiting without creating order - did not have validID</t>
  </si>
  <si>
    <t>2015-2-11 11:0:24.205: RTWSControl - nextValidId - entering nextValidId id is 9719</t>
  </si>
  <si>
    <t>2015-2-11 11:0:24.236: RTWSControl - orderStatus -  entering orderStatus id is 9717 status is Cancelled</t>
  </si>
  <si>
    <t>2015-2-11 11:0:24.236: OrderManager - UpdateOrderStatus - id 9717 Setting status to Cancelled workingOrderCount is now -14 workingQty -180</t>
  </si>
  <si>
    <t>2015-2-11 11:0:24.238: RTWSControl - OrderStatus - Got OrderStatus Message id:9717 status: Cancelled filled: 0</t>
  </si>
  <si>
    <t>2015-2-11 11:0:24.239: RTWSControl - OrderStatus - exiting orderStatus</t>
  </si>
  <si>
    <t>2015-2-11 11:0:24.246: RTWSControl - errMsg - got error message 202:Order Canceled - reason:with id 9717</t>
  </si>
  <si>
    <t>2015-2-11 11:0:24.246: OrderManager - canceledOrder - cleaning up after canceled order 9717BEWARE UNACCOUNTED FOR EXECUTIONS!!!</t>
  </si>
  <si>
    <t>2015-2-11 11:0:24.247: OrderManager - terminateOrder - cleaning up after Canceled 9717  order was supposed to SELL 28 1.5271 STP LMT workingQty/OrderCount now -208/-15</t>
  </si>
  <si>
    <t>2015-2-11 11:0:24.260: openOrderEx - I am here</t>
  </si>
  <si>
    <t>2015-2-11 11:0:24.282: RTWSControl - orderStatus -  entering orderStatus id is 9718 status is PreSubmitted</t>
  </si>
  <si>
    <t>2015-2-11 11:0:24.282: OrderManager - UpdateOrderStatus - id 9718 Setting status to PreSubmitted workingOrderCount is now -15 workingQty -208</t>
  </si>
  <si>
    <t>2015-2-11 11:0:24.284: RTWSControl - OrderStatus - Got OrderStatus Message id:9718 status: PreSubmitted filled: 0</t>
  </si>
  <si>
    <t>2015-2-11 11:0:24.284: RTWSControl - OrderStatus - exiting orderStatus</t>
  </si>
  <si>
    <t>2015-2-11 11:0:24.397: Algorithm - rehedge - rehedging 15 contracts</t>
  </si>
  <si>
    <t>2015-2-11 11:0:24.398: Algortihm - rehedge - inside the loop</t>
  </si>
  <si>
    <t>2015-2-11 11:0:24.398: Algorithm - rehedge - trying to trade BUT contracts is 15 and direction indicator is -1</t>
  </si>
  <si>
    <t>2015-2-11 11:0:24.400: OrderManager - PlaceOrder - id 9719 workingQty -172</t>
  </si>
  <si>
    <t>2015-2-11 11:0:24.402: OrderManager - sendOrder - exiting place order id 9719 BUY 36 1.5392  - workingQty -172 currentPosition is 105 workingOrderCount is -14</t>
  </si>
  <si>
    <t>2015-2-11 11:0:24.403: OrderManager - cancelOrder - cancelling order id 9718</t>
  </si>
  <si>
    <t>2015-2-11 11:0:24.403: OrderManager - createOrder - exiting without creating order - did not have validID</t>
  </si>
  <si>
    <t>2015-2-11 11:0:24.512: RTWSControl - orderStatus -  entering orderStatus id is 9716 status is Cancelled</t>
  </si>
  <si>
    <t>2015-2-11 11:0:24.512: OrderManager - UpdateOrderStatus - id 9716 Setting status to Cancelled workingOrderCount is now -14 workingQty -172</t>
  </si>
  <si>
    <t>2015-2-11 11:0:24.514: RTWSControl - OrderStatus - Got OrderStatus Message id:9716 status: Cancelled filled: 0</t>
  </si>
  <si>
    <t>2015-2-11 11:0:24.515: RTWSControl - OrderStatus - exiting orderStatus</t>
  </si>
  <si>
    <t>2015-2-11 11:0:24.522: RTWSControl - errMsg - got error message 202:Order Canceled - reason:with id 9716</t>
  </si>
  <si>
    <t>2015-2-11 11:0:24.522: OrderManager - canceledOrder - cleaning up after canceled order 9716BEWARE UNACCOUNTED FOR EXECUTIONS!!!</t>
  </si>
  <si>
    <t>2015-2-11 11:0:24.523: OrderManager - terminateOrder - cleaning up after Canceled 9716  order was supposed to BUY 30 1.5378 STP LMT workingQty/OrderCount now -202/-15</t>
  </si>
  <si>
    <t>2015-2-11 11:0:24.616: RTWSControl - nextValidId - entering nextValidId id is 9720</t>
  </si>
  <si>
    <t>2015-2-11 11:0:24.721: openOrderEx - I am here</t>
  </si>
  <si>
    <t>2015-2-11 11:0:24.791: RTWSControl - orderStatus -  entering orderStatus id is 9719 status is PreSubmitted</t>
  </si>
  <si>
    <t>2015-2-11 11:0:24.793: OrderManager - UpdateOrderStatus - id 9719 Setting status to PreSubmitted workingOrderCount is now -15 workingQty -202</t>
  </si>
  <si>
    <t>2015-2-11 11:0:24.808: RTWSControl - OrderStatus - Got OrderStatus Message id:9719 status: PreSubmitted filled: 0</t>
  </si>
  <si>
    <t>2015-2-11 11:0:24.808: RTWSControl - OrderStatus - exiting orderStatus</t>
  </si>
  <si>
    <t>2015-2-11 11:0:24.888: RTWSControl - orderStatus -  entering orderStatus id is 9718 status is Cancelled</t>
  </si>
  <si>
    <t>2015-2-11 11:0:24.889: OrderManager - UpdateOrderStatus - id 9718 Setting status to Cancelled workingOrderCount is now -15 workingQty -202</t>
  </si>
  <si>
    <t>2015-2-11 11:0:24.891: RTWSControl - OrderStatus - Got OrderStatus Message id:9718 status: Cancelled filled: 0</t>
  </si>
  <si>
    <t>2015-2-11 11:0:24.891: RTWSControl - OrderStatus - exiting orderStatus</t>
  </si>
  <si>
    <t>2015-2-11 11:0:24.898: RTWSControl - errMsg - got error message 202:Order Canceled - reason:with id 9718</t>
  </si>
  <si>
    <t>2015-2-11 11:0:24.898: OrderManager - canceledOrder - cleaning up after canceled order 9718BEWARE UNACCOUNTED FOR EXECUTIONS!!!</t>
  </si>
  <si>
    <t>2015-2-11 11:0:24.899: OrderManager - terminateOrder - cleaning up after Canceled 9718  order was supposed to SELL 32 1.5271 STP LMT workingQty/OrderCount now -234/-16</t>
  </si>
  <si>
    <t>2015-2-11 11:0:24.954: Algorithm - rehedge - rehedging 15 contracts</t>
  </si>
  <si>
    <t>2015-2-11 11:0:24.955: Algortihm - rehedge - inside the loop</t>
  </si>
  <si>
    <t>2015-2-11 11:0:24.955: Algorithm - rehedge - trying to trade BUT contracts is 15 and direction indicator is -1</t>
  </si>
  <si>
    <t>2015-2-11 11:0:24.957: OrderManager - PlaceOrder - id 9720 workingQty -270</t>
  </si>
  <si>
    <t>2015-2-11 11:0:24.957: OrderManagerView - findNextOORow - there are no available OpenOrderView Rows!!!!!!</t>
  </si>
  <si>
    <t>2015-2-11 11:0:24.958: OrderManager - sendOrder - exiting place order id 9720 SELL 36 1.5272  - workingQty -270 currentPosition is 105 workingOrderCount is -15</t>
  </si>
  <si>
    <t>2015-2-11 11:0:25.406: RTWSControl - nextValidId - entering nextValidId id is 9721</t>
  </si>
  <si>
    <t>2015-2-11 11:0:25.415: openOrderEx - I am here</t>
  </si>
  <si>
    <t>2015-2-11 11:0:25.436: RTWSControl - orderStatus -  entering orderStatus id is 9720 status is PreSubmitted</t>
  </si>
  <si>
    <t>2015-2-11 11:0:25.436: OrderManager - UpdateOrderStatus - id 9720 Setting status to PreSubmitted workingOrderCount is now -15 workingQty -270</t>
  </si>
  <si>
    <t>2015-2-11 11:0:25.439: RTWSControl - OrderStatus - Got OrderStatus Message id:9720 status: PreSubmitted filled: 0</t>
  </si>
  <si>
    <t>2015-2-11 11:0:25.439: RTWSControl - OrderStatus - exiting orderStatus</t>
  </si>
  <si>
    <t>2015-2-11 11:0:25.472: Algorithm - rehedge - rehedging 15 contracts</t>
  </si>
  <si>
    <t>2015-2-11 11:0:25.472: Algortihm - rehedge - inside the loop</t>
  </si>
  <si>
    <t>2015-2-11 11:0:25.472: Algorithm - rehedge - trying to trade BUT contracts is 15 and direction indicator is -1</t>
  </si>
  <si>
    <t>2015-2-11 11:0:27.155: Algorithm - rehedge - rehedging 15 contracts</t>
  </si>
  <si>
    <t>2015-2-11 11:0:27.155: Algortihm - rehedge - inside the loop</t>
  </si>
  <si>
    <t>2015-2-11 11:0:27.156: OrderManager - PlaceOrder - id 9721 workingQty -265</t>
  </si>
  <si>
    <t>2015-2-11 11:0:27.158: OrderManager - sendOrder - exiting place order id 9721 BUY 5 1.5287  - workingQty -265 currentPosition is 105 workingOrderCount is -14</t>
  </si>
  <si>
    <t>2015-2-11 11:0:27.159: Algorithm - rehedge - placing an order - orderSize is 5 workingQty is -265 working order count -14</t>
  </si>
  <si>
    <t>2015-2-11 11:0:27.231: Algorithm - rehedge - rehedging 15 contracts</t>
  </si>
  <si>
    <t>2015-2-11 11:0:27.231: Algorithm - rehedge - Need to place order but already have a working order - workingQty is -265 working order count -14</t>
  </si>
  <si>
    <t>2015-2-11 11:0:27.306: RTWSControl - nextValidId - entering nextValidId id is 9722</t>
  </si>
  <si>
    <t>2015-2-11 11:0:27.452: Algorithm - rehedge - rehedging 15 contracts</t>
  </si>
  <si>
    <t>2015-2-11 11:0:27.453: Algorithm - rehedge - Need to place order but already have a working order - workingQty is -265 working order count -14</t>
  </si>
  <si>
    <t>2015-2-11 11:0:27.520: openOrderEx - I am here</t>
  </si>
  <si>
    <t>2015-2-11 11:0:27.529: RTWSControl - orderStatus -  entering orderStatus id is 9721 status is Submitted</t>
  </si>
  <si>
    <t>2015-2-11 11:0:27.529: OrderManager - UpdateOrderStatus - id 9721 Setting status to Submitted workingOrderCount is now -14 workingQty -265</t>
  </si>
  <si>
    <t>2015-2-11 11:0:27.531: RTWSControl - OrderStatus - Got OrderStatus Message id:9721 status: Submitted filled: 0</t>
  </si>
  <si>
    <t>2015-2-11 11:0:27.532: RTWSControl - OrderStatus - exiting orderStatus</t>
  </si>
  <si>
    <t>2015-2-11 11:0:28.298: RTWSControl - execDetails -  entering execDetailsEx execution id is 0001f4e5.54da9bd0.01.01 shares/cumQty is 1/1</t>
  </si>
  <si>
    <t>2015-2-11 11:0:28.300: Algorithm - FindNextStrikes - price is 1.52875 nextStrikeUp/Down 1.53/1.525</t>
  </si>
  <si>
    <t>2015-2-11 11:0:28.301: Algorithm - getPortfolioForwardDelta - required deltas is 120 currentHedgePosition is 106</t>
  </si>
  <si>
    <t>2015-2-11 11:0:28.301: Algorithm - getHedgeShortfall - required deltas is 120 price is 1.52885 currentHedgePositionDeltas is 106</t>
  </si>
  <si>
    <t>2015-2-11 11:0:28.303: Algorithm - processTransitionPoint - nextUpper/LowerStrikes are 1.53/1.525 requiredDeltas/currentPosition/currentHedgeShortfall/direction/transitionPrice are 120/106/14/1/1.52885</t>
  </si>
  <si>
    <t>2015-2-11 11:0:28.305: TransitionLogger - processTransitionpoint - checking transition - currentHedgeShortfall is 14</t>
  </si>
  <si>
    <t>2015-2-11 11:0:28.306: OrderManager - updateExecution - got a fill for id 9721 qty 1 side BOT price 1.5287 - new working order size is -266 new instrument.qty is 106</t>
  </si>
  <si>
    <t>0001f4e5.54da9bd0.01.01</t>
  </si>
  <si>
    <t>20150211  11:00:29</t>
  </si>
  <si>
    <t>2015-2-11 11:0:28.313: OrderManagerView - UpdateExecutionView - entering updateExecutionView  executionId is 0001f4e5.54da9bd0.01.01</t>
  </si>
  <si>
    <t>2015-2-11 11:0:28.315: OrderManagerView - updateExecutionView -  exiting UpdateExecutionView</t>
  </si>
  <si>
    <t>2015-2-11 11:0:28.316: RTWSControl - execDetails -  exiting execDetailsEx</t>
  </si>
  <si>
    <t>2015-2-11 11:0:28.317: RTWSControl - execDetails - Got execution Message id:-1</t>
  </si>
  <si>
    <t>2015-2-11 11:0:28.333: openOrderEx - I am here</t>
  </si>
  <si>
    <t>2015-2-11 11:0:28.343: RTWSControl - orderStatus -  entering orderStatus id is 9721 status is Submitted</t>
  </si>
  <si>
    <t>2015-2-11 11:0:28.344: OrderManager - UpdateOrderStatus - id 9721 Setting status to Submitted workingOrderCount is now -14 workingQty -266</t>
  </si>
  <si>
    <t>2015-2-11 11:0:28.346: RTWSControl - OrderStatus - Got OrderStatus Message id:9721 status: Submitted filled: 1</t>
  </si>
  <si>
    <t>2015-2-11 11:0:28.347: RTWSControl - OrderStatus - exiting orderStatus</t>
  </si>
  <si>
    <t>2015-2-11 11:0:28.420: Algorithm - rehedge - rehedging 14 contracts</t>
  </si>
  <si>
    <t>2015-2-11 11:0:28.421: Algorithm - rehedge - Need to place order but already have a working order - workingQty is -266 working order count -14</t>
  </si>
  <si>
    <t>2015-2-11 11:0:28.694: Algorithm - rehedge - rehedging 14 contracts</t>
  </si>
  <si>
    <t>2015-2-11 11:0:28.695: Algorithm - rehedge - Need to place order but already have a working order - workingQty is -266 working order count -14</t>
  </si>
  <si>
    <t>2015-2-11 11:0:28.734: RTWSControl - execDetails -  entering execDetailsEx execution id is 0001f4e5.54da9bd1.01.01 shares/cumQty is 4/5</t>
  </si>
  <si>
    <t>2015-2-11 11:0:28.736: Algorithm - FindNextStrikes - price is 1.52865 nextStrikeUp/Down 1.53/1.525</t>
  </si>
  <si>
    <t>2015-2-11 11:0:28.736: Algorithm - getPortfolioForwardDelta - required deltas is 120 currentHedgePosition is 110</t>
  </si>
  <si>
    <t>2015-2-11 11:0:28.736: Algorithm - getHedgeShortfall - required deltas is 120 price is 1.52875 currentHedgePositionDeltas is 110</t>
  </si>
  <si>
    <t>2015-2-11 11:0:28.737: Algorithm - processTransitionPoint - nextUpper/LowerStrikes are 1.53/1.525 requiredDeltas/currentPosition/currentHedgeShortfall/direction/transitionPrice are 120/110/10/1/1.52875</t>
  </si>
  <si>
    <t>2015-2-11 11:0:28.737: TransitionLogger - processTransitionpoint - checking transition - currentHedgeShortfall is 10</t>
  </si>
  <si>
    <t>2015-2-11 11:0:28.738: OrderManager - updateExecution - got a fill for id 9721 qty 4 side BOT price 1.5287 - new working order size is -270 new instrument.qty is 110</t>
  </si>
  <si>
    <t>0001f4e5.54da9bd1.01.01</t>
  </si>
  <si>
    <t>2015-2-11 11:0:28.740: OrderManagerView - UpdateExecutionView - entering updateExecutionView  executionId is 0001f4e5.54da9bd1.01.01</t>
  </si>
  <si>
    <t>2015-2-11 11:0:28.741: OrderManagerView - updateExecutionView -  exiting UpdateExecutionView</t>
  </si>
  <si>
    <t>2015-2-11 11:0:28.741: RTWSControl - execDetails -  exiting execDetailsEx</t>
  </si>
  <si>
    <t>2015-2-11 11:0:28.742: RTWSControl - execDetails - Got execution Message id:-1</t>
  </si>
  <si>
    <t>2015-2-11 11:0:28.752: openOrderEx - I am here</t>
  </si>
  <si>
    <t>2015-2-11 11:0:28.766: RTWSControl - orderStatus -  entering orderStatus id is 9721 status is Filled</t>
  </si>
  <si>
    <t>2015-2-11 11:0:28.766: OrderManager - UpdateOrderStatus - id 9721 Setting status to Filled workingOrderCount is now -15 workingQty -270</t>
  </si>
  <si>
    <t>2015-2-11 11:0:28.767: OrderManager - terminateOrder - cleaning up after Filled 9721  order was supposed to BUY 5 1.5287 LMT workingQty/OrderCount now -270/-16</t>
  </si>
  <si>
    <t>2015-2-11 11:0:28.768: RTWSControl - OrderStatus - Got OrderStatus Message id:9721 status: Filled filled: 5</t>
  </si>
  <si>
    <t>2015-2-11 11:0:28.768: RTWSControl - OrderStatus - exiting orderStatus</t>
  </si>
  <si>
    <t>2015-2-11 11:0:28.777: openOrderEx - I am here</t>
  </si>
  <si>
    <t>2015-2-11 11:0:28.785: RTWSControl - orderStatus -  entering orderStatus id is 9721 status is Filled</t>
  </si>
  <si>
    <t>2015-2-11 11:0:28.786: OrderManager - UpdateOrderStatus - id 9721 Setting status to Filled workingOrderCount is now -16 workingQty -270</t>
  </si>
  <si>
    <t>2015-2-11 11:0:28.786: OrderManager - terminateOrder - cleaning up after Filled 9721  order was supposed to BUY 5 1.5287 LMT workingQty/OrderCount now -270/-17</t>
  </si>
  <si>
    <t>2015-2-11 11:0:28.788: RTWSControl - OrderStatus - Got OrderStatus Message id:9721 status: Filled filled: 5</t>
  </si>
  <si>
    <t>2015-2-11 11:0:28.788: RTWSControl - OrderStatus - exiting orderStatus</t>
  </si>
  <si>
    <t>2015-2-11 11:0:28.809: openOrderEx - I am here</t>
  </si>
  <si>
    <t>2015-2-11 11:0:28.816: RTWSControl - orderStatus -  entering orderStatus id is 9721 status is Filled</t>
  </si>
  <si>
    <t>2015-2-11 11:0:28.816: OrderManager - UpdateOrderStatus - id 9721 Setting status to Filled workingOrderCount is now -17 workingQty -270</t>
  </si>
  <si>
    <t>2015-2-11 11:0:28.817: OrderManager - terminateOrder - cleaning up after Filled 9721  order was supposed to BUY 5 1.5287 LMT workingQty/OrderCount now -270/-18</t>
  </si>
  <si>
    <t>2015-2-11 11:0:28.819: RTWSControl - OrderStatus - Got OrderStatus Message id:9721 status: Filled filled: 5</t>
  </si>
  <si>
    <t>2015-2-11 11:0:28.819: RTWSControl - OrderStatus - exiting orderStatus</t>
  </si>
  <si>
    <t>2015-2-11 11:0:29.190: Algorithm - rehedge - rehedging 10 contracts</t>
  </si>
  <si>
    <t>2015-2-11 11:0:29.190: Algortihm - rehedge - inside the loop</t>
  </si>
  <si>
    <t>2015-2-11 11:0:29.191: OrderManager - PlaceOrder - id 9722 workingQty -265</t>
  </si>
  <si>
    <t>2015-2-11 11:0:29.193: OrderManager - sendOrder - exiting place order id 9722 BUY 5 1.5286  - workingQty -265 currentPosition is 110 workingOrderCount is -17</t>
  </si>
  <si>
    <t>2015-2-11 11:0:29.193: Algorithm - rehedge - placing an order - orderSize is 5 workingQty is -265 working order count -17</t>
  </si>
  <si>
    <t>2015-2-11 11:0:29.319: Algorithm - rehedge - rehedging 10 contracts</t>
  </si>
  <si>
    <t>2015-2-11 11:0:29.320: Algorithm - rehedge - Need to place order but already have a working order - workingQty is -265 working order count -17</t>
  </si>
  <si>
    <t>2015-2-11 11:0:30.407: RTWSControl - nextValidId - entering nextValidId id is 9723</t>
  </si>
  <si>
    <t>2015-2-11 11:0:30.683: openOrderEx - I am here</t>
  </si>
  <si>
    <t>2015-2-11 11:0:30.692: RTWSControl - orderStatus -  entering orderStatus id is 9722 status is Submitted</t>
  </si>
  <si>
    <t>2015-2-11 11:0:30.692: OrderManager - UpdateOrderStatus - id 9722 Setting status to Submitted workingOrderCount is now -17 workingQty -265</t>
  </si>
  <si>
    <t>2015-2-11 11:0:30.694: RTWSControl - OrderStatus - Got OrderStatus Message id:9722 status: Submitted filled: 0</t>
  </si>
  <si>
    <t>2015-2-11 11:0:30.695: RTWSControl - OrderStatus - exiting orderStatus</t>
  </si>
  <si>
    <t>2015-2-11 11:0:30.703: Algorithm - FindNextStrikes - price is 1.52865 nextStrikeUp/Down 1.53/1.525</t>
  </si>
  <si>
    <t>2015-2-11 11:0:30.703: Algorithm - getPortfolioForwardDelta - required deltas is 120 currentHedgePosition is 110</t>
  </si>
  <si>
    <t>2015-2-11 11:0:30.704: Algorithm - getHedgeShortfall - required deltas is 120 price is 1.52875 currentHedgePositionDeltas is 110</t>
  </si>
  <si>
    <t>2015-2-11 11:0:30.704: Algorithm - processTransitionPoint - nextUpper/LowerStrikes are 1.53/1.525 requiredDeltas/currentPosition/currentHedgeShortfall/direction/transitionPrice are 120/110/10/1/1.52875</t>
  </si>
  <si>
    <t>2015-2-11 11:0:30.705: TransitionLogger - processTransitionpoint - checking transition - currentHedgeShortfall is 10</t>
  </si>
  <si>
    <t>2015-2-11 11:0:30.705: Algorithm - rehedge - rehedging 10 contracts</t>
  </si>
  <si>
    <t>2015-2-11 11:0:30.705: Algorithm - rehedge - Need to place order but already have a working order - workingQty is -265 working order count -17</t>
  </si>
  <si>
    <t>2015-2-11 11:0:30.707: Algorithm - updatePortfolio - haveAllDetails is True</t>
  </si>
  <si>
    <t>2015-2-11 11:0:30.732: Algorithm - FindNextStrikes - price is 1.52865 nextStrikeUp/Down 1.53/1.525</t>
  </si>
  <si>
    <t>2015-2-11 11:0:30.733: Algorithm - getPortfolioForwardDelta - required deltas is 120 currentHedgePosition is 110</t>
  </si>
  <si>
    <t>2015-2-11 11:0:30.733: Algorithm - getHedgeShortfall - required deltas is 120 price is 1.52875 currentHedgePositionDeltas is 110</t>
  </si>
  <si>
    <t>2015-2-11 11:0:30.734: Algorithm - processTransitionPoint - nextUpper/LowerStrikes are 1.53/1.525 requiredDeltas/currentPosition/currentHedgeShortfall/direction/transitionPrice are 120/110/10/1/1.52875</t>
  </si>
  <si>
    <t>2015-2-11 11:0:30.735: TransitionLogger - processTransitionpoint - checking transition - currentHedgeShortfall is 10</t>
  </si>
  <si>
    <t>2015-2-11 11:0:30.735: Algorithm - rehedge - rehedging 10 contracts</t>
  </si>
  <si>
    <t>2015-2-11 11:0:30.735: Algorithm - rehedge - Need to place order but already have a working order - workingQty is -265 working order count -17</t>
  </si>
  <si>
    <t>2015-2-11 11:0:30.736: Algorithm - updatePortfolio - haveAllDetails is True</t>
  </si>
  <si>
    <t>2015-2-11 11:0:30.773: Algorithm - FindNextStrikes - price is 1.52865 nextStrikeUp/Down 1.53/1.525</t>
  </si>
  <si>
    <t>2015-2-11 11:0:30.774: Algorithm - getPortfolioForwardDelta - required deltas is 120 currentHedgePosition is 110</t>
  </si>
  <si>
    <t>2015-2-11 11:0:30.774: Algorithm - getHedgeShortfall - required deltas is 120 price is 1.52875 currentHedgePositionDeltas is 110</t>
  </si>
  <si>
    <t>2015-2-11 11:0:30.775: Algorithm - processTransitionPoint - nextUpper/LowerStrikes are 1.53/1.525 requiredDeltas/currentPosition/currentHedgeShortfall/direction/transitionPrice are 120/110/10/1/1.52875</t>
  </si>
  <si>
    <t>2015-2-11 11:0:30.775: TransitionLogger - processTransitionpoint - checking transition - currentHedgeShortfall is 10</t>
  </si>
  <si>
    <t>2015-2-11 11:0:30.776: Algorithm - rehedge - rehedging 10 contracts</t>
  </si>
  <si>
    <t>2015-2-11 11:0:30.776: Algorithm - rehedge - Need to place order but already have a working order - workingQty is -265 working order count -17</t>
  </si>
  <si>
    <t>2015-2-11 11:0:30.777: Algorithm - updatePortfolio - haveAllDetails is True</t>
  </si>
  <si>
    <t>2015-2-11 11:0:30.817: Algorithm - FindNextStrikes - price is 1.52865 nextStrikeUp/Down 1.53/1.525</t>
  </si>
  <si>
    <t>2015-2-11 11:0:30.818: Algorithm - getPortfolioForwardDelta - required deltas is 120 currentHedgePosition is 110</t>
  </si>
  <si>
    <t>2015-2-11 11:0:30.818: Algorithm - getHedgeShortfall - required deltas is 120 price is 1.52875 currentHedgePositionDeltas is 110</t>
  </si>
  <si>
    <t>2015-2-11 11:0:30.819: Algorithm - processTransitionPoint - nextUpper/LowerStrikes are 1.53/1.525 requiredDeltas/currentPosition/currentHedgeShortfall/direction/transitionPrice are 120/110/10/1/1.52875</t>
  </si>
  <si>
    <t>2015-2-11 11:0:30.819: TransitionLogger - processTransitionpoint - checking transition - currentHedgeShortfall is 10</t>
  </si>
  <si>
    <t>2015-2-11 11:0:30.820: Algorithm - rehedge - rehedging 10 contracts</t>
  </si>
  <si>
    <t>2015-2-11 11:0:30.820: Algorithm - rehedge - Need to place order but already have a working order - workingQty is -265 working order count -17</t>
  </si>
  <si>
    <t>2015-2-11 11:0:30.821: Algorithm - updatePortfolio - haveAllDetails is True</t>
  </si>
  <si>
    <t>2015-2-11 11:0:30.857: Algorithm - FindNextStrikes - price is 1.52865 nextStrikeUp/Down 1.53/1.525</t>
  </si>
  <si>
    <t>2015-2-11 11:0:30.858: Algorithm - getPortfolioForwardDelta - required deltas is 120 currentHedgePosition is 110</t>
  </si>
  <si>
    <t>2015-2-11 11:0:30.858: Algorithm - getHedgeShortfall - required deltas is 120 price is 1.52875 currentHedgePositionDeltas is 110</t>
  </si>
  <si>
    <t>2015-2-11 11:0:30.858: Algorithm - processTransitionPoint - nextUpper/LowerStrikes are 1.53/1.525 requiredDeltas/currentPosition/currentHedgeShortfall/direction/transitionPrice are 120/110/10/1/1.52875</t>
  </si>
  <si>
    <t>2015-2-11 11:0:30.859: TransitionLogger - processTransitionpoint - checking transition - currentHedgeShortfall is 10</t>
  </si>
  <si>
    <t>2015-2-11 11:0:30.859: Algorithm - rehedge - rehedging 10 contracts</t>
  </si>
  <si>
    <t>2015-2-11 11:0:30.859: Algorithm - rehedge - Need to place order but already have a working order - workingQty is -265 working order count -17</t>
  </si>
  <si>
    <t>2015-2-11 11:0:30.860: Algorithm - updatePortfolio - haveAllDetails is True</t>
  </si>
  <si>
    <t>2015-2-11 11:0:30.895: Algorithm - FindNextStrikes - price is 1.52865 nextStrikeUp/Down 1.53/1.525</t>
  </si>
  <si>
    <t>2015-2-11 11:0:30.895: Algorithm - getPortfolioForwardDelta - required deltas is 120 currentHedgePosition is 110</t>
  </si>
  <si>
    <t>2015-2-11 11:0:30.896: Algorithm - getHedgeShortfall - required deltas is 120 price is 1.52875 currentHedgePositionDeltas is 110</t>
  </si>
  <si>
    <t>2015-2-11 11:0:30.897: Algorithm - processTransitionPoint - nextUpper/LowerStrikes are 1.53/1.525 requiredDeltas/currentPosition/currentHedgeShortfall/direction/transitionPrice are 120/110/10/1/1.52875</t>
  </si>
  <si>
    <t>2015-2-11 11:0:30.897: TransitionLogger - processTransitionpoint - checking transition - currentHedgeShortfall is 10</t>
  </si>
  <si>
    <t>2015-2-11 11:0:30.897: Algorithm - rehedge - rehedging 10 contracts</t>
  </si>
  <si>
    <t>2015-2-11 11:0:30.898: Algorithm - rehedge - Need to place order but already have a working order - workingQty is -265 working order count -17</t>
  </si>
  <si>
    <t>2015-2-11 11:0:30.899: Algorithm - updatePortfolio - haveAllDetails is True</t>
  </si>
  <si>
    <t>2015-2-11 11:0:30.937: Algorithm - FindNextStrikes - price is 1.52865 nextStrikeUp/Down 1.53/1.525</t>
  </si>
  <si>
    <t>2015-2-11 11:0:30.937: Algorithm - getPortfolioForwardDelta - required deltas is 120 currentHedgePosition is 110</t>
  </si>
  <si>
    <t>2015-2-11 11:0:30.938: Algorithm - getHedgeShortfall - required deltas is 120 price is 1.52875 currentHedgePositionDeltas is 110</t>
  </si>
  <si>
    <t>2015-2-11 11:0:30.938: Algorithm - processTransitionPoint - nextUpper/LowerStrikes are 1.53/1.525 requiredDeltas/currentPosition/currentHedgeShortfall/direction/transitionPrice are 120/110/10/1/1.52875</t>
  </si>
  <si>
    <t>2015-2-11 11:0:30.939: TransitionLogger - processTransitionpoint - checking transition - currentHedgeShortfall is 10</t>
  </si>
  <si>
    <t>2015-2-11 11:0:30.939: Algorithm - rehedge - rehedging 10 contracts</t>
  </si>
  <si>
    <t>2015-2-11 11:0:30.939: Algorithm - rehedge - Need to place order but already have a working order - workingQty is -265 working order count -17</t>
  </si>
  <si>
    <t>2015-2-11 11:0:30.940: Algorithm - updatePortfolio - haveAllDetails is True</t>
  </si>
  <si>
    <t>2015-2-11 11:0:30.981: Algorithm - FindNextStrikes - price is 1.52865 nextStrikeUp/Down 1.53/1.525</t>
  </si>
  <si>
    <t>2015-2-11 11:0:30.981: Algorithm - getPortfolioForwardDelta - required deltas is 120 currentHedgePosition is 110</t>
  </si>
  <si>
    <t>2015-2-11 11:0:30.982: Algorithm - getHedgeShortfall - required deltas is 120 price is 1.52875 currentHedgePositionDeltas is 110</t>
  </si>
  <si>
    <t>2015-2-11 11:0:30.983: Algorithm - processTransitionPoint - nextUpper/LowerStrikes are 1.53/1.525 requiredDeltas/currentPosition/currentHedgeShortfall/direction/transitionPrice are 120/110/10/1/1.52875</t>
  </si>
  <si>
    <t>2015-2-11 11:0:30.983: TransitionLogger - processTransitionpoint - checking transition - currentHedgeShortfall is 10</t>
  </si>
  <si>
    <t>2015-2-11 11:0:30.983: Algorithm - rehedge - rehedging 10 contracts</t>
  </si>
  <si>
    <t>2015-2-11 11:0:30.984: Algorithm - rehedge - Need to place order but already have a working order - workingQty is -265 working order count -17</t>
  </si>
  <si>
    <t>2015-2-11 11:0:30.985: Algorithm - updatePortfolio - haveAllDetails is True</t>
  </si>
  <si>
    <t>2015-2-11 11:0:31.19: Algorithm - FindNextStrikes - price is 1.52865 nextStrikeUp/Down 1.53/1.525</t>
  </si>
  <si>
    <t>2015-2-11 11:0:31.20: Algorithm - getPortfolioForwardDelta - required deltas is 120 currentHedgePosition is 110</t>
  </si>
  <si>
    <t>2015-2-11 11:0:31.20: Algorithm - getHedgeShortfall - required deltas is 120 price is 1.52875 currentHedgePositionDeltas is 110</t>
  </si>
  <si>
    <t>2015-2-11 11:0:31.21: Algorithm - processTransitionPoint - nextUpper/LowerStrikes are 1.53/1.525 requiredDeltas/currentPosition/currentHedgeShortfall/direction/transitionPrice are 120/110/10/1/1.52875</t>
  </si>
  <si>
    <t>2015-2-11 11:0:31.21: TransitionLogger - processTransitionpoint - checking transition - currentHedgeShortfall is 10</t>
  </si>
  <si>
    <t>2015-2-11 11:0:31.21: Algorithm - rehedge - rehedging 10 contracts</t>
  </si>
  <si>
    <t>2015-2-11 11:0:31.22: Algorithm - rehedge - Need to place order but already have a working order - workingQty is -265 working order count -17</t>
  </si>
  <si>
    <t>2015-2-11 11:0:31.23: Algorithm - updatePortfolio - haveAllDetails is True</t>
  </si>
  <si>
    <t>2015-2-11 11:0:31.62: Algorithm - FindNextStrikes - price is 1.52865 nextStrikeUp/Down 1.53/1.525</t>
  </si>
  <si>
    <t>2015-2-11 11:0:31.63: Algorithm - getPortfolioForwardDelta - required deltas is 120 currentHedgePosition is 110</t>
  </si>
  <si>
    <t>2015-2-11 11:0:31.63: Algorithm - getHedgeShortfall - required deltas is 120 price is 1.52875 currentHedgePositionDeltas is 110</t>
  </si>
  <si>
    <t>2015-2-11 11:0:31.64: Algorithm - processTransitionPoint - nextUpper/LowerStrikes are 1.53/1.525 requiredDeltas/currentPosition/currentHedgeShortfall/direction/transitionPrice are 120/110/10/1/1.52875</t>
  </si>
  <si>
    <t>2015-2-11 11:0:31.64: TransitionLogger - processTransitionpoint - checking transition - currentHedgeShortfall is 10</t>
  </si>
  <si>
    <t>2015-2-11 11:0:31.65: Algorithm - rehedge - rehedging 10 contracts</t>
  </si>
  <si>
    <t>2015-2-11 11:0:31.65: Algorithm - rehedge - Need to place order but already have a working order - workingQty is -265 working order count -17</t>
  </si>
  <si>
    <t>2015-2-11 11:0:31.66: Algorithm - updatePortfolio - haveAllDetails is True</t>
  </si>
  <si>
    <t>2015-2-11 11:0:37.438: Algorithm - FindNextStrikes - price is 1.52865 nextStrikeUp/Down 1.53/1.525</t>
  </si>
  <si>
    <t>2015-2-11 11:0:37.439: Algorithm - getPortfolioForwardDelta - required deltas is 120 currentHedgePosition is 110</t>
  </si>
  <si>
    <t>2015-2-11 11:0:37.439: Algorithm - getHedgeShortfall - required deltas is 120 price is 1.52875 currentHedgePositionDeltas is 110</t>
  </si>
  <si>
    <t>2015-2-11 11:0:37.440: Algorithm - processTransitionPoint - nextUpper/LowerStrikes are 1.53/1.525 requiredDeltas/currentPosition/currentHedgeShortfall/direction/transitionPrice are 120/110/10/1/1.52875</t>
  </si>
  <si>
    <t>2015-2-11 11:0:37.441: TransitionLogger - processTransitionpoint - checking transition - currentHedgeShortfall is 10</t>
  </si>
  <si>
    <t>2015-2-11 11:0:37.441: Algorithm - rehedge - rehedging 10 contracts</t>
  </si>
  <si>
    <t>2015-2-11 11:0:37.441: Algorithm - rehedge - Need to place order but already have a working order - workingQty is -265 working order count -17</t>
  </si>
  <si>
    <t>2015-2-11 11:0:37.443: Algorithm - updatePortfolio - haveAllDetails is True</t>
  </si>
  <si>
    <t>2015-2-11 11:0:37.475: Algorithm - FindNextStrikes - price is 1.52865 nextStrikeUp/Down 1.53/1.525</t>
  </si>
  <si>
    <t>2015-2-11 11:0:37.476: Algorithm - getPortfolioForwardDelta - required deltas is 120 currentHedgePosition is 110</t>
  </si>
  <si>
    <t>2015-2-11 11:0:37.476: Algorithm - getHedgeShortfall - required deltas is 120 price is 1.52875 currentHedgePositionDeltas is 110</t>
  </si>
  <si>
    <t>2015-2-11 11:0:37.477: Algorithm - processTransitionPoint - nextUpper/LowerStrikes are 1.53/1.525 requiredDeltas/currentPosition/currentHedgeShortfall/direction/transitionPrice are 120/110/10/1/1.52875</t>
  </si>
  <si>
    <t>2015-2-11 11:0:37.477: TransitionLogger - processTransitionpoint - checking transition - currentHedgeShortfall is 10</t>
  </si>
  <si>
    <t>2015-2-11 11:0:37.478: Algorithm - rehedge - rehedging 10 contracts</t>
  </si>
  <si>
    <t>2015-2-11 11:0:37.478: Algorithm - rehedge - Need to place order but already have a working order - workingQty is -265 working order count -17</t>
  </si>
  <si>
    <t>2015-2-11 11:0:37.479: Algorithm - updatePortfolio - haveAllDetails is True</t>
  </si>
  <si>
    <t>2015-2-11 11:0:37.523: Algorithm - FindNextStrikes - price is 1.52865 nextStrikeUp/Down 1.53/1.525</t>
  </si>
  <si>
    <t>2015-2-11 11:0:37.524: Algorithm - getPortfolioForwardDelta - required deltas is 120 currentHedgePosition is 110</t>
  </si>
  <si>
    <t>2015-2-11 11:0:37.524: Algorithm - getHedgeShortfall - required deltas is 120 price is 1.52875 currentHedgePositionDeltas is 110</t>
  </si>
  <si>
    <t>2015-2-11 11:0:37.525: Algorithm - processTransitionPoint - nextUpper/LowerStrikes are 1.53/1.525 requiredDeltas/currentPosition/currentHedgeShortfall/direction/transitionPrice are 120/110/10/1/1.52875</t>
  </si>
  <si>
    <t>2015-2-11 11:0:37.525: TransitionLogger - processTransitionpoint - checking transition - currentHedgeShortfall is 10</t>
  </si>
  <si>
    <t>2015-2-11 11:0:37.525: Algorithm - rehedge - rehedging 10 contracts</t>
  </si>
  <si>
    <t>2015-2-11 11:0:37.526: Algorithm - rehedge - Need to place order but already have a working order - workingQty is -265 working order count -17</t>
  </si>
  <si>
    <t>2015-2-11 11:0:37.527: Algorithm - updatePortfolio - haveAllDetails is True</t>
  </si>
  <si>
    <t>2015-2-11 11:0:37.558: Algorithm - FindNextStrikes - price is 1.52865 nextStrikeUp/Down 1.53/1.525</t>
  </si>
  <si>
    <t>2015-2-11 11:0:37.559: Algorithm - getPortfolioForwardDelta - required deltas is 120 currentHedgePosition is 110</t>
  </si>
  <si>
    <t>2015-2-11 11:0:37.559: Algorithm - getHedgeShortfall - required deltas is 120 price is 1.52875 currentHedgePositionDeltas is 110</t>
  </si>
  <si>
    <t>2015-2-11 11:0:37.560: Algorithm - processTransitionPoint - nextUpper/LowerStrikes are 1.53/1.525 requiredDeltas/currentPosition/currentHedgeShortfall/direction/transitionPrice are 120/110/10/1/1.52875</t>
  </si>
  <si>
    <t>2015-2-11 11:0:37.560: TransitionLogger - processTransitionpoint - checking transition - currentHedgeShortfall is 10</t>
  </si>
  <si>
    <t>2015-2-11 11:0:37.561: Algorithm - rehedge - rehedging 10 contracts</t>
  </si>
  <si>
    <t>2015-2-11 11:0:37.561: Algorithm - rehedge - Need to place order but already have a working order - workingQty is -265 working order count -17</t>
  </si>
  <si>
    <t>2015-2-11 11:0:37.562: Algorithm - updatePortfolio - haveAllDetails is True</t>
  </si>
  <si>
    <t>2015-2-11 11:0:37.597: Algorithm - FindNextStrikes - price is 1.52865 nextStrikeUp/Down 1.53/1.525</t>
  </si>
  <si>
    <t>2015-2-11 11:0:37.598: Algorithm - getPortfolioForwardDelta - required deltas is 120 currentHedgePosition is 110</t>
  </si>
  <si>
    <t>2015-2-11 11:0:37.598: Algorithm - getHedgeShortfall - required deltas is 120 price is 1.52875 currentHedgePositionDeltas is 110</t>
  </si>
  <si>
    <t>2015-2-11 11:0:37.598: Algorithm - processTransitionPoint - nextUpper/LowerStrikes are 1.53/1.525 requiredDeltas/currentPosition/currentHedgeShortfall/direction/transitionPrice are 120/110/10/1/1.52875</t>
  </si>
  <si>
    <t>2015-2-11 11:0:37.599: TransitionLogger - processTransitionpoint - checking transition - currentHedgeShortfall is 10</t>
  </si>
  <si>
    <t>2015-2-11 11:0:37.599: Algorithm - rehedge - rehedging 10 contracts</t>
  </si>
  <si>
    <t>2015-2-11 11:0:37.599: Algorithm - rehedge - Need to place order but already have a working order - workingQty is -265 working order count -17</t>
  </si>
  <si>
    <t>2015-2-11 11:0:37.600: Algorithm - updatePortfolio - haveAllDetails is True</t>
  </si>
  <si>
    <t>2015-2-11 11:0:37.645: Algorithm - FindNextStrikes - price is 1.52865 nextStrikeUp/Down 1.53/1.525</t>
  </si>
  <si>
    <t>2015-2-11 11:0:37.645: Algorithm - getPortfolioForwardDelta - required deltas is 120 currentHedgePosition is 110</t>
  </si>
  <si>
    <t>2015-2-11 11:0:37.646: Algorithm - getHedgeShortfall - required deltas is 120 price is 1.52875 currentHedgePositionDeltas is 110</t>
  </si>
  <si>
    <t>2015-2-11 11:0:37.646: Algorithm - processTransitionPoint - nextUpper/LowerStrikes are 1.53/1.525 requiredDeltas/currentPosition/currentHedgeShortfall/direction/transitionPrice are 120/110/10/1/1.52875</t>
  </si>
  <si>
    <t>2015-2-11 11:0:37.647: TransitionLogger - processTransitionpoint - checking transition - currentHedgeShortfall is 10</t>
  </si>
  <si>
    <t>2015-2-11 11:0:37.647: Algorithm - rehedge - rehedging 10 contracts</t>
  </si>
  <si>
    <t>2015-2-11 11:0:37.648: Algorithm - rehedge - Need to place order but already have a working order - workingQty is -265 working order count -17</t>
  </si>
  <si>
    <t>2015-2-11 11:0:37.649: Algorithm - updatePortfolio - haveAllDetails is True</t>
  </si>
  <si>
    <t>2015-2-11 11:0:37.690: Algorithm - FindNextStrikes - price is 1.52865 nextStrikeUp/Down 1.53/1.525</t>
  </si>
  <si>
    <t>2015-2-11 11:0:37.690: Algorithm - getPortfolioForwardDelta - required deltas is 120 currentHedgePosition is 110</t>
  </si>
  <si>
    <t>2015-2-11 11:0:37.690: Algorithm - getHedgeShortfall - required deltas is 120 price is 1.52875 currentHedgePositionDeltas is 110</t>
  </si>
  <si>
    <t>2015-2-11 11:0:37.691: Algorithm - processTransitionPoint - nextUpper/LowerStrikes are 1.53/1.525 requiredDeltas/currentPosition/currentHedgeShortfall/direction/transitionPrice are 120/110/10/1/1.52875</t>
  </si>
  <si>
    <t>2015-2-11 11:0:37.691: TransitionLogger - processTransitionpoint - checking transition - currentHedgeShortfall is 10</t>
  </si>
  <si>
    <t>2015-2-11 11:0:37.692: Algorithm - rehedge - rehedging 10 contracts</t>
  </si>
  <si>
    <t>2015-2-11 11:0:37.692: Algorithm - rehedge - Need to place order but already have a working order - workingQty is -265 working order count -17</t>
  </si>
  <si>
    <t>2015-2-11 11:0:37.693: Algorithm - updatePortfolio - haveAllDetails is True</t>
  </si>
  <si>
    <t>2015-2-11 11:0:37.732: Algorithm - FindNextStrikes - price is 1.52865 nextStrikeUp/Down 1.53/1.525</t>
  </si>
  <si>
    <t>2015-2-11 11:0:37.732: Algorithm - getPortfolioForwardDelta - required deltas is 120 currentHedgePosition is 110</t>
  </si>
  <si>
    <t>2015-2-11 11:0:37.733: Algorithm - getHedgeShortfall - required deltas is 120 price is 1.52875 currentHedgePositionDeltas is 110</t>
  </si>
  <si>
    <t>2015-2-11 11:0:37.734: Algorithm - processTransitionPoint - nextUpper/LowerStrikes are 1.53/1.525 requiredDeltas/currentPosition/currentHedgeShortfall/direction/transitionPrice are 120/110/10/1/1.52875</t>
  </si>
  <si>
    <t>2015-2-11 11:0:37.734: TransitionLogger - processTransitionpoint - checking transition - currentHedgeShortfall is 10</t>
  </si>
  <si>
    <t>2015-2-11 11:0:37.735: Algorithm - rehedge - rehedging 10 contracts</t>
  </si>
  <si>
    <t>2015-2-11 11:0:37.735: Algorithm - rehedge - Need to place order but already have a working order - workingQty is -265 working order count -17</t>
  </si>
  <si>
    <t>2015-2-11 11:0:37.736: Algorithm - updatePortfolio - haveAllDetails is True</t>
  </si>
  <si>
    <t>2015-2-11 11:0:37.773: Algorithm - FindNextStrikes - price is 1.52865 nextStrikeUp/Down 1.53/1.525</t>
  </si>
  <si>
    <t>2015-2-11 11:0:37.773: Algorithm - getPortfolioForwardDelta - required deltas is 120 currentHedgePosition is 110</t>
  </si>
  <si>
    <t>2015-2-11 11:0:37.774: Algorithm - getHedgeShortfall - required deltas is 120 price is 1.52875 currentHedgePositionDeltas is 110</t>
  </si>
  <si>
    <t>2015-2-11 11:0:37.774: Algorithm - processTransitionPoint - nextUpper/LowerStrikes are 1.53/1.525 requiredDeltas/currentPosition/currentHedgeShortfall/direction/transitionPrice are 120/110/10/1/1.52875</t>
  </si>
  <si>
    <t>2015-2-11 11:0:37.775: TransitionLogger - processTransitionpoint - checking transition - currentHedgeShortfall is 10</t>
  </si>
  <si>
    <t>2015-2-11 11:0:37.775: Algorithm - rehedge - rehedging 10 contracts</t>
  </si>
  <si>
    <t>2015-2-11 11:0:37.775: Algorithm - rehedge - Need to place order but already have a working order - workingQty is -265 working order count -17</t>
  </si>
  <si>
    <t>2015-2-11 11:0:37.776: Algorithm - updatePortfolio - haveAllDetails is True</t>
  </si>
  <si>
    <t>2015-2-11 11:0:37.812: Algorithm - FindNextStrikes - price is 1.52865 nextStrikeUp/Down 1.53/1.525</t>
  </si>
  <si>
    <t>2015-2-11 11:0:37.812: Algorithm - getPortfolioForwardDelta - required deltas is 120 currentHedgePosition is 110</t>
  </si>
  <si>
    <t>2015-2-11 11:0:37.813: Algorithm - getHedgeShortfall - required deltas is 120 price is 1.52875 currentHedgePositionDeltas is 110</t>
  </si>
  <si>
    <t>2015-2-11 11:0:37.814: Algorithm - processTransitionPoint - nextUpper/LowerStrikes are 1.53/1.525 requiredDeltas/currentPosition/currentHedgeShortfall/direction/transitionPrice are 120/110/10/1/1.52875</t>
  </si>
  <si>
    <t>2015-2-11 11:0:37.814: TransitionLogger - processTransitionpoint - checking transition - currentHedgeShortfall is 10</t>
  </si>
  <si>
    <t>2015-2-11 11:0:37.814: Algorithm - rehedge - rehedging 10 contracts</t>
  </si>
  <si>
    <t>2015-2-11 11:0:37.815: Algorithm - rehedge - Need to place order but already have a working order - workingQty is -265 working order count -17</t>
  </si>
  <si>
    <t>2015-2-11 11:0:37.816: Algorithm - updatePortfolio - haveAllDetails is True</t>
  </si>
  <si>
    <t>2015-2-11 11:0:44.528: Algorithm - rehedge - rehedging 10 contracts</t>
  </si>
  <si>
    <t>2015-2-11 11:0:44.529: Algorithm - rehedge - Need to place order but already have a working order - workingQty is -265 working order count -17</t>
  </si>
  <si>
    <t>2015-2-11 11:0:44.596: OrderManager - cancelOrder - cancelling order id 9722</t>
  </si>
  <si>
    <t>2015-2-11 11:0:44.596: Algorithm - checkWorkingOrders - cancelling BUY - orderPrice 1.5286 too far from marketPrice 1.52875</t>
  </si>
  <si>
    <t>2015-2-11 11:0:44.597: Algorithm - rehedge - rehedging 10 contracts</t>
  </si>
  <si>
    <t>2015-2-11 11:0:44.597: Algorithm - rehedge - Need to place order but already have a working order - workingQty is -265 working order count -17</t>
  </si>
  <si>
    <t>2015-2-11 11:0:45.186: RTWSControl - orderStatus -  entering orderStatus id is 9722 status is Cancelled</t>
  </si>
  <si>
    <t>2015-2-11 11:0:45.187: OrderManager - UpdateOrderStatus - id 9722 Setting status to Cancelled workingOrderCount is now -17 workingQty -265</t>
  </si>
  <si>
    <t>2015-2-11 11:0:45.189: RTWSControl - OrderStatus - Got OrderStatus Message id:9722 status: Cancelled filled: 0</t>
  </si>
  <si>
    <t>2015-2-11 11:0:45.189: RTWSControl - OrderStatus - exiting orderStatus</t>
  </si>
  <si>
    <t>2015-2-11 11:0:45.197: RTWSControl - errMsg - got error message 202:Order Canceled - reason:with id 9722</t>
  </si>
  <si>
    <t>2015-2-11 11:0:45.197: OrderManager - canceledOrder - cleaning up after canceled order 9722BEWARE UNACCOUNTED FOR EXECUTIONS!!!</t>
  </si>
  <si>
    <t>2015-2-11 11:0:45.199: OrderManager - terminateOrder - cleaning up after Canceled 9722  order was supposed to BUY 5 1.5286 LMT workingQty/OrderCount now -270/-18</t>
  </si>
  <si>
    <t>2015-2-11 11:0:48.306: Algorithm - rehedge - rehedging 10 contracts</t>
  </si>
  <si>
    <t>2015-2-11 11:0:48.307: Algortihm - rehedge - inside the loop</t>
  </si>
  <si>
    <t>2015-2-11 11:0:48.307: OrderManager - PlaceOrder - id 9723 workingQty -265</t>
  </si>
  <si>
    <t>2015-2-11 11:0:48.310: OrderManager - sendOrder - exiting place order id 9723 BUY 5 1.5287  - workingQty -265 currentPosition is 110 workingOrderCount is -17</t>
  </si>
  <si>
    <t>2015-2-11 11:0:48.311: Algorithm - rehedge - placing an order - orderSize is 5 workingQty is -265 working order count -17</t>
  </si>
  <si>
    <t>2015-2-11 11:0:48.314: OrderManager - cancelOrder - cancelling order id 9719</t>
  </si>
  <si>
    <t>2015-2-11 11:0:48.315: OrderManager - createOrder - exiting without creating order - did not have validID</t>
  </si>
  <si>
    <t>2015-2-11 11:0:48.315: OrderManager - cancelOrder - cancelling order id 9720</t>
  </si>
  <si>
    <t>2015-2-11 11:0:48.350: Algorithm - rehedge - rehedging 10 contracts</t>
  </si>
  <si>
    <t>2015-2-11 11:0:48.350: Algorithm - rehedge - Need to place order but already have a working order - workingQty is -265 working order count -17</t>
  </si>
  <si>
    <t>2015-2-11 11:0:48.352: OrderManager - createOrder - exiting without creating order - did not have validID</t>
  </si>
  <si>
    <t>2015-2-11 11:0:48.518: Algorithm - rehedge - rehedging 10 contracts</t>
  </si>
  <si>
    <t>2015-2-11 11:0:48.519: Algorithm - rehedge - Need to place order but already have a working order - workingQty is -265 working order count -17</t>
  </si>
  <si>
    <t>2015-2-11 11:0:48.521: OrderManager - createOrder - exiting without creating order - did not have validID</t>
  </si>
  <si>
    <t>2015-2-11 11:0:48.569: RTWSControl - nextValidId - entering nextValidId id is 9724</t>
  </si>
  <si>
    <t>2015-2-11 11:0:48.601: openOrderEx - I am here</t>
  </si>
  <si>
    <t>2015-2-11 11:0:48.610: RTWSControl - orderStatus -  entering orderStatus id is 9723 status is Submitted</t>
  </si>
  <si>
    <t>2015-2-11 11:0:48.610: OrderManager - UpdateOrderStatus - id 9723 Setting status to Submitted workingOrderCount is now -17 workingQty -265</t>
  </si>
  <si>
    <t>2015-2-11 11:0:48.612: RTWSControl - OrderStatus - Got OrderStatus Message id:9723 status: Submitted filled: 0</t>
  </si>
  <si>
    <t>2015-2-11 11:0:48.612: RTWSControl - OrderStatus - exiting orderStatus</t>
  </si>
  <si>
    <t>2015-2-11 11:0:48.621: RTWSControl - orderStatus -  entering orderStatus id is 9719 status is Cancelled</t>
  </si>
  <si>
    <t>2015-2-11 11:0:48.621: OrderManager - UpdateOrderStatus - id 9719 Setting status to Cancelled workingOrderCount is now -17 workingQty -265</t>
  </si>
  <si>
    <t>2015-2-11 11:0:48.623: RTWSControl - OrderStatus - Got OrderStatus Message id:9719 status: Cancelled filled: 0</t>
  </si>
  <si>
    <t>2015-2-11 11:0:48.623: RTWSControl - OrderStatus - exiting orderStatus</t>
  </si>
  <si>
    <t>2015-2-11 11:0:48.642: RTWSControl - errMsg - got error message 202:Order Canceled - reason:with id 9719</t>
  </si>
  <si>
    <t>2015-2-11 11:0:48.642: OrderManager - canceledOrder - cleaning up after canceled order 9719BEWARE UNACCOUNTED FOR EXECUTIONS!!!</t>
  </si>
  <si>
    <t>2015-2-11 11:0:48.643: OrderManager - terminateOrder - cleaning up after Canceled 9719  order was supposed to BUY 36 1.5392 STP LMT workingQty/OrderCount now -301/-18</t>
  </si>
  <si>
    <t>2015-2-11 11:0:49.309: RTWSControl - orderStatus -  entering orderStatus id is 9720 status is Cancelled</t>
  </si>
  <si>
    <t>2015-2-11 11:0:49.309: OrderManager - UpdateOrderStatus - id 9720 Setting status to Cancelled workingOrderCount is now -18 workingQty -301</t>
  </si>
  <si>
    <t>2015-2-11 11:0:49.312: RTWSControl - OrderStatus - Got OrderStatus Message id:9720 status: Cancelled filled: 0</t>
  </si>
  <si>
    <t>2015-2-11 11:0:49.312: RTWSControl - OrderStatus - exiting orderStatus</t>
  </si>
  <si>
    <t>2015-2-11 11:0:49.320: RTWSControl - errMsg - got error message 202:Order Canceled - reason:with id 9720</t>
  </si>
  <si>
    <t>2015-2-11 11:0:49.320: OrderManager - canceledOrder - cleaning up after canceled order 9720BEWARE UNACCOUNTED FOR EXECUTIONS!!!</t>
  </si>
  <si>
    <t>2015-2-11 11:0:49.321: OrderManager - terminateOrder - cleaning up after Canceled 9720  order was supposed to SELL 36 1.5272 STP LMT workingQty/OrderCount now -337/-19</t>
  </si>
  <si>
    <t>2015-2-11 11:0:49.349: Algorithm - rehedge - rehedging 10 contracts</t>
  </si>
  <si>
    <t>2015-2-11 11:0:49.349: Algorithm - rehedge - Need to place order but already have a working order - workingQty is -337 working order count -19</t>
  </si>
  <si>
    <t>2015-2-11 11:0:49.351: OrderManager - PlaceOrder - id 9724 workingQty -298</t>
  </si>
  <si>
    <t>2015-2-11 11:0:49.354: OrderManager - sendOrder - exiting place order id 9724 BUY 39 1.5403  - workingQty -298 currentPosition is 110 workingOrderCount is -18</t>
  </si>
  <si>
    <t>2015-2-11 11:0:49.355: OrderManager - createOrder - exiting without creating order - did not have validID</t>
  </si>
  <si>
    <t>2015-2-11 11:0:49.567: RTWSControl - nextValidId - entering nextValidId id is 9725</t>
  </si>
  <si>
    <t>2015-2-11 11:0:49.666: openOrderEx - I am here</t>
  </si>
  <si>
    <t>2015-2-11 11:0:49.701: RTWSControl - orderStatus -  entering orderStatus id is 9724 status is PreSubmitted</t>
  </si>
  <si>
    <t>2015-2-11 11:0:49.702: OrderManager - UpdateOrderStatus - id 9724 Setting status to PreSubmitted workingOrderCount is now -18 workingQty -298</t>
  </si>
  <si>
    <t>2015-2-11 11:0:49.705: RTWSControl - OrderStatus - Got OrderStatus Message id:9724 status: PreSubmitted filled: 0</t>
  </si>
  <si>
    <t>2015-2-11 11:0:49.706: RTWSControl - OrderStatus - exiting orderStatus</t>
  </si>
  <si>
    <t>2015-2-11 11:1:19.21: Algorithm - rehedge - rehedging 10 contracts</t>
  </si>
  <si>
    <t>2015-2-11 11:1:19.21: Algorithm - rehedge - Need to place order but already have a working order - workingQty is -298 working order count -18</t>
  </si>
  <si>
    <t>2015-2-11 11:1:19.23: OrderManager - PlaceOrder - id 9725 workingQty -336</t>
  </si>
  <si>
    <t>2015-2-11 11:1:19.24: OrderManager - sendOrder - exiting place order id 9725 SELL 38 1.5273  - workingQty -336 currentPosition is 110 workingOrderCount is -17</t>
  </si>
  <si>
    <t>2015-2-11 11:1:19.237: RTWSControl - nextValidId - entering nextValidId id is 9726</t>
  </si>
  <si>
    <t>2015-2-11 11:1:19.264: openOrderEx - I am here</t>
  </si>
  <si>
    <t>2015-2-11 11:1:19.273: RTWSControl - orderStatus -  entering orderStatus id is 9725 status is PreSubmitted</t>
  </si>
  <si>
    <t>2015-2-11 11:1:19.273: OrderManager - UpdateOrderStatus - id 9725 Setting status to PreSubmitted workingOrderCount is now -17 workingQty -336</t>
  </si>
  <si>
    <t>2015-2-11 11:1:19.275: RTWSControl - OrderStatus - Got OrderStatus Message id:9725 status: PreSubmitted filled: 0</t>
  </si>
  <si>
    <t>2015-2-11 11:1:19.275: RTWSControl - OrderStatus - exiting orderStatus</t>
  </si>
  <si>
    <t>2015-2-11 11:1:19.481: OrderManager - cancelOrder - cancelling order id 9723</t>
  </si>
  <si>
    <t>2015-2-11 11:1:19.482: Algorithm - checkWorkingOrders - cancelling BUY - orderPrice 1.5287 too far from marketPrice 1.52885</t>
  </si>
  <si>
    <t>2015-2-11 11:1:19.485: Algorithm - rehedge - rehedging 10 contracts</t>
  </si>
  <si>
    <t>2015-2-11 11:1:19.486: Algorithm - rehedge - Need to place order but already have a working order - workingQty is -336 working order count -17</t>
  </si>
  <si>
    <t>2015-2-11 11:1:19.980: RTWSControl - orderStatus -  entering orderStatus id is 9723 status is Cancelled</t>
  </si>
  <si>
    <t>2015-2-11 11:1:19.980: OrderManager - UpdateOrderStatus - id 9723 Setting status to Cancelled workingOrderCount is now -17 workingQty -336</t>
  </si>
  <si>
    <t>2015-2-11 11:1:19.983: RTWSControl - OrderStatus - Got OrderStatus Message id:9723 status: Cancelled filled: 0</t>
  </si>
  <si>
    <t>2015-2-11 11:1:19.983: RTWSControl - OrderStatus - exiting orderStatus</t>
  </si>
  <si>
    <t>2015-2-11 11:1:19.991: RTWSControl - errMsg - got error message 202:Order Canceled - reason:with id 9723</t>
  </si>
  <si>
    <t>2015-2-11 11:1:19.992: OrderManager - canceledOrder - cleaning up after canceled order 9723BEWARE UNACCOUNTED FOR EXECUTIONS!!!</t>
  </si>
  <si>
    <t>2015-2-11 11:1:19.993: OrderManager - terminateOrder - cleaning up after Canceled 9723  order was supposed to BUY 5 1.5287 LMT workingQty/OrderCount now -341/-18</t>
  </si>
  <si>
    <t>2015-2-11 11:1:20.1: Algorithm - rehedge - rehedging 10 contracts</t>
  </si>
  <si>
    <t>2015-2-11 11:1:20.2: Algortihm - rehedge - inside the loop</t>
  </si>
  <si>
    <t>2015-2-11 11:1:20.2: OrderManager - PlaceOrder - id 9726 workingQty -336</t>
  </si>
  <si>
    <t>2015-2-11 11:1:20.5: OrderManager - sendOrder - exiting place order id 9726 BUY 5 1.5288  - workingQty -336 currentPosition is 110 workingOrderCount is -17</t>
  </si>
  <si>
    <t>2015-2-11 11:1:20.5: Algorithm - rehedge - placing an order - orderSize is 5 workingQty is -336 working order count -17</t>
  </si>
  <si>
    <t>2015-2-11 11:1:20.84: RTWSControl - nextValidId - entering nextValidId id is 9727</t>
  </si>
  <si>
    <t>2015-2-11 11:1:20.299: Algorithm - rehedge - rehedging 10 contracts</t>
  </si>
  <si>
    <t>2015-2-11 11:1:20.301: Algorithm - rehedge - Need to place order but already have a working order - workingQty is -336 working order count -17</t>
  </si>
  <si>
    <t>2015-2-11 11:1:20.433: openOrderEx - I am here</t>
  </si>
  <si>
    <t>2015-2-11 11:1:20.442: RTWSControl - orderStatus -  entering orderStatus id is 9726 status is Submitted</t>
  </si>
  <si>
    <t>2015-2-11 11:1:20.442: OrderManager - UpdateOrderStatus - id 9726 Setting status to Submitted workingOrderCount is now -17 workingQty -336</t>
  </si>
  <si>
    <t>2015-2-11 11:1:20.444: RTWSControl - OrderStatus - Got OrderStatus Message id:9726 status: Submitted filled: 0</t>
  </si>
  <si>
    <t>2015-2-11 11:1:20.444: RTWSControl - OrderStatus - exiting orderStatus</t>
  </si>
  <si>
    <t>2015-2-11 11:1:21.107: RTWSControl - execDetails -  entering execDetailsEx execution id is 0001f4e5.54da9bd7.01.01 shares/cumQty is 3/3</t>
  </si>
  <si>
    <t>2015-2-11 11:1:21.108: Algorithm - FindNextStrikes - price is 1.52885 nextStrikeUp/Down 1.53/1.525</t>
  </si>
  <si>
    <t>2015-2-11 11:1:21.108: Algorithm - getPortfolioForwardDelta - required deltas is 120 currentHedgePosition is 113</t>
  </si>
  <si>
    <t>2015-2-11 11:1:21.109: Algorithm - getHedgeShortfall - required deltas is 120 price is 1.52895 currentHedgePositionDeltas is 113</t>
  </si>
  <si>
    <t>2015-2-11 11:1:21.109: Algorithm - processTransitionPoint - nextUpper/LowerStrikes are 1.53/1.525 requiredDeltas/currentPosition/currentHedgeShortfall/direction/transitionPrice are 120/113/7/1/1.52895</t>
  </si>
  <si>
    <t>2015-2-11 11:1:21.110: TransitionLogger - processTransitionpoint - checking transition - currentHedgeShortfall is 7</t>
  </si>
  <si>
    <t>2015-2-11 11:1:21.110: OrderManager - updateExecution - got a fill for id 9726 qty 3 side BOT price 1.5288 - new working order size is -339 new instrument.qty is 113</t>
  </si>
  <si>
    <t>0001f4e5.54da9bd7.01.01</t>
  </si>
  <si>
    <t>20150211  11:01:21</t>
  </si>
  <si>
    <t>2015-2-11 11:1:21.112: OrderManagerView - UpdateExecutionView - entering updateExecutionView  executionId is 0001f4e5.54da9bd7.01.01</t>
  </si>
  <si>
    <t>2015-2-11 11:1:21.113: OrderManagerView - updateExecutionView -  exiting UpdateExecutionView</t>
  </si>
  <si>
    <t>2015-2-11 11:1:21.113: RTWSControl - execDetails -  exiting execDetailsEx</t>
  </si>
  <si>
    <t>2015-2-11 11:1:21.114: RTWSControl - execDetails - Got execution Message id:-1</t>
  </si>
  <si>
    <t>2015-2-11 11:1:21.124: openOrderEx - I am here</t>
  </si>
  <si>
    <t>2015-2-11 11:1:21.134: RTWSControl - orderStatus -  entering orderStatus id is 9726 status is Submitted</t>
  </si>
  <si>
    <t>2015-2-11 11:1:21.134: OrderManager - UpdateOrderStatus - id 9726 Setting status to Submitted workingOrderCount is now -17 workingQty -339</t>
  </si>
  <si>
    <t>2015-2-11 11:1:21.136: RTWSControl - OrderStatus - Got OrderStatus Message id:9726 status: Submitted filled: 3</t>
  </si>
  <si>
    <t>2015-2-11 11:1:21.137: RTWSControl - OrderStatus - exiting orderStatus</t>
  </si>
  <si>
    <t>2015-2-11 11:1:21.237: openOrderEx - I am here</t>
  </si>
  <si>
    <t>2015-2-11 11:1:21.248: RTWSControl - orderStatus -  entering orderStatus id is 9726 status is Submitted</t>
  </si>
  <si>
    <t>2015-2-11 11:1:21.248: OrderManager - UpdateOrderStatus - id 9726 Setting status to Submitted workingOrderCount is now -17 workingQty -339</t>
  </si>
  <si>
    <t>2015-2-11 11:1:21.250: RTWSControl - OrderStatus - Got OrderStatus Message id:9726 status: Submitted filled: 3</t>
  </si>
  <si>
    <t>2015-2-11 11:1:21.250: RTWSControl - OrderStatus - exiting orderStatus</t>
  </si>
  <si>
    <t>2015-2-11 11:1:21.686: Algorithm - rehedge - rehedging 7 contracts</t>
  </si>
  <si>
    <t>2015-2-11 11:1:21.687: Algorithm - rehedge - Need to place order but already have a working order - workingQty is -339 working order count -17</t>
  </si>
  <si>
    <t>2015-2-11 11:1:21.731: RTWSControl - execDetails -  entering execDetailsEx execution id is 0001f4e5.54da9bd9.01.01 shares/cumQty is 2/5</t>
  </si>
  <si>
    <t>2015-2-11 11:1:21.732: Algorithm - FindNextStrikes - price is 1.5288 nextStrikeUp/Down 1.53/1.525</t>
  </si>
  <si>
    <t>2015-2-11 11:1:21.732: Algorithm - getPortfolioForwardDelta - required deltas is 120 currentHedgePosition is 115</t>
  </si>
  <si>
    <t>2015-2-11 11:1:21.733: Algorithm - getHedgeShortfall - required deltas is 120 price is 1.5289 currentHedgePositionDeltas is 115</t>
  </si>
  <si>
    <t>2015-2-11 11:1:21.733: Algorithm - processTransitionPoint - nextUpper/LowerStrikes are 1.53/1.525 requiredDeltas/currentPosition/currentHedgeShortfall/direction/transitionPrice are 120/115/5/1/1.5289</t>
  </si>
  <si>
    <t>2015-2-11 11:1:21.734: TransitionLogger - processTransitionpoint - checking transition - currentHedgeShortfall is 5</t>
  </si>
  <si>
    <t>2015-2-11 11:1:21.734: OrderManager - updateExecution - got a fill for id 9726 qty 2 side BOT price 1.5288 - new working order size is -341 new instrument.qty is 115</t>
  </si>
  <si>
    <t>0001f4e5.54da9bd9.01.01</t>
  </si>
  <si>
    <t>20150211  11:01:22</t>
  </si>
  <si>
    <t>2015-2-11 11:1:21.736: OrderManagerView - UpdateExecutionView - entering updateExecutionView  executionId is 0001f4e5.54da9bd9.01.01</t>
  </si>
  <si>
    <t>2015-2-11 11:1:21.737: OrderManagerView - updateExecutionView -  exiting UpdateExecutionView</t>
  </si>
  <si>
    <t>2015-2-11 11:1:21.737: RTWSControl - execDetails -  exiting execDetailsEx</t>
  </si>
  <si>
    <t>2015-2-11 11:1:21.738: RTWSControl - execDetails - Got execution Message id:-1</t>
  </si>
  <si>
    <t>2015-2-11 11:1:21.748: openOrderEx - I am here</t>
  </si>
  <si>
    <t>2015-2-11 11:1:21.756: RTWSControl - orderStatus -  entering orderStatus id is 9726 status is Filled</t>
  </si>
  <si>
    <t>2015-2-11 11:1:21.757: OrderManager - UpdateOrderStatus - id 9726 Setting status to Filled workingOrderCount is now -18 workingQty -341</t>
  </si>
  <si>
    <t>2015-2-11 11:1:21.757: OrderManager - terminateOrder - cleaning up after Filled 9726  order was supposed to BUY 5 1.5288 LMT workingQty/OrderCount now -341/-19</t>
  </si>
  <si>
    <t>2015-2-11 11:1:21.759: RTWSControl - OrderStatus - Got OrderStatus Message id:9726 status: Filled filled: 5</t>
  </si>
  <si>
    <t>2015-2-11 11:1:21.759: RTWSControl - OrderStatus - exiting orderStatus</t>
  </si>
  <si>
    <t>2015-2-11 11:1:21.809: Algorithm - rehedge - rehedging 5 contracts</t>
  </si>
  <si>
    <t>2015-2-11 11:1:21.809: Algortihm - rehedge - inside the loop</t>
  </si>
  <si>
    <t>2015-2-11 11:1:21.810: OrderManager - PlaceOrder - id 9727 workingQty -336</t>
  </si>
  <si>
    <t>2015-2-11 11:1:21.813: OrderManager - sendOrder - exiting place order id 9727 BUY 5 1.5288  - workingQty -336 currentPosition is 115 workingOrderCount is -18</t>
  </si>
  <si>
    <t>2015-2-11 11:1:21.814: Algorithm - rehedge - placing an order - orderSize is 5 workingQty is -336 working order count -18</t>
  </si>
  <si>
    <t>2015-2-11 11:1:21.867: openOrderEx - I am here</t>
  </si>
  <si>
    <t>2015-2-11 11:1:21.874: RTWSControl - orderStatus -  entering orderStatus id is 9726 status is Filled</t>
  </si>
  <si>
    <t>2015-2-11 11:1:21.875: OrderManager - UpdateOrderStatus - id 9726 Setting status to Filled workingOrderCount is now -18 workingQty -336</t>
  </si>
  <si>
    <t>2015-2-11 11:1:21.875: OrderManager - terminateOrder - cleaning up after Filled 9726  order was supposed to BUY 5 1.5288 LMT workingQty/OrderCount now -336/-19</t>
  </si>
  <si>
    <t>2015-2-11 11:1:21.878: RTWSControl - OrderStatus - Got OrderStatus Message id:9726 status: Filled filled: 5</t>
  </si>
  <si>
    <t>2015-2-11 11:1:21.878: RTWSControl - OrderStatus - exiting orderStatus</t>
  </si>
  <si>
    <t>2015-2-11 11:1:22.894: Algorithm - FindNextStrikes - price is 1.52885 nextStrikeUp/Down 1.53/1.525</t>
  </si>
  <si>
    <t>2015-2-11 11:1:22.894: Algorithm - getPortfolioForwardDelta - required deltas is 120 currentHedgePosition is 115</t>
  </si>
  <si>
    <t>2015-2-11 11:1:22.894: Algorithm - getHedgeShortfall - required deltas is 120 price is 1.52895 currentHedgePositionDeltas is 115</t>
  </si>
  <si>
    <t>2015-2-11 11:1:22.895: Algorithm - processTransitionPoint - nextUpper/LowerStrikes are 1.53/1.525 requiredDeltas/currentPosition/currentHedgeShortfall/direction/transitionPrice are 120/115/5/1/1.52895</t>
  </si>
  <si>
    <t>2015-2-11 11:1:22.896: TransitionLogger - processTransitionpoint - checking transition - currentHedgeShortfall is 5</t>
  </si>
  <si>
    <t>2015-2-11 11:1:22.896: Algorithm - rehedge - rehedging 5 contracts</t>
  </si>
  <si>
    <t>2015-2-11 11:1:22.896: Algorithm - rehedge - Need to place order but already have a working order - workingQty is -336 working order count -19</t>
  </si>
  <si>
    <t>2015-2-11 11:1:22.898: Algorithm - updatePortfolio - haveAllDetails is True</t>
  </si>
  <si>
    <t>2015-2-11 11:1:22.916: Algorithm - FindNextStrikes - price is 1.52885 nextStrikeUp/Down 1.53/1.525</t>
  </si>
  <si>
    <t>2015-2-11 11:1:22.916: Algorithm - getPortfolioForwardDelta - required deltas is 120 currentHedgePosition is 115</t>
  </si>
  <si>
    <t>2015-2-11 11:1:22.916: Algorithm - getHedgeShortfall - required deltas is 120 price is 1.52895 currentHedgePositionDeltas is 115</t>
  </si>
  <si>
    <t>2015-2-11 11:1:22.917: Algorithm - processTransitionPoint - nextUpper/LowerStrikes are 1.53/1.525 requiredDeltas/currentPosition/currentHedgeShortfall/direction/transitionPrice are 120/115/5/1/1.52895</t>
  </si>
  <si>
    <t>2015-2-11 11:1:22.917: TransitionLogger - processTransitionpoint - checking transition - currentHedgeShortfall is 5</t>
  </si>
  <si>
    <t>2015-2-11 11:1:22.918: Algorithm - rehedge - rehedging 5 contracts</t>
  </si>
  <si>
    <t>2015-2-11 11:1:22.918: Algorithm - rehedge - Need to place order but already have a working order - workingQty is -336 working order count -19</t>
  </si>
  <si>
    <t>2015-2-11 11:1:22.919: Algorithm - updatePortfolio - haveAllDetails is True</t>
  </si>
  <si>
    <t>2015-2-11 11:1:22.957: Algorithm - FindNextStrikes - price is 1.52885 nextStrikeUp/Down 1.53/1.525</t>
  </si>
  <si>
    <t>2015-2-11 11:1:22.957: Algorithm - getPortfolioForwardDelta - required deltas is 120 currentHedgePosition is 115</t>
  </si>
  <si>
    <t>2015-2-11 11:1:22.957: Algorithm - getHedgeShortfall - required deltas is 120 price is 1.52895 currentHedgePositionDeltas is 115</t>
  </si>
  <si>
    <t>2015-2-11 11:1:22.958: Algorithm - processTransitionPoint - nextUpper/LowerStrikes are 1.53/1.525 requiredDeltas/currentPosition/currentHedgeShortfall/direction/transitionPrice are 120/115/5/1/1.52895</t>
  </si>
  <si>
    <t>2015-2-11 11:1:22.958: TransitionLogger - processTransitionpoint - checking transition - currentHedgeShortfall is 5</t>
  </si>
  <si>
    <t>2015-2-11 11:1:22.959: Algorithm - rehedge - rehedging 5 contracts</t>
  </si>
  <si>
    <t>2015-2-11 11:1:22.959: Algorithm - rehedge - Need to place order but already have a working order - workingQty is -336 working order count -19</t>
  </si>
  <si>
    <t>2015-2-11 11:1:22.960: Algorithm - updatePortfolio - haveAllDetails is True</t>
  </si>
  <si>
    <t>2015-2-11 11:1:22.995: Algorithm - FindNextStrikes - price is 1.52885 nextStrikeUp/Down 1.53/1.525</t>
  </si>
  <si>
    <t>2015-2-11 11:1:22.995: Algorithm - getPortfolioForwardDelta - required deltas is 120 currentHedgePosition is 115</t>
  </si>
  <si>
    <t>2015-2-11 11:1:22.996: Algorithm - getHedgeShortfall - required deltas is 120 price is 1.52895 currentHedgePositionDeltas is 115</t>
  </si>
  <si>
    <t>2015-2-11 11:1:22.996: Algorithm - processTransitionPoint - nextUpper/LowerStrikes are 1.53/1.525 requiredDeltas/currentPosition/currentHedgeShortfall/direction/transitionPrice are 120/115/5/1/1.52895</t>
  </si>
  <si>
    <t>2015-2-11 11:1:22.997: TransitionLogger - processTransitionpoint - checking transition - currentHedgeShortfall is 5</t>
  </si>
  <si>
    <t>2015-2-11 11:1:22.997: Algorithm - rehedge - rehedging 5 contracts</t>
  </si>
  <si>
    <t>2015-2-11 11:1:22.997: Algorithm - rehedge - Need to place order but already have a working order - workingQty is -336 working order count -19</t>
  </si>
  <si>
    <t>2015-2-11 11:1:22.998: Algorithm - updatePortfolio - haveAllDetails is True</t>
  </si>
  <si>
    <t>2015-2-11 11:1:23.35: Algorithm - FindNextStrikes - price is 1.52885 nextStrikeUp/Down 1.53/1.525</t>
  </si>
  <si>
    <t>2015-2-11 11:1:23.36: Algorithm - getPortfolioForwardDelta - required deltas is 120 currentHedgePosition is 115</t>
  </si>
  <si>
    <t>2015-2-11 11:1:23.36: Algorithm - getHedgeShortfall - required deltas is 120 price is 1.52895 currentHedgePositionDeltas is 115</t>
  </si>
  <si>
    <t>2015-2-11 11:1:23.37: Algorithm - processTransitionPoint - nextUpper/LowerStrikes are 1.53/1.525 requiredDeltas/currentPosition/currentHedgeShortfall/direction/transitionPrice are 120/115/5/1/1.52895</t>
  </si>
  <si>
    <t>2015-2-11 11:1:23.37: TransitionLogger - processTransitionpoint - checking transition - currentHedgeShortfall is 5</t>
  </si>
  <si>
    <t>2015-2-11 11:1:23.37: Algorithm - rehedge - rehedging 5 contracts</t>
  </si>
  <si>
    <t>2015-2-11 11:1:23.38: Algorithm - rehedge - Need to place order but already have a working order - workingQty is -336 working order count -19</t>
  </si>
  <si>
    <t>2015-2-11 11:1:23.39: Algorithm - updatePortfolio - haveAllDetails is True</t>
  </si>
  <si>
    <t>2015-2-11 11:1:23.77: Algorithm - FindNextStrikes - price is 1.52885 nextStrikeUp/Down 1.53/1.525</t>
  </si>
  <si>
    <t>2015-2-11 11:1:23.78: Algorithm - getPortfolioForwardDelta - required deltas is 120 currentHedgePosition is 115</t>
  </si>
  <si>
    <t>2015-2-11 11:1:23.78: Algorithm - getHedgeShortfall - required deltas is 120 price is 1.52895 currentHedgePositionDeltas is 115</t>
  </si>
  <si>
    <t>2015-2-11 11:1:23.78: Algorithm - processTransitionPoint - nextUpper/LowerStrikes are 1.53/1.525 requiredDeltas/currentPosition/currentHedgeShortfall/direction/transitionPrice are 120/115/5/1/1.52895</t>
  </si>
  <si>
    <t>2015-2-11 11:1:23.79: TransitionLogger - processTransitionpoint - checking transition - currentHedgeShortfall is 5</t>
  </si>
  <si>
    <t>2015-2-11 11:1:23.79: Algorithm - rehedge - rehedging 5 contracts</t>
  </si>
  <si>
    <t>2015-2-11 11:1:23.79: Algorithm - rehedge - Need to place order but already have a working order - workingQty is -336 working order count -19</t>
  </si>
  <si>
    <t>2015-2-11 11:1:23.80: Algorithm - updatePortfolio - haveAllDetails is True</t>
  </si>
  <si>
    <t>2015-2-11 11:1:23.119: Algorithm - FindNextStrikes - price is 1.52885 nextStrikeUp/Down 1.53/1.525</t>
  </si>
  <si>
    <t>2015-2-11 11:1:23.119: Algorithm - getPortfolioForwardDelta - required deltas is 120 currentHedgePosition is 115</t>
  </si>
  <si>
    <t>2015-2-11 11:1:23.120: Algorithm - getHedgeShortfall - required deltas is 120 price is 1.52895 currentHedgePositionDeltas is 115</t>
  </si>
  <si>
    <t>2015-2-11 11:1:23.120: Algorithm - processTransitionPoint - nextUpper/LowerStrikes are 1.53/1.525 requiredDeltas/currentPosition/currentHedgeShortfall/direction/transitionPrice are 120/115/5/1/1.52895</t>
  </si>
  <si>
    <t>2015-2-11 11:1:23.121: TransitionLogger - processTransitionpoint - checking transition - currentHedgeShortfall is 5</t>
  </si>
  <si>
    <t>2015-2-11 11:1:23.121: Algorithm - rehedge - rehedging 5 contracts</t>
  </si>
  <si>
    <t>2015-2-11 11:1:23.121: Algorithm - rehedge - Need to place order but already have a working order - workingQty is -336 working order count -19</t>
  </si>
  <si>
    <t>2015-2-11 11:1:23.122: Algorithm - updatePortfolio - haveAllDetails is True</t>
  </si>
  <si>
    <t>2015-2-11 11:1:23.161: Algorithm - FindNextStrikes - price is 1.52885 nextStrikeUp/Down 1.53/1.525</t>
  </si>
  <si>
    <t>2015-2-11 11:1:23.162: Algorithm - getPortfolioForwardDelta - required deltas is 120 currentHedgePosition is 115</t>
  </si>
  <si>
    <t>2015-2-11 11:1:23.162: Algorithm - getHedgeShortfall - required deltas is 120 price is 1.52895 currentHedgePositionDeltas is 115</t>
  </si>
  <si>
    <t>2015-2-11 11:1:23.162: Algorithm - processTransitionPoint - nextUpper/LowerStrikes are 1.53/1.525 requiredDeltas/currentPosition/currentHedgeShortfall/direction/transitionPrice are 120/115/5/1/1.52895</t>
  </si>
  <si>
    <t>2015-2-11 11:1:23.163: TransitionLogger - processTransitionpoint - checking transition - currentHedgeShortfall is 5</t>
  </si>
  <si>
    <t>2015-2-11 11:1:23.163: Algorithm - rehedge - rehedging 5 contracts</t>
  </si>
  <si>
    <t>2015-2-11 11:1:23.163: Algorithm - rehedge - Need to place order but already have a working order - workingQty is -336 working order count -19</t>
  </si>
  <si>
    <t>2015-2-11 11:1:23.164: Algorithm - updatePortfolio - haveAllDetails is True</t>
  </si>
  <si>
    <t>2015-2-11 11:1:23.207: Algorithm - FindNextStrikes - price is 1.52885 nextStrikeUp/Down 1.53/1.525</t>
  </si>
  <si>
    <t>2015-2-11 11:1:23.207: Algorithm - getPortfolioForwardDelta - required deltas is 120 currentHedgePosition is 115</t>
  </si>
  <si>
    <t>2015-2-11 11:1:23.208: Algorithm - getHedgeShortfall - required deltas is 120 price is 1.52895 currentHedgePositionDeltas is 115</t>
  </si>
  <si>
    <t>2015-2-11 11:1:23.208: Algorithm - processTransitionPoint - nextUpper/LowerStrikes are 1.53/1.525 requiredDeltas/currentPosition/currentHedgeShortfall/direction/transitionPrice are 120/115/5/1/1.52895</t>
  </si>
  <si>
    <t>2015-2-11 11:1:23.209: TransitionLogger - processTransitionpoint - checking transition - currentHedgeShortfall is 5</t>
  </si>
  <si>
    <t>2015-2-11 11:1:23.209: Algorithm - rehedge - rehedging 5 contracts</t>
  </si>
  <si>
    <t>2015-2-11 11:1:23.209: Algorithm - rehedge - Need to place order but already have a working order - workingQty is -336 working order count -19</t>
  </si>
  <si>
    <t>2015-2-11 11:1:23.210: Algorithm - updatePortfolio - haveAllDetails is True</t>
  </si>
  <si>
    <t>2015-2-11 11:1:23.245: Algorithm - FindNextStrikes - price is 1.52885 nextStrikeUp/Down 1.53/1.525</t>
  </si>
  <si>
    <t>2015-2-11 11:1:23.245: Algorithm - getPortfolioForwardDelta - required deltas is 120 currentHedgePosition is 115</t>
  </si>
  <si>
    <t>2015-2-11 11:1:23.246: Algorithm - getHedgeShortfall - required deltas is 120 price is 1.52895 currentHedgePositionDeltas is 115</t>
  </si>
  <si>
    <t>2015-2-11 11:1:23.246: Algorithm - processTransitionPoint - nextUpper/LowerStrikes are 1.53/1.525 requiredDeltas/currentPosition/currentHedgeShortfall/direction/transitionPrice are 120/115/5/1/1.52895</t>
  </si>
  <si>
    <t>2015-2-11 11:1:23.247: TransitionLogger - processTransitionpoint - checking transition - currentHedgeShortfall is 5</t>
  </si>
  <si>
    <t>2015-2-11 11:1:23.247: Algorithm - rehedge - rehedging 5 contracts</t>
  </si>
  <si>
    <t>2015-2-11 11:1:23.247: Algorithm - rehedge - Need to place order but already have a working order - workingQty is -336 working order count -19</t>
  </si>
  <si>
    <t>2015-2-11 11:1:23.248: Algorithm - updatePortfolio - haveAllDetails is True</t>
  </si>
  <si>
    <t>2015-2-11 11:1:23.279: RTWSControl - nextValidId - entering nextValidId id is 9728</t>
  </si>
  <si>
    <t>2015-2-11 11:1:23.314: openOrderEx - I am here</t>
  </si>
  <si>
    <t>2015-2-11 11:1:23.324: RTWSControl - orderStatus -  entering orderStatus id is 9727 status is Submitted</t>
  </si>
  <si>
    <t>2015-2-11 11:1:23.324: OrderManager - UpdateOrderStatus - id 9727 Setting status to Submitted workingOrderCount is now -19 workingQty -336</t>
  </si>
  <si>
    <t>2015-2-11 11:1:23.329: RTWSControl - OrderStatus - Got OrderStatus Message id:9727 status: Submitted filled: 0</t>
  </si>
  <si>
    <t>2015-2-11 11:1:23.329: RTWSControl - OrderStatus - exiting orderStatus</t>
  </si>
  <si>
    <t>2015-2-11 11:1:23.683: Algorithm - rehedge - rehedging 5 contracts</t>
  </si>
  <si>
    <t>2015-2-11 11:1:23.683: Algorithm - rehedge - Need to place order but already have a working order - workingQty is -336 working order count -19</t>
  </si>
  <si>
    <t>2015-2-11 11:1:23.685: OrderManager - cancelOrder - cancelling order id 9724</t>
  </si>
  <si>
    <t>2015-2-11 11:1:23.686: OrderManager - PlaceOrder - id 9728 workingQty -294</t>
  </si>
  <si>
    <t>2015-2-11 11:1:23.686: OrderManagerView - findNextOORow - there are no available OpenOrderView Rows!!!!!!</t>
  </si>
  <si>
    <t>2015-2-11 11:1:23.687: OrderManager - sendOrder - exiting place order id 9728 BUY 42 1.5414  - workingQty -294 currentPosition is 115 workingOrderCount is -18</t>
  </si>
  <si>
    <t>2015-2-11 11:1:23.688: OrderManager - cancelOrder - cancelling order id 9725</t>
  </si>
  <si>
    <t>2015-2-11 11:1:23.688: OrderManager - createOrder - exiting without creating order - did not have validID</t>
  </si>
  <si>
    <t>2015-2-11 11:1:23.717: OrderManager - cancelOrder - cancelling order id 9727</t>
  </si>
  <si>
    <t>2015-2-11 11:1:23.718: Algorithm - checkWorkingOrders - cancelling BUY - orderPrice 1.5288 too far from marketPrice 1.52895</t>
  </si>
  <si>
    <t>2015-2-11 11:1:23.718: Algorithm - rehedge - rehedging 5 contracts</t>
  </si>
  <si>
    <t>2015-2-11 11:1:23.719: Algorithm - rehedge - Need to place order but already have a working order - workingQty is -294 working order count -18</t>
  </si>
  <si>
    <t>2015-2-11 11:1:23.721: OrderManager - createOrder - exiting without creating order - did not have validID</t>
  </si>
  <si>
    <t>2015-2-11 11:1:24.145: Algorithm - rehedge - rehedging 5 contracts</t>
  </si>
  <si>
    <t>2015-2-11 11:1:24.145: Algorithm - rehedge - Need to place order but already have a working order - workingQty is -294 working order count -18</t>
  </si>
  <si>
    <t>2015-2-11 11:1:24.147: OrderManager - createOrder - exiting without creating order - did not have validID</t>
  </si>
  <si>
    <t>2015-2-11 11:1:24.535: OrderManager - cancelOrder - cancelling order id 9727</t>
  </si>
  <si>
    <t>2015-2-11 11:1:24.536: Algorithm - checkWorkingOrders - cancelling BUY - orderPrice 1.5288 too far from marketPrice 1.52895</t>
  </si>
  <si>
    <t>2015-2-11 11:1:24.537: Algorithm - rehedge - rehedging 5 contracts</t>
  </si>
  <si>
    <t>2015-2-11 11:1:24.537: Algorithm - rehedge - Need to place order but already have a working order - workingQty is -294 working order count -18</t>
  </si>
  <si>
    <t>2015-2-11 11:1:24.539: OrderManager - createOrder - exiting without creating order - did not have validID</t>
  </si>
  <si>
    <t>2015-2-11 11:1:24.600: RTWSControl - nextValidId - entering nextValidId id is 9729</t>
  </si>
  <si>
    <t>2015-2-11 11:1:24.606: RTWSControl - orderStatus -  entering orderStatus id is 9724 status is Cancelled</t>
  </si>
  <si>
    <t>2015-2-11 11:1:24.606: OrderManager - UpdateOrderStatus - id 9724 Setting status to Cancelled workingOrderCount is now -18 workingQty -294</t>
  </si>
  <si>
    <t>2015-2-11 11:1:24.608: RTWSControl - OrderStatus - Got OrderStatus Message id:9724 status: Cancelled filled: 0</t>
  </si>
  <si>
    <t>2015-2-11 11:1:24.608: RTWSControl - OrderStatus - exiting orderStatus</t>
  </si>
  <si>
    <t>2015-2-11 11:1:24.615: RTWSControl - errMsg - got error message 202:Order Canceled - reason:with id 9724</t>
  </si>
  <si>
    <t>2015-2-11 11:1:24.616: OrderManager - canceledOrder - cleaning up after canceled order 9724BEWARE UNACCOUNTED FOR EXECUTIONS!!!</t>
  </si>
  <si>
    <t>2015-2-11 11:1:24.617: OrderManager - terminateOrder - cleaning up after Canceled 9724  order was supposed to BUY 39 1.5403 STP LMT workingQty/OrderCount now -333/-19</t>
  </si>
  <si>
    <t>2015-2-11 11:1:24.643: RTWSControl - orderStatus -  entering orderStatus id is 9725 status is Cancelled</t>
  </si>
  <si>
    <t>2015-2-11 11:1:24.643: OrderManager - UpdateOrderStatus - id 9725 Setting status to Cancelled workingOrderCount is now -19 workingQty -333</t>
  </si>
  <si>
    <t>2015-2-11 11:1:24.645: RTWSControl - OrderStatus - Got OrderStatus Message id:9725 status: Cancelled filled: 0</t>
  </si>
  <si>
    <t>2015-2-11 11:1:24.646: RTWSControl - OrderStatus - exiting orderStatus</t>
  </si>
  <si>
    <t>2015-2-11 11:1:24.653: RTWSControl - errMsg - got error message 202:Order Canceled - reason:with id 9725</t>
  </si>
  <si>
    <t>2015-2-11 11:1:24.653: OrderManager - canceledOrder - cleaning up after canceled order 9725BEWARE UNACCOUNTED FOR EXECUTIONS!!!</t>
  </si>
  <si>
    <t>2015-2-11 11:1:24.654: OrderManager - terminateOrder - cleaning up after Canceled 9725  order was supposed to SELL 38 1.5273 STP LMT workingQty/OrderCount now -371/-20</t>
  </si>
  <si>
    <t>2015-2-11 11:1:24.666: openOrderEx - I am here</t>
  </si>
  <si>
    <t>2015-2-11 11:1:24.685: RTWSControl - orderStatus -  entering orderStatus id is 9728 status is PreSubmitted</t>
  </si>
  <si>
    <t>2015-2-11 11:1:24.686: OrderManager - UpdateOrderStatus - id 9728 Setting status to PreSubmitted workingOrderCount is now -20 workingQty -371</t>
  </si>
  <si>
    <t>2015-2-11 11:1:24.688: RTWSControl - OrderStatus - Got OrderStatus Message id:9728 status: PreSubmitted filled: 0</t>
  </si>
  <si>
    <t>2015-2-11 11:1:24.688: RTWSControl - OrderStatus - exiting orderStatus</t>
  </si>
  <si>
    <t>2015-2-11 11:1:24.695: RTWSControl - orderStatus -  entering orderStatus id is 9727 status is Cancelled</t>
  </si>
  <si>
    <t>2015-2-11 11:1:24.695: OrderManager - UpdateOrderStatus - id 9727 Setting status to Cancelled workingOrderCount is now -20 workingQty -371</t>
  </si>
  <si>
    <t>2015-2-11 11:1:24.697: RTWSControl - OrderStatus - Got OrderStatus Message id:9727 status: Cancelled filled: 0</t>
  </si>
  <si>
    <t>2015-2-11 11:1:24.698: RTWSControl - OrderStatus - exiting orderStatus</t>
  </si>
  <si>
    <t>2015-2-11 11:1:24.705: RTWSControl - errMsg - got error message 202:Order Canceled - reason:with id 9727</t>
  </si>
  <si>
    <t>2015-2-11 11:1:24.706: OrderManager - canceledOrder - cleaning up after canceled order 9727BEWARE UNACCOUNTED FOR EXECUTIONS!!!</t>
  </si>
  <si>
    <t>2015-2-11 11:1:24.706: OrderManager - terminateOrder - cleaning up after Canceled 9727  order was supposed to BUY 5 1.5288 LMT workingQty/OrderCount now -376/-21</t>
  </si>
  <si>
    <t>2015-2-11 11:1:24.780: Algorithm - rehedge - rehedging 5 contracts</t>
  </si>
  <si>
    <t>2015-2-11 11:1:24.781: Algortihm - rehedge - inside the loop</t>
  </si>
  <si>
    <t>2015-2-11 11:1:24.781: OrderManager - PlaceOrder - id 9729 workingQty -371</t>
  </si>
  <si>
    <t>2015-2-11 11:1:24.785: OrderManager - sendOrder - exiting place order id 9729 BUY 5 1.5289  - workingQty -371 currentPosition is 115 workingOrderCount is -20</t>
  </si>
  <si>
    <t>2015-2-11 11:1:24.786: Algorithm - rehedge - placing an order - orderSize is 5 workingQty is -371 working order count -20</t>
  </si>
  <si>
    <t>2015-2-11 11:1:24.788: OrderManager - createOrder - exiting without creating order - did not have validID</t>
  </si>
  <si>
    <t>2015-2-11 11:1:24.941: Algorithm - rehedge - rehedging 5 contracts</t>
  </si>
  <si>
    <t>2015-2-11 11:1:24.941: Algorithm - rehedge - Need to place order but already have a working order - workingQty is -371 working order count -20</t>
  </si>
  <si>
    <t>2015-2-11 11:1:24.943: OrderManager - createOrder - exiting without creating order - did not have validID</t>
  </si>
  <si>
    <t>2015-2-11 11:1:25.201: RTWSControl - errMsg - got error message 161:Cancel attempted when order is not in a cancellable state.  Order permId =1226100183with id 9727</t>
  </si>
  <si>
    <t>2015-2-11 11:1:25.685: RTWSControl - nextValidId - entering nextValidId id is 9730</t>
  </si>
  <si>
    <t>2015-2-11 11:1:25.698: RTWSControl - execDetails -  entering execDetailsEx execution id is 0001f4e5.54da9bda.01.01 shares/cumQty is 5/5</t>
  </si>
  <si>
    <t>2015-2-11 11:1:25.699: Algorithm - FindNextStrikes - price is 1.52885 nextStrikeUp/Down 1.53/1.525</t>
  </si>
  <si>
    <t>2015-2-11 11:1:25.699: Algorithm - getPortfolioForwardDelta - required deltas is 120 currentHedgePosition is 120</t>
  </si>
  <si>
    <t>2015-2-11 11:1:25.700: Algorithm - getHedgeShortfall - required deltas is 120 price is 1.52895 currentHedgePositionDeltas is 120</t>
  </si>
  <si>
    <t>2015-2-11 11:1:25.700: Algorithm - processTransitionPoint - nextUpper/LowerStrikes are 1.53/1.525 requiredDeltas/currentPosition/currentHedgeShortfall/direction/transitionPrice are 120/120/0/1/1.52895</t>
  </si>
  <si>
    <t>2015-2-11 11:1:25.701: TransitionLogger - processTransitionpoint - checking transition - currentHedgeShortfall is 0</t>
  </si>
  <si>
    <t>2015-2-11 11:1:25.701: OrderManager - updateExecution - got a fill for id 9729 qty 5 side BOT price 1.5289 - new working order size is -376 new instrument.qty is 120</t>
  </si>
  <si>
    <t>0001f4e5.54da9bda.01.01</t>
  </si>
  <si>
    <t>20150211  11:01:26</t>
  </si>
  <si>
    <t>2015-2-11 11:1:25.705: OrderManagerView - UpdateExecutionView - entering updateExecutionView  executionId is 0001f4e5.54da9bda.01.01</t>
  </si>
  <si>
    <t>2015-2-11 11:1:25.706: OrderManagerView - updateExecutionView -  exiting UpdateExecutionView</t>
  </si>
  <si>
    <t>2015-2-11 11:1:25.706: RTWSControl - execDetails -  exiting execDetailsEx</t>
  </si>
  <si>
    <t>2015-2-11 11:1:25.706: RTWSControl - execDetails - Got execution Message id:-1</t>
  </si>
  <si>
    <t>2015-2-11 11:1:25.728: openOrderEx - I am here</t>
  </si>
  <si>
    <t>2015-2-11 11:1:25.738: RTWSControl - orderStatus -  entering orderStatus id is 9729 status is Filled</t>
  </si>
  <si>
    <t>2015-2-11 11:1:25.738: OrderManager - UpdateOrderStatus - id 9729 Setting status to Filled workingOrderCount is now -21 workingQty -376</t>
  </si>
  <si>
    <t>2015-2-11 11:1:25.739: OrderManager - terminateOrder - cleaning up after Filled 9729  order was supposed to BUY 5 1.5289 LMT workingQty/OrderCount now -376/-22</t>
  </si>
  <si>
    <t>2015-2-11 11:1:25.741: RTWSControl - OrderStatus - Got OrderStatus Message id:9729 status: Filled filled: 5</t>
  </si>
  <si>
    <t>2015-2-11 11:1:25.741: RTWSControl - OrderStatus - exiting orderStatus</t>
  </si>
  <si>
    <t>2015-2-11 11:1:25.750: openOrderEx - I am here</t>
  </si>
  <si>
    <t>2015-2-11 11:1:25.768: RTWSControl - orderStatus -  entering orderStatus id is 9729 status is Filled</t>
  </si>
  <si>
    <t>2015-2-11 11:1:25.768: OrderManager - UpdateOrderStatus - id 9729 Setting status to Filled workingOrderCount is now -22 workingQty -376</t>
  </si>
  <si>
    <t>2015-2-11 11:1:25.769: OrderManager - terminateOrder - cleaning up after Filled 9729  order was supposed to BUY 5 1.5289 LMT workingQty/OrderCount now -376/-23</t>
  </si>
  <si>
    <t>2015-2-11 11:1:25.771: RTWSControl - OrderStatus - Got OrderStatus Message id:9729 status: Filled filled: 5</t>
  </si>
  <si>
    <t>2015-2-11 11:1:25.771: RTWSControl - OrderStatus - exiting orderStatus</t>
  </si>
  <si>
    <t>2015-2-11 11:1:25.782: openOrderEx - I am here</t>
  </si>
  <si>
    <t>2015-2-11 11:1:25.790: RTWSControl - orderStatus -  entering orderStatus id is 9729 status is Filled</t>
  </si>
  <si>
    <t>2015-2-11 11:1:25.790: OrderManager - UpdateOrderStatus - id 9729 Setting status to Filled workingOrderCount is now -23 workingQty -376</t>
  </si>
  <si>
    <t>2015-2-11 11:1:25.791: OrderManager - terminateOrder - cleaning up after Filled 9729  order was supposed to BUY 5 1.5289 LMT workingQty/OrderCount now -376/-24</t>
  </si>
  <si>
    <t>2015-2-11 11:1:25.793: RTWSControl - OrderStatus - Got OrderStatus Message id:9729 status: Filled filled: 5</t>
  </si>
  <si>
    <t>2015-2-11 11:1:25.793: RTWSControl - OrderStatus - exiting orderStatus</t>
  </si>
  <si>
    <t>2015-2-11 11:1:26.977: Algorithm - FindNextStrikes - price is 1.52885 nextStrikeUp/Down 1.53/1.525</t>
  </si>
  <si>
    <t>2015-2-11 11:1:26.977: Algorithm - getPortfolioForwardDelta - required deltas is 120 currentHedgePosition is 120</t>
  </si>
  <si>
    <t>2015-2-11 11:1:26.977: Algorithm - getHedgeShortfall - required deltas is 120 price is 1.52895 currentHedgePositionDeltas is 120</t>
  </si>
  <si>
    <t>2015-2-11 11:1:26.978: Algorithm - processTransitionPoint - nextUpper/LowerStrikes are 1.53/1.525 requiredDeltas/currentPosition/currentHedgeShortfall/direction/transitionPrice are 120/120/0/1/1.52895</t>
  </si>
  <si>
    <t>2015-2-11 11:1:26.979: TransitionLogger - processTransitionpoint - checking transition - currentHedgeShortfall is 0</t>
  </si>
  <si>
    <t>2015-2-11 11:1:26.980: Algorithm - updatePortfolio - haveAllDetails is True</t>
  </si>
  <si>
    <t>2015-2-11 11:1:26.998: Algorithm - FindNextStrikes - price is 1.52885 nextStrikeUp/Down 1.53/1.525</t>
  </si>
  <si>
    <t>2015-2-11 11:1:26.998: Algorithm - getPortfolioForwardDelta - required deltas is 120 currentHedgePosition is 120</t>
  </si>
  <si>
    <t>2015-2-11 11:1:26.998: Algorithm - getHedgeShortfall - required deltas is 120 price is 1.52895 currentHedgePositionDeltas is 120</t>
  </si>
  <si>
    <t>2015-2-11 11:1:26.999: Algorithm - processTransitionPoint - nextUpper/LowerStrikes are 1.53/1.525 requiredDeltas/currentPosition/currentHedgeShortfall/direction/transitionPrice are 120/120/0/1/1.52895</t>
  </si>
  <si>
    <t>2015-2-11 11:1:27.0: TransitionLogger - processTransitionpoint - checking transition - currentHedgeShortfall is 0</t>
  </si>
  <si>
    <t>2015-2-11 11:1:27.0: Algorithm - updatePortfolio - haveAllDetails is True</t>
  </si>
  <si>
    <t>2015-2-11 11:1:27.60: Algorithm - FindNextStrikes - price is 1.52885 nextStrikeUp/Down 1.53/1.525</t>
  </si>
  <si>
    <t>2015-2-11 11:1:27.61: Algorithm - getPortfolioForwardDelta - required deltas is 120 currentHedgePosition is 120</t>
  </si>
  <si>
    <t>2015-2-11 11:1:27.61: Algorithm - getHedgeShortfall - required deltas is 120 price is 1.52895 currentHedgePositionDeltas is 120</t>
  </si>
  <si>
    <t>2015-2-11 11:1:27.62: Algorithm - processTransitionPoint - nextUpper/LowerStrikes are 1.53/1.525 requiredDeltas/currentPosition/currentHedgeShortfall/direction/transitionPrice are 120/120/0/1/1.52895</t>
  </si>
  <si>
    <t>2015-2-11 11:1:27.62: TransitionLogger - processTransitionpoint - checking transition - currentHedgeShortfall is 0</t>
  </si>
  <si>
    <t>2015-2-11 11:1:27.63: Algorithm - updatePortfolio - haveAllDetails is True</t>
  </si>
  <si>
    <t>2015-2-11 11:1:27.106: Algorithm - FindNextStrikes - price is 1.52885 nextStrikeUp/Down 1.53/1.525</t>
  </si>
  <si>
    <t>2015-2-11 11:1:27.107: Algorithm - getPortfolioForwardDelta - required deltas is 120 currentHedgePosition is 120</t>
  </si>
  <si>
    <t>2015-2-11 11:1:27.107: Algorithm - getHedgeShortfall - required deltas is 120 price is 1.52895 currentHedgePositionDeltas is 120</t>
  </si>
  <si>
    <t>2015-2-11 11:1:27.107: Algorithm - processTransitionPoint - nextUpper/LowerStrikes are 1.53/1.525 requiredDeltas/currentPosition/currentHedgeShortfall/direction/transitionPrice are 120/120/0/1/1.52895</t>
  </si>
  <si>
    <t>2015-2-11 11:1:27.108: TransitionLogger - processTransitionpoint - checking transition - currentHedgeShortfall is 0</t>
  </si>
  <si>
    <t>2015-2-11 11:1:27.109: Algorithm - updatePortfolio - haveAllDetails is True</t>
  </si>
  <si>
    <t>2015-2-11 11:1:27.148: Algorithm - FindNextStrikes - price is 1.52885 nextStrikeUp/Down 1.53/1.525</t>
  </si>
  <si>
    <t>2015-2-11 11:1:27.148: Algorithm - getPortfolioForwardDelta - required deltas is 120 currentHedgePosition is 120</t>
  </si>
  <si>
    <t>2015-2-11 11:1:27.148: Algorithm - getHedgeShortfall - required deltas is 120 price is 1.52895 currentHedgePositionDeltas is 120</t>
  </si>
  <si>
    <t>2015-2-11 11:1:27.149: Algorithm - processTransitionPoint - nextUpper/LowerStrikes are 1.53/1.525 requiredDeltas/currentPosition/currentHedgeShortfall/direction/transitionPrice are 120/120/0/1/1.52895</t>
  </si>
  <si>
    <t>2015-2-11 11:1:27.150: TransitionLogger - processTransitionpoint - checking transition - currentHedgeShortfall is 0</t>
  </si>
  <si>
    <t>2015-2-11 11:1:27.150: Algorithm - updatePortfolio - haveAllDetails is True</t>
  </si>
  <si>
    <t>2015-2-11 11:1:27.191: Algorithm - FindNextStrikes - price is 1.52885 nextStrikeUp/Down 1.53/1.525</t>
  </si>
  <si>
    <t>2015-2-11 11:1:27.192: Algorithm - getPortfolioForwardDelta - required deltas is 120 currentHedgePosition is 120</t>
  </si>
  <si>
    <t>2015-2-11 11:1:27.192: Algorithm - getHedgeShortfall - required deltas is 120 price is 1.52895 currentHedgePositionDeltas is 120</t>
  </si>
  <si>
    <t>2015-2-11 11:1:27.192: Algorithm - processTransitionPoint - nextUpper/LowerStrikes are 1.53/1.525 requiredDeltas/currentPosition/currentHedgeShortfall/direction/transitionPrice are 120/120/0/1/1.52895</t>
  </si>
  <si>
    <t>2015-2-11 11:1:27.193: TransitionLogger - processTransitionpoint - checking transition - currentHedgeShortfall is 0</t>
  </si>
  <si>
    <t>2015-2-11 11:1:27.194: Algorithm - updatePortfolio - haveAllDetails is True</t>
  </si>
  <si>
    <t>2015-2-11 11:1:27.233: Algorithm - FindNextStrikes - price is 1.52885 nextStrikeUp/Down 1.53/1.525</t>
  </si>
  <si>
    <t>2015-2-11 11:1:27.233: Algorithm - getPortfolioForwardDelta - required deltas is 120 currentHedgePosition is 120</t>
  </si>
  <si>
    <t>2015-2-11 11:1:27.234: Algorithm - getHedgeShortfall - required deltas is 120 price is 1.52895 currentHedgePositionDeltas is 120</t>
  </si>
  <si>
    <t>2015-2-11 11:1:27.234: Algorithm - processTransitionPoint - nextUpper/LowerStrikes are 1.53/1.525 requiredDeltas/currentPosition/currentHedgeShortfall/direction/transitionPrice are 120/120/0/1/1.52895</t>
  </si>
  <si>
    <t>2015-2-11 11:1:27.235: TransitionLogger - processTransitionpoint - checking transition - currentHedgeShortfall is 0</t>
  </si>
  <si>
    <t>2015-2-11 11:1:27.235: Algorithm - updatePortfolio - haveAllDetails is True</t>
  </si>
  <si>
    <t>2015-2-11 11:1:27.275: Algorithm - FindNextStrikes - price is 1.52885 nextStrikeUp/Down 1.53/1.525</t>
  </si>
  <si>
    <t>2015-2-11 11:1:27.276: Algorithm - getPortfolioForwardDelta - required deltas is 120 currentHedgePosition is 120</t>
  </si>
  <si>
    <t>2015-2-11 11:1:27.276: Algorithm - getHedgeShortfall - required deltas is 120 price is 1.52895 currentHedgePositionDeltas is 120</t>
  </si>
  <si>
    <t>2015-2-11 11:1:27.277: Algorithm - processTransitionPoint - nextUpper/LowerStrikes are 1.53/1.525 requiredDeltas/currentPosition/currentHedgeShortfall/direction/transitionPrice are 120/120/0/1/1.52895</t>
  </si>
  <si>
    <t>2015-2-11 11:1:27.277: TransitionLogger - processTransitionpoint - checking transition - currentHedgeShortfall is 0</t>
  </si>
  <si>
    <t>2015-2-11 11:1:27.278: Algorithm - updatePortfolio - haveAllDetails is True</t>
  </si>
  <si>
    <t>2015-2-11 11:1:27.316: Algorithm - FindNextStrikes - price is 1.52885 nextStrikeUp/Down 1.53/1.525</t>
  </si>
  <si>
    <t>2015-2-11 11:1:27.317: Algorithm - getPortfolioForwardDelta - required deltas is 120 currentHedgePosition is 120</t>
  </si>
  <si>
    <t>2015-2-11 11:1:27.317: Algorithm - getHedgeShortfall - required deltas is 120 price is 1.52895 currentHedgePositionDeltas is 120</t>
  </si>
  <si>
    <t>2015-2-11 11:1:27.317: Algorithm - processTransitionPoint - nextUpper/LowerStrikes are 1.53/1.525 requiredDeltas/currentPosition/currentHedgeShortfall/direction/transitionPrice are 120/120/0/1/1.52895</t>
  </si>
  <si>
    <t>2015-2-11 11:1:27.318: TransitionLogger - processTransitionpoint - checking transition - currentHedgeShortfall is 0</t>
  </si>
  <si>
    <t>2015-2-11 11:1:27.319: Algorithm - updatePortfolio - haveAllDetails is True</t>
  </si>
  <si>
    <t>2015-2-11 11:1:27.357: Algorithm - FindNextStrikes - price is 1.52885 nextStrikeUp/Down 1.53/1.525</t>
  </si>
  <si>
    <t>2015-2-11 11:1:27.357: Algorithm - getPortfolioForwardDelta - required deltas is 120 currentHedgePosition is 120</t>
  </si>
  <si>
    <t>2015-2-11 11:1:27.357: Algorithm - getHedgeShortfall - required deltas is 120 price is 1.52895 currentHedgePositionDeltas is 120</t>
  </si>
  <si>
    <t>2015-2-11 11:1:27.358: Algorithm - processTransitionPoint - nextUpper/LowerStrikes are 1.53/1.525 requiredDeltas/currentPosition/currentHedgeShortfall/direction/transitionPrice are 120/120/0/1/1.52895</t>
  </si>
  <si>
    <t>2015-2-11 11:1:27.358: TransitionLogger - processTransitionpoint - checking transition - currentHedgeShortfall is 0</t>
  </si>
  <si>
    <t>2015-2-11 11:1:27.359: Algorithm - updatePortfolio - haveAllDetails is True</t>
  </si>
  <si>
    <t>2015-2-11 11:1:27.450: OrderManager - cancelOrder - cancelling order id 9728</t>
  </si>
  <si>
    <t>2015-2-11 11:1:27.451: OrderManager - PlaceOrder - id 9730 workingQty -328</t>
  </si>
  <si>
    <t>2015-2-11 11:1:27.452: OrderManager - sendOrder - exiting place order id 9730 BUY 48 1.5432  - workingQty -328 currentPosition is 120 workingOrderCount is -23</t>
  </si>
  <si>
    <t>2015-2-11 11:1:27.453: OrderManager - createOrder - exiting without creating order - did not have validID</t>
  </si>
  <si>
    <t>2015-2-11 11:1:28.280: RTWSControl - nextValidId - entering nextValidId id is 9731</t>
  </si>
  <si>
    <t>2015-2-11 11:1:28.309: RTWSControl - orderStatus -  entering orderStatus id is 9728 status is Cancelled</t>
  </si>
  <si>
    <t>2015-2-11 11:1:28.309: OrderManager - UpdateOrderStatus - id 9728 Setting status to Cancelled workingOrderCount is now -23 workingQty -328</t>
  </si>
  <si>
    <t>2015-2-11 11:1:28.311: RTWSControl - OrderStatus - Got OrderStatus Message id:9728 status: Cancelled filled: 0</t>
  </si>
  <si>
    <t>2015-2-11 11:1:28.312: RTWSControl - OrderStatus - exiting orderStatus</t>
  </si>
  <si>
    <t>2015-2-11 11:1:28.319: RTWSControl - errMsg - got error message 202:Order Canceled - reason:with id 9728</t>
  </si>
  <si>
    <t>2015-2-11 11:1:28.320: OrderManager - canceledOrder - cleaning up after canceled order 9728BEWARE UNACCOUNTED FOR EXECUTIONS!!!</t>
  </si>
  <si>
    <t>2015-2-11 11:1:28.321: OrderManager - terminateOrder - cleaning up after Canceled 9728  order was supposed to BUY 42 1.5414 STP LMT workingQty/OrderCount now -370/-24</t>
  </si>
  <si>
    <t>2015-2-11 11:1:28.333: openOrderEx - I am here</t>
  </si>
  <si>
    <t>2015-2-11 11:1:28.355: RTWSControl - orderStatus -  entering orderStatus id is 9730 status is PreSubmitted</t>
  </si>
  <si>
    <t>2015-2-11 11:1:28.356: OrderManager - UpdateOrderStatus - id 9730 Setting status to PreSubmitted workingOrderCount is now -24 workingQty -370</t>
  </si>
  <si>
    <t>2015-2-11 11:1:28.358: RTWSControl - OrderStatus - Got OrderStatus Message id:9730 status: PreSubmitted filled: 0</t>
  </si>
  <si>
    <t>2015-2-11 11:1:28.358: RTWSControl - OrderStatus - exiting orderStatus</t>
  </si>
  <si>
    <t>2015-2-11 11:1:28.435: OrderManager - PlaceOrder - id 9731 workingQty -418</t>
  </si>
  <si>
    <t>2015-2-11 11:1:28.436: OrderManager - sendOrder - exiting place order id 9731 SELL 48 1.5276  - workingQty -418 currentPosition is 120 workingOrderCount is -23</t>
  </si>
  <si>
    <t>2015-2-11 11:1:28.569: RTWSControl - nextValidId - entering nextValidId id is 9732</t>
  </si>
  <si>
    <t>2015-2-11 11:1:29.271: openOrderEx - I am here</t>
  </si>
  <si>
    <t>2015-2-11 11:1:29.279: RTWSControl - orderStatus -  entering orderStatus id is 9731 status is PreSubmitted</t>
  </si>
  <si>
    <t>2015-2-11 11:1:29.280: OrderManager - UpdateOrderStatus - id 9731 Setting status to PreSubmitted workingOrderCount is now -23 workingQty -418</t>
  </si>
  <si>
    <t>2015-2-11 11:1:29.282: RTWSControl - OrderStatus - Got OrderStatus Message id:9731 status: PreSubmitted filled: 0</t>
  </si>
  <si>
    <t>2015-2-11 11:1:29.282: RTWSControl - OrderStatus - exiting orderStatus</t>
  </si>
  <si>
    <t>2015-2-11 11:1:37.581: Algorithm - FindNextStrikes - price is 1.52885 nextStrikeUp/Down 1.53/1.525</t>
  </si>
  <si>
    <t>2015-2-11 11:1:37.581: Algorithm - getPortfolioForwardDelta - required deltas is 120 currentHedgePosition is 120</t>
  </si>
  <si>
    <t>2015-2-11 11:1:37.581: Algorithm - getHedgeShortfall - required deltas is 120 price is 1.52895 currentHedgePositionDeltas is 120</t>
  </si>
  <si>
    <t>2015-2-11 11:1:37.582: Algorithm - processTransitionPoint - nextUpper/LowerStrikes are 1.53/1.525 requiredDeltas/currentPosition/currentHedgeShortfall/direction/transitionPrice are 120/120/0/1/1.52895</t>
  </si>
  <si>
    <t>2015-2-11 11:1:37.583: TransitionLogger - processTransitionpoint - checking transition - currentHedgeShortfall is 0</t>
  </si>
  <si>
    <t>2015-2-11 11:1:37.584: Algorithm - updatePortfolio - haveAllDetails is True</t>
  </si>
  <si>
    <t>2015-2-11 11:1:37.613: Algorithm - FindNextStrikes - price is 1.52885 nextStrikeUp/Down 1.53/1.525</t>
  </si>
  <si>
    <t>2015-2-11 11:1:37.613: Algorithm - getPortfolioForwardDelta - required deltas is 120 currentHedgePosition is 120</t>
  </si>
  <si>
    <t>2015-2-11 11:1:37.613: Algorithm - getHedgeShortfall - required deltas is 120 price is 1.52895 currentHedgePositionDeltas is 120</t>
  </si>
  <si>
    <t>2015-2-11 11:1:37.614: Algorithm - processTransitionPoint - nextUpper/LowerStrikes are 1.53/1.525 requiredDeltas/currentPosition/currentHedgeShortfall/direction/transitionPrice are 120/120/0/1/1.52895</t>
  </si>
  <si>
    <t>2015-2-11 11:1:37.615: TransitionLogger - processTransitionpoint - checking transition - currentHedgeShortfall is 0</t>
  </si>
  <si>
    <t>2015-2-11 11:1:37.615: Algorithm - updatePortfolio - haveAllDetails is True</t>
  </si>
  <si>
    <t>2015-2-11 11:1:37.655: Algorithm - FindNextStrikes - price is 1.52885 nextStrikeUp/Down 1.53/1.525</t>
  </si>
  <si>
    <t>2015-2-11 11:1:37.656: Algorithm - getPortfolioForwardDelta - required deltas is 120 currentHedgePosition is 120</t>
  </si>
  <si>
    <t>2015-2-11 11:1:37.656: Algorithm - getHedgeShortfall - required deltas is 120 price is 1.52895 currentHedgePositionDeltas is 120</t>
  </si>
  <si>
    <t>2015-2-11 11:1:37.656: Algorithm - processTransitionPoint - nextUpper/LowerStrikes are 1.53/1.525 requiredDeltas/currentPosition/currentHedgeShortfall/direction/transitionPrice are 120/120/0/1/1.52895</t>
  </si>
  <si>
    <t>2015-2-11 11:1:37.657: TransitionLogger - processTransitionpoint - checking transition - currentHedgeShortfall is 0</t>
  </si>
  <si>
    <t>2015-2-11 11:1:37.658: Algorithm - updatePortfolio - haveAllDetails is True</t>
  </si>
  <si>
    <t>2015-2-11 11:1:37.693: Algorithm - FindNextStrikes - price is 1.52885 nextStrikeUp/Down 1.53/1.525</t>
  </si>
  <si>
    <t>2015-2-11 11:1:37.693: Algorithm - getPortfolioForwardDelta - required deltas is 120 currentHedgePosition is 120</t>
  </si>
  <si>
    <t>2015-2-11 11:1:37.693: Algorithm - getHedgeShortfall - required deltas is 120 price is 1.52895 currentHedgePositionDeltas is 120</t>
  </si>
  <si>
    <t>2015-2-11 11:1:37.694: Algorithm - processTransitionPoint - nextUpper/LowerStrikes are 1.53/1.525 requiredDeltas/currentPosition/currentHedgeShortfall/direction/transitionPrice are 120/120/0/1/1.52895</t>
  </si>
  <si>
    <t>2015-2-11 11:1:37.695: TransitionLogger - processTransitionpoint - checking transition - currentHedgeShortfall is 0</t>
  </si>
  <si>
    <t>2015-2-11 11:1:37.695: Algorithm - updatePortfolio - haveAllDetails is True</t>
  </si>
  <si>
    <t>2015-2-11 11:1:37.733: Algorithm - FindNextStrikes - price is 1.52885 nextStrikeUp/Down 1.53/1.525</t>
  </si>
  <si>
    <t>2015-2-11 11:1:37.734: Algorithm - getPortfolioForwardDelta - required deltas is 120 currentHedgePosition is 120</t>
  </si>
  <si>
    <t>2015-2-11 11:1:37.734: Algorithm - getHedgeShortfall - required deltas is 120 price is 1.52895 currentHedgePositionDeltas is 120</t>
  </si>
  <si>
    <t>2015-2-11 11:1:37.735: Algorithm - processTransitionPoint - nextUpper/LowerStrikes are 1.53/1.525 requiredDeltas/currentPosition/currentHedgeShortfall/direction/transitionPrice are 120/120/0/1/1.52895</t>
  </si>
  <si>
    <t>2015-2-11 11:1:37.735: TransitionLogger - processTransitionpoint - checking transition - currentHedgeShortfall is 0</t>
  </si>
  <si>
    <t>2015-2-11 11:1:37.736: Algorithm - updatePortfolio - haveAllDetails is True</t>
  </si>
  <si>
    <t>2015-2-11 11:1:37.778: Algorithm - FindNextStrikes - price is 1.52885 nextStrikeUp/Down 1.53/1.525</t>
  </si>
  <si>
    <t>2015-2-11 11:1:37.778: Algorithm - getPortfolioForwardDelta - required deltas is 120 currentHedgePosition is 120</t>
  </si>
  <si>
    <t>2015-2-11 11:1:37.779: Algorithm - getHedgeShortfall - required deltas is 120 price is 1.52895 currentHedgePositionDeltas is 120</t>
  </si>
  <si>
    <t>2015-2-11 11:1:37.779: Algorithm - processTransitionPoint - nextUpper/LowerStrikes are 1.53/1.525 requiredDeltas/currentPosition/currentHedgeShortfall/direction/transitionPrice are 120/120/0/1/1.52895</t>
  </si>
  <si>
    <t>2015-2-11 11:1:37.780: TransitionLogger - processTransitionpoint - checking transition - currentHedgeShortfall is 0</t>
  </si>
  <si>
    <t>2015-2-11 11:1:37.780: Algorithm - updatePortfolio - haveAllDetails is True</t>
  </si>
  <si>
    <t>2015-2-11 11:1:37.818: Algorithm - FindNextStrikes - price is 1.52885 nextStrikeUp/Down 1.53/1.525</t>
  </si>
  <si>
    <t>2015-2-11 11:1:37.819: Algorithm - getPortfolioForwardDelta - required deltas is 120 currentHedgePosition is 120</t>
  </si>
  <si>
    <t>2015-2-11 11:1:37.819: Algorithm - getHedgeShortfall - required deltas is 120 price is 1.52895 currentHedgePositionDeltas is 120</t>
  </si>
  <si>
    <t>2015-2-11 11:1:37.819: Algorithm - processTransitionPoint - nextUpper/LowerStrikes are 1.53/1.525 requiredDeltas/currentPosition/currentHedgeShortfall/direction/transitionPrice are 120/120/0/1/1.52895</t>
  </si>
  <si>
    <t>2015-2-11 11:1:37.820: TransitionLogger - processTransitionpoint - checking transition - currentHedgeShortfall is 0</t>
  </si>
  <si>
    <t>2015-2-11 11:1:37.821: Algorithm - updatePortfolio - haveAllDetails is True</t>
  </si>
  <si>
    <t>2015-2-11 11:1:37.861: Algorithm - FindNextStrikes - price is 1.52885 nextStrikeUp/Down 1.53/1.525</t>
  </si>
  <si>
    <t>2015-2-11 11:1:37.862: Algorithm - getPortfolioForwardDelta - required deltas is 120 currentHedgePosition is 120</t>
  </si>
  <si>
    <t>2015-2-11 11:1:37.862: Algorithm - getHedgeShortfall - required deltas is 120 price is 1.52895 currentHedgePositionDeltas is 120</t>
  </si>
  <si>
    <t>2015-2-11 11:1:37.863: Algorithm - processTransitionPoint - nextUpper/LowerStrikes are 1.53/1.525 requiredDeltas/currentPosition/currentHedgeShortfall/direction/transitionPrice are 120/120/0/1/1.52895</t>
  </si>
  <si>
    <t>2015-2-11 11:1:37.863: TransitionLogger - processTransitionpoint - checking transition - currentHedgeShortfall is 0</t>
  </si>
  <si>
    <t>2015-2-11 11:1:37.864: Algorithm - updatePortfolio - haveAllDetails is True</t>
  </si>
  <si>
    <t>2015-2-11 11:1:37.899: Algorithm - FindNextStrikes - price is 1.52885 nextStrikeUp/Down 1.53/1.525</t>
  </si>
  <si>
    <t>2015-2-11 11:1:37.900: Algorithm - getPortfolioForwardDelta - required deltas is 120 currentHedgePosition is 120</t>
  </si>
  <si>
    <t>2015-2-11 11:1:37.900: Algorithm - getHedgeShortfall - required deltas is 120 price is 1.52895 currentHedgePositionDeltas is 120</t>
  </si>
  <si>
    <t>2015-2-11 11:1:37.900: Algorithm - processTransitionPoint - nextUpper/LowerStrikes are 1.53/1.525 requiredDeltas/currentPosition/currentHedgeShortfall/direction/transitionPrice are 120/120/0/1/1.52895</t>
  </si>
  <si>
    <t>2015-2-11 11:1:37.901: TransitionLogger - processTransitionpoint - checking transition - currentHedgeShortfall is 0</t>
  </si>
  <si>
    <t>2015-2-11 11:1:37.902: Algorithm - updatePortfolio - haveAllDetails is True</t>
  </si>
  <si>
    <t>2015-2-11 11:1:37.942: Algorithm - FindNextStrikes - price is 1.52885 nextStrikeUp/Down 1.53/1.525</t>
  </si>
  <si>
    <t>2015-2-11 11:1:37.942: Algorithm - getPortfolioForwardDelta - required deltas is 120 currentHedgePosition is 120</t>
  </si>
  <si>
    <t>2015-2-11 11:1:37.942: Algorithm - getHedgeShortfall - required deltas is 120 price is 1.52895 currentHedgePositionDeltas is 120</t>
  </si>
  <si>
    <t>2015-2-11 11:1:37.943: Algorithm - processTransitionPoint - nextUpper/LowerStrikes are 1.53/1.525 requiredDeltas/currentPosition/currentHedgeShortfall/direction/transitionPrice are 120/120/0/1/1.52895</t>
  </si>
  <si>
    <t>2015-2-11 11:1:37.943: TransitionLogger - processTransitionpoint - checking transition - currentHedgeShortfall is 0</t>
  </si>
  <si>
    <t>2015-2-11 11:1:37.944: Algorithm - updatePortfolio - haveAllDetails is True</t>
  </si>
  <si>
    <t>2015-2-11 11:3:50.502: openOrderEx - I am here</t>
  </si>
  <si>
    <t>2015-2-11 11:3:50.596: RTWSControl - orderStatus -  entering orderStatus id is 9731 status is PreSubmitted</t>
  </si>
  <si>
    <t>2015-2-11 11:3:50.612: OrderManager - UpdateOrderStatus - id 9731 Setting status to PreSubmitted workingOrderCount is now -23 workingQty -418</t>
  </si>
  <si>
    <t>2015-2-11 11:3:50.612: RTWSControl - OrderStatus - Got OrderStatus Message id:9731 status: PreSubmitted filled: 0</t>
  </si>
  <si>
    <t>2015-2-11 11:3:50.612: RTWSControl - OrderStatus - exiting orderStatus</t>
  </si>
  <si>
    <t>2015-2-11 11:3:51.766: RTWSControl - execDetails -  entering execDetailsEx execution id is 0001f4e5.54da9bef.01.01 shares/cumQty is 25/25</t>
  </si>
  <si>
    <t>2015-2-11 11:3:51.766: OrderManager - updateExecution - an Error occurred Object doesn't support this property or method</t>
  </si>
  <si>
    <t>2015-2-11 11:3:51.766: OrderManager - updateExecution - got a fill for id 9731 qty 25 side SLD price 1.5285 - new working order size is -393 new instrument.qty is 95</t>
  </si>
  <si>
    <t>0001f4e5.54da9bef.01.01</t>
  </si>
  <si>
    <t>20150211  11:03:51</t>
  </si>
  <si>
    <t>2015-2-11 11:3:51.782: OrderManagerView - UpdateExecutionView - entering updateExecutionView  executionId is 0001f4e5.54da9bef.01.01</t>
  </si>
  <si>
    <t>2015-2-11 11:3:51.782: OrderManagerView - updateExecutionView -  exiting UpdateExecutionView</t>
  </si>
  <si>
    <t>2015-2-11 11:3:51.782: RTWSControl - execDetails -  exiting execDetailsEx</t>
  </si>
  <si>
    <t>2015-2-11 11:3:51.782: RTWSControl - execDetails - Got execution Message id:-1</t>
  </si>
  <si>
    <t>2015-2-11 11:3:51.813: openOrderEx - I am here</t>
  </si>
  <si>
    <t>2015-2-11 11:3:51.828: RTWSControl - orderStatus -  entering orderStatus id is 9731 status is PreSubmitted</t>
  </si>
  <si>
    <t>2015-2-11 11:3:51.828: OrderManager - UpdateOrderStatus - id 9731 Setting status to PreSubmitted workingOrderCount is now -23 workingQty -393</t>
  </si>
  <si>
    <t>2015-2-11 11:3:51.828: RTWSControl - OrderStatus - Got OrderStatus Message id:9731 status: PreSubmitted filled: 25</t>
  </si>
  <si>
    <t>2015-2-11 11:3:51.844: RTWSControl - OrderStatus - exiting orderStatus</t>
  </si>
  <si>
    <t>2015-2-11 11:3:51.969: openOrderEx - I am here</t>
  </si>
  <si>
    <t>2015-2-11 11:3:51.984: RTWSControl - orderStatus -  entering orderStatus id is 9731 status is Submitted</t>
  </si>
  <si>
    <t>2015-2-11 11:3:51.984: OrderManager - UpdateOrderStatus - id 9731 Setting status to Submitted workingOrderCount is now -23 workingQty -393</t>
  </si>
  <si>
    <t>2015-2-11 11:3:51.984: RTWSControl - OrderStatus - Got OrderStatus Message id:9731 status: Submitted filled: 25</t>
  </si>
  <si>
    <t>2015-2-11 11:3:51.984: RTWSControl - OrderStatus - exiting orderStatus</t>
  </si>
  <si>
    <t>2015-2-11 11:3:52.31: openOrderEx - I am here</t>
  </si>
  <si>
    <t>2015-2-11 11:3:52.62: RTWSControl - orderStatus -  entering orderStatus id is 9731 status is Submitted</t>
  </si>
  <si>
    <t>2015-2-11 11:3:52.62: OrderManager - UpdateOrderStatus - id 9731 Setting status to Submitted workingOrderCount is now -23 workingQty -393</t>
  </si>
  <si>
    <t>2015-2-11 11:3:52.62: RTWSControl - OrderStatus - Got OrderStatus Message id:9731 status: Submitted filled: 25</t>
  </si>
  <si>
    <t>2015-2-11 11:3:52.62: RTWSControl - OrderStatus - exiting orderStatus</t>
  </si>
  <si>
    <t>2015-2-11 11:3:52.78: OrderManager - cancelOrder - cancelling order id 9731</t>
  </si>
  <si>
    <t>2015-2-11 11:3:52.78: Algorithm - checkWorkingOrders - cancelling SELLcurrentHedgeShortfall is 0 - no trades required</t>
  </si>
  <si>
    <t>2015-2-11 11:3:52.187: RTWSControl - execDetails -  entering execDetailsEx execution id is 0001f4e5.54da9bf0.01.01 shares/cumQty is 14/39</t>
  </si>
  <si>
    <t>2015-2-11 11:3:52.203: OrderManager - updateExecution - an Error occurred Object doesn't support this property or method</t>
  </si>
  <si>
    <t>2015-2-11 11:3:52.203: OrderManager - updateExecution - got a fill for id 9731 qty 14 side SLD price 1.5276 - new working order size is -379 new instrument.qty is 81</t>
  </si>
  <si>
    <t>0001f4e5.54da9bf0.01.01</t>
  </si>
  <si>
    <t>2015-2-11 11:3:52.203: OrderManagerView - UpdateExecutionView - entering updateExecutionView  executionId is 0001f4e5.54da9bf0.01.01</t>
  </si>
  <si>
    <t>2015-2-11 11:3:52.203: OrderManagerView - updateExecutionView -  exiting UpdateExecutionView</t>
  </si>
  <si>
    <t>2015-2-11 11:3:52.203: RTWSControl - execDetails -  exiting execDetailsEx</t>
  </si>
  <si>
    <t>2015-2-11 11:3:52.203: RTWSControl - execDetails - Got execution Message id:-1</t>
  </si>
  <si>
    <t>2015-2-11 11:3:52.234: openOrderEx - I am here</t>
  </si>
  <si>
    <t>2015-2-11 11:3:52.234: RTWSControl - orderStatus -  entering orderStatus id is 9731 status is Submitted</t>
  </si>
  <si>
    <t>2015-2-11 11:3:52.234: OrderManager - UpdateOrderStatus - id 9731 Setting status to Submitted workingOrderCount is now -23 workingQty -379</t>
  </si>
  <si>
    <t>2015-2-11 11:3:52.250: RTWSControl - OrderStatus - Got OrderStatus Message id:9731 status: Submitted filled: 39</t>
  </si>
  <si>
    <t>2015-2-11 11:3:52.250: RTWSControl - OrderStatus - exiting orderStatus</t>
  </si>
  <si>
    <t>2015-2-11 11:3:52.312: RTWSControl - execDetails -  entering execDetailsEx execution id is 0001f4e5.54da9bf1.01.01 shares/cumQty is 1/40</t>
  </si>
  <si>
    <t>2015-2-11 11:3:52.312: OrderManager - updateExecution - an Error occurred Object doesn't support this property or method</t>
  </si>
  <si>
    <t>2015-2-11 11:3:52.312: OrderManager - updateExecution - got a fill for id 9731 qty 1 side SLD price 1.5276 - new working order size is -378 new instrument.qty is 80</t>
  </si>
  <si>
    <t>0001f4e5.54da9bf1.01.01</t>
  </si>
  <si>
    <t>2015-2-11 11:3:52.328: OrderManagerView - UpdateExecutionView - entering updateExecutionView  executionId is 0001f4e5.54da9bf1.01.01</t>
  </si>
  <si>
    <t>2015-2-11 11:3:52.328: OrderManagerView - updateExecutionView -  exiting UpdateExecutionView</t>
  </si>
  <si>
    <t>2015-2-11 11:3:52.328: RTWSControl - execDetails -  exiting execDetailsEx</t>
  </si>
  <si>
    <t>2015-2-11 11:3:52.328: RTWSControl - execDetails - Got execution Message id:-1</t>
  </si>
  <si>
    <t>2015-2-11 11:3:52.343: openOrderEx - I am here</t>
  </si>
  <si>
    <t>2015-2-11 11:3:52.390: RTWSControl - orderStatus -  entering orderStatus id is 9731 status is Submitted</t>
  </si>
  <si>
    <t>2015-2-11 11:3:52.390: OrderManager - UpdateOrderStatus - id 9731 Setting status to Submitted workingOrderCount is now -23 workingQty -378</t>
  </si>
  <si>
    <t>2015-2-11 11:3:52.390: RTWSControl - OrderStatus - Got OrderStatus Message id:9731 status: Submitted filled: 40</t>
  </si>
  <si>
    <t>2015-2-11 11:3:52.390: RTWSControl - OrderStatus - exiting orderStatus</t>
  </si>
  <si>
    <t>2015-2-11 11:3:52.452: RTWSControl - execDetails -  entering execDetailsEx execution id is 0001f4e5.54da9bf2.01.01 shares/cumQty is 8/48</t>
  </si>
  <si>
    <t>2015-2-11 11:3:52.455: OrderManager - updateExecution - an Error occurred Object doesn't support this property or method</t>
  </si>
  <si>
    <t>2015-2-11 11:3:52.457: OrderManager - updateExecution - got a fill for id 9731 qty 8 side SLD price 1.5276 - new working order size is -370 new instrument.qty is 72</t>
  </si>
  <si>
    <t>0001f4e5.54da9bf2.01.01</t>
  </si>
  <si>
    <t>2015-2-11 11:3:52.461: OrderManagerView - UpdateExecutionView - entering updateExecutionView  executionId is 0001f4e5.54da9bf2.01.01</t>
  </si>
  <si>
    <t>2015-2-11 11:3:52.463: OrderManagerView - updateExecutionView -  exiting UpdateExecutionView</t>
  </si>
  <si>
    <t>2015-2-11 11:3:52.464: RTWSControl - execDetails -  exiting execDetailsEx</t>
  </si>
  <si>
    <t>2015-2-11 11:3:52.464: RTWSControl - execDetails - Got execution Message id:-1</t>
  </si>
  <si>
    <t>2015-2-11 11:3:52.494: openOrderEx - I am here</t>
  </si>
  <si>
    <t>2015-2-11 11:3:52.526: RTWSControl - orderStatus -  entering orderStatus id is 9731 status is Filled</t>
  </si>
  <si>
    <t>2015-2-11 11:3:52.527: OrderManager - UpdateOrderStatus - id 9731 Setting status to Filled workingOrderCount is now -24 workingQty -370</t>
  </si>
  <si>
    <t>2015-2-11 11:3:52.529: OrderManager - terminateOrder - cleaning up after Filled 9731  order was supposed to SELL 48 1.5276 STP LMT workingQty/OrderCount now -370/-25</t>
  </si>
  <si>
    <t>2015-2-11 11:3:52.534: RTWSControl - OrderStatus - Got OrderStatus Message id:9731 status: Filled filled: 48</t>
  </si>
  <si>
    <t>2015-2-11 11:3:52.534: RTWSControl - OrderStatus - exiting orderStatus</t>
  </si>
  <si>
    <t>2015-2-11 11:3:52.549: openOrderEx - I am here</t>
  </si>
  <si>
    <t>2015-2-11 11:3:52.573: RTWSControl - orderStatus -  entering orderStatus id is 9731 status is Filled</t>
  </si>
  <si>
    <t>2015-2-11 11:3:52.573: OrderManager - UpdateOrderStatus - id 9731 Setting status to Filled workingOrderCount is now -25 workingQty -370</t>
  </si>
  <si>
    <t>2015-2-11 11:3:52.576: OrderManager - terminateOrder - cleaning up after Filled 9731  order was supposed to SELL 48 1.5276 STP LMT workingQty/OrderCount now -370/-26</t>
  </si>
  <si>
    <t>2015-2-11 11:3:52.581: RTWSControl - OrderStatus - Got OrderStatus Message id:9731 status: Filled filled: 48</t>
  </si>
  <si>
    <t>2015-2-11 11:3:52.582: RTWSControl - OrderStatus - exiting orderStatus</t>
  </si>
  <si>
    <t>2015-2-11 11:3:52.614: openOrderEx - I am here</t>
  </si>
  <si>
    <t>2015-2-11 11:3:52.625: RTWSControl - orderStatus -  entering orderStatus id is 9731 status is Filled</t>
  </si>
  <si>
    <t>2015-2-11 11:3:52.626: OrderManager - UpdateOrderStatus - id 9731 Setting status to Filled workingOrderCount is now -26 workingQty -370</t>
  </si>
  <si>
    <t>2015-2-11 11:3:52.628: OrderManager - terminateOrder - cleaning up after Filled 9731  order was supposed to SELL 48 1.5276 STP LMT workingQty/OrderCount now -370/-27</t>
  </si>
  <si>
    <t>2015-2-11 11:3:52.634: RTWSControl - OrderStatus - Got OrderStatus Message id:9731 status: Filled filled: 48</t>
  </si>
  <si>
    <t>2015-2-11 11:3:52.635: RTWSControl - OrderStatus - exiting orderStatus</t>
  </si>
  <si>
    <t>2015-2-11 11:3:52.660: openOrderEx - I am here</t>
  </si>
  <si>
    <t>2015-2-11 11:3:52.692: RTWSControl - orderStatus -  entering orderStatus id is 9731 status is Filled</t>
  </si>
  <si>
    <t>2015-2-11 11:3:52.692: OrderManager - UpdateOrderStatus - id 9731 Setting status to Filled workingOrderCount is now -27 workingQty -370</t>
  </si>
  <si>
    <t>2015-2-11 11:3:52.694: OrderManager - terminateOrder - cleaning up after Filled 9731  order was supposed to SELL 48 1.5276 STP LMT workingQty/OrderCount now -370/-28</t>
  </si>
  <si>
    <t>2015-2-11 11:3:52.699: RTWSControl - OrderStatus - Got OrderStatus Message id:9731 status: Filled filled: 48</t>
  </si>
  <si>
    <t>2015-2-11 11:3:52.700: RTWSControl - OrderStatus - exiting orderStatus</t>
  </si>
  <si>
    <t>2015-2-11 11:3:52.714: OrderManager - PlaceOrder - id 9732 workingQty -417</t>
  </si>
  <si>
    <t>2015-2-11 11:3:52.716: OrderManager - sendOrder - exiting place order id 9732 SELL 47 1.5272  - workingQty -417 currentPosition is 72 workingOrderCount is -27</t>
  </si>
  <si>
    <t>2015-2-11 11:3:55.938: Algorithm - FindNextStrikes - price is 1.5286 nextStrikeUp/Down 1.53/1.525</t>
  </si>
  <si>
    <t>2015-2-11 11:3:55.938: Algorithm - getPortfolioForwardDelta - required deltas is 120 currentHedgePosition is 72</t>
  </si>
  <si>
    <t>2015-2-11 11:3:55.938: Algorithm - getHedgeShortfall - required deltas is 120 price is 1.5285 currentHedgePositionDeltas is 72</t>
  </si>
  <si>
    <t>2015-2-11 11:3:55.938: Algorithm - processTransitionPoint - nextUpper/LowerStrikes are 1.53/1.525 requiredDeltas/currentPosition/currentHedgeShortfall/direction/transitionPrice are 120/72/48/-1/1.5285</t>
  </si>
  <si>
    <t>2015-2-11 11:3:55.954: TransitionLogger - processTransitionpoint - checking transition - currentHedgeShortfall is 48</t>
  </si>
  <si>
    <t>2015-2-11 11:3:55.954: Algorithm - rehedge - rehedging 48 contracts</t>
  </si>
  <si>
    <t>2015-2-11 11:3:55.954: Algortihm - rehedge - inside the loop</t>
  </si>
  <si>
    <t>2015-2-11 11:3:55.954: Algorithm - rehedge - trying to trade BUT contracts is 48 and direction indicator is -1</t>
  </si>
  <si>
    <t>2015-2-11 11:3:55.954: Algorithm - updatePortfolio - haveAllDetails is True</t>
  </si>
  <si>
    <t>2015-2-11 11:3:55.985: Algorithm - FindNextStrikes - price is 1.5286 nextStrikeUp/Down 1.53/1.525</t>
  </si>
  <si>
    <t>2015-2-11 11:3:55.985: Algorithm - getPortfolioForwardDelta - required deltas is 120 currentHedgePosition is 72</t>
  </si>
  <si>
    <t>2015-2-11 11:3:55.985: Algorithm - getHedgeShortfall - required deltas is 120 price is 1.5285 currentHedgePositionDeltas is 72</t>
  </si>
  <si>
    <t>2015-2-11 11:3:55.985: Algorithm - processTransitionPoint - nextUpper/LowerStrikes are 1.53/1.525 requiredDeltas/currentPosition/currentHedgeShortfall/direction/transitionPrice are 120/72/48/-1/1.5285</t>
  </si>
  <si>
    <t>2015-2-11 11:3:55.985: TransitionLogger - processTransitionpoint - checking transition - currentHedgeShortfall is 48</t>
  </si>
  <si>
    <t>2015-2-11 11:3:55.985: Algorithm - rehedge - rehedging 48 contracts</t>
  </si>
  <si>
    <t>2015-2-11 11:3:55.985: Algortihm - rehedge - inside the loop</t>
  </si>
  <si>
    <t>2015-2-11 11:3:55.985: Algorithm - rehedge - trying to trade BUT contracts is 48 and direction indicator is -1</t>
  </si>
  <si>
    <t>2015-2-11 11:3:55.985: Algorithm - updatePortfolio - haveAllDetails is True</t>
  </si>
  <si>
    <t>2015-2-11 11:3:56.32: Algorithm - FindNextStrikes - price is 1.5286 nextStrikeUp/Down 1.53/1.525</t>
  </si>
  <si>
    <t>2015-2-11 11:3:56.32: Algorithm - getPortfolioForwardDelta - required deltas is 120 currentHedgePosition is 72</t>
  </si>
  <si>
    <t>2015-2-11 11:3:56.32: Algorithm - getHedgeShortfall - required deltas is 120 price is 1.5285 currentHedgePositionDeltas is 72</t>
  </si>
  <si>
    <t>2015-2-11 11:3:56.32: Algorithm - processTransitionPoint - nextUpper/LowerStrikes are 1.53/1.525 requiredDeltas/currentPosition/currentHedgeShortfall/direction/transitionPrice are 120/72/48/-1/1.5285</t>
  </si>
  <si>
    <t>2015-2-11 11:3:56.32: TransitionLogger - processTransitionpoint - checking transition - currentHedgeShortfall is 48</t>
  </si>
  <si>
    <t>2015-2-11 11:3:56.32: Algorithm - rehedge - rehedging 48 contracts</t>
  </si>
  <si>
    <t>2015-2-11 11:3:56.32: Algortihm - rehedge - inside the loop</t>
  </si>
  <si>
    <t>2015-2-11 11:3:56.32: Algorithm - rehedge - trying to trade BUT contracts is 48 and direction indicator is -1</t>
  </si>
  <si>
    <t>2015-2-11 11:3:56.47: Algorithm - updatePortfolio - haveAllDetails is True</t>
  </si>
  <si>
    <t>2015-2-11 11:3:56.94: Algorithm - FindNextStrikes - price is 1.5286 nextStrikeUp/Down 1.53/1.525</t>
  </si>
  <si>
    <t>2015-2-11 11:3:56.94: Algorithm - getPortfolioForwardDelta - required deltas is 120 currentHedgePosition is 72</t>
  </si>
  <si>
    <t>2015-2-11 11:3:56.94: Algorithm - getHedgeShortfall - required deltas is 120 price is 1.5285 currentHedgePositionDeltas is 72</t>
  </si>
  <si>
    <t>2015-2-11 11:3:56.110: Algorithm - processTransitionPoint - nextUpper/LowerStrikes are 1.53/1.525 requiredDeltas/currentPosition/currentHedgeShortfall/direction/transitionPrice are 120/72/48/-1/1.5285</t>
  </si>
  <si>
    <t>2015-2-11 11:3:56.110: TransitionLogger - processTransitionpoint - checking transition - currentHedgeShortfall is 48</t>
  </si>
  <si>
    <t>2015-2-11 11:3:56.110: Algorithm - rehedge - rehedging 48 contracts</t>
  </si>
  <si>
    <t>2015-2-11 11:3:56.110: Algortihm - rehedge - inside the loop</t>
  </si>
  <si>
    <t>2015-2-11 11:3:56.110: Algorithm - rehedge - trying to trade BUT contracts is 48 and direction indicator is -1</t>
  </si>
  <si>
    <t>2015-2-11 11:3:56.110: Algorithm - updatePortfolio - haveAllDetails is True</t>
  </si>
  <si>
    <t>2015-2-11 11:3:56.156: Algorithm - FindNextStrikes - price is 1.5286 nextStrikeUp/Down 1.53/1.525</t>
  </si>
  <si>
    <t>2015-2-11 11:3:56.156: Algorithm - getPortfolioForwardDelta - required deltas is 120 currentHedgePosition is 72</t>
  </si>
  <si>
    <t>2015-2-11 11:3:56.156: Algorithm - getHedgeShortfall - required deltas is 120 price is 1.5285 currentHedgePositionDeltas is 72</t>
  </si>
  <si>
    <t>2015-2-11 11:3:56.156: Algorithm - processTransitionPoint - nextUpper/LowerStrikes are 1.53/1.525 requiredDeltas/currentPosition/currentHedgeShortfall/direction/transitionPrice are 120/72/48/-1/1.5285</t>
  </si>
  <si>
    <t>2015-2-11 11:3:56.172: TransitionLogger - processTransitionpoint - checking transition - currentHedgeShortfall is 48</t>
  </si>
  <si>
    <t>2015-2-11 11:3:56.172: Algorithm - rehedge - rehedging 48 contracts</t>
  </si>
  <si>
    <t>2015-2-11 11:3:56.172: Algortihm - rehedge - inside the loop</t>
  </si>
  <si>
    <t>2015-2-11 11:3:56.172: Algorithm - rehedge - trying to trade BUT contracts is 48 and direction indicator is -1</t>
  </si>
  <si>
    <t>2015-2-11 11:3:56.172: Algorithm - updatePortfolio - haveAllDetails is True</t>
  </si>
  <si>
    <t>2015-2-11 11:3:56.219: Algorithm - FindNextStrikes - price is 1.5286 nextStrikeUp/Down 1.53/1.525</t>
  </si>
  <si>
    <t>2015-2-11 11:3:56.219: Algorithm - getPortfolioForwardDelta - required deltas is 120 currentHedgePosition is 72</t>
  </si>
  <si>
    <t>2015-2-11 11:3:56.219: Algorithm - getHedgeShortfall - required deltas is 120 price is 1.5285 currentHedgePositionDeltas is 72</t>
  </si>
  <si>
    <t>2015-2-11 11:3:56.219: Algorithm - processTransitionPoint - nextUpper/LowerStrikes are 1.53/1.525 requiredDeltas/currentPosition/currentHedgeShortfall/direction/transitionPrice are 120/72/48/-1/1.5285</t>
  </si>
  <si>
    <t>2015-2-11 11:3:56.234: TransitionLogger - processTransitionpoint - checking transition - currentHedgeShortfall is 48</t>
  </si>
  <si>
    <t>2015-2-11 11:3:56.234: Algorithm - rehedge - rehedging 48 contracts</t>
  </si>
  <si>
    <t>2015-2-11 11:3:56.234: Algortihm - rehedge - inside the loop</t>
  </si>
  <si>
    <t>2015-2-11 11:3:56.234: Algorithm - rehedge - trying to trade BUT contracts is 48 and direction indicator is -1</t>
  </si>
  <si>
    <t>2015-2-11 11:3:56.234: Algorithm - updatePortfolio - haveAllDetails is True</t>
  </si>
  <si>
    <t>2015-2-11 11:3:56.281: Algorithm - FindNextStrikes - price is 1.5286 nextStrikeUp/Down 1.53/1.525</t>
  </si>
  <si>
    <t>2015-2-11 11:3:56.281: Algorithm - getPortfolioForwardDelta - required deltas is 120 currentHedgePosition is 72</t>
  </si>
  <si>
    <t>2015-2-11 11:3:56.281: Algorithm - getHedgeShortfall - required deltas is 120 price is 1.5285 currentHedgePositionDeltas is 72</t>
  </si>
  <si>
    <t>2015-2-11 11:3:56.281: Algorithm - processTransitionPoint - nextUpper/LowerStrikes are 1.53/1.525 requiredDeltas/currentPosition/currentHedgeShortfall/direction/transitionPrice are 120/72/48/-1/1.5285</t>
  </si>
  <si>
    <t>2015-2-11 11:3:56.281: TransitionLogger - processTransitionpoint - checking transition - currentHedgeShortfall is 48</t>
  </si>
  <si>
    <t>2015-2-11 11:3:56.281: Algorithm - rehedge - rehedging 48 contracts</t>
  </si>
  <si>
    <t>2015-2-11 11:3:56.281: Algortihm - rehedge - inside the loop</t>
  </si>
  <si>
    <t>2015-2-11 11:3:56.281: Algorithm - rehedge - trying to trade BUT contracts is 48 and direction indicator is -1</t>
  </si>
  <si>
    <t>2015-2-11 11:3:56.281: Algorithm - updatePortfolio - haveAllDetails is True</t>
  </si>
  <si>
    <t>2015-2-11 11:3:56.328: Algorithm - FindNextStrikes - price is 1.5286 nextStrikeUp/Down 1.53/1.525</t>
  </si>
  <si>
    <t>2015-2-11 11:3:56.328: Algorithm - getPortfolioForwardDelta - required deltas is 120 currentHedgePosition is 72</t>
  </si>
  <si>
    <t>2015-2-11 11:3:56.344: Algorithm - getHedgeShortfall - required deltas is 120 price is 1.5285 currentHedgePositionDeltas is 72</t>
  </si>
  <si>
    <t>2015-2-11 11:3:56.344: Algorithm - processTransitionPoint - nextUpper/LowerStrikes are 1.53/1.525 requiredDeltas/currentPosition/currentHedgeShortfall/direction/transitionPrice are 120/72/48/-1/1.5285</t>
  </si>
  <si>
    <t>2015-2-11 11:3:56.344: TransitionLogger - processTransitionpoint - checking transition - currentHedgeShortfall is 48</t>
  </si>
  <si>
    <t>2015-2-11 11:3:56.344: Algorithm - rehedge - rehedging 48 contracts</t>
  </si>
  <si>
    <t>2015-2-11 11:3:56.344: Algortihm - rehedge - inside the loop</t>
  </si>
  <si>
    <t>2015-2-11 11:3:56.344: Algorithm - rehedge - trying to trade BUT contracts is 48 and direction indicator is -1</t>
  </si>
  <si>
    <t>2015-2-11 11:3:56.344: Algorithm - updatePortfolio - haveAllDetails is True</t>
  </si>
  <si>
    <t>2015-2-11 11:3:56.390: Algorithm - FindNextStrikes - price is 1.5286 nextStrikeUp/Down 1.53/1.525</t>
  </si>
  <si>
    <t>2015-2-11 11:3:56.390: Algorithm - getPortfolioForwardDelta - required deltas is 120 currentHedgePosition is 72</t>
  </si>
  <si>
    <t>2015-2-11 11:3:56.390: Algorithm - getHedgeShortfall - required deltas is 120 price is 1.5285 currentHedgePositionDeltas is 72</t>
  </si>
  <si>
    <t>2015-2-11 11:3:56.390: Algorithm - processTransitionPoint - nextUpper/LowerStrikes are 1.53/1.525 requiredDeltas/currentPosition/currentHedgeShortfall/direction/transitionPrice are 120/72/48/-1/1.5285</t>
  </si>
  <si>
    <t>2015-2-11 11:3:56.406: TransitionLogger - processTransitionpoint - checking transition - currentHedgeShortfall is 48</t>
  </si>
  <si>
    <t>2015-2-11 11:3:56.406: Algorithm - rehedge - rehedging 48 contracts</t>
  </si>
  <si>
    <t>2015-2-11 11:3:56.406: Algortihm - rehedge - inside the loop</t>
  </si>
  <si>
    <t>2015-2-11 11:3:56.406: Algorithm - rehedge - trying to trade BUT contracts is 48 and direction indicator is -1</t>
  </si>
  <si>
    <t>2015-2-11 11:3:56.406: Algorithm - updatePortfolio - haveAllDetails is True</t>
  </si>
  <si>
    <t>2015-2-11 11:3:56.453: Algorithm - FindNextStrikes - price is 1.5286 nextStrikeUp/Down 1.53/1.525</t>
  </si>
  <si>
    <t>2015-2-11 11:3:56.453: Algorithm - getPortfolioForwardDelta - required deltas is 120 currentHedgePosition is 72</t>
  </si>
  <si>
    <t>2015-2-11 11:3:56.453: Algorithm - getHedgeShortfall - required deltas is 120 price is 1.5285 currentHedgePositionDeltas is 72</t>
  </si>
  <si>
    <t>2015-2-11 11:3:56.453: Algorithm - processTransitionPoint - nextUpper/LowerStrikes are 1.53/1.525 requiredDeltas/currentPosition/currentHedgeShortfall/direction/transitionPrice are 120/72/48/-1/1.5285</t>
  </si>
  <si>
    <t>2015-2-11 11:3:56.453: TransitionLogger - processTransitionpoint - checking transition - currentHedgeShortfall is 48</t>
  </si>
  <si>
    <t>2015-2-11 11:3:56.453: Algorithm - rehedge - rehedging 48 contracts</t>
  </si>
  <si>
    <t>2015-2-11 11:3:56.453: Algortihm - rehedge - inside the loop</t>
  </si>
  <si>
    <t>2015-2-11 11:3:56.453: Algorithm - rehedge - trying to trade BUT contracts is 48 and direction indicator is -1</t>
  </si>
  <si>
    <t>2015-2-11 11:3:56.453: Algorithm - updatePortfolio - haveAllDetails is True</t>
  </si>
  <si>
    <t>2015-2-11 11:3:56.484: RTWSControl - errMsg - got error message 161:Cancel attempted when order is not in a cancellable state.  Order permId =1226100187with id 9731</t>
  </si>
  <si>
    <t>2015-2-11 11:3:56.531: RTWSControl - nextValidId - entering nextValidId id is 9733</t>
  </si>
  <si>
    <t>2015-2-11 11:3:56.562: openOrderEx - I am here</t>
  </si>
  <si>
    <t>2015-2-11 11:3:56.578: RTWSControl - orderStatus -  entering orderStatus id is 9732 status is PreSubmitted</t>
  </si>
  <si>
    <t>2015-2-11 11:3:56.578: OrderManager - UpdateOrderStatus - id 9732 Setting status to PreSubmitted workingOrderCount is now -27 workingQty -417</t>
  </si>
  <si>
    <t>2015-2-11 11:3:56.578: RTWSControl - OrderStatus - Got OrderStatus Message id:9732 status: PreSubmitted filled: 0</t>
  </si>
  <si>
    <t>2015-2-11 11:3:56.578: RTWSControl - OrderStatus - exiting orderStatus</t>
  </si>
  <si>
    <t>2015-2-11 11:3:56.609: Algorithm - rehedge - rehedging 48 contracts</t>
  </si>
  <si>
    <t>2015-2-11 11:3:56.609: Algortihm - rehedge - inside the loop</t>
  </si>
  <si>
    <t>2015-2-11 11:3:56.609: Algorithm - rehedge - trying to trade BUT contracts is 48 and direction indicator is -1</t>
  </si>
  <si>
    <t>2015-2-11 11:3:56.609: OrderManager - cancelOrder - cancelling order id 9730</t>
  </si>
  <si>
    <t>2015-2-11 11:3:56.609: OrderManager - PlaceOrder - id 9733 workingQty -403</t>
  </si>
  <si>
    <t>2015-2-11 11:3:56.609: OrderManager - sendOrder - exiting place order id 9733 BUY 14 1.5314  - workingQty -403 currentPosition is 72 workingOrderCount is -26</t>
  </si>
  <si>
    <t>2015-2-11 11:3:56.609: OrderManager - cancelOrder - cancelling order id 9732</t>
  </si>
  <si>
    <t>2015-2-11 11:3:56.609: OrderManager - createOrder - exiting without creating order - did not have validID</t>
  </si>
  <si>
    <t>2015-2-11 11:3:56.780: Algorithm - rehedge - rehedging 48 contracts</t>
  </si>
  <si>
    <t>2015-2-11 11:3:56.780: Algortihm - rehedge - inside the loop</t>
  </si>
  <si>
    <t>2015-2-11 11:3:56.780: Algorithm - rehedge - trying to trade BUT contracts is 48 and direction indicator is -1</t>
  </si>
  <si>
    <t>2015-2-11 11:3:56.780: OrderManager - createOrder - exiting without creating order - did not have validID</t>
  </si>
  <si>
    <t>2015-2-11 11:3:58.65: RTWSControl - nextValidId - entering nextValidId id is 9734</t>
  </si>
  <si>
    <t>2015-2-11 11:3:58.72: RTWSControl - orderStatus -  entering orderStatus id is 9730 status is Cancelled</t>
  </si>
  <si>
    <t>2015-2-11 11:3:58.73: OrderManager - UpdateOrderStatus - id 9730 Setting status to Cancelled workingOrderCount is now -26 workingQty -403</t>
  </si>
  <si>
    <t>2015-2-11 11:3:58.76: RTWSControl - OrderStatus - Got OrderStatus Message id:9730 status: Cancelled filled: 0</t>
  </si>
  <si>
    <t>2015-2-11 11:3:58.77: RTWSControl - OrderStatus - exiting orderStatus</t>
  </si>
  <si>
    <t>2015-2-11 11:3:58.109: RTWSControl - errMsg - got error message 202:Order Canceled - reason:with id 9730</t>
  </si>
  <si>
    <t>2015-2-11 11:3:58.110: OrderManager - canceledOrder - cleaning up after canceled order 9730BEWARE UNACCOUNTED FOR EXECUTIONS!!!</t>
  </si>
  <si>
    <t>2015-2-11 11:3:58.112: OrderManager - terminateOrder - cleaning up after Canceled 9730  order was supposed to BUY 48 1.5432 STP LMT workingQty/OrderCount now -451/-27</t>
  </si>
  <si>
    <t>2015-2-11 11:3:58.126: RTWSControl - orderStatus -  entering orderStatus id is 9732 status is Cancelled</t>
  </si>
  <si>
    <t>2015-2-11 11:3:58.127: OrderManager - UpdateOrderStatus - id 9732 Setting status to Cancelled workingOrderCount is now -27 workingQty -451</t>
  </si>
  <si>
    <t>2015-2-11 11:3:58.131: RTWSControl - OrderStatus - Got OrderStatus Message id:9732 status: Cancelled filled: 0</t>
  </si>
  <si>
    <t>2015-2-11 11:3:58.132: RTWSControl - OrderStatus - exiting orderStatus</t>
  </si>
  <si>
    <t>2015-2-11 11:3:58.156: RTWSControl - errMsg - got error message 202:Order Canceled - reason:with id 9732</t>
  </si>
  <si>
    <t>2015-2-11 11:3:58.157: OrderManager - canceledOrder - cleaning up after canceled order 9732BEWARE UNACCOUNTED FOR EXECUTIONS!!!</t>
  </si>
  <si>
    <t>2015-2-11 11:3:58.159: OrderManager - terminateOrder - cleaning up after Canceled 9732  order was supposed to SELL 47 1.5272 STP LMT workingQty/OrderCount now -498/-28</t>
  </si>
  <si>
    <t>2015-2-11 11:3:58.195: openOrderEx - I am here</t>
  </si>
  <si>
    <t>2015-2-11 11:3:58.208: RTWSControl - orderStatus -  entering orderStatus id is 9733 status is PreSubmitted</t>
  </si>
  <si>
    <t>2015-2-11 11:3:58.209: OrderManager - UpdateOrderStatus - id 9733 Setting status to PreSubmitted workingOrderCount is now -28 workingQty -498</t>
  </si>
  <si>
    <t>2015-2-11 11:3:58.212: RTWSControl - OrderStatus - Got OrderStatus Message id:9733 status: PreSubmitted filled: 0</t>
  </si>
  <si>
    <t>2015-2-11 11:3:58.213: RTWSControl - OrderStatus - exiting orderStatus</t>
  </si>
  <si>
    <t>2015-2-11 11:4:4.54: Algorithm - rehedge - rehedging 48 contracts</t>
  </si>
  <si>
    <t>2015-2-11 11:4:4.54: Algortihm - rehedge - inside the loop</t>
  </si>
  <si>
    <t>2015-2-11 11:4:4.54: Algorithm - rehedge - trying to trade BUT contracts is 48 and direction indicator is -1</t>
  </si>
  <si>
    <t>2015-2-11 11:4:4.69: OrderManager - PlaceOrder - id 9734 workingQty -512</t>
  </si>
  <si>
    <t>2015-2-11 11:4:4.69: OrderManager - sendOrder - exiting place order id 9734 SELL 14 1.5253  - workingQty -512 currentPosition is 72 workingOrderCount is -27</t>
  </si>
  <si>
    <t>2015-2-11 11:4:4.397: RTWSControl - nextValidId - entering nextValidId id is 9735</t>
  </si>
  <si>
    <t>2015-2-11 11:4:4.413: openOrderEx - I am here</t>
  </si>
  <si>
    <t>2015-2-11 11:4:4.439: RTWSControl - orderStatus -  entering orderStatus id is 9734 status is PreSubmitted</t>
  </si>
  <si>
    <t>2015-2-11 11:4:4.440: OrderManager - UpdateOrderStatus - id 9734 Setting status to PreSubmitted workingOrderCount is now -27 workingQty -512</t>
  </si>
  <si>
    <t>2015-2-11 11:4:4.444: RTWSControl - OrderStatus - Got OrderStatus Message id:9734 status: PreSubmitted filled: 0</t>
  </si>
  <si>
    <t>2015-2-11 11:4:4.444: RTWSControl - OrderStatus - exiting orderStatus</t>
  </si>
  <si>
    <t>2015-2-11 11:4:4.594: Algorithm - rehedge - rehedging 48 contracts</t>
  </si>
  <si>
    <t>2015-2-11 11:4:4.598: Algortihm - rehedge - inside the loop</t>
  </si>
  <si>
    <t>2015-2-11 11:4:4.601: Algorithm - rehedge - trying to trade BUT contracts is 48 and direction indicator is -1</t>
  </si>
  <si>
    <t>2015-2-11 11:4:7.997: Algorithm - FindNextStrikes - price is 1.5286 nextStrikeUp/Down 1.53/1.525</t>
  </si>
  <si>
    <t>2015-2-11 11:4:7.998: Algorithm - getPortfolioForwardDelta - required deltas is 120 currentHedgePosition is 72</t>
  </si>
  <si>
    <t>2015-2-11 11:4:7.999: Algorithm - getHedgeShortfall - required deltas is 120 price is 1.5285 currentHedgePositionDeltas is 72</t>
  </si>
  <si>
    <t>2015-2-11 11:4:8.1: Algorithm - processTransitionPoint - nextUpper/LowerStrikes are 1.53/1.525 requiredDeltas/currentPosition/currentHedgeShortfall/direction/transitionPrice are 120/72/48/-1/1.5285</t>
  </si>
  <si>
    <t>2015-2-11 11:4:8.3: TransitionLogger - processTransitionpoint - checking transition - currentHedgeShortfall is 48</t>
  </si>
  <si>
    <t>2015-2-11 11:4:8.4: Algorithm - rehedge - rehedging 48 contracts</t>
  </si>
  <si>
    <t>2015-2-11 11:4:8.4: Algortihm - rehedge - inside the loop</t>
  </si>
  <si>
    <t>2015-2-11 11:4:8.5: Algorithm - rehedge - trying to trade BUT contracts is 48 and direction indicator is -1</t>
  </si>
  <si>
    <t>2015-2-11 11:4:8.7: Algorithm - updatePortfolio - haveAllDetails is True</t>
  </si>
  <si>
    <t>2015-2-11 11:4:8.76: Algorithm - FindNextStrikes - price is 1.5286 nextStrikeUp/Down 1.53/1.525</t>
  </si>
  <si>
    <t>2015-2-11 11:4:8.77: Algorithm - getPortfolioForwardDelta - required deltas is 120 currentHedgePosition is 72</t>
  </si>
  <si>
    <t>2015-2-11 11:4:8.77: Algorithm - getHedgeShortfall - required deltas is 120 price is 1.5285 currentHedgePositionDeltas is 72</t>
  </si>
  <si>
    <t>2015-2-11 11:4:8.79: Algorithm - processTransitionPoint - nextUpper/LowerStrikes are 1.53/1.525 requiredDeltas/currentPosition/currentHedgeShortfall/direction/transitionPrice are 120/72/48/-1/1.5285</t>
  </si>
  <si>
    <t>2015-2-11 11:4:8.81: TransitionLogger - processTransitionpoint - checking transition - currentHedgeShortfall is 48</t>
  </si>
  <si>
    <t>2015-2-11 11:4:8.82: Algorithm - rehedge - rehedging 48 contracts</t>
  </si>
  <si>
    <t>2015-2-11 11:4:8.82: Algortihm - rehedge - inside the loop</t>
  </si>
  <si>
    <t>2015-2-11 11:4:8.83: Algorithm - rehedge - trying to trade BUT contracts is 48 and direction indicator is -1</t>
  </si>
  <si>
    <t>2015-2-11 11:4:8.84: Algorithm - updatePortfolio - haveAllDetails is True</t>
  </si>
  <si>
    <t>2015-2-11 11:4:8.128: Algorithm - FindNextStrikes - price is 1.5286 nextStrikeUp/Down 1.53/1.525</t>
  </si>
  <si>
    <t>2015-2-11 11:4:8.129: Algorithm - getPortfolioForwardDelta - required deltas is 120 currentHedgePosition is 72</t>
  </si>
  <si>
    <t>2015-2-11 11:4:8.130: Algorithm - getHedgeShortfall - required deltas is 120 price is 1.5285 currentHedgePositionDeltas is 72</t>
  </si>
  <si>
    <t>2015-2-11 11:4:8.132: Algorithm - processTransitionPoint - nextUpper/LowerStrikes are 1.53/1.525 requiredDeltas/currentPosition/currentHedgeShortfall/direction/transitionPrice are 120/72/48/-1/1.5285</t>
  </si>
  <si>
    <t>2015-2-11 11:4:8.133: TransitionLogger - processTransitionpoint - checking transition - currentHedgeShortfall is 48</t>
  </si>
  <si>
    <t>2015-2-11 11:4:8.134: Algorithm - rehedge - rehedging 48 contracts</t>
  </si>
  <si>
    <t>2015-2-11 11:4:8.135: Algortihm - rehedge - inside the loop</t>
  </si>
  <si>
    <t>2015-2-11 11:4:8.136: Algorithm - rehedge - trying to trade BUT contracts is 48 and direction indicator is -1</t>
  </si>
  <si>
    <t>2015-2-11 11:4:8.137: Algorithm - updatePortfolio - haveAllDetails is True</t>
  </si>
  <si>
    <t>2015-2-11 11:4:8.171: Algorithm - FindNextStrikes - price is 1.5286 nextStrikeUp/Down 1.53/1.525</t>
  </si>
  <si>
    <t>2015-2-11 11:4:8.172: Algorithm - getPortfolioForwardDelta - required deltas is 120 currentHedgePosition is 72</t>
  </si>
  <si>
    <t>2015-2-11 11:4:8.173: Algorithm - getHedgeShortfall - required deltas is 120 price is 1.5285 currentHedgePositionDeltas is 72</t>
  </si>
  <si>
    <t>2015-2-11 11:4:8.175: Algorithm - processTransitionPoint - nextUpper/LowerStrikes are 1.53/1.525 requiredDeltas/currentPosition/currentHedgeShortfall/direction/transitionPrice are 120/72/48/-1/1.5285</t>
  </si>
  <si>
    <t>2015-2-11 11:4:8.176: TransitionLogger - processTransitionpoint - checking transition - currentHedgeShortfall is 48</t>
  </si>
  <si>
    <t>2015-2-11 11:4:8.177: Algorithm - rehedge - rehedging 48 contracts</t>
  </si>
  <si>
    <t>2015-2-11 11:4:8.178: Algortihm - rehedge - inside the loop</t>
  </si>
  <si>
    <t>2015-2-11 11:4:8.179: Algorithm - rehedge - trying to trade BUT contracts is 48 and direction indicator is -1</t>
  </si>
  <si>
    <t>2015-2-11 11:4:8.180: Algorithm - updatePortfolio - haveAllDetails is True</t>
  </si>
  <si>
    <t>2015-2-11 11:4:8.235: Algorithm - FindNextStrikes - price is 1.5286 nextStrikeUp/Down 1.53/1.525</t>
  </si>
  <si>
    <t>2015-2-11 11:4:8.236: Algorithm - getPortfolioForwardDelta - required deltas is 120 currentHedgePosition is 72</t>
  </si>
  <si>
    <t>2015-2-11 11:4:8.237: Algorithm - getHedgeShortfall - required deltas is 120 price is 1.5285 currentHedgePositionDeltas is 72</t>
  </si>
  <si>
    <t>2015-2-11 11:4:8.238: Algorithm - processTransitionPoint - nextUpper/LowerStrikes are 1.53/1.525 requiredDeltas/currentPosition/currentHedgeShortfall/direction/transitionPrice are 120/72/48/-1/1.5285</t>
  </si>
  <si>
    <t>2015-2-11 11:4:8.240: TransitionLogger - processTransitionpoint - checking transition - currentHedgeShortfall is 48</t>
  </si>
  <si>
    <t>2015-2-11 11:4:8.241: Algorithm - rehedge - rehedging 48 contracts</t>
  </si>
  <si>
    <t>2015-2-11 11:4:8.241: Algortihm - rehedge - inside the loop</t>
  </si>
  <si>
    <t>2015-2-11 11:4:8.242: Algorithm - rehedge - trying to trade BUT contracts is 48 and direction indicator is -1</t>
  </si>
  <si>
    <t>2015-2-11 11:4:8.243: Algorithm - updatePortfolio - haveAllDetails is True</t>
  </si>
  <si>
    <t>2015-2-11 11:4:8.289: Algorithm - FindNextStrikes - price is 1.5286 nextStrikeUp/Down 1.53/1.525</t>
  </si>
  <si>
    <t>2015-2-11 11:4:8.290: Algorithm - getPortfolioForwardDelta - required deltas is 120 currentHedgePosition is 72</t>
  </si>
  <si>
    <t>2015-2-11 11:4:8.291: Algorithm - getHedgeShortfall - required deltas is 120 price is 1.5285 currentHedgePositionDeltas is 72</t>
  </si>
  <si>
    <t>2015-2-11 11:4:8.293: Algorithm - processTransitionPoint - nextUpper/LowerStrikes are 1.53/1.525 requiredDeltas/currentPosition/currentHedgeShortfall/direction/transitionPrice are 120/72/48/-1/1.5285</t>
  </si>
  <si>
    <t>2015-2-11 11:4:8.294: TransitionLogger - processTransitionpoint - checking transition - currentHedgeShortfall is 48</t>
  </si>
  <si>
    <t>2015-2-11 11:4:8.295: Algorithm - rehedge - rehedging 48 contracts</t>
  </si>
  <si>
    <t>2015-2-11 11:4:8.296: Algortihm - rehedge - inside the loop</t>
  </si>
  <si>
    <t>2015-2-11 11:4:8.296: Algorithm - rehedge - trying to trade BUT contracts is 48 and direction indicator is -1</t>
  </si>
  <si>
    <t>2015-2-11 11:4:8.298: Algorithm - updatePortfolio - haveAllDetails is True</t>
  </si>
  <si>
    <t>2015-2-11 11:4:8.335: Algorithm - FindNextStrikes - price is 1.5286 nextStrikeUp/Down 1.53/1.525</t>
  </si>
  <si>
    <t>2015-2-11 11:4:8.336: Algorithm - getPortfolioForwardDelta - required deltas is 120 currentHedgePosition is 72</t>
  </si>
  <si>
    <t>2015-2-11 11:4:8.337: Algorithm - getHedgeShortfall - required deltas is 120 price is 1.5285 currentHedgePositionDeltas is 72</t>
  </si>
  <si>
    <t>2015-2-11 11:4:8.338: Algorithm - processTransitionPoint - nextUpper/LowerStrikes are 1.53/1.525 requiredDeltas/currentPosition/currentHedgeShortfall/direction/transitionPrice are 120/72/48/-1/1.5285</t>
  </si>
  <si>
    <t>2015-2-11 11:4:8.340: TransitionLogger - processTransitionpoint - checking transition - currentHedgeShortfall is 48</t>
  </si>
  <si>
    <t>2015-2-11 11:4:8.341: Algorithm - rehedge - rehedging 48 contracts</t>
  </si>
  <si>
    <t>2015-2-11 11:4:8.342: Algortihm - rehedge - inside the loop</t>
  </si>
  <si>
    <t>2015-2-11 11:4:8.342: Algorithm - rehedge - trying to trade BUT contracts is 48 and direction indicator is -1</t>
  </si>
  <si>
    <t>2015-2-11 11:4:8.344: Algorithm - updatePortfolio - haveAllDetails is True</t>
  </si>
  <si>
    <t>2015-2-11 11:4:8.403: Algorithm - FindNextStrikes - price is 1.5286 nextStrikeUp/Down 1.53/1.525</t>
  </si>
  <si>
    <t>2015-2-11 11:4:8.404: Algorithm - getPortfolioForwardDelta - required deltas is 120 currentHedgePosition is 72</t>
  </si>
  <si>
    <t>2015-2-11 11:4:8.405: Algorithm - getHedgeShortfall - required deltas is 120 price is 1.5285 currentHedgePositionDeltas is 72</t>
  </si>
  <si>
    <t>2015-2-11 11:4:8.407: Algorithm - processTransitionPoint - nextUpper/LowerStrikes are 1.53/1.525 requiredDeltas/currentPosition/currentHedgeShortfall/direction/transitionPrice are 120/72/48/-1/1.5285</t>
  </si>
  <si>
    <t>2015-2-11 11:4:8.408: TransitionLogger - processTransitionpoint - checking transition - currentHedgeShortfall is 48</t>
  </si>
  <si>
    <t>2015-2-11 11:4:8.409: Algorithm - rehedge - rehedging 48 contracts</t>
  </si>
  <si>
    <t>2015-2-11 11:4:8.409: Algortihm - rehedge - inside the loop</t>
  </si>
  <si>
    <t>2015-2-11 11:4:8.410: Algorithm - rehedge - trying to trade BUT contracts is 48 and direction indicator is -1</t>
  </si>
  <si>
    <t>2015-2-11 11:4:8.411: Algorithm - updatePortfolio - haveAllDetails is True</t>
  </si>
  <si>
    <t>2015-2-11 11:4:8.455: Algorithm - FindNextStrikes - price is 1.5286 nextStrikeUp/Down 1.53/1.525</t>
  </si>
  <si>
    <t>2015-2-11 11:4:8.456: Algorithm - getPortfolioForwardDelta - required deltas is 120 currentHedgePosition is 72</t>
  </si>
  <si>
    <t>2015-2-11 11:4:8.457: Algorithm - getHedgeShortfall - required deltas is 120 price is 1.5285 currentHedgePositionDeltas is 72</t>
  </si>
  <si>
    <t>2015-2-11 11:4:8.458: Algorithm - processTransitionPoint - nextUpper/LowerStrikes are 1.53/1.525 requiredDeltas/currentPosition/currentHedgeShortfall/direction/transitionPrice are 120/72/48/-1/1.5285</t>
  </si>
  <si>
    <t>2015-2-11 11:4:8.460: TransitionLogger - processTransitionpoint - checking transition - currentHedgeShortfall is 48</t>
  </si>
  <si>
    <t>2015-2-11 11:4:8.460: Algorithm - rehedge - rehedging 48 contracts</t>
  </si>
  <si>
    <t>2015-2-11 11:4:8.461: Algortihm - rehedge - inside the loop</t>
  </si>
  <si>
    <t>2015-2-11 11:4:8.462: Algorithm - rehedge - trying to trade BUT contracts is 48 and direction indicator is -1</t>
  </si>
  <si>
    <t>2015-2-11 11:4:8.463: Algorithm - updatePortfolio - haveAllDetails is True</t>
  </si>
  <si>
    <t>2015-2-11 11:4:8.502: Algorithm - FindNextStrikes - price is 1.5286 nextStrikeUp/Down 1.53/1.525</t>
  </si>
  <si>
    <t>2015-2-11 11:4:8.502: Algorithm - getPortfolioForwardDelta - required deltas is 120 currentHedgePosition is 72</t>
  </si>
  <si>
    <t>2015-2-11 11:4:8.503: Algorithm - getHedgeShortfall - required deltas is 120 price is 1.5285 currentHedgePositionDeltas is 72</t>
  </si>
  <si>
    <t>2015-2-11 11:4:8.505: Algorithm - processTransitionPoint - nextUpper/LowerStrikes are 1.53/1.525 requiredDeltas/currentPosition/currentHedgeShortfall/direction/transitionPrice are 120/72/48/-1/1.5285</t>
  </si>
  <si>
    <t>2015-2-11 11:4:8.506: TransitionLogger - processTransitionpoint - checking transition - currentHedgeShortfall is 48</t>
  </si>
  <si>
    <t>2015-2-11 11:4:8.507: Algorithm - rehedge - rehedging 48 contracts</t>
  </si>
  <si>
    <t>2015-2-11 11:4:8.508: Algortihm - rehedge - inside the loop</t>
  </si>
  <si>
    <t>2015-2-11 11:4:8.509: Algorithm - rehedge - trying to trade BUT contracts is 48 and direction indicator is -1</t>
  </si>
  <si>
    <t>2015-2-11 11:4:8.510: Algorithm - updatePortfolio - haveAllDetails is True</t>
  </si>
  <si>
    <t>2015-2-11 11:4:14.774: Algorithm - rehedge - rehedging 48 contracts</t>
  </si>
  <si>
    <t>2015-2-11 11:4:14.774: Algortihm - rehedge - inside the loop</t>
  </si>
  <si>
    <t>2015-2-11 11:4:14.774: Algorithm - rehedge - trying to trade BUT contracts is 48 and direction indicator is -1</t>
  </si>
  <si>
    <t>2015-2-11 11:4:15.664: Algorithm - rehedge - rehedging 48 contracts</t>
  </si>
  <si>
    <t>2015-2-11 11:4:15.664: Algortihm - rehedge - inside the loop</t>
  </si>
  <si>
    <t>2015-2-11 11:4:15.664: Algorithm - rehedge - trying to trade BUT contracts is 48 and direction indicator is -1</t>
  </si>
  <si>
    <t>2015-2-11 11:4:20.325: Algorithm - rehedge - rehedging 48 contracts</t>
  </si>
  <si>
    <t>2015-2-11 11:4:20.341: Algortihm - rehedge - inside the loop</t>
  </si>
  <si>
    <t>2015-2-11 11:4:20.341: Algorithm - rehedge - trying to trade BUT contracts is 48 and direction indicator is -1</t>
  </si>
  <si>
    <t>2015-2-11 11:4:21.571: Algorithm - rehedge - rehedging 48 contracts</t>
  </si>
  <si>
    <t>2015-2-11 11:4:21.572: Algortihm - rehedge - inside the loop</t>
  </si>
  <si>
    <t>2015-2-11 11:4:21.573: Algorithm - rehedge - trying to trade BUT contracts is 48 and direction indicator is -1</t>
  </si>
  <si>
    <t>2015-2-11 11:4:21.829: Algorithm - rehedge - rehedging 48 contracts</t>
  </si>
  <si>
    <t>2015-2-11 11:4:21.829: Algortihm - rehedge - inside the loop</t>
  </si>
  <si>
    <t>2015-2-11 11:4:21.830: OrderManager - PlaceOrder - id 9735 workingQty -507</t>
  </si>
  <si>
    <t>2015-2-11 11:4:21.833: OrderManager - sendOrder - exiting place order id 9735 BUY 5 1.5287  - workingQty -507 currentPosition is 72 workingOrderCount is -26</t>
  </si>
  <si>
    <t>2015-2-11 11:4:21.834: Algorithm - rehedge - placing an order - orderSize is 5 workingQty is -507 working order count -26</t>
  </si>
  <si>
    <t>2015-2-11 11:4:22.776: RTWSControl - nextValidId - entering nextValidId id is 9736</t>
  </si>
  <si>
    <t>2015-2-11 11:4:22.822: openOrderEx - I am here</t>
  </si>
  <si>
    <t>2015-2-11 11:4:22.854: RTWSControl - orderStatus -  entering orderStatus id is 9735 status is Submitted</t>
  </si>
  <si>
    <t>2015-2-11 11:4:22.854: OrderManager - UpdateOrderStatus - id 9735 Setting status to Submitted workingOrderCount is now -26 workingQty -507</t>
  </si>
  <si>
    <t>2015-2-11 11:4:22.871: RTWSControl - OrderStatus - Got OrderStatus Message id:9735 status: Submitted filled: 0</t>
  </si>
  <si>
    <t>2015-2-11 11:4:22.871: RTWSControl - OrderStatus - exiting orderStatus</t>
  </si>
  <si>
    <t>2015-2-11 11:4:33.33: Algorithm - rehedge - rehedging 48 contracts</t>
  </si>
  <si>
    <t>2015-2-11 11:4:33.34: Algorithm - rehedge - Need to place order but already have a working order - workingQty is -507 working order count -26</t>
  </si>
  <si>
    <t>2015-2-11 11:4:33.82: OrderManager - cancelOrder - cancelling order id 9735</t>
  </si>
  <si>
    <t>2015-2-11 11:4:33.83: Algorithm - checkWorkingOrders - cancelling BUY - orderPrice 1.5287 too far from marketPrice 1.52885</t>
  </si>
  <si>
    <t>2015-2-11 11:4:33.85: Algorithm - rehedge - rehedging 48 contracts</t>
  </si>
  <si>
    <t>2015-2-11 11:4:33.85: Algorithm - rehedge - Need to place order but already have a working order - workingQty is -507 working order count -26</t>
  </si>
  <si>
    <t>2015-2-11 11:4:33.698: Algorithm - rehedge - rehedging 48 contracts</t>
  </si>
  <si>
    <t>2015-2-11 11:4:33.699: Algorithm - rehedge - Need to place order but already have a working order - workingQty is -507 working order count -26</t>
  </si>
  <si>
    <t>2015-2-11 11:4:33.786: RTWSControl - orderStatus -  entering orderStatus id is 9735 status is Cancelled</t>
  </si>
  <si>
    <t>2015-2-11 11:4:33.787: OrderManager - UpdateOrderStatus - id 9735 Setting status to Cancelled workingOrderCount is now -26 workingQty -507</t>
  </si>
  <si>
    <t>2015-2-11 11:4:33.791: RTWSControl - OrderStatus - Got OrderStatus Message id:9735 status: Cancelled filled: 0</t>
  </si>
  <si>
    <t>2015-2-11 11:4:33.791: RTWSControl - OrderStatus - exiting orderStatus</t>
  </si>
  <si>
    <t>2015-2-11 11:4:33.825: RTWSControl - errMsg - got error message 202:Order Canceled - reason:with id 9735</t>
  </si>
  <si>
    <t>2015-2-11 11:4:33.826: OrderManager - canceledOrder - cleaning up after canceled order 9735BEWARE UNACCOUNTED FOR EXECUTIONS!!!</t>
  </si>
  <si>
    <t>2015-2-11 11:4:33.828: OrderManager - terminateOrder - cleaning up after Canceled 9735  order was supposed to BUY 5 1.5287 LMT workingQty/OrderCount now -512/-27</t>
  </si>
  <si>
    <t>2015-2-11 11:4:37.369: Algorithm - rehedge - rehedging 48 contracts</t>
  </si>
  <si>
    <t>2015-2-11 11:4:37.370: Algortihm - rehedge - inside the loop</t>
  </si>
  <si>
    <t>2015-2-11 11:4:37.371: OrderManager - PlaceOrder - id 9736 workingQty -507</t>
  </si>
  <si>
    <t>2015-2-11 11:4:37.375: OrderManager - sendOrder - exiting place order id 9736 BUY 5 1.5288  - workingQty -507 currentPosition is 72 workingOrderCount is -26</t>
  </si>
  <si>
    <t>2015-2-11 11:4:37.377: Algorithm - rehedge - placing an order - orderSize is 5 workingQty is -507 working order count -26</t>
  </si>
  <si>
    <t>2015-2-11 11:4:37.536: RTWSControl - nextValidId - entering nextValidId id is 9737</t>
  </si>
  <si>
    <t>2015-2-11 11:4:37.699: openOrderEx - I am here</t>
  </si>
  <si>
    <t>2015-2-11 11:4:37.724: RTWSControl - orderStatus -  entering orderStatus id is 9736 status is Submitted</t>
  </si>
  <si>
    <t>2015-2-11 11:4:37.725: OrderManager - UpdateOrderStatus - id 9736 Setting status to Submitted workingOrderCount is now -26 workingQty -507</t>
  </si>
  <si>
    <t>2015-2-11 11:4:37.728: RTWSControl - OrderStatus - Got OrderStatus Message id:9736 status: Submitted filled: 0</t>
  </si>
  <si>
    <t>2015-2-11 11:4:37.729: RTWSControl - OrderStatus - exiting orderStatus</t>
  </si>
  <si>
    <t>2015-2-11 11:4:49.247: Algorithm - rehedge - rehedging 48 contracts</t>
  </si>
  <si>
    <t>2015-2-11 11:4:49.262: Algorithm - rehedge - Need to place order but already have a working order - workingQty is -507 working order count -26</t>
  </si>
  <si>
    <t>2015-2-11 11:4:49.555: OrderManager - cancelOrder - cancelling order id 9736</t>
  </si>
  <si>
    <t>2015-2-11 11:4:49.556: Algorithm - checkWorkingOrders - cancelling BUY - orderPrice 1.5288 too far from marketPrice 1.52895</t>
  </si>
  <si>
    <t>2015-2-11 11:4:49.558: Algorithm - rehedge - rehedging 48 contracts</t>
  </si>
  <si>
    <t>2015-2-11 11:4:49.559: Algorithm - rehedge - Need to place order but already have a working order - workingQty is -507 working order count -26</t>
  </si>
  <si>
    <t>2015-2-11 11:4:50.116: RTWSControl - orderStatus -  entering orderStatus id is 9736 status is Cancelled</t>
  </si>
  <si>
    <t>2015-2-11 11:4:50.117: OrderManager - UpdateOrderStatus - id 9736 Setting status to Cancelled workingOrderCount is now -26 workingQty -507</t>
  </si>
  <si>
    <t>2015-2-11 11:4:50.121: RTWSControl - OrderStatus - Got OrderStatus Message id:9736 status: Cancelled filled: 0</t>
  </si>
  <si>
    <t>2015-2-11 11:4:50.122: RTWSControl - OrderStatus - exiting orderStatus</t>
  </si>
  <si>
    <t>2015-2-11 11:4:50.133: RTWSControl - errMsg - got error message 202:Order Canceled - reason:with id 9736</t>
  </si>
  <si>
    <t>2015-2-11 11:4:50.134: OrderManager - canceledOrder - cleaning up after canceled order 9736BEWARE UNACCOUNTED FOR EXECUTIONS!!!</t>
  </si>
  <si>
    <t>2015-2-11 11:4:50.136: OrderManager - terminateOrder - cleaning up after Canceled 9736  order was supposed to BUY 5 1.5288 LMT workingQty/OrderCount now -512/-27</t>
  </si>
  <si>
    <t>2015-2-11 11:5:7.704: Algorithm - rehedge - rehedging 48 contracts</t>
  </si>
  <si>
    <t>2015-2-11 11:5:7.704: Algortihm - rehedge - inside the loop</t>
  </si>
  <si>
    <t>2015-2-11 11:5:7.704: OrderManager - PlaceOrder - id 9737 workingQty -507</t>
  </si>
  <si>
    <t>2015-2-11 11:5:7.704: OrderManager - sendOrder - exiting place order id 9737 BUY 5 1.5289  - workingQty -507 currentPosition is 72 workingOrderCount is -26</t>
  </si>
  <si>
    <t>2015-2-11 11:5:7.704: Algorithm - rehedge - placing an order - orderSize is 5 workingQty is -507 working order count -26</t>
  </si>
  <si>
    <t>2015-2-11 11:5:7.766: Algorithm - rehedge - rehedging 48 contracts</t>
  </si>
  <si>
    <t>2015-2-11 11:5:7.766: Algorithm - rehedge - Need to place order but already have a working order - workingQty is -507 working order count -26</t>
  </si>
  <si>
    <t>2015-2-11 11:5:8.111: RTWSControl - nextValidId - entering nextValidId id is 9738</t>
  </si>
  <si>
    <t>2015-2-11 11:5:8.158: RTWSControl - execDetails -  entering execDetailsEx execution id is 0001f4e5.54da9c00.01.01 shares/cumQty is 5/5</t>
  </si>
  <si>
    <t>2015-2-11 11:5:8.158: Algorithm - FindNextStrikes - price is 1.52885 nextStrikeUp/Down 1.53/1.525</t>
  </si>
  <si>
    <t>2015-2-11 11:5:8.158: Algorithm - getPortfolioForwardDelta - required deltas is 120 currentHedgePosition is 77</t>
  </si>
  <si>
    <t>2015-2-11 11:5:8.158: Algorithm - getHedgeShortfall - required deltas is 120 price is 1.52895 currentHedgePositionDeltas is 77</t>
  </si>
  <si>
    <t>2015-2-11 11:5:8.158: Algorithm - processTransitionPoint - nextUpper/LowerStrikes are 1.53/1.525 requiredDeltas/currentPosition/currentHedgeShortfall/direction/transitionPrice are 120/77/43/1/1.52895</t>
  </si>
  <si>
    <t>2015-2-11 11:5:8.158: TransitionLogger - processTransitionpoint - checking transition - currentHedgeShortfall is 43</t>
  </si>
  <si>
    <t>2015-2-11 11:5:8.158: OrderManager - updateExecution - got a fill for id 9737 qty 5 side BOT price 1.5289 - new working order size is -512 new instrument.qty is 77</t>
  </si>
  <si>
    <t>0001f4e5.54da9c00.01.01</t>
  </si>
  <si>
    <t>20150211  11:05:09</t>
  </si>
  <si>
    <t>2015-2-11 11:5:8.158: OrderManagerView - UpdateExecutionView - entering updateExecutionView  executionId is 0001f4e5.54da9c00.01.01</t>
  </si>
  <si>
    <t>2015-2-11 11:5:8.174: OrderManagerView - updateExecutionView -  exiting UpdateExecutionView</t>
  </si>
  <si>
    <t>2015-2-11 11:5:8.174: RTWSControl - execDetails -  exiting execDetailsEx</t>
  </si>
  <si>
    <t>2015-2-11 11:5:8.174: RTWSControl - execDetails - Got execution Message id:-1</t>
  </si>
  <si>
    <t>2015-2-11 11:5:8.174: openOrderEx - I am here</t>
  </si>
  <si>
    <t>2015-2-11 11:5:8.189: RTWSControl - orderStatus -  entering orderStatus id is 9737 status is Filled</t>
  </si>
  <si>
    <t>2015-2-11 11:5:8.189: OrderManager - UpdateOrderStatus - id 9737 Setting status to Filled workingOrderCount is now -27 workingQty -512</t>
  </si>
  <si>
    <t>2015-2-11 11:5:8.189: OrderManager - terminateOrder - cleaning up after Filled 9737  order was supposed to BUY 5 1.5289 LMT workingQty/OrderCount now -512/-28</t>
  </si>
  <si>
    <t>2015-2-11 11:5:8.189: RTWSControl - OrderStatus - Got OrderStatus Message id:9737 status: Filled filled: 5</t>
  </si>
  <si>
    <t>2015-2-11 11:5:8.189: RTWSControl - OrderStatus - exiting orderStatus</t>
  </si>
  <si>
    <t>2015-2-11 11:5:8.439: openOrderEx - I am here</t>
  </si>
  <si>
    <t>2015-2-11 11:5:8.454: RTWSControl - orderStatus -  entering orderStatus id is 9737 status is Filled</t>
  </si>
  <si>
    <t>2015-2-11 11:5:8.454: OrderManager - UpdateOrderStatus - id 9737 Setting status to Filled workingOrderCount is now -28 workingQty -512</t>
  </si>
  <si>
    <t>2015-2-11 11:5:8.454: OrderManager - terminateOrder - cleaning up after Filled 9737  order was supposed to BUY 5 1.5289 LMT workingQty/OrderCount now -512/-29</t>
  </si>
  <si>
    <t>2015-2-11 11:5:8.454: RTWSControl - OrderStatus - Got OrderStatus Message id:9737 status: Filled filled: 5</t>
  </si>
  <si>
    <t>2015-2-11 11:5:8.454: RTWSControl - OrderStatus - exiting orderStatus</t>
  </si>
  <si>
    <t>2015-2-11 11:5:8.470: openOrderEx - I am here</t>
  </si>
  <si>
    <t>2015-2-11 11:5:8.486: RTWSControl - orderStatus -  entering orderStatus id is 9737 status is Filled</t>
  </si>
  <si>
    <t>2015-2-11 11:5:8.486: OrderManager - UpdateOrderStatus - id 9737 Setting status to Filled workingOrderCount is now -29 workingQty -512</t>
  </si>
  <si>
    <t>2015-2-11 11:5:8.486: OrderManager - terminateOrder - cleaning up after Filled 9737  order was supposed to BUY 5 1.5289 LMT workingQty/OrderCount now -512/-30</t>
  </si>
  <si>
    <t>2015-2-11 11:5:8.501: RTWSControl - OrderStatus - Got OrderStatus Message id:9737 status: Filled filled: 5</t>
  </si>
  <si>
    <t>2015-2-11 11:5:8.501: RTWSControl - OrderStatus - exiting orderStatus</t>
  </si>
  <si>
    <t>2015-2-11 11:5:8.564: Algorithm - rehedge - rehedging 43 contracts</t>
  </si>
  <si>
    <t>2015-2-11 11:5:8.564: Algortihm - rehedge - inside the loop</t>
  </si>
  <si>
    <t>2015-2-11 11:5:8.564: OrderManager - PlaceOrder - id 9738 workingQty -507</t>
  </si>
  <si>
    <t>2015-2-11 11:5:8.564: OrderManager - sendOrder - exiting place order id 9738 BUY 5 1.5288  - workingQty -507 currentPosition is 77 workingOrderCount is -29</t>
  </si>
  <si>
    <t>2015-2-11 11:5:8.564: Algorithm - rehedge - placing an order - orderSize is 5 workingQty is -507 working order count -29</t>
  </si>
  <si>
    <t>2015-2-11 11:5:9.302: RTWSControl - nextValidId - entering nextValidId id is 9739</t>
  </si>
  <si>
    <t>2015-2-11 11:5:9.329: Algorithm - rehedge - rehedging 43 contracts</t>
  </si>
  <si>
    <t>2015-2-11 11:5:9.329: Algorithm - rehedge - Need to place order but already have a working order - workingQty is -507 working order count -29</t>
  </si>
  <si>
    <t>2015-2-11 11:5:9.373: openOrderEx - I am here</t>
  </si>
  <si>
    <t>2015-2-11 11:5:9.382: RTWSControl - orderStatus -  entering orderStatus id is 9738 status is Submitted</t>
  </si>
  <si>
    <t>2015-2-11 11:5:9.383: OrderManager - UpdateOrderStatus - id 9738 Setting status to Submitted workingOrderCount is now -29 workingQty -507</t>
  </si>
  <si>
    <t>2015-2-11 11:5:9.386: RTWSControl - OrderStatus - Got OrderStatus Message id:9738 status: Submitted filled: 0</t>
  </si>
  <si>
    <t>2015-2-11 11:5:9.387: RTWSControl - OrderStatus - exiting orderStatus</t>
  </si>
  <si>
    <t>2015-2-11 11:5:10.364: Algorithm - FindNextStrikes - price is 1.52885 nextStrikeUp/Down 1.53/1.525</t>
  </si>
  <si>
    <t>2015-2-11 11:5:10.364: Algorithm - getPortfolioForwardDelta - required deltas is 120 currentHedgePosition is 77</t>
  </si>
  <si>
    <t>2015-2-11 11:5:10.364: Algorithm - getHedgeShortfall - required deltas is 120 price is 1.52895 currentHedgePositionDeltas is 77</t>
  </si>
  <si>
    <t>2015-2-11 11:5:10.364: Algorithm - processTransitionPoint - nextUpper/LowerStrikes are 1.53/1.525 requiredDeltas/currentPosition/currentHedgeShortfall/direction/transitionPrice are 120/77/43/1/1.52895</t>
  </si>
  <si>
    <t>2015-2-11 11:5:10.364: TransitionLogger - processTransitionpoint - checking transition - currentHedgeShortfall is 43</t>
  </si>
  <si>
    <t>2015-2-11 11:5:10.364: Algorithm - rehedge - rehedging 43 contracts</t>
  </si>
  <si>
    <t>2015-2-11 11:5:10.364: Algorithm - rehedge - Need to place order but already have a working order - workingQty is -507 working order count -29</t>
  </si>
  <si>
    <t>2015-2-11 11:5:10.364: Algorithm - updatePortfolio - haveAllDetails is True</t>
  </si>
  <si>
    <t>2015-2-11 11:5:10.410: Algorithm - FindNextStrikes - price is 1.52885 nextStrikeUp/Down 1.53/1.525</t>
  </si>
  <si>
    <t>2015-2-11 11:5:10.410: Algorithm - getPortfolioForwardDelta - required deltas is 120 currentHedgePosition is 77</t>
  </si>
  <si>
    <t>2015-2-11 11:5:10.410: Algorithm - getHedgeShortfall - required deltas is 120 price is 1.52895 currentHedgePositionDeltas is 77</t>
  </si>
  <si>
    <t>2015-2-11 11:5:10.410: Algorithm - processTransitionPoint - nextUpper/LowerStrikes are 1.53/1.525 requiredDeltas/currentPosition/currentHedgeShortfall/direction/transitionPrice are 120/77/43/1/1.52895</t>
  </si>
  <si>
    <t>2015-2-11 11:5:10.410: TransitionLogger - processTransitionpoint - checking transition - currentHedgeShortfall is 43</t>
  </si>
  <si>
    <t>2015-2-11 11:5:10.410: Algorithm - rehedge - rehedging 43 contracts</t>
  </si>
  <si>
    <t>2015-2-11 11:5:10.410: Algorithm - rehedge - Need to place order but already have a working order - workingQty is -507 working order count -29</t>
  </si>
  <si>
    <t>2015-2-11 11:5:10.410: Algorithm - updatePortfolio - haveAllDetails is True</t>
  </si>
  <si>
    <t>2015-2-11 11:5:10.457: Algorithm - FindNextStrikes - price is 1.52885 nextStrikeUp/Down 1.53/1.525</t>
  </si>
  <si>
    <t>2015-2-11 11:5:10.457: Algorithm - getPortfolioForwardDelta - required deltas is 120 currentHedgePosition is 77</t>
  </si>
  <si>
    <t>2015-2-11 11:5:10.457: Algorithm - getHedgeShortfall - required deltas is 120 price is 1.52895 currentHedgePositionDeltas is 77</t>
  </si>
  <si>
    <t>2015-2-11 11:5:10.457: Algorithm - processTransitionPoint - nextUpper/LowerStrikes are 1.53/1.525 requiredDeltas/currentPosition/currentHedgeShortfall/direction/transitionPrice are 120/77/43/1/1.52895</t>
  </si>
  <si>
    <t>2015-2-11 11:5:10.457: TransitionLogger - processTransitionpoint - checking transition - currentHedgeShortfall is 43</t>
  </si>
  <si>
    <t>2015-2-11 11:5:10.457: Algorithm - rehedge - rehedging 43 contracts</t>
  </si>
  <si>
    <t>2015-2-11 11:5:10.457: Algorithm - rehedge - Need to place order but already have a working order - workingQty is -507 working order count -29</t>
  </si>
  <si>
    <t>2015-2-11 11:5:10.457: Algorithm - updatePortfolio - haveAllDetails is True</t>
  </si>
  <si>
    <t>2015-2-11 11:5:10.520: Algorithm - FindNextStrikes - price is 1.52885 nextStrikeUp/Down 1.53/1.525</t>
  </si>
  <si>
    <t>2015-2-11 11:5:10.520: Algorithm - getPortfolioForwardDelta - required deltas is 120 currentHedgePosition is 77</t>
  </si>
  <si>
    <t>2015-2-11 11:5:10.520: Algorithm - getHedgeShortfall - required deltas is 120 price is 1.52895 currentHedgePositionDeltas is 77</t>
  </si>
  <si>
    <t>2015-2-11 11:5:10.520: Algorithm - processTransitionPoint - nextUpper/LowerStrikes are 1.53/1.525 requiredDeltas/currentPosition/currentHedgeShortfall/direction/transitionPrice are 120/77/43/1/1.52895</t>
  </si>
  <si>
    <t>2015-2-11 11:5:10.520: TransitionLogger - processTransitionpoint - checking transition - currentHedgeShortfall is 43</t>
  </si>
  <si>
    <t>2015-2-11 11:5:10.520: Algorithm - rehedge - rehedging 43 contracts</t>
  </si>
  <si>
    <t>2015-2-11 11:5:10.520: Algorithm - rehedge - Need to place order but already have a working order - workingQty is -507 working order count -29</t>
  </si>
  <si>
    <t>2015-2-11 11:5:10.520: Algorithm - updatePortfolio - haveAllDetails is True</t>
  </si>
  <si>
    <t>2015-2-11 11:5:10.566: Algorithm - FindNextStrikes - price is 1.52885 nextStrikeUp/Down 1.53/1.525</t>
  </si>
  <si>
    <t>2015-2-11 11:5:10.566: Algorithm - getPortfolioForwardDelta - required deltas is 120 currentHedgePosition is 77</t>
  </si>
  <si>
    <t>2015-2-11 11:5:10.566: Algorithm - getHedgeShortfall - required deltas is 120 price is 1.52895 currentHedgePositionDeltas is 77</t>
  </si>
  <si>
    <t>2015-2-11 11:5:10.566: Algorithm - processTransitionPoint - nextUpper/LowerStrikes are 1.53/1.525 requiredDeltas/currentPosition/currentHedgeShortfall/direction/transitionPrice are 120/77/43/1/1.52895</t>
  </si>
  <si>
    <t>2015-2-11 11:5:10.566: TransitionLogger - processTransitionpoint - checking transition - currentHedgeShortfall is 43</t>
  </si>
  <si>
    <t>2015-2-11 11:5:10.566: Algorithm - rehedge - rehedging 43 contracts</t>
  </si>
  <si>
    <t>2015-2-11 11:5:10.566: Algorithm - rehedge - Need to place order but already have a working order - workingQty is -507 working order count -29</t>
  </si>
  <si>
    <t>2015-2-11 11:5:10.566: Algorithm - updatePortfolio - haveAllDetails is True</t>
  </si>
  <si>
    <t>2015-2-11 11:5:10.613: Algorithm - FindNextStrikes - price is 1.52885 nextStrikeUp/Down 1.53/1.525</t>
  </si>
  <si>
    <t>2015-2-11 11:5:10.613: Algorithm - getPortfolioForwardDelta - required deltas is 120 currentHedgePosition is 77</t>
  </si>
  <si>
    <t>2015-2-11 11:5:10.613: Algorithm - getHedgeShortfall - required deltas is 120 price is 1.52895 currentHedgePositionDeltas is 77</t>
  </si>
  <si>
    <t>2015-2-11 11:5:10.613: Algorithm - processTransitionPoint - nextUpper/LowerStrikes are 1.53/1.525 requiredDeltas/currentPosition/currentHedgeShortfall/direction/transitionPrice are 120/77/43/1/1.52895</t>
  </si>
  <si>
    <t>2015-2-11 11:5:10.613: TransitionLogger - processTransitionpoint - checking transition - currentHedgeShortfall is 43</t>
  </si>
  <si>
    <t>2015-2-11 11:5:10.613: Algorithm - rehedge - rehedging 43 contracts</t>
  </si>
  <si>
    <t>2015-2-11 11:5:10.613: Algorithm - rehedge - Need to place order but already have a working order - workingQty is -507 working order count -29</t>
  </si>
  <si>
    <t>2015-2-11 11:5:10.613: Algorithm - updatePortfolio - haveAllDetails is True</t>
  </si>
  <si>
    <t>2015-2-11 11:5:10.660: Algorithm - FindNextStrikes - price is 1.52885 nextStrikeUp/Down 1.53/1.525</t>
  </si>
  <si>
    <t>2015-2-11 11:5:10.660: Algorithm - getPortfolioForwardDelta - required deltas is 120 currentHedgePosition is 77</t>
  </si>
  <si>
    <t>2015-2-11 11:5:10.660: Algorithm - getHedgeShortfall - required deltas is 120 price is 1.52895 currentHedgePositionDeltas is 77</t>
  </si>
  <si>
    <t>2015-2-11 11:5:10.660: Algorithm - processTransitionPoint - nextUpper/LowerStrikes are 1.53/1.525 requiredDeltas/currentPosition/currentHedgeShortfall/direction/transitionPrice are 120/77/43/1/1.52895</t>
  </si>
  <si>
    <t>2015-2-11 11:5:10.660: TransitionLogger - processTransitionpoint - checking transition - currentHedgeShortfall is 43</t>
  </si>
  <si>
    <t>2015-2-11 11:5:10.660: Algorithm - rehedge - rehedging 43 contracts</t>
  </si>
  <si>
    <t>2015-2-11 11:5:10.660: Algorithm - rehedge - Need to place order but already have a working order - workingQty is -507 working order count -29</t>
  </si>
  <si>
    <t>2015-2-11 11:5:10.660: Algorithm - updatePortfolio - haveAllDetails is True</t>
  </si>
  <si>
    <t>2015-2-11 11:5:10.707: Algorithm - FindNextStrikes - price is 1.52885 nextStrikeUp/Down 1.53/1.525</t>
  </si>
  <si>
    <t>2015-2-11 11:5:10.707: Algorithm - getPortfolioForwardDelta - required deltas is 120 currentHedgePosition is 77</t>
  </si>
  <si>
    <t>2015-2-11 11:5:10.707: Algorithm - getHedgeShortfall - required deltas is 120 price is 1.52895 currentHedgePositionDeltas is 77</t>
  </si>
  <si>
    <t>2015-2-11 11:5:10.707: Algorithm - processTransitionPoint - nextUpper/LowerStrikes are 1.53/1.525 requiredDeltas/currentPosition/currentHedgeShortfall/direction/transitionPrice are 120/77/43/1/1.52895</t>
  </si>
  <si>
    <t>2015-2-11 11:5:10.707: TransitionLogger - processTransitionpoint - checking transition - currentHedgeShortfall is 43</t>
  </si>
  <si>
    <t>2015-2-11 11:5:10.707: Algorithm - rehedge - rehedging 43 contracts</t>
  </si>
  <si>
    <t>2015-2-11 11:5:10.707: Algorithm - rehedge - Need to place order but already have a working order - workingQty is -507 working order count -29</t>
  </si>
  <si>
    <t>2015-2-11 11:5:10.707: Algorithm - updatePortfolio - haveAllDetails is True</t>
  </si>
  <si>
    <t>2015-2-11 11:5:10.769: Algorithm - FindNextStrikes - price is 1.52885 nextStrikeUp/Down 1.53/1.525</t>
  </si>
  <si>
    <t>2015-2-11 11:5:10.769: Algorithm - getPortfolioForwardDelta - required deltas is 120 currentHedgePosition is 77</t>
  </si>
  <si>
    <t>2015-2-11 11:5:10.769: Algorithm - getHedgeShortfall - required deltas is 120 price is 1.52895 currentHedgePositionDeltas is 77</t>
  </si>
  <si>
    <t>2015-2-11 11:5:10.769: Algorithm - processTransitionPoint - nextUpper/LowerStrikes are 1.53/1.525 requiredDeltas/currentPosition/currentHedgeShortfall/direction/transitionPrice are 120/77/43/1/1.52895</t>
  </si>
  <si>
    <t>2015-2-11 11:5:10.769: TransitionLogger - processTransitionpoint - checking transition - currentHedgeShortfall is 43</t>
  </si>
  <si>
    <t>2015-2-11 11:5:10.769: Algorithm - rehedge - rehedging 43 contracts</t>
  </si>
  <si>
    <t>2015-2-11 11:5:10.769: Algorithm - rehedge - Need to place order but already have a working order - workingQty is -507 working order count -29</t>
  </si>
  <si>
    <t>2015-2-11 11:5:10.785: Algorithm - updatePortfolio - haveAllDetails is True</t>
  </si>
  <si>
    <t>2015-2-11 11:5:10.832: Algorithm - FindNextStrikes - price is 1.52885 nextStrikeUp/Down 1.53/1.525</t>
  </si>
  <si>
    <t>2015-2-11 11:5:10.832: Algorithm - getPortfolioForwardDelta - required deltas is 120 currentHedgePosition is 77</t>
  </si>
  <si>
    <t>2015-2-11 11:5:10.832: Algorithm - getHedgeShortfall - required deltas is 120 price is 1.52895 currentHedgePositionDeltas is 77</t>
  </si>
  <si>
    <t>2015-2-11 11:5:10.832: Algorithm - processTransitionPoint - nextUpper/LowerStrikes are 1.53/1.525 requiredDeltas/currentPosition/currentHedgeShortfall/direction/transitionPrice are 120/77/43/1/1.52895</t>
  </si>
  <si>
    <t>2015-2-11 11:5:10.832: TransitionLogger - processTransitionpoint - checking transition - currentHedgeShortfall is 43</t>
  </si>
  <si>
    <t>2015-2-11 11:5:10.832: Algorithm - rehedge - rehedging 43 contracts</t>
  </si>
  <si>
    <t>2015-2-11 11:5:10.832: Algorithm - rehedge - Need to place order but already have a working order - workingQty is -507 working order count -29</t>
  </si>
  <si>
    <t>2015-2-11 11:5:10.832: Algorithm - updatePortfolio - haveAllDetails is True</t>
  </si>
  <si>
    <t>2015-2-11 11:5:21.510: RTWSControl - execDetails -  entering execDetailsEx execution id is 0001f4e5.54da9c03.01.01 shares/cumQty is 2/2</t>
  </si>
  <si>
    <t>2015-2-11 11:5:21.514: Algorithm - FindNextStrikes - price is 1.52885 nextStrikeUp/Down 1.53/1.525</t>
  </si>
  <si>
    <t>2015-2-11 11:5:21.516: Algorithm - getPortfolioForwardDelta - required deltas is 120 currentHedgePosition is 79</t>
  </si>
  <si>
    <t>2015-2-11 11:5:21.517: Algorithm - getHedgeShortfall - required deltas is 120 price is 1.52895 currentHedgePositionDeltas is 79</t>
  </si>
  <si>
    <t>2015-2-11 11:5:21.520: Algorithm - processTransitionPoint - nextUpper/LowerStrikes are 1.53/1.525 requiredDeltas/currentPosition/currentHedgeShortfall/direction/transitionPrice are 120/79/41/1/1.52895</t>
  </si>
  <si>
    <t>2015-2-11 11:5:21.524: TransitionLogger - processTransitionpoint - checking transition - currentHedgeShortfall is 41</t>
  </si>
  <si>
    <t>2015-2-11 11:5:21.525: OrderManager - updateExecution - got a fill for id 9738 qty 2 side BOT price 1.5288 - new working order size is -509 new instrument.qty is 79</t>
  </si>
  <si>
    <t>0001f4e5.54da9c03.01.01</t>
  </si>
  <si>
    <t>20150211  11:05:22</t>
  </si>
  <si>
    <t>2015-2-11 11:5:21.533: OrderManagerView - UpdateExecutionView - entering updateExecutionView  executionId is 0001f4e5.54da9c03.01.01</t>
  </si>
  <si>
    <t>2015-2-11 11:5:21.537: OrderManagerView - updateExecutionView -  exiting UpdateExecutionView</t>
  </si>
  <si>
    <t>2015-2-11 11:5:21.538: RTWSControl - execDetails -  exiting execDetailsEx</t>
  </si>
  <si>
    <t>2015-2-11 11:5:21.539: RTWSControl - execDetails - Got execution Message id:-1</t>
  </si>
  <si>
    <t>2015-2-11 11:5:21.553: openOrderEx - I am here</t>
  </si>
  <si>
    <t>2015-2-11 11:5:21.591: RTWSControl - orderStatus -  entering orderStatus id is 9738 status is Submitted</t>
  </si>
  <si>
    <t>2015-2-11 11:5:21.592: OrderManager - UpdateOrderStatus - id 9738 Setting status to Submitted workingOrderCount is now -29 workingQty -509</t>
  </si>
  <si>
    <t>2015-2-11 11:5:21.596: RTWSControl - OrderStatus - Got OrderStatus Message id:9738 status: Submitted filled: 2</t>
  </si>
  <si>
    <t>2015-2-11 11:5:21.597: RTWSControl - OrderStatus - exiting orderStatus</t>
  </si>
  <si>
    <t>2015-2-11 11:5:21.629: Algorithm - rehedge - rehedging 41 contracts</t>
  </si>
  <si>
    <t>2015-2-11 11:5:21.630: Algorithm - rehedge - Need to place order but already have a working order - workingQty is -509 working order count -29</t>
  </si>
  <si>
    <t>2015-2-11 11:5:21.750: openOrderEx - I am here</t>
  </si>
  <si>
    <t>2015-2-11 11:5:21.761: RTWSControl - orderStatus -  entering orderStatus id is 9738 status is Submitted</t>
  </si>
  <si>
    <t>2015-2-11 11:5:21.762: OrderManager - UpdateOrderStatus - id 9738 Setting status to Submitted workingOrderCount is now -29 workingQty -509</t>
  </si>
  <si>
    <t>2015-2-11 11:5:21.766: RTWSControl - OrderStatus - Got OrderStatus Message id:9738 status: Submitted filled: 2</t>
  </si>
  <si>
    <t>2015-2-11 11:5:21.767: RTWSControl - OrderStatus - exiting orderStatus</t>
  </si>
  <si>
    <t>2015-2-11 11:5:21.797: Algorithm - rehedge - rehedging 41 contracts</t>
  </si>
  <si>
    <t>2015-2-11 11:5:21.798: Algorithm - rehedge - Need to place order but already have a working order - workingQty is -509 working order count -29</t>
  </si>
  <si>
    <t>2015-2-11 11:5:21.836: RTWSControl - execDetails -  entering execDetailsEx execution id is 0001f4e5.54da9c04.01.01 shares/cumQty is 3/5</t>
  </si>
  <si>
    <t>2015-2-11 11:5:21.839: Algorithm - FindNextStrikes - price is 1.52875 nextStrikeUp/Down 1.53/1.525</t>
  </si>
  <si>
    <t>2015-2-11 11:5:21.839: Algorithm - getPortfolioForwardDelta - required deltas is 120 currentHedgePosition is 82</t>
  </si>
  <si>
    <t>2015-2-11 11:5:21.840: Algorithm - getHedgeShortfall - required deltas is 120 price is 1.52885 currentHedgePositionDeltas is 82</t>
  </si>
  <si>
    <t>2015-2-11 11:5:21.842: Algorithm - processTransitionPoint - nextUpper/LowerStrikes are 1.53/1.525 requiredDeltas/currentPosition/currentHedgeShortfall/direction/transitionPrice are 120/82/38/1/1.52885</t>
  </si>
  <si>
    <t>2015-2-11 11:5:21.844: TransitionLogger - processTransitionpoint - checking transition - currentHedgeShortfall is 38</t>
  </si>
  <si>
    <t>2015-2-11 11:5:21.844: OrderManager - updateExecution - got a fill for id 9738 qty 3 side BOT price 1.5288 - new working order size is -512 new instrument.qty is 82</t>
  </si>
  <si>
    <t>0001f4e5.54da9c04.01.01</t>
  </si>
  <si>
    <t>2015-2-11 11:5:21.848: OrderManagerView - UpdateExecutionView - entering updateExecutionView  executionId is 0001f4e5.54da9c04.01.01</t>
  </si>
  <si>
    <t>2015-2-11 11:5:21.851: OrderManagerView - updateExecutionView -  exiting UpdateExecutionView</t>
  </si>
  <si>
    <t>2015-2-11 11:5:21.852: RTWSControl - execDetails -  exiting execDetailsEx</t>
  </si>
  <si>
    <t>2015-2-11 11:5:21.853: RTWSControl - execDetails - Got execution Message id:-1</t>
  </si>
  <si>
    <t>2015-2-11 11:5:21.871: openOrderEx - I am here</t>
  </si>
  <si>
    <t>2015-2-11 11:5:21.880: RTWSControl - orderStatus -  entering orderStatus id is 9738 status is Filled</t>
  </si>
  <si>
    <t>2015-2-11 11:5:21.881: OrderManager - UpdateOrderStatus - id 9738 Setting status to Filled workingOrderCount is now -30 workingQty -512</t>
  </si>
  <si>
    <t>2015-2-11 11:5:21.883: OrderManager - terminateOrder - cleaning up after Filled 9738  order was supposed to BUY 5 1.5288 LMT workingQty/OrderCount now -512/-31</t>
  </si>
  <si>
    <t>2015-2-11 11:5:21.886: RTWSControl - OrderStatus - Got OrderStatus Message id:9738 status: Filled filled: 5</t>
  </si>
  <si>
    <t>2015-2-11 11:5:21.887: RTWSControl - OrderStatus - exiting orderStatus</t>
  </si>
  <si>
    <t>2015-2-11 11:5:21.898: openOrderEx - I am here</t>
  </si>
  <si>
    <t>2015-2-11 11:5:21.911: RTWSControl - orderStatus -  entering orderStatus id is 9738 status is Filled</t>
  </si>
  <si>
    <t>2015-2-11 11:5:21.912: OrderManager - UpdateOrderStatus - id 9738 Setting status to Filled workingOrderCount is now -31 workingQty -512</t>
  </si>
  <si>
    <t>2015-2-11 11:5:21.914: OrderManager - terminateOrder - cleaning up after Filled 9738  order was supposed to BUY 5 1.5288 LMT workingQty/OrderCount now -512/-32</t>
  </si>
  <si>
    <t>2015-2-11 11:5:21.917: RTWSControl - OrderStatus - Got OrderStatus Message id:9738 status: Filled filled: 5</t>
  </si>
  <si>
    <t>2015-2-11 11:5:21.917: RTWSControl - OrderStatus - exiting orderStatus</t>
  </si>
  <si>
    <t>2015-2-11 11:5:24.120: Algorithm - FindNextStrikes - price is 1.52875 nextStrikeUp/Down 1.53/1.525</t>
  </si>
  <si>
    <t>2015-2-11 11:5:24.121: Algorithm - getPortfolioForwardDelta - required deltas is 120 currentHedgePosition is 82</t>
  </si>
  <si>
    <t>2015-2-11 11:5:24.122: Algorithm - getHedgeShortfall - required deltas is 120 price is 1.52885 currentHedgePositionDeltas is 82</t>
  </si>
  <si>
    <t>2015-2-11 11:5:24.125: Algorithm - processTransitionPoint - nextUpper/LowerStrikes are 1.53/1.525 requiredDeltas/currentPosition/currentHedgeShortfall/direction/transitionPrice are 120/82/38/1/1.52885</t>
  </si>
  <si>
    <t>2015-2-11 11:5:24.126: TransitionLogger - processTransitionpoint - checking transition - currentHedgeShortfall is 38</t>
  </si>
  <si>
    <t>2015-2-11 11:5:24.127: Algorithm - rehedge - rehedging 38 contracts</t>
  </si>
  <si>
    <t>2015-2-11 11:5:24.128: Algortihm - rehedge - inside the loop</t>
  </si>
  <si>
    <t>2015-2-11 11:5:24.129: OrderManager - PlaceOrder - id 9739 workingQty -507</t>
  </si>
  <si>
    <t>2015-2-11 11:5:24.132: OrderManager - sendOrder - exiting place order id 9739 BUY 5 1.5287  - workingQty -507 currentPosition is 82 workingOrderCount is -31</t>
  </si>
  <si>
    <t>2015-2-11 11:5:24.133: Algorithm - rehedge - placing an order - orderSize is 5 workingQty is -507 working order count -31</t>
  </si>
  <si>
    <t>2015-2-11 11:5:24.136: Algorithm - updatePortfolio - haveAllDetails is True</t>
  </si>
  <si>
    <t>2015-2-11 11:5:24.163: Algorithm - FindNextStrikes - price is 1.52875 nextStrikeUp/Down 1.53/1.525</t>
  </si>
  <si>
    <t>2015-2-11 11:5:24.164: Algorithm - getPortfolioForwardDelta - required deltas is 120 currentHedgePosition is 82</t>
  </si>
  <si>
    <t>2015-2-11 11:5:24.165: Algorithm - getHedgeShortfall - required deltas is 120 price is 1.52885 currentHedgePositionDeltas is 82</t>
  </si>
  <si>
    <t>2015-2-11 11:5:24.167: Algorithm - processTransitionPoint - nextUpper/LowerStrikes are 1.53/1.525 requiredDeltas/currentPosition/currentHedgeShortfall/direction/transitionPrice are 120/82/38/1/1.52885</t>
  </si>
  <si>
    <t>2015-2-11 11:5:24.168: TransitionLogger - processTransitionpoint - checking transition - currentHedgeShortfall is 38</t>
  </si>
  <si>
    <t>2015-2-11 11:5:24.169: Algorithm - rehedge - rehedging 38 contracts</t>
  </si>
  <si>
    <t>2015-2-11 11:5:24.170: Algorithm - rehedge - Need to place order but already have a working order - workingQty is -507 working order count -31</t>
  </si>
  <si>
    <t>2015-2-11 11:5:24.173: Algorithm - updatePortfolio - haveAllDetails is True</t>
  </si>
  <si>
    <t>2015-2-11 11:5:24.206: Algorithm - FindNextStrikes - price is 1.52875 nextStrikeUp/Down 1.53/1.525</t>
  </si>
  <si>
    <t>2015-2-11 11:5:24.207: Algorithm - getPortfolioForwardDelta - required deltas is 120 currentHedgePosition is 82</t>
  </si>
  <si>
    <t>2015-2-11 11:5:24.208: Algorithm - getHedgeShortfall - required deltas is 120 price is 1.52885 currentHedgePositionDeltas is 82</t>
  </si>
  <si>
    <t>2015-2-11 11:5:24.210: Algorithm - processTransitionPoint - nextUpper/LowerStrikes are 1.53/1.525 requiredDeltas/currentPosition/currentHedgeShortfall/direction/transitionPrice are 120/82/38/1/1.52885</t>
  </si>
  <si>
    <t>2015-2-11 11:5:24.211: TransitionLogger - processTransitionpoint - checking transition - currentHedgeShortfall is 38</t>
  </si>
  <si>
    <t>2015-2-11 11:5:24.212: Algorithm - rehedge - rehedging 38 contracts</t>
  </si>
  <si>
    <t>2015-2-11 11:5:24.212: Algorithm - rehedge - Need to place order but already have a working order - workingQty is -507 working order count -31</t>
  </si>
  <si>
    <t>2015-2-11 11:5:24.215: Algorithm - updatePortfolio - haveAllDetails is True</t>
  </si>
  <si>
    <t>2015-2-11 11:5:24.243: Algorithm - FindNextStrikes - price is 1.52875 nextStrikeUp/Down 1.53/1.525</t>
  </si>
  <si>
    <t>2015-2-11 11:5:24.244: Algorithm - getPortfolioForwardDelta - required deltas is 120 currentHedgePosition is 82</t>
  </si>
  <si>
    <t>2015-2-11 11:5:24.245: Algorithm - getHedgeShortfall - required deltas is 120 price is 1.52885 currentHedgePositionDeltas is 82</t>
  </si>
  <si>
    <t>2015-2-11 11:5:24.247: Algorithm - processTransitionPoint - nextUpper/LowerStrikes are 1.53/1.525 requiredDeltas/currentPosition/currentHedgeShortfall/direction/transitionPrice are 120/82/38/1/1.52885</t>
  </si>
  <si>
    <t>2015-2-11 11:5:24.248: TransitionLogger - processTransitionpoint - checking transition - currentHedgeShortfall is 38</t>
  </si>
  <si>
    <t>2015-2-11 11:5:24.249: Algorithm - rehedge - rehedging 38 contracts</t>
  </si>
  <si>
    <t>2015-2-11 11:5:24.250: Algorithm - rehedge - Need to place order but already have a working order - workingQty is -507 working order count -31</t>
  </si>
  <si>
    <t>2015-2-11 11:5:24.252: Algorithm - updatePortfolio - haveAllDetails is True</t>
  </si>
  <si>
    <t>2015-2-11 11:5:24.281: Algorithm - FindNextStrikes - price is 1.52875 nextStrikeUp/Down 1.53/1.525</t>
  </si>
  <si>
    <t>2015-2-11 11:5:24.282: Algorithm - getPortfolioForwardDelta - required deltas is 120 currentHedgePosition is 82</t>
  </si>
  <si>
    <t>2015-2-11 11:5:24.283: Algorithm - getHedgeShortfall - required deltas is 120 price is 1.52885 currentHedgePositionDeltas is 82</t>
  </si>
  <si>
    <t>2015-2-11 11:5:24.284: Algorithm - processTransitionPoint - nextUpper/LowerStrikes are 1.53/1.525 requiredDeltas/currentPosition/currentHedgeShortfall/direction/transitionPrice are 120/82/38/1/1.52885</t>
  </si>
  <si>
    <t>2015-2-11 11:5:24.286: TransitionLogger - processTransitionpoint - checking transition - currentHedgeShortfall is 38</t>
  </si>
  <si>
    <t>2015-2-11 11:5:24.286: Algorithm - rehedge - rehedging 38 contracts</t>
  </si>
  <si>
    <t>2015-2-11 11:5:24.287: Algorithm - rehedge - Need to place order but already have a working order - workingQty is -507 working order count -31</t>
  </si>
  <si>
    <t>2015-2-11 11:5:24.289: Algorithm - updatePortfolio - haveAllDetails is True</t>
  </si>
  <si>
    <t>2015-2-11 11:5:24.328: Algorithm - FindNextStrikes - price is 1.52875 nextStrikeUp/Down 1.53/1.525</t>
  </si>
  <si>
    <t>2015-2-11 11:5:24.329: Algorithm - getPortfolioForwardDelta - required deltas is 120 currentHedgePosition is 82</t>
  </si>
  <si>
    <t>2015-2-11 11:5:24.330: Algorithm - getHedgeShortfall - required deltas is 120 price is 1.52885 currentHedgePositionDeltas is 82</t>
  </si>
  <si>
    <t>2015-2-11 11:5:24.332: Algorithm - processTransitionPoint - nextUpper/LowerStrikes are 1.53/1.525 requiredDeltas/currentPosition/currentHedgeShortfall/direction/transitionPrice are 120/82/38/1/1.52885</t>
  </si>
  <si>
    <t>2015-2-11 11:5:24.333: TransitionLogger - processTransitionpoint - checking transition - currentHedgeShortfall is 38</t>
  </si>
  <si>
    <t>2015-2-11 11:5:24.334: Algorithm - rehedge - rehedging 38 contracts</t>
  </si>
  <si>
    <t>2015-2-11 11:5:24.334: Algorithm - rehedge - Need to place order but already have a working order - workingQty is -507 working order count -31</t>
  </si>
  <si>
    <t>2015-2-11 11:5:24.336: Algorithm - updatePortfolio - haveAllDetails is True</t>
  </si>
  <si>
    <t>2015-2-11 11:5:24.371: Algorithm - FindNextStrikes - price is 1.52875 nextStrikeUp/Down 1.53/1.525</t>
  </si>
  <si>
    <t>2015-2-11 11:5:24.372: Algorithm - getPortfolioForwardDelta - required deltas is 120 currentHedgePosition is 82</t>
  </si>
  <si>
    <t>2015-2-11 11:5:24.373: Algorithm - getHedgeShortfall - required deltas is 120 price is 1.52885 currentHedgePositionDeltas is 82</t>
  </si>
  <si>
    <t>2015-2-11 11:5:24.375: Algorithm - processTransitionPoint - nextUpper/LowerStrikes are 1.53/1.525 requiredDeltas/currentPosition/currentHedgeShortfall/direction/transitionPrice are 120/82/38/1/1.52885</t>
  </si>
  <si>
    <t>2015-2-11 11:5:24.376: TransitionLogger - processTransitionpoint - checking transition - currentHedgeShortfall is 38</t>
  </si>
  <si>
    <t>2015-2-11 11:5:24.377: Algorithm - rehedge - rehedging 38 contracts</t>
  </si>
  <si>
    <t>2015-2-11 11:5:24.377: Algorithm - rehedge - Need to place order but already have a working order - workingQty is -507 working order count -31</t>
  </si>
  <si>
    <t>2015-2-11 11:5:24.379: Algorithm - updatePortfolio - haveAllDetails is True</t>
  </si>
  <si>
    <t>2015-2-11 11:5:24.416: Algorithm - FindNextStrikes - price is 1.52875 nextStrikeUp/Down 1.53/1.525</t>
  </si>
  <si>
    <t>2015-2-11 11:5:24.417: Algorithm - getPortfolioForwardDelta - required deltas is 120 currentHedgePosition is 82</t>
  </si>
  <si>
    <t>2015-2-11 11:5:24.418: Algorithm - getHedgeShortfall - required deltas is 120 price is 1.52885 currentHedgePositionDeltas is 82</t>
  </si>
  <si>
    <t>2015-2-11 11:5:24.420: Algorithm - processTransitionPoint - nextUpper/LowerStrikes are 1.53/1.525 requiredDeltas/currentPosition/currentHedgeShortfall/direction/transitionPrice are 120/82/38/1/1.52885</t>
  </si>
  <si>
    <t>2015-2-11 11:5:24.422: TransitionLogger - processTransitionpoint - checking transition - currentHedgeShortfall is 38</t>
  </si>
  <si>
    <t>2015-2-11 11:5:24.422: Algorithm - rehedge - rehedging 38 contracts</t>
  </si>
  <si>
    <t>2015-2-11 11:5:24.423: Algorithm - rehedge - Need to place order but already have a working order - workingQty is -507 working order count -31</t>
  </si>
  <si>
    <t>2015-2-11 11:5:24.425: Algorithm - updatePortfolio - haveAllDetails is True</t>
  </si>
  <si>
    <t>2015-2-11 11:5:24.456: Algorithm - FindNextStrikes - price is 1.52875 nextStrikeUp/Down 1.53/1.525</t>
  </si>
  <si>
    <t>2015-2-11 11:5:24.457: Algorithm - getPortfolioForwardDelta - required deltas is 120 currentHedgePosition is 82</t>
  </si>
  <si>
    <t>2015-2-11 11:5:24.457: Algorithm - getHedgeShortfall - required deltas is 120 price is 1.52885 currentHedgePositionDeltas is 82</t>
  </si>
  <si>
    <t>2015-2-11 11:5:24.459: Algorithm - processTransitionPoint - nextUpper/LowerStrikes are 1.53/1.525 requiredDeltas/currentPosition/currentHedgeShortfall/direction/transitionPrice are 120/82/38/1/1.52885</t>
  </si>
  <si>
    <t>2015-2-11 11:5:24.461: TransitionLogger - processTransitionpoint - checking transition - currentHedgeShortfall is 38</t>
  </si>
  <si>
    <t>2015-2-11 11:5:24.462: Algorithm - rehedge - rehedging 38 contracts</t>
  </si>
  <si>
    <t>2015-2-11 11:5:24.462: Algorithm - rehedge - Need to place order but already have a working order - workingQty is -507 working order count -31</t>
  </si>
  <si>
    <t>2015-2-11 11:5:24.465: Algorithm - updatePortfolio - haveAllDetails is True</t>
  </si>
  <si>
    <t>2015-2-11 11:5:24.496: Algorithm - FindNextStrikes - price is 1.52875 nextStrikeUp/Down 1.53/1.525</t>
  </si>
  <si>
    <t>2015-2-11 11:5:24.497: Algorithm - getPortfolioForwardDelta - required deltas is 120 currentHedgePosition is 82</t>
  </si>
  <si>
    <t>2015-2-11 11:5:24.497: Algorithm - getHedgeShortfall - required deltas is 120 price is 1.52885 currentHedgePositionDeltas is 82</t>
  </si>
  <si>
    <t>2015-2-11 11:5:24.499: Algorithm - processTransitionPoint - nextUpper/LowerStrikes are 1.53/1.525 requiredDeltas/currentPosition/currentHedgeShortfall/direction/transitionPrice are 120/82/38/1/1.52885</t>
  </si>
  <si>
    <t>2015-2-11 11:5:24.501: TransitionLogger - processTransitionpoint - checking transition - currentHedgeShortfall is 38</t>
  </si>
  <si>
    <t>2015-2-11 11:5:24.502: Algorithm - rehedge - rehedging 38 contracts</t>
  </si>
  <si>
    <t>2015-2-11 11:5:24.502: Algorithm - rehedge - Need to place order but already have a working order - workingQty is -507 working order count -31</t>
  </si>
  <si>
    <t>2015-2-11 11:5:24.505: Algorithm - updatePortfolio - haveAllDetails is True</t>
  </si>
  <si>
    <t>2015-2-11 11:5:24.579: Algorithm - rehedge - rehedging 38 contracts</t>
  </si>
  <si>
    <t>2015-2-11 11:5:24.581: Algorithm - rehedge - Need to place order but already have a working order - workingQty is -507 working order count -31</t>
  </si>
  <si>
    <t>2015-2-11 11:5:24.621: Algorithm - rehedge - rehedging 38 contracts</t>
  </si>
  <si>
    <t>2015-2-11 11:5:24.622: Algorithm - rehedge - Need to place order but already have a working order - workingQty is -507 working order count -31</t>
  </si>
  <si>
    <t>2015-2-11 11:5:24.997: Algorithm - rehedge - rehedging 38 contracts</t>
  </si>
  <si>
    <t>2015-2-11 11:5:24.998: Algorithm - rehedge - Need to place order but already have a working order - workingQty is -507 working order count -31</t>
  </si>
  <si>
    <t>2015-2-11 11:5:25.787: Algorithm - FindNextStrikes - price is 1.5287 nextStrikeUp/Down 1.53/1.525</t>
  </si>
  <si>
    <t>2015-2-11 11:5:25.788: Algorithm - getPortfolioForwardDelta - required deltas is 120 currentHedgePosition is 82</t>
  </si>
  <si>
    <t>2015-2-11 11:5:25.788: Algorithm - getHedgeShortfall - required deltas is 120 price is 1.5286 currentHedgePositionDeltas is 82</t>
  </si>
  <si>
    <t>2015-2-11 11:5:25.790: Algorithm - processTransitionPoint - nextUpper/LowerStrikes are 1.53/1.525 requiredDeltas/currentPosition/currentHedgeShortfall/direction/transitionPrice are 120/82/38/-1/1.5286</t>
  </si>
  <si>
    <t>2015-2-11 11:5:25.792: TransitionLogger - processTransitionpoint - checking transition - currentHedgeShortfall is 38</t>
  </si>
  <si>
    <t>2015-2-11 11:5:25.792: Algorithm - rehedge - rehedging 38 contracts</t>
  </si>
  <si>
    <t>2015-2-11 11:5:25.793: Algorithm - rehedge - Need to place order but already have a working order - workingQty is -507 working order count -31</t>
  </si>
  <si>
    <t>2015-2-11 11:5:25.795: Algorithm - updatePortfolio - haveAllDetails is True</t>
  </si>
  <si>
    <t>2015-2-11 11:5:25.839: RTWSControl - nextValidId - entering nextValidId id is 9740</t>
  </si>
  <si>
    <t>2015-2-11 11:5:25.847: Algorithm - rehedge - rehedging 38 contracts</t>
  </si>
  <si>
    <t>2015-2-11 11:5:25.848: Algorithm - rehedge - Need to place order but already have a working order - workingQty is -507 working order count -31</t>
  </si>
  <si>
    <t>2015-2-11 11:5:25.907: openOrderEx - I am here</t>
  </si>
  <si>
    <t>2015-2-11 11:5:25.917: RTWSControl - orderStatus -  entering orderStatus id is 9739 status is Submitted</t>
  </si>
  <si>
    <t>2015-2-11 11:5:25.918: OrderManager - UpdateOrderStatus - id 9739 Setting status to Submitted workingOrderCount is now -31 workingQty -507</t>
  </si>
  <si>
    <t>2015-2-11 11:5:25.922: RTWSControl - OrderStatus - Got OrderStatus Message id:9739 status: Submitted filled: 0</t>
  </si>
  <si>
    <t>2015-2-11 11:5:25.923: RTWSControl - OrderStatus - exiting orderStatus</t>
  </si>
  <si>
    <t>2015-2-11 11:5:28.286: Algorithm - rehedge - rehedging 38 contracts</t>
  </si>
  <si>
    <t>2015-2-11 11:5:28.287: Algorithm - rehedge - Need to place order but already have a working order - workingQty is -507 working order count -31</t>
  </si>
  <si>
    <t>2015-2-11 11:5:33.475: Algorithm - rehedge - rehedging 38 contracts</t>
  </si>
  <si>
    <t>2015-2-11 11:5:33.477: Algorithm - rehedge - Need to place order but already have a working order - workingQty is -507 working order count -31</t>
  </si>
  <si>
    <t>2015-2-11 11:5:34.362: Algorithm - rehedge - rehedging 38 contracts</t>
  </si>
  <si>
    <t>2015-2-11 11:5:34.363: Algorithm - rehedge - Need to place order but already have a working order - workingQty is -507 working order count -31</t>
  </si>
  <si>
    <t>2015-2-11 11:5:34.441: OrderManager - cancelOrder - cancelling order id 9739</t>
  </si>
  <si>
    <t>2015-2-11 11:5:34.441: Algorithm - checkWorkingOrders - cancelling BUY - orderPrice 1.5287 too far from marketPrice 1.52885</t>
  </si>
  <si>
    <t>2015-2-11 11:5:34.441: Algorithm - rehedge - rehedging 38 contracts</t>
  </si>
  <si>
    <t>2015-2-11 11:5:34.441: Algorithm - rehedge - Need to place order but already have a working order - workingQty is -507 working order count -31</t>
  </si>
  <si>
    <t>2015-2-11 11:5:34.988: RTWSControl - orderStatus -  entering orderStatus id is 9739 status is Cancelled</t>
  </si>
  <si>
    <t>2015-2-11 11:5:34.988: OrderManager - UpdateOrderStatus - id 9739 Setting status to Cancelled workingOrderCount is now -31 workingQty -507</t>
  </si>
  <si>
    <t>2015-2-11 11:5:34.988: RTWSControl - OrderStatus - Got OrderStatus Message id:9739 status: Cancelled filled: 0</t>
  </si>
  <si>
    <t>2015-2-11 11:5:35.3: RTWSControl - OrderStatus - exiting orderStatus</t>
  </si>
  <si>
    <t>2015-2-11 11:5:35.3: RTWSControl - errMsg - got error message 202:Order Canceled - reason:with id 9739</t>
  </si>
  <si>
    <t>2015-2-11 11:5:35.3: OrderManager - canceledOrder - cleaning up after canceled order 9739BEWARE UNACCOUNTED FOR EXECUTIONS!!!</t>
  </si>
  <si>
    <t>2015-2-11 11:5:35.3: OrderManager - terminateOrder - cleaning up after Canceled 9739  order was supposed to BUY 5 1.5287 LMT workingQty/OrderCount now -512/-32</t>
  </si>
  <si>
    <t>2015-2-11 11:5:38.129: Algorithm - rehedge - rehedging 38 contracts</t>
  </si>
  <si>
    <t>2015-2-11 11:5:38.129: Algortihm - rehedge - inside the loop</t>
  </si>
  <si>
    <t>2015-2-11 11:5:38.129: Algorithm - rehedge - trying to trade BUT contracts is 38 and direction indicator is -1</t>
  </si>
  <si>
    <t>2015-2-11 11:5:39.370: Algorithm - rehedge - rehedging 38 contracts</t>
  </si>
  <si>
    <t>2015-2-11 11:5:39.370: Algortihm - rehedge - inside the loop</t>
  </si>
  <si>
    <t>2015-2-11 11:5:39.370: Algorithm - rehedge - trying to trade BUT contracts is 38 and direction indicator is -1</t>
  </si>
  <si>
    <t>2015-2-11 11:5:39.370: OrderManager - cancelOrder - cancelling order id 9733</t>
  </si>
  <si>
    <t>2015-2-11 11:5:39.370: OrderManager - PlaceOrder - id 9740 workingQty -495</t>
  </si>
  <si>
    <t>2015-2-11 11:5:39.370: OrderManager - sendOrder - exiting place order id 9740 BUY 17 1.5334  - workingQty -495 currentPosition is 82 workingOrderCount is -31</t>
  </si>
  <si>
    <t>2015-2-11 11:5:39.370: OrderManager - cancelOrder - cancelling order id 9734</t>
  </si>
  <si>
    <t>2015-2-11 11:5:39.370: OrderManager - createOrder - exiting without creating order - did not have validID</t>
  </si>
  <si>
    <t>2015-2-11 11:5:39.870: RTWSControl - nextValidId - entering nextValidId id is 9741</t>
  </si>
  <si>
    <t>2015-2-11 11:5:39.885: RTWSControl - orderStatus -  entering orderStatus id is 9733 status is Cancelled</t>
  </si>
  <si>
    <t>2015-2-11 11:5:39.885: OrderManager - UpdateOrderStatus - id 9733 Setting status to Cancelled workingOrderCount is now -31 workingQty -495</t>
  </si>
  <si>
    <t>2015-2-11 11:5:39.885: RTWSControl - OrderStatus - Got OrderStatus Message id:9733 status: Cancelled filled: 0</t>
  </si>
  <si>
    <t>2015-2-11 11:5:39.885: RTWSControl - OrderStatus - exiting orderStatus</t>
  </si>
  <si>
    <t>2015-2-11 11:5:39.916: RTWSControl - errMsg - got error message 202:Order Canceled - reason:with id 9733</t>
  </si>
  <si>
    <t>2015-2-11 11:5:39.916: OrderManager - canceledOrder - cleaning up after canceled order 9733BEWARE UNACCOUNTED FOR EXECUTIONS!!!</t>
  </si>
  <si>
    <t>2015-2-11 11:5:39.916: OrderManager - terminateOrder - cleaning up after Canceled 9733  order was supposed to BUY 14 1.5314 STP LMT workingQty/OrderCount now -509/-32</t>
  </si>
  <si>
    <t>2015-2-11 11:5:39.932: RTWSControl - orderStatus -  entering orderStatus id is 9734 status is Cancelled</t>
  </si>
  <si>
    <t>2015-2-11 11:5:39.932: OrderManager - UpdateOrderStatus - id 9734 Setting status to Cancelled workingOrderCount is now -32 workingQty -509</t>
  </si>
  <si>
    <t>2015-2-11 11:5:39.932: RTWSControl - OrderStatus - Got OrderStatus Message id:9734 status: Cancelled filled: 0</t>
  </si>
  <si>
    <t>2015-2-11 11:5:39.932: RTWSControl - OrderStatus - exiting orderStatus</t>
  </si>
  <si>
    <t>2015-2-11 11:5:39.932: RTWSControl - errMsg - got error message 202:Order Canceled - reason:with id 9734</t>
  </si>
  <si>
    <t>2015-2-11 11:5:39.948: OrderManager - canceledOrder - cleaning up after canceled order 9734BEWARE UNACCOUNTED FOR EXECUTIONS!!!</t>
  </si>
  <si>
    <t>2015-2-11 11:5:39.948: OrderManager - terminateOrder - cleaning up after Canceled 9734  order was supposed to SELL 14 1.5253 STP LMT workingQty/OrderCount now -523/-33</t>
  </si>
  <si>
    <t>2015-2-11 11:5:39.979: openOrderEx - I am here</t>
  </si>
  <si>
    <t>2015-2-11 11:5:39.979: RTWSControl - orderStatus -  entering orderStatus id is 9740 status is PreSubmitted</t>
  </si>
  <si>
    <t>2015-2-11 11:5:39.994: OrderManager - UpdateOrderStatus - id 9740 Setting status to PreSubmitted workingOrderCount is now -33 workingQty -523</t>
  </si>
  <si>
    <t>2015-2-11 11:5:39.994: RTWSControl - OrderStatus - Got OrderStatus Message id:9740 status: PreSubmitted filled: 0</t>
  </si>
  <si>
    <t>2015-2-11 11:5:39.994: RTWSControl - OrderStatus - exiting orderStatus</t>
  </si>
  <si>
    <t>2015-2-11 11:5:51.116: Algorithm - rehedge - rehedging 38 contracts</t>
  </si>
  <si>
    <t>2015-2-11 11:5:51.116: Algortihm - rehedge - inside the loop</t>
  </si>
  <si>
    <t>2015-2-11 11:5:51.116: Algorithm - rehedge - trying to trade BUT contracts is 38 and direction indicator is -1</t>
  </si>
  <si>
    <t>2015-2-11 11:5:51.132: OrderManager - PlaceOrder - id 9741 workingQty -539</t>
  </si>
  <si>
    <t>2015-2-11 11:5:51.132: OrderManager - sendOrder - exiting place order id 9741 SELL 16 1.5265  - workingQty -539 currentPosition is 82 workingOrderCount is -32</t>
  </si>
  <si>
    <t>2015-2-11 11:5:51.225: Algorithm - rehedge - rehedging 38 contracts</t>
  </si>
  <si>
    <t>2015-2-11 11:5:51.241: Algortihm - rehedge - inside the loop</t>
  </si>
  <si>
    <t>2015-2-11 11:5:51.241: Algorithm - rehedge - trying to trade BUT contracts is 38 and direction indicator is -1</t>
  </si>
  <si>
    <t>2015-2-11 11:5:51.334: RTWSControl - nextValidId - entering nextValidId id is 9742</t>
  </si>
  <si>
    <t>2015-2-11 11:5:51.466: openOrderEx - I am here</t>
  </si>
  <si>
    <t>2015-2-11 11:5:51.483: RTWSControl - orderStatus -  entering orderStatus id is 9741 status is PreSubmitted</t>
  </si>
  <si>
    <t>2015-2-11 11:5:51.485: OrderManager - UpdateOrderStatus - id 9741 Setting status to PreSubmitted workingOrderCount is now -32 workingQty -539</t>
  </si>
  <si>
    <t>2015-2-11 11:5:51.491: RTWSControl - OrderStatus - Got OrderStatus Message id:9741 status: PreSubmitted filled: 0</t>
  </si>
  <si>
    <t>2015-2-11 11:5:51.493: RTWSControl - OrderStatus - exiting orderStatus</t>
  </si>
  <si>
    <t>2015-2-11 11:6:0.281: Algorithm - rehedge - rehedging 38 contracts</t>
  </si>
  <si>
    <t>2015-2-11 11:6:0.281: Algortihm - rehedge - inside the loop</t>
  </si>
  <si>
    <t>2015-2-11 11:6:0.297: OrderManager - PlaceOrder - id 9742 workingQty -534</t>
  </si>
  <si>
    <t>2015-2-11 11:6:0.297: OrderManager - sendOrder - exiting place order id 9742 BUY 5 1.5288  - workingQty -534 currentPosition is 82 workingOrderCount is -31</t>
  </si>
  <si>
    <t>2015-2-11 11:6:0.297: Algorithm - rehedge - placing an order - orderSize is 5 workingQty is -534 working order count -31</t>
  </si>
  <si>
    <t>2015-2-11 11:6:0.424: RTWSControl - nextValidId - entering nextValidId id is 9743</t>
  </si>
  <si>
    <t>2015-2-11 11:6:0.474: openOrderEx - I am here</t>
  </si>
  <si>
    <t>2015-2-11 11:6:0.484: RTWSControl - orderStatus -  entering orderStatus id is 9742 status is Submitted</t>
  </si>
  <si>
    <t>2015-2-11 11:6:0.485: OrderManager - UpdateOrderStatus - id 9742 Setting status to Submitted workingOrderCount is now -31 workingQty -534</t>
  </si>
  <si>
    <t>2015-2-11 11:6:0.488: RTWSControl - OrderStatus - Got OrderStatus Message id:9742 status: Submitted filled: 0</t>
  </si>
  <si>
    <t>2015-2-11 11:6:0.489: RTWSControl - OrderStatus - exiting orderStatus</t>
  </si>
  <si>
    <t>2015-2-11 11:6:1.973: OrderManager - cancelOrder - cancelling order id 9742</t>
  </si>
  <si>
    <t>2015-2-11 11:6:1.974: Algorithm - checkWorkingOrders - cancelling BUY - orderPrice 1.5288 too far from marketPrice 1.52895</t>
  </si>
  <si>
    <t>2015-2-11 11:6:1.977: Algorithm - rehedge - rehedging 38 contracts</t>
  </si>
  <si>
    <t>2015-2-11 11:6:1.978: Algorithm - rehedge - Need to place order but already have a working order - workingQty is -534 working order count -31</t>
  </si>
  <si>
    <t>2015-2-11 11:6:2.216: RTWSControl - orderStatus -  entering orderStatus id is 9742 status is Cancelled</t>
  </si>
  <si>
    <t>2015-2-11 11:6:2.217: OrderManager - UpdateOrderStatus - id 9742 Setting status to Cancelled workingOrderCount is now -31 workingQty -534</t>
  </si>
  <si>
    <t>2015-2-11 11:6:2.221: RTWSControl - OrderStatus - Got OrderStatus Message id:9742 status: Cancelled filled: 0</t>
  </si>
  <si>
    <t>2015-2-11 11:6:2.221: RTWSControl - OrderStatus - exiting orderStatus</t>
  </si>
  <si>
    <t>2015-2-11 11:6:2.230: RTWSControl - errMsg - got error message 202:Order Canceled - reason:with id 9742</t>
  </si>
  <si>
    <t>2015-2-11 11:6:2.231: OrderManager - canceledOrder - cleaning up after canceled order 9742BEWARE UNACCOUNTED FOR EXECUTIONS!!!</t>
  </si>
  <si>
    <t>2015-2-11 11:6:2.232: OrderManager - terminateOrder - cleaning up after Canceled 9742  order was supposed to BUY 5 1.5288 LMT workingQty/OrderCount now -539/-32</t>
  </si>
  <si>
    <t>2015-2-11 11:6:5.583: Algorithm - rehedge - rehedging 38 contracts</t>
  </si>
  <si>
    <t>2015-2-11 11:6:5.583: Algortihm - rehedge - inside the loop</t>
  </si>
  <si>
    <t>2015-2-11 11:6:5.583: OrderManager - PlaceOrder - id 9743 workingQty -534</t>
  </si>
  <si>
    <t>2015-2-11 11:6:5.583: OrderManager - sendOrder - exiting place order id 9743 BUY 5 1.5289  - workingQty -534 currentPosition is 82 workingOrderCount is -31</t>
  </si>
  <si>
    <t>2015-2-11 11:6:5.583: Algorithm - rehedge - placing an order - orderSize is 5 workingQty is -534 working order count -31</t>
  </si>
  <si>
    <t>2015-2-11 11:6:5.614: Algorithm - rehedge - rehedging 38 contracts</t>
  </si>
  <si>
    <t>2015-2-11 11:6:5.614: Algorithm - rehedge - Need to place order but already have a working order - workingQty is -534 working order count -31</t>
  </si>
  <si>
    <t>2015-2-11 11:6:6.98: RTWSControl - nextValidId - entering nextValidId id is 9744</t>
  </si>
  <si>
    <t>2015-2-11 11:6:6.113: openOrderEx - I am here</t>
  </si>
  <si>
    <t>2015-2-11 11:6:6.129: RTWSControl - orderStatus -  entering orderStatus id is 9743 status is Submitted</t>
  </si>
  <si>
    <t>2015-2-11 11:6:6.129: OrderManager - UpdateOrderStatus - id 9743 Setting status to Submitted workingOrderCount is now -31 workingQty -534</t>
  </si>
  <si>
    <t>2015-2-11 11:6:6.129: RTWSControl - OrderStatus - Got OrderStatus Message id:9743 status: Submitted filled: 0</t>
  </si>
  <si>
    <t>2015-2-11 11:6:6.129: RTWSControl - OrderStatus - exiting orderStatus</t>
  </si>
  <si>
    <t>2015-2-11 11:6:8.935: OrderManager - cancelOrder - cancelling order id 9743</t>
  </si>
  <si>
    <t>2015-2-11 11:6:8.935: Algorithm - checkWorkingOrders - cancelling BUY - orderPrice 1.5289 too far from marketPrice 1.5291</t>
  </si>
  <si>
    <t>2015-2-11 11:6:8.935: Algorithm - rehedge - rehedging 38 contracts</t>
  </si>
  <si>
    <t>2015-2-11 11:6:8.935: Algorithm - rehedge - Need to place order but already have a working order - workingQty is -534 working order count -31</t>
  </si>
  <si>
    <t>2015-2-11 11:6:9.358: RTWSControl - orderStatus -  entering orderStatus id is 9743 status is Cancelled</t>
  </si>
  <si>
    <t>2015-2-11 11:6:9.358: OrderManager - UpdateOrderStatus - id 9743 Setting status to Cancelled workingOrderCount is now -31 workingQty -534</t>
  </si>
  <si>
    <t>2015-2-11 11:6:9.358: RTWSControl - OrderStatus - Got OrderStatus Message id:9743 status: Cancelled filled: 0</t>
  </si>
  <si>
    <t>2015-2-11 11:6:9.358: RTWSControl - OrderStatus - exiting orderStatus</t>
  </si>
  <si>
    <t>2015-2-11 11:6:9.374: RTWSControl - errMsg - got error message 202:Order Canceled - reason:with id 9743</t>
  </si>
  <si>
    <t>2015-2-11 11:6:9.374: OrderManager - canceledOrder - cleaning up after canceled order 9743BEWARE UNACCOUNTED FOR EXECUTIONS!!!</t>
  </si>
  <si>
    <t>2015-2-11 11:6:9.374: OrderManager - terminateOrder - cleaning up after Canceled 9743  order was supposed to BUY 5 1.5289 LMT workingQty/OrderCount now -539/-32</t>
  </si>
  <si>
    <t>2015-2-11 11:6:13.911: Algorithm - rehedge - rehedging 38 contracts</t>
  </si>
  <si>
    <t>2015-2-11 11:6:13.911: Algortihm - rehedge - inside the loop</t>
  </si>
  <si>
    <t>2015-2-11 11:6:13.911: OrderManager - PlaceOrder - id 9744 workingQty -534</t>
  </si>
  <si>
    <t>2015-2-11 11:6:13.927: OrderManager - sendOrder - exiting place order id 9744 BUY 5 1.5291  - workingQty -534 currentPosition is 82 workingOrderCount is -31</t>
  </si>
  <si>
    <t>2015-2-11 11:6:13.927: Algorithm - rehedge - placing an order - orderSize is 5 workingQty is -534 working order count -31</t>
  </si>
  <si>
    <t>2015-2-11 11:6:14.36: RTWSControl - nextValidId - entering nextValidId id is 9745</t>
  </si>
  <si>
    <t>2015-2-11 11:6:14.223: Algorithm - rehedge - rehedging 38 contracts</t>
  </si>
  <si>
    <t>2015-2-11 11:6:14.223: Algorithm - rehedge - Need to place order but already have a working order - workingQty is -534 working order count -31</t>
  </si>
  <si>
    <t>2015-2-11 11:6:14.317: RTWSControl - execDetails -  entering execDetailsEx execution id is 0001f4e5.54da9c0c.01.01 shares/cumQty is 1/1</t>
  </si>
  <si>
    <t>2015-2-11 11:6:14.317: Algorithm - FindNextStrikes - price is 1.5291 nextStrikeUp/Down 1.53/1.525</t>
  </si>
  <si>
    <t>2015-2-11 11:6:14.317: Algorithm - getPortfolioForwardDelta - required deltas is 120 currentHedgePosition is 83</t>
  </si>
  <si>
    <t>2015-2-11 11:6:14.317: Algorithm - getHedgeShortfall - required deltas is 120 price is 1.5292 currentHedgePositionDeltas is 83</t>
  </si>
  <si>
    <t>2015-2-11 11:6:14.317: Algorithm - processTransitionPoint - nextUpper/LowerStrikes are 1.53/1.525 requiredDeltas/currentPosition/currentHedgeShortfall/direction/transitionPrice are 120/83/37/1/1.5292</t>
  </si>
  <si>
    <t>2015-2-11 11:6:14.317: TransitionLogger - processTransitionpoint - checking transition - currentHedgeShortfall is 37</t>
  </si>
  <si>
    <t>2015-2-11 11:6:14.317: OrderManager - updateExecution - got a fill for id 9744 qty 1 side BOT price 1.5291 - new working order size is -535 new instrument.qty is 83</t>
  </si>
  <si>
    <t>0001f4e5.54da9c0c.01.01</t>
  </si>
  <si>
    <t>20150211  11:06:15</t>
  </si>
  <si>
    <t>2015-2-11 11:6:14.332: OrderManagerView - UpdateExecutionView - entering updateExecutionView  executionId is 0001f4e5.54da9c0c.01.01</t>
  </si>
  <si>
    <t>2015-2-11 11:6:14.332: OrderManagerView - updateExecutionView -  exiting UpdateExecutionView</t>
  </si>
  <si>
    <t>2015-2-11 11:6:14.332: RTWSControl - execDetails -  exiting execDetailsEx</t>
  </si>
  <si>
    <t>2015-2-11 11:6:14.332: RTWSControl - execDetails - Got execution Message id:-1</t>
  </si>
  <si>
    <t>2015-2-11 11:6:14.348: openOrderEx - I am here</t>
  </si>
  <si>
    <t>2015-2-11 11:6:14.363: RTWSControl - orderStatus -  entering orderStatus id is 9744 status is PendingSubmit</t>
  </si>
  <si>
    <t>2015-2-11 11:6:14.363: OrderManager - UpdateOrderStatus - id 9744 Setting status to PendingSubmit workingOrderCount is now -31 workingQty -535</t>
  </si>
  <si>
    <t>2015-2-11 11:6:14.363: RTWSControl - OrderStatus - Got OrderStatus Message id:9744 status: PendingSubmit filled: 1</t>
  </si>
  <si>
    <t>2015-2-11 11:6:14.363: RTWSControl - OrderStatus - exiting orderStatus</t>
  </si>
  <si>
    <t>2015-2-11 11:6:14.379: openOrderEx - I am here</t>
  </si>
  <si>
    <t>2015-2-11 11:6:14.379: RTWSControl - orderStatus -  entering orderStatus id is 9744 status is Submitted</t>
  </si>
  <si>
    <t>2015-2-11 11:6:14.379: OrderManager - UpdateOrderStatus - id 9744 Setting status to Submitted workingOrderCount is now -31 workingQty -535</t>
  </si>
  <si>
    <t>2015-2-11 11:6:14.395: RTWSControl - OrderStatus - Got OrderStatus Message id:9744 status: Submitted filled: 1</t>
  </si>
  <si>
    <t>2015-2-11 11:6:14.395: RTWSControl - OrderStatus - exiting orderStatus</t>
  </si>
  <si>
    <t>2015-2-11 11:6:14.395: openOrderEx - I am here</t>
  </si>
  <si>
    <t>2015-2-11 11:6:14.441: RTWSControl - orderStatus -  entering orderStatus id is 9744 status is Submitted</t>
  </si>
  <si>
    <t>2015-2-11 11:6:14.441: OrderManager - UpdateOrderStatus - id 9744 Setting status to Submitted workingOrderCount is now -31 workingQty -535</t>
  </si>
  <si>
    <t>2015-2-11 11:6:14.441: RTWSControl - OrderStatus - Got OrderStatus Message id:9744 status: Submitted filled: 1</t>
  </si>
  <si>
    <t>2015-2-11 11:6:14.441: RTWSControl - OrderStatus - exiting orderStatus</t>
  </si>
  <si>
    <t>2015-2-11 11:6:14.504: RTWSControl - execDetails -  entering execDetailsEx execution id is 0001f4e5.54da9c0d.01.01 shares/cumQty is 1/2</t>
  </si>
  <si>
    <t>2015-2-11 11:6:14.504: Algorithm - FindNextStrikes - price is 1.5291 nextStrikeUp/Down 1.53/1.525</t>
  </si>
  <si>
    <t>2015-2-11 11:6:14.504: Algorithm - getPortfolioForwardDelta - required deltas is 120 currentHedgePosition is 84</t>
  </si>
  <si>
    <t>2015-2-11 11:6:14.504: Algorithm - getHedgeShortfall - required deltas is 120 price is 1.5292 currentHedgePositionDeltas is 84</t>
  </si>
  <si>
    <t>2015-2-11 11:6:14.504: Algorithm - processTransitionPoint - nextUpper/LowerStrikes are 1.53/1.525 requiredDeltas/currentPosition/currentHedgeShortfall/direction/transitionPrice are 120/84/36/1/1.5292</t>
  </si>
  <si>
    <t>2015-2-11 11:6:14.504: TransitionLogger - processTransitionpoint - checking transition - currentHedgeShortfall is 36</t>
  </si>
  <si>
    <t>2015-2-11 11:6:14.504: OrderManager - updateExecution - got a fill for id 9744 qty 1 side BOT price 1.5291 - new working order size is -536 new instrument.qty is 84</t>
  </si>
  <si>
    <t>0001f4e5.54da9c0d.01.01</t>
  </si>
  <si>
    <t>2015-2-11 11:6:14.504: OrderManagerView - UpdateExecutionView - entering updateExecutionView  executionId is 0001f4e5.54da9c0d.01.01</t>
  </si>
  <si>
    <t>2015-2-11 11:6:14.519: OrderManagerView - updateExecutionView -  exiting UpdateExecutionView</t>
  </si>
  <si>
    <t>2015-2-11 11:6:14.519: RTWSControl - execDetails -  exiting execDetailsEx</t>
  </si>
  <si>
    <t>2015-2-11 11:6:14.519: RTWSControl - execDetails - Got execution Message id:-1</t>
  </si>
  <si>
    <t>2015-2-11 11:6:14.519: openOrderEx - I am here</t>
  </si>
  <si>
    <t>2015-2-11 11:6:14.535: RTWSControl - orderStatus -  entering orderStatus id is 9744 status is Submitted</t>
  </si>
  <si>
    <t>2015-2-11 11:6:14.535: OrderManager - UpdateOrderStatus - id 9744 Setting status to Submitted workingOrderCount is now -31 workingQty -536</t>
  </si>
  <si>
    <t>2015-2-11 11:6:14.535: RTWSControl - OrderStatus - Got OrderStatus Message id:9744 status: Submitted filled: 2</t>
  </si>
  <si>
    <t>2015-2-11 11:6:14.535: RTWSControl - OrderStatus - exiting orderStatus</t>
  </si>
  <si>
    <t>2015-2-11 11:6:15.502: Algorithm - rehedge - rehedging 36 contracts</t>
  </si>
  <si>
    <t>2015-2-11 11:6:15.518: Algorithm - rehedge - Need to place order but already have a working order - workingQty is -536 working order count -31</t>
  </si>
  <si>
    <t>2015-2-11 11:6:15.549: openOrderEx - I am here</t>
  </si>
  <si>
    <t>2015-2-11 11:6:15.565: RTWSControl - orderStatus -  entering orderStatus id is 9744 status is Submitted</t>
  </si>
  <si>
    <t>2015-2-11 11:6:15.565: OrderManager - UpdateOrderStatus - id 9744 Setting status to Submitted workingOrderCount is now -31 workingQty -536</t>
  </si>
  <si>
    <t>2015-2-11 11:6:15.580: RTWSControl - OrderStatus - Got OrderStatus Message id:9744 status: Submitted filled: 2</t>
  </si>
  <si>
    <t>2015-2-11 11:6:15.580: RTWSControl - OrderStatus - exiting orderStatus</t>
  </si>
  <si>
    <t>2015-2-11 11:6:16.329: Algorithm - FindNextStrikes - price is 1.52915 nextStrikeUp/Down 1.53/1.525</t>
  </si>
  <si>
    <t>2015-2-11 11:6:16.329: Algorithm - getPortfolioForwardDelta - required deltas is 120 currentHedgePosition is 84</t>
  </si>
  <si>
    <t>2015-2-11 11:6:16.329: Algorithm - getHedgeShortfall - required deltas is 120 price is 1.52925 currentHedgePositionDeltas is 84</t>
  </si>
  <si>
    <t>2015-2-11 11:6:16.329: Algorithm - processTransitionPoint - nextUpper/LowerStrikes are 1.53/1.525 requiredDeltas/currentPosition/currentHedgeShortfall/direction/transitionPrice are 120/84/36/1/1.52925</t>
  </si>
  <si>
    <t>2015-2-11 11:6:16.329: TransitionLogger - processTransitionpoint - checking transition - currentHedgeShortfall is 36</t>
  </si>
  <si>
    <t>2015-2-11 11:6:16.329: Algorithm - rehedge - rehedging 36 contracts</t>
  </si>
  <si>
    <t>2015-2-11 11:6:16.329: Algorithm - rehedge - Need to place order but already have a working order - workingQty is -536 working order count -31</t>
  </si>
  <si>
    <t>2015-2-11 11:6:16.345: Algorithm - updatePortfolio - haveAllDetails is True</t>
  </si>
  <si>
    <t>2015-2-11 11:6:16.376: Algorithm - FindNextStrikes - price is 1.52915 nextStrikeUp/Down 1.53/1.525</t>
  </si>
  <si>
    <t>2015-2-11 11:6:16.376: Algorithm - getPortfolioForwardDelta - required deltas is 120 currentHedgePosition is 84</t>
  </si>
  <si>
    <t>2015-2-11 11:6:16.376: Algorithm - getHedgeShortfall - required deltas is 120 price is 1.52925 currentHedgePositionDeltas is 84</t>
  </si>
  <si>
    <t>2015-2-11 11:6:16.376: Algorithm - processTransitionPoint - nextUpper/LowerStrikes are 1.53/1.525 requiredDeltas/currentPosition/currentHedgeShortfall/direction/transitionPrice are 120/84/36/1/1.52925</t>
  </si>
  <si>
    <t>2015-2-11 11:6:16.376: TransitionLogger - processTransitionpoint - checking transition - currentHedgeShortfall is 36</t>
  </si>
  <si>
    <t>2015-2-11 11:6:16.376: Algorithm - rehedge - rehedging 36 contracts</t>
  </si>
  <si>
    <t>2015-2-11 11:6:16.376: Algorithm - rehedge - Need to place order but already have a working order - workingQty is -536 working order count -31</t>
  </si>
  <si>
    <t>2015-2-11 11:6:16.376: Algorithm - updatePortfolio - haveAllDetails is True</t>
  </si>
  <si>
    <t>2015-2-11 11:6:16.407: Algorithm - FindNextStrikes - price is 1.52915 nextStrikeUp/Down 1.53/1.525</t>
  </si>
  <si>
    <t>2015-2-11 11:6:16.407: Algorithm - getPortfolioForwardDelta - required deltas is 120 currentHedgePosition is 84</t>
  </si>
  <si>
    <t>2015-2-11 11:6:16.407: Algorithm - getHedgeShortfall - required deltas is 120 price is 1.52925 currentHedgePositionDeltas is 84</t>
  </si>
  <si>
    <t>2015-2-11 11:6:16.407: Algorithm - processTransitionPoint - nextUpper/LowerStrikes are 1.53/1.525 requiredDeltas/currentPosition/currentHedgeShortfall/direction/transitionPrice are 120/84/36/1/1.52925</t>
  </si>
  <si>
    <t>2015-2-11 11:6:16.407: TransitionLogger - processTransitionpoint - checking transition - currentHedgeShortfall is 36</t>
  </si>
  <si>
    <t>2015-2-11 11:6:16.407: Algorithm - rehedge - rehedging 36 contracts</t>
  </si>
  <si>
    <t>2015-2-11 11:6:16.423: Algorithm - rehedge - Need to place order but already have a working order - workingQty is -536 working order count -31</t>
  </si>
  <si>
    <t>2015-2-11 11:6:16.423: Algorithm - updatePortfolio - haveAllDetails is True</t>
  </si>
  <si>
    <t>2015-2-11 11:6:16.469: Algorithm - FindNextStrikes - price is 1.52915 nextStrikeUp/Down 1.53/1.525</t>
  </si>
  <si>
    <t>2015-2-11 11:6:16.469: Algorithm - getPortfolioForwardDelta - required deltas is 120 currentHedgePosition is 84</t>
  </si>
  <si>
    <t>2015-2-11 11:6:16.469: Algorithm - getHedgeShortfall - required deltas is 120 price is 1.52925 currentHedgePositionDeltas is 84</t>
  </si>
  <si>
    <t>2015-2-11 11:6:16.469: Algorithm - processTransitionPoint - nextUpper/LowerStrikes are 1.53/1.525 requiredDeltas/currentPosition/currentHedgeShortfall/direction/transitionPrice are 120/84/36/1/1.52925</t>
  </si>
  <si>
    <t>2015-2-11 11:6:16.469: TransitionLogger - processTransitionpoint - checking transition - currentHedgeShortfall is 36</t>
  </si>
  <si>
    <t>2015-2-11 11:6:16.469: Algorithm - rehedge - rehedging 36 contracts</t>
  </si>
  <si>
    <t>2015-2-11 11:6:16.469: Algorithm - rehedge - Need to place order but already have a working order - workingQty is -536 working order count -31</t>
  </si>
  <si>
    <t>2015-2-11 11:6:16.485: Algorithm - updatePortfolio - haveAllDetails is True</t>
  </si>
  <si>
    <t>2015-2-11 11:6:16.532: Algorithm - FindNextStrikes - price is 1.52915 nextStrikeUp/Down 1.53/1.525</t>
  </si>
  <si>
    <t>2015-2-11 11:6:16.532: Algorithm - getPortfolioForwardDelta - required deltas is 120 currentHedgePosition is 84</t>
  </si>
  <si>
    <t>2015-2-11 11:6:16.532: Algorithm - getHedgeShortfall - required deltas is 120 price is 1.52925 currentHedgePositionDeltas is 84</t>
  </si>
  <si>
    <t>2015-2-11 11:6:16.532: Algorithm - processTransitionPoint - nextUpper/LowerStrikes are 1.53/1.525 requiredDeltas/currentPosition/currentHedgeShortfall/direction/transitionPrice are 120/84/36/1/1.52925</t>
  </si>
  <si>
    <t>2015-2-11 11:6:16.532: TransitionLogger - processTransitionpoint - checking transition - currentHedgeShortfall is 36</t>
  </si>
  <si>
    <t>2015-2-11 11:6:16.532: Algorithm - rehedge - rehedging 36 contracts</t>
  </si>
  <si>
    <t>2015-2-11 11:6:16.532: Algorithm - rehedge - Need to place order but already have a working order - workingQty is -536 working order count -31</t>
  </si>
  <si>
    <t>2015-2-11 11:6:16.547: Algorithm - updatePortfolio - haveAllDetails is True</t>
  </si>
  <si>
    <t>2015-2-11 11:6:16.579: Algorithm - FindNextStrikes - price is 1.52915 nextStrikeUp/Down 1.53/1.525</t>
  </si>
  <si>
    <t>2015-2-11 11:6:16.579: Algorithm - getPortfolioForwardDelta - required deltas is 120 currentHedgePosition is 84</t>
  </si>
  <si>
    <t>2015-2-11 11:6:16.579: Algorithm - getHedgeShortfall - required deltas is 120 price is 1.52925 currentHedgePositionDeltas is 84</t>
  </si>
  <si>
    <t>2015-2-11 11:6:16.579: Algorithm - processTransitionPoint - nextUpper/LowerStrikes are 1.53/1.525 requiredDeltas/currentPosition/currentHedgeShortfall/direction/transitionPrice are 120/84/36/1/1.52925</t>
  </si>
  <si>
    <t>2015-2-11 11:6:16.579: TransitionLogger - processTransitionpoint - checking transition - currentHedgeShortfall is 36</t>
  </si>
  <si>
    <t>2015-2-11 11:6:16.579: Algorithm - rehedge - rehedging 36 contracts</t>
  </si>
  <si>
    <t>2015-2-11 11:6:16.579: Algorithm - rehedge - Need to place order but already have a working order - workingQty is -536 working order count -31</t>
  </si>
  <si>
    <t>2015-2-11 11:6:16.579: Algorithm - updatePortfolio - haveAllDetails is True</t>
  </si>
  <si>
    <t>2015-2-11 11:6:16.625: Algorithm - FindNextStrikes - price is 1.52915 nextStrikeUp/Down 1.53/1.525</t>
  </si>
  <si>
    <t>2015-2-11 11:6:16.625: Algorithm - getPortfolioForwardDelta - required deltas is 120 currentHedgePosition is 84</t>
  </si>
  <si>
    <t>2015-2-11 11:6:16.625: Algorithm - getHedgeShortfall - required deltas is 120 price is 1.52925 currentHedgePositionDeltas is 84</t>
  </si>
  <si>
    <t>2015-2-11 11:6:16.625: Algorithm - processTransitionPoint - nextUpper/LowerStrikes are 1.53/1.525 requiredDeltas/currentPosition/currentHedgeShortfall/direction/transitionPrice are 120/84/36/1/1.52925</t>
  </si>
  <si>
    <t>2015-2-11 11:6:16.625: TransitionLogger - processTransitionpoint - checking transition - currentHedgeShortfall is 36</t>
  </si>
  <si>
    <t>2015-2-11 11:6:16.625: Algorithm - rehedge - rehedging 36 contracts</t>
  </si>
  <si>
    <t>2015-2-11 11:6:16.625: Algorithm - rehedge - Need to place order but already have a working order - workingQty is -536 working order count -31</t>
  </si>
  <si>
    <t>2015-2-11 11:6:16.625: Algorithm - updatePortfolio - haveAllDetails is True</t>
  </si>
  <si>
    <t>2015-2-11 11:6:16.657: Algorithm - FindNextStrikes - price is 1.52915 nextStrikeUp/Down 1.53/1.525</t>
  </si>
  <si>
    <t>2015-2-11 11:6:16.657: Algorithm - getPortfolioForwardDelta - required deltas is 120 currentHedgePosition is 84</t>
  </si>
  <si>
    <t>2015-2-11 11:6:16.657: Algorithm - getHedgeShortfall - required deltas is 120 price is 1.52925 currentHedgePositionDeltas is 84</t>
  </si>
  <si>
    <t>2015-2-11 11:6:16.657: Algorithm - processTransitionPoint - nextUpper/LowerStrikes are 1.53/1.525 requiredDeltas/currentPosition/currentHedgeShortfall/direction/transitionPrice are 120/84/36/1/1.52925</t>
  </si>
  <si>
    <t>2015-2-11 11:6:16.657: TransitionLogger - processTransitionpoint - checking transition - currentHedgeShortfall is 36</t>
  </si>
  <si>
    <t>2015-2-11 11:6:16.657: Algorithm - rehedge - rehedging 36 contracts</t>
  </si>
  <si>
    <t>2015-2-11 11:6:16.657: Algorithm - rehedge - Need to place order but already have a working order - workingQty is -536 working order count -31</t>
  </si>
  <si>
    <t>2015-2-11 11:6:16.657: Algorithm - updatePortfolio - haveAllDetails is True</t>
  </si>
  <si>
    <t>2015-2-11 11:6:16.703: Algorithm - FindNextStrikes - price is 1.52915 nextStrikeUp/Down 1.53/1.525</t>
  </si>
  <si>
    <t>2015-2-11 11:6:16.703: Algorithm - getPortfolioForwardDelta - required deltas is 120 currentHedgePosition is 84</t>
  </si>
  <si>
    <t>2015-2-11 11:6:16.703: Algorithm - getHedgeShortfall - required deltas is 120 price is 1.52925 currentHedgePositionDeltas is 84</t>
  </si>
  <si>
    <t>2015-2-11 11:6:16.703: Algorithm - processTransitionPoint - nextUpper/LowerStrikes are 1.53/1.525 requiredDeltas/currentPosition/currentHedgeShortfall/direction/transitionPrice are 120/84/36/1/1.52925</t>
  </si>
  <si>
    <t>2015-2-11 11:6:16.703: TransitionLogger - processTransitionpoint - checking transition - currentHedgeShortfall is 36</t>
  </si>
  <si>
    <t>2015-2-11 11:6:16.703: Algorithm - rehedge - rehedging 36 contracts</t>
  </si>
  <si>
    <t>2015-2-11 11:6:16.703: Algorithm - rehedge - Need to place order but already have a working order - workingQty is -536 working order count -31</t>
  </si>
  <si>
    <t>2015-2-11 11:6:16.703: Algorithm - updatePortfolio - haveAllDetails is True</t>
  </si>
  <si>
    <t>2015-2-11 11:6:16.750: Algorithm - FindNextStrikes - price is 1.52915 nextStrikeUp/Down 1.53/1.525</t>
  </si>
  <si>
    <t>2015-2-11 11:6:16.750: Algorithm - getPortfolioForwardDelta - required deltas is 120 currentHedgePosition is 84</t>
  </si>
  <si>
    <t>2015-2-11 11:6:16.750: Algorithm - getHedgeShortfall - required deltas is 120 price is 1.52925 currentHedgePositionDeltas is 84</t>
  </si>
  <si>
    <t>2015-2-11 11:6:16.750: Algorithm - processTransitionPoint - nextUpper/LowerStrikes are 1.53/1.525 requiredDeltas/currentPosition/currentHedgeShortfall/direction/transitionPrice are 120/84/36/1/1.52925</t>
  </si>
  <si>
    <t>2015-2-11 11:6:16.750: TransitionLogger - processTransitionpoint - checking transition - currentHedgeShortfall is 36</t>
  </si>
  <si>
    <t>2015-2-11 11:6:16.750: Algorithm - rehedge - rehedging 36 contracts</t>
  </si>
  <si>
    <t>2015-2-11 11:6:16.750: Algorithm - rehedge - Need to place order but already have a working order - workingQty is -536 working order count -31</t>
  </si>
  <si>
    <t>2015-2-11 11:6:16.750: Algorithm - updatePortfolio - haveAllDetails is True</t>
  </si>
  <si>
    <t>2015-2-11 11:6:17.249: Algorithm - rehedge - rehedging 36 contracts</t>
  </si>
  <si>
    <t>2015-2-11 11:6:17.249: Algorithm - rehedge - Need to place order but already have a working order - workingQty is -536 working order count -31</t>
  </si>
  <si>
    <t>2015-2-11 11:6:17.281: RTWSControl - execDetails -  entering execDetailsEx execution id is 0001f4e5.54da9c0e.01.01 shares/cumQty is 3/5</t>
  </si>
  <si>
    <t>2015-2-11 11:6:17.281: Algorithm - FindNextStrikes - price is 1.5291 nextStrikeUp/Down 1.53/1.525</t>
  </si>
  <si>
    <t>2015-2-11 11:6:17.281: Algorithm - getPortfolioForwardDelta - required deltas is 120 currentHedgePosition is 87</t>
  </si>
  <si>
    <t>2015-2-11 11:6:17.281: Algorithm - getHedgeShortfall - required deltas is 120 price is 1.5292 currentHedgePositionDeltas is 87</t>
  </si>
  <si>
    <t>2015-2-11 11:6:17.281: Algorithm - processTransitionPoint - nextUpper/LowerStrikes are 1.53/1.525 requiredDeltas/currentPosition/currentHedgeShortfall/direction/transitionPrice are 120/87/33/1/1.5292</t>
  </si>
  <si>
    <t>2015-2-11 11:6:17.281: TransitionLogger - processTransitionpoint - checking transition - currentHedgeShortfall is 33</t>
  </si>
  <si>
    <t>2015-2-11 11:6:17.281: OrderManager - updateExecution - got a fill for id 9744 qty 3 side BOT price 1.5291 - new working order size is -539 new instrument.qty is 87</t>
  </si>
  <si>
    <t>0001f4e5.54da9c0e.01.01</t>
  </si>
  <si>
    <t>20150211  11:06:17</t>
  </si>
  <si>
    <t>2015-2-11 11:6:17.296: OrderManagerView - UpdateExecutionView - entering updateExecutionView  executionId is 0001f4e5.54da9c0e.01.01</t>
  </si>
  <si>
    <t>2015-2-11 11:6:17.296: OrderManagerView - updateExecutionView -  exiting UpdateExecutionView</t>
  </si>
  <si>
    <t>2015-2-11 11:6:17.296: RTWSControl - execDetails -  exiting execDetailsEx</t>
  </si>
  <si>
    <t>2015-2-11 11:6:17.296: RTWSControl - execDetails - Got execution Message id:-1</t>
  </si>
  <si>
    <t>2015-2-11 11:6:17.312: openOrderEx - I am here</t>
  </si>
  <si>
    <t>2015-2-11 11:6:17.327: RTWSControl - orderStatus -  entering orderStatus id is 9744 status is Filled</t>
  </si>
  <si>
    <t>2015-2-11 11:6:17.327: OrderManager - UpdateOrderStatus - id 9744 Setting status to Filled workingOrderCount is now -32 workingQty -539</t>
  </si>
  <si>
    <t>2015-2-11 11:6:17.327: OrderManager - terminateOrder - cleaning up after Filled 9744  order was supposed to BUY 5 1.5291 LMT workingQty/OrderCount now -539/-33</t>
  </si>
  <si>
    <t>2015-2-11 11:6:17.327: RTWSControl - OrderStatus - Got OrderStatus Message id:9744 status: Filled filled: 5</t>
  </si>
  <si>
    <t>2015-2-11 11:6:17.327: RTWSControl - OrderStatus - exiting orderStatus</t>
  </si>
  <si>
    <t>2015-2-11 11:6:17.343: Algorithm - rehedge - rehedging 33 contracts</t>
  </si>
  <si>
    <t>2015-2-11 11:6:17.343: Algortihm - rehedge - inside the loop</t>
  </si>
  <si>
    <t>2015-2-11 11:6:17.343: OrderManager - PlaceOrder - id 9745 workingQty -534</t>
  </si>
  <si>
    <t>2015-2-11 11:6:17.343: OrderManager - sendOrder - exiting place order id 9745 BUY 5 1.5291  - workingQty -534 currentPosition is 87 workingOrderCount is -32</t>
  </si>
  <si>
    <t>2015-2-11 11:6:17.343: Algorithm - rehedge - placing an order - orderSize is 5 workingQty is -534 working order count -32</t>
  </si>
  <si>
    <t>2015-2-11 11:6:17.624: openOrderEx - I am here</t>
  </si>
  <si>
    <t>2015-2-11 11:6:17.639: RTWSControl - orderStatus -  entering orderStatus id is 9744 status is Filled</t>
  </si>
  <si>
    <t>2015-2-11 11:6:17.639: OrderManager - UpdateOrderStatus - id 9744 Setting status to Filled workingOrderCount is now -32 workingQty -534</t>
  </si>
  <si>
    <t>2015-2-11 11:6:17.639: OrderManager - terminateOrder - cleaning up after Filled 9744  order was supposed to BUY 5 1.5291 LMT workingQty/OrderCount now -534/-33</t>
  </si>
  <si>
    <t>2015-2-11 11:6:17.639: RTWSControl - OrderStatus - Got OrderStatus Message id:9744 status: Filled filled: 5</t>
  </si>
  <si>
    <t>2015-2-11 11:6:17.639: RTWSControl - OrderStatus - exiting orderStatus</t>
  </si>
  <si>
    <t>2015-2-11 11:6:18.296: RTWSControl - nextValidId - entering nextValidId id is 9746</t>
  </si>
  <si>
    <t>2015-2-11 11:6:18.530: RTWSControl - execDetails -  entering execDetailsEx execution id is 0001f4e5.54da9c0f.01.01 shares/cumQty is 5/5</t>
  </si>
  <si>
    <t>2015-2-11 11:6:18.530: Algorithm - FindNextStrikes - price is 1.52905 nextStrikeUp/Down 1.53/1.525</t>
  </si>
  <si>
    <t>2015-2-11 11:6:18.530: Algorithm - getPortfolioForwardDelta - required deltas is 120 currentHedgePosition is 92</t>
  </si>
  <si>
    <t>2015-2-11 11:6:18.530: Algorithm - getHedgeShortfall - required deltas is 120 price is 1.52915 currentHedgePositionDeltas is 92</t>
  </si>
  <si>
    <t>2015-2-11 11:6:18.530: Algorithm - processTransitionPoint - nextUpper/LowerStrikes are 1.53/1.525 requiredDeltas/currentPosition/currentHedgeShortfall/direction/transitionPrice are 120/92/28/1/1.52915</t>
  </si>
  <si>
    <t>2015-2-11 11:6:18.545: TransitionLogger - processTransitionpoint - checking transition - currentHedgeShortfall is 28</t>
  </si>
  <si>
    <t>2015-2-11 11:6:18.545: OrderManager - updateExecution - got a fill for id 9745 qty 5 side BOT price 1.5291 - new working order size is -539 new instrument.qty is 92</t>
  </si>
  <si>
    <t>0001f4e5.54da9c0f.01.01</t>
  </si>
  <si>
    <t>20150211  11:06:18</t>
  </si>
  <si>
    <t>2015-2-11 11:6:18.545: OrderManagerView - UpdateExecutionView - entering updateExecutionView  executionId is 0001f4e5.54da9c0f.01.01</t>
  </si>
  <si>
    <t>2015-2-11 11:6:18.545: OrderManagerView - updateExecutionView -  exiting UpdateExecutionView</t>
  </si>
  <si>
    <t>2015-2-11 11:6:18.545: RTWSControl - execDetails -  exiting execDetailsEx</t>
  </si>
  <si>
    <t>2015-2-11 11:6:18.545: RTWSControl - execDetails - Got execution Message id:-1</t>
  </si>
  <si>
    <t>2015-2-11 11:6:18.561: openOrderEx - I am here</t>
  </si>
  <si>
    <t>2015-2-11 11:6:18.561: RTWSControl - orderStatus -  entering orderStatus id is 9745 status is Filled</t>
  </si>
  <si>
    <t>2015-2-11 11:6:18.576: OrderManager - UpdateOrderStatus - id 9745 Setting status to Filled workingOrderCount is now -34 workingQty -539</t>
  </si>
  <si>
    <t>2015-2-11 11:6:18.576: OrderManager - terminateOrder - cleaning up after Filled 9745  order was supposed to BUY 5 1.5291 LMT workingQty/OrderCount now -539/-35</t>
  </si>
  <si>
    <t>2015-2-11 11:6:18.576: RTWSControl - OrderStatus - Got OrderStatus Message id:9745 status: Filled filled: 5</t>
  </si>
  <si>
    <t>2015-2-11 11:6:18.576: RTWSControl - OrderStatus - exiting orderStatus</t>
  </si>
  <si>
    <t>2015-2-11 11:6:18.608: openOrderEx - I am here</t>
  </si>
  <si>
    <t>2015-2-11 11:6:18.608: RTWSControl - orderStatus -  entering orderStatus id is 9745 status is Filled</t>
  </si>
  <si>
    <t>2015-2-11 11:6:18.608: OrderManager - UpdateOrderStatus - id 9745 Setting status to Filled workingOrderCount is now -35 workingQty -539</t>
  </si>
  <si>
    <t>2015-2-11 11:6:18.608: OrderManager - terminateOrder - cleaning up after Filled 9745  order was supposed to BUY 5 1.5291 LMT workingQty/OrderCount now -539/-36</t>
  </si>
  <si>
    <t>2015-2-11 11:6:18.623: RTWSControl - OrderStatus - Got OrderStatus Message id:9745 status: Filled filled: 5</t>
  </si>
  <si>
    <t>2015-2-11 11:6:18.623: RTWSControl - OrderStatus - exiting orderStatus</t>
  </si>
  <si>
    <t>2015-2-11 11:6:18.623: openOrderEx - I am here</t>
  </si>
  <si>
    <t>2015-2-11 11:6:18.654: RTWSControl - orderStatus -  entering orderStatus id is 9745 status is Filled</t>
  </si>
  <si>
    <t>2015-2-11 11:6:18.654: OrderManager - UpdateOrderStatus - id 9745 Setting status to Filled workingOrderCount is now -36 workingQty -539</t>
  </si>
  <si>
    <t>2015-2-11 11:6:18.654: OrderManager - terminateOrder - cleaning up after Filled 9745  order was supposed to BUY 5 1.5291 LMT workingQty/OrderCount now -539/-37</t>
  </si>
  <si>
    <t>2015-2-11 11:6:18.654: RTWSControl - OrderStatus - Got OrderStatus Message id:9745 status: Filled filled: 5</t>
  </si>
  <si>
    <t>2015-2-11 11:6:18.654: RTWSControl - OrderStatus - exiting orderStatus</t>
  </si>
  <si>
    <t>2015-2-11 11:6:18.670: Algorithm - FindNextStrikes - price is 1.52905 nextStrikeUp/Down 1.53/1.525</t>
  </si>
  <si>
    <t>2015-2-11 11:6:18.670: Algorithm - getPortfolioForwardDelta - required deltas is 120 currentHedgePosition is 87</t>
  </si>
  <si>
    <t>2015-2-11 11:6:18.670: Algorithm - getHedgeShortfall - required deltas is 120 price is 1.52915 currentHedgePositionDeltas is 87</t>
  </si>
  <si>
    <t>2015-2-11 11:6:18.670: Algorithm - processTransitionPoint - nextUpper/LowerStrikes are 1.53/1.525 requiredDeltas/currentPosition/currentHedgeShortfall/direction/transitionPrice are 120/87/33/1/1.52915</t>
  </si>
  <si>
    <t>2015-2-11 11:6:18.686: TransitionLogger - processTransitionpoint - checking transition - currentHedgeShortfall is 33</t>
  </si>
  <si>
    <t>2015-2-11 11:6:18.686: Algorithm - rehedge - rehedging 33 contracts</t>
  </si>
  <si>
    <t>2015-2-11 11:6:18.686: Algortihm - rehedge - inside the loop</t>
  </si>
  <si>
    <t>2015-2-11 11:6:18.686: OrderManager - PlaceOrder - id 9746 workingQty -534</t>
  </si>
  <si>
    <t>2015-2-11 11:6:18.686: OrderManager - sendOrder - exiting place order id 9746 BUY 5 1.529  - workingQty -534 currentPosition is 87 workingOrderCount is -36</t>
  </si>
  <si>
    <t>2015-2-11 11:6:18.686: Algorithm - rehedge - placing an order - orderSize is 5 workingQty is -534 working order count -36</t>
  </si>
  <si>
    <t>2015-2-11 11:6:18.686: Algorithm - updatePortfolio - haveAllDetails is True</t>
  </si>
  <si>
    <t>2015-2-11 11:6:18.732: Algorithm - FindNextStrikes - price is 1.52905 nextStrikeUp/Down 1.53/1.525</t>
  </si>
  <si>
    <t>2015-2-11 11:6:18.732: Algorithm - getPortfolioForwardDelta - required deltas is 120 currentHedgePosition is 87</t>
  </si>
  <si>
    <t>2015-2-11 11:6:18.732: Algorithm - getHedgeShortfall - required deltas is 120 price is 1.52915 currentHedgePositionDeltas is 87</t>
  </si>
  <si>
    <t>2015-2-11 11:6:18.732: Algorithm - processTransitionPoint - nextUpper/LowerStrikes are 1.53/1.525 requiredDeltas/currentPosition/currentHedgeShortfall/direction/transitionPrice are 120/87/33/1/1.52915</t>
  </si>
  <si>
    <t>2015-2-11 11:6:18.732: TransitionLogger - processTransitionpoint - checking transition - currentHedgeShortfall is 33</t>
  </si>
  <si>
    <t>2015-2-11 11:6:18.732: Algorithm - rehedge - rehedging 33 contracts</t>
  </si>
  <si>
    <t>2015-2-11 11:6:18.732: Algorithm - rehedge - Need to place order but already have a working order - workingQty is -534 working order count -36</t>
  </si>
  <si>
    <t>2015-2-11 11:6:18.748: Algorithm - updatePortfolio - haveAllDetails is True</t>
  </si>
  <si>
    <t>2015-2-11 11:6:18.826: Algorithm - rehedge - rehedging 33 contracts</t>
  </si>
  <si>
    <t>2015-2-11 11:6:18.826: Algorithm - rehedge - Need to place order but already have a working order - workingQty is -534 working order count -36</t>
  </si>
  <si>
    <t>2015-2-11 11:6:18.873: Algorithm - rehedge - rehedging 33 contracts</t>
  </si>
  <si>
    <t>2015-2-11 11:6:18.873: Algorithm - rehedge - Need to place order but already have a working order - workingQty is -534 working order count -36</t>
  </si>
  <si>
    <t>2015-2-11 11:6:20.74: Algorithm - FindNextStrikes - price is 1.52895 nextStrikeUp/Down 1.53/1.525</t>
  </si>
  <si>
    <t>2015-2-11 11:6:20.74: Algorithm - getPortfolioForwardDelta - required deltas is 120 currentHedgePosition is 92</t>
  </si>
  <si>
    <t>2015-2-11 11:6:20.74: Algorithm - getHedgeShortfall - required deltas is 120 price is 1.52905 currentHedgePositionDeltas is 92</t>
  </si>
  <si>
    <t>2015-2-11 11:6:20.90: Algorithm - processTransitionPoint - nextUpper/LowerStrikes are 1.53/1.525 requiredDeltas/currentPosition/currentHedgeShortfall/direction/transitionPrice are 120/92/28/1/1.52905</t>
  </si>
  <si>
    <t>2015-2-11 11:6:20.90: TransitionLogger - processTransitionpoint - checking transition - currentHedgeShortfall is 28</t>
  </si>
  <si>
    <t>2015-2-11 11:6:20.90: Algorithm - rehedge - rehedging 28 contracts</t>
  </si>
  <si>
    <t>2015-2-11 11:6:20.90: Algorithm - rehedge - Need to place order but already have a working order - workingQty is -534 working order count -36</t>
  </si>
  <si>
    <t>2015-2-11 11:6:20.90: Algorithm - updatePortfolio - haveAllDetails is True</t>
  </si>
  <si>
    <t>2015-2-11 11:6:20.105: RTWSControl - nextValidId - entering nextValidId id is 9747</t>
  </si>
  <si>
    <t>2015-2-11 11:6:20.121: Algorithm - rehedge - rehedging 28 contracts</t>
  </si>
  <si>
    <t>2015-2-11 11:6:20.121: Algorithm - rehedge - Need to place order but already have a working order - workingQty is -534 working order count -36</t>
  </si>
  <si>
    <t>2015-2-11 11:6:20.121: OrderManager - cancelOrder - cancelling order id 9740</t>
  </si>
  <si>
    <t>2015-2-11 11:6:20.121: OrderManager - PlaceOrder - id 9747 workingQty -513</t>
  </si>
  <si>
    <t>2015-2-11 11:6:20.121: OrderManagerView - findNextOORow - there are no available OpenOrderView Rows!!!!!!</t>
  </si>
  <si>
    <t>2015-2-11 11:6:20.136: OrderManager - sendOrder - exiting place order id 9747 BUY 21 1.5351  - workingQty -513 currentPosition is 92 workingOrderCount is -35</t>
  </si>
  <si>
    <t>2015-2-11 11:6:20.136: OrderManager - cancelOrder - cancelling order id 9741</t>
  </si>
  <si>
    <t>2015-2-11 11:6:20.136: OrderManager - createOrder - exiting without creating order - did not have validID</t>
  </si>
  <si>
    <t>2015-2-11 11:6:20.168: RTWSControl - execDetails -  entering execDetailsEx execution id is 0001f4e5.54da9c10.01.01 shares/cumQty is 2/2</t>
  </si>
  <si>
    <t>2015-2-11 11:6:20.168: Algorithm - FindNextStrikes - price is 1.529 nextStrikeUp/Down 1.53/1.525</t>
  </si>
  <si>
    <t>2015-2-11 11:6:20.168: Algorithm - getPortfolioForwardDelta - required deltas is 120 currentHedgePosition is 94</t>
  </si>
  <si>
    <t>2015-2-11 11:6:20.168: Algorithm - getHedgeShortfall - required deltas is 120 price is 1.5291 currentHedgePositionDeltas is 94</t>
  </si>
  <si>
    <t>2015-2-11 11:6:20.183: Algorithm - processTransitionPoint - nextUpper/LowerStrikes are 1.53/1.525 requiredDeltas/currentPosition/currentHedgeShortfall/direction/transitionPrice are 120/94/26/1/1.5291</t>
  </si>
  <si>
    <t>2015-2-11 11:6:20.183: TransitionLogger - processTransitionpoint - checking transition - currentHedgeShortfall is 26</t>
  </si>
  <si>
    <t>2015-2-11 11:6:20.183: OrderManager - updateExecution - got a fill for id 9746 qty 2 side BOT price 1.529 - new working order size is -515 new instrument.qty is 94</t>
  </si>
  <si>
    <t>0001f4e5.54da9c10.01.01</t>
  </si>
  <si>
    <t>20150211  11:06:20</t>
  </si>
  <si>
    <t>2015-2-11 11:6:20.183: OrderManagerView - UpdateExecutionView - entering updateExecutionView  executionId is 0001f4e5.54da9c10.01.01</t>
  </si>
  <si>
    <t>2015-2-11 11:6:20.183: OrderManagerView - updateExecutionView -  exiting UpdateExecutionView</t>
  </si>
  <si>
    <t>2015-2-11 11:6:20.183: RTWSControl - execDetails -  exiting execDetailsEx</t>
  </si>
  <si>
    <t>2015-2-11 11:6:20.183: RTWSControl - execDetails - Got execution Message id:-1</t>
  </si>
  <si>
    <t>2015-2-11 11:6:20.214: openOrderEx - I am here</t>
  </si>
  <si>
    <t>2015-2-11 11:6:20.230: RTWSControl - orderStatus -  entering orderStatus id is 9746 status is PendingSubmit</t>
  </si>
  <si>
    <t>2015-2-11 11:6:20.230: OrderManager - UpdateOrderStatus - id 9746 Setting status to PendingSubmit workingOrderCount is now -35 workingQty -515</t>
  </si>
  <si>
    <t>2015-2-11 11:6:20.230: RTWSControl - OrderStatus - Got OrderStatus Message id:9746 status: PendingSubmit filled: 2</t>
  </si>
  <si>
    <t>2015-2-11 11:6:20.230: RTWSControl - OrderStatus - exiting orderStatus</t>
  </si>
  <si>
    <t>2015-2-11 11:6:20.248: openOrderEx - I am here</t>
  </si>
  <si>
    <t>2015-2-11 11:6:20.279: RTWSControl - orderStatus -  entering orderStatus id is 9746 status is Submitted</t>
  </si>
  <si>
    <t>2015-2-11 11:6:20.279: OrderManager - UpdateOrderStatus - id 9746 Setting status to Submitted workingOrderCount is now -35 workingQty -515</t>
  </si>
  <si>
    <t>2015-2-11 11:6:20.279: RTWSControl - OrderStatus - Got OrderStatus Message id:9746 status: Submitted filled: 2</t>
  </si>
  <si>
    <t>2015-2-11 11:6:20.294: RTWSControl - OrderStatus - exiting orderStatus</t>
  </si>
  <si>
    <t>2015-2-11 11:6:20.294: openOrderEx - I am here</t>
  </si>
  <si>
    <t>2015-2-11 11:6:20.310: RTWSControl - orderStatus -  entering orderStatus id is 9746 status is Submitted</t>
  </si>
  <si>
    <t>2015-2-11 11:6:20.310: OrderManager - UpdateOrderStatus - id 9746 Setting status to Submitted workingOrderCount is now -35 workingQty -515</t>
  </si>
  <si>
    <t>2015-2-11 11:6:20.310: RTWSControl - OrderStatus - Got OrderStatus Message id:9746 status: Submitted filled: 2</t>
  </si>
  <si>
    <t>2015-2-11 11:6:20.310: RTWSControl - OrderStatus - exiting orderStatus</t>
  </si>
  <si>
    <t>2015-2-11 11:6:21.536: Algorithm - FindNextStrikes - price is 1.529 nextStrikeUp/Down 1.53/1.525</t>
  </si>
  <si>
    <t>2015-2-11 11:6:21.537: Algorithm - getPortfolioForwardDelta - required deltas is 120 currentHedgePosition is 94</t>
  </si>
  <si>
    <t>2015-2-11 11:6:21.538: Algorithm - getHedgeShortfall - required deltas is 120 price is 1.5291 currentHedgePositionDeltas is 94</t>
  </si>
  <si>
    <t>2015-2-11 11:6:21.540: Algorithm - processTransitionPoint - nextUpper/LowerStrikes are 1.53/1.525 requiredDeltas/currentPosition/currentHedgeShortfall/direction/transitionPrice are 120/94/26/1/1.5291</t>
  </si>
  <si>
    <t>2015-2-11 11:6:21.542: TransitionLogger - processTransitionpoint - checking transition - currentHedgeShortfall is 26</t>
  </si>
  <si>
    <t>2015-2-11 11:6:21.543: Algorithm - rehedge - rehedging 26 contracts</t>
  </si>
  <si>
    <t>2015-2-11 11:6:21.543: Algorithm - rehedge - Need to place order but already have a working order - workingQty is -515 working order count -35</t>
  </si>
  <si>
    <t>2015-2-11 11:6:21.546: Algorithm - updatePortfolio - haveAllDetails is True</t>
  </si>
  <si>
    <t>2015-2-11 11:6:21.568: Algorithm - FindNextStrikes - price is 1.529 nextStrikeUp/Down 1.53/1.525</t>
  </si>
  <si>
    <t>2015-2-11 11:6:21.569: Algorithm - getPortfolioForwardDelta - required deltas is 120 currentHedgePosition is 94</t>
  </si>
  <si>
    <t>2015-2-11 11:6:21.570: Algorithm - getHedgeShortfall - required deltas is 120 price is 1.5291 currentHedgePositionDeltas is 94</t>
  </si>
  <si>
    <t>2015-2-11 11:6:21.573: Algorithm - processTransitionPoint - nextUpper/LowerStrikes are 1.53/1.525 requiredDeltas/currentPosition/currentHedgeShortfall/direction/transitionPrice are 120/94/26/1/1.5291</t>
  </si>
  <si>
    <t>2015-2-11 11:6:21.575: TransitionLogger - processTransitionpoint - checking transition - currentHedgeShortfall is 26</t>
  </si>
  <si>
    <t>2015-2-11 11:6:21.576: Algorithm - rehedge - rehedging 26 contracts</t>
  </si>
  <si>
    <t>2015-2-11 11:6:21.577: Algorithm - rehedge - Need to place order but already have a working order - workingQty is -515 working order count -35</t>
  </si>
  <si>
    <t>2015-2-11 11:6:21.580: Algorithm - updatePortfolio - haveAllDetails is True</t>
  </si>
  <si>
    <t>2015-2-11 11:6:21.608: Algorithm - FindNextStrikes - price is 1.529 nextStrikeUp/Down 1.53/1.525</t>
  </si>
  <si>
    <t>2015-2-11 11:6:21.610: Algorithm - getPortfolioForwardDelta - required deltas is 120 currentHedgePosition is 94</t>
  </si>
  <si>
    <t>2015-2-11 11:6:21.610: Algorithm - getHedgeShortfall - required deltas is 120 price is 1.5291 currentHedgePositionDeltas is 94</t>
  </si>
  <si>
    <t>2015-2-11 11:6:21.613: Algorithm - processTransitionPoint - nextUpper/LowerStrikes are 1.53/1.525 requiredDeltas/currentPosition/currentHedgeShortfall/direction/transitionPrice are 120/94/26/1/1.5291</t>
  </si>
  <si>
    <t>2015-2-11 11:6:21.614: TransitionLogger - processTransitionpoint - checking transition - currentHedgeShortfall is 26</t>
  </si>
  <si>
    <t>2015-2-11 11:6:21.615: Algorithm - rehedge - rehedging 26 contracts</t>
  </si>
  <si>
    <t>2015-2-11 11:6:21.616: Algorithm - rehedge - Need to place order but already have a working order - workingQty is -515 working order count -35</t>
  </si>
  <si>
    <t>2015-2-11 11:6:21.619: Algorithm - updatePortfolio - haveAllDetails is True</t>
  </si>
  <si>
    <t>2015-2-11 11:6:21.650: RTWSControl - nextValidId - entering nextValidId id is 9748</t>
  </si>
  <si>
    <t>2015-2-11 11:6:21.695: RTWSControl - orderStatus -  entering orderStatus id is 9740 status is Cancelled</t>
  </si>
  <si>
    <t>2015-2-11 11:6:21.696: OrderManager - UpdateOrderStatus - id 9740 Setting status to Cancelled workingOrderCount is now -35 workingQty -515</t>
  </si>
  <si>
    <t>2015-2-11 11:6:21.699: RTWSControl - OrderStatus - Got OrderStatus Message id:9740 status: Cancelled filled: 0</t>
  </si>
  <si>
    <t>2015-2-11 11:6:21.700: RTWSControl - OrderStatus - exiting orderStatus</t>
  </si>
  <si>
    <t>2015-2-11 11:6:21.708: RTWSControl - errMsg - got error message 202:Order Canceled - reason:with id 9740</t>
  </si>
  <si>
    <t>2015-2-11 11:6:21.709: OrderManager - canceledOrder - cleaning up after canceled order 9740BEWARE UNACCOUNTED FOR EXECUTIONS!!!</t>
  </si>
  <si>
    <t>2015-2-11 11:6:21.711: OrderManager - terminateOrder - cleaning up after Canceled 9740  order was supposed to BUY 17 1.5334 STP LMT workingQty/OrderCount now -532/-36</t>
  </si>
  <si>
    <t>2015-2-11 11:6:21.723: RTWSControl - orderStatus -  entering orderStatus id is 9741 status is Cancelled</t>
  </si>
  <si>
    <t>2015-2-11 11:6:21.724: OrderManager - UpdateOrderStatus - id 9741 Setting status to Cancelled workingOrderCount is now -36 workingQty -532</t>
  </si>
  <si>
    <t>2015-2-11 11:6:21.728: RTWSControl - OrderStatus - Got OrderStatus Message id:9741 status: Cancelled filled: 0</t>
  </si>
  <si>
    <t>2015-2-11 11:6:21.729: RTWSControl - OrderStatus - exiting orderStatus</t>
  </si>
  <si>
    <t>2015-2-11 11:6:21.747: RTWSControl - errMsg - got error message 202:Order Canceled - reason:with id 9741</t>
  </si>
  <si>
    <t>2015-2-11 11:6:21.748: OrderManager - canceledOrder - cleaning up after canceled order 9741BEWARE UNACCOUNTED FOR EXECUTIONS!!!</t>
  </si>
  <si>
    <t>2015-2-11 11:6:21.750: OrderManager - terminateOrder - cleaning up after Canceled 9741  order was supposed to SELL 16 1.5265 STP LMT workingQty/OrderCount now -548/-37</t>
  </si>
  <si>
    <t>2015-2-11 11:6:22.279: openOrderEx - I am here</t>
  </si>
  <si>
    <t>2015-2-11 11:6:22.294: RTWSControl - orderStatus -  entering orderStatus id is 9747 status is PreSubmitted</t>
  </si>
  <si>
    <t>2015-2-11 11:6:22.294: OrderManager - UpdateOrderStatus - id 9747 Setting status to PreSubmitted workingOrderCount is now -37 workingQty -548</t>
  </si>
  <si>
    <t>2015-2-11 11:6:22.294: RTWSControl - OrderStatus - Got OrderStatus Message id:9747 status: PreSubmitted filled: 0</t>
  </si>
  <si>
    <t>2015-2-11 11:6:22.294: RTWSControl - OrderStatus - exiting orderStatus</t>
  </si>
  <si>
    <t>2015-2-11 11:6:22.310: Algorithm - rehedge - rehedging 26 contracts</t>
  </si>
  <si>
    <t>2015-2-11 11:6:22.310: Algorithm - rehedge - Need to place order but already have a working order - workingQty is -548 working order count -37</t>
  </si>
  <si>
    <t>2015-2-11 11:6:22.310: OrderManager - cancelOrder - cancelling order id 9747</t>
  </si>
  <si>
    <t>2015-2-11 11:6:22.310: OrderManager - PlaceOrder - id 9748 workingQty -524</t>
  </si>
  <si>
    <t>2015-2-11 11:6:22.310: OrderManager - sendOrder - exiting place order id 9748 BUY 24 1.5362  - workingQty -524 currentPosition is 94 workingOrderCount is -36</t>
  </si>
  <si>
    <t>2015-2-11 11:6:22.310: OrderManager - createOrder - exiting without creating order - did not have validID</t>
  </si>
  <si>
    <t>2015-2-11 11:6:22.357: Algorithm - rehedge - rehedging 26 contracts</t>
  </si>
  <si>
    <t>2015-2-11 11:6:22.357: Algorithm - rehedge - Need to place order but already have a working order - workingQty is -524 working order count -36</t>
  </si>
  <si>
    <t>2015-2-11 11:6:22.357: OrderManager - createOrder - exiting without creating order - did not have validID</t>
  </si>
  <si>
    <t>2015-2-11 11:6:22.438: RTWSControl - execDetails -  entering execDetailsEx execution id is 0001f4e5.54da9c16.01.01 shares/cumQty is 3/5</t>
  </si>
  <si>
    <t>2015-2-11 11:6:22.438: Algorithm - FindNextStrikes - price is 1.529 nextStrikeUp/Down 1.53/1.525</t>
  </si>
  <si>
    <t>2015-2-11 11:6:22.438: Algorithm - getPortfolioForwardDelta - required deltas is 120 currentHedgePosition is 97</t>
  </si>
  <si>
    <t>2015-2-11 11:6:22.438: Algorithm - getHedgeShortfall - required deltas is 120 price is 1.5291 currentHedgePositionDeltas is 97</t>
  </si>
  <si>
    <t>2015-2-11 11:6:22.438: Algorithm - processTransitionPoint - nextUpper/LowerStrikes are 1.53/1.525 requiredDeltas/currentPosition/currentHedgeShortfall/direction/transitionPrice are 120/97/23/1/1.5291</t>
  </si>
  <si>
    <t>2015-2-11 11:6:22.438: TransitionLogger - processTransitionpoint - checking transition - currentHedgeShortfall is 23</t>
  </si>
  <si>
    <t>2015-2-11 11:6:22.438: OrderManager - updateExecution - got a fill for id 9746 qty 3 side BOT price 1.529 - new working order size is -527 new instrument.qty is 97</t>
  </si>
  <si>
    <t>0001f4e5.54da9c16.01.01</t>
  </si>
  <si>
    <t>20150211  11:06:23</t>
  </si>
  <si>
    <t>2015-2-11 11:6:22.438: OrderManagerView - UpdateExecutionView - entering updateExecutionView  executionId is 0001f4e5.54da9c16.01.01</t>
  </si>
  <si>
    <t>2015-2-11 11:6:22.453: OrderManagerView - updateExecutionView -  exiting UpdateExecutionView</t>
  </si>
  <si>
    <t>2015-2-11 11:6:22.453: RTWSControl - execDetails -  exiting execDetailsEx</t>
  </si>
  <si>
    <t>2015-2-11 11:6:22.453: RTWSControl - execDetails - Got execution Message id:-1</t>
  </si>
  <si>
    <t>2015-2-11 11:6:22.453: openOrderEx - I am here</t>
  </si>
  <si>
    <t>2015-2-11 11:6:22.469: RTWSControl - orderStatus -  entering orderStatus id is 9746 status is Filled</t>
  </si>
  <si>
    <t>2015-2-11 11:6:22.469: OrderManager - UpdateOrderStatus - id 9746 Setting status to Filled workingOrderCount is now -37 workingQty -527</t>
  </si>
  <si>
    <t>2015-2-11 11:6:22.469: OrderManager - terminateOrder - cleaning up after Filled 9746  order was supposed to BUY 5 1.529 LMT workingQty/OrderCount now -527/-38</t>
  </si>
  <si>
    <t>2015-2-11 11:6:22.469: RTWSControl - OrderStatus - Got OrderStatus Message id:9746 status: Filled filled: 5</t>
  </si>
  <si>
    <t>2015-2-11 11:6:22.469: RTWSControl - OrderStatus - exiting orderStatus</t>
  </si>
  <si>
    <t>2015-2-11 11:6:22.485: Algorithm - rehedge - rehedging 23 contracts</t>
  </si>
  <si>
    <t>2015-2-11 11:6:22.485: Algortihm - rehedge - inside the loop</t>
  </si>
  <si>
    <t>2015-2-11 11:6:22.500: OrderManager - createOrder - exiting without creating order - did not have validID</t>
  </si>
  <si>
    <t>2015-2-11 11:6:22.500: TransitionLogger - updateOrder - an error occurred Object variable or With block variable not set</t>
  </si>
  <si>
    <t>2015-2-11 11:6:22.500: Algorithm - rehedge - placing an order - orderSize is 5 workingQty is -527 working order count -38</t>
  </si>
  <si>
    <t>2015-2-11 11:6:22.689: openOrderEx - I am here</t>
  </si>
  <si>
    <t>2015-2-11 11:6:22.689: RTWSControl - orderStatus -  entering orderStatus id is 9746 status is Filled</t>
  </si>
  <si>
    <t>2015-2-11 11:6:22.689: OrderManager - UpdateOrderStatus - id 9746 Setting status to Filled workingOrderCount is now -38 workingQty -527</t>
  </si>
  <si>
    <t>2015-2-11 11:6:22.689: OrderManager - terminateOrder - cleaning up after Filled 9746  order was supposed to BUY 5 1.529 LMT workingQty/OrderCount now -527/-39</t>
  </si>
  <si>
    <t>2015-2-11 11:6:22.689: RTWSControl - OrderStatus - Got OrderStatus Message id:9746 status: Filled filled: 5</t>
  </si>
  <si>
    <t>2015-2-11 11:6:22.689: RTWSControl - OrderStatus - exiting orderStatus</t>
  </si>
  <si>
    <t>2015-2-11 11:6:22.705: RTWSControl - nextValidId - entering nextValidId id is 9749</t>
  </si>
  <si>
    <t>2015-2-11 11:6:22.721: RTWSControl - orderStatus -  entering orderStatus id is 9747 status is Cancelled</t>
  </si>
  <si>
    <t>2015-2-11 11:6:22.721: OrderManager - UpdateOrderStatus - id 9747 Setting status to Cancelled workingOrderCount is now -39 workingQty -527</t>
  </si>
  <si>
    <t>2015-2-11 11:6:22.721: RTWSControl - OrderStatus - Got OrderStatus Message id:9747 status: Cancelled filled: 0</t>
  </si>
  <si>
    <t>2015-2-11 11:6:22.721: RTWSControl - OrderStatus - exiting orderStatus</t>
  </si>
  <si>
    <t>2015-2-11 11:6:22.736: RTWSControl - errMsg - got error message 202:Order Canceled - reason:with id 9747</t>
  </si>
  <si>
    <t>2015-2-11 11:6:22.736: OrderManager - canceledOrder - cleaning up after canceled order 9747BEWARE UNACCOUNTED FOR EXECUTIONS!!!</t>
  </si>
  <si>
    <t>2015-2-11 11:6:22.736: OrderManager - terminateOrder - cleaning up after Canceled 9747  order was supposed to BUY 21 1.5351 STP LMT workingQty/OrderCount now -548/-40</t>
  </si>
  <si>
    <t>2015-2-11 11:6:22.752: openOrderEx - I am here</t>
  </si>
  <si>
    <t>2015-2-11 11:6:22.767: RTWSControl - orderStatus -  entering orderStatus id is 9748 status is PreSubmitted</t>
  </si>
  <si>
    <t>2015-2-11 11:6:22.767: OrderManager - UpdateOrderStatus - id 9748 Setting status to PreSubmitted workingOrderCount is now -40 workingQty -548</t>
  </si>
  <si>
    <t>2015-2-11 11:6:22.767: RTWSControl - OrderStatus - Got OrderStatus Message id:9748 status: PreSubmitted filled: 0</t>
  </si>
  <si>
    <t>2015-2-11 11:6:22.783: RTWSControl - OrderStatus - exiting orderStatus</t>
  </si>
  <si>
    <t>2015-2-11 11:6:23.911: Algorithm - FindNextStrikes - price is 1.52895 nextStrikeUp/Down 1.53/1.525</t>
  </si>
  <si>
    <t>2015-2-11 11:6:23.912: Algorithm - getPortfolioForwardDelta - required deltas is 120 currentHedgePosition is 97</t>
  </si>
  <si>
    <t>2015-2-11 11:6:23.913: Algorithm - getHedgeShortfall - required deltas is 120 price is 1.52905 currentHedgePositionDeltas is 97</t>
  </si>
  <si>
    <t>2015-2-11 11:6:23.915: Algorithm - processTransitionPoint - nextUpper/LowerStrikes are 1.53/1.525 requiredDeltas/currentPosition/currentHedgeShortfall/direction/transitionPrice are 120/97/23/1/1.52905</t>
  </si>
  <si>
    <t>2015-2-11 11:6:23.916: TransitionLogger - processTransitionpoint - checking transition - currentHedgeShortfall is 23</t>
  </si>
  <si>
    <t>2015-2-11 11:6:23.917: Algorithm - rehedge - rehedging 23 contracts</t>
  </si>
  <si>
    <t>2015-2-11 11:6:23.917: Algortihm - rehedge - inside the loop</t>
  </si>
  <si>
    <t>2015-2-11 11:6:23.918: OrderManager - PlaceOrder - id 9749 workingQty -543</t>
  </si>
  <si>
    <t>2015-2-11 11:6:23.920: OrderManager - sendOrder - exiting place order id 9749 BUY 5 1.5289  - workingQty -543 currentPosition is 97 workingOrderCount is -39</t>
  </si>
  <si>
    <t>2015-2-11 11:6:23.922: Algorithm - rehedge - placing an order - orderSize is 5 workingQty is -543 working order count -39</t>
  </si>
  <si>
    <t>2015-2-11 11:6:23.924: Algorithm - updatePortfolio - haveAllDetails is True</t>
  </si>
  <si>
    <t>2015-2-11 11:6:23.997: RTWSControl - nextValidId - entering nextValidId id is 9750</t>
  </si>
  <si>
    <t>2015-2-11 11:6:24.243: openOrderEx - I am here</t>
  </si>
  <si>
    <t>2015-2-11 11:6:24.257: RTWSControl - orderStatus -  entering orderStatus id is 9749 status is Submitted</t>
  </si>
  <si>
    <t>2015-2-11 11:6:24.258: OrderManager - UpdateOrderStatus - id 9749 Setting status to Submitted workingOrderCount is now -39 workingQty -543</t>
  </si>
  <si>
    <t>2015-2-11 11:6:24.263: RTWSControl - OrderStatus - Got OrderStatus Message id:9749 status: Submitted filled: 0</t>
  </si>
  <si>
    <t>2015-2-11 11:6:24.264: RTWSControl - OrderStatus - exiting orderStatus</t>
  </si>
  <si>
    <t>2015-2-11 11:6:30.792: Algorithm - FindNextStrikes - price is 1.52895 nextStrikeUp/Down 1.53/1.525</t>
  </si>
  <si>
    <t>2015-2-11 11:6:30.792: Algorithm - getPortfolioForwardDelta - required deltas is 120 currentHedgePosition is 97</t>
  </si>
  <si>
    <t>2015-2-11 11:6:30.792: Algorithm - getHedgeShortfall - required deltas is 120 price is 1.52905 currentHedgePositionDeltas is 97</t>
  </si>
  <si>
    <t>2015-2-11 11:6:30.792: Algorithm - processTransitionPoint - nextUpper/LowerStrikes are 1.53/1.525 requiredDeltas/currentPosition/currentHedgeShortfall/direction/transitionPrice are 120/97/23/1/1.52905</t>
  </si>
  <si>
    <t>2015-2-11 11:6:30.792: TransitionLogger - processTransitionpoint - checking transition - currentHedgeShortfall is 23</t>
  </si>
  <si>
    <t>2015-2-11 11:6:30.808: Algorithm - rehedge - rehedging 23 contracts</t>
  </si>
  <si>
    <t>2015-2-11 11:6:30.808: Algorithm - rehedge - Need to place order but already have a working order - workingQty is -543 working order count -39</t>
  </si>
  <si>
    <t>2015-2-11 11:6:30.808: Algorithm - updatePortfolio - haveAllDetails is True</t>
  </si>
  <si>
    <t>2015-2-11 11:6:30.839: Algorithm - FindNextStrikes - price is 1.52895 nextStrikeUp/Down 1.53/1.525</t>
  </si>
  <si>
    <t>2015-2-11 11:6:30.839: Algorithm - getPortfolioForwardDelta - required deltas is 120 currentHedgePosition is 97</t>
  </si>
  <si>
    <t>2015-2-11 11:6:30.855: Algorithm - getHedgeShortfall - required deltas is 120 price is 1.52905 currentHedgePositionDeltas is 97</t>
  </si>
  <si>
    <t>2015-2-11 11:6:30.855: Algorithm - processTransitionPoint - nextUpper/LowerStrikes are 1.53/1.525 requiredDeltas/currentPosition/currentHedgeShortfall/direction/transitionPrice are 120/97/23/1/1.52905</t>
  </si>
  <si>
    <t>2015-2-11 11:6:30.855: TransitionLogger - processTransitionpoint - checking transition - currentHedgeShortfall is 23</t>
  </si>
  <si>
    <t>2015-2-11 11:6:30.855: Algorithm - rehedge - rehedging 23 contracts</t>
  </si>
  <si>
    <t>2015-2-11 11:6:30.855: Algorithm - rehedge - Need to place order but already have a working order - workingQty is -543 working order count -39</t>
  </si>
  <si>
    <t>2015-2-11 11:6:30.855: Algorithm - updatePortfolio - haveAllDetails is True</t>
  </si>
  <si>
    <t>2015-2-11 11:6:30.902: Algorithm - FindNextStrikes - price is 1.52895 nextStrikeUp/Down 1.53/1.525</t>
  </si>
  <si>
    <t>2015-2-11 11:6:30.902: Algorithm - getPortfolioForwardDelta - required deltas is 120 currentHedgePosition is 97</t>
  </si>
  <si>
    <t>2015-2-11 11:6:30.902: Algorithm - getHedgeShortfall - required deltas is 120 price is 1.52905 currentHedgePositionDeltas is 97</t>
  </si>
  <si>
    <t>2015-2-11 11:6:30.902: Algorithm - processTransitionPoint - nextUpper/LowerStrikes are 1.53/1.525 requiredDeltas/currentPosition/currentHedgeShortfall/direction/transitionPrice are 120/97/23/1/1.52905</t>
  </si>
  <si>
    <t>2015-2-11 11:6:30.902: TransitionLogger - processTransitionpoint - checking transition - currentHedgeShortfall is 23</t>
  </si>
  <si>
    <t>2015-2-11 11:6:30.902: Algorithm - rehedge - rehedging 23 contracts</t>
  </si>
  <si>
    <t>2015-2-11 11:6:30.902: Algorithm - rehedge - Need to place order but already have a working order - workingQty is -543 working order count -39</t>
  </si>
  <si>
    <t>2015-2-11 11:6:30.917: Algorithm - updatePortfolio - haveAllDetails is True</t>
  </si>
  <si>
    <t>2015-2-11 11:6:30.964: Algorithm - FindNextStrikes - price is 1.52895 nextStrikeUp/Down 1.53/1.525</t>
  </si>
  <si>
    <t>2015-2-11 11:6:30.964: Algorithm - getPortfolioForwardDelta - required deltas is 120 currentHedgePosition is 97</t>
  </si>
  <si>
    <t>2015-2-11 11:6:30.964: Algorithm - getHedgeShortfall - required deltas is 120 price is 1.52905 currentHedgePositionDeltas is 97</t>
  </si>
  <si>
    <t>2015-2-11 11:6:30.964: Algorithm - processTransitionPoint - nextUpper/LowerStrikes are 1.53/1.525 requiredDeltas/currentPosition/currentHedgeShortfall/direction/transitionPrice are 120/97/23/1/1.52905</t>
  </si>
  <si>
    <t>2015-2-11 11:6:30.964: TransitionLogger - processTransitionpoint - checking transition - currentHedgeShortfall is 23</t>
  </si>
  <si>
    <t>2015-2-11 11:6:30.964: Algorithm - rehedge - rehedging 23 contracts</t>
  </si>
  <si>
    <t>2015-2-11 11:6:30.964: Algorithm - rehedge - Need to place order but already have a working order - workingQty is -543 working order count -39</t>
  </si>
  <si>
    <t>2015-2-11 11:6:30.980: Algorithm - updatePortfolio - haveAllDetails is True</t>
  </si>
  <si>
    <t>2015-2-11 11:6:30.995: Algorithm - FindNextStrikes - price is 1.52895 nextStrikeUp/Down 1.53/1.525</t>
  </si>
  <si>
    <t>2015-2-11 11:6:30.995: Algorithm - getPortfolioForwardDelta - required deltas is 120 currentHedgePosition is 97</t>
  </si>
  <si>
    <t>2015-2-11 11:6:30.995: Algorithm - getHedgeShortfall - required deltas is 120 price is 1.52905 currentHedgePositionDeltas is 97</t>
  </si>
  <si>
    <t>2015-2-11 11:6:30.995: Algorithm - processTransitionPoint - nextUpper/LowerStrikes are 1.53/1.525 requiredDeltas/currentPosition/currentHedgeShortfall/direction/transitionPrice are 120/97/23/1/1.52905</t>
  </si>
  <si>
    <t>2015-2-11 11:6:31.11: TransitionLogger - processTransitionpoint - checking transition - currentHedgeShortfall is 23</t>
  </si>
  <si>
    <t>2015-2-11 11:6:31.11: Algorithm - rehedge - rehedging 23 contracts</t>
  </si>
  <si>
    <t>2015-2-11 11:6:31.11: Algorithm - rehedge - Need to place order but already have a working order - workingQty is -543 working order count -39</t>
  </si>
  <si>
    <t>2015-2-11 11:6:31.11: Algorithm - updatePortfolio - haveAllDetails is True</t>
  </si>
  <si>
    <t>2015-2-11 11:6:31.42: Algorithm - FindNextStrikes - price is 1.52895 nextStrikeUp/Down 1.53/1.525</t>
  </si>
  <si>
    <t>2015-2-11 11:6:31.42: Algorithm - getPortfolioForwardDelta - required deltas is 120 currentHedgePosition is 97</t>
  </si>
  <si>
    <t>2015-2-11 11:6:31.42: Algorithm - getHedgeShortfall - required deltas is 120 price is 1.52905 currentHedgePositionDeltas is 97</t>
  </si>
  <si>
    <t>2015-2-11 11:6:31.42: Algorithm - processTransitionPoint - nextUpper/LowerStrikes are 1.53/1.525 requiredDeltas/currentPosition/currentHedgeShortfall/direction/transitionPrice are 120/97/23/1/1.52905</t>
  </si>
  <si>
    <t>2015-2-11 11:6:31.42: TransitionLogger - processTransitionpoint - checking transition - currentHedgeShortfall is 23</t>
  </si>
  <si>
    <t>2015-2-11 11:6:31.42: Algorithm - rehedge - rehedging 23 contracts</t>
  </si>
  <si>
    <t>2015-2-11 11:6:31.42: Algorithm - rehedge - Need to place order but already have a working order - workingQty is -543 working order count -39</t>
  </si>
  <si>
    <t>2015-2-11 11:6:31.58: Algorithm - updatePortfolio - haveAllDetails is True</t>
  </si>
  <si>
    <t>2015-2-11 11:6:31.73: Algorithm - FindNextStrikes - price is 1.52895 nextStrikeUp/Down 1.53/1.525</t>
  </si>
  <si>
    <t>2015-2-11 11:6:31.73: Algorithm - getPortfolioForwardDelta - required deltas is 120 currentHedgePosition is 97</t>
  </si>
  <si>
    <t>2015-2-11 11:6:31.73: Algorithm - getHedgeShortfall - required deltas is 120 price is 1.52905 currentHedgePositionDeltas is 97</t>
  </si>
  <si>
    <t>2015-2-11 11:6:31.89: Algorithm - processTransitionPoint - nextUpper/LowerStrikes are 1.53/1.525 requiredDeltas/currentPosition/currentHedgeShortfall/direction/transitionPrice are 120/97/23/1/1.52905</t>
  </si>
  <si>
    <t>2015-2-11 11:6:31.89: TransitionLogger - processTransitionpoint - checking transition - currentHedgeShortfall is 23</t>
  </si>
  <si>
    <t>2015-2-11 11:6:31.89: Algorithm - rehedge - rehedging 23 contracts</t>
  </si>
  <si>
    <t>2015-2-11 11:6:31.89: Algorithm - rehedge - Need to place order but already have a working order - workingQty is -543 working order count -39</t>
  </si>
  <si>
    <t>2015-2-11 11:6:31.89: Algorithm - updatePortfolio - haveAllDetails is True</t>
  </si>
  <si>
    <t>2015-2-11 11:6:31.120: Algorithm - FindNextStrikes - price is 1.52895 nextStrikeUp/Down 1.53/1.525</t>
  </si>
  <si>
    <t>2015-2-11 11:6:31.120: Algorithm - getPortfolioForwardDelta - required deltas is 120 currentHedgePosition is 97</t>
  </si>
  <si>
    <t>2015-2-11 11:6:31.120: Algorithm - getHedgeShortfall - required deltas is 120 price is 1.52905 currentHedgePositionDeltas is 97</t>
  </si>
  <si>
    <t>2015-2-11 11:6:31.120: Algorithm - processTransitionPoint - nextUpper/LowerStrikes are 1.53/1.525 requiredDeltas/currentPosition/currentHedgeShortfall/direction/transitionPrice are 120/97/23/1/1.52905</t>
  </si>
  <si>
    <t>2015-2-11 11:6:31.120: TransitionLogger - processTransitionpoint - checking transition - currentHedgeShortfall is 23</t>
  </si>
  <si>
    <t>2015-2-11 11:6:31.120: Algorithm - rehedge - rehedging 23 contracts</t>
  </si>
  <si>
    <t>2015-2-11 11:6:31.136: Algorithm - rehedge - Need to place order but already have a working order - workingQty is -543 working order count -39</t>
  </si>
  <si>
    <t>2015-2-11 11:6:31.136: Algorithm - updatePortfolio - haveAllDetails is True</t>
  </si>
  <si>
    <t>2015-2-11 11:6:31.167: Algorithm - FindNextStrikes - price is 1.52895 nextStrikeUp/Down 1.53/1.525</t>
  </si>
  <si>
    <t>2015-2-11 11:6:31.167: Algorithm - getPortfolioForwardDelta - required deltas is 120 currentHedgePosition is 97</t>
  </si>
  <si>
    <t>2015-2-11 11:6:31.167: Algorithm - getHedgeShortfall - required deltas is 120 price is 1.52905 currentHedgePositionDeltas is 97</t>
  </si>
  <si>
    <t>2015-2-11 11:6:31.167: Algorithm - processTransitionPoint - nextUpper/LowerStrikes are 1.53/1.525 requiredDeltas/currentPosition/currentHedgeShortfall/direction/transitionPrice are 120/97/23/1/1.52905</t>
  </si>
  <si>
    <t>2015-2-11 11:6:31.167: TransitionLogger - processTransitionpoint - checking transition - currentHedgeShortfall is 23</t>
  </si>
  <si>
    <t>2015-2-11 11:6:31.167: Algorithm - rehedge - rehedging 23 contracts</t>
  </si>
  <si>
    <t>2015-2-11 11:6:31.167: Algorithm - rehedge - Need to place order but already have a working order - workingQty is -543 working order count -39</t>
  </si>
  <si>
    <t>2015-2-11 11:6:31.182: Algorithm - updatePortfolio - haveAllDetails is True</t>
  </si>
  <si>
    <t>2015-2-11 11:6:47.321: Algorithm - rehedge - rehedging 23 contracts</t>
  </si>
  <si>
    <t>2015-2-11 11:6:47.321: Algorithm - rehedge - Need to place order but already have a working order - workingQty is -543 working order count -39</t>
  </si>
  <si>
    <t>2015-2-11 11:6:47.321: OrderManager - PlaceOrder - id 9750 workingQty -568</t>
  </si>
  <si>
    <t>2015-2-11 11:6:47.321: OrderManager - sendOrder - exiting place order id 9750 SELL 25 1.5273  - workingQty -568 currentPosition is 97 workingOrderCount is -38</t>
  </si>
  <si>
    <t>2015-2-11 11:6:47.352: OrderManager - cancelOrder - cancelling order id 9749</t>
  </si>
  <si>
    <t>2015-2-11 11:6:47.352: Algorithm - checkWorkingOrders - cancelling BUY - orderPrice 1.5289 too far from marketPrice 1.52905</t>
  </si>
  <si>
    <t>2015-2-11 11:6:47.352: Algorithm - rehedge - rehedging 23 contracts</t>
  </si>
  <si>
    <t>2015-2-11 11:6:47.352: Algorithm - rehedge - Need to place order but already have a working order - workingQty is -568 working order count -38</t>
  </si>
  <si>
    <t>2015-2-11 11:6:47.711: RTWSControl - nextValidId - entering nextValidId id is 9751</t>
  </si>
  <si>
    <t>2015-2-11 11:6:47.727: openOrderEx - I am here</t>
  </si>
  <si>
    <t>2015-2-11 11:6:47.742: RTWSControl - orderStatus -  entering orderStatus id is 9750 status is PreSubmitted</t>
  </si>
  <si>
    <t>2015-2-11 11:6:47.742: OrderManager - UpdateOrderStatus - id 9750 Setting status to PreSubmitted workingOrderCount is now -38 workingQty -568</t>
  </si>
  <si>
    <t>2015-2-11 11:6:47.742: RTWSControl - OrderStatus - Got OrderStatus Message id:9750 status: PreSubmitted filled: 0</t>
  </si>
  <si>
    <t>2015-2-11 11:6:47.742: RTWSControl - OrderStatus - exiting orderStatus</t>
  </si>
  <si>
    <t>2015-2-11 11:6:47.742: RTWSControl - orderStatus -  entering orderStatus id is 9749 status is Cancelled</t>
  </si>
  <si>
    <t>2015-2-11 11:6:47.758: OrderManager - UpdateOrderStatus - id 9749 Setting status to Cancelled workingOrderCount is now -38 workingQty -568</t>
  </si>
  <si>
    <t>2015-2-11 11:6:47.759: RTWSControl - OrderStatus - Got OrderStatus Message id:9749 status: Cancelled filled: 0</t>
  </si>
  <si>
    <t>2015-2-11 11:6:47.759: RTWSControl - OrderStatus - exiting orderStatus</t>
  </si>
  <si>
    <t>2015-2-11 11:6:47.759: RTWSControl - errMsg - got error message 202:Order Canceled - reason:with id 9749</t>
  </si>
  <si>
    <t>2015-2-11 11:6:47.759: OrderManager - canceledOrder - cleaning up after canceled order 9749BEWARE UNACCOUNTED FOR EXECUTIONS!!!</t>
  </si>
  <si>
    <t>2015-2-11 11:6:47.759: OrderManager - terminateOrder - cleaning up after Canceled 9749  order was supposed to BUY 5 1.5289 LMT workingQty/OrderCount now -573/-39</t>
  </si>
  <si>
    <t>2015-2-11 11:6:48.383: Algorithm - rehedge - rehedging 23 contracts</t>
  </si>
  <si>
    <t>2015-2-11 11:6:48.383: Algortihm - rehedge - inside the loop</t>
  </si>
  <si>
    <t>2015-2-11 11:6:48.398: OrderManager - PlaceOrder - id 9751 workingQty -568</t>
  </si>
  <si>
    <t>2015-2-11 11:6:48.398: OrderManager - sendOrder - exiting place order id 9751 BUY 5 1.529  - workingQty -568 currentPosition is 97 workingOrderCount is -38</t>
  </si>
  <si>
    <t>2015-2-11 11:6:48.414: Algorithm - rehedge - placing an order - orderSize is 5 workingQty is -568 working order count -38</t>
  </si>
  <si>
    <t>2015-2-11 11:6:48.538: RTWSControl - nextValidId - entering nextValidId id is 9752</t>
  </si>
  <si>
    <t>2015-2-11 11:6:48.663: Algorithm - rehedge - rehedging 23 contracts</t>
  </si>
  <si>
    <t>2015-2-11 11:6:48.663: Algorithm - rehedge - Need to place order but already have a working order - workingQty is -568 working order count -38</t>
  </si>
  <si>
    <t>2015-2-11 11:6:48.819: openOrderEx - I am here</t>
  </si>
  <si>
    <t>2015-2-11 11:6:48.819: RTWSControl - orderStatus -  entering orderStatus id is 9751 status is Submitted</t>
  </si>
  <si>
    <t>2015-2-11 11:6:48.835: OrderManager - UpdateOrderStatus - id 9751 Setting status to Submitted workingOrderCount is now -38 workingQty -568</t>
  </si>
  <si>
    <t>2015-2-11 11:6:48.835: RTWSControl - OrderStatus - Got OrderStatus Message id:9751 status: Submitted filled: 0</t>
  </si>
  <si>
    <t>2015-2-11 11:6:48.835: RTWSControl - OrderStatus - exiting orderStatus</t>
  </si>
  <si>
    <t>2015-2-11 11:6:50.526: Algorithm - rehedge - rehedging 23 contracts</t>
  </si>
  <si>
    <t>2015-2-11 11:6:50.542: Algorithm - rehedge - Need to place order but already have a working order - workingQty is -568 working order count -38</t>
  </si>
  <si>
    <t>2015-2-11 11:6:50.667: RTWSControl - execDetails -  entering execDetailsEx execution id is 0001f4e5.54da9c1a.01.01 shares/cumQty is 5/5</t>
  </si>
  <si>
    <t>2015-2-11 11:6:50.667: Algorithm - FindNextStrikes - price is 1.529 nextStrikeUp/Down 1.53/1.525</t>
  </si>
  <si>
    <t>2015-2-11 11:6:50.667: Algorithm - getPortfolioForwardDelta - required deltas is 120 currentHedgePosition is 102</t>
  </si>
  <si>
    <t>2015-2-11 11:6:50.682: Algorithm - getHedgeShortfall - required deltas is 120 price is 1.5291 currentHedgePositionDeltas is 102</t>
  </si>
  <si>
    <t>2015-2-11 11:6:50.682: Algorithm - processTransitionPoint - nextUpper/LowerStrikes are 1.53/1.525 requiredDeltas/currentPosition/currentHedgeShortfall/direction/transitionPrice are 120/102/18/1/1.5291</t>
  </si>
  <si>
    <t>2015-2-11 11:6:50.682: TransitionLogger - processTransitionpoint - checking transition - currentHedgeShortfall is 18</t>
  </si>
  <si>
    <t>2015-2-11 11:6:50.682: OrderManager - updateExecution - got a fill for id 9751 qty 5 side BOT price 1.529 - new working order size is -573 new instrument.qty is 102</t>
  </si>
  <si>
    <t>0001f4e5.54da9c1a.01.01</t>
  </si>
  <si>
    <t>20150211  11:06:51</t>
  </si>
  <si>
    <t>2015-2-11 11:6:50.682: OrderManagerView - UpdateExecutionView - entering updateExecutionView  executionId is 0001f4e5.54da9c1a.01.01</t>
  </si>
  <si>
    <t>2015-2-11 11:6:50.682: OrderManagerView - updateExecutionView -  exiting UpdateExecutionView</t>
  </si>
  <si>
    <t>2015-2-11 11:6:50.682: RTWSControl - execDetails -  exiting execDetailsEx</t>
  </si>
  <si>
    <t>2015-2-11 11:6:50.682: RTWSControl - execDetails - Got execution Message id:-1</t>
  </si>
  <si>
    <t>2015-2-11 11:6:50.698: openOrderEx - I am here</t>
  </si>
  <si>
    <t>2015-2-11 11:6:50.729: RTWSControl - orderStatus -  entering orderStatus id is 9751 status is Filled</t>
  </si>
  <si>
    <t>2015-2-11 11:6:50.729: OrderManager - UpdateOrderStatus - id 9751 Setting status to Filled workingOrderCount is now -39 workingQty -573</t>
  </si>
  <si>
    <t>2015-2-11 11:6:50.729: OrderManager - terminateOrder - cleaning up after Filled 9751  order was supposed to BUY 5 1.529 LMT workingQty/OrderCount now -573/-40</t>
  </si>
  <si>
    <t>2015-2-11 11:6:50.745: RTWSControl - OrderStatus - Got OrderStatus Message id:9751 status: Filled filled: 5</t>
  </si>
  <si>
    <t>2015-2-11 11:6:50.745: RTWSControl - OrderStatus - exiting orderStatus</t>
  </si>
  <si>
    <t>2015-2-11 11:6:50.823: Algorithm - rehedge - rehedging 18 contracts</t>
  </si>
  <si>
    <t>2015-2-11 11:6:50.823: Algortihm - rehedge - inside the loop</t>
  </si>
  <si>
    <t>2015-2-11 11:6:50.823: OrderManager - PlaceOrder - id 9752 workingQty -568</t>
  </si>
  <si>
    <t>2015-2-11 11:6:50.823: OrderManager - sendOrder - exiting place order id 9752 BUY 5 1.529  - workingQty -568 currentPosition is 102 workingOrderCount is -39</t>
  </si>
  <si>
    <t>2015-2-11 11:6:50.838: Algorithm - rehedge - placing an order - orderSize is 5 workingQty is -568 working order count -39</t>
  </si>
  <si>
    <t>2015-2-11 11:6:50.885: Algorithm - rehedge - rehedging 18 contracts</t>
  </si>
  <si>
    <t>2015-2-11 11:6:50.885: Algorithm - rehedge - Need to place order but already have a working order - workingQty is -568 working order count -39</t>
  </si>
  <si>
    <t>2015-2-11 11:6:51.322: openOrderEx - I am here</t>
  </si>
  <si>
    <t>2015-2-11 11:6:51.338: RTWSControl - orderStatus -  entering orderStatus id is 9751 status is Filled</t>
  </si>
  <si>
    <t>2015-2-11 11:6:51.338: OrderManager - UpdateOrderStatus - id 9751 Setting status to Filled workingOrderCount is now -39 workingQty -568</t>
  </si>
  <si>
    <t>2015-2-11 11:6:51.338: OrderManager - terminateOrder - cleaning up after Filled 9751  order was supposed to BUY 5 1.529 LMT workingQty/OrderCount now -568/-40</t>
  </si>
  <si>
    <t>2015-2-11 11:6:51.338: RTWSControl - OrderStatus - Got OrderStatus Message id:9751 status: Filled filled: 5</t>
  </si>
  <si>
    <t>2015-2-11 11:6:51.338: RTWSControl - OrderStatus - exiting orderStatus</t>
  </si>
  <si>
    <t>2015-2-11 11:6:51.369: Algorithm - rehedge - rehedging 18 contracts</t>
  </si>
  <si>
    <t>2015-2-11 11:6:51.369: Algorithm - rehedge - Need to place order but already have a working order - workingQty is -568 working order count -40</t>
  </si>
  <si>
    <t>2015-2-11 11:6:51.509: RTWSControl - nextValidId - entering nextValidId id is 9753</t>
  </si>
  <si>
    <t>2015-2-11 11:6:51.525: Algorithm - rehedge - rehedging 18 contracts</t>
  </si>
  <si>
    <t>2015-2-11 11:6:51.525: Algorithm - rehedge - Need to place order but already have a working order - workingQty is -568 working order count -40</t>
  </si>
  <si>
    <t>2015-2-11 11:6:51.603: RTWSControl - execDetails -  entering execDetailsEx execution id is 0001f4e5.54da9c1b.01.01 shares/cumQty is 2/2</t>
  </si>
  <si>
    <t>2015-2-11 11:6:51.603: Algorithm - FindNextStrikes - price is 1.52895 nextStrikeUp/Down 1.53/1.525</t>
  </si>
  <si>
    <t>2015-2-11 11:6:51.603: Algorithm - getPortfolioForwardDelta - required deltas is 120 currentHedgePosition is 104</t>
  </si>
  <si>
    <t>2015-2-11 11:6:51.603: Algorithm - getHedgeShortfall - required deltas is 120 price is 1.52885 currentHedgePositionDeltas is 104</t>
  </si>
  <si>
    <t>2015-2-11 11:6:51.603: Algorithm - processTransitionPoint - nextUpper/LowerStrikes are 1.53/1.525 requiredDeltas/currentPosition/currentHedgeShortfall/direction/transitionPrice are 120/104/16/-1/1.52885</t>
  </si>
  <si>
    <t>2015-2-11 11:6:51.603: TransitionLogger - processTransitionpoint - checking transition - currentHedgeShortfall is 16</t>
  </si>
  <si>
    <t>2015-2-11 11:6:51.603: OrderManager - updateExecution - got a fill for id 9752 qty 2 side BOT price 1.5289 - new working order size is -570 new instrument.qty is 104</t>
  </si>
  <si>
    <t>0001f4e5.54da9c1b.01.01</t>
  </si>
  <si>
    <t>20150211  11:06:52</t>
  </si>
  <si>
    <t>2015-2-11 11:6:51.618: OrderManagerView - UpdateExecutionView - entering updateExecutionView  executionId is 0001f4e5.54da9c1b.01.01</t>
  </si>
  <si>
    <t>2015-2-11 11:6:51.618: OrderManagerView - updateExecutionView -  exiting UpdateExecutionView</t>
  </si>
  <si>
    <t>2015-2-11 11:6:51.618: RTWSControl - execDetails -  exiting execDetailsEx</t>
  </si>
  <si>
    <t>2015-2-11 11:6:51.618: RTWSControl - execDetails - Got execution Message id:-1</t>
  </si>
  <si>
    <t>2015-2-11 11:6:51.634: openOrderEx - I am here</t>
  </si>
  <si>
    <t>2015-2-11 11:6:51.634: RTWSControl - orderStatus -  entering orderStatus id is 9752 status is PendingSubmit</t>
  </si>
  <si>
    <t>2015-2-11 11:6:51.650: OrderManager - UpdateOrderStatus - id 9752 Setting status to PendingSubmit workingOrderCount is now -40 workingQty -570</t>
  </si>
  <si>
    <t>2015-2-11 11:6:51.650: RTWSControl - OrderStatus - Got OrderStatus Message id:9752 status: PendingSubmit filled: 2</t>
  </si>
  <si>
    <t>2015-2-11 11:6:51.650: RTWSControl - OrderStatus - exiting orderStatus</t>
  </si>
  <si>
    <t>2015-2-11 11:6:51.665: Algorithm - rehedge - rehedging 16 contracts</t>
  </si>
  <si>
    <t>2015-2-11 11:6:51.665: Algorithm - rehedge - Need to place order but already have a working order - workingQty is -570 working order count -40</t>
  </si>
  <si>
    <t>2015-2-11 11:6:51.790: openOrderEx - I am here</t>
  </si>
  <si>
    <t>2015-2-11 11:6:51.821: RTWSControl - orderStatus -  entering orderStatus id is 9752 status is Submitted</t>
  </si>
  <si>
    <t>2015-2-11 11:6:51.821: OrderManager - UpdateOrderStatus - id 9752 Setting status to Submitted workingOrderCount is now -40 workingQty -570</t>
  </si>
  <si>
    <t>2015-2-11 11:6:51.821: RTWSControl - OrderStatus - Got OrderStatus Message id:9752 status: Submitted filled: 2</t>
  </si>
  <si>
    <t>2015-2-11 11:6:51.821: RTWSControl - OrderStatus - exiting orderStatus</t>
  </si>
  <si>
    <t>2015-2-11 11:6:51.852: openOrderEx - I am here</t>
  </si>
  <si>
    <t>2015-2-11 11:6:51.868: RTWSControl - orderStatus -  entering orderStatus id is 9752 status is Submitted</t>
  </si>
  <si>
    <t>2015-2-11 11:6:51.868: OrderManager - UpdateOrderStatus - id 9752 Setting status to Submitted workingOrderCount is now -40 workingQty -570</t>
  </si>
  <si>
    <t>2015-2-11 11:6:51.884: RTWSControl - OrderStatus - Got OrderStatus Message id:9752 status: Submitted filled: 2</t>
  </si>
  <si>
    <t>2015-2-11 11:6:51.884: RTWSControl - OrderStatus - exiting orderStatus</t>
  </si>
  <si>
    <t>2015-2-11 11:6:52.87: RTWSControl - execDetails -  entering execDetailsEx execution id is 0001f4e5.54da9c1d.01.01 shares/cumQty is 3/5</t>
  </si>
  <si>
    <t>2015-2-11 11:6:52.89: Algorithm - FindNextStrikes - price is 1.52885 nextStrikeUp/Down 1.53/1.525</t>
  </si>
  <si>
    <t>2015-2-11 11:6:52.90: Algorithm - getPortfolioForwardDelta - required deltas is 120 currentHedgePosition is 107</t>
  </si>
  <si>
    <t>2015-2-11 11:6:52.90: Algorithm - getHedgeShortfall - required deltas is 120 price is 1.52875 currentHedgePositionDeltas is 107</t>
  </si>
  <si>
    <t>2015-2-11 11:6:52.92: Algorithm - processTransitionPoint - nextUpper/LowerStrikes are 1.53/1.525 requiredDeltas/currentPosition/currentHedgeShortfall/direction/transitionPrice are 120/107/13/-1/1.52875</t>
  </si>
  <si>
    <t>2015-2-11 11:6:52.94: TransitionLogger - processTransitionpoint - checking transition - currentHedgeShortfall is 13</t>
  </si>
  <si>
    <t>2015-2-11 11:6:52.94: OrderManager - updateExecution - got a fill for id 9752 qty 3 side BOT price 1.529 - new working order size is -573 new instrument.qty is 107</t>
  </si>
  <si>
    <t>0001f4e5.54da9c1d.01.01</t>
  </si>
  <si>
    <t>2015-2-11 11:6:52.99: OrderManagerView - UpdateExecutionView - entering updateExecutionView  executionId is 0001f4e5.54da9c1d.01.01</t>
  </si>
  <si>
    <t>2015-2-11 11:6:52.101: OrderManagerView - updateExecutionView -  exiting UpdateExecutionView</t>
  </si>
  <si>
    <t>2015-2-11 11:6:52.102: RTWSControl - execDetails -  exiting execDetailsEx</t>
  </si>
  <si>
    <t>2015-2-11 11:6:52.103: RTWSControl - execDetails - Got execution Message id:-1</t>
  </si>
  <si>
    <t>2015-2-11 11:6:52.114: openOrderEx - I am here</t>
  </si>
  <si>
    <t>2015-2-11 11:6:52.125: RTWSControl - orderStatus -  entering orderStatus id is 9752 status is Filled</t>
  </si>
  <si>
    <t>2015-2-11 11:6:52.126: OrderManager - UpdateOrderStatus - id 9752 Setting status to Filled workingOrderCount is now -41 workingQty -573</t>
  </si>
  <si>
    <t>2015-2-11 11:6:52.128: OrderManager - terminateOrder - cleaning up after Filled 9752  order was supposed to BUY 5 1.529 LMT workingQty/OrderCount now -573/-42</t>
  </si>
  <si>
    <t>2015-2-11 11:6:52.131: RTWSControl - OrderStatus - Got OrderStatus Message id:9752 status: Filled filled: 5</t>
  </si>
  <si>
    <t>2015-2-11 11:6:52.131: RTWSControl - OrderStatus - exiting orderStatus</t>
  </si>
  <si>
    <t>2015-2-11 11:6:52.169: openOrderEx - I am here</t>
  </si>
  <si>
    <t>2015-2-11 11:6:52.177: RTWSControl - orderStatus -  entering orderStatus id is 9752 status is Filled</t>
  </si>
  <si>
    <t>2015-2-11 11:6:52.177: OrderManager - UpdateOrderStatus - id 9752 Setting status to Filled workingOrderCount is now -42 workingQty -573</t>
  </si>
  <si>
    <t>2015-2-11 11:6:52.179: OrderManager - terminateOrder - cleaning up after Filled 9752  order was supposed to BUY 5 1.529 LMT workingQty/OrderCount now -573/-43</t>
  </si>
  <si>
    <t>2015-2-11 11:6:52.182: RTWSControl - OrderStatus - Got OrderStatus Message id:9752 status: Filled filled: 5</t>
  </si>
  <si>
    <t>2015-2-11 11:6:52.184: RTWSControl - OrderStatus - exiting orderStatus</t>
  </si>
  <si>
    <t>2015-2-11 11:6:53.167: Algorithm - FindNextStrikes - price is 1.52885 nextStrikeUp/Down 1.53/1.525</t>
  </si>
  <si>
    <t>2015-2-11 11:6:53.168: Algorithm - getPortfolioForwardDelta - required deltas is 120 currentHedgePosition is 107</t>
  </si>
  <si>
    <t>2015-2-11 11:6:53.168: Algorithm - getHedgeShortfall - required deltas is 120 price is 1.52875 currentHedgePositionDeltas is 107</t>
  </si>
  <si>
    <t>2015-2-11 11:6:53.170: Algorithm - processTransitionPoint - nextUpper/LowerStrikes are 1.53/1.525 requiredDeltas/currentPosition/currentHedgeShortfall/direction/transitionPrice are 120/107/13/-1/1.52875</t>
  </si>
  <si>
    <t>2015-2-11 11:6:53.172: TransitionLogger - processTransitionpoint - checking transition - currentHedgeShortfall is 13</t>
  </si>
  <si>
    <t>2015-2-11 11:6:53.173: Algorithm - rehedge - rehedging 13 contracts</t>
  </si>
  <si>
    <t>2015-2-11 11:6:53.173: Algortihm - rehedge - inside the loop</t>
  </si>
  <si>
    <t>2015-2-11 11:6:53.174: Algorithm - rehedge - trying to trade BUT contracts is 13 and direction indicator is -1</t>
  </si>
  <si>
    <t>2015-2-11 11:6:53.176: Algorithm - updatePortfolio - haveAllDetails is True</t>
  </si>
  <si>
    <t>2015-2-11 11:6:53.207: Algorithm - FindNextStrikes - price is 1.52885 nextStrikeUp/Down 1.53/1.525</t>
  </si>
  <si>
    <t>2015-2-11 11:6:53.208: Algorithm - getPortfolioForwardDelta - required deltas is 120 currentHedgePosition is 107</t>
  </si>
  <si>
    <t>2015-2-11 11:6:53.209: Algorithm - getHedgeShortfall - required deltas is 120 price is 1.52875 currentHedgePositionDeltas is 107</t>
  </si>
  <si>
    <t>2015-2-11 11:6:53.210: Algorithm - processTransitionPoint - nextUpper/LowerStrikes are 1.53/1.525 requiredDeltas/currentPosition/currentHedgeShortfall/direction/transitionPrice are 120/107/13/-1/1.52875</t>
  </si>
  <si>
    <t>2015-2-11 11:6:53.212: TransitionLogger - processTransitionpoint - checking transition - currentHedgeShortfall is 13</t>
  </si>
  <si>
    <t>2015-2-11 11:6:53.213: Algorithm - rehedge - rehedging 13 contracts</t>
  </si>
  <si>
    <t>2015-2-11 11:6:53.213: Algortihm - rehedge - inside the loop</t>
  </si>
  <si>
    <t>2015-2-11 11:6:53.214: Algorithm - rehedge - trying to trade BUT contracts is 13 and direction indicator is -1</t>
  </si>
  <si>
    <t>2015-2-11 11:6:53.215: Algorithm - updatePortfolio - haveAllDetails is True</t>
  </si>
  <si>
    <t>2015-2-11 11:6:53.252: Algorithm - FindNextStrikes - price is 1.52885 nextStrikeUp/Down 1.53/1.525</t>
  </si>
  <si>
    <t>2015-2-11 11:6:53.253: Algorithm - getPortfolioForwardDelta - required deltas is 120 currentHedgePosition is 107</t>
  </si>
  <si>
    <t>2015-2-11 11:6:53.253: Algorithm - getHedgeShortfall - required deltas is 120 price is 1.52875 currentHedgePositionDeltas is 107</t>
  </si>
  <si>
    <t>2015-2-11 11:6:53.255: Algorithm - processTransitionPoint - nextUpper/LowerStrikes are 1.53/1.525 requiredDeltas/currentPosition/currentHedgeShortfall/direction/transitionPrice are 120/107/13/-1/1.52875</t>
  </si>
  <si>
    <t>2015-2-11 11:6:53.257: TransitionLogger - processTransitionpoint - checking transition - currentHedgeShortfall is 13</t>
  </si>
  <si>
    <t>2015-2-11 11:6:53.257: Algorithm - rehedge - rehedging 13 contracts</t>
  </si>
  <si>
    <t>2015-2-11 11:6:53.258: Algortihm - rehedge - inside the loop</t>
  </si>
  <si>
    <t>2015-2-11 11:6:53.259: Algorithm - rehedge - trying to trade BUT contracts is 13 and direction indicator is -1</t>
  </si>
  <si>
    <t>2015-2-11 11:6:53.260: Algorithm - updatePortfolio - haveAllDetails is True</t>
  </si>
  <si>
    <t>2015-2-11 11:6:53.289: Algorithm - FindNextStrikes - price is 1.52885 nextStrikeUp/Down 1.53/1.525</t>
  </si>
  <si>
    <t>2015-2-11 11:6:53.290: Algorithm - getPortfolioForwardDelta - required deltas is 120 currentHedgePosition is 107</t>
  </si>
  <si>
    <t>2015-2-11 11:6:53.291: Algorithm - getHedgeShortfall - required deltas is 120 price is 1.52875 currentHedgePositionDeltas is 107</t>
  </si>
  <si>
    <t>2015-2-11 11:6:53.293: Algorithm - processTransitionPoint - nextUpper/LowerStrikes are 1.53/1.525 requiredDeltas/currentPosition/currentHedgeShortfall/direction/transitionPrice are 120/107/13/-1/1.52875</t>
  </si>
  <si>
    <t>2015-2-11 11:6:53.294: TransitionLogger - processTransitionpoint - checking transition - currentHedgeShortfall is 13</t>
  </si>
  <si>
    <t>2015-2-11 11:6:53.295: Algorithm - rehedge - rehedging 13 contracts</t>
  </si>
  <si>
    <t>2015-2-11 11:6:53.295: Algortihm - rehedge - inside the loop</t>
  </si>
  <si>
    <t>2015-2-11 11:6:53.296: Algorithm - rehedge - trying to trade BUT contracts is 13 and direction indicator is -1</t>
  </si>
  <si>
    <t>2015-2-11 11:6:53.297: Algorithm - updatePortfolio - haveAllDetails is True</t>
  </si>
  <si>
    <t>2015-2-11 11:6:54.649: Algorithm - rehedge - rehedging 13 contracts</t>
  </si>
  <si>
    <t>2015-2-11 11:6:54.652: Algortihm - rehedge - inside the loop</t>
  </si>
  <si>
    <t>2015-2-11 11:6:54.654: Algorithm - rehedge - trying to trade BUT contracts is 13 and direction indicator is -1</t>
  </si>
  <si>
    <t>2015-2-11 11:6:54.663: OrderManager - cancelOrder - cancelling order id 9748</t>
  </si>
  <si>
    <t>2015-2-11 11:6:54.665: OrderManager - PlaceOrder - id 9753 workingQty -537</t>
  </si>
  <si>
    <t>2015-2-11 11:6:54.670: OrderManager - sendOrder - exiting place order id 9753 BUY 36 1.5398  - workingQty -537 currentPosition is 107 workingOrderCount is -42</t>
  </si>
  <si>
    <t>2015-2-11 11:6:54.676: OrderManager - cancelOrder - cancelling order id 9750</t>
  </si>
  <si>
    <t>2015-2-11 11:6:54.678: OrderManager - createOrder - exiting without creating order - did not have validID</t>
  </si>
  <si>
    <t>2015-2-11 11:6:55.468: RTWSControl - nextValidId - entering nextValidId id is 9754</t>
  </si>
  <si>
    <t>2015-2-11 11:6:55.499: RTWSControl - orderStatus -  entering orderStatus id is 9748 status is Cancelled</t>
  </si>
  <si>
    <t>2015-2-11 11:6:55.499: OrderManager - UpdateOrderStatus - id 9748 Setting status to Cancelled workingOrderCount is now -42 workingQty -537</t>
  </si>
  <si>
    <t>2015-2-11 11:6:55.499: RTWSControl - OrderStatus - Got OrderStatus Message id:9748 status: Cancelled filled: 0</t>
  </si>
  <si>
    <t>2015-2-11 11:6:55.499: RTWSControl - OrderStatus - exiting orderStatus</t>
  </si>
  <si>
    <t>2015-2-11 11:6:55.514: RTWSControl - errMsg - got error message 202:Order Canceled - reason:with id 9748</t>
  </si>
  <si>
    <t>2015-2-11 11:6:55.514: OrderManager - canceledOrder - cleaning up after canceled order 9748BEWARE UNACCOUNTED FOR EXECUTIONS!!!</t>
  </si>
  <si>
    <t>2015-2-11 11:6:55.531: OrderManager - terminateOrder - cleaning up after Canceled 9748  order was supposed to BUY 24 1.5362 STP LMT workingQty/OrderCount now -561/-43</t>
  </si>
  <si>
    <t>2015-2-11 11:6:55.549: Algorithm - rehedge - rehedging 13 contracts</t>
  </si>
  <si>
    <t>2015-2-11 11:6:55.549: Algortihm - rehedge - inside the loop</t>
  </si>
  <si>
    <t>2015-2-11 11:6:55.549: Algorithm - rehedge - trying to trade BUT contracts is 13 and direction indicator is -1</t>
  </si>
  <si>
    <t>2015-2-11 11:6:55.549: OrderManager - PlaceOrder - id 9754 workingQty -595</t>
  </si>
  <si>
    <t>2015-2-11 11:6:55.549: OrderManager - sendOrder - exiting place order id 9754 SELL 34 1.5273  - workingQty -595 currentPosition is 107 workingOrderCount is -42</t>
  </si>
  <si>
    <t>2015-2-11 11:6:55.611: RTWSControl - orderStatus -  entering orderStatus id is 9750 status is Cancelled</t>
  </si>
  <si>
    <t>2015-2-11 11:6:55.611: OrderManager - UpdateOrderStatus - id 9750 Setting status to Cancelled workingOrderCount is now -42 workingQty -595</t>
  </si>
  <si>
    <t>2015-2-11 11:6:55.611: RTWSControl - OrderStatus - Got OrderStatus Message id:9750 status: Cancelled filled: 0</t>
  </si>
  <si>
    <t>2015-2-11 11:6:55.611: RTWSControl - OrderStatus - exiting orderStatus</t>
  </si>
  <si>
    <t>2015-2-11 11:6:55.627: RTWSControl - errMsg - got error message 202:Order Canceled - reason:with id 9750</t>
  </si>
  <si>
    <t>2015-2-11 11:6:55.627: OrderManager - canceledOrder - cleaning up after canceled order 9750BEWARE UNACCOUNTED FOR EXECUTIONS!!!</t>
  </si>
  <si>
    <t>2015-2-11 11:6:55.627: OrderManager - terminateOrder - cleaning up after Canceled 9750  order was supposed to SELL 25 1.5273 STP LMT workingQty/OrderCount now -620/-43</t>
  </si>
  <si>
    <t>2015-2-11 11:6:55.642: openOrderEx - I am here</t>
  </si>
  <si>
    <t>2015-2-11 11:6:55.658: RTWSControl - orderStatus -  entering orderStatus id is 9753 status is PreSubmitted</t>
  </si>
  <si>
    <t>2015-2-11 11:6:55.658: OrderManager - UpdateOrderStatus - id 9753 Setting status to PreSubmitted workingOrderCount is now -43 workingQty -620</t>
  </si>
  <si>
    <t>2015-2-11 11:6:55.673: RTWSControl - OrderStatus - Got OrderStatus Message id:9753 status: PreSubmitted filled: 0</t>
  </si>
  <si>
    <t>2015-2-11 11:6:55.673: RTWSControl - OrderStatus - exiting orderStatus</t>
  </si>
  <si>
    <t>2015-2-11 11:6:55.673: Algorithm - rehedge - rehedging 13 contracts</t>
  </si>
  <si>
    <t>2015-2-11 11:6:55.673: Algortihm - rehedge - inside the loop</t>
  </si>
  <si>
    <t>2015-2-11 11:6:55.673: Algorithm - rehedge - trying to trade BUT contracts is 13 and direction indicator is -1</t>
  </si>
  <si>
    <t>2015-2-11 11:6:55.814: RTWSControl - nextValidId - entering nextValidId id is 9755</t>
  </si>
  <si>
    <t>2015-2-11 11:6:55.985: openOrderEx - I am here</t>
  </si>
  <si>
    <t>2015-2-11 11:6:56.32: RTWSControl - orderStatus -  entering orderStatus id is 9754 status is PreSubmitted</t>
  </si>
  <si>
    <t>2015-2-11 11:6:56.32: OrderManager - UpdateOrderStatus - id 9754 Setting status to PreSubmitted workingOrderCount is now -43 workingQty -620</t>
  </si>
  <si>
    <t>2015-2-11 11:6:56.48: RTWSControl - OrderStatus - Got OrderStatus Message id:9754 status: PreSubmitted filled: 0</t>
  </si>
  <si>
    <t>2015-2-11 11:6:56.48: RTWSControl - OrderStatus - exiting orderStatus</t>
  </si>
  <si>
    <t>2015-2-11 11:6:57.309: Algorithm - rehedge - rehedging 13 contracts</t>
  </si>
  <si>
    <t>2015-2-11 11:6:57.310: Algortihm - rehedge - inside the loop</t>
  </si>
  <si>
    <t>2015-2-11 11:6:57.311: Algorithm - rehedge - trying to trade BUT contracts is 13 and direction indicator is -1</t>
  </si>
  <si>
    <t>2015-2-11 11:6:57.314: OrderManager - cancelOrder - cancelling order id 9754</t>
  </si>
  <si>
    <t>2015-2-11 11:6:57.315: OrderManager - PlaceOrder - id 9755 workingQty -657</t>
  </si>
  <si>
    <t>2015-2-11 11:6:57.317: OrderManager - sendOrder - exiting place order id 9755 SELL 37 1.5274  - workingQty -657 currentPosition is 107 workingOrderCount is -42</t>
  </si>
  <si>
    <t>2015-2-11 11:6:57.406: RTWSControl - nextValidId - entering nextValidId id is 9756</t>
  </si>
  <si>
    <t>2015-2-11 11:6:57.553: RTWSControl - orderStatus -  entering orderStatus id is 9754 status is Cancelled</t>
  </si>
  <si>
    <t>2015-2-11 11:6:57.556: OrderManager - UpdateOrderStatus - id 9754 Setting status to Cancelled workingOrderCount is now -42 workingQty -657</t>
  </si>
  <si>
    <t>2015-2-11 11:6:57.569: RTWSControl - OrderStatus - Got OrderStatus Message id:9754 status: Cancelled filled: 0</t>
  </si>
  <si>
    <t>2015-2-11 11:6:57.571: RTWSControl - OrderStatus - exiting orderStatus</t>
  </si>
  <si>
    <t>2015-2-11 11:6:57.598: RTWSControl - errMsg - got error message 202:Order Canceled - reason:with id 9754</t>
  </si>
  <si>
    <t>2015-2-11 11:6:57.599: OrderManager - canceledOrder - cleaning up after canceled order 9754BEWARE UNACCOUNTED FOR EXECUTIONS!!!</t>
  </si>
  <si>
    <t>2015-2-11 11:6:57.602: OrderManager - terminateOrder - cleaning up after Canceled 9754  order was supposed to SELL 34 1.5273 STP LMT workingQty/OrderCount now -691/-43</t>
  </si>
  <si>
    <t>2015-2-11 11:6:57.626: openOrderEx - I am here</t>
  </si>
  <si>
    <t>2015-2-11 11:6:57.657: RTWSControl - orderStatus -  entering orderStatus id is 9755 status is PreSubmitted</t>
  </si>
  <si>
    <t>2015-2-11 11:6:57.658: OrderManager - UpdateOrderStatus - id 9755 Setting status to PreSubmitted workingOrderCount is now -43 workingQty -691</t>
  </si>
  <si>
    <t>2015-2-11 11:6:57.663: RTWSControl - OrderStatus - Got OrderStatus Message id:9755 status: PreSubmitted filled: 0</t>
  </si>
  <si>
    <t>2015-2-11 11:6:57.664: RTWSControl - OrderStatus - exiting orderStatus</t>
  </si>
  <si>
    <t>2015-2-11 11:6:57.952: Algorithm - rehedge - rehedging 13 contracts</t>
  </si>
  <si>
    <t>2015-2-11 11:6:57.953: Algortihm - rehedge - inside the loop</t>
  </si>
  <si>
    <t>2015-2-11 11:6:57.954: Algorithm - rehedge - trying to trade BUT contracts is 13 and direction indicator is -1</t>
  </si>
  <si>
    <t>2015-2-11 11:6:57.956: OrderManager - cancelOrder - cancelling order id 9755</t>
  </si>
  <si>
    <t>2015-2-11 11:6:57.957: OrderManager - PlaceOrder - id 9756 workingQty -725</t>
  </si>
  <si>
    <t>2015-2-11 11:6:57.958: OrderManager - sendOrder - exiting place order id 9756 SELL 34 1.5273  - workingQty -725 currentPosition is 107 workingOrderCount is -42</t>
  </si>
  <si>
    <t>2015-2-11 11:6:58.206: RTWSControl - nextValidId - entering nextValidId id is 9757</t>
  </si>
  <si>
    <t>2015-2-11 11:6:58.248: RTWSControl - orderStatus -  entering orderStatus id is 9755 status is Cancelled</t>
  </si>
  <si>
    <t>2015-2-11 11:6:58.249: OrderManager - UpdateOrderStatus - id 9755 Setting status to Cancelled workingOrderCount is now -42 workingQty -725</t>
  </si>
  <si>
    <t>2015-2-11 11:6:58.252: RTWSControl - OrderStatus - Got OrderStatus Message id:9755 status: Cancelled filled: 0</t>
  </si>
  <si>
    <t>2015-2-11 11:6:58.253: RTWSControl - OrderStatus - exiting orderStatus</t>
  </si>
  <si>
    <t>2015-2-11 11:6:58.261: RTWSControl - errMsg - got error message 202:Order Canceled - reason:with id 9755</t>
  </si>
  <si>
    <t>2015-2-11 11:6:58.262: OrderManager - canceledOrder - cleaning up after canceled order 9755BEWARE UNACCOUNTED FOR EXECUTIONS!!!</t>
  </si>
  <si>
    <t>2015-2-11 11:6:58.264: OrderManager - terminateOrder - cleaning up after Canceled 9755  order was supposed to SELL 37 1.5274 STP LMT workingQty/OrderCount now -762/-43</t>
  </si>
  <si>
    <t>2015-2-11 11:6:58.310: openOrderEx - I am here</t>
  </si>
  <si>
    <t>2015-2-11 11:6:58.320: RTWSControl - orderStatus -  entering orderStatus id is 9756 status is PreSubmitted</t>
  </si>
  <si>
    <t>2015-2-11 11:6:58.321: OrderManager - UpdateOrderStatus - id 9756 Setting status to PreSubmitted workingOrderCount is now -43 workingQty -762</t>
  </si>
  <si>
    <t>2015-2-11 11:6:58.324: RTWSControl - OrderStatus - Got OrderStatus Message id:9756 status: PreSubmitted filled: 0</t>
  </si>
  <si>
    <t>2015-2-11 11:6:58.325: RTWSControl - OrderStatus - exiting orderStatus</t>
  </si>
  <si>
    <t>2015-2-11 11:6:58.333: Algorithm - rehedge - rehedging 13 contracts</t>
  </si>
  <si>
    <t>2015-2-11 11:6:58.333: Algortihm - rehedge - inside the loop</t>
  </si>
  <si>
    <t>2015-2-11 11:6:58.334: Algorithm - rehedge - trying to trade BUT contracts is 13 and direction indicator is -1</t>
  </si>
  <si>
    <t>2015-2-11 11:7:0.207: Algorithm - rehedge - rehedging 13 contracts</t>
  </si>
  <si>
    <t>2015-2-11 11:7:0.223: Algortihm - rehedge - inside the loop</t>
  </si>
  <si>
    <t>2015-2-11 11:7:0.223: Algorithm - rehedge - trying to trade BUT contracts is 13 and direction indicator is -1</t>
  </si>
  <si>
    <t>2015-2-11 11:7:2.571: Algorithm - rehedge - rehedging 13 contracts</t>
  </si>
  <si>
    <t>2015-2-11 11:7:2.587: Algortihm - rehedge - inside the loop</t>
  </si>
  <si>
    <t>2015-2-11 11:7:2.587: Algorithm - rehedge - trying to trade BUT contracts is 13 and direction indicator is -1</t>
  </si>
  <si>
    <t>2015-2-11 11:7:2.587: OrderManager - cancelOrder - cancelling order id 9756</t>
  </si>
  <si>
    <t>2015-2-11 11:7:2.602: OrderManager - PlaceOrder - id 9757 workingQty -799</t>
  </si>
  <si>
    <t>2015-2-11 11:7:2.602: OrderManager - sendOrder - exiting place order id 9757 SELL 37 1.5274  - workingQty -799 currentPosition is 107 workingOrderCount is -42</t>
  </si>
  <si>
    <t>2015-2-11 11:7:3.71: RTWSControl - nextValidId - entering nextValidId id is 9758</t>
  </si>
  <si>
    <t>2015-2-11 11:7:3.87: RTWSControl - orderStatus -  entering orderStatus id is 9756 status is Cancelled</t>
  </si>
  <si>
    <t>2015-2-11 11:7:3.87: OrderManager - UpdateOrderStatus - id 9756 Setting status to Cancelled workingOrderCount is now -42 workingQty -799</t>
  </si>
  <si>
    <t>2015-2-11 11:7:3.87: RTWSControl - OrderStatus - Got OrderStatus Message id:9756 status: Cancelled filled: 0</t>
  </si>
  <si>
    <t>2015-2-11 11:7:3.87: RTWSControl - OrderStatus - exiting orderStatus</t>
  </si>
  <si>
    <t>2015-2-11 11:7:3.102: RTWSControl - errMsg - got error message 202:Order Canceled - reason:with id 9756</t>
  </si>
  <si>
    <t>2015-2-11 11:7:3.102: OrderManager - canceledOrder - cleaning up after canceled order 9756BEWARE UNACCOUNTED FOR EXECUTIONS!!!</t>
  </si>
  <si>
    <t>2015-2-11 11:7:3.102: OrderManager - terminateOrder - cleaning up after Canceled 9756  order was supposed to SELL 34 1.5273 STP LMT workingQty/OrderCount now -833/-43</t>
  </si>
  <si>
    <t>2015-2-11 11:7:3.134: openOrderEx - I am here</t>
  </si>
  <si>
    <t>2015-2-11 11:7:3.149: RTWSControl - orderStatus -  entering orderStatus id is 9757 status is PreSubmitted</t>
  </si>
  <si>
    <t>2015-2-11 11:7:3.149: OrderManager - UpdateOrderStatus - id 9757 Setting status to PreSubmitted workingOrderCount is now -43 workingQty -833</t>
  </si>
  <si>
    <t>2015-2-11 11:7:3.149: RTWSControl - OrderStatus - Got OrderStatus Message id:9757 status: PreSubmitted filled: 0</t>
  </si>
  <si>
    <t>2015-2-11 11:7:3.149: RTWSControl - OrderStatus - exiting orderStatus</t>
  </si>
  <si>
    <t>2015-2-11 11:7:5.85: Algorithm - rehedge - rehedging 13 contracts</t>
  </si>
  <si>
    <t>2015-2-11 11:7:5.86: Algortihm - rehedge - inside the loop</t>
  </si>
  <si>
    <t>2015-2-11 11:7:5.86: Algorithm - rehedge - trying to trade BUT contracts is 13 and direction indicator is -1</t>
  </si>
  <si>
    <t>2015-2-11 11:7:7.795: Algorithm - FindNextStrikes - price is 1.5289 nextStrikeUp/Down 1.53/1.525</t>
  </si>
  <si>
    <t>2015-2-11 11:7:7.795: Algorithm - getPortfolioForwardDelta - required deltas is 120 currentHedgePosition is 107</t>
  </si>
  <si>
    <t>2015-2-11 11:7:7.795: Algorithm - getHedgeShortfall - required deltas is 120 price is 1.5288 currentHedgePositionDeltas is 107</t>
  </si>
  <si>
    <t>2015-2-11 11:7:7.795: Algorithm - processTransitionPoint - nextUpper/LowerStrikes are 1.53/1.525 requiredDeltas/currentPosition/currentHedgeShortfall/direction/transitionPrice are 120/107/13/-1/1.5288</t>
  </si>
  <si>
    <t>2015-2-11 11:7:7.795: TransitionLogger - processTransitionpoint - checking transition - currentHedgeShortfall is 13</t>
  </si>
  <si>
    <t>2015-2-11 11:7:7.795: Algorithm - rehedge - rehedging 13 contracts</t>
  </si>
  <si>
    <t>2015-2-11 11:7:7.795: Algortihm - rehedge - inside the loop</t>
  </si>
  <si>
    <t>2015-2-11 11:7:7.795: Algorithm - rehedge - trying to trade BUT contracts is 13 and direction indicator is -1</t>
  </si>
  <si>
    <t>2015-2-11 11:7:7.795: Algorithm - updatePortfolio - haveAllDetails is True</t>
  </si>
  <si>
    <t>2015-2-11 11:7:7.842: Algorithm - FindNextStrikes - price is 1.5289 nextStrikeUp/Down 1.53/1.525</t>
  </si>
  <si>
    <t>2015-2-11 11:7:7.842: Algorithm - getPortfolioForwardDelta - required deltas is 120 currentHedgePosition is 107</t>
  </si>
  <si>
    <t>2015-2-11 11:7:7.842: Algorithm - getHedgeShortfall - required deltas is 120 price is 1.5288 currentHedgePositionDeltas is 107</t>
  </si>
  <si>
    <t>2015-2-11 11:7:7.842: Algorithm - processTransitionPoint - nextUpper/LowerStrikes are 1.53/1.525 requiredDeltas/currentPosition/currentHedgeShortfall/direction/transitionPrice are 120/107/13/-1/1.5288</t>
  </si>
  <si>
    <t>2015-2-11 11:7:7.842: TransitionLogger - processTransitionpoint - checking transition - currentHedgeShortfall is 13</t>
  </si>
  <si>
    <t>2015-2-11 11:7:7.842: Algorithm - rehedge - rehedging 13 contracts</t>
  </si>
  <si>
    <t>2015-2-11 11:7:7.842: Algortihm - rehedge - inside the loop</t>
  </si>
  <si>
    <t>2015-2-11 11:7:7.842: Algorithm - rehedge - trying to trade BUT contracts is 13 and direction indicator is -1</t>
  </si>
  <si>
    <t>2015-2-11 11:7:7.842: Algorithm - updatePortfolio - haveAllDetails is True</t>
  </si>
  <si>
    <t>2015-2-11 11:7:7.873: Algorithm - FindNextStrikes - price is 1.5289 nextStrikeUp/Down 1.53/1.525</t>
  </si>
  <si>
    <t>2015-2-11 11:7:7.873: Algorithm - getPortfolioForwardDelta - required deltas is 120 currentHedgePosition is 107</t>
  </si>
  <si>
    <t>2015-2-11 11:7:7.873: Algorithm - getHedgeShortfall - required deltas is 120 price is 1.5288 currentHedgePositionDeltas is 107</t>
  </si>
  <si>
    <t>2015-2-11 11:7:7.873: Algorithm - processTransitionPoint - nextUpper/LowerStrikes are 1.53/1.525 requiredDeltas/currentPosition/currentHedgeShortfall/direction/transitionPrice are 120/107/13/-1/1.5288</t>
  </si>
  <si>
    <t>2015-2-11 11:7:7.873: TransitionLogger - processTransitionpoint - checking transition - currentHedgeShortfall is 13</t>
  </si>
  <si>
    <t>2015-2-11 11:7:7.873: Algorithm - rehedge - rehedging 13 contracts</t>
  </si>
  <si>
    <t>2015-2-11 11:7:7.888: Algortihm - rehedge - inside the loop</t>
  </si>
  <si>
    <t>2015-2-11 11:7:7.888: Algorithm - rehedge - trying to trade BUT contracts is 13 and direction indicator is -1</t>
  </si>
  <si>
    <t>2015-2-11 11:7:7.888: Algorithm - updatePortfolio - haveAllDetails is True</t>
  </si>
  <si>
    <t>2015-2-11 11:7:7.920: Algorithm - FindNextStrikes - price is 1.5289 nextStrikeUp/Down 1.53/1.525</t>
  </si>
  <si>
    <t>2015-2-11 11:7:7.920: Algorithm - getPortfolioForwardDelta - required deltas is 120 currentHedgePosition is 107</t>
  </si>
  <si>
    <t>2015-2-11 11:7:7.920: Algorithm - getHedgeShortfall - required deltas is 120 price is 1.5288 currentHedgePositionDeltas is 107</t>
  </si>
  <si>
    <t>2015-2-11 11:7:7.920: Algorithm - processTransitionPoint - nextUpper/LowerStrikes are 1.53/1.525 requiredDeltas/currentPosition/currentHedgeShortfall/direction/transitionPrice are 120/107/13/-1/1.5288</t>
  </si>
  <si>
    <t>2015-2-11 11:7:7.920: TransitionLogger - processTransitionpoint - checking transition - currentHedgeShortfall is 13</t>
  </si>
  <si>
    <t>2015-2-11 11:7:7.920: Algorithm - rehedge - rehedging 13 contracts</t>
  </si>
  <si>
    <t>2015-2-11 11:7:7.920: Algortihm - rehedge - inside the loop</t>
  </si>
  <si>
    <t>2015-2-11 11:7:7.920: Algorithm - rehedge - trying to trade BUT contracts is 13 and direction indicator is -1</t>
  </si>
  <si>
    <t>2015-2-11 11:7:7.920: Algorithm - updatePortfolio - haveAllDetails is True</t>
  </si>
  <si>
    <t>2015-2-11 11:7:7.982: Algorithm - FindNextStrikes - price is 1.5289 nextStrikeUp/Down 1.53/1.525</t>
  </si>
  <si>
    <t>2015-2-11 11:7:7.982: Algorithm - getPortfolioForwardDelta - required deltas is 120 currentHedgePosition is 107</t>
  </si>
  <si>
    <t>2015-2-11 11:7:7.982: Algorithm - getHedgeShortfall - required deltas is 120 price is 1.5288 currentHedgePositionDeltas is 107</t>
  </si>
  <si>
    <t>2015-2-11 11:7:7.982: Algorithm - processTransitionPoint - nextUpper/LowerStrikes are 1.53/1.525 requiredDeltas/currentPosition/currentHedgeShortfall/direction/transitionPrice are 120/107/13/-1/1.5288</t>
  </si>
  <si>
    <t>2015-2-11 11:7:7.982: TransitionLogger - processTransitionpoint - checking transition - currentHedgeShortfall is 13</t>
  </si>
  <si>
    <t>2015-2-11 11:7:7.982: Algorithm - rehedge - rehedging 13 contracts</t>
  </si>
  <si>
    <t>2015-2-11 11:7:7.982: Algortihm - rehedge - inside the loop</t>
  </si>
  <si>
    <t>2015-2-11 11:7:7.982: Algorithm - rehedge - trying to trade BUT contracts is 13 and direction indicator is -1</t>
  </si>
  <si>
    <t>2015-2-11 11:7:7.982: Algorithm - updatePortfolio - haveAllDetails is True</t>
  </si>
  <si>
    <t>2015-2-11 11:7:8.44: Algorithm - FindNextStrikes - price is 1.5289 nextStrikeUp/Down 1.53/1.525</t>
  </si>
  <si>
    <t>2015-2-11 11:7:8.44: Algorithm - getPortfolioForwardDelta - required deltas is 120 currentHedgePosition is 107</t>
  </si>
  <si>
    <t>2015-2-11 11:7:8.44: Algorithm - getHedgeShortfall - required deltas is 120 price is 1.5288 currentHedgePositionDeltas is 107</t>
  </si>
  <si>
    <t>2015-2-11 11:7:8.44: Algorithm - processTransitionPoint - nextUpper/LowerStrikes are 1.53/1.525 requiredDeltas/currentPosition/currentHedgeShortfall/direction/transitionPrice are 120/107/13/-1/1.5288</t>
  </si>
  <si>
    <t>2015-2-11 11:7:8.60: TransitionLogger - processTransitionpoint - checking transition - currentHedgeShortfall is 13</t>
  </si>
  <si>
    <t>2015-2-11 11:7:8.60: Algorithm - rehedge - rehedging 13 contracts</t>
  </si>
  <si>
    <t>2015-2-11 11:7:8.60: Algortihm - rehedge - inside the loop</t>
  </si>
  <si>
    <t>2015-2-11 11:7:8.60: Algorithm - rehedge - trying to trade BUT contracts is 13 and direction indicator is -1</t>
  </si>
  <si>
    <t>2015-2-11 11:7:8.60: Algorithm - updatePortfolio - haveAllDetails is True</t>
  </si>
  <si>
    <t>2015-2-11 11:7:8.91: Algorithm - FindNextStrikes - price is 1.5289 nextStrikeUp/Down 1.53/1.525</t>
  </si>
  <si>
    <t>2015-2-11 11:7:8.91: Algorithm - getPortfolioForwardDelta - required deltas is 120 currentHedgePosition is 107</t>
  </si>
  <si>
    <t>2015-2-11 11:7:8.91: Algorithm - getHedgeShortfall - required deltas is 120 price is 1.5288 currentHedgePositionDeltas is 107</t>
  </si>
  <si>
    <t>2015-2-11 11:7:8.91: Algorithm - processTransitionPoint - nextUpper/LowerStrikes are 1.53/1.525 requiredDeltas/currentPosition/currentHedgeShortfall/direction/transitionPrice are 120/107/13/-1/1.5288</t>
  </si>
  <si>
    <t>2015-2-11 11:7:8.107: TransitionLogger - processTransitionpoint - checking transition - currentHedgeShortfall is 13</t>
  </si>
  <si>
    <t>2015-2-11 11:7:8.107: Algorithm - rehedge - rehedging 13 contracts</t>
  </si>
  <si>
    <t>2015-2-11 11:7:8.107: Algortihm - rehedge - inside the loop</t>
  </si>
  <si>
    <t>2015-2-11 11:7:8.107: Algorithm - rehedge - trying to trade BUT contracts is 13 and direction indicator is -1</t>
  </si>
  <si>
    <t>2015-2-11 11:7:8.107: Algorithm - updatePortfolio - haveAllDetails is True</t>
  </si>
  <si>
    <t>2015-2-11 11:7:8.140: Algorithm - FindNextStrikes - price is 1.5289 nextStrikeUp/Down 1.53/1.525</t>
  </si>
  <si>
    <t>2015-2-11 11:7:8.140: Algorithm - getPortfolioForwardDelta - required deltas is 120 currentHedgePosition is 107</t>
  </si>
  <si>
    <t>2015-2-11 11:7:8.140: Algorithm - getHedgeShortfall - required deltas is 120 price is 1.5288 currentHedgePositionDeltas is 107</t>
  </si>
  <si>
    <t>2015-2-11 11:7:8.156: Algorithm - processTransitionPoint - nextUpper/LowerStrikes are 1.53/1.525 requiredDeltas/currentPosition/currentHedgeShortfall/direction/transitionPrice are 120/107/13/-1/1.5288</t>
  </si>
  <si>
    <t>2015-2-11 11:7:8.156: TransitionLogger - processTransitionpoint - checking transition - currentHedgeShortfall is 13</t>
  </si>
  <si>
    <t>2015-2-11 11:7:8.156: Algorithm - rehedge - rehedging 13 contracts</t>
  </si>
  <si>
    <t>2015-2-11 11:7:8.156: Algortihm - rehedge - inside the loop</t>
  </si>
  <si>
    <t>2015-2-11 11:7:8.156: Algorithm - rehedge - trying to trade BUT contracts is 13 and direction indicator is -1</t>
  </si>
  <si>
    <t>2015-2-11 11:7:8.156: Algorithm - updatePortfolio - haveAllDetails is True</t>
  </si>
  <si>
    <t>2015-2-11 11:7:8.202: Algorithm - FindNextStrikes - price is 1.5289 nextStrikeUp/Down 1.53/1.525</t>
  </si>
  <si>
    <t>2015-2-11 11:7:8.202: Algorithm - getPortfolioForwardDelta - required deltas is 120 currentHedgePosition is 107</t>
  </si>
  <si>
    <t>2015-2-11 11:7:8.202: Algorithm - getHedgeShortfall - required deltas is 120 price is 1.5288 currentHedgePositionDeltas is 107</t>
  </si>
  <si>
    <t>2015-2-11 11:7:8.202: Algorithm - processTransitionPoint - nextUpper/LowerStrikes are 1.53/1.525 requiredDeltas/currentPosition/currentHedgeShortfall/direction/transitionPrice are 120/107/13/-1/1.5288</t>
  </si>
  <si>
    <t>2015-2-11 11:7:8.202: TransitionLogger - processTransitionpoint - checking transition - currentHedgeShortfall is 13</t>
  </si>
  <si>
    <t>2015-2-11 11:7:8.202: Algorithm - rehedge - rehedging 13 contracts</t>
  </si>
  <si>
    <t>2015-2-11 11:7:8.202: Algortihm - rehedge - inside the loop</t>
  </si>
  <si>
    <t>2015-2-11 11:7:8.202: Algorithm - rehedge - trying to trade BUT contracts is 13 and direction indicator is -1</t>
  </si>
  <si>
    <t>2015-2-11 11:7:8.202: Algorithm - updatePortfolio - haveAllDetails is True</t>
  </si>
  <si>
    <t>2015-2-11 11:7:8.249: Algorithm - FindNextStrikes - price is 1.5289 nextStrikeUp/Down 1.53/1.525</t>
  </si>
  <si>
    <t>2015-2-11 11:7:8.249: Algorithm - getPortfolioForwardDelta - required deltas is 120 currentHedgePosition is 107</t>
  </si>
  <si>
    <t>2015-2-11 11:7:8.249: Algorithm - getHedgeShortfall - required deltas is 120 price is 1.5288 currentHedgePositionDeltas is 107</t>
  </si>
  <si>
    <t>2015-2-11 11:7:8.249: Algorithm - processTransitionPoint - nextUpper/LowerStrikes are 1.53/1.525 requiredDeltas/currentPosition/currentHedgeShortfall/direction/transitionPrice are 120/107/13/-1/1.5288</t>
  </si>
  <si>
    <t>2015-2-11 11:7:8.249: TransitionLogger - processTransitionpoint - checking transition - currentHedgeShortfall is 13</t>
  </si>
  <si>
    <t>2015-2-11 11:7:8.249: Algorithm - rehedge - rehedging 13 contracts</t>
  </si>
  <si>
    <t>2015-2-11 11:7:8.249: Algortihm - rehedge - inside the loop</t>
  </si>
  <si>
    <t>2015-2-11 11:7:8.249: Algorithm - rehedge - trying to trade BUT contracts is 13 and direction indicator is -1</t>
  </si>
  <si>
    <t>2015-2-11 11:7:8.265: Algorithm - updatePortfolio - haveAllDetails is True</t>
  </si>
  <si>
    <t>2015-2-11 11:7:8.312: Algorithm - rehedge - rehedging 13 contracts</t>
  </si>
  <si>
    <t>2015-2-11 11:7:8.312: Algortihm - rehedge - inside the loop</t>
  </si>
  <si>
    <t>2015-2-11 11:7:8.312: Algorithm - rehedge - trying to trade BUT contracts is 13 and direction indicator is -1</t>
  </si>
  <si>
    <t>2015-2-11 11:7:19.733: Algorithm - rehedge - rehedging 13 contracts</t>
  </si>
  <si>
    <t>2015-2-11 11:7:19.733: Algortihm - rehedge - inside the loop</t>
  </si>
  <si>
    <t>2015-2-11 11:7:19.733: Algorithm - rehedge - trying to trade BUT contracts is 13 and direction indicator is -1</t>
  </si>
  <si>
    <t>2015-2-11 11:7:20.78: Algorithm - rehedge - rehedging 13 contracts</t>
  </si>
  <si>
    <t>2015-2-11 11:7:20.78: Algortihm - rehedge - inside the loop</t>
  </si>
  <si>
    <t>2015-2-11 11:7:20.78: OrderManager - PlaceOrder - id 9758 workingQty -828</t>
  </si>
  <si>
    <t>2015-2-11 11:7:20.78: OrderManager - sendOrder - exiting place order id 9758 BUY 5 1.5289  - workingQty -828 currentPosition is 107 workingOrderCount is -42</t>
  </si>
  <si>
    <t>2015-2-11 11:7:20.94: Algorithm - rehedge - placing an order - orderSize is 5 workingQty is -828 working order count -42</t>
  </si>
  <si>
    <t>2015-2-11 11:7:20.156: Algorithm - rehedge - rehedging 13 contracts</t>
  </si>
  <si>
    <t>2015-2-11 11:7:20.156: Algorithm - rehedge - Need to place order but already have a working order - workingQty is -828 working order count -42</t>
  </si>
  <si>
    <t>2015-2-11 11:7:20.499: RTWSControl - nextValidId - entering nextValidId id is 9759</t>
  </si>
  <si>
    <t>2015-2-11 11:7:20.546: openOrderEx - I am here</t>
  </si>
  <si>
    <t>2015-2-11 11:7:20.546: RTWSControl - orderStatus -  entering orderStatus id is 9758 status is Submitted</t>
  </si>
  <si>
    <t>2015-2-11 11:7:20.546: OrderManager - UpdateOrderStatus - id 9758 Setting status to Submitted workingOrderCount is now -42 workingQty -828</t>
  </si>
  <si>
    <t>2015-2-11 11:7:20.546: RTWSControl - OrderStatus - Got OrderStatus Message id:9758 status: Submitted filled: 0</t>
  </si>
  <si>
    <t>2015-2-11 11:7:20.562: RTWSControl - OrderStatus - exiting orderStatus</t>
  </si>
  <si>
    <t>2015-2-11 11:7:21.480: OrderManager - cancelOrder - cancelling order id 9758</t>
  </si>
  <si>
    <t>2015-2-11 11:7:21.482: Algorithm - checkWorkingOrders - cancelling BUY - orderPrice 1.5289 too far from marketPrice 1.52905</t>
  </si>
  <si>
    <t>2015-2-11 11:7:21.485: Algorithm - rehedge - rehedging 13 contracts</t>
  </si>
  <si>
    <t>2015-2-11 11:7:21.486: Algorithm - rehedge - Need to place order but already have a working order - workingQty is -828 working order count -42</t>
  </si>
  <si>
    <t>2015-2-11 11:7:21.565: Algorithm - rehedge - rehedging 13 contracts</t>
  </si>
  <si>
    <t>2015-2-11 11:7:21.566: Algorithm - rehedge - Need to place order but already have a working order - workingQty is -828 working order count -42</t>
  </si>
  <si>
    <t>2015-2-11 11:7:21.637: RTWSControl - orderStatus -  entering orderStatus id is 9758 status is Cancelled</t>
  </si>
  <si>
    <t>2015-2-11 11:7:21.638: OrderManager - UpdateOrderStatus - id 9758 Setting status to Cancelled workingOrderCount is now -42 workingQty -828</t>
  </si>
  <si>
    <t>2015-2-11 11:7:21.642: RTWSControl - OrderStatus - Got OrderStatus Message id:9758 status: Cancelled filled: 0</t>
  </si>
  <si>
    <t>2015-2-11 11:7:21.643: RTWSControl - OrderStatus - exiting orderStatus</t>
  </si>
  <si>
    <t>2015-2-11 11:7:21.664: RTWSControl - errMsg - got error message 202:Order Canceled - reason:with id 9758</t>
  </si>
  <si>
    <t>2015-2-11 11:7:21.665: OrderManager - canceledOrder - cleaning up after canceled order 9758BEWARE UNACCOUNTED FOR EXECUTIONS!!!</t>
  </si>
  <si>
    <t>2015-2-11 11:7:21.667: OrderManager - terminateOrder - cleaning up after Canceled 9758  order was supposed to BUY 5 1.5289 LMT workingQty/OrderCount now -833/-43</t>
  </si>
  <si>
    <t>2015-2-11 11:7:21.813: Algorithm - rehedge - rehedging 13 contracts</t>
  </si>
  <si>
    <t>2015-2-11 11:7:21.815: Algortihm - rehedge - inside the loop</t>
  </si>
  <si>
    <t>2015-2-11 11:7:21.819: OrderManager - PlaceOrder - id 9759 workingQty -828</t>
  </si>
  <si>
    <t>2015-2-11 11:7:21.827: OrderManager - sendOrder - exiting place order id 9759 BUY 5 1.529  - workingQty -828 currentPosition is 107 workingOrderCount is -42</t>
  </si>
  <si>
    <t>2015-2-11 11:7:21.834: Algorithm - rehedge - placing an order - orderSize is 5 workingQty is -828 working order count -42</t>
  </si>
  <si>
    <t>2015-2-11 11:7:21.935: RTWSControl - nextValidId - entering nextValidId id is 9760</t>
  </si>
  <si>
    <t>2015-2-11 11:7:22.123: RTWSControl - execDetails -  entering execDetailsEx execution id is 0001f4e5.54da9c29.01.01 shares/cumQty is 5/5</t>
  </si>
  <si>
    <t>2015-2-11 11:7:22.127: Algorithm - FindNextStrikes - price is 1.52895 nextStrikeUp/Down 1.53/1.525</t>
  </si>
  <si>
    <t>2015-2-11 11:7:22.128: Algorithm - getPortfolioForwardDelta - required deltas is 120 currentHedgePosition is 112</t>
  </si>
  <si>
    <t>2015-2-11 11:7:22.130: Algorithm - getHedgeShortfall - required deltas is 120 price is 1.52905 currentHedgePositionDeltas is 112</t>
  </si>
  <si>
    <t>2015-2-11 11:7:22.133: Algorithm - processTransitionPoint - nextUpper/LowerStrikes are 1.53/1.525 requiredDeltas/currentPosition/currentHedgeShortfall/direction/transitionPrice are 120/112/8/1/1.52905</t>
  </si>
  <si>
    <t>2015-2-11 11:7:22.136: TransitionLogger - processTransitionpoint - checking transition - currentHedgeShortfall is 8</t>
  </si>
  <si>
    <t>2015-2-11 11:7:22.137: OrderManager - updateExecution - got a fill for id 9759 qty 5 side BOT price 1.529 - new working order size is -833 new instrument.qty is 112</t>
  </si>
  <si>
    <t>0001f4e5.54da9c29.01.01</t>
  </si>
  <si>
    <t>20150211  11:07:23</t>
  </si>
  <si>
    <t>2015-2-11 11:7:22.141: OrderManagerView - UpdateExecutionView - entering updateExecutionView  executionId is 0001f4e5.54da9c29.01.01</t>
  </si>
  <si>
    <t>2015-2-11 11:7:22.144: OrderManagerView - updateExecutionView -  exiting UpdateExecutionView</t>
  </si>
  <si>
    <t>2015-2-11 11:7:22.144: RTWSControl - execDetails -  exiting execDetailsEx</t>
  </si>
  <si>
    <t>2015-2-11 11:7:22.145: RTWSControl - execDetails - Got execution Message id:-1</t>
  </si>
  <si>
    <t>2015-2-11 11:7:22.155: openOrderEx - I am here</t>
  </si>
  <si>
    <t>2015-2-11 11:7:22.190: RTWSControl - orderStatus -  entering orderStatus id is 9759 status is Filled</t>
  </si>
  <si>
    <t>2015-2-11 11:7:22.190: OrderManager - UpdateOrderStatus - id 9759 Setting status to Filled workingOrderCount is now -43 workingQty -833</t>
  </si>
  <si>
    <t>2015-2-11 11:7:22.192: OrderManager - terminateOrder - cleaning up after Filled 9759  order was supposed to BUY 5 1.529 LMT workingQty/OrderCount now -833/-44</t>
  </si>
  <si>
    <t>2015-2-11 11:7:22.195: RTWSControl - OrderStatus - Got OrderStatus Message id:9759 status: Filled filled: 5</t>
  </si>
  <si>
    <t>2015-2-11 11:7:22.196: RTWSControl - OrderStatus - exiting orderStatus</t>
  </si>
  <si>
    <t>2015-2-11 11:7:22.376: openOrderEx - I am here</t>
  </si>
  <si>
    <t>2015-2-11 11:7:22.383: RTWSControl - orderStatus -  entering orderStatus id is 9759 status is Filled</t>
  </si>
  <si>
    <t>2015-2-11 11:7:22.385: OrderManager - UpdateOrderStatus - id 9759 Setting status to Filled workingOrderCount is now -44 workingQty -833</t>
  </si>
  <si>
    <t>2015-2-11 11:7:22.387: OrderManager - terminateOrder - cleaning up after Filled 9759  order was supposed to BUY 5 1.529 LMT workingQty/OrderCount now -833/-45</t>
  </si>
  <si>
    <t>2015-2-11 11:7:22.389: RTWSControl - OrderStatus - Got OrderStatus Message id:9759 status: Filled filled: 5</t>
  </si>
  <si>
    <t>2015-2-11 11:7:22.390: RTWSControl - OrderStatus - exiting orderStatus</t>
  </si>
  <si>
    <t>2015-2-11 11:7:22.400: openOrderEx - I am here</t>
  </si>
  <si>
    <t>2015-2-11 11:7:22.415: RTWSControl - orderStatus -  entering orderStatus id is 9759 status is Filled</t>
  </si>
  <si>
    <t>2015-2-11 11:7:22.415: OrderManager - UpdateOrderStatus - id 9759 Setting status to Filled workingOrderCount is now -45 workingQty -833</t>
  </si>
  <si>
    <t>2015-2-11 11:7:22.417: OrderManager - terminateOrder - cleaning up after Filled 9759  order was supposed to BUY 5 1.529 LMT workingQty/OrderCount now -833/-46</t>
  </si>
  <si>
    <t>2015-2-11 11:7:22.420: RTWSControl - OrderStatus - Got OrderStatus Message id:9759 status: Filled filled: 5</t>
  </si>
  <si>
    <t>2015-2-11 11:7:22.421: RTWSControl - OrderStatus - exiting orderStatus</t>
  </si>
  <si>
    <t>2015-2-11 11:7:23.925: Algorithm - FindNextStrikes - price is 1.52895 nextStrikeUp/Down 1.53/1.525</t>
  </si>
  <si>
    <t>2015-2-11 11:7:23.925: Algorithm - getPortfolioForwardDelta - required deltas is 120 currentHedgePosition is 112</t>
  </si>
  <si>
    <t>2015-2-11 11:7:23.925: Algorithm - getHedgeShortfall - required deltas is 120 price is 1.52905 currentHedgePositionDeltas is 112</t>
  </si>
  <si>
    <t>2015-2-11 11:7:23.925: Algorithm - processTransitionPoint - nextUpper/LowerStrikes are 1.53/1.525 requiredDeltas/currentPosition/currentHedgeShortfall/direction/transitionPrice are 120/112/8/1/1.52905</t>
  </si>
  <si>
    <t>2015-2-11 11:7:23.925: TransitionLogger - processTransitionpoint - checking transition - currentHedgeShortfall is 8</t>
  </si>
  <si>
    <t>2015-2-11 11:7:23.925: Algorithm - rehedge - rehedging 8 contracts</t>
  </si>
  <si>
    <t>2015-2-11 11:7:23.925: Algortihm - rehedge - inside the loop</t>
  </si>
  <si>
    <t>2015-2-11 11:7:23.925: OrderManager - PlaceOrder - id 9760 workingQty -828</t>
  </si>
  <si>
    <t>2015-2-11 11:7:23.940: OrderManager - sendOrder - exiting place order id 9760 BUY 5 1.5289  - workingQty -828 currentPosition is 112 workingOrderCount is -45</t>
  </si>
  <si>
    <t>2015-2-11 11:7:23.940: Algorithm - rehedge - placing an order - orderSize is 5 workingQty is -828 working order count -45</t>
  </si>
  <si>
    <t>2015-2-11 11:7:23.940: Algorithm - updatePortfolio - haveAllDetails is True</t>
  </si>
  <si>
    <t>2015-2-11 11:7:23.956: Algorithm - FindNextStrikes - price is 1.52895 nextStrikeUp/Down 1.53/1.525</t>
  </si>
  <si>
    <t>2015-2-11 11:7:23.956: Algorithm - getPortfolioForwardDelta - required deltas is 120 currentHedgePosition is 112</t>
  </si>
  <si>
    <t>2015-2-11 11:7:23.956: Algorithm - getHedgeShortfall - required deltas is 120 price is 1.52905 currentHedgePositionDeltas is 112</t>
  </si>
  <si>
    <t>2015-2-11 11:7:23.956: Algorithm - processTransitionPoint - nextUpper/LowerStrikes are 1.53/1.525 requiredDeltas/currentPosition/currentHedgeShortfall/direction/transitionPrice are 120/112/8/1/1.52905</t>
  </si>
  <si>
    <t>2015-2-11 11:7:23.971: TransitionLogger - processTransitionpoint - checking transition - currentHedgeShortfall is 8</t>
  </si>
  <si>
    <t>2015-2-11 11:7:23.971: Algorithm - rehedge - rehedging 8 contracts</t>
  </si>
  <si>
    <t>2015-2-11 11:7:23.971: Algorithm - rehedge - Need to place order but already have a working order - workingQty is -828 working order count -45</t>
  </si>
  <si>
    <t>2015-2-11 11:7:23.971: Algorithm - updatePortfolio - haveAllDetails is True</t>
  </si>
  <si>
    <t>2015-2-11 11:7:24.3: Algorithm - FindNextStrikes - price is 1.52895 nextStrikeUp/Down 1.53/1.525</t>
  </si>
  <si>
    <t>2015-2-11 11:7:24.3: Algorithm - getPortfolioForwardDelta - required deltas is 120 currentHedgePosition is 112</t>
  </si>
  <si>
    <t>2015-2-11 11:7:24.3: Algorithm - getHedgeShortfall - required deltas is 120 price is 1.52905 currentHedgePositionDeltas is 112</t>
  </si>
  <si>
    <t>2015-2-11 11:7:24.3: Algorithm - processTransitionPoint - nextUpper/LowerStrikes are 1.53/1.525 requiredDeltas/currentPosition/currentHedgeShortfall/direction/transitionPrice are 120/112/8/1/1.52905</t>
  </si>
  <si>
    <t>2015-2-11 11:7:24.3: TransitionLogger - processTransitionpoint - checking transition - currentHedgeShortfall is 8</t>
  </si>
  <si>
    <t>2015-2-11 11:7:24.3: Algorithm - rehedge - rehedging 8 contracts</t>
  </si>
  <si>
    <t>2015-2-11 11:7:24.3: Algorithm - rehedge - Need to place order but already have a working order - workingQty is -828 working order count -45</t>
  </si>
  <si>
    <t>2015-2-11 11:7:24.3: Algorithm - updatePortfolio - haveAllDetails is True</t>
  </si>
  <si>
    <t>2015-2-11 11:7:24.49: Algorithm - FindNextStrikes - price is 1.52895 nextStrikeUp/Down 1.53/1.525</t>
  </si>
  <si>
    <t>2015-2-11 11:7:24.49: Algorithm - getPortfolioForwardDelta - required deltas is 120 currentHedgePosition is 112</t>
  </si>
  <si>
    <t>2015-2-11 11:7:24.49: Algorithm - getHedgeShortfall - required deltas is 120 price is 1.52905 currentHedgePositionDeltas is 112</t>
  </si>
  <si>
    <t>2015-2-11 11:7:24.49: Algorithm - processTransitionPoint - nextUpper/LowerStrikes are 1.53/1.525 requiredDeltas/currentPosition/currentHedgeShortfall/direction/transitionPrice are 120/112/8/1/1.52905</t>
  </si>
  <si>
    <t>2015-2-11 11:7:24.49: TransitionLogger - processTransitionpoint - checking transition - currentHedgeShortfall is 8</t>
  </si>
  <si>
    <t>2015-2-11 11:7:24.49: Algorithm - rehedge - rehedging 8 contracts</t>
  </si>
  <si>
    <t>2015-2-11 11:7:24.49: Algorithm - rehedge - Need to place order but already have a working order - workingQty is -828 working order count -45</t>
  </si>
  <si>
    <t>2015-2-11 11:7:24.49: Algorithm - updatePortfolio - haveAllDetails is True</t>
  </si>
  <si>
    <t>2015-2-11 11:7:24.112: Algorithm - FindNextStrikes - price is 1.52895 nextStrikeUp/Down 1.53/1.525</t>
  </si>
  <si>
    <t>2015-2-11 11:7:24.112: Algorithm - getPortfolioForwardDelta - required deltas is 120 currentHedgePosition is 112</t>
  </si>
  <si>
    <t>2015-2-11 11:7:24.112: Algorithm - getHedgeShortfall - required deltas is 120 price is 1.52905 currentHedgePositionDeltas is 112</t>
  </si>
  <si>
    <t>2015-2-11 11:7:24.112: Algorithm - processTransitionPoint - nextUpper/LowerStrikes are 1.53/1.525 requiredDeltas/currentPosition/currentHedgeShortfall/direction/transitionPrice are 120/112/8/1/1.52905</t>
  </si>
  <si>
    <t>2015-2-11 11:7:24.112: TransitionLogger - processTransitionpoint - checking transition - currentHedgeShortfall is 8</t>
  </si>
  <si>
    <t>2015-2-11 11:7:24.112: Algorithm - rehedge - rehedging 8 contracts</t>
  </si>
  <si>
    <t>2015-2-11 11:7:24.112: Algorithm - rehedge - Need to place order but already have a working order - workingQty is -828 working order count -45</t>
  </si>
  <si>
    <t>2015-2-11 11:7:24.112: Algorithm - updatePortfolio - haveAllDetails is True</t>
  </si>
  <si>
    <t>2015-2-11 11:7:24.174: Algorithm - FindNextStrikes - price is 1.52895 nextStrikeUp/Down 1.53/1.525</t>
  </si>
  <si>
    <t>2015-2-11 11:7:24.174: Algorithm - getPortfolioForwardDelta - required deltas is 120 currentHedgePosition is 112</t>
  </si>
  <si>
    <t>2015-2-11 11:7:24.174: Algorithm - getHedgeShortfall - required deltas is 120 price is 1.52905 currentHedgePositionDeltas is 112</t>
  </si>
  <si>
    <t>2015-2-11 11:7:24.174: Algorithm - processTransitionPoint - nextUpper/LowerStrikes are 1.53/1.525 requiredDeltas/currentPosition/currentHedgeShortfall/direction/transitionPrice are 120/112/8/1/1.52905</t>
  </si>
  <si>
    <t>2015-2-11 11:7:24.174: TransitionLogger - processTransitionpoint - checking transition - currentHedgeShortfall is 8</t>
  </si>
  <si>
    <t>2015-2-11 11:7:24.174: Algorithm - rehedge - rehedging 8 contracts</t>
  </si>
  <si>
    <t>2015-2-11 11:7:24.174: Algorithm - rehedge - Need to place order but already have a working order - workingQty is -828 working order count -45</t>
  </si>
  <si>
    <t>2015-2-11 11:7:24.174: Algorithm - updatePortfolio - haveAllDetails is True</t>
  </si>
  <si>
    <t>2015-2-11 11:7:24.237: Algorithm - FindNextStrikes - price is 1.52895 nextStrikeUp/Down 1.53/1.525</t>
  </si>
  <si>
    <t>2015-2-11 11:7:24.237: Algorithm - getPortfolioForwardDelta - required deltas is 120 currentHedgePosition is 112</t>
  </si>
  <si>
    <t>2015-2-11 11:7:24.237: Algorithm - getHedgeShortfall - required deltas is 120 price is 1.52905 currentHedgePositionDeltas is 112</t>
  </si>
  <si>
    <t>2015-2-11 11:7:24.237: Algorithm - processTransitionPoint - nextUpper/LowerStrikes are 1.53/1.525 requiredDeltas/currentPosition/currentHedgeShortfall/direction/transitionPrice are 120/112/8/1/1.52905</t>
  </si>
  <si>
    <t>2015-2-11 11:7:24.237: TransitionLogger - processTransitionpoint - checking transition - currentHedgeShortfall is 8</t>
  </si>
  <si>
    <t>2015-2-11 11:7:24.237: Algorithm - rehedge - rehedging 8 contracts</t>
  </si>
  <si>
    <t>2015-2-11 11:7:24.237: Algorithm - rehedge - Need to place order but already have a working order - workingQty is -828 working order count -45</t>
  </si>
  <si>
    <t>2015-2-11 11:7:24.237: Algorithm - updatePortfolio - haveAllDetails is True</t>
  </si>
  <si>
    <t>2015-2-11 11:7:24.299: Algorithm - FindNextStrikes - price is 1.52895 nextStrikeUp/Down 1.53/1.525</t>
  </si>
  <si>
    <t>2015-2-11 11:7:24.299: Algorithm - getPortfolioForwardDelta - required deltas is 120 currentHedgePosition is 112</t>
  </si>
  <si>
    <t>2015-2-11 11:7:24.299: Algorithm - getHedgeShortfall - required deltas is 120 price is 1.52905 currentHedgePositionDeltas is 112</t>
  </si>
  <si>
    <t>2015-2-11 11:7:24.299: Algorithm - processTransitionPoint - nextUpper/LowerStrikes are 1.53/1.525 requiredDeltas/currentPosition/currentHedgeShortfall/direction/transitionPrice are 120/112/8/1/1.52905</t>
  </si>
  <si>
    <t>2015-2-11 11:7:24.299: TransitionLogger - processTransitionpoint - checking transition - currentHedgeShortfall is 8</t>
  </si>
  <si>
    <t>2015-2-11 11:7:24.299: Algorithm - rehedge - rehedging 8 contracts</t>
  </si>
  <si>
    <t>2015-2-11 11:7:24.299: Algorithm - rehedge - Need to place order but already have a working order - workingQty is -828 working order count -45</t>
  </si>
  <si>
    <t>2015-2-11 11:7:24.299: Algorithm - updatePortfolio - haveAllDetails is True</t>
  </si>
  <si>
    <t>2015-2-11 11:7:24.361: Algorithm - FindNextStrikes - price is 1.52895 nextStrikeUp/Down 1.53/1.525</t>
  </si>
  <si>
    <t>2015-2-11 11:7:24.361: Algorithm - getPortfolioForwardDelta - required deltas is 120 currentHedgePosition is 112</t>
  </si>
  <si>
    <t>2015-2-11 11:7:24.361: Algorithm - getHedgeShortfall - required deltas is 120 price is 1.52905 currentHedgePositionDeltas is 112</t>
  </si>
  <si>
    <t>2015-2-11 11:7:24.361: Algorithm - processTransitionPoint - nextUpper/LowerStrikes are 1.53/1.525 requiredDeltas/currentPosition/currentHedgeShortfall/direction/transitionPrice are 120/112/8/1/1.52905</t>
  </si>
  <si>
    <t>2015-2-11 11:7:24.361: TransitionLogger - processTransitionpoint - checking transition - currentHedgeShortfall is 8</t>
  </si>
  <si>
    <t>2015-2-11 11:7:24.361: Algorithm - rehedge - rehedging 8 contracts</t>
  </si>
  <si>
    <t>2015-2-11 11:7:24.361: Algorithm - rehedge - Need to place order but already have a working order - workingQty is -828 working order count -45</t>
  </si>
  <si>
    <t>2015-2-11 11:7:24.377: Algorithm - updatePortfolio - haveAllDetails is True</t>
  </si>
  <si>
    <t>2015-2-11 11:7:24.408: Algorithm - FindNextStrikes - price is 1.52895 nextStrikeUp/Down 1.53/1.525</t>
  </si>
  <si>
    <t>2015-2-11 11:7:24.408: Algorithm - getPortfolioForwardDelta - required deltas is 120 currentHedgePosition is 112</t>
  </si>
  <si>
    <t>2015-2-11 11:7:24.408: Algorithm - getHedgeShortfall - required deltas is 120 price is 1.52905 currentHedgePositionDeltas is 112</t>
  </si>
  <si>
    <t>2015-2-11 11:7:24.408: Algorithm - processTransitionPoint - nextUpper/LowerStrikes are 1.53/1.525 requiredDeltas/currentPosition/currentHedgeShortfall/direction/transitionPrice are 120/112/8/1/1.52905</t>
  </si>
  <si>
    <t>2015-2-11 11:7:24.408: TransitionLogger - processTransitionpoint - checking transition - currentHedgeShortfall is 8</t>
  </si>
  <si>
    <t>2015-2-11 11:7:24.408: Algorithm - rehedge - rehedging 8 contracts</t>
  </si>
  <si>
    <t>2015-2-11 11:7:24.408: Algorithm - rehedge - Need to place order but already have a working order - workingQty is -828 working order count -45</t>
  </si>
  <si>
    <t>2015-2-11 11:7:24.408: Algorithm - updatePortfolio - haveAllDetails is True</t>
  </si>
  <si>
    <t>2015-2-11 11:7:24.455: RTWSControl - nextValidId - entering nextValidId id is 9761</t>
  </si>
  <si>
    <t>2015-2-11 11:7:24.486: openOrderEx - I am here</t>
  </si>
  <si>
    <t>2015-2-11 11:7:24.502: RTWSControl - orderStatus -  entering orderStatus id is 9760 status is Submitted</t>
  </si>
  <si>
    <t>2015-2-11 11:7:24.502: OrderManager - UpdateOrderStatus - id 9760 Setting status to Submitted workingOrderCount is now -45 workingQty -828</t>
  </si>
  <si>
    <t>2015-2-11 11:7:24.502: RTWSControl - OrderStatus - Got OrderStatus Message id:9760 status: Submitted filled: 0</t>
  </si>
  <si>
    <t>2015-2-11 11:7:24.502: RTWSControl - OrderStatus - exiting orderStatus</t>
  </si>
  <si>
    <t>2015-2-11 11:7:34.754: Algorithm - rehedge - rehedging 8 contracts</t>
  </si>
  <si>
    <t>2015-2-11 11:7:34.756: Algorithm - rehedge - Need to place order but already have a working order - workingQty is -828 working order count -45</t>
  </si>
  <si>
    <t>2015-2-11 11:7:34.769: OrderManager - cancelOrder - cancelling order id 9753</t>
  </si>
  <si>
    <t>2015-2-11 11:7:34.771: OrderManager - PlaceOrder - id 9761 workingQty -788</t>
  </si>
  <si>
    <t>2015-2-11 11:7:34.775: OrderManager - sendOrder - exiting place order id 9761 BUY 40 1.5413  - workingQty -788 currentPosition is 112 workingOrderCount is -44</t>
  </si>
  <si>
    <t>2015-2-11 11:7:34.780: OrderManager - cancelOrder - cancelling order id 9757</t>
  </si>
  <si>
    <t>2015-2-11 11:7:34.782: OrderManager - createOrder - exiting without creating order - did not have validID</t>
  </si>
  <si>
    <t>2015-2-11 11:7:34.834: OrderManager - cancelOrder - cancelling order id 9760</t>
  </si>
  <si>
    <t>2015-2-11 11:7:34.836: Algorithm - checkWorkingOrders - cancelling BUY - orderPrice 1.5289 too far from marketPrice 1.52905</t>
  </si>
  <si>
    <t>2015-2-11 11:7:34.838: Algorithm - rehedge - rehedging 8 contracts</t>
  </si>
  <si>
    <t>2015-2-11 11:7:34.839: Algorithm - rehedge - Need to place order but already have a working order - workingQty is -788 working order count -44</t>
  </si>
  <si>
    <t>2015-2-11 11:7:34.845: OrderManager - createOrder - exiting without creating order - did not have validID</t>
  </si>
  <si>
    <t>2015-2-11 11:7:34.913: Algorithm - rehedge - rehedging 8 contracts</t>
  </si>
  <si>
    <t>2015-2-11 11:7:34.914: Algorithm - rehedge - Need to place order but already have a working order - workingQty is -788 working order count -44</t>
  </si>
  <si>
    <t>2015-2-11 11:7:34.918: OrderManager - createOrder - exiting without creating order - did not have validID</t>
  </si>
  <si>
    <t>2015-2-11 11:7:35.95: RTWSControl - nextValidId - entering nextValidId id is 9762</t>
  </si>
  <si>
    <t>2015-2-11 11:7:35.111: RTWSControl - orderStatus -  entering orderStatus id is 9753 status is Cancelled</t>
  </si>
  <si>
    <t>2015-2-11 11:7:35.111: OrderManager - UpdateOrderStatus - id 9753 Setting status to Cancelled workingOrderCount is now -44 workingQty -788</t>
  </si>
  <si>
    <t>2015-2-11 11:7:35.126: RTWSControl - OrderStatus - Got OrderStatus Message id:9753 status: Cancelled filled: 0</t>
  </si>
  <si>
    <t>2015-2-11 11:7:35.142: RTWSControl - OrderStatus - exiting orderStatus</t>
  </si>
  <si>
    <t>2015-2-11 11:7:35.157: RTWSControl - errMsg - got error message 202:Order Canceled - reason:with id 9753</t>
  </si>
  <si>
    <t>2015-2-11 11:7:35.157: OrderManager - canceledOrder - cleaning up after canceled order 9753BEWARE UNACCOUNTED FOR EXECUTIONS!!!</t>
  </si>
  <si>
    <t>2015-2-11 11:7:35.157: OrderManager - terminateOrder - cleaning up after Canceled 9753  order was supposed to BUY 36 1.5398 STP LMT workingQty/OrderCount now -824/-45</t>
  </si>
  <si>
    <t>2015-2-11 11:7:35.189: RTWSControl - orderStatus -  entering orderStatus id is 9757 status is Cancelled</t>
  </si>
  <si>
    <t>2015-2-11 11:7:35.189: OrderManager - UpdateOrderStatus - id 9757 Setting status to Cancelled workingOrderCount is now -45 workingQty -824</t>
  </si>
  <si>
    <t>2015-2-11 11:7:35.189: RTWSControl - OrderStatus - Got OrderStatus Message id:9757 status: Cancelled filled: 0</t>
  </si>
  <si>
    <t>2015-2-11 11:7:35.189: RTWSControl - OrderStatus - exiting orderStatus</t>
  </si>
  <si>
    <t>2015-2-11 11:7:35.204: RTWSControl - errMsg - got error message 202:Order Canceled - reason:with id 9757</t>
  </si>
  <si>
    <t>2015-2-11 11:7:35.204: OrderManager - canceledOrder - cleaning up after canceled order 9757BEWARE UNACCOUNTED FOR EXECUTIONS!!!</t>
  </si>
  <si>
    <t>2015-2-11 11:7:35.204: OrderManager - terminateOrder - cleaning up after Canceled 9757  order was supposed to SELL 37 1.5274 STP LMT workingQty/OrderCount now -861/-46</t>
  </si>
  <si>
    <t>2015-2-11 11:7:35.220: openOrderEx - I am here</t>
  </si>
  <si>
    <t>2015-2-11 11:7:35.235: RTWSControl - orderStatus -  entering orderStatus id is 9761 status is PreSubmitted</t>
  </si>
  <si>
    <t>2015-2-11 11:7:35.235: OrderManager - UpdateOrderStatus - id 9761 Setting status to PreSubmitted workingOrderCount is now -46 workingQty -861</t>
  </si>
  <si>
    <t>2015-2-11 11:7:35.235: RTWSControl - OrderStatus - Got OrderStatus Message id:9761 status: PreSubmitted filled: 0</t>
  </si>
  <si>
    <t>2015-2-11 11:7:35.235: RTWSControl - OrderStatus - exiting orderStatus</t>
  </si>
  <si>
    <t>2015-2-11 11:7:35.251: RTWSControl - orderStatus -  entering orderStatus id is 9760 status is Cancelled</t>
  </si>
  <si>
    <t>2015-2-11 11:7:35.251: OrderManager - UpdateOrderStatus - id 9760 Setting status to Cancelled workingOrderCount is now -46 workingQty -861</t>
  </si>
  <si>
    <t>2015-2-11 11:7:35.251: RTWSControl - OrderStatus - Got OrderStatus Message id:9760 status: Cancelled filled: 0</t>
  </si>
  <si>
    <t>2015-2-11 11:7:35.251: RTWSControl - OrderStatus - exiting orderStatus</t>
  </si>
  <si>
    <t>2015-2-11 11:7:35.267: RTWSControl - errMsg - got error message 202:Order Canceled - reason:with id 9760</t>
  </si>
  <si>
    <t>2015-2-11 11:7:35.267: OrderManager - canceledOrder - cleaning up after canceled order 9760BEWARE UNACCOUNTED FOR EXECUTIONS!!!</t>
  </si>
  <si>
    <t>2015-2-11 11:7:35.267: OrderManager - terminateOrder - cleaning up after Canceled 9760  order was supposed to BUY 5 1.5289 LMT workingQty/OrderCount now -866/-47</t>
  </si>
  <si>
    <t>2015-2-11 11:7:35.345: Algorithm - rehedge - rehedging 8 contracts</t>
  </si>
  <si>
    <t>2015-2-11 11:7:35.345: Algortihm - rehedge - inside the loop</t>
  </si>
  <si>
    <t>2015-2-11 11:7:35.345: OrderManager - PlaceOrder - id 9762 workingQty -861</t>
  </si>
  <si>
    <t>2015-2-11 11:7:35.360: OrderManager - sendOrder - exiting place order id 9762 BUY 5 1.529  - workingQty -861 currentPosition is 112 workingOrderCount is -46</t>
  </si>
  <si>
    <t>2015-2-11 11:7:35.360: Algorithm - rehedge - placing an order - orderSize is 5 workingQty is -861 working order count -46</t>
  </si>
  <si>
    <t>2015-2-11 11:7:35.376: OrderManager - createOrder - exiting without creating order - did not have validID</t>
  </si>
  <si>
    <t>2015-2-11 11:7:35.736: RTWSControl - nextValidId - entering nextValidId id is 9763</t>
  </si>
  <si>
    <t>2015-2-11 11:7:35.751: openOrderEx - I am here</t>
  </si>
  <si>
    <t>2015-2-11 11:7:35.782: RTWSControl - orderStatus -  entering orderStatus id is 9762 status is Submitted</t>
  </si>
  <si>
    <t>2015-2-11 11:7:35.782: OrderManager - UpdateOrderStatus - id 9762 Setting status to Submitted workingOrderCount is now -46 workingQty -861</t>
  </si>
  <si>
    <t>2015-2-11 11:7:35.782: RTWSControl - OrderStatus - Got OrderStatus Message id:9762 status: Submitted filled: 0</t>
  </si>
  <si>
    <t>2015-2-11 11:7:35.798: RTWSControl - OrderStatus - exiting orderStatus</t>
  </si>
  <si>
    <t>2015-2-11 11:7:38.956: Algorithm - FindNextStrikes - price is 1.52905 nextStrikeUp/Down 1.53/1.525</t>
  </si>
  <si>
    <t>2015-2-11 11:7:38.956: Algorithm - getPortfolioForwardDelta - required deltas is 120 currentHedgePosition is 112</t>
  </si>
  <si>
    <t>2015-2-11 11:7:38.957: Algorithm - getHedgeShortfall - required deltas is 120 price is 1.52915 currentHedgePositionDeltas is 112</t>
  </si>
  <si>
    <t>2015-2-11 11:7:38.959: Algorithm - processTransitionPoint - nextUpper/LowerStrikes are 1.53/1.525 requiredDeltas/currentPosition/currentHedgeShortfall/direction/transitionPrice are 120/112/8/1/1.52915</t>
  </si>
  <si>
    <t>2015-2-11 11:7:38.961: TransitionLogger - processTransitionpoint - checking transition - currentHedgeShortfall is 8</t>
  </si>
  <si>
    <t>2015-2-11 11:7:38.961: Algorithm - rehedge - rehedging 8 contracts</t>
  </si>
  <si>
    <t>2015-2-11 11:7:38.962: Algorithm - rehedge - Need to place order but already have a working order - workingQty is -861 working order count -46</t>
  </si>
  <si>
    <t>2015-2-11 11:7:38.965: Algorithm - updatePortfolio - haveAllDetails is True</t>
  </si>
  <si>
    <t>2015-2-11 11:7:38.984: Algorithm - FindNextStrikes - price is 1.52905 nextStrikeUp/Down 1.53/1.525</t>
  </si>
  <si>
    <t>2015-2-11 11:7:38.985: Algorithm - getPortfolioForwardDelta - required deltas is 120 currentHedgePosition is 112</t>
  </si>
  <si>
    <t>2015-2-11 11:7:38.986: Algorithm - getHedgeShortfall - required deltas is 120 price is 1.52915 currentHedgePositionDeltas is 112</t>
  </si>
  <si>
    <t>2015-2-11 11:7:38.988: Algorithm - processTransitionPoint - nextUpper/LowerStrikes are 1.53/1.525 requiredDeltas/currentPosition/currentHedgeShortfall/direction/transitionPrice are 120/112/8/1/1.52915</t>
  </si>
  <si>
    <t>2015-2-11 11:7:38.990: TransitionLogger - processTransitionpoint - checking transition - currentHedgeShortfall is 8</t>
  </si>
  <si>
    <t>2015-2-11 11:7:38.991: Algorithm - rehedge - rehedging 8 contracts</t>
  </si>
  <si>
    <t>2015-2-11 11:7:38.992: Algorithm - rehedge - Need to place order but already have a working order - workingQty is -861 working order count -46</t>
  </si>
  <si>
    <t>2015-2-11 11:7:38.994: Algorithm - updatePortfolio - haveAllDetails is True</t>
  </si>
  <si>
    <t>2015-2-11 11:7:39.25: Algorithm - FindNextStrikes - price is 1.52905 nextStrikeUp/Down 1.53/1.525</t>
  </si>
  <si>
    <t>2015-2-11 11:7:39.26: Algorithm - getPortfolioForwardDelta - required deltas is 120 currentHedgePosition is 112</t>
  </si>
  <si>
    <t>2015-2-11 11:7:39.27: Algorithm - getHedgeShortfall - required deltas is 120 price is 1.52915 currentHedgePositionDeltas is 112</t>
  </si>
  <si>
    <t>2015-2-11 11:7:39.29: Algorithm - processTransitionPoint - nextUpper/LowerStrikes are 1.53/1.525 requiredDeltas/currentPosition/currentHedgeShortfall/direction/transitionPrice are 120/112/8/1/1.52915</t>
  </si>
  <si>
    <t>2015-2-11 11:7:39.31: TransitionLogger - processTransitionpoint - checking transition - currentHedgeShortfall is 8</t>
  </si>
  <si>
    <t>2015-2-11 11:7:39.32: Algorithm - rehedge - rehedging 8 contracts</t>
  </si>
  <si>
    <t>2015-2-11 11:7:39.32: Algorithm - rehedge - Need to place order but already have a working order - workingQty is -861 working order count -46</t>
  </si>
  <si>
    <t>2015-2-11 11:7:39.35: Algorithm - updatePortfolio - haveAllDetails is True</t>
  </si>
  <si>
    <t>2015-2-11 11:7:39.60: Algorithm - FindNextStrikes - price is 1.52905 nextStrikeUp/Down 1.53/1.525</t>
  </si>
  <si>
    <t>2015-2-11 11:7:39.61: Algorithm - getPortfolioForwardDelta - required deltas is 120 currentHedgePosition is 112</t>
  </si>
  <si>
    <t>2015-2-11 11:7:39.62: Algorithm - getHedgeShortfall - required deltas is 120 price is 1.52915 currentHedgePositionDeltas is 112</t>
  </si>
  <si>
    <t>2015-2-11 11:7:39.64: Algorithm - processTransitionPoint - nextUpper/LowerStrikes are 1.53/1.525 requiredDeltas/currentPosition/currentHedgeShortfall/direction/transitionPrice are 120/112/8/1/1.52915</t>
  </si>
  <si>
    <t>2015-2-11 11:7:39.65: TransitionLogger - processTransitionpoint - checking transition - currentHedgeShortfall is 8</t>
  </si>
  <si>
    <t>2015-2-11 11:7:39.66: Algorithm - rehedge - rehedging 8 contracts</t>
  </si>
  <si>
    <t>2015-2-11 11:7:39.67: Algorithm - rehedge - Need to place order but already have a working order - workingQty is -861 working order count -46</t>
  </si>
  <si>
    <t>2015-2-11 11:7:39.70: Algorithm - updatePortfolio - haveAllDetails is True</t>
  </si>
  <si>
    <t>2015-2-11 11:7:39.101: Algorithm - FindNextStrikes - price is 1.52905 nextStrikeUp/Down 1.53/1.525</t>
  </si>
  <si>
    <t>2015-2-11 11:7:39.102: Algorithm - getPortfolioForwardDelta - required deltas is 120 currentHedgePosition is 112</t>
  </si>
  <si>
    <t>2015-2-11 11:7:39.102: Algorithm - getHedgeShortfall - required deltas is 120 price is 1.52915 currentHedgePositionDeltas is 112</t>
  </si>
  <si>
    <t>2015-2-11 11:7:39.104: Algorithm - processTransitionPoint - nextUpper/LowerStrikes are 1.53/1.525 requiredDeltas/currentPosition/currentHedgeShortfall/direction/transitionPrice are 120/112/8/1/1.52915</t>
  </si>
  <si>
    <t>2015-2-11 11:7:39.106: TransitionLogger - processTransitionpoint - checking transition - currentHedgeShortfall is 8</t>
  </si>
  <si>
    <t>2015-2-11 11:7:39.107: Algorithm - rehedge - rehedging 8 contracts</t>
  </si>
  <si>
    <t>2015-2-11 11:7:39.107: Algorithm - rehedge - Need to place order but already have a working order - workingQty is -861 working order count -46</t>
  </si>
  <si>
    <t>2015-2-11 11:7:39.109: Algorithm - updatePortfolio - haveAllDetails is True</t>
  </si>
  <si>
    <t>2015-2-11 11:7:39.143: Algorithm - FindNextStrikes - price is 1.52905 nextStrikeUp/Down 1.53/1.525</t>
  </si>
  <si>
    <t>2015-2-11 11:7:39.144: Algorithm - getPortfolioForwardDelta - required deltas is 120 currentHedgePosition is 112</t>
  </si>
  <si>
    <t>2015-2-11 11:7:39.145: Algorithm - getHedgeShortfall - required deltas is 120 price is 1.52915 currentHedgePositionDeltas is 112</t>
  </si>
  <si>
    <t>2015-2-11 11:7:39.147: Algorithm - processTransitionPoint - nextUpper/LowerStrikes are 1.53/1.525 requiredDeltas/currentPosition/currentHedgeShortfall/direction/transitionPrice are 120/112/8/1/1.52915</t>
  </si>
  <si>
    <t>2015-2-11 11:7:39.148: TransitionLogger - processTransitionpoint - checking transition - currentHedgeShortfall is 8</t>
  </si>
  <si>
    <t>2015-2-11 11:7:39.149: Algorithm - rehedge - rehedging 8 contracts</t>
  </si>
  <si>
    <t>2015-2-11 11:7:39.150: Algorithm - rehedge - Need to place order but already have a working order - workingQty is -861 working order count -46</t>
  </si>
  <si>
    <t>2015-2-11 11:7:39.152: Algorithm - updatePortfolio - haveAllDetails is True</t>
  </si>
  <si>
    <t>2015-2-11 11:7:39.186: Algorithm - FindNextStrikes - price is 1.52905 nextStrikeUp/Down 1.53/1.525</t>
  </si>
  <si>
    <t>2015-2-11 11:7:39.187: Algorithm - getPortfolioForwardDelta - required deltas is 120 currentHedgePosition is 112</t>
  </si>
  <si>
    <t>2015-2-11 11:7:39.188: Algorithm - getHedgeShortfall - required deltas is 120 price is 1.52915 currentHedgePositionDeltas is 112</t>
  </si>
  <si>
    <t>2015-2-11 11:7:39.190: Algorithm - processTransitionPoint - nextUpper/LowerStrikes are 1.53/1.525 requiredDeltas/currentPosition/currentHedgeShortfall/direction/transitionPrice are 120/112/8/1/1.52915</t>
  </si>
  <si>
    <t>2015-2-11 11:7:39.191: TransitionLogger - processTransitionpoint - checking transition - currentHedgeShortfall is 8</t>
  </si>
  <si>
    <t>2015-2-11 11:7:39.192: Algorithm - rehedge - rehedging 8 contracts</t>
  </si>
  <si>
    <t>2015-2-11 11:7:39.193: Algorithm - rehedge - Need to place order but already have a working order - workingQty is -861 working order count -46</t>
  </si>
  <si>
    <t>2015-2-11 11:7:39.196: Algorithm - updatePortfolio - haveAllDetails is True</t>
  </si>
  <si>
    <t>2015-2-11 11:7:39.229: Algorithm - FindNextStrikes - price is 1.52905 nextStrikeUp/Down 1.53/1.525</t>
  </si>
  <si>
    <t>2015-2-11 11:7:39.230: Algorithm - getPortfolioForwardDelta - required deltas is 120 currentHedgePosition is 112</t>
  </si>
  <si>
    <t>2015-2-11 11:7:39.230: Algorithm - getHedgeShortfall - required deltas is 120 price is 1.52915 currentHedgePositionDeltas is 112</t>
  </si>
  <si>
    <t>2015-2-11 11:7:39.232: Algorithm - processTransitionPoint - nextUpper/LowerStrikes are 1.53/1.525 requiredDeltas/currentPosition/currentHedgeShortfall/direction/transitionPrice are 120/112/8/1/1.52915</t>
  </si>
  <si>
    <t>2015-2-11 11:7:39.234: TransitionLogger - processTransitionpoint - checking transition - currentHedgeShortfall is 8</t>
  </si>
  <si>
    <t>2015-2-11 11:7:39.235: Algorithm - rehedge - rehedging 8 contracts</t>
  </si>
  <si>
    <t>2015-2-11 11:7:39.236: Algorithm - rehedge - Need to place order but already have a working order - workingQty is -861 working order count -46</t>
  </si>
  <si>
    <t>2015-2-11 11:7:39.238: Algorithm - updatePortfolio - haveAllDetails is True</t>
  </si>
  <si>
    <t>2015-2-11 11:7:39.272: Algorithm - FindNextStrikes - price is 1.52905 nextStrikeUp/Down 1.53/1.525</t>
  </si>
  <si>
    <t>2015-2-11 11:7:39.273: Algorithm - getPortfolioForwardDelta - required deltas is 120 currentHedgePosition is 112</t>
  </si>
  <si>
    <t>2015-2-11 11:7:39.274: Algorithm - getHedgeShortfall - required deltas is 120 price is 1.52915 currentHedgePositionDeltas is 112</t>
  </si>
  <si>
    <t>2015-2-11 11:7:39.276: Algorithm - processTransitionPoint - nextUpper/LowerStrikes are 1.53/1.525 requiredDeltas/currentPosition/currentHedgeShortfall/direction/transitionPrice are 120/112/8/1/1.52915</t>
  </si>
  <si>
    <t>2015-2-11 11:7:39.277: TransitionLogger - processTransitionpoint - checking transition - currentHedgeShortfall is 8</t>
  </si>
  <si>
    <t>2015-2-11 11:7:39.278: Algorithm - rehedge - rehedging 8 contracts</t>
  </si>
  <si>
    <t>2015-2-11 11:7:39.279: Algorithm - rehedge - Need to place order but already have a working order - workingQty is -861 working order count -46</t>
  </si>
  <si>
    <t>2015-2-11 11:7:39.281: Algorithm - updatePortfolio - haveAllDetails is True</t>
  </si>
  <si>
    <t>2015-2-11 11:7:39.313: Algorithm - FindNextStrikes - price is 1.52905 nextStrikeUp/Down 1.53/1.525</t>
  </si>
  <si>
    <t>2015-2-11 11:7:39.314: Algorithm - getPortfolioForwardDelta - required deltas is 120 currentHedgePosition is 112</t>
  </si>
  <si>
    <t>2015-2-11 11:7:39.314: Algorithm - getHedgeShortfall - required deltas is 120 price is 1.52915 currentHedgePositionDeltas is 112</t>
  </si>
  <si>
    <t>2015-2-11 11:7:39.316: Algorithm - processTransitionPoint - nextUpper/LowerStrikes are 1.53/1.525 requiredDeltas/currentPosition/currentHedgeShortfall/direction/transitionPrice are 120/112/8/1/1.52915</t>
  </si>
  <si>
    <t>2015-2-11 11:7:39.318: TransitionLogger - processTransitionpoint - checking transition - currentHedgeShortfall is 8</t>
  </si>
  <si>
    <t>2015-2-11 11:7:39.319: Algorithm - rehedge - rehedging 8 contracts</t>
  </si>
  <si>
    <t>2015-2-11 11:7:39.320: Algorithm - rehedge - Need to place order but already have a working order - workingQty is -861 working order count -46</t>
  </si>
  <si>
    <t>2015-2-11 11:7:39.322: Algorithm - updatePortfolio - haveAllDetails is True</t>
  </si>
  <si>
    <t>2015-2-11 11:7:39.590: RTWSControl - execDetails -  entering execDetailsEx execution id is 0001f4e5.54da9c2b.01.01 shares/cumQty is 1/1</t>
  </si>
  <si>
    <t>2015-2-11 11:7:39.593: Algorithm - FindNextStrikes - price is 1.52905 nextStrikeUp/Down 1.53/1.525</t>
  </si>
  <si>
    <t>2015-2-11 11:7:39.594: Algorithm - getPortfolioForwardDelta - required deltas is 120 currentHedgePosition is 113</t>
  </si>
  <si>
    <t>2015-2-11 11:7:39.594: Algorithm - getHedgeShortfall - required deltas is 120 price is 1.52915 currentHedgePositionDeltas is 113</t>
  </si>
  <si>
    <t>2015-2-11 11:7:39.596: Algorithm - processTransitionPoint - nextUpper/LowerStrikes are 1.53/1.525 requiredDeltas/currentPosition/currentHedgeShortfall/direction/transitionPrice are 120/113/7/1/1.52915</t>
  </si>
  <si>
    <t>2015-2-11 11:7:39.598: TransitionLogger - processTransitionpoint - checking transition - currentHedgeShortfall is 7</t>
  </si>
  <si>
    <t>2015-2-11 11:7:39.598: OrderManager - updateExecution - got a fill for id 9762 qty 1 side BOT price 1.529 - new working order size is -862 new instrument.qty is 113</t>
  </si>
  <si>
    <t>0001f4e5.54da9c2b.01.01</t>
  </si>
  <si>
    <t>20150211  11:07:40</t>
  </si>
  <si>
    <t>2015-2-11 11:7:39.604: OrderManagerView - UpdateExecutionView - entering updateExecutionView  executionId is 0001f4e5.54da9c2b.01.01</t>
  </si>
  <si>
    <t>2015-2-11 11:7:39.606: OrderManagerView - updateExecutionView -  exiting UpdateExecutionView</t>
  </si>
  <si>
    <t>2015-2-11 11:7:39.607: RTWSControl - execDetails -  exiting execDetailsEx</t>
  </si>
  <si>
    <t>2015-2-11 11:7:39.607: RTWSControl - execDetails - Got execution Message id:-1</t>
  </si>
  <si>
    <t>2015-2-11 11:7:39.630: openOrderEx - I am here</t>
  </si>
  <si>
    <t>2015-2-11 11:7:39.641: RTWSControl - orderStatus -  entering orderStatus id is 9762 status is Submitted</t>
  </si>
  <si>
    <t>2015-2-11 11:7:39.642: OrderManager - UpdateOrderStatus - id 9762 Setting status to Submitted workingOrderCount is now -46 workingQty -862</t>
  </si>
  <si>
    <t>2015-2-11 11:7:39.648: RTWSControl - OrderStatus - Got OrderStatus Message id:9762 status: Submitted filled: 1</t>
  </si>
  <si>
    <t>2015-2-11 11:7:39.649: RTWSControl - OrderStatus - exiting orderStatus</t>
  </si>
  <si>
    <t>2015-2-11 11:7:39.658: Algorithm - rehedge - rehedging 7 contracts</t>
  </si>
  <si>
    <t>2015-2-11 11:7:39.659: Algorithm - rehedge - Need to place order but already have a working order - workingQty is -862 working order count -46</t>
  </si>
  <si>
    <t>2015-2-11 11:7:39.663: OrderManager - PlaceOrder - id 9763 workingQty -900</t>
  </si>
  <si>
    <t>2015-2-11 11:7:39.664: OrderManagerView - findNextOORow - there are no available OpenOrderView Rows!!!!!!</t>
  </si>
  <si>
    <t>2015-2-11 11:7:39.666: OrderManager - sendOrder - exiting place order id 9763 SELL 38 1.5276  - workingQty -900 currentPosition is 113 workingOrderCount is -45</t>
  </si>
  <si>
    <t>2015-2-11 11:7:39.704: openOrderEx - I am here</t>
  </si>
  <si>
    <t>2015-2-11 11:7:39.748: RTWSControl - orderStatus -  entering orderStatus id is 9762 status is Submitted</t>
  </si>
  <si>
    <t>2015-2-11 11:7:39.748: OrderManager - UpdateOrderStatus - id 9762 Setting status to Submitted workingOrderCount is now -45 workingQty -900</t>
  </si>
  <si>
    <t>2015-2-11 11:7:39.753: RTWSControl - OrderStatus - Got OrderStatus Message id:9762 status: Submitted filled: 1</t>
  </si>
  <si>
    <t>2015-2-11 11:7:39.754: RTWSControl - OrderStatus - exiting orderStatus</t>
  </si>
  <si>
    <t>2015-2-11 11:7:39.763: RTWSControl - nextValidId - entering nextValidId id is 9764</t>
  </si>
  <si>
    <t>2015-2-11 11:7:39.976: openOrderEx - I am here</t>
  </si>
  <si>
    <t>2015-2-11 11:7:40.45: RTWSControl - orderStatus -  entering orderStatus id is 9763 status is PreSubmitted</t>
  </si>
  <si>
    <t>2015-2-11 11:7:40.46: OrderManager - UpdateOrderStatus - id 9763 Setting status to PreSubmitted workingOrderCount is now -45 workingQty -900</t>
  </si>
  <si>
    <t>2015-2-11 11:7:40.49: RTWSControl - OrderStatus - Got OrderStatus Message id:9763 status: PreSubmitted filled: 0</t>
  </si>
  <si>
    <t>2015-2-11 11:7:40.50: RTWSControl - OrderStatus - exiting orderStatus</t>
  </si>
  <si>
    <t>2015-2-11 11:7:40.747: Algorithm - FindNextStrikes - price is 1.529 nextStrikeUp/Down 1.53/1.525</t>
  </si>
  <si>
    <t>2015-2-11 11:7:40.747: Algorithm - getPortfolioForwardDelta - required deltas is 120 currentHedgePosition is 113</t>
  </si>
  <si>
    <t>2015-2-11 11:7:40.747: Algorithm - getHedgeShortfall - required deltas is 120 price is 1.5291 currentHedgePositionDeltas is 113</t>
  </si>
  <si>
    <t>2015-2-11 11:7:40.747: Algorithm - processTransitionPoint - nextUpper/LowerStrikes are 1.53/1.525 requiredDeltas/currentPosition/currentHedgeShortfall/direction/transitionPrice are 120/113/7/1/1.5291</t>
  </si>
  <si>
    <t>2015-2-11 11:7:40.747: TransitionLogger - processTransitionpoint - checking transition - currentHedgeShortfall is 7</t>
  </si>
  <si>
    <t>2015-2-11 11:7:40.747: Algorithm - rehedge - rehedging 7 contracts</t>
  </si>
  <si>
    <t>2015-2-11 11:7:40.747: Algorithm - rehedge - Need to place order but already have a working order - workingQty is -900 working order count -45</t>
  </si>
  <si>
    <t>2015-2-11 11:7:40.747: Algorithm - updatePortfolio - haveAllDetails is True</t>
  </si>
  <si>
    <t>2015-2-11 11:7:45.542: RTWSControl - execDetails -  entering execDetailsEx execution id is 0001f4e5.54da9c2c.01.01 shares/cumQty is 3/4</t>
  </si>
  <si>
    <t>2015-2-11 11:7:45.557: Algorithm - FindNextStrikes - price is 1.529 nextStrikeUp/Down 1.53/1.525</t>
  </si>
  <si>
    <t>2015-2-11 11:7:45.557: Algorithm - getPortfolioForwardDelta - required deltas is 120 currentHedgePosition is 116</t>
  </si>
  <si>
    <t>2015-2-11 11:7:45.557: Algorithm - getHedgeShortfall - required deltas is 120 price is 1.5291 currentHedgePositionDeltas is 116</t>
  </si>
  <si>
    <t>2015-2-11 11:7:45.557: Algorithm - processTransitionPoint - nextUpper/LowerStrikes are 1.53/1.525 requiredDeltas/currentPosition/currentHedgeShortfall/direction/transitionPrice are 120/116/4/1/1.5291</t>
  </si>
  <si>
    <t>2015-2-11 11:7:45.557: TransitionLogger - processTransitionpoint - checking transition - currentHedgeShortfall is 4</t>
  </si>
  <si>
    <t>2015-2-11 11:7:45.557: OrderManager - updateExecution - got a fill for id 9762 qty 3 side BOT price 1.529 - new working order size is -903 new instrument.qty is 116</t>
  </si>
  <si>
    <t>0001f4e5.54da9c2c.01.01</t>
  </si>
  <si>
    <t>20150211  11:07:46</t>
  </si>
  <si>
    <t>2015-2-11 11:7:45.573: OrderManagerView - UpdateExecutionView - entering updateExecutionView  executionId is 0001f4e5.54da9c2c.01.01</t>
  </si>
  <si>
    <t>2015-2-11 11:7:45.573: OrderManagerView - updateExecutionView -  exiting UpdateExecutionView</t>
  </si>
  <si>
    <t>2015-2-11 11:7:45.573: RTWSControl - execDetails -  exiting execDetailsEx</t>
  </si>
  <si>
    <t>2015-2-11 11:7:45.573: RTWSControl - execDetails - Got execution Message id:-1</t>
  </si>
  <si>
    <t>2015-2-11 11:7:45.573: openOrderEx - I am here</t>
  </si>
  <si>
    <t>2015-2-11 11:7:45.588: RTWSControl - orderStatus -  entering orderStatus id is 9762 status is Submitted</t>
  </si>
  <si>
    <t>2015-2-11 11:7:45.588: OrderManager - UpdateOrderStatus - id 9762 Setting status to Submitted workingOrderCount is now -45 workingQty -903</t>
  </si>
  <si>
    <t>2015-2-11 11:7:45.588: RTWSControl - OrderStatus - Got OrderStatus Message id:9762 status: Submitted filled: 4</t>
  </si>
  <si>
    <t>2015-2-11 11:7:45.588: RTWSControl - OrderStatus - exiting orderStatus</t>
  </si>
  <si>
    <t>2015-2-11 11:7:45.963: openOrderEx - I am here</t>
  </si>
  <si>
    <t>2015-2-11 11:7:45.978: RTWSControl - orderStatus -  entering orderStatus id is 9762 status is Submitted</t>
  </si>
  <si>
    <t>2015-2-11 11:7:45.978: OrderManager - UpdateOrderStatus - id 9762 Setting status to Submitted workingOrderCount is now -45 workingQty -903</t>
  </si>
  <si>
    <t>2015-2-11 11:7:45.978: RTWSControl - OrderStatus - Got OrderStatus Message id:9762 status: Submitted filled: 4</t>
  </si>
  <si>
    <t>2015-2-11 11:7:45.978: RTWSControl - OrderStatus - exiting orderStatus</t>
  </si>
  <si>
    <t>2015-2-11 11:7:47.374: Algorithm - FindNextStrikes - price is 1.529 nextStrikeUp/Down 1.53/1.525</t>
  </si>
  <si>
    <t>2015-2-11 11:7:47.374: Algorithm - getPortfolioForwardDelta - required deltas is 120 currentHedgePosition is 116</t>
  </si>
  <si>
    <t>2015-2-11 11:7:47.374: Algorithm - getHedgeShortfall - required deltas is 120 price is 1.5291 currentHedgePositionDeltas is 116</t>
  </si>
  <si>
    <t>2015-2-11 11:7:47.374: Algorithm - processTransitionPoint - nextUpper/LowerStrikes are 1.53/1.525 requiredDeltas/currentPosition/currentHedgeShortfall/direction/transitionPrice are 120/116/4/1/1.5291</t>
  </si>
  <si>
    <t>2015-2-11 11:7:47.374: TransitionLogger - processTransitionpoint - checking transition - currentHedgeShortfall is 4</t>
  </si>
  <si>
    <t>2015-2-11 11:7:47.374: Algorithm - rehedge - rehedging 4 contracts</t>
  </si>
  <si>
    <t>2015-2-11 11:7:47.374: Algorithm - rehedge - Need to place order but already have a working order - workingQty is -903 working order count -45</t>
  </si>
  <si>
    <t>2015-2-11 11:7:47.389: Algorithm - updatePortfolio - haveAllDetails is True</t>
  </si>
  <si>
    <t>2015-2-11 11:7:47.452: Algorithm - rehedge - rehedging 4 contracts</t>
  </si>
  <si>
    <t>2015-2-11 11:7:47.453: Algorithm - rehedge - Need to place order but already have a working order - workingQty is -903 working order count -45</t>
  </si>
  <si>
    <t>2015-2-11 11:7:47.456: OrderManager - cancelOrder - cancelling order id 9763</t>
  </si>
  <si>
    <t>2015-2-11 11:7:47.457: OrderManager - PlaceOrder - id 9764 workingQty -945</t>
  </si>
  <si>
    <t>2015-2-11 11:7:47.459: OrderManager - sendOrder - exiting place order id 9764 SELL 42 1.5276  - workingQty -945 currentPosition is 116 workingOrderCount is -44</t>
  </si>
  <si>
    <t>2015-2-11 11:7:47.806: RTWSControl - nextValidId - entering nextValidId id is 9765</t>
  </si>
  <si>
    <t>2015-2-11 11:7:47.813: RTWSControl - orderStatus -  entering orderStatus id is 9763 status is Cancelled</t>
  </si>
  <si>
    <t>2015-2-11 11:7:47.814: OrderManager - UpdateOrderStatus - id 9763 Setting status to Cancelled workingOrderCount is now -44 workingQty -945</t>
  </si>
  <si>
    <t>2015-2-11 11:7:47.818: RTWSControl - OrderStatus - Got OrderStatus Message id:9763 status: Cancelled filled: 0</t>
  </si>
  <si>
    <t>2015-2-11 11:7:47.819: RTWSControl - OrderStatus - exiting orderStatus</t>
  </si>
  <si>
    <t>2015-2-11 11:7:47.839: RTWSControl - errMsg - got error message 202:Order Canceled - reason:with id 9763</t>
  </si>
  <si>
    <t>2015-2-11 11:7:47.839: OrderManager - canceledOrder - cleaning up after canceled order 9763BEWARE UNACCOUNTED FOR EXECUTIONS!!!</t>
  </si>
  <si>
    <t>2015-2-11 11:7:47.841: OrderManager - terminateOrder - cleaning up after Canceled 9763  order was supposed to SELL 38 1.5276 STP LMT workingQty/OrderCount now -983/-45</t>
  </si>
  <si>
    <t>2015-2-11 11:7:47.853: openOrderEx - I am here</t>
  </si>
  <si>
    <t>2015-2-11 11:7:47.863: RTWSControl - orderStatus -  entering orderStatus id is 9764 status is PreSubmitted</t>
  </si>
  <si>
    <t>2015-2-11 11:7:47.864: OrderManager - UpdateOrderStatus - id 9764 Setting status to PreSubmitted workingOrderCount is now -45 workingQty -983</t>
  </si>
  <si>
    <t>2015-2-11 11:7:47.868: RTWSControl - OrderStatus - Got OrderStatus Message id:9764 status: PreSubmitted filled: 0</t>
  </si>
  <si>
    <t>2015-2-11 11:7:47.868: RTWSControl - OrderStatus - exiting orderStatus</t>
  </si>
  <si>
    <t>2015-2-11 11:7:52.258: RTWSControl - execDetails -  entering execDetailsEx execution id is 0001f4e5.54da9c2d.01.01 shares/cumQty is 1/5</t>
  </si>
  <si>
    <t>2015-2-11 11:7:52.258: Algorithm - FindNextStrikes - price is 1.52905 nextStrikeUp/Down 1.53/1.525</t>
  </si>
  <si>
    <t>2015-2-11 11:7:52.274: Algorithm - getPortfolioForwardDelta - required deltas is 120 currentHedgePosition is 117</t>
  </si>
  <si>
    <t>2015-2-11 11:7:52.274: Algorithm - getHedgeShortfall - required deltas is 120 price is 1.52915 currentHedgePositionDeltas is 117</t>
  </si>
  <si>
    <t>2015-2-11 11:7:52.274: Algorithm - processTransitionPoint - nextUpper/LowerStrikes are 1.53/1.525 requiredDeltas/currentPosition/currentHedgeShortfall/direction/transitionPrice are 120/117/3/1/1.52915</t>
  </si>
  <si>
    <t>2015-2-11 11:7:52.289: TransitionLogger - processTransitionpoint - checking transition - currentHedgeShortfall is 3</t>
  </si>
  <si>
    <t>2015-2-11 11:7:52.289: OrderManager - updateExecution - got a fill for id 9762 qty 1 side BOT price 1.529 - new working order size is -984 new instrument.qty is 117</t>
  </si>
  <si>
    <t>0001f4e5.54da9c2d.01.01</t>
  </si>
  <si>
    <t>20150211  11:07:53</t>
  </si>
  <si>
    <t>2015-2-11 11:7:52.305: OrderManagerView - UpdateExecutionView - entering updateExecutionView  executionId is 0001f4e5.54da9c2d.01.01</t>
  </si>
  <si>
    <t>2015-2-11 11:7:52.305: OrderManagerView - updateExecutionView -  exiting UpdateExecutionView</t>
  </si>
  <si>
    <t>2015-2-11 11:7:52.320: RTWSControl - execDetails -  exiting execDetailsEx</t>
  </si>
  <si>
    <t>2015-2-11 11:7:52.320: RTWSControl - execDetails - Got execution Message id:-1</t>
  </si>
  <si>
    <t>2015-2-11 11:7:52.336: openOrderEx - I am here</t>
  </si>
  <si>
    <t>2015-2-11 11:7:52.352: RTWSControl - orderStatus -  entering orderStatus id is 9762 status is Filled</t>
  </si>
  <si>
    <t>2015-2-11 11:7:52.352: OrderManager - UpdateOrderStatus - id 9762 Setting status to Filled workingOrderCount is now -46 workingQty -984</t>
  </si>
  <si>
    <t>2015-2-11 11:7:52.367: OrderManager - terminateOrder - cleaning up after Filled 9762  order was supposed to BUY 5 1.529 LMT workingQty/OrderCount now -984/-47</t>
  </si>
  <si>
    <t>2015-2-11 11:7:52.367: RTWSControl - OrderStatus - Got OrderStatus Message id:9762 status: Filled filled: 5</t>
  </si>
  <si>
    <t>2015-2-11 11:7:52.367: RTWSControl - OrderStatus - exiting orderStatus</t>
  </si>
  <si>
    <t>2015-2-11 11:7:52.414: Algorithm - rehedge - rehedging 3 contracts</t>
  </si>
  <si>
    <t>2015-2-11 11:7:52.414: Algortihm - rehedge - inside the loop</t>
  </si>
  <si>
    <t>2015-2-11 11:7:52.414: OrderManager - PlaceOrder - id 9765 workingQty -981</t>
  </si>
  <si>
    <t>2015-2-11 11:7:52.414: OrderManager - sendOrder - exiting place order id 9765 BUY 3 1.529  - workingQty -981 currentPosition is 117 workingOrderCount is -46</t>
  </si>
  <si>
    <t>2015-2-11 11:7:52.414: Algorithm - rehedge - placing an order - orderSize is 3 workingQty is -981 working order count -46</t>
  </si>
  <si>
    <t>2015-2-11 11:7:52.461: Algorithm - rehedge - rehedging 3 contracts</t>
  </si>
  <si>
    <t>2015-2-11 11:7:52.461: Algorithm - rehedge - Need to place order but already have a working order - workingQty is -981 working order count -46</t>
  </si>
  <si>
    <t>2015-2-11 11:7:52.743: openOrderEx - I am here</t>
  </si>
  <si>
    <t>2015-2-11 11:7:52.758: RTWSControl - orderStatus -  entering orderStatus id is 9762 status is Filled</t>
  </si>
  <si>
    <t>2015-2-11 11:7:52.758: OrderManager - UpdateOrderStatus - id 9762 Setting status to Filled workingOrderCount is now -46 workingQty -981</t>
  </si>
  <si>
    <t>2015-2-11 11:7:52.758: OrderManager - terminateOrder - cleaning up after Filled 9762  order was supposed to BUY 5 1.529 LMT workingQty/OrderCount now -981/-47</t>
  </si>
  <si>
    <t>2015-2-11 11:7:52.758: RTWSControl - OrderStatus - Got OrderStatus Message id:9762 status: Filled filled: 5</t>
  </si>
  <si>
    <t>2015-2-11 11:7:52.758: RTWSControl - OrderStatus - exiting orderStatus</t>
  </si>
  <si>
    <t>2015-2-11 11:7:52.867: Algorithm - rehedge - rehedging 3 contracts</t>
  </si>
  <si>
    <t>2015-2-11 11:7:52.867: Algorithm - rehedge - Need to place order but already have a working order - workingQty is -981 working order count -47</t>
  </si>
  <si>
    <t>2015-2-11 11:7:53.169: RTWSControl - nextValidId - entering nextValidId id is 9766</t>
  </si>
  <si>
    <t>2015-2-11 11:7:53.184: RTWSControl - execDetails -  entering execDetailsEx execution id is 0001f4e5.54da9c2e.01.01 shares/cumQty is 3/3</t>
  </si>
  <si>
    <t>2015-2-11 11:7:53.184: Algorithm - FindNextStrikes - price is 1.5289 nextStrikeUp/Down 1.53/1.525</t>
  </si>
  <si>
    <t>2015-2-11 11:7:53.184: Algorithm - getPortfolioForwardDelta - required deltas is 120 currentHedgePosition is 120</t>
  </si>
  <si>
    <t>2015-2-11 11:7:53.184: Algorithm - getHedgeShortfall - required deltas is 120 price is 1.529 currentHedgePositionDeltas is 120</t>
  </si>
  <si>
    <t>2015-2-11 11:7:53.184: Algorithm - processTransitionPoint - nextUpper/LowerStrikes are 1.53/1.525 requiredDeltas/currentPosition/currentHedgeShortfall/direction/transitionPrice are 120/120/0/1/1.529</t>
  </si>
  <si>
    <t>2015-2-11 11:7:53.184: TransitionLogger - processTransitionpoint - checking transition - currentHedgeShortfall is 0</t>
  </si>
  <si>
    <t>2015-2-11 11:7:53.184: OrderManager - updateExecution - got a fill for id 9765 qty 3 side BOT price 1.5289 - new working order size is -984 new instrument.qty is 120</t>
  </si>
  <si>
    <t>0001f4e5.54da9c2e.01.01</t>
  </si>
  <si>
    <t>2015-2-11 11:7:53.184: OrderManagerView - UpdateExecutionView - entering updateExecutionView  executionId is 0001f4e5.54da9c2e.01.01</t>
  </si>
  <si>
    <t>2015-2-11 11:7:53.200: OrderManagerView - updateExecutionView -  exiting UpdateExecutionView</t>
  </si>
  <si>
    <t>2015-2-11 11:7:53.200: RTWSControl - execDetails -  exiting execDetailsEx</t>
  </si>
  <si>
    <t>2015-2-11 11:7:53.200: RTWSControl - execDetails - Got execution Message id:-1</t>
  </si>
  <si>
    <t>2015-2-11 11:7:53.215: openOrderEx - I am here</t>
  </si>
  <si>
    <t>2015-2-11 11:7:53.231: RTWSControl - orderStatus -  entering orderStatus id is 9765 status is Filled</t>
  </si>
  <si>
    <t>2015-2-11 11:7:53.231: OrderManager - UpdateOrderStatus - id 9765 Setting status to Filled workingOrderCount is now -48 workingQty -984</t>
  </si>
  <si>
    <t>2015-2-11 11:7:53.231: OrderManager - terminateOrder - cleaning up after Filled 9765  order was supposed to BUY 3 1.529 LMT workingQty/OrderCount now -984/-49</t>
  </si>
  <si>
    <t>2015-2-11 11:7:53.231: RTWSControl - OrderStatus - Got OrderStatus Message id:9765 status: Filled filled: 3</t>
  </si>
  <si>
    <t>2015-2-11 11:7:53.231: RTWSControl - OrderStatus - exiting orderStatus</t>
  </si>
  <si>
    <t>2015-2-11 11:7:54.138: openOrderEx - I am here</t>
  </si>
  <si>
    <t>2015-2-11 11:7:54.153: RTWSControl - orderStatus -  entering orderStatus id is 9765 status is Filled</t>
  </si>
  <si>
    <t>2015-2-11 11:7:54.153: OrderManager - UpdateOrderStatus - id 9765 Setting status to Filled workingOrderCount is now -49 workingQty -984</t>
  </si>
  <si>
    <t>2015-2-11 11:7:54.153: OrderManager - terminateOrder - cleaning up after Filled 9765  order was supposed to BUY 3 1.529 LMT workingQty/OrderCount now -984/-50</t>
  </si>
  <si>
    <t>2015-2-11 11:7:54.153: RTWSControl - OrderStatus - Got OrderStatus Message id:9765 status: Filled filled: 3</t>
  </si>
  <si>
    <t>2015-2-11 11:7:54.153: RTWSControl - OrderStatus - exiting orderStatus</t>
  </si>
  <si>
    <t>2015-2-11 11:7:54.169: openOrderEx - I am here</t>
  </si>
  <si>
    <t>2015-2-11 11:7:54.169: RTWSControl - orderStatus -  entering orderStatus id is 9765 status is Filled</t>
  </si>
  <si>
    <t>2015-2-11 11:7:54.185: OrderManager - UpdateOrderStatus - id 9765 Setting status to Filled workingOrderCount is now -50 workingQty -984</t>
  </si>
  <si>
    <t>2015-2-11 11:7:54.185: OrderManager - terminateOrder - cleaning up after Filled 9765  order was supposed to BUY 3 1.529 LMT workingQty/OrderCount now -984/-51</t>
  </si>
  <si>
    <t>2015-2-11 11:7:54.185: RTWSControl - OrderStatus - Got OrderStatus Message id:9765 status: Filled filled: 3</t>
  </si>
  <si>
    <t>2015-2-11 11:7:54.185: RTWSControl - OrderStatus - exiting orderStatus</t>
  </si>
  <si>
    <t>2015-2-11 11:7:55.136: Algorithm - FindNextStrikes - price is 1.52885 nextStrikeUp/Down 1.53/1.525</t>
  </si>
  <si>
    <t>2015-2-11 11:7:55.136: Algorithm - getPortfolioForwardDelta - required deltas is 120 currentHedgePosition is 120</t>
  </si>
  <si>
    <t>2015-2-11 11:7:55.136: Algorithm - getHedgeShortfall - required deltas is 120 price is 1.52875 currentHedgePositionDeltas is 120</t>
  </si>
  <si>
    <t>2015-2-11 11:7:55.136: Algorithm - processTransitionPoint - nextUpper/LowerStrikes are 1.53/1.525 requiredDeltas/currentPosition/currentHedgeShortfall/direction/transitionPrice are 120/120/0/-1/1.52875</t>
  </si>
  <si>
    <t>2015-2-11 11:7:55.136: TransitionLogger - processTransitionpoint - checking transition - currentHedgeShortfall is 0</t>
  </si>
  <si>
    <t>2015-2-11 11:7:55.136: Algorithm - updatePortfolio - haveAllDetails is True</t>
  </si>
  <si>
    <t>2015-2-11 11:7:55.167: Algorithm - FindNextStrikes - price is 1.52885 nextStrikeUp/Down 1.53/1.525</t>
  </si>
  <si>
    <t>2015-2-11 11:7:55.167: Algorithm - getPortfolioForwardDelta - required deltas is 120 currentHedgePosition is 120</t>
  </si>
  <si>
    <t>2015-2-11 11:7:55.167: Algorithm - getHedgeShortfall - required deltas is 120 price is 1.52875 currentHedgePositionDeltas is 120</t>
  </si>
  <si>
    <t>2015-2-11 11:7:55.167: Algorithm - processTransitionPoint - nextUpper/LowerStrikes are 1.53/1.525 requiredDeltas/currentPosition/currentHedgeShortfall/direction/transitionPrice are 120/120/0/-1/1.52875</t>
  </si>
  <si>
    <t>2015-2-11 11:7:55.167: TransitionLogger - processTransitionpoint - checking transition - currentHedgeShortfall is 0</t>
  </si>
  <si>
    <t>2015-2-11 11:7:55.167: Algorithm - updatePortfolio - haveAllDetails is True</t>
  </si>
  <si>
    <t>2015-2-11 11:7:55.214: Algorithm - FindNextStrikes - price is 1.52885 nextStrikeUp/Down 1.53/1.525</t>
  </si>
  <si>
    <t>2015-2-11 11:7:55.214: Algorithm - getPortfolioForwardDelta - required deltas is 120 currentHedgePosition is 120</t>
  </si>
  <si>
    <t>2015-2-11 11:7:55.214: Algorithm - getHedgeShortfall - required deltas is 120 price is 1.52875 currentHedgePositionDeltas is 120</t>
  </si>
  <si>
    <t>2015-2-11 11:7:55.214: Algorithm - processTransitionPoint - nextUpper/LowerStrikes are 1.53/1.525 requiredDeltas/currentPosition/currentHedgeShortfall/direction/transitionPrice are 120/120/0/-1/1.52875</t>
  </si>
  <si>
    <t>2015-2-11 11:7:55.214: TransitionLogger - processTransitionpoint - checking transition - currentHedgeShortfall is 0</t>
  </si>
  <si>
    <t>2015-2-11 11:7:55.214: Algorithm - updatePortfolio - haveAllDetails is True</t>
  </si>
  <si>
    <t>2015-2-11 11:7:55.277: Algorithm - FindNextStrikes - price is 1.52885 nextStrikeUp/Down 1.53/1.525</t>
  </si>
  <si>
    <t>2015-2-11 11:7:55.277: Algorithm - getPortfolioForwardDelta - required deltas is 120 currentHedgePosition is 120</t>
  </si>
  <si>
    <t>2015-2-11 11:7:55.277: Algorithm - getHedgeShortfall - required deltas is 120 price is 1.52875 currentHedgePositionDeltas is 120</t>
  </si>
  <si>
    <t>2015-2-11 11:7:55.277: Algorithm - processTransitionPoint - nextUpper/LowerStrikes are 1.53/1.525 requiredDeltas/currentPosition/currentHedgeShortfall/direction/transitionPrice are 120/120/0/-1/1.52875</t>
  </si>
  <si>
    <t>2015-2-11 11:7:55.277: TransitionLogger - processTransitionpoint - checking transition - currentHedgeShortfall is 0</t>
  </si>
  <si>
    <t>2015-2-11 11:7:55.277: Algorithm - updatePortfolio - haveAllDetails is True</t>
  </si>
  <si>
    <t>2015-2-11 11:7:55.323: Algorithm - FindNextStrikes - price is 1.52885 nextStrikeUp/Down 1.53/1.525</t>
  </si>
  <si>
    <t>2015-2-11 11:7:55.323: Algorithm - getPortfolioForwardDelta - required deltas is 120 currentHedgePosition is 120</t>
  </si>
  <si>
    <t>2015-2-11 11:7:55.323: Algorithm - getHedgeShortfall - required deltas is 120 price is 1.52875 currentHedgePositionDeltas is 120</t>
  </si>
  <si>
    <t>2015-2-11 11:7:55.323: Algorithm - processTransitionPoint - nextUpper/LowerStrikes are 1.53/1.525 requiredDeltas/currentPosition/currentHedgeShortfall/direction/transitionPrice are 120/120/0/-1/1.52875</t>
  </si>
  <si>
    <t>2015-2-11 11:7:55.323: TransitionLogger - processTransitionpoint - checking transition - currentHedgeShortfall is 0</t>
  </si>
  <si>
    <t>2015-2-11 11:7:55.323: Algorithm - updatePortfolio - haveAllDetails is True</t>
  </si>
  <si>
    <t>2015-2-11 11:7:55.355: Algorithm - FindNextStrikes - price is 1.52885 nextStrikeUp/Down 1.53/1.525</t>
  </si>
  <si>
    <t>2015-2-11 11:7:55.370: Algorithm - getPortfolioForwardDelta - required deltas is 120 currentHedgePosition is 120</t>
  </si>
  <si>
    <t>2015-2-11 11:7:55.370: Algorithm - getHedgeShortfall - required deltas is 120 price is 1.52875 currentHedgePositionDeltas is 120</t>
  </si>
  <si>
    <t>2015-2-11 11:7:55.370: Algorithm - processTransitionPoint - nextUpper/LowerStrikes are 1.53/1.525 requiredDeltas/currentPosition/currentHedgeShortfall/direction/transitionPrice are 120/120/0/-1/1.52875</t>
  </si>
  <si>
    <t>2015-2-11 11:7:55.370: TransitionLogger - processTransitionpoint - checking transition - currentHedgeShortfall is 0</t>
  </si>
  <si>
    <t>2015-2-11 11:7:55.370: Algorithm - updatePortfolio - haveAllDetails is True</t>
  </si>
  <si>
    <t>2015-2-11 11:7:56.275: OrderManager - cancelOrder - cancelling order id 9761</t>
  </si>
  <si>
    <t>2015-2-11 11:7:56.275: OrderManager - PlaceOrder - id 9766 workingQty -937</t>
  </si>
  <si>
    <t>2015-2-11 11:7:56.291: OrderManager - sendOrder - exiting place order id 9766 BUY 47 1.5427  - workingQty -937 currentPosition is 120 workingOrderCount is -50</t>
  </si>
  <si>
    <t>2015-2-11 11:7:56.306: OrderManager - cancelOrder - cancelling order id 9764</t>
  </si>
  <si>
    <t>2015-2-11 11:7:56.306: OrderManager - createOrder - exiting without creating order - did not have validID</t>
  </si>
  <si>
    <t>2015-2-11 11:7:56.525: RTWSControl - nextValidId - entering nextValidId id is 9767</t>
  </si>
  <si>
    <t>2015-2-11 11:7:56.587: RTWSControl - orderStatus -  entering orderStatus id is 9761 status is Cancelled</t>
  </si>
  <si>
    <t>2015-2-11 11:7:56.603: OrderManager - UpdateOrderStatus - id 9761 Setting status to Cancelled workingOrderCount is now -50 workingQty -937</t>
  </si>
  <si>
    <t>2015-2-11 11:7:56.603: RTWSControl - OrderStatus - Got OrderStatus Message id:9761 status: Cancelled filled: 0</t>
  </si>
  <si>
    <t>2015-2-11 11:7:56.603: RTWSControl - OrderStatus - exiting orderStatus</t>
  </si>
  <si>
    <t>2015-2-11 11:7:56.603: RTWSControl - errMsg - got error message 202:Order Canceled - reason:with id 9761</t>
  </si>
  <si>
    <t>2015-2-11 11:7:56.603: OrderManager - canceledOrder - cleaning up after canceled order 9761BEWARE UNACCOUNTED FOR EXECUTIONS!!!</t>
  </si>
  <si>
    <t>2015-2-11 11:7:56.618: OrderManager - terminateOrder - cleaning up after Canceled 9761  order was supposed to BUY 40 1.5413 STP LMT workingQty/OrderCount now -977/-51</t>
  </si>
  <si>
    <t>2015-2-11 11:7:56.665: RTWSControl - orderStatus -  entering orderStatus id is 9764 status is Cancelled</t>
  </si>
  <si>
    <t>2015-2-11 11:7:56.665: OrderManager - UpdateOrderStatus - id 9764 Setting status to Cancelled workingOrderCount is now -51 workingQty -977</t>
  </si>
  <si>
    <t>2015-2-11 11:7:56.665: RTWSControl - OrderStatus - Got OrderStatus Message id:9764 status: Cancelled filled: 0</t>
  </si>
  <si>
    <t>2015-2-11 11:7:56.665: RTWSControl - OrderStatus - exiting orderStatus</t>
  </si>
  <si>
    <t>2015-2-11 11:7:56.681: RTWSControl - errMsg - got error message 202:Order Canceled - reason:with id 9764</t>
  </si>
  <si>
    <t>2015-2-11 11:7:56.681: OrderManager - canceledOrder - cleaning up after canceled order 9764BEWARE UNACCOUNTED FOR EXECUTIONS!!!</t>
  </si>
  <si>
    <t>2015-2-11 11:7:56.681: OrderManager - terminateOrder - cleaning up after Canceled 9764  order was supposed to SELL 42 1.5276 STP LMT workingQty/OrderCount now -1019/-52</t>
  </si>
  <si>
    <t>2015-2-11 11:7:56.837: openOrderEx - I am here</t>
  </si>
  <si>
    <t>2015-2-11 11:7:56.852: RTWSControl - orderStatus -  entering orderStatus id is 9766 status is PreSubmitted</t>
  </si>
  <si>
    <t>2015-2-11 11:7:56.852: OrderManager - UpdateOrderStatus - id 9766 Setting status to PreSubmitted workingOrderCount is now -52 workingQty -1019</t>
  </si>
  <si>
    <t>2015-2-11 11:7:56.852: RTWSControl - OrderStatus - Got OrderStatus Message id:9766 status: PreSubmitted filled: 0</t>
  </si>
  <si>
    <t>2015-2-11 11:7:56.852: RTWSControl - OrderStatus - exiting orderStatus</t>
  </si>
  <si>
    <t>2015-2-11 11:8:2.367: OrderManager - PlaceOrder - id 9767 workingQty -1065</t>
  </si>
  <si>
    <t>2015-2-11 11:8:2.383: OrderManager - sendOrder - exiting place order id 9767 SELL 46 1.5274  - workingQty -1065 currentPosition is 120 workingOrderCount is -51</t>
  </si>
  <si>
    <t>2015-2-11 11:8:2.508: RTWSControl - nextValidId - entering nextValidId id is 9768</t>
  </si>
  <si>
    <t>2015-2-11 11:8:2.586: openOrderEx - I am here</t>
  </si>
  <si>
    <t>2015-2-11 11:8:2.633: RTWSControl - orderStatus -  entering orderStatus id is 9767 status is PreSubmitted</t>
  </si>
  <si>
    <t>2015-2-11 11:8:2.633: OrderManager - UpdateOrderStatus - id 9767 Setting status to PreSubmitted workingOrderCount is now -51 workingQty -1065</t>
  </si>
  <si>
    <t>2015-2-11 11:8:2.648: RTWSControl - OrderStatus - Got OrderStatus Message id:9767 status: PreSubmitted filled: 0</t>
  </si>
  <si>
    <t>2015-2-11 11:8:2.648: RTWSControl - OrderStatus - exiting orderStatus</t>
  </si>
  <si>
    <t>2015-2-11 11:8:13.611: OrderManager - cancelOrder - cancelling order id 9767</t>
  </si>
  <si>
    <t>2015-2-11 11:8:13.611: OrderManager - PlaceOrder - id 9768 workingQty -1114</t>
  </si>
  <si>
    <t>2015-2-11 11:8:13.611: OrderManager - sendOrder - exiting place order id 9768 SELL 49 1.5276  - workingQty -1114 currentPosition is 120 workingOrderCount is -50</t>
  </si>
  <si>
    <t>2015-2-11 11:8:13.802: RTWSControl - nextValidId - entering nextValidId id is 9769</t>
  </si>
  <si>
    <t>2015-2-11 11:8:13.912: RTWSControl - orderStatus -  entering orderStatus id is 9767 status is Cancelled</t>
  </si>
  <si>
    <t>2015-2-11 11:8:13.912: OrderManager - UpdateOrderStatus - id 9767 Setting status to Cancelled workingOrderCount is now -50 workingQty -1114</t>
  </si>
  <si>
    <t>2015-2-11 11:8:13.928: RTWSControl - OrderStatus - Got OrderStatus Message id:9767 status: Cancelled filled: 0</t>
  </si>
  <si>
    <t>2015-2-11 11:8:13.928: RTWSControl - OrderStatus - exiting orderStatus</t>
  </si>
  <si>
    <t>2015-2-11 11:8:13.943: RTWSControl - errMsg - got error message 202:Order Canceled - reason:with id 9767</t>
  </si>
  <si>
    <t>2015-2-11 11:8:13.943: OrderManager - canceledOrder - cleaning up after canceled order 9767BEWARE UNACCOUNTED FOR EXECUTIONS!!!</t>
  </si>
  <si>
    <t>2015-2-11 11:8:13.943: OrderManager - terminateOrder - cleaning up after Canceled 9767  order was supposed to SELL 46 1.5274 STP LMT workingQty/OrderCount now -1160/-51</t>
  </si>
  <si>
    <t>2015-2-11 11:8:13.959: openOrderEx - I am here</t>
  </si>
  <si>
    <t>2015-2-11 11:8:13.959: RTWSControl - orderStatus -  entering orderStatus id is 9768 status is PreSubmitted</t>
  </si>
  <si>
    <t>2015-2-11 11:8:13.959: OrderManager - UpdateOrderStatus - id 9768 Setting status to PreSubmitted workingOrderCount is now -51 workingQty -1160</t>
  </si>
  <si>
    <t>2015-2-11 11:8:13.974: RTWSControl - OrderStatus - Got OrderStatus Message id:9768 status: PreSubmitted filled: 0</t>
  </si>
  <si>
    <t>2015-2-11 11:8:13.974: RTWSControl - OrderStatus - exiting orderStatus</t>
  </si>
  <si>
    <t>2015-2-11 11:8:28.426: OrderManager - cancelOrder - cancelling order id 9768</t>
  </si>
  <si>
    <t>2015-2-11 11:8:28.427: OrderManager - PlaceOrder - id 9769 workingQty -1206</t>
  </si>
  <si>
    <t>2015-2-11 11:8:28.428: OrderManager - sendOrder - exiting place order id 9769 SELL 46 1.5275  - workingQty -1206 currentPosition is 120 workingOrderCount is -50</t>
  </si>
  <si>
    <t>2015-2-11 11:8:28.934: RTWSControl - nextValidId - entering nextValidId id is 9770</t>
  </si>
  <si>
    <t>2015-2-11 11:8:28.949: RTWSControl - orderStatus -  entering orderStatus id is 9768 status is Cancelled</t>
  </si>
  <si>
    <t>2015-2-11 11:8:28.949: OrderManager - UpdateOrderStatus - id 9768 Setting status to Cancelled workingOrderCount is now -50 workingQty -1206</t>
  </si>
  <si>
    <t>2015-2-11 11:8:28.965: RTWSControl - OrderStatus - Got OrderStatus Message id:9768 status: Cancelled filled: 0</t>
  </si>
  <si>
    <t>2015-2-11 11:8:28.965: RTWSControl - OrderStatus - exiting orderStatus</t>
  </si>
  <si>
    <t>2015-2-11 11:8:28.965: RTWSControl - errMsg - got error message 202:Order Canceled - reason:with id 9768</t>
  </si>
  <si>
    <t>2015-2-11 11:8:28.965: OrderManager - canceledOrder - cleaning up after canceled order 9768BEWARE UNACCOUNTED FOR EXECUTIONS!!!</t>
  </si>
  <si>
    <t>2015-2-11 11:8:28.965: OrderManager - terminateOrder - cleaning up after Canceled 9768  order was supposed to SELL 49 1.5276 STP LMT workingQty/OrderCount now -1255/-51</t>
  </si>
  <si>
    <t>2015-2-11 11:8:28.980: openOrderEx - I am here</t>
  </si>
  <si>
    <t>2015-2-11 11:8:29.27: RTWSControl - orderStatus -  entering orderStatus id is 9769 status is PreSubmitted</t>
  </si>
  <si>
    <t>2015-2-11 11:8:29.27: OrderManager - UpdateOrderStatus - id 9769 Setting status to PreSubmitted workingOrderCount is now -51 workingQty -1255</t>
  </si>
  <si>
    <t>2015-2-11 11:8:29.43: RTWSControl - OrderStatus - Got OrderStatus Message id:9769 status: PreSubmitted filled: 0</t>
  </si>
  <si>
    <t>2015-2-11 11:8:29.43: RTWSControl - OrderStatus - exiting orderStatus</t>
  </si>
  <si>
    <t>2015-2-11 11:8:52.199: AutostopView - getBuyPrice - an error occurred Type mismatch</t>
  </si>
  <si>
    <t>2015-2-11 11:8:52.199: AutostopView - getBuyQty - an error occurred Type mismatch</t>
  </si>
  <si>
    <t>2015-2-11 11:8:52.199: AutostopView - getSellPrice - an error occurred Type mismatch</t>
  </si>
  <si>
    <t>2015-2-11 11:8:52.199: AutostopView - getSellQty - an error occurred Type mismatch</t>
  </si>
  <si>
    <t>2015-2-11 11:8:52.214: OrderManager - cancelOrder - cancelling order id 9766</t>
  </si>
  <si>
    <t>2015-2-11 11:8:52.214: OrderManager - placeOrder - ATTEMPTING TO SEND ORDER WITH INVALID QUANTITY!</t>
  </si>
  <si>
    <t>2015-2-11 11:8:52.214: OrderManager - cancelOrder - cancelling order id 9769</t>
  </si>
  <si>
    <t>2015-2-11 11:8:52.760: OrderManager - PlaceOrder - id 9770 workingQty -1209</t>
  </si>
  <si>
    <t>2015-2-11 11:8:52.760: OrderManager - sendOrder - exiting place order id 9770 BUY 46 1.5557  - workingQty -1209 currentPosition is 120 workingOrderCount is -50</t>
  </si>
  <si>
    <t>2015-2-11 11:8:52.760: OrderManager - createOrder - exiting without creating order - did not have validID</t>
  </si>
  <si>
    <t>2015-2-11 11:8:52.885: RTWSControl - orderStatus -  entering orderStatus id is 9766 status is Cancelled</t>
  </si>
  <si>
    <t>2015-2-11 11:8:52.885: OrderManager - UpdateOrderStatus - id 9766 Setting status to Cancelled workingOrderCount is now -50 workingQty -1209</t>
  </si>
  <si>
    <t>2015-2-11 11:8:52.901: RTWSControl - OrderStatus - Got OrderStatus Message id:9766 status: Cancelled filled: 0</t>
  </si>
  <si>
    <t>2015-2-11 11:8:52.902: RTWSControl - OrderStatus - exiting orderStatus</t>
  </si>
  <si>
    <t>2015-2-11 11:8:52.917: RTWSControl - errMsg - got error message 202:Order Canceled - reason:with id 9766</t>
  </si>
  <si>
    <t>2015-2-11 11:8:52.917: OrderManager - canceledOrder - cleaning up after canceled order 9766BEWARE UNACCOUNTED FOR EXECUTIONS!!!</t>
  </si>
  <si>
    <t>2015-2-11 11:8:52.917: OrderManager - terminateOrder - cleaning up after Canceled 9766  order was supposed to BUY 47 1.5427 STP LMT workingQty/OrderCount now -1256/-51</t>
  </si>
  <si>
    <t>2015-2-11 11:8:52.949: OrderManager - createOrder - exiting without creating order - did not have validID</t>
  </si>
  <si>
    <t>2015-2-11 11:8:53.245: RTWSControl - orderStatus -  entering orderStatus id is 9769 status is Cancelled</t>
  </si>
  <si>
    <t>2015-2-11 11:8:53.245: OrderManager - UpdateOrderStatus - id 9769 Setting status to Cancelled workingOrderCount is now -51 workingQty -1256</t>
  </si>
  <si>
    <t>2015-2-11 11:8:53.261: RTWSControl - OrderStatus - Got OrderStatus Message id:9769 status: Cancelled filled: 0</t>
  </si>
  <si>
    <t>2015-2-11 11:8:53.261: RTWSControl - OrderStatus - exiting orderStatus</t>
  </si>
  <si>
    <t>2015-2-11 11:8:53.276: RTWSControl - errMsg - got error message 202:Order Canceled - reason:with id 9769</t>
  </si>
  <si>
    <t>2015-2-11 11:8:53.276: OrderManager - canceledOrder - cleaning up after canceled order 9769BEWARE UNACCOUNTED FOR EXECUTIONS!!!</t>
  </si>
  <si>
    <t>2015-2-11 11:8:53.276: OrderManager - terminateOrder - cleaning up after Canceled 9769  order was supposed to SELL 46 1.5275 STP LMT workingQty/OrderCount now -1302/-52</t>
  </si>
  <si>
    <t>2015-2-11 11:8:54.197: RTWSControl - nextValidId - entering nextValidId id is 9771</t>
  </si>
  <si>
    <t>2015-2-11 11:8:54.197: openOrderEx - I am here</t>
  </si>
  <si>
    <t>2015-2-11 11:8:54.243: RTWSControl - orderStatus -  entering orderStatus id is 9770 status is PreSubmitted</t>
  </si>
  <si>
    <t>2015-2-11 11:8:54.243: OrderManager - UpdateOrderStatus - id 9770 Setting status to PreSubmitted workingOrderCount is now -52 workingQty -1302</t>
  </si>
  <si>
    <t>2015-2-11 11:8:54.243: RTWSControl - OrderStatus - Got OrderStatus Message id:9770 status: PreSubmitted filled: 0</t>
  </si>
  <si>
    <t>2015-2-11 11:8:54.243: RTWSControl - OrderStatus - exiting orderStatus</t>
  </si>
  <si>
    <t>2015-2-11 11:8:58.413: OrderManager - cancelOrder - cancelling order id 9770</t>
  </si>
  <si>
    <t>2015-2-11 11:8:58.413: OrderManager - PlaceOrder - id 9771 workingQty -1255</t>
  </si>
  <si>
    <t>2015-2-11 11:8:58.429: OrderManager - sendOrder - exiting place order id 9771 BUY 47 1.5427  - workingQty -1255 currentPosition is 120 workingOrderCount is -51</t>
  </si>
  <si>
    <t>2015-2-11 11:8:58.429: OrderManager - createOrder - exiting without creating order - did not have validID</t>
  </si>
  <si>
    <t>2015-2-11 11:8:58.694: RTWSControl - nextValidId - entering nextValidId id is 9772</t>
  </si>
  <si>
    <t>2015-2-11 11:8:59.70: RTWSControl - orderStatus -  entering orderStatus id is 9770 status is Cancelled</t>
  </si>
  <si>
    <t>2015-2-11 11:8:59.86: OrderManager - UpdateOrderStatus - id 9770 Setting status to Cancelled workingOrderCount is now -51 workingQty -1255</t>
  </si>
  <si>
    <t>2015-2-11 11:8:59.86: RTWSControl - OrderStatus - Got OrderStatus Message id:9770 status: Cancelled filled: 0</t>
  </si>
  <si>
    <t>2015-2-11 11:8:59.86: RTWSControl - OrderStatus - exiting orderStatus</t>
  </si>
  <si>
    <t>2015-2-11 11:8:59.117: RTWSControl - errMsg - got error message 202:Order Canceled - reason:with id 9770</t>
  </si>
  <si>
    <t>2015-2-11 11:8:59.117: OrderManager - canceledOrder - cleaning up after canceled order 9770BEWARE UNACCOUNTED FOR EXECUTIONS!!!</t>
  </si>
  <si>
    <t>2015-2-11 11:8:59.117: OrderManager - terminateOrder - cleaning up after Canceled 9770  order was supposed to BUY 46 1.5557 STP LMT workingQty/OrderCount now -1301/-52</t>
  </si>
  <si>
    <t>2015-2-11 11:8:59.554: openOrderEx - I am here</t>
  </si>
  <si>
    <t>2015-2-11 11:8:59.569: RTWSControl - orderStatus -  entering orderStatus id is 9771 status is PreSubmitted</t>
  </si>
  <si>
    <t>2015-2-11 11:8:59.569: OrderManager - UpdateOrderStatus - id 9771 Setting status to PreSubmitted workingOrderCount is now -52 workingQty -1301</t>
  </si>
  <si>
    <t>2015-2-11 11:8:59.569: RTWSControl - OrderStatus - Got OrderStatus Message id:9771 status: PreSubmitted filled: 0</t>
  </si>
  <si>
    <t>2015-2-11 11:8:59.585: RTWSControl - OrderStatus - exiting orderStatus</t>
  </si>
  <si>
    <t>2015-2-11 11:8:59.710: OrderManager - PlaceOrder - id 9772 workingQty -1348</t>
  </si>
  <si>
    <t>2015-2-11 11:8:59.710: OrderManager - sendOrder - exiting place order id 9772 SELL 47 1.5274  - workingQty -1348 currentPosition is 120 workingOrderCount is -51</t>
  </si>
  <si>
    <t>2015-2-11 11:9:0.786: RTWSControl - nextValidId - entering nextValidId id is 9773</t>
  </si>
  <si>
    <t>2015-2-11 11:9:0.802: openOrderEx - I am here</t>
  </si>
  <si>
    <t>2015-2-11 11:9:0.833: RTWSControl - orderStatus -  entering orderStatus id is 9772 status is PreSubmitted</t>
  </si>
  <si>
    <t>2015-2-11 11:9:0.849: OrderManager - UpdateOrderStatus - id 9772 Setting status to PreSubmitted workingOrderCount is now -51 workingQty -1348</t>
  </si>
  <si>
    <t>2015-2-11 11:9:0.849: RTWSControl - OrderStatus - Got OrderStatus Message id:9772 status: PreSubmitted filled: 0</t>
  </si>
  <si>
    <t>2015-2-11 11:9:0.849: RTWSControl - OrderStatus - exiting orderStatus</t>
  </si>
  <si>
    <t>2015-2-11 11:9:2.836: OrderManager - cancelOrder - cancelling order id 9771</t>
  </si>
  <si>
    <t>2015-2-11 11:9:2.836: OrderManager - PlaceOrder - id 9773 workingQty -1298</t>
  </si>
  <si>
    <t>2015-2-11 11:9:2.836: OrderManager - sendOrder - exiting place order id 9773 BUY 50 1.5434  - workingQty -1298 currentPosition is 120 workingOrderCount is -50</t>
  </si>
  <si>
    <t>2015-2-11 11:9:2.836: OrderManager - cancelOrder - cancelling order id 9772</t>
  </si>
  <si>
    <t>2015-2-11 11:9:2.836: OrderManager - createOrder - exiting without creating order - did not have validID</t>
  </si>
  <si>
    <t>2015-2-11 11:9:2.963: RTWSControl - nextValidId - entering nextValidId id is 9774</t>
  </si>
  <si>
    <t>2015-2-11 11:9:3.150: RTWSControl - orderStatus -  entering orderStatus id is 9771 status is Cancelled</t>
  </si>
  <si>
    <t>2015-2-11 11:9:3.150: OrderManager - UpdateOrderStatus - id 9771 Setting status to Cancelled workingOrderCount is now -50 workingQty -1298</t>
  </si>
  <si>
    <t>2015-2-11 11:9:3.165: RTWSControl - OrderStatus - Got OrderStatus Message id:9771 status: Cancelled filled: 0</t>
  </si>
  <si>
    <t>2015-2-11 11:9:3.165: RTWSControl - OrderStatus - exiting orderStatus</t>
  </si>
  <si>
    <t>2015-2-11 11:9:3.228: RTWSControl - errMsg - got error message 202:Order Canceled - reason:with id 9771</t>
  </si>
  <si>
    <t>2015-2-11 11:9:3.228: OrderManager - canceledOrder - cleaning up after canceled order 9771BEWARE UNACCOUNTED FOR EXECUTIONS!!!</t>
  </si>
  <si>
    <t>2015-2-11 11:9:3.243: OrderManager - terminateOrder - cleaning up after Canceled 9771  order was supposed to BUY 47 1.5427 STP LMT workingQty/OrderCount now -1345/-51</t>
  </si>
  <si>
    <t>2015-2-11 11:9:3.503: RTWSControl - orderStatus -  entering orderStatus id is 9772 status is Cancelled</t>
  </si>
  <si>
    <t>2015-2-11 11:9:3.504: OrderManager - UpdateOrderStatus - id 9772 Setting status to Cancelled workingOrderCount is now -51 workingQty -1345</t>
  </si>
  <si>
    <t>2015-2-11 11:9:3.508: RTWSControl - OrderStatus - Got OrderStatus Message id:9772 status: Cancelled filled: 0</t>
  </si>
  <si>
    <t>2015-2-11 11:9:3.509: RTWSControl - OrderStatus - exiting orderStatus</t>
  </si>
  <si>
    <t>2015-2-11 11:9:3.522: RTWSControl - errMsg - got error message 202:Order Canceled - reason:with id 9772</t>
  </si>
  <si>
    <t>2015-2-11 11:9:3.523: OrderManager - canceledOrder - cleaning up after canceled order 9772BEWARE UNACCOUNTED FOR EXECUTIONS!!!</t>
  </si>
  <si>
    <t>2015-2-11 11:9:3.525: OrderManager - terminateOrder - cleaning up after Canceled 9772  order was supposed to SELL 47 1.5274 STP LMT workingQty/OrderCount now -1392/-52</t>
  </si>
  <si>
    <t>2015-2-11 11:9:3.554: openOrderEx - I am here</t>
  </si>
  <si>
    <t>2015-2-11 11:9:3.586: RTWSControl - orderStatus -  entering orderStatus id is 9773 status is PreSubmitted</t>
  </si>
  <si>
    <t>2015-2-11 11:9:3.587: OrderManager - UpdateOrderStatus - id 9773 Setting status to PreSubmitted workingOrderCount is now -52 workingQty -1392</t>
  </si>
  <si>
    <t>2015-2-11 11:9:3.591: RTWSControl - OrderStatus - Got OrderStatus Message id:9773 status: PreSubmitted filled: 0</t>
  </si>
  <si>
    <t>2015-2-11 11:9:3.592: RTWSControl - OrderStatus - exiting orderStatus</t>
  </si>
  <si>
    <t>2015-2-11 11:9:15.918: OrderManager - PlaceOrder - id 9774 workingQty -1440</t>
  </si>
  <si>
    <t>2015-2-11 11:9:15.918: OrderManager - sendOrder - exiting place order id 9774 SELL 48 1.5274  - workingQty -1440 currentPosition is 120 workingOrderCount is -51</t>
  </si>
  <si>
    <t>2015-2-11 11:9:16.11: RTWSControl - nextValidId - entering nextValidId id is 9775</t>
  </si>
  <si>
    <t>2015-2-11 11:9:16.261: openOrderEx - I am here</t>
  </si>
  <si>
    <t>2015-2-11 11:9:16.292: RTWSControl - orderStatus -  entering orderStatus id is 9774 status is PreSubmitted</t>
  </si>
  <si>
    <t>2015-2-11 11:9:16.292: OrderManager - UpdateOrderStatus - id 9774 Setting status to PreSubmitted workingOrderCount is now -51 workingQty -1440</t>
  </si>
  <si>
    <t>2015-2-11 11:9:16.308: RTWSControl - OrderStatus - Got OrderStatus Message id:9774 status: PreSubmitted filled: 0</t>
  </si>
  <si>
    <t>2015-2-11 11:9:16.308: RTWSControl - OrderStatus - exiting orderStatus</t>
  </si>
  <si>
    <t>2015-2-11 11:9:25.768: OrderManager - cancelOrder - cancelling order id 9773</t>
  </si>
  <si>
    <t>2015-2-11 11:9:25.768: OrderManager - PlaceOrder - id 9775 workingQty -1393</t>
  </si>
  <si>
    <t>2015-2-11 11:9:25.783: OrderManager - sendOrder - exiting place order id 9775 BUY 47 1.5427  - workingQty -1393 currentPosition is 120 workingOrderCount is -50</t>
  </si>
  <si>
    <t>2015-2-11 11:9:25.861: RTWSControl - nextValidId - entering nextValidId id is 9776</t>
  </si>
  <si>
    <t>2015-2-11 11:9:26.95: RTWSControl - orderStatus -  entering orderStatus id is 9773 status is Cancelled</t>
  </si>
  <si>
    <t>2015-2-11 11:9:26.95: OrderManager - UpdateOrderStatus - id 9773 Setting status to Cancelled workingOrderCount is now -50 workingQty -1393</t>
  </si>
  <si>
    <t>2015-2-11 11:9:26.95: RTWSControl - OrderStatus - Got OrderStatus Message id:9773 status: Cancelled filled: 0</t>
  </si>
  <si>
    <t>2015-2-11 11:9:26.95: RTWSControl - OrderStatus - exiting orderStatus</t>
  </si>
  <si>
    <t>2015-2-11 11:9:26.126: RTWSControl - errMsg - got error message 202:Order Canceled - reason:with id 9773</t>
  </si>
  <si>
    <t>2015-2-11 11:9:26.126: OrderManager - canceledOrder - cleaning up after canceled order 9773BEWARE UNACCOUNTED FOR EXECUTIONS!!!</t>
  </si>
  <si>
    <t>2015-2-11 11:9:26.126: OrderManager - terminateOrder - cleaning up after Canceled 9773  order was supposed to BUY 50 1.5434 STP LMT workingQty/OrderCount now -1443/-51</t>
  </si>
  <si>
    <t>2015-2-11 11:9:26.142: openOrderEx - I am here</t>
  </si>
  <si>
    <t>2015-2-11 11:9:26.158: RTWSControl - orderStatus -  entering orderStatus id is 9775 status is PreSubmitted</t>
  </si>
  <si>
    <t>2015-2-11 11:9:26.158: OrderManager - UpdateOrderStatus - id 9775 Setting status to PreSubmitted workingOrderCount is now -51 workingQty -1443</t>
  </si>
  <si>
    <t>2015-2-11 11:9:26.158: RTWSControl - OrderStatus - Got OrderStatus Message id:9775 status: PreSubmitted filled: 0</t>
  </si>
  <si>
    <t>2015-2-11 11:9:26.158: RTWSControl - OrderStatus - exiting orderStatus</t>
  </si>
  <si>
    <t>2015-2-11 11:9:51.824: Algorithm - FindNextStrikes - price is 1.52875 nextStrikeUp/Down 1.53/1.525</t>
  </si>
  <si>
    <t>2015-2-11 11:9:51.824: Algorithm - getPortfolioForwardDelta - required deltas is 120 currentHedgePosition is 120</t>
  </si>
  <si>
    <t>2015-2-11 11:9:51.824: Algorithm - getHedgeShortfall - required deltas is 120 price is 1.52865 currentHedgePositionDeltas is 120</t>
  </si>
  <si>
    <t>2015-2-11 11:9:51.824: Algorithm - processTransitionPoint - nextUpper/LowerStrikes are 1.53/1.525 requiredDeltas/currentPosition/currentHedgeShortfall/direction/transitionPrice are 120/120/0/-1/1.52865</t>
  </si>
  <si>
    <t>2015-2-11 11:9:51.824: TransitionLogger - processTransitionpoint - checking transition - currentHedgeShortfall is 0</t>
  </si>
  <si>
    <t>2015-2-11 11:9:51.824: Algorithm - updatePortfolio - haveAllDetails is True</t>
  </si>
  <si>
    <t>2015-2-11 11:9:51.840: Algorithm - FindNextStrikes - price is 1.52875 nextStrikeUp/Down 1.53/1.525</t>
  </si>
  <si>
    <t>2015-2-11 11:9:51.840: Algorithm - getPortfolioForwardDelta - required deltas is 120 currentHedgePosition is 120</t>
  </si>
  <si>
    <t>2015-2-11 11:9:51.840: Algorithm - getHedgeShortfall - required deltas is 120 price is 1.52865 currentHedgePositionDeltas is 120</t>
  </si>
  <si>
    <t>2015-2-11 11:9:51.840: Algorithm - processTransitionPoint - nextUpper/LowerStrikes are 1.53/1.525 requiredDeltas/currentPosition/currentHedgeShortfall/direction/transitionPrice are 120/120/0/-1/1.52865</t>
  </si>
  <si>
    <t>2015-2-11 11:9:51.855: TransitionLogger - processTransitionpoint - checking transition - currentHedgeShortfall is 0</t>
  </si>
  <si>
    <t>2015-2-11 11:9:51.855: Algorithm - updatePortfolio - haveAllDetails is True</t>
  </si>
  <si>
    <t>2015-2-11 11:9:51.902: Algorithm - FindNextStrikes - price is 1.52875 nextStrikeUp/Down 1.53/1.525</t>
  </si>
  <si>
    <t>2015-2-11 11:9:51.902: Algorithm - getPortfolioForwardDelta - required deltas is 130 currentHedgePosition is 120</t>
  </si>
  <si>
    <t>2015-2-11 11:9:51.902: Algorithm - getHedgeShortfall - required deltas is 130 price is 1.52865 currentHedgePositionDeltas is 120</t>
  </si>
  <si>
    <t>2015-2-11 11:9:51.902: Algorithm - processTransitionPoint - nextUpper/LowerStrikes are 1.53/1.525 requiredDeltas/currentPosition/currentHedgeShortfall/direction/transitionPrice are 130/120/10/-1/1.52865</t>
  </si>
  <si>
    <t>2015-2-11 11:9:51.902: TransitionLogger - processTransitionpoint - checking transition - currentHedgeShortfall is 10</t>
  </si>
  <si>
    <t>2015-2-11 11:9:51.902: Algorithm - rehedge - rehedging 10 contracts</t>
  </si>
  <si>
    <t>2015-2-11 11:9:51.902: Algortihm - rehedge - inside the loop</t>
  </si>
  <si>
    <t>2015-2-11 11:9:51.902: Algorithm - rehedge - trying to trade BUT contracts is 10 and direction indicator is -1</t>
  </si>
  <si>
    <t>2015-2-11 11:9:51.902: Algorithm - updatePortfolio - haveAllDetails is True</t>
  </si>
  <si>
    <t>2015-2-11 11:9:51.949: Algorithm - FindNextStrikes - price is 1.52875 nextStrikeUp/Down 1.53/1.525</t>
  </si>
  <si>
    <t>2015-2-11 11:9:51.949: Algorithm - getPortfolioForwardDelta - required deltas is 130 currentHedgePosition is 120</t>
  </si>
  <si>
    <t>2015-2-11 11:9:51.949: Algorithm - getHedgeShortfall - required deltas is 130 price is 1.52865 currentHedgePositionDeltas is 120</t>
  </si>
  <si>
    <t>2015-2-11 11:9:51.949: Algorithm - processTransitionPoint - nextUpper/LowerStrikes are 1.53/1.525 requiredDeltas/currentPosition/currentHedgeShortfall/direction/transitionPrice are 130/120/10/-1/1.52865</t>
  </si>
  <si>
    <t>2015-2-11 11:9:51.949: TransitionLogger - processTransitionpoint - checking transition - currentHedgeShortfall is 10</t>
  </si>
  <si>
    <t>2015-2-11 11:9:51.949: Algorithm - rehedge - rehedging 10 contracts</t>
  </si>
  <si>
    <t>2015-2-11 11:9:51.949: Algortihm - rehedge - inside the loop</t>
  </si>
  <si>
    <t>2015-2-11 11:9:51.949: Algorithm - rehedge - trying to trade BUT contracts is 10 and direction indicator is -1</t>
  </si>
  <si>
    <t>2015-2-11 11:9:51.949: Algorithm - updatePortfolio - haveAllDetails is True</t>
  </si>
  <si>
    <t>2015-2-11 11:9:52.11: Algorithm - FindNextStrikes - price is 1.52875 nextStrikeUp/Down 1.53/1.525</t>
  </si>
  <si>
    <t>2015-2-11 11:9:52.11: Algorithm - getPortfolioForwardDelta - required deltas is 130 currentHedgePosition is 120</t>
  </si>
  <si>
    <t>2015-2-11 11:9:52.11: Algorithm - getHedgeShortfall - required deltas is 130 price is 1.52865 currentHedgePositionDeltas is 120</t>
  </si>
  <si>
    <t>2015-2-11 11:9:52.11: Algorithm - processTransitionPoint - nextUpper/LowerStrikes are 1.53/1.525 requiredDeltas/currentPosition/currentHedgeShortfall/direction/transitionPrice are 130/120/10/-1/1.52865</t>
  </si>
  <si>
    <t>2015-2-11 11:9:52.11: TransitionLogger - processTransitionpoint - checking transition - currentHedgeShortfall is 10</t>
  </si>
  <si>
    <t>2015-2-11 11:9:52.11: Algorithm - rehedge - rehedging 10 contracts</t>
  </si>
  <si>
    <t>2015-2-11 11:9:52.11: Algortihm - rehedge - inside the loop</t>
  </si>
  <si>
    <t>2015-2-11 11:9:52.11: Algorithm - rehedge - trying to trade BUT contracts is 10 and direction indicator is -1</t>
  </si>
  <si>
    <t>2015-2-11 11:9:52.11: Algorithm - updatePortfolio - haveAllDetails is True</t>
  </si>
  <si>
    <t>2015-2-11 11:9:52.58: Algorithm - FindNextStrikes - price is 1.52875 nextStrikeUp/Down 1.53/1.525</t>
  </si>
  <si>
    <t>2015-2-11 11:9:52.58: Algorithm - getPortfolioForwardDelta - required deltas is 130 currentHedgePosition is 120</t>
  </si>
  <si>
    <t>2015-2-11 11:9:52.58: Algorithm - getHedgeShortfall - required deltas is 130 price is 1.52865 currentHedgePositionDeltas is 120</t>
  </si>
  <si>
    <t>2015-2-11 11:9:52.58: Algorithm - processTransitionPoint - nextUpper/LowerStrikes are 1.53/1.525 requiredDeltas/currentPosition/currentHedgeShortfall/direction/transitionPrice are 130/120/10/-1/1.52865</t>
  </si>
  <si>
    <t>2015-2-11 11:9:52.58: TransitionLogger - processTransitionpoint - checking transition - currentHedgeShortfall is 10</t>
  </si>
  <si>
    <t>2015-2-11 11:9:52.58: Algorithm - rehedge - rehedging 10 contracts</t>
  </si>
  <si>
    <t>2015-2-11 11:9:52.58: Algortihm - rehedge - inside the loop</t>
  </si>
  <si>
    <t>2015-2-11 11:9:52.58: Algorithm - rehedge - trying to trade BUT contracts is 10 and direction indicator is -1</t>
  </si>
  <si>
    <t>2015-2-11 11:9:52.58: Algorithm - updatePortfolio - haveAllDetails is True</t>
  </si>
  <si>
    <t>2015-2-11 11:9:52.89: Algorithm - FindNextStrikes - price is 1.52875 nextStrikeUp/Down 1.53/1.525</t>
  </si>
  <si>
    <t>2015-2-11 11:9:52.89: Algorithm - getPortfolioForwardDelta - required deltas is 130 currentHedgePosition is 120</t>
  </si>
  <si>
    <t>2015-2-11 11:9:52.89: Algorithm - getHedgeShortfall - required deltas is 130 price is 1.52865 currentHedgePositionDeltas is 120</t>
  </si>
  <si>
    <t>2015-2-11 11:9:52.89: Algorithm - processTransitionPoint - nextUpper/LowerStrikes are 1.53/1.525 requiredDeltas/currentPosition/currentHedgeShortfall/direction/transitionPrice are 130/120/10/-1/1.52865</t>
  </si>
  <si>
    <t>2015-2-11 11:9:52.89: TransitionLogger - processTransitionpoint - checking transition - currentHedgeShortfall is 10</t>
  </si>
  <si>
    <t>2015-2-11 11:9:52.105: Algorithm - rehedge - rehedging 10 contracts</t>
  </si>
  <si>
    <t>2015-2-11 11:9:52.105: Algortihm - rehedge - inside the loop</t>
  </si>
  <si>
    <t>2015-2-11 11:9:52.105: Algorithm - rehedge - trying to trade BUT contracts is 10 and direction indicator is -1</t>
  </si>
  <si>
    <t>2015-2-11 11:9:52.105: Algorithm - updatePortfolio - haveAllDetails is True</t>
  </si>
  <si>
    <t>2015-2-11 11:9:52.136: Algorithm - FindNextStrikes - price is 1.52875 nextStrikeUp/Down 1.53/1.525</t>
  </si>
  <si>
    <t>2015-2-11 11:9:52.136: Algorithm - getPortfolioForwardDelta - required deltas is 130 currentHedgePosition is 120</t>
  </si>
  <si>
    <t>2015-2-11 11:9:52.136: Algorithm - getHedgeShortfall - required deltas is 130 price is 1.52865 currentHedgePositionDeltas is 120</t>
  </si>
  <si>
    <t>2015-2-11 11:9:52.136: Algorithm - processTransitionPoint - nextUpper/LowerStrikes are 1.53/1.525 requiredDeltas/currentPosition/currentHedgeShortfall/direction/transitionPrice are 130/120/10/-1/1.52865</t>
  </si>
  <si>
    <t>2015-2-11 11:9:52.152: TransitionLogger - processTransitionpoint - checking transition - currentHedgeShortfall is 10</t>
  </si>
  <si>
    <t>2015-2-11 11:9:52.152: Algorithm - rehedge - rehedging 10 contracts</t>
  </si>
  <si>
    <t>2015-2-11 11:9:52.152: Algortihm - rehedge - inside the loop</t>
  </si>
  <si>
    <t>2015-2-11 11:9:52.152: Algorithm - rehedge - trying to trade BUT contracts is 10 and direction indicator is -1</t>
  </si>
  <si>
    <t>2015-2-11 11:9:52.152: Algorithm - updatePortfolio - haveAllDetails is True</t>
  </si>
  <si>
    <t>2015-2-11 11:9:52.183: Algorithm - FindNextStrikes - price is 1.52875 nextStrikeUp/Down 1.53/1.525</t>
  </si>
  <si>
    <t>2015-2-11 11:9:52.183: Algorithm - getPortfolioForwardDelta - required deltas is 130 currentHedgePosition is 120</t>
  </si>
  <si>
    <t>2015-2-11 11:9:52.183: Algorithm - getHedgeShortfall - required deltas is 130 price is 1.52865 currentHedgePositionDeltas is 120</t>
  </si>
  <si>
    <t>2015-2-11 11:9:52.183: Algorithm - processTransitionPoint - nextUpper/LowerStrikes are 1.53/1.525 requiredDeltas/currentPosition/currentHedgeShortfall/direction/transitionPrice are 130/120/10/-1/1.52865</t>
  </si>
  <si>
    <t>2015-2-11 11:9:52.198: TransitionLogger - processTransitionpoint - checking transition - currentHedgeShortfall is 10</t>
  </si>
  <si>
    <t>2015-2-11 11:9:52.198: Algorithm - rehedge - rehedging 10 contracts</t>
  </si>
  <si>
    <t>2015-2-11 11:9:52.198: Algortihm - rehedge - inside the loop</t>
  </si>
  <si>
    <t>2015-2-11 11:9:52.198: Algorithm - rehedge - trying to trade BUT contracts is 10 and direction indicator is -1</t>
  </si>
  <si>
    <t>2015-2-11 11:9:52.198: Algorithm - updatePortfolio - haveAllDetails is True</t>
  </si>
  <si>
    <t>2015-2-11 11:9:52.214: Algorithm - FindNextStrikes - price is 1.52875 nextStrikeUp/Down 1.53/1.525</t>
  </si>
  <si>
    <t>2015-2-11 11:9:52.230: Algorithm - getPortfolioForwardDelta - required deltas is 130 currentHedgePosition is 120</t>
  </si>
  <si>
    <t>2015-2-11 11:9:52.230: Algorithm - getHedgeShortfall - required deltas is 130 price is 1.52865 currentHedgePositionDeltas is 120</t>
  </si>
  <si>
    <t>2015-2-11 11:9:52.230: Algorithm - processTransitionPoint - nextUpper/LowerStrikes are 1.53/1.525 requiredDeltas/currentPosition/currentHedgeShortfall/direction/transitionPrice are 130/120/10/-1/1.52865</t>
  </si>
  <si>
    <t>2015-2-11 11:9:52.230: TransitionLogger - processTransitionpoint - checking transition - currentHedgeShortfall is 10</t>
  </si>
  <si>
    <t>2015-2-11 11:9:52.230: Algorithm - rehedge - rehedging 10 contracts</t>
  </si>
  <si>
    <t>2015-2-11 11:9:52.230: Algortihm - rehedge - inside the loop</t>
  </si>
  <si>
    <t>2015-2-11 11:9:52.230: Algorithm - rehedge - trying to trade BUT contracts is 10 and direction indicator is -1</t>
  </si>
  <si>
    <t>2015-2-11 11:9:52.230: Algorithm - updatePortfolio - haveAllDetails is True</t>
  </si>
  <si>
    <t>2015-2-11 11:9:54.76: Algorithm - rehedge - rehedging 10 contracts</t>
  </si>
  <si>
    <t>2015-2-11 11:9:54.76: Algortihm - rehedge - inside the loop</t>
  </si>
  <si>
    <t>2015-2-11 11:9:54.76: Algorithm - rehedge - trying to trade BUT contracts is 10 and direction indicator is -1</t>
  </si>
  <si>
    <t>2015-2-11 11:9:54.76: OrderManager - cancelOrder - cancelling order id 9775</t>
  </si>
  <si>
    <t>2015-2-11 11:9:54.76: OrderManager - PlaceOrder - id 9776 workingQty -1400</t>
  </si>
  <si>
    <t>2015-2-11 11:9:54.92: OrderManager - sendOrder - exiting place order id 9776 BUY 43 1.5412  - workingQty -1400 currentPosition is 120 workingOrderCount is -50</t>
  </si>
  <si>
    <t>2015-2-11 11:9:54.92: OrderManager - cancelOrder - cancelling order id 9774</t>
  </si>
  <si>
    <t>2015-2-11 11:9:54.92: OrderManager - createOrder - exiting without creating order - did not have validID</t>
  </si>
  <si>
    <t>2015-2-11 11:9:54.219: RTWSControl - nextValidId - entering nextValidId id is 9777</t>
  </si>
  <si>
    <t>2015-2-11 11:9:54.375: RTWSControl - orderStatus -  entering orderStatus id is 9775 status is Cancelled</t>
  </si>
  <si>
    <t>2015-2-11 11:9:54.375: OrderManager - UpdateOrderStatus - id 9775 Setting status to Cancelled workingOrderCount is now -50 workingQty -1400</t>
  </si>
  <si>
    <t>2015-2-11 11:9:54.375: RTWSControl - OrderStatus - Got OrderStatus Message id:9775 status: Cancelled filled: 0</t>
  </si>
  <si>
    <t>2015-2-11 11:9:54.375: RTWSControl - OrderStatus - exiting orderStatus</t>
  </si>
  <si>
    <t>2015-2-11 11:9:54.406: RTWSControl - errMsg - got error message 202:Order Canceled - reason:with id 9775</t>
  </si>
  <si>
    <t>2015-2-11 11:9:54.406: OrderManager - canceledOrder - cleaning up after canceled order 9775BEWARE UNACCOUNTED FOR EXECUTIONS!!!</t>
  </si>
  <si>
    <t>2015-2-11 11:9:54.406: OrderManager - terminateOrder - cleaning up after Canceled 9775  order was supposed to BUY 47 1.5427 STP LMT workingQty/OrderCount now -1447/-51</t>
  </si>
  <si>
    <t>2015-2-11 11:9:54.437: RTWSControl - orderStatus -  entering orderStatus id is 9774 status is Cancelled</t>
  </si>
  <si>
    <t>2015-2-11 11:9:54.453: OrderManager - UpdateOrderStatus - id 9774 Setting status to Cancelled workingOrderCount is now -51 workingQty -1447</t>
  </si>
  <si>
    <t>2015-2-11 11:9:54.453: RTWSControl - OrderStatus - Got OrderStatus Message id:9774 status: Cancelled filled: 0</t>
  </si>
  <si>
    <t>2015-2-11 11:9:54.453: RTWSControl - OrderStatus - exiting orderStatus</t>
  </si>
  <si>
    <t>2015-2-11 11:9:54.468: RTWSControl - errMsg - got error message 202:Order Canceled - reason:with id 9774</t>
  </si>
  <si>
    <t>2015-2-11 11:9:54.468: OrderManager - canceledOrder - cleaning up after canceled order 9774BEWARE UNACCOUNTED FOR EXECUTIONS!!!</t>
  </si>
  <si>
    <t>2015-2-11 11:9:54.468: OrderManager - terminateOrder - cleaning up after Canceled 9774  order was supposed to SELL 48 1.5274 STP LMT workingQty/OrderCount now -1495/-52</t>
  </si>
  <si>
    <t>2015-2-11 11:9:54.593: openOrderEx - I am here</t>
  </si>
  <si>
    <t>2015-2-11 11:9:54.640: RTWSControl - orderStatus -  entering orderStatus id is 9776 status is PreSubmitted</t>
  </si>
  <si>
    <t>2015-2-11 11:9:54.640: OrderManager - UpdateOrderStatus - id 9776 Setting status to PreSubmitted workingOrderCount is now -52 workingQty -1495</t>
  </si>
  <si>
    <t>2015-2-11 11:9:54.640: RTWSControl - OrderStatus - Got OrderStatus Message id:9776 status: PreSubmitted filled: 0</t>
  </si>
  <si>
    <t>2015-2-11 11:9:54.640: RTWSControl - OrderStatus - exiting orderStatus</t>
  </si>
  <si>
    <t>2015-2-11 11:10:6.457: Algorithm - FindNextStrikes - price is 1.5287 nextStrikeUp/Down 1.53/1.525</t>
  </si>
  <si>
    <t>2015-2-11 11:10:6.457: Algorithm - getPortfolioForwardDelta - required deltas is 130 currentHedgePosition is 120</t>
  </si>
  <si>
    <t>2015-2-11 11:10:6.472: Algorithm - getHedgeShortfall - required deltas is 130 price is 1.5286 currentHedgePositionDeltas is 120</t>
  </si>
  <si>
    <t>2015-2-11 11:10:6.472: Algorithm - processTransitionPoint - nextUpper/LowerStrikes are 1.53/1.525 requiredDeltas/currentPosition/currentHedgeShortfall/direction/transitionPrice are 130/120/10/-1/1.5286</t>
  </si>
  <si>
    <t>2015-2-11 11:10:6.472: TransitionLogger - processTransitionpoint - checking transition - currentHedgeShortfall is 10</t>
  </si>
  <si>
    <t>2015-2-11 11:10:6.472: Algorithm - rehedge - rehedging 10 contracts</t>
  </si>
  <si>
    <t>2015-2-11 11:10:6.472: Algortihm - rehedge - inside the loop</t>
  </si>
  <si>
    <t>2015-2-11 11:10:6.472: Algorithm - rehedge - trying to trade BUT contracts is 10 and direction indicator is -1</t>
  </si>
  <si>
    <t>2015-2-11 11:10:6.472: Algorithm - updatePortfolio - haveAllDetails is True</t>
  </si>
  <si>
    <t>2015-2-11 11:10:13.724: Algorithm - rehedge - rehedging 10 contracts</t>
  </si>
  <si>
    <t>2015-2-11 11:10:13.724: Algortihm - rehedge - inside the loop</t>
  </si>
  <si>
    <t>2015-2-11 11:10:13.724: Algorithm - rehedge - trying to trade BUT contracts is 10 and direction indicator is -1</t>
  </si>
  <si>
    <t>2015-2-11 11:10:13.724: OrderManager - PlaceOrder - id 9777 workingQty -1537</t>
  </si>
  <si>
    <t>2015-2-11 11:10:13.740: OrderManager - sendOrder - exiting place order id 9777 SELL 42 1.5273  - workingQty -1537 currentPosition is 120 workingOrderCount is -51</t>
  </si>
  <si>
    <t>2015-2-11 11:10:14.6: RTWSControl - nextValidId - entering nextValidId id is 9778</t>
  </si>
  <si>
    <t>2015-2-11 11:10:14.68: openOrderEx - I am here</t>
  </si>
  <si>
    <t>2015-2-11 11:10:14.84: RTWSControl - orderStatus -  entering orderStatus id is 9777 status is PreSubmitted</t>
  </si>
  <si>
    <t>2015-2-11 11:10:14.84: OrderManager - UpdateOrderStatus - id 9777 Setting status to PreSubmitted workingOrderCount is now -51 workingQty -1537</t>
  </si>
  <si>
    <t>2015-2-11 11:10:14.99: RTWSControl - OrderStatus - Got OrderStatus Message id:9777 status: PreSubmitted filled: 0</t>
  </si>
  <si>
    <t>2015-2-11 11:10:14.99: RTWSControl - OrderStatus - exiting orderStatus</t>
  </si>
  <si>
    <t>2015-2-11 11:10:15.179: Algorithm - rehedge - rehedging 10 contracts</t>
  </si>
  <si>
    <t>2015-2-11 11:10:15.179: Algortihm - rehedge - inside the loop</t>
  </si>
  <si>
    <t>2015-2-11 11:10:15.179: Algorithm - rehedge - trying to trade BUT contracts is 10 and direction indicator is -1</t>
  </si>
  <si>
    <t>2015-2-11 11:10:15.210: Algorithm - rehedge - rehedging 10 contracts</t>
  </si>
  <si>
    <t>2015-2-11 11:10:15.210: Algortihm - rehedge - inside the loop</t>
  </si>
  <si>
    <t>2015-2-11 11:10:15.210: Algorithm - rehedge - trying to trade BUT contracts is 10 and direction indicator is -1</t>
  </si>
  <si>
    <t>2015-2-11 11:10:15.711: Algorithm - rehedge - rehedging 10 contracts</t>
  </si>
  <si>
    <t>2015-2-11 11:10:15.711: Algortihm - rehedge - inside the loop</t>
  </si>
  <si>
    <t>2015-2-11 11:10:15.711: Algorithm - rehedge - trying to trade BUT contracts is 10 and direction indicator is -1</t>
  </si>
  <si>
    <t>2015-2-11 11:10:38.727: Algorithm - rehedge - rehedging 10 contracts</t>
  </si>
  <si>
    <t>2015-2-11 11:10:38.727: Algortihm - rehedge - inside the loop</t>
  </si>
  <si>
    <t>2015-2-11 11:10:38.727: Algorithm - rehedge - trying to trade BUT contracts is 10 and direction indicator is -1</t>
  </si>
  <si>
    <t>2015-2-11 11:10:45.475: Algorithm - rehedge - rehedging 10 contracts</t>
  </si>
  <si>
    <t>2015-2-11 11:10:45.476: Algortihm - rehedge - inside the loop</t>
  </si>
  <si>
    <t>2015-2-11 11:10:45.476: Algorithm - rehedge - trying to trade BUT contracts is 10 and direction indicator is -1</t>
  </si>
  <si>
    <t>2015-2-11 11:10:52.991: Algorithm - rehedge - rehedging 10 contracts</t>
  </si>
  <si>
    <t>2015-2-11 11:10:52.991: Algortihm - rehedge - inside the loop</t>
  </si>
  <si>
    <t>2015-2-11 11:10:52.991: Algorithm - rehedge - trying to trade BUT contracts is 10 and direction indicator is -1</t>
  </si>
  <si>
    <t>2015-2-11 11:10:52.991: OrderManager - cancelOrder - cancelling order id 9777</t>
  </si>
  <si>
    <t>2015-2-11 11:10:53.6: OrderManager - PlaceOrder - id 9778 workingQty -1582</t>
  </si>
  <si>
    <t>2015-2-11 11:10:53.6: OrderManager - sendOrder - exiting place order id 9778 SELL 45 1.5272  - workingQty -1582 currentPosition is 120 workingOrderCount is -50</t>
  </si>
  <si>
    <t>2015-2-11 11:10:53.147: RTWSControl - nextValidId - entering nextValidId id is 9779</t>
  </si>
  <si>
    <t>2015-2-11 11:10:53.303: RTWSControl - orderStatus -  entering orderStatus id is 9777 status is Cancelled</t>
  </si>
  <si>
    <t>2015-2-11 11:10:53.303: OrderManager - UpdateOrderStatus - id 9777 Setting status to Cancelled workingOrderCount is now -50 workingQty -1582</t>
  </si>
  <si>
    <t>2015-2-11 11:10:53.303: RTWSControl - OrderStatus - Got OrderStatus Message id:9777 status: Cancelled filled: 0</t>
  </si>
  <si>
    <t>2015-2-11 11:10:53.303: RTWSControl - OrderStatus - exiting orderStatus</t>
  </si>
  <si>
    <t>2015-2-11 11:10:53.365: RTWSControl - errMsg - got error message 202:Order Canceled - reason:with id 9777</t>
  </si>
  <si>
    <t>2015-2-11 11:10:53.365: OrderManager - canceledOrder - cleaning up after canceled order 9777BEWARE UNACCOUNTED FOR EXECUTIONS!!!</t>
  </si>
  <si>
    <t>2015-2-11 11:10:53.365: OrderManager - terminateOrder - cleaning up after Canceled 9777  order was supposed to SELL 42 1.5273 STP LMT workingQty/OrderCount now -1624/-51</t>
  </si>
  <si>
    <t>2015-2-11 11:10:53.385: openOrderEx - I am here</t>
  </si>
  <si>
    <t>2015-2-11 11:10:53.396: RTWSControl - orderStatus -  entering orderStatus id is 9778 status is PreSubmitted</t>
  </si>
  <si>
    <t>2015-2-11 11:10:53.396: OrderManager - UpdateOrderStatus - id 9778 Setting status to PreSubmitted workingOrderCount is now -51 workingQty -1624</t>
  </si>
  <si>
    <t>2015-2-11 11:10:53.399: RTWSControl - OrderStatus - Got OrderStatus Message id:9778 status: PreSubmitted filled: 0</t>
  </si>
  <si>
    <t>2015-2-11 11:10:53.400: RTWSControl - OrderStatus - exiting orderStatus</t>
  </si>
  <si>
    <t>2015-2-11 11:10:58.831: Algorithm - rehedge - rehedging 10 contracts</t>
  </si>
  <si>
    <t>2015-2-11 11:10:58.831: Algortihm - rehedge - inside the loop</t>
  </si>
  <si>
    <t>2015-2-11 11:10:58.832: Algorithm - rehedge - trying to trade BUT contracts is 10 and direction indicator is -1</t>
  </si>
  <si>
    <t>2015-2-11 11:10:59.52: Algorithm - rehedge - rehedging 10 contracts</t>
  </si>
  <si>
    <t>2015-2-11 11:10:59.52: Algortihm - rehedge - inside the loop</t>
  </si>
  <si>
    <t>2015-2-11 11:10:59.52: Algorithm - rehedge - trying to trade BUT contracts is 10 and direction indicator is -1</t>
  </si>
  <si>
    <t>2015-2-11 11:10:59.363: Algorithm - rehedge - rehedging 10 contracts</t>
  </si>
  <si>
    <t>2015-2-11 11:10:59.363: Algortihm - rehedge - inside the loop</t>
  </si>
  <si>
    <t>2015-2-11 11:10:59.363: Algorithm - rehedge - trying to trade BUT contracts is 10 and direction indicator is -1</t>
  </si>
  <si>
    <t>2015-2-11 11:10:59.394: Algorithm - rehedge - rehedging 10 contracts</t>
  </si>
  <si>
    <t>2015-2-11 11:10:59.394: Algortihm - rehedge - inside the loop</t>
  </si>
  <si>
    <t>2015-2-11 11:10:59.394: Algorithm - rehedge - trying to trade BUT contracts is 10 and direction indicator is -1</t>
  </si>
  <si>
    <t>2015-2-11 11:10:59.737: Algorithm - rehedge - rehedging 10 contracts</t>
  </si>
  <si>
    <t>2015-2-11 11:10:59.737: Algortihm - rehedge - inside the loop</t>
  </si>
  <si>
    <t>2015-2-11 11:10:59.737: Algorithm - rehedge - trying to trade BUT contracts is 10 and direction indicator is -1</t>
  </si>
  <si>
    <t>2015-2-11 11:11:2.981: Algorithm - rehedge - rehedging 10 contracts</t>
  </si>
  <si>
    <t>2015-2-11 11:11:2.981: Algortihm - rehedge - inside the loop</t>
  </si>
  <si>
    <t>2015-2-11 11:11:2.981: Algorithm - rehedge - trying to trade BUT contracts is 10 and direction indicator is -1</t>
  </si>
  <si>
    <t>2015-2-11 11:11:5.70: Algorithm - rehedge - rehedging 10 contracts</t>
  </si>
  <si>
    <t>2015-2-11 11:11:5.70: Algortihm - rehedge - inside the loop</t>
  </si>
  <si>
    <t>2015-2-11 11:11:5.70: Algorithm - rehedge - trying to trade BUT contracts is 10 and direction indicator is -1</t>
  </si>
  <si>
    <t>2015-2-11 11:11:34.956: Algorithm - rehedge - rehedging 10 contracts</t>
  </si>
  <si>
    <t>2015-2-11 11:11:34.956: Algortihm - rehedge - inside the loop</t>
  </si>
  <si>
    <t>2015-2-11 11:11:34.956: Algorithm - rehedge - trying to trade BUT contracts is 10 and direction indicator is -1</t>
  </si>
  <si>
    <t>2015-2-11 11:11:53.113: Algorithm - rehedge - rehedging 10 contracts</t>
  </si>
  <si>
    <t>2015-2-11 11:11:53.113: Algortihm - rehedge - inside the loop</t>
  </si>
  <si>
    <t>2015-2-11 11:11:53.113: Algorithm - rehedge - trying to trade BUT contracts is 10 and direction indicator is -1</t>
  </si>
  <si>
    <t>2015-2-11 11:11:57.587: Algorithm - rehedge - rehedging 10 contracts</t>
  </si>
  <si>
    <t>2015-2-11 11:11:57.603: Algortihm - rehedge - inside the loop</t>
  </si>
  <si>
    <t>2015-2-11 11:11:57.603: Algorithm - rehedge - trying to trade BUT contracts is 10 and direction indicator is -1</t>
  </si>
  <si>
    <t>2015-2-11 11:12:13.536: Algorithm - rehedge - rehedging 10 contracts</t>
  </si>
  <si>
    <t>2015-2-11 11:12:13.536: Algortihm - rehedge - inside the loop</t>
  </si>
  <si>
    <t>2015-2-11 11:12:13.536: Algorithm - rehedge - trying to trade BUT contracts is 10 and direction indicator is -1</t>
  </si>
  <si>
    <t>2015-2-11 11:12:13.988: Algorithm - rehedge - rehedging 10 contracts</t>
  </si>
  <si>
    <t>2015-2-11 11:12:13.988: Algortihm - rehedge - inside the loop</t>
  </si>
  <si>
    <t>2015-2-11 11:12:13.988: OrderManager - PlaceOrder - id 9779 workingQty -1619</t>
  </si>
  <si>
    <t>2015-2-11 11:12:13.988: OrderManager - sendOrder - exiting place order id 9779 BUY 5 1.5287  - workingQty -1619 currentPosition is 120 workingOrderCount is -50</t>
  </si>
  <si>
    <t>2015-2-11 11:12:14.4: Algorithm - rehedge - placing an order - orderSize is 5 workingQty is -1619 working order count -50</t>
  </si>
  <si>
    <t>2015-2-11 11:12:14.129: Algorithm - rehedge - rehedging 10 contracts</t>
  </si>
  <si>
    <t>2015-2-11 11:12:14.129: Algorithm - rehedge - Need to place order but already have a working order - workingQty is -1619 working order count -50</t>
  </si>
  <si>
    <t>2015-2-11 11:12:14.254: RTWSControl - nextValidId - entering nextValidId id is 9780</t>
  </si>
  <si>
    <t>2015-2-11 11:12:14.254: Algorithm - rehedge - rehedging 10 contracts</t>
  </si>
  <si>
    <t>2015-2-11 11:12:14.254: Algorithm - rehedge - Need to place order but already have a working order - workingQty is -1619 working order count -50</t>
  </si>
  <si>
    <t>2015-2-11 11:12:14.332: openOrderEx - I am here</t>
  </si>
  <si>
    <t>2015-2-11 11:12:14.378: RTWSControl - orderStatus -  entering orderStatus id is 9779 status is Submitted</t>
  </si>
  <si>
    <t>2015-2-11 11:12:14.378: OrderManager - UpdateOrderStatus - id 9779 Setting status to Submitted workingOrderCount is now -50 workingQty -1619</t>
  </si>
  <si>
    <t>2015-2-11 11:12:14.378: RTWSControl - OrderStatus - Got OrderStatus Message id:9779 status: Submitted filled: 0</t>
  </si>
  <si>
    <t>2015-2-11 11:12:14.378: RTWSControl - OrderStatus - exiting orderStatus</t>
  </si>
  <si>
    <t>2015-2-11 11:12:18.734: RTWSControl - execDetails -  entering execDetailsEx execution id is 0001f4e5.54da9c64.01.01 shares/cumQty is 1/1</t>
  </si>
  <si>
    <t>2015-2-11 11:12:18.736: Algorithm - FindNextStrikes - price is 1.52875 nextStrikeUp/Down 1.53/1.525</t>
  </si>
  <si>
    <t>2015-2-11 11:12:18.736: Algorithm - getPortfolioForwardDelta - required deltas is 130 currentHedgePosition is 121</t>
  </si>
  <si>
    <t>2015-2-11 11:12:18.737: Algorithm - getHedgeShortfall - required deltas is 130 price is 1.52885 currentHedgePositionDeltas is 121</t>
  </si>
  <si>
    <t>2015-2-11 11:12:18.738: Algorithm - processTransitionPoint - nextUpper/LowerStrikes are 1.53/1.525 requiredDeltas/currentPosition/currentHedgeShortfall/direction/transitionPrice are 130/121/9/1/1.52885</t>
  </si>
  <si>
    <t>2015-2-11 11:12:18.739: TransitionLogger - processTransitionpoint - checking transition - currentHedgeShortfall is 9</t>
  </si>
  <si>
    <t>2015-2-11 11:12:18.740: OrderManager - updateExecution - got a fill for id 9779 qty 1 side BOT price 1.5287 - new working order size is -1620 new instrument.qty is 121</t>
  </si>
  <si>
    <t>0001f4e5.54da9c64.01.01</t>
  </si>
  <si>
    <t>20150211  11:12:19</t>
  </si>
  <si>
    <t>2015-2-11 11:12:18.743: OrderManagerView - UpdateExecutionView - entering updateExecutionView  executionId is 0001f4e5.54da9c64.01.01</t>
  </si>
  <si>
    <t>2015-2-11 11:12:18.745: OrderManagerView - updateExecutionView -  exiting UpdateExecutionView</t>
  </si>
  <si>
    <t>2015-2-11 11:12:18.746: RTWSControl - execDetails -  exiting execDetailsEx</t>
  </si>
  <si>
    <t>2015-2-11 11:12:18.746: RTWSControl - execDetails - Got execution Message id:-1</t>
  </si>
  <si>
    <t>2015-2-11 11:12:18.768: openOrderEx - I am here</t>
  </si>
  <si>
    <t>2015-2-11 11:12:18.780: RTWSControl - orderStatus -  entering orderStatus id is 9779 status is Submitted</t>
  </si>
  <si>
    <t>2015-2-11 11:12:18.780: OrderManager - UpdateOrderStatus - id 9779 Setting status to Submitted workingOrderCount is now -50 workingQty -1620</t>
  </si>
  <si>
    <t>2015-2-11 11:12:18.784: RTWSControl - OrderStatus - Got OrderStatus Message id:9779 status: Submitted filled: 1</t>
  </si>
  <si>
    <t>2015-2-11 11:12:18.784: RTWSControl - OrderStatus - exiting orderStatus</t>
  </si>
  <si>
    <t>2015-2-11 11:12:18.810: Algorithm - rehedge - rehedging 9 contracts</t>
  </si>
  <si>
    <t>2015-2-11 11:12:18.810: Algorithm - rehedge - Need to place order but already have a working order - workingQty is -1620 working order count -50</t>
  </si>
  <si>
    <t>2015-2-11 11:12:18.814: OrderManager - cancelOrder - cancelling order id 9778</t>
  </si>
  <si>
    <t>2015-2-11 11:12:18.814: OrderManager - PlaceOrder - id 9780 workingQty -1662</t>
  </si>
  <si>
    <t>2015-2-11 11:12:18.817: OrderManager - sendOrder - exiting place order id 9780 SELL 42 1.5274  - workingQty -1662 currentPosition is 121 workingOrderCount is -49</t>
  </si>
  <si>
    <t>2015-2-11 11:12:18.984: openOrderEx - I am here</t>
  </si>
  <si>
    <t>2015-2-11 11:12:19.15: RTWSControl - orderStatus -  entering orderStatus id is 9779 status is Submitted</t>
  </si>
  <si>
    <t>2015-2-11 11:12:19.15: OrderManager - UpdateOrderStatus - id 9779 Setting status to Submitted workingOrderCount is now -49 workingQty -1662</t>
  </si>
  <si>
    <t>2015-2-11 11:12:19.15: RTWSControl - OrderStatus - Got OrderStatus Message id:9779 status: Submitted filled: 1</t>
  </si>
  <si>
    <t>2015-2-11 11:12:19.15: RTWSControl - OrderStatus - exiting orderStatus</t>
  </si>
  <si>
    <t>2015-2-11 11:12:19.62: RTWSControl - execDetails -  entering execDetailsEx execution id is 0001f4e5.54da9c65.01.01 shares/cumQty is 1/2</t>
  </si>
  <si>
    <t>2015-2-11 11:12:19.62: Algorithm - FindNextStrikes - price is 1.5287 nextStrikeUp/Down 1.53/1.525</t>
  </si>
  <si>
    <t>2015-2-11 11:12:19.62: Algorithm - getPortfolioForwardDelta - required deltas is 130 currentHedgePosition is 122</t>
  </si>
  <si>
    <t>2015-2-11 11:12:19.62: Algorithm - getHedgeShortfall - required deltas is 130 price is 1.5288 currentHedgePositionDeltas is 122</t>
  </si>
  <si>
    <t>2015-2-11 11:12:19.62: Algorithm - processTransitionPoint - nextUpper/LowerStrikes are 1.53/1.525 requiredDeltas/currentPosition/currentHedgeShortfall/direction/transitionPrice are 130/122/8/1/1.5288</t>
  </si>
  <si>
    <t>2015-2-11 11:12:19.62: TransitionLogger - processTransitionpoint - checking transition - currentHedgeShortfall is 8</t>
  </si>
  <si>
    <t>2015-2-11 11:12:19.62: OrderManager - updateExecution - got a fill for id 9779 qty 1 side BOT price 1.5287 - new working order size is -1663 new instrument.qty is 122</t>
  </si>
  <si>
    <t>0001f4e5.54da9c65.01.01</t>
  </si>
  <si>
    <t>2015-2-11 11:12:19.78: OrderManagerView - UpdateExecutionView - entering updateExecutionView  executionId is 0001f4e5.54da9c65.01.01</t>
  </si>
  <si>
    <t>2015-2-11 11:12:19.78: OrderManagerView - updateExecutionView -  exiting UpdateExecutionView</t>
  </si>
  <si>
    <t>2015-2-11 11:12:19.78: RTWSControl - execDetails -  exiting execDetailsEx</t>
  </si>
  <si>
    <t>2015-2-11 11:12:19.78: RTWSControl - execDetails - Got execution Message id:-1</t>
  </si>
  <si>
    <t>2015-2-11 11:12:19.109: openOrderEx - I am here</t>
  </si>
  <si>
    <t>2015-2-11 11:12:19.125: RTWSControl - orderStatus -  entering orderStatus id is 9779 status is Submitted</t>
  </si>
  <si>
    <t>2015-2-11 11:12:19.125: OrderManager - UpdateOrderStatus - id 9779 Setting status to Submitted workingOrderCount is now -49 workingQty -1663</t>
  </si>
  <si>
    <t>2015-2-11 11:12:19.125: RTWSControl - OrderStatus - Got OrderStatus Message id:9779 status: Submitted filled: 2</t>
  </si>
  <si>
    <t>2015-2-11 11:12:19.125: RTWSControl - OrderStatus - exiting orderStatus</t>
  </si>
  <si>
    <t>2015-2-11 11:12:19.140: openOrderEx - I am here</t>
  </si>
  <si>
    <t>2015-2-11 11:12:19.171: RTWSControl - orderStatus -  entering orderStatus id is 9779 status is Submitted</t>
  </si>
  <si>
    <t>2015-2-11 11:12:19.171: OrderManager - UpdateOrderStatus - id 9779 Setting status to Submitted workingOrderCount is now -49 workingQty -1663</t>
  </si>
  <si>
    <t>2015-2-11 11:12:19.187: RTWSControl - OrderStatus - Got OrderStatus Message id:9779 status: Submitted filled: 2</t>
  </si>
  <si>
    <t>2015-2-11 11:12:19.187: RTWSControl - OrderStatus - exiting orderStatus</t>
  </si>
  <si>
    <t>2015-2-11 11:12:19.249: Algorithm - rehedge - rehedging 8 contracts</t>
  </si>
  <si>
    <t>2015-2-11 11:12:19.249: Algorithm - rehedge - Need to place order but already have a working order - workingQty is -1663 working order count -49</t>
  </si>
  <si>
    <t>2015-2-11 11:12:19.328: RTWSControl - nextValidId - entering nextValidId id is 9781</t>
  </si>
  <si>
    <t>2015-2-11 11:12:19.344: RTWSControl - orderStatus -  entering orderStatus id is 9778 status is Cancelled</t>
  </si>
  <si>
    <t>2015-2-11 11:12:19.344: OrderManager - UpdateOrderStatus - id 9778 Setting status to Cancelled workingOrderCount is now -49 workingQty -1663</t>
  </si>
  <si>
    <t>2015-2-11 11:12:19.344: RTWSControl - OrderStatus - Got OrderStatus Message id:9778 status: Cancelled filled: 0</t>
  </si>
  <si>
    <t>2015-2-11 11:12:19.344: RTWSControl - OrderStatus - exiting orderStatus</t>
  </si>
  <si>
    <t>2015-2-11 11:12:19.375: RTWSControl - errMsg - got error message 202:Order Canceled - reason:with id 9778</t>
  </si>
  <si>
    <t>2015-2-11 11:12:19.375: OrderManager - canceledOrder - cleaning up after canceled order 9778BEWARE UNACCOUNTED FOR EXECUTIONS!!!</t>
  </si>
  <si>
    <t>2015-2-11 11:12:19.375: OrderManager - terminateOrder - cleaning up after Canceled 9778  order was supposed to SELL 45 1.5272 STP LMT workingQty/OrderCount now -1708/-50</t>
  </si>
  <si>
    <t>2015-2-11 11:12:19.438: openOrderEx - I am here</t>
  </si>
  <si>
    <t>2015-2-11 11:12:19.469: RTWSControl - orderStatus -  entering orderStatus id is 9780 status is PreSubmitted</t>
  </si>
  <si>
    <t>2015-2-11 11:12:19.469: OrderManager - UpdateOrderStatus - id 9780 Setting status to PreSubmitted workingOrderCount is now -50 workingQty -1708</t>
  </si>
  <si>
    <t>2015-2-11 11:12:19.469: RTWSControl - OrderStatus - Got OrderStatus Message id:9780 status: PreSubmitted filled: 0</t>
  </si>
  <si>
    <t>2015-2-11 11:12:19.469: RTWSControl - OrderStatus - exiting orderStatus</t>
  </si>
  <si>
    <t>2015-2-11 11:12:21.390: Algorithm - FindNextStrikes - price is 1.52875 nextStrikeUp/Down 1.53/1.525</t>
  </si>
  <si>
    <t>2015-2-11 11:12:21.390: Algorithm - getPortfolioForwardDelta - required deltas is 130 currentHedgePosition is 122</t>
  </si>
  <si>
    <t>2015-2-11 11:12:21.391: Algorithm - getHedgeShortfall - required deltas is 130 price is 1.52885 currentHedgePositionDeltas is 122</t>
  </si>
  <si>
    <t>2015-2-11 11:12:21.392: Algorithm - processTransitionPoint - nextUpper/LowerStrikes are 1.53/1.525 requiredDeltas/currentPosition/currentHedgeShortfall/direction/transitionPrice are 130/122/8/1/1.52885</t>
  </si>
  <si>
    <t>2015-2-11 11:12:21.393: TransitionLogger - processTransitionpoint - checking transition - currentHedgeShortfall is 8</t>
  </si>
  <si>
    <t>2015-2-11 11:12:21.394: Algorithm - rehedge - rehedging 8 contracts</t>
  </si>
  <si>
    <t>2015-2-11 11:12:21.394: Algorithm - rehedge - Need to place order but already have a working order - workingQty is -1708 working order count -50</t>
  </si>
  <si>
    <t>2015-2-11 11:12:21.397: Algorithm - updatePortfolio - haveAllDetails is True</t>
  </si>
  <si>
    <t>2015-2-11 11:12:21.434: Algorithm - FindNextStrikes - price is 1.52875 nextStrikeUp/Down 1.53/1.525</t>
  </si>
  <si>
    <t>2015-2-11 11:12:21.435: Algorithm - getPortfolioForwardDelta - required deltas is 130 currentHedgePosition is 122</t>
  </si>
  <si>
    <t>2015-2-11 11:12:21.436: Algorithm - getHedgeShortfall - required deltas is 130 price is 1.52885 currentHedgePositionDeltas is 122</t>
  </si>
  <si>
    <t>2015-2-11 11:12:21.437: Algorithm - processTransitionPoint - nextUpper/LowerStrikes are 1.53/1.525 requiredDeltas/currentPosition/currentHedgeShortfall/direction/transitionPrice are 130/122/8/1/1.52885</t>
  </si>
  <si>
    <t>2015-2-11 11:12:21.438: TransitionLogger - processTransitionpoint - checking transition - currentHedgeShortfall is 8</t>
  </si>
  <si>
    <t>2015-2-11 11:12:21.438: Algorithm - rehedge - rehedging 8 contracts</t>
  </si>
  <si>
    <t>2015-2-11 11:12:21.439: Algorithm - rehedge - Need to place order but already have a working order - workingQty is -1708 working order count -50</t>
  </si>
  <si>
    <t>2015-2-11 11:12:21.440: Algorithm - updatePortfolio - haveAllDetails is True</t>
  </si>
  <si>
    <t>2015-2-11 11:12:21.483: Algorithm - FindNextStrikes - price is 1.52875 nextStrikeUp/Down 1.53/1.525</t>
  </si>
  <si>
    <t>2015-2-11 11:12:21.484: Algorithm - getPortfolioForwardDelta - required deltas is 130 currentHedgePosition is 122</t>
  </si>
  <si>
    <t>2015-2-11 11:12:21.484: Algorithm - getHedgeShortfall - required deltas is 130 price is 1.52885 currentHedgePositionDeltas is 122</t>
  </si>
  <si>
    <t>2015-2-11 11:12:21.486: Algorithm - processTransitionPoint - nextUpper/LowerStrikes are 1.53/1.525 requiredDeltas/currentPosition/currentHedgeShortfall/direction/transitionPrice are 130/122/8/1/1.52885</t>
  </si>
  <si>
    <t>2015-2-11 11:12:21.487: TransitionLogger - processTransitionpoint - checking transition - currentHedgeShortfall is 8</t>
  </si>
  <si>
    <t>2015-2-11 11:12:21.487: Algorithm - rehedge - rehedging 8 contracts</t>
  </si>
  <si>
    <t>2015-2-11 11:12:21.488: Algorithm - rehedge - Need to place order but already have a working order - workingQty is -1708 working order count -50</t>
  </si>
  <si>
    <t>2015-2-11 11:12:21.489: Algorithm - updatePortfolio - haveAllDetails is True</t>
  </si>
  <si>
    <t>2015-2-11 11:12:21.525: Algorithm - FindNextStrikes - price is 1.52875 nextStrikeUp/Down 1.53/1.525</t>
  </si>
  <si>
    <t>2015-2-11 11:12:21.526: Algorithm - getPortfolioForwardDelta - required deltas is 130 currentHedgePosition is 122</t>
  </si>
  <si>
    <t>2015-2-11 11:12:21.526: Algorithm - getHedgeShortfall - required deltas is 130 price is 1.52885 currentHedgePositionDeltas is 122</t>
  </si>
  <si>
    <t>2015-2-11 11:12:21.528: Algorithm - processTransitionPoint - nextUpper/LowerStrikes are 1.53/1.525 requiredDeltas/currentPosition/currentHedgeShortfall/direction/transitionPrice are 130/122/8/1/1.52885</t>
  </si>
  <si>
    <t>2015-2-11 11:12:21.529: TransitionLogger - processTransitionpoint - checking transition - currentHedgeShortfall is 8</t>
  </si>
  <si>
    <t>2015-2-11 11:12:21.529: Algorithm - rehedge - rehedging 8 contracts</t>
  </si>
  <si>
    <t>2015-2-11 11:12:21.530: Algorithm - rehedge - Need to place order but already have a working order - workingQty is -1708 working order count -50</t>
  </si>
  <si>
    <t>2015-2-11 11:12:21.531: Algorithm - updatePortfolio - haveAllDetails is True</t>
  </si>
  <si>
    <t>2015-2-11 11:12:21.572: Algorithm - FindNextStrikes - price is 1.52875 nextStrikeUp/Down 1.53/1.525</t>
  </si>
  <si>
    <t>2015-2-11 11:12:21.573: Algorithm - getPortfolioForwardDelta - required deltas is 130 currentHedgePosition is 122</t>
  </si>
  <si>
    <t>2015-2-11 11:12:21.573: Algorithm - getHedgeShortfall - required deltas is 130 price is 1.52885 currentHedgePositionDeltas is 122</t>
  </si>
  <si>
    <t>2015-2-11 11:12:21.574: Algorithm - processTransitionPoint - nextUpper/LowerStrikes are 1.53/1.525 requiredDeltas/currentPosition/currentHedgeShortfall/direction/transitionPrice are 130/122/8/1/1.52885</t>
  </si>
  <si>
    <t>2015-2-11 11:12:21.575: TransitionLogger - processTransitionpoint - checking transition - currentHedgeShortfall is 8</t>
  </si>
  <si>
    <t>2015-2-11 11:12:21.576: Algorithm - rehedge - rehedging 8 contracts</t>
  </si>
  <si>
    <t>2015-2-11 11:12:21.576: Algorithm - rehedge - Need to place order but already have a working order - workingQty is -1708 working order count -50</t>
  </si>
  <si>
    <t>2015-2-11 11:12:21.578: Algorithm - updatePortfolio - haveAllDetails is True</t>
  </si>
  <si>
    <t>2015-2-11 11:12:21.641: Algorithm - FindNextStrikes - price is 1.52875 nextStrikeUp/Down 1.53/1.525</t>
  </si>
  <si>
    <t>2015-2-11 11:12:21.642: Algorithm - getPortfolioForwardDelta - required deltas is 130 currentHedgePosition is 122</t>
  </si>
  <si>
    <t>2015-2-11 11:12:21.642: Algorithm - getHedgeShortfall - required deltas is 130 price is 1.52885 currentHedgePositionDeltas is 122</t>
  </si>
  <si>
    <t>2015-2-11 11:12:21.643: Algorithm - processTransitionPoint - nextUpper/LowerStrikes are 1.53/1.525 requiredDeltas/currentPosition/currentHedgeShortfall/direction/transitionPrice are 130/122/8/1/1.52885</t>
  </si>
  <si>
    <t>2015-2-11 11:12:21.644: TransitionLogger - processTransitionpoint - checking transition - currentHedgeShortfall is 8</t>
  </si>
  <si>
    <t>2015-2-11 11:12:21.645: Algorithm - rehedge - rehedging 8 contracts</t>
  </si>
  <si>
    <t>2015-2-11 11:12:21.645: Algorithm - rehedge - Need to place order but already have a working order - workingQty is -1708 working order count -50</t>
  </si>
  <si>
    <t>2015-2-11 11:12:21.647: Algorithm - updatePortfolio - haveAllDetails is True</t>
  </si>
  <si>
    <t>2015-2-11 11:12:21.694: Algorithm - FindNextStrikes - price is 1.52875 nextStrikeUp/Down 1.53/1.525</t>
  </si>
  <si>
    <t>2015-2-11 11:12:21.694: Algorithm - getPortfolioForwardDelta - required deltas is 130 currentHedgePosition is 122</t>
  </si>
  <si>
    <t>2015-2-11 11:12:21.695: Algorithm - getHedgeShortfall - required deltas is 130 price is 1.52885 currentHedgePositionDeltas is 122</t>
  </si>
  <si>
    <t>2015-2-11 11:12:21.696: Algorithm - processTransitionPoint - nextUpper/LowerStrikes are 1.53/1.525 requiredDeltas/currentPosition/currentHedgeShortfall/direction/transitionPrice are 130/122/8/1/1.52885</t>
  </si>
  <si>
    <t>2015-2-11 11:12:21.697: TransitionLogger - processTransitionpoint - checking transition - currentHedgeShortfall is 8</t>
  </si>
  <si>
    <t>2015-2-11 11:12:21.698: Algorithm - rehedge - rehedging 8 contracts</t>
  </si>
  <si>
    <t>2015-2-11 11:12:21.698: Algorithm - rehedge - Need to place order but already have a working order - workingQty is -1708 working order count -50</t>
  </si>
  <si>
    <t>2015-2-11 11:12:21.700: Algorithm - updatePortfolio - haveAllDetails is True</t>
  </si>
  <si>
    <t>2015-2-11 11:12:21.742: Algorithm - FindNextStrikes - price is 1.52875 nextStrikeUp/Down 1.53/1.525</t>
  </si>
  <si>
    <t>2015-2-11 11:12:21.742: Algorithm - getPortfolioForwardDelta - required deltas is 130 currentHedgePosition is 122</t>
  </si>
  <si>
    <t>2015-2-11 11:12:21.743: Algorithm - getHedgeShortfall - required deltas is 130 price is 1.52885 currentHedgePositionDeltas is 122</t>
  </si>
  <si>
    <t>2015-2-11 11:12:21.744: Algorithm - processTransitionPoint - nextUpper/LowerStrikes are 1.53/1.525 requiredDeltas/currentPosition/currentHedgeShortfall/direction/transitionPrice are 130/122/8/1/1.52885</t>
  </si>
  <si>
    <t>2015-2-11 11:12:21.746: TransitionLogger - processTransitionpoint - checking transition - currentHedgeShortfall is 8</t>
  </si>
  <si>
    <t>2015-2-11 11:12:21.746: Algorithm - rehedge - rehedging 8 contracts</t>
  </si>
  <si>
    <t>2015-2-11 11:12:21.747: Algorithm - rehedge - Need to place order but already have a working order - workingQty is -1708 working order count -50</t>
  </si>
  <si>
    <t>2015-2-11 11:12:21.749: Algorithm - updatePortfolio - haveAllDetails is True</t>
  </si>
  <si>
    <t>2015-2-11 11:12:21.817: Algorithm - FindNextStrikes - price is 1.52875 nextStrikeUp/Down 1.53/1.525</t>
  </si>
  <si>
    <t>2015-2-11 11:12:21.818: Algorithm - getPortfolioForwardDelta - required deltas is 130 currentHedgePosition is 122</t>
  </si>
  <si>
    <t>2015-2-11 11:12:21.819: Algorithm - getHedgeShortfall - required deltas is 130 price is 1.52885 currentHedgePositionDeltas is 122</t>
  </si>
  <si>
    <t>2015-2-11 11:12:21.820: Algorithm - processTransitionPoint - nextUpper/LowerStrikes are 1.53/1.525 requiredDeltas/currentPosition/currentHedgeShortfall/direction/transitionPrice are 130/122/8/1/1.52885</t>
  </si>
  <si>
    <t>2015-2-11 11:12:21.821: TransitionLogger - processTransitionpoint - checking transition - currentHedgeShortfall is 8</t>
  </si>
  <si>
    <t>2015-2-11 11:12:21.821: Algorithm - rehedge - rehedging 8 contracts</t>
  </si>
  <si>
    <t>2015-2-11 11:12:21.822: Algorithm - rehedge - Need to place order but already have a working order - workingQty is -1708 working order count -50</t>
  </si>
  <si>
    <t>2015-2-11 11:12:21.823: Algorithm - updatePortfolio - haveAllDetails is True</t>
  </si>
  <si>
    <t>2015-2-11 11:12:21.860: Algorithm - FindNextStrikes - price is 1.52875 nextStrikeUp/Down 1.53/1.525</t>
  </si>
  <si>
    <t>2015-2-11 11:12:21.860: Algorithm - getPortfolioForwardDelta - required deltas is 130 currentHedgePosition is 122</t>
  </si>
  <si>
    <t>2015-2-11 11:12:21.861: Algorithm - getHedgeShortfall - required deltas is 130 price is 1.52885 currentHedgePositionDeltas is 122</t>
  </si>
  <si>
    <t>2015-2-11 11:12:21.862: Algorithm - processTransitionPoint - nextUpper/LowerStrikes are 1.53/1.525 requiredDeltas/currentPosition/currentHedgeShortfall/direction/transitionPrice are 130/122/8/1/1.52885</t>
  </si>
  <si>
    <t>2015-2-11 11:12:21.863: TransitionLogger - processTransitionpoint - checking transition - currentHedgeShortfall is 8</t>
  </si>
  <si>
    <t>2015-2-11 11:12:21.864: Algorithm - rehedge - rehedging 8 contracts</t>
  </si>
  <si>
    <t>2015-2-11 11:12:21.864: Algorithm - rehedge - Need to place order but already have a working order - workingQty is -1708 working order count -50</t>
  </si>
  <si>
    <t>2015-2-11 11:12:21.866: Algorithm - updatePortfolio - haveAllDetails is True</t>
  </si>
  <si>
    <t>2015-2-11 11:12:22.796: RTWSControl - execDetails -  entering execDetailsEx execution id is 0001f4e5.54da9c66.01.01 shares/cumQty is 1/3</t>
  </si>
  <si>
    <t>2015-2-11 11:12:22.796: Algorithm - FindNextStrikes - price is 1.52875 nextStrikeUp/Down 1.53/1.525</t>
  </si>
  <si>
    <t>2015-2-11 11:12:22.796: Algorithm - getPortfolioForwardDelta - required deltas is 130 currentHedgePosition is 123</t>
  </si>
  <si>
    <t>2015-2-11 11:12:22.796: Algorithm - getHedgeShortfall - required deltas is 130 price is 1.52885 currentHedgePositionDeltas is 123</t>
  </si>
  <si>
    <t>2015-2-11 11:12:22.796: Algorithm - processTransitionPoint - nextUpper/LowerStrikes are 1.53/1.525 requiredDeltas/currentPosition/currentHedgeShortfall/direction/transitionPrice are 130/123/7/1/1.52885</t>
  </si>
  <si>
    <t>2015-2-11 11:12:22.796: TransitionLogger - processTransitionpoint - checking transition - currentHedgeShortfall is 7</t>
  </si>
  <si>
    <t>2015-2-11 11:12:22.796: OrderManager - updateExecution - got a fill for id 9779 qty 1 side BOT price 1.5287 - new working order size is -1709 new instrument.qty is 123</t>
  </si>
  <si>
    <t>0001f4e5.54da9c66.01.01</t>
  </si>
  <si>
    <t>20150211  11:12:23</t>
  </si>
  <si>
    <t>2015-2-11 11:12:22.811: OrderManagerView - UpdateExecutionView - entering updateExecutionView  executionId is 0001f4e5.54da9c66.01.01</t>
  </si>
  <si>
    <t>2015-2-11 11:12:22.811: OrderManagerView - updateExecutionView -  exiting UpdateExecutionView</t>
  </si>
  <si>
    <t>2015-2-11 11:12:22.811: RTWSControl - execDetails -  exiting execDetailsEx</t>
  </si>
  <si>
    <t>2015-2-11 11:12:22.811: RTWSControl - execDetails - Got execution Message id:-1</t>
  </si>
  <si>
    <t>2015-2-11 11:12:22.843: openOrderEx - I am here</t>
  </si>
  <si>
    <t>2015-2-11 11:12:22.858: RTWSControl - orderStatus -  entering orderStatus id is 9779 status is Submitted</t>
  </si>
  <si>
    <t>2015-2-11 11:12:22.858: OrderManager - UpdateOrderStatus - id 9779 Setting status to Submitted workingOrderCount is now -50 workingQty -1709</t>
  </si>
  <si>
    <t>2015-2-11 11:12:22.858: RTWSControl - OrderStatus - Got OrderStatus Message id:9779 status: Submitted filled: 3</t>
  </si>
  <si>
    <t>2015-2-11 11:12:22.858: RTWSControl - OrderStatus - exiting orderStatus</t>
  </si>
  <si>
    <t>2015-2-11 11:12:23.45: RTWSControl - execDetails -  entering execDetailsEx execution id is 0001f4e5.54da9c67.01.01 shares/cumQty is 1/4</t>
  </si>
  <si>
    <t>2015-2-11 11:12:23.45: Algorithm - FindNextStrikes - price is 1.52875 nextStrikeUp/Down 1.53/1.525</t>
  </si>
  <si>
    <t>2015-2-11 11:12:23.45: Algorithm - getPortfolioForwardDelta - required deltas is 130 currentHedgePosition is 124</t>
  </si>
  <si>
    <t>2015-2-11 11:12:23.45: Algorithm - getHedgeShortfall - required deltas is 130 price is 1.52885 currentHedgePositionDeltas is 124</t>
  </si>
  <si>
    <t>2015-2-11 11:12:23.45: Algorithm - processTransitionPoint - nextUpper/LowerStrikes are 1.53/1.525 requiredDeltas/currentPosition/currentHedgeShortfall/direction/transitionPrice are 130/124/6/1/1.52885</t>
  </si>
  <si>
    <t>2015-2-11 11:12:23.61: TransitionLogger - processTransitionpoint - checking transition - currentHedgeShortfall is 6</t>
  </si>
  <si>
    <t>2015-2-11 11:12:23.61: OrderManager - updateExecution - got a fill for id 9779 qty 1 side BOT price 1.5287 - new working order size is -1710 new instrument.qty is 124</t>
  </si>
  <si>
    <t>0001f4e5.54da9c67.01.01</t>
  </si>
  <si>
    <t>2015-2-11 11:12:23.61: OrderManagerView - UpdateExecutionView - entering updateExecutionView  executionId is 0001f4e5.54da9c67.01.01</t>
  </si>
  <si>
    <t>2015-2-11 11:12:23.61: OrderManagerView - updateExecutionView -  exiting UpdateExecutionView</t>
  </si>
  <si>
    <t>2015-2-11 11:12:23.61: RTWSControl - execDetails -  exiting execDetailsEx</t>
  </si>
  <si>
    <t>2015-2-11 11:12:23.61: RTWSControl - execDetails - Got execution Message id:-1</t>
  </si>
  <si>
    <t>2015-2-11 11:12:23.77: openOrderEx - I am here</t>
  </si>
  <si>
    <t>2015-2-11 11:12:23.92: RTWSControl - orderStatus -  entering orderStatus id is 9779 status is Submitted</t>
  </si>
  <si>
    <t>2015-2-11 11:12:23.108: OrderManager - UpdateOrderStatus - id 9779 Setting status to Submitted workingOrderCount is now -50 workingQty -1710</t>
  </si>
  <si>
    <t>2015-2-11 11:12:23.108: RTWSControl - OrderStatus - Got OrderStatus Message id:9779 status: Submitted filled: 4</t>
  </si>
  <si>
    <t>2015-2-11 11:12:23.108: RTWSControl - OrderStatus - exiting orderStatus</t>
  </si>
  <si>
    <t>2015-2-11 11:12:23.123: openOrderEx - I am here</t>
  </si>
  <si>
    <t>2015-2-11 11:12:23.139: RTWSControl - orderStatus -  entering orderStatus id is 9779 status is Submitted</t>
  </si>
  <si>
    <t>2015-2-11 11:12:23.139: OrderManager - UpdateOrderStatus - id 9779 Setting status to Submitted workingOrderCount is now -50 workingQty -1710</t>
  </si>
  <si>
    <t>2015-2-11 11:12:23.139: RTWSControl - OrderStatus - Got OrderStatus Message id:9779 status: Submitted filled: 4</t>
  </si>
  <si>
    <t>2015-2-11 11:12:23.139: RTWSControl - OrderStatus - exiting orderStatus</t>
  </si>
  <si>
    <t>2015-2-11 11:12:23.187: openOrderEx - I am here</t>
  </si>
  <si>
    <t>2015-2-11 11:12:23.218: RTWSControl - orderStatus -  entering orderStatus id is 9779 status is Submitted</t>
  </si>
  <si>
    <t>2015-2-11 11:12:23.218: OrderManager - UpdateOrderStatus - id 9779 Setting status to Submitted workingOrderCount is now -50 workingQty -1710</t>
  </si>
  <si>
    <t>2015-2-11 11:12:23.218: RTWSControl - OrderStatus - Got OrderStatus Message id:9779 status: Submitted filled: 4</t>
  </si>
  <si>
    <t>2015-2-11 11:12:23.218: RTWSControl - OrderStatus - exiting orderStatus</t>
  </si>
  <si>
    <t>2015-2-11 11:12:24.749: Algorithm - FindNextStrikes - price is 1.52875 nextStrikeUp/Down 1.53/1.525</t>
  </si>
  <si>
    <t>2015-2-11 11:12:24.749: Algorithm - getPortfolioForwardDelta - required deltas is 130 currentHedgePosition is 124</t>
  </si>
  <si>
    <t>2015-2-11 11:12:24.749: Algorithm - getHedgeShortfall - required deltas is 130 price is 1.52885 currentHedgePositionDeltas is 124</t>
  </si>
  <si>
    <t>2015-2-11 11:12:24.764: Algorithm - processTransitionPoint - nextUpper/LowerStrikes are 1.53/1.525 requiredDeltas/currentPosition/currentHedgeShortfall/direction/transitionPrice are 130/124/6/1/1.52885</t>
  </si>
  <si>
    <t>2015-2-11 11:12:24.764: TransitionLogger - processTransitionpoint - checking transition - currentHedgeShortfall is 6</t>
  </si>
  <si>
    <t>2015-2-11 11:12:24.764: Algorithm - rehedge - rehedging 6 contracts</t>
  </si>
  <si>
    <t>2015-2-11 11:12:24.764: Algorithm - rehedge - Need to place order but already have a working order - workingQty is -1710 working order count -50</t>
  </si>
  <si>
    <t>2015-2-11 11:12:24.764: Algorithm - updatePortfolio - haveAllDetails is True</t>
  </si>
  <si>
    <t>2015-2-11 11:12:24.827: Algorithm - FindNextStrikes - price is 1.52875 nextStrikeUp/Down 1.53/1.525</t>
  </si>
  <si>
    <t>2015-2-11 11:12:24.827: Algorithm - getPortfolioForwardDelta - required deltas is 130 currentHedgePosition is 124</t>
  </si>
  <si>
    <t>2015-2-11 11:12:24.827: Algorithm - getHedgeShortfall - required deltas is 130 price is 1.52885 currentHedgePositionDeltas is 124</t>
  </si>
  <si>
    <t>2015-2-11 11:12:24.827: Algorithm - processTransitionPoint - nextUpper/LowerStrikes are 1.53/1.525 requiredDeltas/currentPosition/currentHedgeShortfall/direction/transitionPrice are 130/124/6/1/1.52885</t>
  </si>
  <si>
    <t>2015-2-11 11:12:24.827: TransitionLogger - processTransitionpoint - checking transition - currentHedgeShortfall is 6</t>
  </si>
  <si>
    <t>2015-2-11 11:12:24.827: Algorithm - rehedge - rehedging 6 contracts</t>
  </si>
  <si>
    <t>2015-2-11 11:12:24.827: Algorithm - rehedge - Need to place order but already have a working order - workingQty is -1710 working order count -50</t>
  </si>
  <si>
    <t>2015-2-11 11:12:24.827: Algorithm - updatePortfolio - haveAllDetails is True</t>
  </si>
  <si>
    <t>2015-2-11 11:12:25.108: Algorithm - rehedge - rehedging 6 contracts</t>
  </si>
  <si>
    <t>2015-2-11 11:12:25.108: Algorithm - rehedge - Need to place order but already have a working order - workingQty is -1710 working order count -50</t>
  </si>
  <si>
    <t>2015-2-11 11:12:25.108: OrderManager - cancelOrder - cancelling order id 9776</t>
  </si>
  <si>
    <t>2015-2-11 11:12:25.108: OrderManager - PlaceOrder - id 9781 workingQty -1664</t>
  </si>
  <si>
    <t>2015-2-11 11:12:25.108: OrderManager - sendOrder - exiting place order id 9781 BUY 46 1.5419  - workingQty -1664 currentPosition is 124 workingOrderCount is -49</t>
  </si>
  <si>
    <t>2015-2-11 11:12:25.108: OrderManager - cancelOrder - cancelling order id 9780</t>
  </si>
  <si>
    <t>2015-2-11 11:12:25.108: OrderManager - createOrder - exiting without creating order - did not have validID</t>
  </si>
  <si>
    <t>2015-2-11 11:12:25.170: OrderManager - cancelOrder - cancelling order id 9779</t>
  </si>
  <si>
    <t>2015-2-11 11:12:25.170: Algorithm - checkWorkingOrders - cancelling BUY - orderPrice 1.5287 too far from marketPrice 1.52885</t>
  </si>
  <si>
    <t>2015-2-11 11:12:25.170: Algorithm - rehedge - rehedging 6 contracts</t>
  </si>
  <si>
    <t>2015-2-11 11:12:25.170: Algorithm - rehedge - Need to place order but already have a working order - workingQty is -1664 working order count -49</t>
  </si>
  <si>
    <t>2015-2-11 11:12:25.170: OrderManager - createOrder - exiting without creating order - did not have validID</t>
  </si>
  <si>
    <t>2015-2-11 11:12:26.305: RTWSControl - nextValidId - entering nextValidId id is 9782</t>
  </si>
  <si>
    <t>2015-2-11 11:12:26.311: RTWSControl - orderStatus -  entering orderStatus id is 9776 status is Cancelled</t>
  </si>
  <si>
    <t>2015-2-11 11:12:26.312: OrderManager - UpdateOrderStatus - id 9776 Setting status to Cancelled workingOrderCount is now -49 workingQty -1664</t>
  </si>
  <si>
    <t>2015-2-11 11:12:26.315: RTWSControl - OrderStatus - Got OrderStatus Message id:9776 status: Cancelled filled: 0</t>
  </si>
  <si>
    <t>2015-2-11 11:12:26.316: RTWSControl - OrderStatus - exiting orderStatus</t>
  </si>
  <si>
    <t>2015-2-11 11:12:26.351: RTWSControl - errMsg - got error message 202:Order Canceled - reason:with id 9776</t>
  </si>
  <si>
    <t>2015-2-11 11:12:26.352: OrderManager - canceledOrder - cleaning up after canceled order 9776BEWARE UNACCOUNTED FOR EXECUTIONS!!!</t>
  </si>
  <si>
    <t>2015-2-11 11:12:26.353: OrderManager - terminateOrder - cleaning up after Canceled 9776  order was supposed to BUY 43 1.5412 STP LMT workingQty/OrderCount now -1707/-50</t>
  </si>
  <si>
    <t>2015-2-11 11:12:26.388: RTWSControl - orderStatus -  entering orderStatus id is 9780 status is Cancelled</t>
  </si>
  <si>
    <t>2015-2-11 11:12:26.388: OrderManager - UpdateOrderStatus - id 9780 Setting status to Cancelled workingOrderCount is now -50 workingQty -1707</t>
  </si>
  <si>
    <t>2015-2-11 11:12:26.391: RTWSControl - OrderStatus - Got OrderStatus Message id:9780 status: Cancelled filled: 0</t>
  </si>
  <si>
    <t>2015-2-11 11:12:26.392: RTWSControl - OrderStatus - exiting orderStatus</t>
  </si>
  <si>
    <t>2015-2-11 11:12:26.402: RTWSControl - errMsg - got error message 202:Order Canceled - reason:with id 9780</t>
  </si>
  <si>
    <t>2015-2-11 11:12:26.403: OrderManager - canceledOrder - cleaning up after canceled order 9780BEWARE UNACCOUNTED FOR EXECUTIONS!!!</t>
  </si>
  <si>
    <t>2015-2-11 11:12:26.404: OrderManager - terminateOrder - cleaning up after Canceled 9780  order was supposed to SELL 42 1.5274 STP LMT workingQty/OrderCount now -1749/-51</t>
  </si>
  <si>
    <t>2015-2-11 11:12:26.436: openOrderEx - I am here</t>
  </si>
  <si>
    <t>2015-2-11 11:12:26.472: RTWSControl - orderStatus -  entering orderStatus id is 9781 status is PreSubmitted</t>
  </si>
  <si>
    <t>2015-2-11 11:12:26.472: OrderManager - UpdateOrderStatus - id 9781 Setting status to PreSubmitted workingOrderCount is now -51 workingQty -1749</t>
  </si>
  <si>
    <t>2015-2-11 11:12:26.475: RTWSControl - OrderStatus - Got OrderStatus Message id:9781 status: PreSubmitted filled: 0</t>
  </si>
  <si>
    <t>2015-2-11 11:12:26.476: RTWSControl - OrderStatus - exiting orderStatus</t>
  </si>
  <si>
    <t>2015-2-11 11:12:26.486: RTWSControl - orderStatus -  entering orderStatus id is 9779 status is Cancelled</t>
  </si>
  <si>
    <t>2015-2-11 11:12:26.487: OrderManager - UpdateOrderStatus - id 9779 Setting status to Cancelled workingOrderCount is now -51 workingQty -1749</t>
  </si>
  <si>
    <t>2015-2-11 11:12:26.491: RTWSControl - OrderStatus - Got OrderStatus Message id:9779 status: Cancelled filled: 4</t>
  </si>
  <si>
    <t>2015-2-11 11:12:26.492: RTWSControl - OrderStatus - exiting orderStatus</t>
  </si>
  <si>
    <t>2015-2-11 11:12:26.518: RTWSControl - errMsg - got error message 202:Order Canceled - reason:with id 9779</t>
  </si>
  <si>
    <t>2015-2-11 11:12:26.518: OrderManager - canceledOrder - cleaning up after canceled order 9779BEWARE UNACCOUNTED FOR EXECUTIONS!!!</t>
  </si>
  <si>
    <t>2015-2-11 11:12:26.521: OrderManager - terminateOrder - cleaning up after Canceled 9779  order was supposed to BUY 5 1.5287 LMT workingQty/OrderCount now -1750/-52</t>
  </si>
  <si>
    <t>2015-2-11 11:12:28.84: Algorithm - rehedge - rehedging 6 contracts</t>
  </si>
  <si>
    <t>2015-2-11 11:12:28.84: Algortihm - rehedge - inside the loop</t>
  </si>
  <si>
    <t>2015-2-11 11:12:28.86: OrderManager - PlaceOrder - id 9782 workingQty -1745</t>
  </si>
  <si>
    <t>2015-2-11 11:12:28.91: OrderManager - sendOrder - exiting place order id 9782 BUY 5 1.5288  - workingQty -1745 currentPosition is 124 workingOrderCount is -51</t>
  </si>
  <si>
    <t>2015-2-11 11:12:28.93: Algorithm - rehedge - placing an order - orderSize is 5 workingQty is -1745 working order count -51</t>
  </si>
  <si>
    <t>2015-2-11 11:12:28.96: OrderManager - createOrder - exiting without creating order - did not have validID</t>
  </si>
  <si>
    <t>2015-2-11 11:12:28.140: Algorithm - rehedge - rehedging 6 contracts</t>
  </si>
  <si>
    <t>2015-2-11 11:12:28.140: Algorithm - rehedge - Need to place order but already have a working order - workingQty is -1745 working order count -51</t>
  </si>
  <si>
    <t>2015-2-11 11:12:28.143: OrderManager - createOrder - exiting without creating order - did not have validID</t>
  </si>
  <si>
    <t>2015-2-11 11:12:28.597: RTWSControl - nextValidId - entering nextValidId id is 9783</t>
  </si>
  <si>
    <t>2015-2-11 11:12:28.681: RTWSControl - execDetails -  entering execDetailsEx execution id is 0001f4e5.54da9c68.01.01 shares/cumQty is 5/5</t>
  </si>
  <si>
    <t>2015-2-11 11:12:28.682: Algorithm - FindNextStrikes - price is 1.52875 nextStrikeUp/Down 1.53/1.525</t>
  </si>
  <si>
    <t>2015-2-11 11:12:28.683: Algorithm - getPortfolioForwardDelta - required deltas is 130 currentHedgePosition is 129</t>
  </si>
  <si>
    <t>2015-2-11 11:12:28.684: Algorithm - getHedgeShortfall - required deltas is 130 price is 1.52885 currentHedgePositionDeltas is 129</t>
  </si>
  <si>
    <t>2015-2-11 11:12:28.685: Algorithm - processTransitionPoint - nextUpper/LowerStrikes are 1.53/1.525 requiredDeltas/currentPosition/currentHedgeShortfall/direction/transitionPrice are 130/129/1/1/1.52885</t>
  </si>
  <si>
    <t>2015-2-11 11:12:28.686: TransitionLogger - processTransitionpoint - checking transition - currentHedgeShortfall is 1</t>
  </si>
  <si>
    <t>2015-2-11 11:12:28.686: OrderManager - updateExecution - got a fill for id 9782 qty 5 side BOT price 1.5288 - new working order size is -1750 new instrument.qty is 129</t>
  </si>
  <si>
    <t>0001f4e5.54da9c68.01.01</t>
  </si>
  <si>
    <t>20150211  11:12:29</t>
  </si>
  <si>
    <t>2015-2-11 11:12:28.691: OrderManagerView - UpdateExecutionView - entering updateExecutionView  executionId is 0001f4e5.54da9c68.01.01</t>
  </si>
  <si>
    <t>2015-2-11 11:12:28.693: OrderManagerView - updateExecutionView -  exiting UpdateExecutionView</t>
  </si>
  <si>
    <t>2015-2-11 11:12:28.693: RTWSControl - execDetails -  exiting execDetailsEx</t>
  </si>
  <si>
    <t>2015-2-11 11:12:28.694: RTWSControl - execDetails - Got execution Message id:-1</t>
  </si>
  <si>
    <t>2015-2-11 11:12:28.708: openOrderEx - I am here</t>
  </si>
  <si>
    <t>2015-2-11 11:12:28.727: RTWSControl - orderStatus -  entering orderStatus id is 9782 status is Filled</t>
  </si>
  <si>
    <t>2015-2-11 11:12:28.727: OrderManager - UpdateOrderStatus - id 9782 Setting status to Filled workingOrderCount is now -52 workingQty -1750</t>
  </si>
  <si>
    <t>2015-2-11 11:12:28.729: OrderManager - terminateOrder - cleaning up after Filled 9782  order was supposed to BUY 5 1.5288 LMT workingQty/OrderCount now -1750/-53</t>
  </si>
  <si>
    <t>2015-2-11 11:12:28.732: RTWSControl - OrderStatus - Got OrderStatus Message id:9782 status: Filled filled: 5</t>
  </si>
  <si>
    <t>2015-2-11 11:12:28.732: RTWSControl - OrderStatus - exiting orderStatus</t>
  </si>
  <si>
    <t>2015-2-11 11:12:28.765: openOrderEx - I am here</t>
  </si>
  <si>
    <t>2015-2-11 11:12:28.776: RTWSControl - orderStatus -  entering orderStatus id is 9782 status is Filled</t>
  </si>
  <si>
    <t>2015-2-11 11:12:28.777: OrderManager - UpdateOrderStatus - id 9782 Setting status to Filled workingOrderCount is now -53 workingQty -1750</t>
  </si>
  <si>
    <t>2015-2-11 11:12:28.778: OrderManager - terminateOrder - cleaning up after Filled 9782  order was supposed to BUY 5 1.5288 LMT workingQty/OrderCount now -1750/-54</t>
  </si>
  <si>
    <t>2015-2-11 11:12:28.781: RTWSControl - OrderStatus - Got OrderStatus Message id:9782 status: Filled filled: 5</t>
  </si>
  <si>
    <t>2015-2-11 11:12:28.781: RTWSControl - OrderStatus - exiting orderStatus</t>
  </si>
  <si>
    <t>2015-2-11 11:12:28.812: openOrderEx - I am here</t>
  </si>
  <si>
    <t>2015-2-11 11:12:28.846: RTWSControl - orderStatus -  entering orderStatus id is 9782 status is Filled</t>
  </si>
  <si>
    <t>2015-2-11 11:12:28.847: OrderManager - UpdateOrderStatus - id 9782 Setting status to Filled workingOrderCount is now -54 workingQty -1750</t>
  </si>
  <si>
    <t>2015-2-11 11:12:28.848: OrderManager - terminateOrder - cleaning up after Filled 9782  order was supposed to BUY 5 1.5288 LMT workingQty/OrderCount now -1750/-55</t>
  </si>
  <si>
    <t>2015-2-11 11:12:28.851: RTWSControl - OrderStatus - Got OrderStatus Message id:9782 status: Filled filled: 5</t>
  </si>
  <si>
    <t>2015-2-11 11:12:28.852: RTWSControl - OrderStatus - exiting orderStatus</t>
  </si>
  <si>
    <t>2015-2-11 11:12:28.975: Algorithm - rehedge - rehedging 1 contracts</t>
  </si>
  <si>
    <t>2015-2-11 11:12:28.975: Algortihm - rehedge - inside the loop</t>
  </si>
  <si>
    <t>2015-2-11 11:12:28.976: OrderManager - PlaceOrder - id 9783 workingQty -1749</t>
  </si>
  <si>
    <t>2015-2-11 11:12:28.977: OrderManagerView - findNextOORow - there are no available OpenOrderView Rows!!!!!!</t>
  </si>
  <si>
    <t>2015-2-11 11:12:28.980: OrderManager - sendOrder - exiting place order id 9783 BUY 1 1.5287  - workingQty -1749 currentPosition is 129 workingOrderCount is -54</t>
  </si>
  <si>
    <t>2015-2-11 11:12:28.981: Algorithm - rehedge - placing an order - orderSize is 1 workingQty is -1749 working order count -54</t>
  </si>
  <si>
    <t>2015-2-11 11:12:28.983: OrderManager - createOrder - exiting without creating order - did not have validID</t>
  </si>
  <si>
    <t>2015-2-11 11:12:29.27: Algorithm - rehedge - rehedging 1 contracts</t>
  </si>
  <si>
    <t>2015-2-11 11:12:29.28: Algorithm - rehedge - Need to place order but already have a working order - workingQty is -1749 working order count -54</t>
  </si>
  <si>
    <t>2015-2-11 11:12:29.31: OrderManager - createOrder - exiting without creating order - did not have validID</t>
  </si>
  <si>
    <t>2015-2-11 11:12:30.489: Algorithm - rehedge - rehedging 1 contracts</t>
  </si>
  <si>
    <t>2015-2-11 11:12:30.489: Algorithm - rehedge - Need to place order but already have a working order - workingQty is -1749 working order count -54</t>
  </si>
  <si>
    <t>2015-2-11 11:12:30.489: OrderManager - createOrder - exiting without creating order - did not have validID</t>
  </si>
  <si>
    <t>2015-2-11 11:12:30.708: RTWSControl - nextValidId - entering nextValidId id is 9784</t>
  </si>
  <si>
    <t>2015-2-11 11:12:30.723: Algorithm - rehedge - rehedging 1 contracts</t>
  </si>
  <si>
    <t>2015-2-11 11:12:30.723: Algorithm - rehedge - Need to place order but already have a working order - workingQty is -1749 working order count -54</t>
  </si>
  <si>
    <t>2015-2-11 11:12:30.723: OrderManager - PlaceOrder - id 9784 workingQty -1794</t>
  </si>
  <si>
    <t>2015-2-11 11:12:30.723: OrderManagerView - findNextOORow - there are no available OpenOrderView Rows!!!!!!</t>
  </si>
  <si>
    <t>2015-2-11 11:12:30.723: OrderManager - sendOrder - exiting place order id 9784 SELL 45 1.5273  - workingQty -1794 currentPosition is 129 workingOrderCount is -53</t>
  </si>
  <si>
    <t>2015-2-11 11:12:30.817: openOrderEx - I am here</t>
  </si>
  <si>
    <t>2015-2-11 11:12:30.834: RTWSControl - orderStatus -  entering orderStatus id is 9783 status is Submitted</t>
  </si>
  <si>
    <t>2015-2-11 11:12:30.834: OrderManager - UpdateOrderStatus - id 9783 Setting status to Submitted workingOrderCount is now -53 workingQty -1794</t>
  </si>
  <si>
    <t>2015-2-11 11:12:30.850: RTWSControl - OrderStatus - Got OrderStatus Message id:9783 status: Submitted filled: 0</t>
  </si>
  <si>
    <t>2015-2-11 11:12:30.850: RTWSControl - OrderStatus - exiting orderStatus</t>
  </si>
  <si>
    <t>2015-2-11 11:12:32.896: Algorithm - FindNextStrikes - price is 1.52875 nextStrikeUp/Down 1.53/1.525</t>
  </si>
  <si>
    <t>2015-2-11 11:12:32.897: Algorithm - getPortfolioForwardDelta - required deltas is 130 currentHedgePosition is 129</t>
  </si>
  <si>
    <t>2015-2-11 11:12:32.898: Algorithm - getHedgeShortfall - required deltas is 130 price is 1.52885 currentHedgePositionDeltas is 129</t>
  </si>
  <si>
    <t>2015-2-11 11:12:32.899: Algorithm - processTransitionPoint - nextUpper/LowerStrikes are 1.53/1.525 requiredDeltas/currentPosition/currentHedgeShortfall/direction/transitionPrice are 130/129/1/1/1.52885</t>
  </si>
  <si>
    <t>2015-2-11 11:12:32.900: TransitionLogger - processTransitionpoint - checking transition - currentHedgeShortfall is 1</t>
  </si>
  <si>
    <t>2015-2-11 11:12:32.901: Algorithm - rehedge - rehedging 1 contracts</t>
  </si>
  <si>
    <t>2015-2-11 11:12:32.901: Algorithm - rehedge - Need to place order but already have a working order - workingQty is -1794 working order count -53</t>
  </si>
  <si>
    <t>2015-2-11 11:12:32.903: Algorithm - updatePortfolio - haveAllDetails is True</t>
  </si>
  <si>
    <t>2015-2-11 11:12:32.942: Algorithm - FindNextStrikes - price is 1.52875 nextStrikeUp/Down 1.53/1.525</t>
  </si>
  <si>
    <t>2015-2-11 11:12:32.943: Algorithm - getPortfolioForwardDelta - required deltas is 130 currentHedgePosition is 129</t>
  </si>
  <si>
    <t>2015-2-11 11:12:32.943: Algorithm - getHedgeShortfall - required deltas is 130 price is 1.52885 currentHedgePositionDeltas is 129</t>
  </si>
  <si>
    <t>2015-2-11 11:12:32.945: Algorithm - processTransitionPoint - nextUpper/LowerStrikes are 1.53/1.525 requiredDeltas/currentPosition/currentHedgeShortfall/direction/transitionPrice are 130/129/1/1/1.52885</t>
  </si>
  <si>
    <t>2015-2-11 11:12:32.946: TransitionLogger - processTransitionpoint - checking transition - currentHedgeShortfall is 1</t>
  </si>
  <si>
    <t>2015-2-11 11:12:32.946: Algorithm - rehedge - rehedging 1 contracts</t>
  </si>
  <si>
    <t>2015-2-11 11:12:32.947: Algorithm - rehedge - Need to place order but already have a working order - workingQty is -1794 working order count -53</t>
  </si>
  <si>
    <t>2015-2-11 11:12:32.948: Algorithm - updatePortfolio - haveAllDetails is True</t>
  </si>
  <si>
    <t>2015-2-11 11:12:32.990: Algorithm - FindNextStrikes - price is 1.52875 nextStrikeUp/Down 1.53/1.525</t>
  </si>
  <si>
    <t>2015-2-11 11:12:32.990: Algorithm - getPortfolioForwardDelta - required deltas is 130 currentHedgePosition is 129</t>
  </si>
  <si>
    <t>2015-2-11 11:12:32.991: Algorithm - getHedgeShortfall - required deltas is 130 price is 1.52885 currentHedgePositionDeltas is 129</t>
  </si>
  <si>
    <t>2015-2-11 11:12:32.992: Algorithm - processTransitionPoint - nextUpper/LowerStrikes are 1.53/1.525 requiredDeltas/currentPosition/currentHedgeShortfall/direction/transitionPrice are 130/129/1/1/1.52885</t>
  </si>
  <si>
    <t>2015-2-11 11:12:32.993: TransitionLogger - processTransitionpoint - checking transition - currentHedgeShortfall is 1</t>
  </si>
  <si>
    <t>2015-2-11 11:12:32.994: Algorithm - rehedge - rehedging 1 contracts</t>
  </si>
  <si>
    <t>2015-2-11 11:12:32.994: Algorithm - rehedge - Need to place order but already have a working order - workingQty is -1794 working order count -53</t>
  </si>
  <si>
    <t>2015-2-11 11:12:32.996: Algorithm - updatePortfolio - haveAllDetails is True</t>
  </si>
  <si>
    <t>2015-2-11 11:12:33.89: Algorithm - FindNextStrikes - price is 1.52875 nextStrikeUp/Down 1.53/1.525</t>
  </si>
  <si>
    <t>2015-2-11 11:12:33.90: Algorithm - getPortfolioForwardDelta - required deltas is 130 currentHedgePosition is 129</t>
  </si>
  <si>
    <t>2015-2-11 11:12:33.90: Algorithm - getHedgeShortfall - required deltas is 130 price is 1.52885 currentHedgePositionDeltas is 129</t>
  </si>
  <si>
    <t>2015-2-11 11:12:33.91: Algorithm - processTransitionPoint - nextUpper/LowerStrikes are 1.53/1.525 requiredDeltas/currentPosition/currentHedgeShortfall/direction/transitionPrice are 130/129/1/1/1.52885</t>
  </si>
  <si>
    <t>2015-2-11 11:12:33.92: TransitionLogger - processTransitionpoint - checking transition - currentHedgeShortfall is 1</t>
  </si>
  <si>
    <t>2015-2-11 11:12:33.93: Algorithm - rehedge - rehedging 1 contracts</t>
  </si>
  <si>
    <t>2015-2-11 11:12:33.93: Algorithm - rehedge - Need to place order but already have a working order - workingQty is -1794 working order count -53</t>
  </si>
  <si>
    <t>2015-2-11 11:12:33.95: Algorithm - updatePortfolio - haveAllDetails is True</t>
  </si>
  <si>
    <t>2015-2-11 11:12:33.153: Algorithm - FindNextStrikes - price is 1.52875 nextStrikeUp/Down 1.53/1.525</t>
  </si>
  <si>
    <t>2015-2-11 11:12:33.154: Algorithm - getPortfolioForwardDelta - required deltas is 130 currentHedgePosition is 129</t>
  </si>
  <si>
    <t>2015-2-11 11:12:33.154: Algorithm - getHedgeShortfall - required deltas is 130 price is 1.52885 currentHedgePositionDeltas is 129</t>
  </si>
  <si>
    <t>2015-2-11 11:12:33.156: Algorithm - processTransitionPoint - nextUpper/LowerStrikes are 1.53/1.525 requiredDeltas/currentPosition/currentHedgeShortfall/direction/transitionPrice are 130/129/1/1/1.52885</t>
  </si>
  <si>
    <t>2015-2-11 11:12:33.157: TransitionLogger - processTransitionpoint - checking transition - currentHedgeShortfall is 1</t>
  </si>
  <si>
    <t>2015-2-11 11:12:33.157: Algorithm - rehedge - rehedging 1 contracts</t>
  </si>
  <si>
    <t>2015-2-11 11:12:33.158: Algorithm - rehedge - Need to place order but already have a working order - workingQty is -1794 working order count -53</t>
  </si>
  <si>
    <t>2015-2-11 11:12:33.159: Algorithm - updatePortfolio - haveAllDetails is True</t>
  </si>
  <si>
    <t>2015-2-11 11:12:33.222: Algorithm - FindNextStrikes - price is 1.52875 nextStrikeUp/Down 1.53/1.525</t>
  </si>
  <si>
    <t>2015-2-11 11:12:33.223: Algorithm - getPortfolioForwardDelta - required deltas is 130 currentHedgePosition is 129</t>
  </si>
  <si>
    <t>2015-2-11 11:12:33.223: Algorithm - getHedgeShortfall - required deltas is 130 price is 1.52885 currentHedgePositionDeltas is 129</t>
  </si>
  <si>
    <t>2015-2-11 11:12:33.225: Algorithm - processTransitionPoint - nextUpper/LowerStrikes are 1.53/1.525 requiredDeltas/currentPosition/currentHedgeShortfall/direction/transitionPrice are 130/129/1/1/1.52885</t>
  </si>
  <si>
    <t>2015-2-11 11:12:33.226: TransitionLogger - processTransitionpoint - checking transition - currentHedgeShortfall is 1</t>
  </si>
  <si>
    <t>2015-2-11 11:12:33.226: Algorithm - rehedge - rehedging 1 contracts</t>
  </si>
  <si>
    <t>2015-2-11 11:12:33.227: Algorithm - rehedge - Need to place order but already have a working order - workingQty is -1794 working order count -53</t>
  </si>
  <si>
    <t>2015-2-11 11:12:33.228: Algorithm - updatePortfolio - haveAllDetails is True</t>
  </si>
  <si>
    <t>2015-2-11 11:12:33.276: Algorithm - FindNextStrikes - price is 1.52875 nextStrikeUp/Down 1.53/1.525</t>
  </si>
  <si>
    <t>2015-2-11 11:12:33.276: Algorithm - getPortfolioForwardDelta - required deltas is 130 currentHedgePosition is 129</t>
  </si>
  <si>
    <t>2015-2-11 11:12:33.277: Algorithm - getHedgeShortfall - required deltas is 130 price is 1.52885 currentHedgePositionDeltas is 129</t>
  </si>
  <si>
    <t>2015-2-11 11:12:33.278: Algorithm - processTransitionPoint - nextUpper/LowerStrikes are 1.53/1.525 requiredDeltas/currentPosition/currentHedgeShortfall/direction/transitionPrice are 130/129/1/1/1.52885</t>
  </si>
  <si>
    <t>2015-2-11 11:12:33.279: TransitionLogger - processTransitionpoint - checking transition - currentHedgeShortfall is 1</t>
  </si>
  <si>
    <t>2015-2-11 11:12:33.279: Algorithm - rehedge - rehedging 1 contracts</t>
  </si>
  <si>
    <t>2015-2-11 11:12:33.280: Algorithm - rehedge - Need to place order but already have a working order - workingQty is -1794 working order count -53</t>
  </si>
  <si>
    <t>2015-2-11 11:12:33.282: Algorithm - updatePortfolio - haveAllDetails is True</t>
  </si>
  <si>
    <t>2015-2-11 11:12:33.325: Algorithm - FindNextStrikes - price is 1.52875 nextStrikeUp/Down 1.53/1.525</t>
  </si>
  <si>
    <t>2015-2-11 11:12:33.325: Algorithm - getPortfolioForwardDelta - required deltas is 130 currentHedgePosition is 129</t>
  </si>
  <si>
    <t>2015-2-11 11:12:33.326: Algorithm - getHedgeShortfall - required deltas is 130 price is 1.52885 currentHedgePositionDeltas is 129</t>
  </si>
  <si>
    <t>2015-2-11 11:12:33.327: Algorithm - processTransitionPoint - nextUpper/LowerStrikes are 1.53/1.525 requiredDeltas/currentPosition/currentHedgeShortfall/direction/transitionPrice are 130/129/1/1/1.52885</t>
  </si>
  <si>
    <t>2015-2-11 11:12:33.328: TransitionLogger - processTransitionpoint - checking transition - currentHedgeShortfall is 1</t>
  </si>
  <si>
    <t>2015-2-11 11:12:33.329: Algorithm - rehedge - rehedging 1 contracts</t>
  </si>
  <si>
    <t>2015-2-11 11:12:33.329: Algorithm - rehedge - Need to place order but already have a working order - workingQty is -1794 working order count -53</t>
  </si>
  <si>
    <t>2015-2-11 11:12:33.331: Algorithm - updatePortfolio - haveAllDetails is True</t>
  </si>
  <si>
    <t>2015-2-11 11:12:33.390: Algorithm - FindNextStrikes - price is 1.52875 nextStrikeUp/Down 1.53/1.525</t>
  </si>
  <si>
    <t>2015-2-11 11:12:33.391: Algorithm - getPortfolioForwardDelta - required deltas is 130 currentHedgePosition is 129</t>
  </si>
  <si>
    <t>2015-2-11 11:12:33.392: Algorithm - getHedgeShortfall - required deltas is 130 price is 1.52885 currentHedgePositionDeltas is 129</t>
  </si>
  <si>
    <t>2015-2-11 11:12:33.393: Algorithm - processTransitionPoint - nextUpper/LowerStrikes are 1.53/1.525 requiredDeltas/currentPosition/currentHedgeShortfall/direction/transitionPrice are 130/129/1/1/1.52885</t>
  </si>
  <si>
    <t>2015-2-11 11:12:33.394: TransitionLogger - processTransitionpoint - checking transition - currentHedgeShortfall is 1</t>
  </si>
  <si>
    <t>2015-2-11 11:12:33.394: Algorithm - rehedge - rehedging 1 contracts</t>
  </si>
  <si>
    <t>2015-2-11 11:12:33.395: Algorithm - rehedge - Need to place order but already have a working order - workingQty is -1794 working order count -53</t>
  </si>
  <si>
    <t>2015-2-11 11:12:33.396: Algorithm - updatePortfolio - haveAllDetails is True</t>
  </si>
  <si>
    <t>2015-2-11 11:12:33.442: Algorithm - FindNextStrikes - price is 1.52875 nextStrikeUp/Down 1.53/1.525</t>
  </si>
  <si>
    <t>2015-2-11 11:12:33.442: Algorithm - getPortfolioForwardDelta - required deltas is 130 currentHedgePosition is 129</t>
  </si>
  <si>
    <t>2015-2-11 11:12:33.443: Algorithm - getHedgeShortfall - required deltas is 130 price is 1.52885 currentHedgePositionDeltas is 129</t>
  </si>
  <si>
    <t>2015-2-11 11:12:33.444: Algorithm - processTransitionPoint - nextUpper/LowerStrikes are 1.53/1.525 requiredDeltas/currentPosition/currentHedgeShortfall/direction/transitionPrice are 130/129/1/1/1.52885</t>
  </si>
  <si>
    <t>2015-2-11 11:12:33.445: TransitionLogger - processTransitionpoint - checking transition - currentHedgeShortfall is 1</t>
  </si>
  <si>
    <t>2015-2-11 11:12:33.445: Algorithm - rehedge - rehedging 1 contracts</t>
  </si>
  <si>
    <t>2015-2-11 11:12:33.446: Algorithm - rehedge - Need to place order but already have a working order - workingQty is -1794 working order count -53</t>
  </si>
  <si>
    <t>2015-2-11 11:12:33.447: Algorithm - updatePortfolio - haveAllDetails is True</t>
  </si>
  <si>
    <t>2015-2-11 11:12:34.711: RTWSControl - nextValidId - entering nextValidId id is 9785</t>
  </si>
  <si>
    <t>2015-2-11 11:12:34.711: openOrderEx - I am here</t>
  </si>
  <si>
    <t>2015-2-11 11:12:34.758: RTWSControl - orderStatus -  entering orderStatus id is 9784 status is PreSubmitted</t>
  </si>
  <si>
    <t>2015-2-11 11:12:34.758: OrderManager - UpdateOrderStatus - id 9784 Setting status to PreSubmitted workingOrderCount is now -53 workingQty -1794</t>
  </si>
  <si>
    <t>2015-2-11 11:12:34.758: RTWSControl - OrderStatus - Got OrderStatus Message id:9784 status: PreSubmitted filled: 0</t>
  </si>
  <si>
    <t>2015-2-11 11:12:34.758: RTWSControl - OrderStatus - exiting orderStatus</t>
  </si>
  <si>
    <t>2015-2-11 11:12:35.244: Algorithm - rehedge - rehedging 1 contracts</t>
  </si>
  <si>
    <t>2015-2-11 11:12:35.244: Algorithm - rehedge - Need to place order but already have a working order - workingQty is -1794 working order count -53</t>
  </si>
  <si>
    <t>2015-2-11 11:12:35.259: OrderManager - cancelOrder - cancelling order id 9781</t>
  </si>
  <si>
    <t>2015-2-11 11:12:35.259: OrderManager - PlaceOrder - id 9785 workingQty -1742</t>
  </si>
  <si>
    <t>2015-2-11 11:12:35.259: OrderManager - sendOrder - exiting place order id 9785 BUY 52 1.5438  - workingQty -1742 currentPosition is 129 workingOrderCount is -52</t>
  </si>
  <si>
    <t>2015-2-11 11:12:35.259: OrderManager - cancelOrder - cancelling order id 9784</t>
  </si>
  <si>
    <t>2015-2-11 11:12:35.259: OrderManager - createOrder - exiting without creating order - did not have validID</t>
  </si>
  <si>
    <t>2015-2-11 11:12:35.495: OrderManager - cancelOrder - cancelling order id 9783</t>
  </si>
  <si>
    <t>2015-2-11 11:12:35.495: Algorithm - checkWorkingOrders - cancelling BUY - orderPrice 1.5287 too far from marketPrice 1.52885</t>
  </si>
  <si>
    <t>2015-2-11 11:12:35.495: Algorithm - rehedge - rehedging 1 contracts</t>
  </si>
  <si>
    <t>2015-2-11 11:12:35.495: Algorithm - rehedge - Need to place order but already have a working order - workingQty is -1742 working order count -52</t>
  </si>
  <si>
    <t>2015-2-11 11:12:35.495: OrderManager - createOrder - exiting without creating order - did not have validID</t>
  </si>
  <si>
    <t>2015-2-11 11:12:39.187: Algorithm - FindNextStrikes - price is 1.52885 nextStrikeUp/Down 1.53/1.525</t>
  </si>
  <si>
    <t>2015-2-11 11:12:39.188: Algorithm - getPortfolioForwardDelta - required deltas is 130 currentHedgePosition is 129</t>
  </si>
  <si>
    <t>2015-2-11 11:12:39.189: Algorithm - getHedgeShortfall - required deltas is 130 price is 1.52895 currentHedgePositionDeltas is 129</t>
  </si>
  <si>
    <t>2015-2-11 11:12:39.190: Algorithm - processTransitionPoint - nextUpper/LowerStrikes are 1.53/1.525 requiredDeltas/currentPosition/currentHedgeShortfall/direction/transitionPrice are 130/129/1/1/1.52895</t>
  </si>
  <si>
    <t>2015-2-11 11:12:39.191: TransitionLogger - processTransitionpoint - checking transition - currentHedgeShortfall is 1</t>
  </si>
  <si>
    <t>2015-2-11 11:12:39.191: Algorithm - rehedge - rehedging 1 contracts</t>
  </si>
  <si>
    <t>2015-2-11 11:12:39.192: Algorithm - rehedge - Need to place order but already have a working order - workingQty is -1742 working order count -52</t>
  </si>
  <si>
    <t>2015-2-11 11:12:39.194: Algorithm - updatePortfolio - haveAllDetails is True</t>
  </si>
  <si>
    <t>2015-2-11 11:12:39.235: Algorithm - FindNextStrikes - price is 1.52885 nextStrikeUp/Down 1.53/1.525</t>
  </si>
  <si>
    <t>2015-2-11 11:12:39.236: Algorithm - getPortfolioForwardDelta - required deltas is 130 currentHedgePosition is 129</t>
  </si>
  <si>
    <t>2015-2-11 11:12:39.237: Algorithm - getHedgeShortfall - required deltas is 130 price is 1.52895 currentHedgePositionDeltas is 129</t>
  </si>
  <si>
    <t>2015-2-11 11:12:39.238: Algorithm - processTransitionPoint - nextUpper/LowerStrikes are 1.53/1.525 requiredDeltas/currentPosition/currentHedgeShortfall/direction/transitionPrice are 130/129/1/1/1.52895</t>
  </si>
  <si>
    <t>2015-2-11 11:12:39.239: TransitionLogger - processTransitionpoint - checking transition - currentHedgeShortfall is 1</t>
  </si>
  <si>
    <t>2015-2-11 11:12:39.239: Algorithm - rehedge - rehedging 1 contracts</t>
  </si>
  <si>
    <t>2015-2-11 11:12:39.240: Algorithm - rehedge - Need to place order but already have a working order - workingQty is -1742 working order count -52</t>
  </si>
  <si>
    <t>2015-2-11 11:12:39.241: Algorithm - updatePortfolio - haveAllDetails is True</t>
  </si>
  <si>
    <t>2015-2-11 11:12:39.283: Algorithm - FindNextStrikes - price is 1.52885 nextStrikeUp/Down 1.53/1.525</t>
  </si>
  <si>
    <t>2015-2-11 11:12:39.284: Algorithm - getPortfolioForwardDelta - required deltas is 130 currentHedgePosition is 129</t>
  </si>
  <si>
    <t>2015-2-11 11:12:39.285: Algorithm - getHedgeShortfall - required deltas is 130 price is 1.52895 currentHedgePositionDeltas is 129</t>
  </si>
  <si>
    <t>2015-2-11 11:12:39.286: Algorithm - processTransitionPoint - nextUpper/LowerStrikes are 1.53/1.525 requiredDeltas/currentPosition/currentHedgeShortfall/direction/transitionPrice are 130/129/1/1/1.52895</t>
  </si>
  <si>
    <t>2015-2-11 11:12:39.287: TransitionLogger - processTransitionpoint - checking transition - currentHedgeShortfall is 1</t>
  </si>
  <si>
    <t>2015-2-11 11:12:39.287: Algorithm - rehedge - rehedging 1 contracts</t>
  </si>
  <si>
    <t>2015-2-11 11:12:39.288: Algorithm - rehedge - Need to place order but already have a working order - workingQty is -1742 working order count -52</t>
  </si>
  <si>
    <t>2015-2-11 11:12:39.289: Algorithm - updatePortfolio - haveAllDetails is True</t>
  </si>
  <si>
    <t>2015-2-11 11:12:39.353: RTWSControl - nextValidId - entering nextValidId id is 9786</t>
  </si>
  <si>
    <t>2015-2-11 11:12:39.390: RTWSControl - orderStatus -  entering orderStatus id is 9781 status is Cancelled</t>
  </si>
  <si>
    <t>2015-2-11 11:12:39.390: OrderManager - UpdateOrderStatus - id 9781 Setting status to Cancelled workingOrderCount is now -52 workingQty -1742</t>
  </si>
  <si>
    <t>2015-2-11 11:12:39.393: RTWSControl - OrderStatus - Got OrderStatus Message id:9781 status: Cancelled filled: 0</t>
  </si>
  <si>
    <t>2015-2-11 11:12:39.393: RTWSControl - OrderStatus - exiting orderStatus</t>
  </si>
  <si>
    <t>2015-2-11 11:12:39.403: RTWSControl - errMsg - got error message 202:Order Canceled - reason:with id 9781</t>
  </si>
  <si>
    <t>2015-2-11 11:12:39.404: OrderManager - canceledOrder - cleaning up after canceled order 9781BEWARE UNACCOUNTED FOR EXECUTIONS!!!</t>
  </si>
  <si>
    <t>2015-2-11 11:12:39.406: OrderManager - terminateOrder - cleaning up after Canceled 9781  order was supposed to BUY 46 1.5419 STP LMT workingQty/OrderCount now -1788/-53</t>
  </si>
  <si>
    <t>2015-2-11 11:12:39.436: RTWSControl - orderStatus -  entering orderStatus id is 9784 status is Cancelled</t>
  </si>
  <si>
    <t>2015-2-11 11:12:39.436: OrderManager - UpdateOrderStatus - id 9784 Setting status to Cancelled workingOrderCount is now -53 workingQty -1788</t>
  </si>
  <si>
    <t>2015-2-11 11:12:39.440: RTWSControl - OrderStatus - Got OrderStatus Message id:9784 status: Cancelled filled: 0</t>
  </si>
  <si>
    <t>2015-2-11 11:12:39.440: RTWSControl - OrderStatus - exiting orderStatus</t>
  </si>
  <si>
    <t>2015-2-11 11:12:39.476: RTWSControl - errMsg - got error message 202:Order Canceled - reason:with id 9784</t>
  </si>
  <si>
    <t>2015-2-11 11:12:39.477: OrderManager - canceledOrder - cleaning up after canceled order 9784BEWARE UNACCOUNTED FOR EXECUTIONS!!!</t>
  </si>
  <si>
    <t>2015-2-11 11:12:39.478: OrderManager - terminateOrder - cleaning up after Canceled 9784  order was supposed to SELL 45 1.5273 STP LMT workingQty/OrderCount now -1833/-54</t>
  </si>
  <si>
    <t>2015-2-11 11:12:39.496: openOrderEx - I am here</t>
  </si>
  <si>
    <t>2015-2-11 11:12:39.522: RTWSControl - orderStatus -  entering orderStatus id is 9785 status is PreSubmitted</t>
  </si>
  <si>
    <t>2015-2-11 11:12:39.522: OrderManager - UpdateOrderStatus - id 9785 Setting status to PreSubmitted workingOrderCount is now -54 workingQty -1833</t>
  </si>
  <si>
    <t>2015-2-11 11:12:39.525: RTWSControl - OrderStatus - Got OrderStatus Message id:9785 status: PreSubmitted filled: 0</t>
  </si>
  <si>
    <t>2015-2-11 11:12:39.526: RTWSControl - OrderStatus - exiting orderStatus</t>
  </si>
  <si>
    <t>2015-2-11 11:12:39.557: RTWSControl - orderStatus -  entering orderStatus id is 9783 status is Cancelled</t>
  </si>
  <si>
    <t>2015-2-11 11:12:39.558: OrderManager - UpdateOrderStatus - id 9783 Setting status to Cancelled workingOrderCount is now -54 workingQty -1833</t>
  </si>
  <si>
    <t>2015-2-11 11:12:39.561: RTWSControl - OrderStatus - Got OrderStatus Message id:9783 status: Cancelled filled: 0</t>
  </si>
  <si>
    <t>2015-2-11 11:12:39.561: RTWSControl - OrderStatus - exiting orderStatus</t>
  </si>
  <si>
    <t>2015-2-11 11:12:39.571: RTWSControl - errMsg - got error message 202:Order Canceled - reason:with id 9783</t>
  </si>
  <si>
    <t>2015-2-11 11:12:39.571: OrderManager - canceledOrder - cleaning up after canceled order 9783BEWARE UNACCOUNTED FOR EXECUTIONS!!!</t>
  </si>
  <si>
    <t>2015-2-11 11:12:39.573: OrderManager - terminateOrder - cleaning up after Canceled 9783  order was supposed to BUY 1 1.5287 LMT workingQty/OrderCount now -1834/-55</t>
  </si>
  <si>
    <t>2015-2-11 11:12:39.848: Algorithm - rehedge - rehedging 1 contracts</t>
  </si>
  <si>
    <t>2015-2-11 11:12:39.849: Algortihm - rehedge - inside the loop</t>
  </si>
  <si>
    <t>2015-2-11 11:12:39.849: OrderManager - PlaceOrder - id 9786 workingQty -1833</t>
  </si>
  <si>
    <t>2015-2-11 11:12:39.852: OrderManager - sendOrder - exiting place order id 9786 BUY 1 1.5288  - workingQty -1833 currentPosition is 129 workingOrderCount is -54</t>
  </si>
  <si>
    <t>2015-2-11 11:12:39.853: Algorithm - rehedge - placing an order - orderSize is 1 workingQty is -1833 working order count -54</t>
  </si>
  <si>
    <t>2015-2-11 11:12:39.855: OrderManager - createOrder - exiting without creating order - did not have validID</t>
  </si>
  <si>
    <t>2015-2-11 11:12:40.311: OrderManager - cancelOrder - cancelling order id 9786</t>
  </si>
  <si>
    <t>2015-2-11 11:12:40.311: Algorithm - checkWorkingOrders - cancelling BUY - orderPrice 1.5288 too far from marketPrice 1.52895</t>
  </si>
  <si>
    <t>2015-2-11 11:12:40.313: Algorithm - rehedge - rehedging 1 contracts</t>
  </si>
  <si>
    <t>2015-2-11 11:12:40.313: Algorithm - rehedge - Need to place order but already have a working order - workingQty is -1833 working order count -54</t>
  </si>
  <si>
    <t>2015-2-11 11:12:40.316: OrderManager - createOrder - exiting without creating order - did not have validID</t>
  </si>
  <si>
    <t>2015-2-11 11:12:42.316: RTWSControl - nextValidId - entering nextValidId id is 9787</t>
  </si>
  <si>
    <t>2015-2-11 11:12:42.351: openOrderEx - I am here</t>
  </si>
  <si>
    <t>2015-2-11 11:12:42.363: RTWSControl - orderStatus -  entering orderStatus id is 9786 status is Submitted</t>
  </si>
  <si>
    <t>2015-2-11 11:12:42.364: OrderManager - UpdateOrderStatus - id 9786 Setting status to Submitted workingOrderCount is now -54 workingQty -1833</t>
  </si>
  <si>
    <t>2015-2-11 11:12:42.368: RTWSControl - OrderStatus - Got OrderStatus Message id:9786 status: Submitted filled: 0</t>
  </si>
  <si>
    <t>2015-2-11 11:12:42.368: RTWSControl - OrderStatus - exiting orderStatus</t>
  </si>
  <si>
    <t>2015-2-11 11:12:42.396: RTWSControl - orderStatus -  entering orderStatus id is 9786 status is Cancelled</t>
  </si>
  <si>
    <t>2015-2-11 11:12:42.397: OrderManager - UpdateOrderStatus - id 9786 Setting status to Cancelled workingOrderCount is now -54 workingQty -1833</t>
  </si>
  <si>
    <t>2015-2-11 11:12:42.400: RTWSControl - OrderStatus - Got OrderStatus Message id:9786 status: Cancelled filled: 0</t>
  </si>
  <si>
    <t>2015-2-11 11:12:42.400: RTWSControl - OrderStatus - exiting orderStatus</t>
  </si>
  <si>
    <t>2015-2-11 11:12:42.432: RTWSControl - errMsg - got error message 202:Order Canceled - reason:with id 9786</t>
  </si>
  <si>
    <t>2015-2-11 11:12:42.432: OrderManager - canceledOrder - cleaning up after canceled order 9786BEWARE UNACCOUNTED FOR EXECUTIONS!!!</t>
  </si>
  <si>
    <t>2015-2-11 11:12:42.434: OrderManager - terminateOrder - cleaning up after Canceled 9786  order was supposed to BUY 1 1.5288 LMT workingQty/OrderCount now -1834/-55</t>
  </si>
  <si>
    <t>2015-2-11 11:12:43.550: Algorithm - rehedge - rehedging 1 contracts</t>
  </si>
  <si>
    <t>2015-2-11 11:12:43.550: Algortihm - rehedge - inside the loop</t>
  </si>
  <si>
    <t>2015-2-11 11:12:43.550: OrderManager - PlaceOrder - id 9787 workingQty -1833</t>
  </si>
  <si>
    <t>2015-2-11 11:12:43.566: OrderManager - sendOrder - exiting place order id 9787 BUY 1 1.5289  - workingQty -1833 currentPosition is 129 workingOrderCount is -54</t>
  </si>
  <si>
    <t>2015-2-11 11:12:43.566: Algorithm - rehedge - placing an order - orderSize is 1 workingQty is -1833 working order count -54</t>
  </si>
  <si>
    <t>2015-2-11 11:12:43.566: OrderManager - createOrder - exiting without creating order - did not have validID</t>
  </si>
  <si>
    <t>2015-2-11 11:12:43.628: Algorithm - rehedge - rehedging 1 contracts</t>
  </si>
  <si>
    <t>2015-2-11 11:12:43.628: Algorithm - rehedge - Need to place order but already have a working order - workingQty is -1833 working order count -54</t>
  </si>
  <si>
    <t>2015-2-11 11:12:43.628: OrderManager - createOrder - exiting without creating order - did not have validID</t>
  </si>
  <si>
    <t>2015-2-11 11:12:44.83: Algorithm - rehedge - rehedging 1 contracts</t>
  </si>
  <si>
    <t>2015-2-11 11:12:44.98: Algorithm - rehedge - Need to place order but already have a working order - workingQty is -1833 working order count -54</t>
  </si>
  <si>
    <t>2015-2-11 11:12:44.98: OrderManager - createOrder - exiting without creating order - did not have validID</t>
  </si>
  <si>
    <t>2015-2-11 11:12:44.426: RTWSControl - nextValidId - entering nextValidId id is 9788</t>
  </si>
  <si>
    <t>2015-2-11 11:12:44.442: Algorithm - rehedge - rehedging 1 contracts</t>
  </si>
  <si>
    <t>2015-2-11 11:12:44.442: Algorithm - rehedge - Need to place order but already have a working order - workingQty is -1833 working order count -54</t>
  </si>
  <si>
    <t>2015-2-11 11:12:44.442: OrderManager - PlaceOrder - id 9788 workingQty -1884</t>
  </si>
  <si>
    <t>2015-2-11 11:12:44.442: OrderManager - sendOrder - exiting place order id 9788 SELL 51 1.5276  - workingQty -1884 currentPosition is 129 workingOrderCount is -53</t>
  </si>
  <si>
    <t>2015-2-11 11:12:44.569: openOrderEx - I am here</t>
  </si>
  <si>
    <t>2015-2-11 11:12:44.599: RTWSControl - orderStatus -  entering orderStatus id is 9787 status is Submitted</t>
  </si>
  <si>
    <t>2015-2-11 11:12:44.600: OrderManager - UpdateOrderStatus - id 9787 Setting status to Submitted workingOrderCount is now -53 workingQty -1884</t>
  </si>
  <si>
    <t>2015-2-11 11:12:44.603: RTWSControl - OrderStatus - Got OrderStatus Message id:9787 status: Submitted filled: 0</t>
  </si>
  <si>
    <t>2015-2-11 11:12:44.603: RTWSControl - OrderStatus - exiting orderStatus</t>
  </si>
  <si>
    <t>2015-2-11 11:12:44.613: RTWSControl - nextValidId - entering nextValidId id is 9789</t>
  </si>
  <si>
    <t>2015-2-11 11:12:44.747: openOrderEx - I am here</t>
  </si>
  <si>
    <t>2015-2-11 11:12:44.760: RTWSControl - orderStatus -  entering orderStatus id is 9788 status is PreSubmitted</t>
  </si>
  <si>
    <t>2015-2-11 11:12:44.760: OrderManager - UpdateOrderStatus - id 9788 Setting status to PreSubmitted workingOrderCount is now -53 workingQty -1884</t>
  </si>
  <si>
    <t>2015-2-11 11:12:44.763: RTWSControl - OrderStatus - Got OrderStatus Message id:9788 status: PreSubmitted filled: 0</t>
  </si>
  <si>
    <t>2015-2-11 11:12:44.764: RTWSControl - OrderStatus - exiting orderStatus</t>
  </si>
  <si>
    <t>2015-2-11 11:12:49.293: RTWSControl - execDetails -  entering execDetailsEx execution id is 0001f4e5.54da9c6b.01.01 shares/cumQty is 1/1</t>
  </si>
  <si>
    <t>2015-2-11 11:12:49.293: Algorithm - FindNextStrikes - price is 1.52895 nextStrikeUp/Down 1.53/1.525</t>
  </si>
  <si>
    <t>2015-2-11 11:12:49.293: Algorithm - getPortfolioForwardDelta - required deltas is 130 currentHedgePosition is 130</t>
  </si>
  <si>
    <t>2015-2-11 11:12:49.293: Algorithm - getHedgeShortfall - required deltas is 130 price is 1.52905 currentHedgePositionDeltas is 130</t>
  </si>
  <si>
    <t>2015-2-11 11:12:49.293: Algorithm - processTransitionPoint - nextUpper/LowerStrikes are 1.53/1.525 requiredDeltas/currentPosition/currentHedgeShortfall/direction/transitionPrice are 130/130/0/1/1.52905</t>
  </si>
  <si>
    <t>2015-2-11 11:12:49.309: TransitionLogger - processTransitionpoint - checking transition - currentHedgeShortfall is 0</t>
  </si>
  <si>
    <t>2015-2-11 11:12:49.309: OrderManager - updateExecution - got a fill for id 9787 qty 1 side BOT price 1.5289 - new working order size is -1885 new instrument.qty is 130</t>
  </si>
  <si>
    <t>0001f4e5.54da9c6b.01.01</t>
  </si>
  <si>
    <t>20150211  11:12:50</t>
  </si>
  <si>
    <t>2015-2-11 11:12:49.309: OrderManagerView - UpdateExecutionView - entering updateExecutionView  executionId is 0001f4e5.54da9c6b.01.01</t>
  </si>
  <si>
    <t>2015-2-11 11:12:49.309: OrderManagerView - updateExecutionView -  exiting UpdateExecutionView</t>
  </si>
  <si>
    <t>2015-2-11 11:12:49.325: RTWSControl - execDetails -  exiting execDetailsEx</t>
  </si>
  <si>
    <t>2015-2-11 11:12:49.325: RTWSControl - execDetails - Got execution Message id:-1</t>
  </si>
  <si>
    <t>2015-2-11 11:12:49.371: openOrderEx - I am here</t>
  </si>
  <si>
    <t>2015-2-11 11:12:49.434: RTWSControl - orderStatus -  entering orderStatus id is 9787 status is Filled</t>
  </si>
  <si>
    <t>2015-2-11 11:12:49.434: OrderManager - UpdateOrderStatus - id 9787 Setting status to Filled workingOrderCount is now -54 workingQty -1885</t>
  </si>
  <si>
    <t>2015-2-11 11:12:49.434: OrderManager - terminateOrder - cleaning up after Filled 9787  order was supposed to BUY 1 1.5289 LMT workingQty/OrderCount now -1885/-55</t>
  </si>
  <si>
    <t>2015-2-11 11:12:49.449: RTWSControl - OrderStatus - Got OrderStatus Message id:9787 status: Filled filled: 1</t>
  </si>
  <si>
    <t>2015-2-11 11:12:49.449: RTWSControl - OrderStatus - exiting orderStatus</t>
  </si>
  <si>
    <t>2015-2-11 11:12:49.496: OrderManager - cancelOrder - cancelling order id 9785</t>
  </si>
  <si>
    <t>2015-2-11 11:12:49.496: OrderManager - PlaceOrder - id 9789 workingQty -1836</t>
  </si>
  <si>
    <t>2015-2-11 11:12:49.496: OrderManager - sendOrder - exiting place order id 9789 BUY 49 1.5432  - workingQty -1836 currentPosition is 130 workingOrderCount is -54</t>
  </si>
  <si>
    <t>2015-2-11 11:12:49.761: openOrderEx - I am here</t>
  </si>
  <si>
    <t>2015-2-11 11:12:49.761: RTWSControl - orderStatus -  entering orderStatus id is 9787 status is Filled</t>
  </si>
  <si>
    <t>2015-2-11 11:12:49.761: OrderManager - UpdateOrderStatus - id 9787 Setting status to Filled workingOrderCount is now -54 workingQty -1836</t>
  </si>
  <si>
    <t>2015-2-11 11:12:49.777: OrderManager - terminateOrder - cleaning up after Filled 9787  order was supposed to BUY 1 1.5289 LMT workingQty/OrderCount now -1836/-55</t>
  </si>
  <si>
    <t>2015-2-11 11:12:49.777: RTWSControl - OrderStatus - Got OrderStatus Message id:9787 status: Filled filled: 1</t>
  </si>
  <si>
    <t>2015-2-11 11:12:49.777: RTWSControl - OrderStatus - exiting orderStatus</t>
  </si>
  <si>
    <t>2015-2-11 11:12:49.808: RTWSControl - nextValidId - entering nextValidId id is 9790</t>
  </si>
  <si>
    <t>2015-2-11 11:12:49.808: RTWSControl - orderStatus -  entering orderStatus id is 9785 status is Cancelled</t>
  </si>
  <si>
    <t>2015-2-11 11:12:49.808: OrderManager - UpdateOrderStatus - id 9785 Setting status to Cancelled workingOrderCount is now -55 workingQty -1836</t>
  </si>
  <si>
    <t>2015-2-11 11:12:49.824: RTWSControl - OrderStatus - Got OrderStatus Message id:9785 status: Cancelled filled: 0</t>
  </si>
  <si>
    <t>2015-2-11 11:12:49.824: RTWSControl - OrderStatus - exiting orderStatus</t>
  </si>
  <si>
    <t>2015-2-11 11:12:49.855: RTWSControl - errMsg - got error message 202:Order Canceled - reason:with id 9785</t>
  </si>
  <si>
    <t>2015-2-11 11:12:49.855: OrderManager - canceledOrder - cleaning up after canceled order 9785BEWARE UNACCOUNTED FOR EXECUTIONS!!!</t>
  </si>
  <si>
    <t>2015-2-11 11:12:49.855: OrderManager - terminateOrder - cleaning up after Canceled 9785  order was supposed to BUY 52 1.5438 STP LMT workingQty/OrderCount now -1888/-56</t>
  </si>
  <si>
    <t>2015-2-11 11:12:49.871: openOrderEx - I am here</t>
  </si>
  <si>
    <t>2015-2-11 11:12:49.886: RTWSControl - orderStatus -  entering orderStatus id is 9789 status is PreSubmitted</t>
  </si>
  <si>
    <t>2015-2-11 11:12:49.886: OrderManager - UpdateOrderStatus - id 9789 Setting status to PreSubmitted workingOrderCount is now -56 workingQty -1888</t>
  </si>
  <si>
    <t>2015-2-11 11:12:49.886: RTWSControl - OrderStatus - Got OrderStatus Message id:9789 status: PreSubmitted filled: 0</t>
  </si>
  <si>
    <t>2015-2-11 11:12:49.886: RTWSControl - OrderStatus - exiting orderStatus</t>
  </si>
  <si>
    <t>2015-2-11 11:12:51.774: Algorithm - FindNextStrikes - price is 1.52885 nextStrikeUp/Down 1.53/1.525</t>
  </si>
  <si>
    <t>2015-2-11 11:12:51.774: Algorithm - getPortfolioForwardDelta - required deltas is 130 currentHedgePosition is 130</t>
  </si>
  <si>
    <t>2015-2-11 11:12:51.774: Algorithm - getHedgeShortfall - required deltas is 130 price is 1.52895 currentHedgePositionDeltas is 130</t>
  </si>
  <si>
    <t>2015-2-11 11:12:51.774: Algorithm - processTransitionPoint - nextUpper/LowerStrikes are 1.53/1.525 requiredDeltas/currentPosition/currentHedgeShortfall/direction/transitionPrice are 130/130/0/1/1.52895</t>
  </si>
  <si>
    <t>2015-2-11 11:12:51.774: TransitionLogger - processTransitionpoint - checking transition - currentHedgeShortfall is 0</t>
  </si>
  <si>
    <t>2015-2-11 11:12:51.774: Algorithm - updatePortfolio - haveAllDetails is True</t>
  </si>
  <si>
    <t>2015-2-11 11:12:51.805: Algorithm - FindNextStrikes - price is 1.52885 nextStrikeUp/Down 1.53/1.525</t>
  </si>
  <si>
    <t>2015-2-11 11:12:51.805: Algorithm - getPortfolioForwardDelta - required deltas is 130 currentHedgePosition is 130</t>
  </si>
  <si>
    <t>2015-2-11 11:12:51.821: Algorithm - getHedgeShortfall - required deltas is 130 price is 1.52895 currentHedgePositionDeltas is 130</t>
  </si>
  <si>
    <t>2015-2-11 11:12:51.821: Algorithm - processTransitionPoint - nextUpper/LowerStrikes are 1.53/1.525 requiredDeltas/currentPosition/currentHedgeShortfall/direction/transitionPrice are 130/130/0/1/1.52895</t>
  </si>
  <si>
    <t>2015-2-11 11:12:51.821: TransitionLogger - processTransitionpoint - checking transition - currentHedgeShortfall is 0</t>
  </si>
  <si>
    <t>2015-2-11 11:12:51.821: Algorithm - updatePortfolio - haveAllDetails is True</t>
  </si>
  <si>
    <t>2015-2-11 11:12:51.867: Algorithm - FindNextStrikes - price is 1.52885 nextStrikeUp/Down 1.53/1.525</t>
  </si>
  <si>
    <t>2015-2-11 11:12:51.867: Algorithm - getPortfolioForwardDelta - required deltas is 130 currentHedgePosition is 130</t>
  </si>
  <si>
    <t>2015-2-11 11:12:51.867: Algorithm - getHedgeShortfall - required deltas is 130 price is 1.52895 currentHedgePositionDeltas is 130</t>
  </si>
  <si>
    <t>2015-2-11 11:12:51.867: Algorithm - processTransitionPoint - nextUpper/LowerStrikes are 1.53/1.525 requiredDeltas/currentPosition/currentHedgeShortfall/direction/transitionPrice are 130/130/0/1/1.52895</t>
  </si>
  <si>
    <t>2015-2-11 11:12:51.867: TransitionLogger - processTransitionpoint - checking transition - currentHedgeShortfall is 0</t>
  </si>
  <si>
    <t>2015-2-11 11:12:51.867: Algorithm - updatePortfolio - haveAllDetails is True</t>
  </si>
  <si>
    <t>2015-2-11 11:12:51.914: Algorithm - FindNextStrikes - price is 1.52885 nextStrikeUp/Down 1.53/1.525</t>
  </si>
  <si>
    <t>2015-2-11 11:12:51.914: Algorithm - getPortfolioForwardDelta - required deltas is 130 currentHedgePosition is 130</t>
  </si>
  <si>
    <t>2015-2-11 11:12:51.914: Algorithm - getHedgeShortfall - required deltas is 130 price is 1.52895 currentHedgePositionDeltas is 130</t>
  </si>
  <si>
    <t>2015-2-11 11:12:51.914: Algorithm - processTransitionPoint - nextUpper/LowerStrikes are 1.53/1.525 requiredDeltas/currentPosition/currentHedgeShortfall/direction/transitionPrice are 130/130/0/1/1.52895</t>
  </si>
  <si>
    <t>2015-2-11 11:12:51.914: TransitionLogger - processTransitionpoint - checking transition - currentHedgeShortfall is 0</t>
  </si>
  <si>
    <t>2015-2-11 11:12:51.930: Algorithm - updatePortfolio - haveAllDetails is True</t>
  </si>
  <si>
    <t>2015-2-11 11:12:51.977: Algorithm - FindNextStrikes - price is 1.52885 nextStrikeUp/Down 1.53/1.525</t>
  </si>
  <si>
    <t>2015-2-11 11:12:51.977: Algorithm - getPortfolioForwardDelta - required deltas is 130 currentHedgePosition is 130</t>
  </si>
  <si>
    <t>2015-2-11 11:12:51.977: Algorithm - getHedgeShortfall - required deltas is 130 price is 1.52895 currentHedgePositionDeltas is 130</t>
  </si>
  <si>
    <t>2015-2-11 11:12:51.977: Algorithm - processTransitionPoint - nextUpper/LowerStrikes are 1.53/1.525 requiredDeltas/currentPosition/currentHedgeShortfall/direction/transitionPrice are 130/130/0/1/1.52895</t>
  </si>
  <si>
    <t>2015-2-11 11:12:51.977: TransitionLogger - processTransitionpoint - checking transition - currentHedgeShortfall is 0</t>
  </si>
  <si>
    <t>2015-2-11 11:12:51.977: Algorithm - updatePortfolio - haveAllDetails is True</t>
  </si>
  <si>
    <t>2015-2-11 11:12:52.23: Algorithm - FindNextStrikes - price is 1.52885 nextStrikeUp/Down 1.53/1.525</t>
  </si>
  <si>
    <t>2015-2-11 11:12:52.23: Algorithm - getPortfolioForwardDelta - required deltas is 130 currentHedgePosition is 130</t>
  </si>
  <si>
    <t>2015-2-11 11:12:52.23: Algorithm - getHedgeShortfall - required deltas is 130 price is 1.52895 currentHedgePositionDeltas is 130</t>
  </si>
  <si>
    <t>2015-2-11 11:12:52.23: Algorithm - processTransitionPoint - nextUpper/LowerStrikes are 1.53/1.525 requiredDeltas/currentPosition/currentHedgeShortfall/direction/transitionPrice are 130/130/0/1/1.52895</t>
  </si>
  <si>
    <t>2015-2-11 11:12:52.39: TransitionLogger - processTransitionpoint - checking transition - currentHedgeShortfall is 0</t>
  </si>
  <si>
    <t>2015-2-11 11:12:52.39: Algorithm - updatePortfolio - haveAllDetails is True</t>
  </si>
  <si>
    <t>2015-2-11 11:12:52.101: Algorithm - FindNextStrikes - price is 1.52885 nextStrikeUp/Down 1.53/1.525</t>
  </si>
  <si>
    <t>2015-2-11 11:12:52.101: Algorithm - getPortfolioForwardDelta - required deltas is 130 currentHedgePosition is 130</t>
  </si>
  <si>
    <t>2015-2-11 11:12:52.101: Algorithm - getHedgeShortfall - required deltas is 130 price is 1.52895 currentHedgePositionDeltas is 130</t>
  </si>
  <si>
    <t>2015-2-11 11:12:52.101: Algorithm - processTransitionPoint - nextUpper/LowerStrikes are 1.53/1.525 requiredDeltas/currentPosition/currentHedgeShortfall/direction/transitionPrice are 130/130/0/1/1.52895</t>
  </si>
  <si>
    <t>2015-2-11 11:12:52.117: TransitionLogger - processTransitionpoint - checking transition - currentHedgeShortfall is 0</t>
  </si>
  <si>
    <t>2015-2-11 11:12:52.117: Algorithm - updatePortfolio - haveAllDetails is True</t>
  </si>
  <si>
    <t>2015-2-11 11:12:52.148: Algorithm - FindNextStrikes - price is 1.52885 nextStrikeUp/Down 1.53/1.525</t>
  </si>
  <si>
    <t>2015-2-11 11:12:52.148: Algorithm - getPortfolioForwardDelta - required deltas is 130 currentHedgePosition is 130</t>
  </si>
  <si>
    <t>2015-2-11 11:12:52.148: Algorithm - getHedgeShortfall - required deltas is 130 price is 1.52895 currentHedgePositionDeltas is 130</t>
  </si>
  <si>
    <t>2015-2-11 11:12:52.148: Algorithm - processTransitionPoint - nextUpper/LowerStrikes are 1.53/1.525 requiredDeltas/currentPosition/currentHedgeShortfall/direction/transitionPrice are 130/130/0/1/1.52895</t>
  </si>
  <si>
    <t>2015-2-11 11:12:52.148: TransitionLogger - processTransitionpoint - checking transition - currentHedgeShortfall is 0</t>
  </si>
  <si>
    <t>2015-2-11 11:12:52.148: Algorithm - updatePortfolio - haveAllDetails is True</t>
  </si>
  <si>
    <t>2015-2-11 11:12:52.179: Algorithm - FindNextStrikes - price is 1.52885 nextStrikeUp/Down 1.53/1.525</t>
  </si>
  <si>
    <t>2015-2-11 11:12:52.179: Algorithm - getPortfolioForwardDelta - required deltas is 130 currentHedgePosition is 130</t>
  </si>
  <si>
    <t>2015-2-11 11:12:52.195: Algorithm - getHedgeShortfall - required deltas is 130 price is 1.52895 currentHedgePositionDeltas is 130</t>
  </si>
  <si>
    <t>2015-2-11 11:12:52.195: Algorithm - processTransitionPoint - nextUpper/LowerStrikes are 1.53/1.525 requiredDeltas/currentPosition/currentHedgeShortfall/direction/transitionPrice are 130/130/0/1/1.52895</t>
  </si>
  <si>
    <t>2015-2-11 11:12:52.195: TransitionLogger - processTransitionpoint - checking transition - currentHedgeShortfall is 0</t>
  </si>
  <si>
    <t>2015-2-11 11:12:52.195: Algorithm - updatePortfolio - haveAllDetails is True</t>
  </si>
  <si>
    <t>2015-2-11 11:12:52.257: Algorithm - FindNextStrikes - price is 1.52885 nextStrikeUp/Down 1.53/1.525</t>
  </si>
  <si>
    <t>2015-2-11 11:12:52.257: Algorithm - getPortfolioForwardDelta - required deltas is 130 currentHedgePosition is 130</t>
  </si>
  <si>
    <t>2015-2-11 11:12:52.257: Algorithm - getHedgeShortfall - required deltas is 130 price is 1.52895 currentHedgePositionDeltas is 130</t>
  </si>
  <si>
    <t>2015-2-11 11:12:52.257: Algorithm - processTransitionPoint - nextUpper/LowerStrikes are 1.53/1.525 requiredDeltas/currentPosition/currentHedgeShortfall/direction/transitionPrice are 130/130/0/1/1.52895</t>
  </si>
  <si>
    <t>2015-2-11 11:12:52.257: TransitionLogger - processTransitionpoint - checking transition - currentHedgeShortfall is 0</t>
  </si>
  <si>
    <t>2015-2-11 11:12:52.273: Algorithm - updatePortfolio - haveAllDetails is True</t>
  </si>
  <si>
    <t>2015-2-11 11:13:7.151: Algorithm - FindNextStrikes - price is 1.52885 nextStrikeUp/Down 1.53/1.525</t>
  </si>
  <si>
    <t>2015-2-11 11:13:7.151: Algorithm - getPortfolioForwardDelta - required deltas is 130 currentHedgePosition is 130</t>
  </si>
  <si>
    <t>2015-2-11 11:13:7.151: Algorithm - getHedgeShortfall - required deltas is 130 price is 1.52895 currentHedgePositionDeltas is 130</t>
  </si>
  <si>
    <t>2015-2-11 11:13:7.151: Algorithm - processTransitionPoint - nextUpper/LowerStrikes are 1.53/1.525 requiredDeltas/currentPosition/currentHedgeShortfall/direction/transitionPrice are 130/130/0/1/1.52895</t>
  </si>
  <si>
    <t>2015-2-11 11:13:7.151: TransitionLogger - processTransitionpoint - checking transition - currentHedgeShortfall is 0</t>
  </si>
  <si>
    <t>2015-2-11 11:13:7.151: Algorithm - updatePortfolio - haveAllDetails is True</t>
  </si>
  <si>
    <t>2015-2-11 11:13:7.182: Algorithm - FindNextStrikes - price is 1.52885 nextStrikeUp/Down 1.53/1.525</t>
  </si>
  <si>
    <t>2015-2-11 11:13:7.182: Algorithm - getPortfolioForwardDelta - required deltas is 130 currentHedgePosition is 130</t>
  </si>
  <si>
    <t>2015-2-11 11:13:7.182: Algorithm - getHedgeShortfall - required deltas is 130 price is 1.52895 currentHedgePositionDeltas is 130</t>
  </si>
  <si>
    <t>2015-2-11 11:13:7.182: Algorithm - processTransitionPoint - nextUpper/LowerStrikes are 1.53/1.525 requiredDeltas/currentPosition/currentHedgeShortfall/direction/transitionPrice are 130/130/0/1/1.52895</t>
  </si>
  <si>
    <t>2015-2-11 11:13:7.182: TransitionLogger - processTransitionpoint - checking transition - currentHedgeShortfall is 0</t>
  </si>
  <si>
    <t>2015-2-11 11:13:7.182: Algorithm - updatePortfolio - haveAllDetails is True</t>
  </si>
  <si>
    <t>2015-2-11 11:13:7.229: Algorithm - FindNextStrikes - price is 1.52885 nextStrikeUp/Down 1.53/1.525</t>
  </si>
  <si>
    <t>2015-2-11 11:13:7.229: Algorithm - getPortfolioForwardDelta - required deltas is 130 currentHedgePosition is 130</t>
  </si>
  <si>
    <t>2015-2-11 11:13:7.245: Algorithm - getHedgeShortfall - required deltas is 130 price is 1.52895 currentHedgePositionDeltas is 130</t>
  </si>
  <si>
    <t>2015-2-11 11:13:7.245: Algorithm - processTransitionPoint - nextUpper/LowerStrikes are 1.53/1.525 requiredDeltas/currentPosition/currentHedgeShortfall/direction/transitionPrice are 130/130/0/1/1.52895</t>
  </si>
  <si>
    <t>2015-2-11 11:13:7.245: TransitionLogger - processTransitionpoint - checking transition - currentHedgeShortfall is 0</t>
  </si>
  <si>
    <t>2015-2-11 11:13:7.245: Algorithm - updatePortfolio - haveAllDetails is True</t>
  </si>
  <si>
    <t>2015-2-11 11:13:7.291: Algorithm - FindNextStrikes - price is 1.52885 nextStrikeUp/Down 1.53/1.525</t>
  </si>
  <si>
    <t>2015-2-11 11:13:7.291: Algorithm - getPortfolioForwardDelta - required deltas is 130 currentHedgePosition is 130</t>
  </si>
  <si>
    <t>2015-2-11 11:13:7.291: Algorithm - getHedgeShortfall - required deltas is 130 price is 1.52895 currentHedgePositionDeltas is 130</t>
  </si>
  <si>
    <t>2015-2-11 11:13:7.291: Algorithm - processTransitionPoint - nextUpper/LowerStrikes are 1.53/1.525 requiredDeltas/currentPosition/currentHedgeShortfall/direction/transitionPrice are 130/130/0/1/1.52895</t>
  </si>
  <si>
    <t>2015-2-11 11:13:7.291: TransitionLogger - processTransitionpoint - checking transition - currentHedgeShortfall is 0</t>
  </si>
  <si>
    <t>2015-2-11 11:13:7.291: Algorithm - updatePortfolio - haveAllDetails is True</t>
  </si>
  <si>
    <t>2015-2-11 11:13:7.354: Algorithm - FindNextStrikes - price is 1.52885 nextStrikeUp/Down 1.53/1.525</t>
  </si>
  <si>
    <t>2015-2-11 11:13:7.354: Algorithm - getPortfolioForwardDelta - required deltas is 130 currentHedgePosition is 130</t>
  </si>
  <si>
    <t>2015-2-11 11:13:7.354: Algorithm - getHedgeShortfall - required deltas is 130 price is 1.52895 currentHedgePositionDeltas is 130</t>
  </si>
  <si>
    <t>2015-2-11 11:13:7.354: Algorithm - processTransitionPoint - nextUpper/LowerStrikes are 1.53/1.525 requiredDeltas/currentPosition/currentHedgeShortfall/direction/transitionPrice are 130/130/0/1/1.52895</t>
  </si>
  <si>
    <t>2015-2-11 11:13:7.354: TransitionLogger - processTransitionpoint - checking transition - currentHedgeShortfall is 0</t>
  </si>
  <si>
    <t>2015-2-11 11:13:7.354: Algorithm - updatePortfolio - haveAllDetails is True</t>
  </si>
  <si>
    <t>2015-2-11 11:13:7.401: Algorithm - FindNextStrikes - price is 1.52885 nextStrikeUp/Down 1.53/1.525</t>
  </si>
  <si>
    <t>2015-2-11 11:13:7.401: Algorithm - getPortfolioForwardDelta - required deltas is 130 currentHedgePosition is 130</t>
  </si>
  <si>
    <t>2015-2-11 11:13:7.401: Algorithm - getHedgeShortfall - required deltas is 130 price is 1.52895 currentHedgePositionDeltas is 130</t>
  </si>
  <si>
    <t>2015-2-11 11:13:7.401: Algorithm - processTransitionPoint - nextUpper/LowerStrikes are 1.53/1.525 requiredDeltas/currentPosition/currentHedgeShortfall/direction/transitionPrice are 130/130/0/1/1.52895</t>
  </si>
  <si>
    <t>2015-2-11 11:13:7.401: TransitionLogger - processTransitionpoint - checking transition - currentHedgeShortfall is 0</t>
  </si>
  <si>
    <t>2015-2-11 11:13:7.416: Algorithm - updatePortfolio - haveAllDetails is True</t>
  </si>
  <si>
    <t>2015-2-11 11:13:7.479: Algorithm - FindNextStrikes - price is 1.52885 nextStrikeUp/Down 1.53/1.525</t>
  </si>
  <si>
    <t>2015-2-11 11:13:7.479: Algorithm - getPortfolioForwardDelta - required deltas is 130 currentHedgePosition is 130</t>
  </si>
  <si>
    <t>2015-2-11 11:13:7.479: Algorithm - getHedgeShortfall - required deltas is 130 price is 1.52895 currentHedgePositionDeltas is 130</t>
  </si>
  <si>
    <t>2015-2-11 11:13:7.479: Algorithm - processTransitionPoint - nextUpper/LowerStrikes are 1.53/1.525 requiredDeltas/currentPosition/currentHedgeShortfall/direction/transitionPrice are 130/130/0/1/1.52895</t>
  </si>
  <si>
    <t>2015-2-11 11:13:7.494: TransitionLogger - processTransitionpoint - checking transition - currentHedgeShortfall is 0</t>
  </si>
  <si>
    <t>2015-2-11 11:13:7.494: Algorithm - updatePortfolio - haveAllDetails is True</t>
  </si>
  <si>
    <t>2015-2-11 11:13:7.525: Algorithm - FindNextStrikes - price is 1.52885 nextStrikeUp/Down 1.53/1.525</t>
  </si>
  <si>
    <t>2015-2-11 11:13:7.525: Algorithm - getPortfolioForwardDelta - required deltas is 130 currentHedgePosition is 130</t>
  </si>
  <si>
    <t>2015-2-11 11:13:7.525: Algorithm - getHedgeShortfall - required deltas is 130 price is 1.52895 currentHedgePositionDeltas is 130</t>
  </si>
  <si>
    <t>2015-2-11 11:13:7.525: Algorithm - processTransitionPoint - nextUpper/LowerStrikes are 1.53/1.525 requiredDeltas/currentPosition/currentHedgeShortfall/direction/transitionPrice are 130/130/0/1/1.52895</t>
  </si>
  <si>
    <t>2015-2-11 11:13:7.525: TransitionLogger - processTransitionpoint - checking transition - currentHedgeShortfall is 0</t>
  </si>
  <si>
    <t>2015-2-11 11:13:7.525: Algorithm - updatePortfolio - haveAllDetails is True</t>
  </si>
  <si>
    <t>2015-2-11 11:13:7.557: Algorithm - FindNextStrikes - price is 1.52885 nextStrikeUp/Down 1.53/1.525</t>
  </si>
  <si>
    <t>2015-2-11 11:13:7.557: Algorithm - getPortfolioForwardDelta - required deltas is 130 currentHedgePosition is 130</t>
  </si>
  <si>
    <t>2015-2-11 11:13:7.557: Algorithm - getHedgeShortfall - required deltas is 130 price is 1.52895 currentHedgePositionDeltas is 130</t>
  </si>
  <si>
    <t>2015-2-11 11:13:7.557: Algorithm - processTransitionPoint - nextUpper/LowerStrikes are 1.53/1.525 requiredDeltas/currentPosition/currentHedgeShortfall/direction/transitionPrice are 130/130/0/1/1.52895</t>
  </si>
  <si>
    <t>2015-2-11 11:13:7.557: TransitionLogger - processTransitionpoint - checking transition - currentHedgeShortfall is 0</t>
  </si>
  <si>
    <t>2015-2-11 11:13:7.572: Algorithm - updatePortfolio - haveAllDetails is True</t>
  </si>
  <si>
    <t>2015-2-11 11:13:7.635: Algorithm - FindNextStrikes - price is 1.52885 nextStrikeUp/Down 1.53/1.525</t>
  </si>
  <si>
    <t>2015-2-11 11:13:7.635: Algorithm - getPortfolioForwardDelta - required deltas is 130 currentHedgePosition is 130</t>
  </si>
  <si>
    <t>2015-2-11 11:13:7.635: Algorithm - getHedgeShortfall - required deltas is 130 price is 1.52895 currentHedgePositionDeltas is 130</t>
  </si>
  <si>
    <t>2015-2-11 11:13:7.635: Algorithm - processTransitionPoint - nextUpper/LowerStrikes are 1.53/1.525 requiredDeltas/currentPosition/currentHedgeShortfall/direction/transitionPrice are 130/130/0/1/1.52895</t>
  </si>
  <si>
    <t>2015-2-11 11:13:7.635: TransitionLogger - processTransitionpoint - checking transition - currentHedgeShortfall is 0</t>
  </si>
  <si>
    <t>2015-2-11 11:13:7.650: Algorithm - updatePortfolio - haveAllDetails is True</t>
  </si>
  <si>
    <t>2015-2-11 11:14:21.940: OrderManager - cancelOrder - cancelling order id 9789</t>
  </si>
  <si>
    <t>2015-2-11 11:14:21.940: OrderManager - PlaceOrder - id 9790 workingQty -1835</t>
  </si>
  <si>
    <t>2015-2-11 11:14:21.955: OrderManager - sendOrder - exiting place order id 9790 BUY 53 1.544  - workingQty -1835 currentPosition is 130 workingOrderCount is -55</t>
  </si>
  <si>
    <t>2015-2-11 11:14:22.205: RTWSControl - nextValidId - entering nextValidId id is 9791</t>
  </si>
  <si>
    <t>2015-2-11 11:14:22.252: RTWSControl - orderStatus -  entering orderStatus id is 9789 status is Cancelled</t>
  </si>
  <si>
    <t>2015-2-11 11:14:22.252: OrderManager - UpdateOrderStatus - id 9789 Setting status to Cancelled workingOrderCount is now -55 workingQty -1835</t>
  </si>
  <si>
    <t>2015-2-11 11:14:22.267: RTWSControl - OrderStatus - Got OrderStatus Message id:9789 status: Cancelled filled: 0</t>
  </si>
  <si>
    <t>2015-2-11 11:14:22.267: RTWSControl - OrderStatus - exiting orderStatus</t>
  </si>
  <si>
    <t>2015-2-11 11:14:22.267: RTWSControl - errMsg - got error message 202:Order Canceled - reason:with id 9789</t>
  </si>
  <si>
    <t>2015-2-11 11:14:22.267: OrderManager - canceledOrder - cleaning up after canceled order 9789BEWARE UNACCOUNTED FOR EXECUTIONS!!!</t>
  </si>
  <si>
    <t>2015-2-11 11:14:22.283: OrderManager - terminateOrder - cleaning up after Canceled 9789  order was supposed to BUY 49 1.5432 STP LMT workingQty/OrderCount now -1884/-56</t>
  </si>
  <si>
    <t>2015-2-11 11:14:22.642: openOrderEx - I am here</t>
  </si>
  <si>
    <t>2015-2-11 11:14:22.642: RTWSControl - orderStatus -  entering orderStatus id is 9790 status is PreSubmitted</t>
  </si>
  <si>
    <t>2015-2-11 11:14:22.657: OrderManager - UpdateOrderStatus - id 9790 Setting status to PreSubmitted workingOrderCount is now -56 workingQty -1884</t>
  </si>
  <si>
    <t>2015-2-11 11:14:22.657: RTWSControl - OrderStatus - Got OrderStatus Message id:9790 status: PreSubmitted filled: 0</t>
  </si>
  <si>
    <t>2015-2-11 11:14:22.657: RTWSControl - OrderStatus - exiting orderStatus</t>
  </si>
  <si>
    <t>2015-2-11 11:14:34.421: OrderManager - cancelOrder - cancelling order id 9790</t>
  </si>
  <si>
    <t>2015-2-11 11:14:34.421: OrderManager - PlaceOrder - id 9791 workingQty -1834</t>
  </si>
  <si>
    <t>2015-2-11 11:14:34.421: OrderManager - sendOrder - exiting place order id 9791 BUY 50 1.5433  - workingQty -1834 currentPosition is 130 workingOrderCount is -55</t>
  </si>
  <si>
    <t>2015-2-11 11:14:34.561: RTWSControl - nextValidId - entering nextValidId id is 9792</t>
  </si>
  <si>
    <t>2015-2-11 11:14:34.608: RTWSControl - orderStatus -  entering orderStatus id is 9790 status is Cancelled</t>
  </si>
  <si>
    <t>2015-2-11 11:14:34.623: OrderManager - UpdateOrderStatus - id 9790 Setting status to Cancelled workingOrderCount is now -55 workingQty -1834</t>
  </si>
  <si>
    <t>2015-2-11 11:14:34.623: RTWSControl - OrderStatus - Got OrderStatus Message id:9790 status: Cancelled filled: 0</t>
  </si>
  <si>
    <t>2015-2-11 11:14:34.623: RTWSControl - OrderStatus - exiting orderStatus</t>
  </si>
  <si>
    <t>2015-2-11 11:14:34.623: RTWSControl - errMsg - got error message 202:Order Canceled - reason:with id 9790</t>
  </si>
  <si>
    <t>2015-2-11 11:14:34.623: OrderManager - canceledOrder - cleaning up after canceled order 9790BEWARE UNACCOUNTED FOR EXECUTIONS!!!</t>
  </si>
  <si>
    <t>2015-2-11 11:14:34.623: OrderManager - terminateOrder - cleaning up after Canceled 9790  order was supposed to BUY 53 1.544 STP LMT workingQty/OrderCount now -1887/-56</t>
  </si>
  <si>
    <t>2015-2-11 11:14:35.310: openOrderEx - I am here</t>
  </si>
  <si>
    <t>2015-2-11 11:14:35.325: RTWSControl - orderStatus -  entering orderStatus id is 9791 status is PreSubmitted</t>
  </si>
  <si>
    <t>2015-2-11 11:14:35.325: OrderManager - UpdateOrderStatus - id 9791 Setting status to PreSubmitted workingOrderCount is now -56 workingQty -1887</t>
  </si>
  <si>
    <t>2015-2-11 11:14:35.325: RTWSControl - OrderStatus - Got OrderStatus Message id:9791 status: PreSubmitted filled: 0</t>
  </si>
  <si>
    <t>2015-2-11 11:14:35.325: RTWSControl - OrderStatus - exiting orderStatus</t>
  </si>
  <si>
    <t>2015-2-11 11:14:44.329: OrderManager - cancelOrder - cancelling order id 9791</t>
  </si>
  <si>
    <t>2015-2-11 11:14:44.329: OrderManager - PlaceOrder - id 9792 workingQty -1834</t>
  </si>
  <si>
    <t>2015-2-11 11:14:44.345: OrderManager - sendOrder - exiting place order id 9792 BUY 53 1.5442  - workingQty -1834 currentPosition is 130 workingOrderCount is -55</t>
  </si>
  <si>
    <t>2015-2-11 11:14:45.546: RTWSControl - nextValidId - entering nextValidId id is 9793</t>
  </si>
  <si>
    <t>2015-2-11 11:14:45.593: RTWSControl - orderStatus -  entering orderStatus id is 9791 status is Cancelled</t>
  </si>
  <si>
    <t>2015-2-11 11:14:45.593: OrderManager - UpdateOrderStatus - id 9791 Setting status to Cancelled workingOrderCount is now -55 workingQty -1834</t>
  </si>
  <si>
    <t>2015-2-11 11:14:45.593: RTWSControl - OrderStatus - Got OrderStatus Message id:9791 status: Cancelled filled: 0</t>
  </si>
  <si>
    <t>2015-2-11 11:14:45.593: RTWSControl - OrderStatus - exiting orderStatus</t>
  </si>
  <si>
    <t>2015-2-11 11:14:45.608: RTWSControl - errMsg - got error message 202:Order Canceled - reason:with id 9791</t>
  </si>
  <si>
    <t>2015-2-11 11:14:45.610: OrderManager - canceledOrder - cleaning up after canceled order 9791BEWARE UNACCOUNTED FOR EXECUTIONS!!!</t>
  </si>
  <si>
    <t>2015-2-11 11:14:45.611: OrderManager - terminateOrder - cleaning up after Canceled 9791  order was supposed to BUY 50 1.5433 STP LMT workingQty/OrderCount now -1884/-56</t>
  </si>
  <si>
    <t>2015-2-11 11:14:45.925: openOrderEx - I am here</t>
  </si>
  <si>
    <t>2015-2-11 11:14:45.972: RTWSControl - orderStatus -  entering orderStatus id is 9792 status is PreSubmitted</t>
  </si>
  <si>
    <t>2015-2-11 11:14:45.972: OrderManager - UpdateOrderStatus - id 9792 Setting status to PreSubmitted workingOrderCount is now -56 workingQty -1884</t>
  </si>
  <si>
    <t>2015-2-11 11:14:45.972: RTWSControl - OrderStatus - Got OrderStatus Message id:9792 status: PreSubmitted filled: 0</t>
  </si>
  <si>
    <t>2015-2-11 11:14:45.972: RTWSControl - OrderStatus - exiting orderStatus</t>
  </si>
  <si>
    <t>2015-2-11 11:16:7.176: Algorithm - FindNextStrikes - price is 1.52875 nextStrikeUp/Down 1.53/1.525</t>
  </si>
  <si>
    <t>2015-2-11 11:16:7.176: Algorithm - getPortfolioForwardDelta - required deltas is 130 currentHedgePosition is 130</t>
  </si>
  <si>
    <t>2015-2-11 11:16:7.176: Algorithm - getHedgeShortfall - required deltas is 130 price is 1.52865 currentHedgePositionDeltas is 130</t>
  </si>
  <si>
    <t>2015-2-11 11:16:7.176: Algorithm - processTransitionPoint - nextUpper/LowerStrikes are 1.53/1.525 requiredDeltas/currentPosition/currentHedgeShortfall/direction/transitionPrice are 130/130/0/-1/1.52865</t>
  </si>
  <si>
    <t>2015-2-11 11:16:7.176: TransitionLogger - processTransitionpoint - checking transition - currentHedgeShortfall is 0</t>
  </si>
  <si>
    <t>2015-2-11 11:16:7.192: Algorithm - updatePortfolio - haveAllDetails is True</t>
  </si>
  <si>
    <t>2015-2-11 11:16:7.223: Algorithm - FindNextStrikes - price is 1.52875 nextStrikeUp/Down 1.53/1.525</t>
  </si>
  <si>
    <t>2015-2-11 11:16:7.223: Algorithm - getPortfolioForwardDelta - required deltas is 130 currentHedgePosition is 130</t>
  </si>
  <si>
    <t>2015-2-11 11:16:7.223: Algorithm - getHedgeShortfall - required deltas is 130 price is 1.52865 currentHedgePositionDeltas is 130</t>
  </si>
  <si>
    <t>2015-2-11 11:16:7.223: Algorithm - processTransitionPoint - nextUpper/LowerStrikes are 1.53/1.525 requiredDeltas/currentPosition/currentHedgeShortfall/direction/transitionPrice are 130/130/0/-1/1.52865</t>
  </si>
  <si>
    <t>2015-2-11 11:16:7.238: TransitionLogger - processTransitionpoint - checking transition - currentHedgeShortfall is 0</t>
  </si>
  <si>
    <t>2015-2-11 11:16:7.238: Algorithm - updatePortfolio - haveAllDetails is True</t>
  </si>
  <si>
    <t>2015-2-11 11:16:7.285: Algorithm - FindNextStrikes - price is 1.52875 nextStrikeUp/Down 1.53/1.525</t>
  </si>
  <si>
    <t>2015-2-11 11:16:7.285: Algorithm - getPortfolioForwardDelta - required deltas is 130 currentHedgePosition is 130</t>
  </si>
  <si>
    <t>2015-2-11 11:16:7.285: Algorithm - getHedgeShortfall - required deltas is 130 price is 1.52865 currentHedgePositionDeltas is 130</t>
  </si>
  <si>
    <t>2015-2-11 11:16:7.285: Algorithm - processTransitionPoint - nextUpper/LowerStrikes are 1.53/1.525 requiredDeltas/currentPosition/currentHedgeShortfall/direction/transitionPrice are 130/130/0/-1/1.52865</t>
  </si>
  <si>
    <t>2015-2-11 11:16:7.285: TransitionLogger - processTransitionpoint - checking transition - currentHedgeShortfall is 0</t>
  </si>
  <si>
    <t>2015-2-11 11:16:7.285: Algorithm - updatePortfolio - haveAllDetails is True</t>
  </si>
  <si>
    <t>2015-2-11 11:16:7.348: Algorithm - FindNextStrikes - price is 1.52875 nextStrikeUp/Down 1.53/1.525</t>
  </si>
  <si>
    <t>2015-2-11 11:16:7.348: Algorithm - getPortfolioForwardDelta - required deltas is 130 currentHedgePosition is 130</t>
  </si>
  <si>
    <t>2015-2-11 11:16:7.348: Algorithm - getHedgeShortfall - required deltas is 130 price is 1.52865 currentHedgePositionDeltas is 130</t>
  </si>
  <si>
    <t>2015-2-11 11:16:7.348: Algorithm - processTransitionPoint - nextUpper/LowerStrikes are 1.53/1.525 requiredDeltas/currentPosition/currentHedgeShortfall/direction/transitionPrice are 130/130/0/-1/1.52865</t>
  </si>
  <si>
    <t>2015-2-11 11:16:7.348: TransitionLogger - processTransitionpoint - checking transition - currentHedgeShortfall is 0</t>
  </si>
  <si>
    <t>2015-2-11 11:16:7.348: Algorithm - updatePortfolio - haveAllDetails is True</t>
  </si>
  <si>
    <t>2015-2-11 11:16:7.410: Algorithm - FindNextStrikes - price is 1.52875 nextStrikeUp/Down 1.53/1.525</t>
  </si>
  <si>
    <t>2015-2-11 11:16:7.410: Algorithm - getPortfolioForwardDelta - required deltas is 130 currentHedgePosition is 130</t>
  </si>
  <si>
    <t>2015-2-11 11:16:7.410: Algorithm - getHedgeShortfall - required deltas is 130 price is 1.52865 currentHedgePositionDeltas is 130</t>
  </si>
  <si>
    <t>2015-2-11 11:16:7.410: Algorithm - processTransitionPoint - nextUpper/LowerStrikes are 1.53/1.525 requiredDeltas/currentPosition/currentHedgeShortfall/direction/transitionPrice are 130/130/0/-1/1.52865</t>
  </si>
  <si>
    <t>2015-2-11 11:16:7.410: TransitionLogger - processTransitionpoint - checking transition - currentHedgeShortfall is 0</t>
  </si>
  <si>
    <t>2015-2-11 11:16:7.410: Algorithm - updatePortfolio - haveAllDetails is True</t>
  </si>
  <si>
    <t>2015-2-11 11:16:7.472: Algorithm - FindNextStrikes - price is 1.52875 nextStrikeUp/Down 1.53/1.525</t>
  </si>
  <si>
    <t>2015-2-11 11:16:7.472: Algorithm - getPortfolioForwardDelta - required deltas is 130 currentHedgePosition is 130</t>
  </si>
  <si>
    <t>2015-2-11 11:16:7.472: Algorithm - getHedgeShortfall - required deltas is 130 price is 1.52865 currentHedgePositionDeltas is 130</t>
  </si>
  <si>
    <t>2015-2-11 11:16:7.472: Algorithm - processTransitionPoint - nextUpper/LowerStrikes are 1.53/1.525 requiredDeltas/currentPosition/currentHedgeShortfall/direction/transitionPrice are 130/130/0/-1/1.52865</t>
  </si>
  <si>
    <t>2015-2-11 11:16:7.472: TransitionLogger - processTransitionpoint - checking transition - currentHedgeShortfall is 0</t>
  </si>
  <si>
    <t>2015-2-11 11:16:7.488: Algorithm - updatePortfolio - haveAllDetails is True</t>
  </si>
  <si>
    <t>2015-2-11 11:16:7.535: Algorithm - FindNextStrikes - price is 1.52875 nextStrikeUp/Down 1.53/1.525</t>
  </si>
  <si>
    <t>2015-2-11 11:16:7.535: Algorithm - getPortfolioForwardDelta - required deltas is 130 currentHedgePosition is 130</t>
  </si>
  <si>
    <t>2015-2-11 11:16:7.535: Algorithm - getHedgeShortfall - required deltas is 130 price is 1.52865 currentHedgePositionDeltas is 130</t>
  </si>
  <si>
    <t>2015-2-11 11:16:7.535: Algorithm - processTransitionPoint - nextUpper/LowerStrikes are 1.53/1.525 requiredDeltas/currentPosition/currentHedgeShortfall/direction/transitionPrice are 130/130/0/-1/1.52865</t>
  </si>
  <si>
    <t>2015-2-11 11:16:7.535: TransitionLogger - processTransitionpoint - checking transition - currentHedgeShortfall is 0</t>
  </si>
  <si>
    <t>2015-2-11 11:16:7.535: Algorithm - updatePortfolio - haveAllDetails is True</t>
  </si>
  <si>
    <t>2015-2-11 11:16:7.566: Algorithm - FindNextStrikes - price is 1.52875 nextStrikeUp/Down 1.53/1.525</t>
  </si>
  <si>
    <t>2015-2-11 11:16:7.566: Algorithm - getPortfolioForwardDelta - required deltas is 130 currentHedgePosition is 130</t>
  </si>
  <si>
    <t>2015-2-11 11:16:7.566: Algorithm - getHedgeShortfall - required deltas is 130 price is 1.52865 currentHedgePositionDeltas is 130</t>
  </si>
  <si>
    <t>2015-2-11 11:16:7.566: Algorithm - processTransitionPoint - nextUpper/LowerStrikes are 1.53/1.525 requiredDeltas/currentPosition/currentHedgeShortfall/direction/transitionPrice are 130/130/0/-1/1.52865</t>
  </si>
  <si>
    <t>2015-2-11 11:16:7.566: TransitionLogger - processTransitionpoint - checking transition - currentHedgeShortfall is 0</t>
  </si>
  <si>
    <t>2015-2-11 11:16:7.582: Algorithm - updatePortfolio - haveAllDetails is True</t>
  </si>
  <si>
    <t>2015-2-11 11:16:7.644: Algorithm - FindNextStrikes - price is 1.52875 nextStrikeUp/Down 1.53/1.525</t>
  </si>
  <si>
    <t>2015-2-11 11:16:7.644: Algorithm - getPortfolioForwardDelta - required deltas is 130 currentHedgePosition is 130</t>
  </si>
  <si>
    <t>2015-2-11 11:16:7.644: Algorithm - getHedgeShortfall - required deltas is 130 price is 1.52865 currentHedgePositionDeltas is 130</t>
  </si>
  <si>
    <t>2015-2-11 11:16:7.644: Algorithm - processTransitionPoint - nextUpper/LowerStrikes are 1.53/1.525 requiredDeltas/currentPosition/currentHedgeShortfall/direction/transitionPrice are 130/130/0/-1/1.52865</t>
  </si>
  <si>
    <t>2015-2-11 11:16:7.644: TransitionLogger - processTransitionpoint - checking transition - currentHedgeShortfall is 0</t>
  </si>
  <si>
    <t>2015-2-11 11:16:7.644: Algorithm - updatePortfolio - haveAllDetails is True</t>
  </si>
  <si>
    <t>2015-2-11 11:16:7.706: Algorithm - FindNextStrikes - price is 1.52875 nextStrikeUp/Down 1.53/1.525</t>
  </si>
  <si>
    <t>2015-2-11 11:16:7.706: Algorithm - getPortfolioForwardDelta - required deltas is 130 currentHedgePosition is 130</t>
  </si>
  <si>
    <t>2015-2-11 11:16:7.706: Algorithm - getHedgeShortfall - required deltas is 130 price is 1.52865 currentHedgePositionDeltas is 130</t>
  </si>
  <si>
    <t>2015-2-11 11:16:7.706: Algorithm - processTransitionPoint - nextUpper/LowerStrikes are 1.53/1.525 requiredDeltas/currentPosition/currentHedgeShortfall/direction/transitionPrice are 130/130/0/-1/1.52865</t>
  </si>
  <si>
    <t>2015-2-11 11:16:7.706: TransitionLogger - processTransitionpoint - checking transition - currentHedgeShortfall is 0</t>
  </si>
  <si>
    <t>2015-2-11 11:16:7.706: Algorithm - updatePortfolio - haveAllDetails is True</t>
  </si>
  <si>
    <t>2015-2-11 11:16:40.20: openOrderEx - I am here</t>
  </si>
  <si>
    <t>2015-2-11 11:16:40.51: RTWSControl - orderStatus -  entering orderStatus id is 9788 status is PreSubmitted</t>
  </si>
  <si>
    <t>2015-2-11 11:16:40.67: OrderManager - UpdateOrderStatus - id 9788 Setting status to PreSubmitted workingOrderCount is now -56 workingQty -1884</t>
  </si>
  <si>
    <t>2015-2-11 11:16:40.67: RTWSControl - OrderStatus - Got OrderStatus Message id:9788 status: PreSubmitted filled: 0</t>
  </si>
  <si>
    <t>2015-2-11 11:16:40.67: RTWSControl - OrderStatus - exiting orderStatus</t>
  </si>
  <si>
    <t>2015-2-11 11:16:41.150: RTWSControl - execDetails -  entering execDetailsEx execution id is 0001f4e5.54da9c89.01.01 shares/cumQty is 39/39</t>
  </si>
  <si>
    <t>2015-2-11 11:16:41.150: OrderManager - updateExecution - an Error occurred Object doesn't support this property or method</t>
  </si>
  <si>
    <t>2015-2-11 11:16:41.150: OrderManager - updateExecution - got a fill for id 9788 qty 39 side SLD price 1.5285 - new working order size is -1845 new instrument.qty is 91</t>
  </si>
  <si>
    <t>0001f4e5.54da9c89.01.01</t>
  </si>
  <si>
    <t>20150211  11:16:41</t>
  </si>
  <si>
    <t>2015-2-11 11:16:41.150: OrderManagerView - UpdateExecutionView - entering updateExecutionView  executionId is 0001f4e5.54da9c89.01.01</t>
  </si>
  <si>
    <t>2015-2-11 11:16:41.150: OrderManagerView - updateExecutionView -  exiting UpdateExecutionView</t>
  </si>
  <si>
    <t>2015-2-11 11:16:41.150: RTWSControl - execDetails -  exiting execDetailsEx</t>
  </si>
  <si>
    <t>2015-2-11 11:16:41.150: RTWSControl - execDetails - Got execution Message id:-1</t>
  </si>
  <si>
    <t>2015-2-11 11:16:41.197: openOrderEx - I am here</t>
  </si>
  <si>
    <t>2015-2-11 11:16:41.212: RTWSControl - orderStatus -  entering orderStatus id is 9788 status is PreSubmitted</t>
  </si>
  <si>
    <t>2015-2-11 11:16:41.212: OrderManager - UpdateOrderStatus - id 9788 Setting status to PreSubmitted workingOrderCount is now -56 workingQty -1845</t>
  </si>
  <si>
    <t>2015-2-11 11:16:41.212: RTWSControl - OrderStatus - Got OrderStatus Message id:9788 status: PreSubmitted filled: 39</t>
  </si>
  <si>
    <t>2015-2-11 11:16:41.212: RTWSControl - OrderStatus - exiting orderStatus</t>
  </si>
  <si>
    <t>2015-2-11 11:16:41.353: openOrderEx - I am here</t>
  </si>
  <si>
    <t>2015-2-11 11:16:41.368: RTWSControl - orderStatus -  entering orderStatus id is 9788 status is Submitted</t>
  </si>
  <si>
    <t>2015-2-11 11:16:41.368: OrderManager - UpdateOrderStatus - id 9788 Setting status to Submitted workingOrderCount is now -56 workingQty -1845</t>
  </si>
  <si>
    <t>2015-2-11 11:16:41.368: RTWSControl - OrderStatus - Got OrderStatus Message id:9788 status: Submitted filled: 39</t>
  </si>
  <si>
    <t>2015-2-11 11:16:41.368: RTWSControl - OrderStatus - exiting orderStatus</t>
  </si>
  <si>
    <t>2015-2-11 11:16:41.524: RTWSControl - execDetails -  entering execDetailsEx execution id is 0001f4e5.54da9c8a.01.01 shares/cumQty is 12/51</t>
  </si>
  <si>
    <t>2015-2-11 11:16:41.524: OrderManager - updateExecution - an Error occurred Object doesn't support this property or method</t>
  </si>
  <si>
    <t>2015-2-11 11:16:41.524: OrderManager - updateExecution - got a fill for id 9788 qty 12 side SLD price 1.5276 - new working order size is -1833 new instrument.qty is 79</t>
  </si>
  <si>
    <t>0001f4e5.54da9c8a.01.01</t>
  </si>
  <si>
    <t>2015-2-11 11:16:41.524: OrderManagerView - UpdateExecutionView - entering updateExecutionView  executionId is 0001f4e5.54da9c8a.01.01</t>
  </si>
  <si>
    <t>2015-2-11 11:16:41.524: OrderManagerView - updateExecutionView -  exiting UpdateExecutionView</t>
  </si>
  <si>
    <t>2015-2-11 11:16:41.524: RTWSControl - execDetails -  exiting execDetailsEx</t>
  </si>
  <si>
    <t>2015-2-11 11:16:41.524: RTWSControl - execDetails - Got execution Message id:-1</t>
  </si>
  <si>
    <t>2015-2-11 11:16:41.540: openOrderEx - I am here</t>
  </si>
  <si>
    <t>2015-2-11 11:16:41.572: RTWSControl - orderStatus -  entering orderStatus id is 9788 status is Filled</t>
  </si>
  <si>
    <t>2015-2-11 11:16:41.572: OrderManager - UpdateOrderStatus - id 9788 Setting status to Filled workingOrderCount is now -57 workingQty -1833</t>
  </si>
  <si>
    <t>2015-2-11 11:16:41.573: OrderManager - terminateOrder - cleaning up after Filled 9788  order was supposed to SELL 51 1.5276 STP LMT workingQty/OrderCount now -1833/-58</t>
  </si>
  <si>
    <t>2015-2-11 11:16:41.573: RTWSControl - OrderStatus - Got OrderStatus Message id:9788 status: Filled filled: 51</t>
  </si>
  <si>
    <t>2015-2-11 11:16:41.573: RTWSControl - OrderStatus - exiting orderStatus</t>
  </si>
  <si>
    <t>2015-2-11 11:16:41.604: openOrderEx - I am here</t>
  </si>
  <si>
    <t>2015-2-11 11:16:41.620: RTWSControl - orderStatus -  entering orderStatus id is 9788 status is Filled</t>
  </si>
  <si>
    <t>2015-2-11 11:16:41.620: OrderManager - UpdateOrderStatus - id 9788 Setting status to Filled workingOrderCount is now -58 workingQty -1833</t>
  </si>
  <si>
    <t>2015-2-11 11:16:41.620: OrderManager - terminateOrder - cleaning up after Filled 9788  order was supposed to SELL 51 1.5276 STP LMT workingQty/OrderCount now -1833/-59</t>
  </si>
  <si>
    <t>2015-2-11 11:16:41.620: RTWSControl - OrderStatus - Got OrderStatus Message id:9788 status: Filled filled: 51</t>
  </si>
  <si>
    <t>2015-2-11 11:16:41.620: RTWSControl - OrderStatus - exiting orderStatus</t>
  </si>
  <si>
    <t>2015-2-11 11:16:41.651: openOrderEx - I am here</t>
  </si>
  <si>
    <t>2015-2-11 11:16:41.682: RTWSControl - orderStatus -  entering orderStatus id is 9788 status is Filled</t>
  </si>
  <si>
    <t>2015-2-11 11:16:41.682: OrderManager - UpdateOrderStatus - id 9788 Setting status to Filled workingOrderCount is now -59 workingQty -1833</t>
  </si>
  <si>
    <t>2015-2-11 11:16:41.682: OrderManager - terminateOrder - cleaning up after Filled 9788  order was supposed to SELL 51 1.5276 STP LMT workingQty/OrderCount now -1833/-60</t>
  </si>
  <si>
    <t>2015-2-11 11:16:41.682: RTWSControl - OrderStatus - Got OrderStatus Message id:9788 status: Filled filled: 51</t>
  </si>
  <si>
    <t>2015-2-11 11:16:41.682: RTWSControl - OrderStatus - exiting orderStatus</t>
  </si>
  <si>
    <t>2015-2-11 11:16:45.114: Algorithm - FindNextStrikes - price is 1.52855 nextStrikeUp/Down 1.53/1.525</t>
  </si>
  <si>
    <t>2015-2-11 11:16:45.114: Algorithm - getPortfolioForwardDelta - required deltas is 130 currentHedgePosition is 79</t>
  </si>
  <si>
    <t>2015-2-11 11:16:45.114: Algorithm - getHedgeShortfall - required deltas is 130 price is 1.52845 currentHedgePositionDeltas is 79</t>
  </si>
  <si>
    <t>2015-2-11 11:16:45.114: Algorithm - processTransitionPoint - nextUpper/LowerStrikes are 1.53/1.525 requiredDeltas/currentPosition/currentHedgeShortfall/direction/transitionPrice are 130/79/51/-1/1.52845</t>
  </si>
  <si>
    <t>2015-2-11 11:16:45.114: TransitionLogger - processTransitionpoint - checking transition - currentHedgeShortfall is 51</t>
  </si>
  <si>
    <t>2015-2-11 11:16:45.114: Algorithm - rehedge - rehedging 51 contracts</t>
  </si>
  <si>
    <t>2015-2-11 11:16:45.114: Algortihm - rehedge - inside the loop</t>
  </si>
  <si>
    <t>2015-2-11 11:16:45.114: Algorithm - rehedge - trying to trade BUT contracts is 51 and direction indicator is -1</t>
  </si>
  <si>
    <t>2015-2-11 11:16:45.114: Algorithm - updatePortfolio - haveAllDetails is True</t>
  </si>
  <si>
    <t>2015-2-11 11:16:45.161: Algorithm - FindNextStrikes - price is 1.52855 nextStrikeUp/Down 1.53/1.525</t>
  </si>
  <si>
    <t>2015-2-11 11:16:45.161: Algorithm - getPortfolioForwardDelta - required deltas is 130 currentHedgePosition is 79</t>
  </si>
  <si>
    <t>2015-2-11 11:16:45.161: Algorithm - getHedgeShortfall - required deltas is 130 price is 1.52845 currentHedgePositionDeltas is 79</t>
  </si>
  <si>
    <t>2015-2-11 11:16:45.161: Algorithm - processTransitionPoint - nextUpper/LowerStrikes are 1.53/1.525 requiredDeltas/currentPosition/currentHedgeShortfall/direction/transitionPrice are 130/79/51/-1/1.52845</t>
  </si>
  <si>
    <t>2015-2-11 11:16:45.161: TransitionLogger - processTransitionpoint - checking transition - currentHedgeShortfall is 51</t>
  </si>
  <si>
    <t>2015-2-11 11:16:45.161: Algorithm - rehedge - rehedging 51 contracts</t>
  </si>
  <si>
    <t>2015-2-11 11:16:45.161: Algortihm - rehedge - inside the loop</t>
  </si>
  <si>
    <t>2015-2-11 11:16:45.161: Algorithm - rehedge - trying to trade BUT contracts is 51 and direction indicator is -1</t>
  </si>
  <si>
    <t>2015-2-11 11:16:45.161: Algorithm - updatePortfolio - haveAllDetails is True</t>
  </si>
  <si>
    <t>2015-2-11 11:16:45.207: Algorithm - FindNextStrikes - price is 1.52855 nextStrikeUp/Down 1.53/1.525</t>
  </si>
  <si>
    <t>2015-2-11 11:16:45.207: Algorithm - getPortfolioForwardDelta - required deltas is 130 currentHedgePosition is 79</t>
  </si>
  <si>
    <t>2015-2-11 11:16:45.207: Algorithm - getHedgeShortfall - required deltas is 130 price is 1.52845 currentHedgePositionDeltas is 79</t>
  </si>
  <si>
    <t>2015-2-11 11:16:45.207: Algorithm - processTransitionPoint - nextUpper/LowerStrikes are 1.53/1.525 requiredDeltas/currentPosition/currentHedgeShortfall/direction/transitionPrice are 130/79/51/-1/1.52845</t>
  </si>
  <si>
    <t>2015-2-11 11:16:45.207: TransitionLogger - processTransitionpoint - checking transition - currentHedgeShortfall is 51</t>
  </si>
  <si>
    <t>2015-2-11 11:16:45.207: Algorithm - rehedge - rehedging 51 contracts</t>
  </si>
  <si>
    <t>2015-2-11 11:16:45.207: Algortihm - rehedge - inside the loop</t>
  </si>
  <si>
    <t>2015-2-11 11:16:45.207: Algorithm - rehedge - trying to trade BUT contracts is 51 and direction indicator is -1</t>
  </si>
  <si>
    <t>2015-2-11 11:16:45.207: Algorithm - updatePortfolio - haveAllDetails is True</t>
  </si>
  <si>
    <t>2015-2-11 11:16:45.239: Algorithm - FindNextStrikes - price is 1.52855 nextStrikeUp/Down 1.53/1.525</t>
  </si>
  <si>
    <t>2015-2-11 11:16:45.239: Algorithm - getPortfolioForwardDelta - required deltas is 130 currentHedgePosition is 79</t>
  </si>
  <si>
    <t>2015-2-11 11:16:45.239: Algorithm - getHedgeShortfall - required deltas is 130 price is 1.52845 currentHedgePositionDeltas is 79</t>
  </si>
  <si>
    <t>2015-2-11 11:16:45.239: Algorithm - processTransitionPoint - nextUpper/LowerStrikes are 1.53/1.525 requiredDeltas/currentPosition/currentHedgeShortfall/direction/transitionPrice are 130/79/51/-1/1.52845</t>
  </si>
  <si>
    <t>2015-2-11 11:16:45.239: TransitionLogger - processTransitionpoint - checking transition - currentHedgeShortfall is 51</t>
  </si>
  <si>
    <t>2015-2-11 11:16:45.239: Algorithm - rehedge - rehedging 51 contracts</t>
  </si>
  <si>
    <t>2015-2-11 11:16:45.239: Algortihm - rehedge - inside the loop</t>
  </si>
  <si>
    <t>2015-2-11 11:16:45.239: Algorithm - rehedge - trying to trade BUT contracts is 51 and direction indicator is -1</t>
  </si>
  <si>
    <t>2015-2-11 11:16:45.239: Algorithm - updatePortfolio - haveAllDetails is True</t>
  </si>
  <si>
    <t>2015-2-11 11:16:45.301: Algorithm - FindNextStrikes - price is 1.52855 nextStrikeUp/Down 1.53/1.525</t>
  </si>
  <si>
    <t>2015-2-11 11:16:45.301: Algorithm - getPortfolioForwardDelta - required deltas is 130 currentHedgePosition is 79</t>
  </si>
  <si>
    <t>2015-2-11 11:16:45.301: Algorithm - getHedgeShortfall - required deltas is 130 price is 1.52845 currentHedgePositionDeltas is 79</t>
  </si>
  <si>
    <t>2015-2-11 11:16:45.301: Algorithm - processTransitionPoint - nextUpper/LowerStrikes are 1.53/1.525 requiredDeltas/currentPosition/currentHedgeShortfall/direction/transitionPrice are 130/79/51/-1/1.52845</t>
  </si>
  <si>
    <t>2015-2-11 11:16:45.301: TransitionLogger - processTransitionpoint - checking transition - currentHedgeShortfall is 51</t>
  </si>
  <si>
    <t>2015-2-11 11:16:45.301: Algorithm - rehedge - rehedging 51 contracts</t>
  </si>
  <si>
    <t>2015-2-11 11:16:45.301: Algortihm - rehedge - inside the loop</t>
  </si>
  <si>
    <t>2015-2-11 11:16:45.301: Algorithm - rehedge - trying to trade BUT contracts is 51 and direction indicator is -1</t>
  </si>
  <si>
    <t>2015-2-11 11:16:45.301: Algorithm - updatePortfolio - haveAllDetails is True</t>
  </si>
  <si>
    <t>2015-2-11 11:16:45.379: Algorithm - FindNextStrikes - price is 1.52855 nextStrikeUp/Down 1.53/1.525</t>
  </si>
  <si>
    <t>2015-2-11 11:16:45.379: Algorithm - getPortfolioForwardDelta - required deltas is 130 currentHedgePosition is 79</t>
  </si>
  <si>
    <t>2015-2-11 11:16:45.379: Algorithm - getHedgeShortfall - required deltas is 130 price is 1.52845 currentHedgePositionDeltas is 79</t>
  </si>
  <si>
    <t>2015-2-11 11:16:45.379: Algorithm - processTransitionPoint - nextUpper/LowerStrikes are 1.53/1.525 requiredDeltas/currentPosition/currentHedgeShortfall/direction/transitionPrice are 130/79/51/-1/1.52845</t>
  </si>
  <si>
    <t>2015-2-11 11:16:45.379: TransitionLogger - processTransitionpoint - checking transition - currentHedgeShortfall is 51</t>
  </si>
  <si>
    <t>2015-2-11 11:16:45.379: Algorithm - rehedge - rehedging 51 contracts</t>
  </si>
  <si>
    <t>2015-2-11 11:16:45.379: Algortihm - rehedge - inside the loop</t>
  </si>
  <si>
    <t>2015-2-11 11:16:45.379: Algorithm - rehedge - trying to trade BUT contracts is 51 and direction indicator is -1</t>
  </si>
  <si>
    <t>2015-2-11 11:16:45.379: Algorithm - updatePortfolio - haveAllDetails is True</t>
  </si>
  <si>
    <t>2015-2-11 11:16:45.410: Algorithm - FindNextStrikes - price is 1.52855 nextStrikeUp/Down 1.53/1.525</t>
  </si>
  <si>
    <t>2015-2-11 11:16:45.410: Algorithm - getPortfolioForwardDelta - required deltas is 130 currentHedgePosition is 79</t>
  </si>
  <si>
    <t>2015-2-11 11:16:45.410: Algorithm - getHedgeShortfall - required deltas is 130 price is 1.52845 currentHedgePositionDeltas is 79</t>
  </si>
  <si>
    <t>2015-2-11 11:16:45.410: Algorithm - processTransitionPoint - nextUpper/LowerStrikes are 1.53/1.525 requiredDeltas/currentPosition/currentHedgeShortfall/direction/transitionPrice are 130/79/51/-1/1.52845</t>
  </si>
  <si>
    <t>2015-2-11 11:16:45.410: TransitionLogger - processTransitionpoint - checking transition - currentHedgeShortfall is 51</t>
  </si>
  <si>
    <t>2015-2-11 11:16:45.410: Algorithm - rehedge - rehedging 51 contracts</t>
  </si>
  <si>
    <t>2015-2-11 11:16:45.410: Algortihm - rehedge - inside the loop</t>
  </si>
  <si>
    <t>2015-2-11 11:16:45.410: Algorithm - rehedge - trying to trade BUT contracts is 51 and direction indicator is -1</t>
  </si>
  <si>
    <t>2015-2-11 11:16:45.426: Algorithm - updatePortfolio - haveAllDetails is True</t>
  </si>
  <si>
    <t>2015-2-11 11:16:45.475: Algorithm - FindNextStrikes - price is 1.52855 nextStrikeUp/Down 1.53/1.525</t>
  </si>
  <si>
    <t>2015-2-11 11:16:45.475: Algorithm - getPortfolioForwardDelta - required deltas is 130 currentHedgePosition is 79</t>
  </si>
  <si>
    <t>2015-2-11 11:16:45.475: Algorithm - getHedgeShortfall - required deltas is 130 price is 1.52845 currentHedgePositionDeltas is 79</t>
  </si>
  <si>
    <t>2015-2-11 11:16:45.475: Algorithm - processTransitionPoint - nextUpper/LowerStrikes are 1.53/1.525 requiredDeltas/currentPosition/currentHedgeShortfall/direction/transitionPrice are 130/79/51/-1/1.52845</t>
  </si>
  <si>
    <t>2015-2-11 11:16:45.475: TransitionLogger - processTransitionpoint - checking transition - currentHedgeShortfall is 51</t>
  </si>
  <si>
    <t>2015-2-11 11:16:45.475: Algorithm - rehedge - rehedging 51 contracts</t>
  </si>
  <si>
    <t>2015-2-11 11:16:45.475: Algortihm - rehedge - inside the loop</t>
  </si>
  <si>
    <t>2015-2-11 11:16:45.475: Algorithm - rehedge - trying to trade BUT contracts is 51 and direction indicator is -1</t>
  </si>
  <si>
    <t>2015-2-11 11:16:45.475: Algorithm - updatePortfolio - haveAllDetails is True</t>
  </si>
  <si>
    <t>2015-2-11 11:16:45.537: Algorithm - FindNextStrikes - price is 1.52855 nextStrikeUp/Down 1.53/1.525</t>
  </si>
  <si>
    <t>2015-2-11 11:16:45.537: Algorithm - getPortfolioForwardDelta - required deltas is 130 currentHedgePosition is 79</t>
  </si>
  <si>
    <t>2015-2-11 11:16:45.537: Algorithm - getHedgeShortfall - required deltas is 130 price is 1.52845 currentHedgePositionDeltas is 79</t>
  </si>
  <si>
    <t>2015-2-11 11:16:45.537: Algorithm - processTransitionPoint - nextUpper/LowerStrikes are 1.53/1.525 requiredDeltas/currentPosition/currentHedgeShortfall/direction/transitionPrice are 130/79/51/-1/1.52845</t>
  </si>
  <si>
    <t>2015-2-11 11:16:45.537: TransitionLogger - processTransitionpoint - checking transition - currentHedgeShortfall is 51</t>
  </si>
  <si>
    <t>2015-2-11 11:16:45.537: Algorithm - rehedge - rehedging 51 contracts</t>
  </si>
  <si>
    <t>2015-2-11 11:16:45.537: Algortihm - rehedge - inside the loop</t>
  </si>
  <si>
    <t>2015-2-11 11:16:45.537: Algorithm - rehedge - trying to trade BUT contracts is 51 and direction indicator is -1</t>
  </si>
  <si>
    <t>2015-2-11 11:16:45.537: Algorithm - updatePortfolio - haveAllDetails is True</t>
  </si>
  <si>
    <t>2015-2-11 11:16:45.568: Algorithm - FindNextStrikes - price is 1.52855 nextStrikeUp/Down 1.53/1.525</t>
  </si>
  <si>
    <t>2015-2-11 11:16:45.568: Algorithm - getPortfolioForwardDelta - required deltas is 130 currentHedgePosition is 79</t>
  </si>
  <si>
    <t>2015-2-11 11:16:45.568: Algorithm - getHedgeShortfall - required deltas is 130 price is 1.52845 currentHedgePositionDeltas is 79</t>
  </si>
  <si>
    <t>2015-2-11 11:16:45.568: Algorithm - processTransitionPoint - nextUpper/LowerStrikes are 1.53/1.525 requiredDeltas/currentPosition/currentHedgeShortfall/direction/transitionPrice are 130/79/51/-1/1.52845</t>
  </si>
  <si>
    <t>2015-2-11 11:16:45.568: TransitionLogger - processTransitionpoint - checking transition - currentHedgeShortfall is 51</t>
  </si>
  <si>
    <t>2015-2-11 11:16:45.568: Algorithm - rehedge - rehedging 51 contracts</t>
  </si>
  <si>
    <t>2015-2-11 11:16:45.568: Algortihm - rehedge - inside the loop</t>
  </si>
  <si>
    <t>2015-2-11 11:16:45.568: Algorithm - rehedge - trying to trade BUT contracts is 51 and direction indicator is -1</t>
  </si>
  <si>
    <t>2015-2-11 11:16:45.568: Algorithm - updatePortfolio - haveAllDetails is True</t>
  </si>
  <si>
    <t>2015-2-11 11:16:45.709: Algorithm - rehedge - rehedging 51 contracts</t>
  </si>
  <si>
    <t>2015-2-11 11:16:45.709: Algortihm - rehedge - inside the loop</t>
  </si>
  <si>
    <t>2015-2-11 11:16:45.709: Algorithm - rehedge - trying to trade BUT contracts is 51 and direction indicator is -1</t>
  </si>
  <si>
    <t>2015-2-11 11:16:45.709: OrderManager - cancelOrder - cancelling order id 9792</t>
  </si>
  <si>
    <t>2015-2-11 11:16:45.709: OrderManager - PlaceOrder - id 9793 workingQty -1819</t>
  </si>
  <si>
    <t>2015-2-11 11:16:45.709: OrderManager - sendOrder - exiting place order id 9793 BUY 14 1.5314  - workingQty -1819 currentPosition is 79 workingOrderCount is -59</t>
  </si>
  <si>
    <t>2015-2-11 11:16:45.709: OrderManager - createOrder - exiting without creating order - did not have validID</t>
  </si>
  <si>
    <t>2015-2-11 11:16:47.456: Algorithm - rehedge - rehedging 51 contracts</t>
  </si>
  <si>
    <t>2015-2-11 11:16:47.456: Algortihm - rehedge - inside the loop</t>
  </si>
  <si>
    <t>2015-2-11 11:16:47.456: Algorithm - rehedge - trying to trade BUT contracts is 51 and direction indicator is -1</t>
  </si>
  <si>
    <t>2015-2-11 11:16:47.456: OrderManager - createOrder - exiting without creating order - did not have validID</t>
  </si>
  <si>
    <t>2015-2-11 11:16:47.565: Algorithm - rehedge - rehedging 51 contracts</t>
  </si>
  <si>
    <t>2015-2-11 11:16:47.565: Algortihm - rehedge - inside the loop</t>
  </si>
  <si>
    <t>2015-2-11 11:16:47.565: Algorithm - rehedge - trying to trade BUT contracts is 51 and direction indicator is -1</t>
  </si>
  <si>
    <t>2015-2-11 11:16:47.581: OrderManager - createOrder - exiting without creating order - did not have validID</t>
  </si>
  <si>
    <t>2015-2-11 11:16:47.986: RTWSControl - nextValidId - entering nextValidId id is 9794</t>
  </si>
  <si>
    <t>2015-2-11 11:16:48.17: RTWSControl - orderStatus -  entering orderStatus id is 9792 status is Cancelled</t>
  </si>
  <si>
    <t>2015-2-11 11:16:48.33: OrderManager - UpdateOrderStatus - id 9792 Setting status to Cancelled workingOrderCount is now -59 workingQty -1819</t>
  </si>
  <si>
    <t>2015-2-11 11:16:48.33: RTWSControl - OrderStatus - Got OrderStatus Message id:9792 status: Cancelled filled: 0</t>
  </si>
  <si>
    <t>2015-2-11 11:16:48.33: RTWSControl - OrderStatus - exiting orderStatus</t>
  </si>
  <si>
    <t>2015-2-11 11:16:48.33: RTWSControl - errMsg - got error message 202:Order Canceled - reason:with id 9792</t>
  </si>
  <si>
    <t>2015-2-11 11:16:48.33: OrderManager - canceledOrder - cleaning up after canceled order 9792BEWARE UNACCOUNTED FOR EXECUTIONS!!!</t>
  </si>
  <si>
    <t>2015-2-11 11:16:48.33: OrderManager - terminateOrder - cleaning up after Canceled 9792  order was supposed to BUY 53 1.5442 STP LMT workingQty/OrderCount now -1872/-60</t>
  </si>
  <si>
    <t>2015-2-11 11:16:48.64: openOrderEx - I am here</t>
  </si>
  <si>
    <t>2015-2-11 11:16:48.95: RTWSControl - orderStatus -  entering orderStatus id is 9793 status is PreSubmitted</t>
  </si>
  <si>
    <t>2015-2-11 11:16:48.95: OrderManager - UpdateOrderStatus - id 9793 Setting status to PreSubmitted workingOrderCount is now -60 workingQty -1872</t>
  </si>
  <si>
    <t>2015-2-11 11:16:48.95: RTWSControl - OrderStatus - Got OrderStatus Message id:9793 status: PreSubmitted filled: 0</t>
  </si>
  <si>
    <t>2015-2-11 11:16:48.95: RTWSControl - OrderStatus - exiting orderStatus</t>
  </si>
  <si>
    <t>2015-2-11 11:16:50.300: Algorithm - rehedge - rehedging 51 contracts</t>
  </si>
  <si>
    <t>2015-2-11 11:16:50.300: Algortihm - rehedge - inside the loop</t>
  </si>
  <si>
    <t>2015-2-11 11:16:50.301: Algorithm - rehedge - trying to trade BUT contracts is 51 and direction indicator is -1</t>
  </si>
  <si>
    <t>2015-2-11 11:16:50.305: OrderManager - PlaceOrder - id 9794 workingQty -1886</t>
  </si>
  <si>
    <t>2015-2-11 11:16:50.309: OrderManager - sendOrder - exiting place order id 9794 SELL 14 1.5255  - workingQty -1886 currentPosition is 79 workingOrderCount is -59</t>
  </si>
  <si>
    <t>2015-2-11 11:16:50.496: RTWSControl - nextValidId - entering nextValidId id is 9795</t>
  </si>
  <si>
    <t>2015-2-11 11:16:50.576: openOrderEx - I am here</t>
  </si>
  <si>
    <t>2015-2-11 11:16:50.603: RTWSControl - orderStatus -  entering orderStatus id is 9794 status is PreSubmitted</t>
  </si>
  <si>
    <t>2015-2-11 11:16:50.605: OrderManager - UpdateOrderStatus - id 9794 Setting status to PreSubmitted workingOrderCount is now -59 workingQty -1886</t>
  </si>
  <si>
    <t>2015-2-11 11:16:50.609: RTWSControl - OrderStatus - Got OrderStatus Message id:9794 status: PreSubmitted filled: 0</t>
  </si>
  <si>
    <t>2015-2-11 11:16:50.610: RTWSControl - OrderStatus - exiting orderStatus</t>
  </si>
  <si>
    <t>2015-2-11 11:16:52.104: Algorithm - rehedge - rehedging 51 contracts</t>
  </si>
  <si>
    <t>2015-2-11 11:16:52.105: Algortihm - rehedge - inside the loop</t>
  </si>
  <si>
    <t>2015-2-11 11:16:52.107: Algorithm - rehedge - trying to trade BUT contracts is 51 and direction indicator is -1</t>
  </si>
  <si>
    <t>2015-2-11 11:16:53.352: Algorithm - rehedge - rehedging 51 contracts</t>
  </si>
  <si>
    <t>2015-2-11 11:16:53.352: Algortihm - rehedge - inside the loop</t>
  </si>
  <si>
    <t>2015-2-11 11:16:53.352: OrderManager - PlaceOrder - id 9795 workingQty -1881</t>
  </si>
  <si>
    <t>2015-2-11 11:16:53.352: OrderManager - sendOrder - exiting place order id 9795 BUY 5 1.5287  - workingQty -1881 currentPosition is 79 workingOrderCount is -58</t>
  </si>
  <si>
    <t>2015-2-11 11:16:53.352: Algorithm - rehedge - placing an order - orderSize is 5 workingQty is -1881 working order count -58</t>
  </si>
  <si>
    <t>2015-2-11 11:16:53.681: RTWSControl - nextValidId - entering nextValidId id is 9796</t>
  </si>
  <si>
    <t>2015-2-11 11:16:53.774: openOrderEx - I am here</t>
  </si>
  <si>
    <t>2015-2-11 11:16:53.806: RTWSControl - orderStatus -  entering orderStatus id is 9795 status is Submitted</t>
  </si>
  <si>
    <t>2015-2-11 11:16:53.806: OrderManager - UpdateOrderStatus - id 9795 Setting status to Submitted workingOrderCount is now -58 workingQty -1881</t>
  </si>
  <si>
    <t>2015-2-11 11:16:53.806: RTWSControl - OrderStatus - Got OrderStatus Message id:9795 status: Submitted filled: 0</t>
  </si>
  <si>
    <t>2015-2-11 11:16:53.806: RTWSControl - OrderStatus - exiting orderStatus</t>
  </si>
  <si>
    <t>2015-2-11 11:16:57.952: Algorithm - FindNextStrikes - price is 1.52875 nextStrikeUp/Down 1.53/1.525</t>
  </si>
  <si>
    <t>2015-2-11 11:16:57.952: Algorithm - getPortfolioForwardDelta - required deltas is 130 currentHedgePosition is 79</t>
  </si>
  <si>
    <t>2015-2-11 11:16:57.952: Algorithm - getHedgeShortfall - required deltas is 130 price is 1.52885 currentHedgePositionDeltas is 79</t>
  </si>
  <si>
    <t>2015-2-11 11:16:57.952: Algorithm - processTransitionPoint - nextUpper/LowerStrikes are 1.53/1.525 requiredDeltas/currentPosition/currentHedgeShortfall/direction/transitionPrice are 130/79/51/1/1.52885</t>
  </si>
  <si>
    <t>2015-2-11 11:16:57.952: TransitionLogger - processTransitionpoint - checking transition - currentHedgeShortfall is 51</t>
  </si>
  <si>
    <t>2015-2-11 11:16:57.952: Algorithm - rehedge - rehedging 51 contracts</t>
  </si>
  <si>
    <t>2015-2-11 11:16:57.952: Algorithm - rehedge - Need to place order but already have a working order - workingQty is -1881 working order count -58</t>
  </si>
  <si>
    <t>2015-2-11 11:16:57.952: Algorithm - updatePortfolio - haveAllDetails is True</t>
  </si>
  <si>
    <t>2015-2-11 11:16:57.999: Algorithm - FindNextStrikes - price is 1.52875 nextStrikeUp/Down 1.53/1.525</t>
  </si>
  <si>
    <t>2015-2-11 11:16:57.999: Algorithm - getPortfolioForwardDelta - required deltas is 130 currentHedgePosition is 79</t>
  </si>
  <si>
    <t>2015-2-11 11:16:57.999: Algorithm - getHedgeShortfall - required deltas is 130 price is 1.52885 currentHedgePositionDeltas is 79</t>
  </si>
  <si>
    <t>2015-2-11 11:16:57.999: Algorithm - processTransitionPoint - nextUpper/LowerStrikes are 1.53/1.525 requiredDeltas/currentPosition/currentHedgeShortfall/direction/transitionPrice are 130/79/51/1/1.52885</t>
  </si>
  <si>
    <t>2015-2-11 11:16:57.999: TransitionLogger - processTransitionpoint - checking transition - currentHedgeShortfall is 51</t>
  </si>
  <si>
    <t>2015-2-11 11:16:57.999: Algorithm - rehedge - rehedging 51 contracts</t>
  </si>
  <si>
    <t>2015-2-11 11:16:57.999: Algorithm - rehedge - Need to place order but already have a working order - workingQty is -1881 working order count -58</t>
  </si>
  <si>
    <t>2015-2-11 11:16:57.999: Algorithm - updatePortfolio - haveAllDetails is True</t>
  </si>
  <si>
    <t>2015-2-11 11:16:58.30: Algorithm - FindNextStrikes - price is 1.52875 nextStrikeUp/Down 1.53/1.525</t>
  </si>
  <si>
    <t>2015-2-11 11:16:58.30: Algorithm - getPortfolioForwardDelta - required deltas is 130 currentHedgePosition is 79</t>
  </si>
  <si>
    <t>2015-2-11 11:16:58.30: Algorithm - getHedgeShortfall - required deltas is 130 price is 1.52885 currentHedgePositionDeltas is 79</t>
  </si>
  <si>
    <t>2015-2-11 11:16:58.30: Algorithm - processTransitionPoint - nextUpper/LowerStrikes are 1.53/1.525 requiredDeltas/currentPosition/currentHedgeShortfall/direction/transitionPrice are 130/79/51/1/1.52885</t>
  </si>
  <si>
    <t>2015-2-11 11:16:58.30: TransitionLogger - processTransitionpoint - checking transition - currentHedgeShortfall is 51</t>
  </si>
  <si>
    <t>2015-2-11 11:16:58.30: Algorithm - rehedge - rehedging 51 contracts</t>
  </si>
  <si>
    <t>2015-2-11 11:16:58.30: Algorithm - rehedge - Need to place order but already have a working order - workingQty is -1881 working order count -58</t>
  </si>
  <si>
    <t>2015-2-11 11:16:58.30: Algorithm - updatePortfolio - haveAllDetails is True</t>
  </si>
  <si>
    <t>2015-2-11 11:16:58.77: Algorithm - FindNextStrikes - price is 1.52875 nextStrikeUp/Down 1.53/1.525</t>
  </si>
  <si>
    <t>2015-2-11 11:16:58.77: Algorithm - getPortfolioForwardDelta - required deltas is 130 currentHedgePosition is 79</t>
  </si>
  <si>
    <t>2015-2-11 11:16:58.77: Algorithm - getHedgeShortfall - required deltas is 130 price is 1.52885 currentHedgePositionDeltas is 79</t>
  </si>
  <si>
    <t>2015-2-11 11:16:58.77: Algorithm - processTransitionPoint - nextUpper/LowerStrikes are 1.53/1.525 requiredDeltas/currentPosition/currentHedgeShortfall/direction/transitionPrice are 130/79/51/1/1.52885</t>
  </si>
  <si>
    <t>2015-2-11 11:16:58.77: TransitionLogger - processTransitionpoint - checking transition - currentHedgeShortfall is 51</t>
  </si>
  <si>
    <t>2015-2-11 11:16:58.77: Algorithm - rehedge - rehedging 51 contracts</t>
  </si>
  <si>
    <t>2015-2-11 11:16:58.77: Algorithm - rehedge - Need to place order but already have a working order - workingQty is -1881 working order count -58</t>
  </si>
  <si>
    <t>2015-2-11 11:16:58.77: Algorithm - updatePortfolio - haveAllDetails is True</t>
  </si>
  <si>
    <t>2015-2-11 11:16:58.139: Algorithm - FindNextStrikes - price is 1.52875 nextStrikeUp/Down 1.53/1.525</t>
  </si>
  <si>
    <t>2015-2-11 11:16:58.139: Algorithm - getPortfolioForwardDelta - required deltas is 130 currentHedgePosition is 79</t>
  </si>
  <si>
    <t>2015-2-11 11:16:58.139: Algorithm - getHedgeShortfall - required deltas is 130 price is 1.52885 currentHedgePositionDeltas is 79</t>
  </si>
  <si>
    <t>2015-2-11 11:16:58.139: Algorithm - processTransitionPoint - nextUpper/LowerStrikes are 1.53/1.525 requiredDeltas/currentPosition/currentHedgeShortfall/direction/transitionPrice are 130/79/51/1/1.52885</t>
  </si>
  <si>
    <t>2015-2-11 11:16:58.139: TransitionLogger - processTransitionpoint - checking transition - currentHedgeShortfall is 51</t>
  </si>
  <si>
    <t>2015-2-11 11:16:58.139: Algorithm - rehedge - rehedging 51 contracts</t>
  </si>
  <si>
    <t>2015-2-11 11:16:58.139: Algorithm - rehedge - Need to place order but already have a working order - workingQty is -1881 working order count -58</t>
  </si>
  <si>
    <t>2015-2-11 11:16:58.139: Algorithm - updatePortfolio - haveAllDetails is True</t>
  </si>
  <si>
    <t>2015-2-11 11:16:58.201: Algorithm - FindNextStrikes - price is 1.52875 nextStrikeUp/Down 1.53/1.525</t>
  </si>
  <si>
    <t>2015-2-11 11:16:58.201: Algorithm - getPortfolioForwardDelta - required deltas is 130 currentHedgePosition is 79</t>
  </si>
  <si>
    <t>2015-2-11 11:16:58.201: Algorithm - getHedgeShortfall - required deltas is 130 price is 1.52885 currentHedgePositionDeltas is 79</t>
  </si>
  <si>
    <t>2015-2-11 11:16:58.201: Algorithm - processTransitionPoint - nextUpper/LowerStrikes are 1.53/1.525 requiredDeltas/currentPosition/currentHedgeShortfall/direction/transitionPrice are 130/79/51/1/1.52885</t>
  </si>
  <si>
    <t>2015-2-11 11:16:58.201: TransitionLogger - processTransitionpoint - checking transition - currentHedgeShortfall is 51</t>
  </si>
  <si>
    <t>2015-2-11 11:16:58.201: Algorithm - rehedge - rehedging 51 contracts</t>
  </si>
  <si>
    <t>2015-2-11 11:16:58.201: Algorithm - rehedge - Need to place order but already have a working order - workingQty is -1881 working order count -58</t>
  </si>
  <si>
    <t>2015-2-11 11:16:58.201: Algorithm - updatePortfolio - haveAllDetails is True</t>
  </si>
  <si>
    <t>2015-2-11 11:16:58.248: Algorithm - FindNextStrikes - price is 1.52875 nextStrikeUp/Down 1.53/1.525</t>
  </si>
  <si>
    <t>2015-2-11 11:16:58.248: Algorithm - getPortfolioForwardDelta - required deltas is 130 currentHedgePosition is 79</t>
  </si>
  <si>
    <t>2015-2-11 11:16:58.248: Algorithm - getHedgeShortfall - required deltas is 130 price is 1.52885 currentHedgePositionDeltas is 79</t>
  </si>
  <si>
    <t>2015-2-11 11:16:58.248: Algorithm - processTransitionPoint - nextUpper/LowerStrikes are 1.53/1.525 requiredDeltas/currentPosition/currentHedgeShortfall/direction/transitionPrice are 130/79/51/1/1.52885</t>
  </si>
  <si>
    <t>2015-2-11 11:16:58.248: TransitionLogger - processTransitionpoint - checking transition - currentHedgeShortfall is 51</t>
  </si>
  <si>
    <t>2015-2-11 11:16:58.248: Algorithm - rehedge - rehedging 51 contracts</t>
  </si>
  <si>
    <t>2015-2-11 11:16:58.248: Algorithm - rehedge - Need to place order but already have a working order - workingQty is -1881 working order count -58</t>
  </si>
  <si>
    <t>2015-2-11 11:16:58.248: Algorithm - updatePortfolio - haveAllDetails is True</t>
  </si>
  <si>
    <t>2015-2-11 11:16:58.311: Algorithm - FindNextStrikes - price is 1.52875 nextStrikeUp/Down 1.53/1.525</t>
  </si>
  <si>
    <t>2015-2-11 11:16:58.311: Algorithm - getPortfolioForwardDelta - required deltas is 130 currentHedgePosition is 79</t>
  </si>
  <si>
    <t>2015-2-11 11:16:58.311: Algorithm - getHedgeShortfall - required deltas is 130 price is 1.52885 currentHedgePositionDeltas is 79</t>
  </si>
  <si>
    <t>2015-2-11 11:16:58.311: Algorithm - processTransitionPoint - nextUpper/LowerStrikes are 1.53/1.525 requiredDeltas/currentPosition/currentHedgeShortfall/direction/transitionPrice are 130/79/51/1/1.52885</t>
  </si>
  <si>
    <t>2015-2-11 11:16:58.311: TransitionLogger - processTransitionpoint - checking transition - currentHedgeShortfall is 51</t>
  </si>
  <si>
    <t>2015-2-11 11:16:58.311: Algorithm - rehedge - rehedging 51 contracts</t>
  </si>
  <si>
    <t>2015-2-11 11:16:58.311: Algorithm - rehedge - Need to place order but already have a working order - workingQty is -1881 working order count -58</t>
  </si>
  <si>
    <t>2015-2-11 11:16:58.311: Algorithm - updatePortfolio - haveAllDetails is True</t>
  </si>
  <si>
    <t>2015-2-11 11:16:58.373: Algorithm - FindNextStrikes - price is 1.52875 nextStrikeUp/Down 1.53/1.525</t>
  </si>
  <si>
    <t>2015-2-11 11:16:58.373: Algorithm - getPortfolioForwardDelta - required deltas is 130 currentHedgePosition is 79</t>
  </si>
  <si>
    <t>2015-2-11 11:16:58.373: Algorithm - getHedgeShortfall - required deltas is 130 price is 1.52885 currentHedgePositionDeltas is 79</t>
  </si>
  <si>
    <t>2015-2-11 11:16:58.373: Algorithm - processTransitionPoint - nextUpper/LowerStrikes are 1.53/1.525 requiredDeltas/currentPosition/currentHedgeShortfall/direction/transitionPrice are 130/79/51/1/1.52885</t>
  </si>
  <si>
    <t>2015-2-11 11:16:58.373: TransitionLogger - processTransitionpoint - checking transition - currentHedgeShortfall is 51</t>
  </si>
  <si>
    <t>2015-2-11 11:16:58.373: Algorithm - rehedge - rehedging 51 contracts</t>
  </si>
  <si>
    <t>2015-2-11 11:16:58.373: Algorithm - rehedge - Need to place order but already have a working order - workingQty is -1881 working order count -58</t>
  </si>
  <si>
    <t>2015-2-11 11:16:58.373: Algorithm - updatePortfolio - haveAllDetails is True</t>
  </si>
  <si>
    <t>2015-2-11 11:16:58.404: Algorithm - FindNextStrikes - price is 1.52875 nextStrikeUp/Down 1.53/1.525</t>
  </si>
  <si>
    <t>2015-2-11 11:16:58.404: Algorithm - getPortfolioForwardDelta - required deltas is 130 currentHedgePosition is 79</t>
  </si>
  <si>
    <t>2015-2-11 11:16:58.404: Algorithm - getHedgeShortfall - required deltas is 130 price is 1.52885 currentHedgePositionDeltas is 79</t>
  </si>
  <si>
    <t>2015-2-11 11:16:58.404: Algorithm - processTransitionPoint - nextUpper/LowerStrikes are 1.53/1.525 requiredDeltas/currentPosition/currentHedgeShortfall/direction/transitionPrice are 130/79/51/1/1.52885</t>
  </si>
  <si>
    <t>2015-2-11 11:16:58.404: TransitionLogger - processTransitionpoint - checking transition - currentHedgeShortfall is 51</t>
  </si>
  <si>
    <t>2015-2-11 11:16:58.404: Algorithm - rehedge - rehedging 51 contracts</t>
  </si>
  <si>
    <t>2015-2-11 11:16:58.404: Algorithm - rehedge - Need to place order but already have a working order - workingQty is -1881 working order count -58</t>
  </si>
  <si>
    <t>2015-2-11 11:16:58.404: Algorithm - updatePortfolio - haveAllDetails is True</t>
  </si>
  <si>
    <t>2015-2-11 11:17:39.281: Algorithm - rehedge - rehedging 51 contracts</t>
  </si>
  <si>
    <t>2015-2-11 11:17:39.297: Algorithm - rehedge - Need to place order but already have a working order - workingQty is -1881 working order count -58</t>
  </si>
  <si>
    <t>2015-2-11 11:17:39.359: OrderManager - cancelOrder - cancelling order id 9795</t>
  </si>
  <si>
    <t>2015-2-11 11:17:39.359: Algorithm - checkWorkingOrders - cancelling BUY - orderPrice 1.5287 too far from marketPrice 1.52885</t>
  </si>
  <si>
    <t>2015-2-11 11:17:39.359: Algorithm - rehedge - rehedging 51 contracts</t>
  </si>
  <si>
    <t>2015-2-11 11:17:39.359: Algorithm - rehedge - Need to place order but already have a working order - workingQty is -1881 working order count -58</t>
  </si>
  <si>
    <t>2015-2-11 11:17:39.499: RTWSControl - orderStatus -  entering orderStatus id is 9795 status is Cancelled</t>
  </si>
  <si>
    <t>2015-2-11 11:17:39.499: OrderManager - UpdateOrderStatus - id 9795 Setting status to Cancelled workingOrderCount is now -58 workingQty -1881</t>
  </si>
  <si>
    <t>2015-2-11 11:17:39.515: RTWSControl - OrderStatus - Got OrderStatus Message id:9795 status: Cancelled filled: 0</t>
  </si>
  <si>
    <t>2015-2-11 11:17:39.515: RTWSControl - OrderStatus - exiting orderStatus</t>
  </si>
  <si>
    <t>2015-2-11 11:17:39.515: RTWSControl - errMsg - got error message 202:Order Canceled - reason:with id 9795</t>
  </si>
  <si>
    <t>2015-2-11 11:17:39.515: OrderManager - canceledOrder - cleaning up after canceled order 9795BEWARE UNACCOUNTED FOR EXECUTIONS!!!</t>
  </si>
  <si>
    <t>2015-2-11 11:17:39.531: OrderManager - terminateOrder - cleaning up after Canceled 9795  order was supposed to BUY 5 1.5287 LMT workingQty/OrderCount now -1886/-59</t>
  </si>
  <si>
    <t>2015-2-11 11:17:42.789: Algorithm - rehedge - rehedging 51 contracts</t>
  </si>
  <si>
    <t>2015-2-11 11:17:42.790: Algortihm - rehedge - inside the loop</t>
  </si>
  <si>
    <t>2015-2-11 11:17:42.791: OrderManager - PlaceOrder - id 9796 workingQty -1881</t>
  </si>
  <si>
    <t>2015-2-11 11:17:42.793: OrderManager - sendOrder - exiting place order id 9796 BUY 5 1.5288  - workingQty -1881 currentPosition is 79 workingOrderCount is -58</t>
  </si>
  <si>
    <t>2015-2-11 11:17:42.795: Algorithm - rehedge - placing an order - orderSize is 5 workingQty is -1881 working order count -58</t>
  </si>
  <si>
    <t>2015-2-11 11:17:42.830: OrderManager - cancelOrder - cancelling order id 9796</t>
  </si>
  <si>
    <t>2015-2-11 11:17:42.831: Algorithm - checkWorkingOrders - cancelling BUY - orderPrice 1.5288 too far from marketPrice 1.52895</t>
  </si>
  <si>
    <t>2015-2-11 11:17:42.833: Algorithm - rehedge - rehedging 51 contracts</t>
  </si>
  <si>
    <t>2015-2-11 11:17:42.834: Algorithm - rehedge - Need to place order but already have a working order - workingQty is -1881 working order count -58</t>
  </si>
  <si>
    <t>2015-2-11 11:17:43.38: RTWSControl - nextValidId - entering nextValidId id is 9797</t>
  </si>
  <si>
    <t>2015-2-11 11:17:43.97: openOrderEx - I am here</t>
  </si>
  <si>
    <t>2015-2-11 11:17:43.106: RTWSControl - orderStatus -  entering orderStatus id is 9796 status is PendingCancel</t>
  </si>
  <si>
    <t>2015-2-11 11:17:43.108: OrderManager - UpdateOrderStatus - id 9796 Setting status to PendingCancel workingOrderCount is now -58 workingQty -1881</t>
  </si>
  <si>
    <t>2015-2-11 11:17:43.112: RTWSControl - OrderStatus - Got OrderStatus Message id:9796 status: PendingCancel filled: 0</t>
  </si>
  <si>
    <t>2015-2-11 11:17:43.113: RTWSControl - OrderStatus - exiting orderStatus</t>
  </si>
  <si>
    <t>2015-2-11 11:17:43.143: RTWSControl - orderStatus -  entering orderStatus id is 9796 status is Cancelled</t>
  </si>
  <si>
    <t>2015-2-11 11:17:43.145: OrderManager - UpdateOrderStatus - id 9796 Setting status to Cancelled workingOrderCount is now -58 workingQty -1881</t>
  </si>
  <si>
    <t>2015-2-11 11:17:43.148: RTWSControl - OrderStatus - Got OrderStatus Message id:9796 status: Cancelled filled: 0</t>
  </si>
  <si>
    <t>2015-2-11 11:17:43.150: RTWSControl - OrderStatus - exiting orderStatus</t>
  </si>
  <si>
    <t>2015-2-11 11:17:43.157: RTWSControl - errMsg - got error message 202:Order Canceled - reason:with id 9796</t>
  </si>
  <si>
    <t>2015-2-11 11:17:43.159: OrderManager - canceledOrder - cleaning up after canceled order 9796BEWARE UNACCOUNTED FOR EXECUTIONS!!!</t>
  </si>
  <si>
    <t>2015-2-11 11:17:43.161: OrderManager - terminateOrder - cleaning up after Canceled 9796  order was supposed to BUY 5 1.5288 LMT workingQty/OrderCount now -1886/-59</t>
  </si>
  <si>
    <t>2015-2-11 11:17:46.552: Algorithm - rehedge - rehedging 51 contracts</t>
  </si>
  <si>
    <t>2015-2-11 11:17:46.567: Algortihm - rehedge - inside the loop</t>
  </si>
  <si>
    <t>2015-2-11 11:17:46.567: OrderManager - PlaceOrder - id 9797 workingQty -1881</t>
  </si>
  <si>
    <t>2015-2-11 11:17:46.567: OrderManager - sendOrder - exiting place order id 9797 BUY 5 1.5289  - workingQty -1881 currentPosition is 79 workingOrderCount is -58</t>
  </si>
  <si>
    <t>2015-2-11 11:17:46.567: Algorithm - rehedge - placing an order - orderSize is 5 workingQty is -1881 working order count -58</t>
  </si>
  <si>
    <t>2015-2-11 11:17:46.645: OrderManager - cancelOrder - cancelling order id 9797</t>
  </si>
  <si>
    <t>2015-2-11 11:17:46.645: Algorithm - checkWorkingOrders - cancelling BUY - orderPrice 1.5289 too far from marketPrice 1.52905</t>
  </si>
  <si>
    <t>2015-2-11 11:17:46.645: Algorithm - rehedge - rehedging 51 contracts</t>
  </si>
  <si>
    <t>2015-2-11 11:17:46.645: Algorithm - rehedge - Need to place order but already have a working order - workingQty is -1881 working order count -58</t>
  </si>
  <si>
    <t>2015-2-11 11:17:47.82: Algorithm - rehedge - rehedging 51 contracts</t>
  </si>
  <si>
    <t>2015-2-11 11:17:47.82: Algorithm - rehedge - Need to place order but already have a working order - workingQty is -1881 working order count -58</t>
  </si>
  <si>
    <t>2015-2-11 11:17:47.715: RTWSControl - nextValidId - entering nextValidId id is 9798</t>
  </si>
  <si>
    <t>2015-2-11 11:17:47.757: openOrderEx - I am here</t>
  </si>
  <si>
    <t>2015-2-11 11:17:47.767: RTWSControl - orderStatus -  entering orderStatus id is 9797 status is PendingCancel</t>
  </si>
  <si>
    <t>2015-2-11 11:17:47.769: OrderManager - UpdateOrderStatus - id 9797 Setting status to PendingCancel workingOrderCount is now -58 workingQty -1881</t>
  </si>
  <si>
    <t>2015-2-11 11:17:47.772: RTWSControl - OrderStatus - Got OrderStatus Message id:9797 status: PendingCancel filled: 0</t>
  </si>
  <si>
    <t>2015-2-11 11:17:47.774: RTWSControl - OrderStatus - exiting orderStatus</t>
  </si>
  <si>
    <t>2015-2-11 11:17:47.794: RTWSControl - orderStatus -  entering orderStatus id is 9797 status is Cancelled</t>
  </si>
  <si>
    <t>2015-2-11 11:17:47.796: OrderManager - UpdateOrderStatus - id 9797 Setting status to Cancelled workingOrderCount is now -58 workingQty -1881</t>
  </si>
  <si>
    <t>2015-2-11 11:17:47.799: RTWSControl - OrderStatus - Got OrderStatus Message id:9797 status: Cancelled filled: 0</t>
  </si>
  <si>
    <t>2015-2-11 11:17:47.801: RTWSControl - OrderStatus - exiting orderStatus</t>
  </si>
  <si>
    <t>2015-2-11 11:17:47.809: RTWSControl - errMsg - got error message 202:Order Canceled - reason:with id 9797</t>
  </si>
  <si>
    <t>2015-2-11 11:17:47.812: OrderManager - canceledOrder - cleaning up after canceled order 9797BEWARE UNACCOUNTED FOR EXECUTIONS!!!</t>
  </si>
  <si>
    <t>2015-2-11 11:17:47.814: OrderManager - terminateOrder - cleaning up after Canceled 9797  order was supposed to BUY 5 1.5289 LMT workingQty/OrderCount now -1886/-59</t>
  </si>
  <si>
    <t>2015-2-11 11:17:48.35: Algorithm - rehedge - rehedging 51 contracts</t>
  </si>
  <si>
    <t>2015-2-11 11:17:48.36: Algortihm - rehedge - inside the loop</t>
  </si>
  <si>
    <t>2015-2-11 11:17:48.37: OrderManager - PlaceOrder - id 9798 workingQty -1881</t>
  </si>
  <si>
    <t>2015-2-11 11:17:48.39: OrderManager - sendOrder - exiting place order id 9798 BUY 5 1.529  - workingQty -1881 currentPosition is 79 workingOrderCount is -58</t>
  </si>
  <si>
    <t>2015-2-11 11:17:48.41: Algorithm - rehedge - placing an order - orderSize is 5 workingQty is -1881 working order count -58</t>
  </si>
  <si>
    <t>2015-2-11 11:17:48.131: RTWSControl - nextValidId - entering nextValidId id is 9799</t>
  </si>
  <si>
    <t>2015-2-11 11:17:48.333: Algorithm - rehedge - rehedging 51 contracts</t>
  </si>
  <si>
    <t>2015-2-11 11:17:48.334: Algorithm - rehedge - Need to place order but already have a working order - workingQty is -1881 working order count -58</t>
  </si>
  <si>
    <t>2015-2-11 11:17:48.416: RTWSControl - execDetails -  entering execDetailsEx execution id is 0001f4e5.54da9c90.01.01 shares/cumQty is 3/3</t>
  </si>
  <si>
    <t>2015-2-11 11:17:48.419: Algorithm - FindNextStrikes - price is 1.529 nextStrikeUp/Down 1.53/1.525</t>
  </si>
  <si>
    <t>2015-2-11 11:17:48.420: Algorithm - getPortfolioForwardDelta - required deltas is 130 currentHedgePosition is 82</t>
  </si>
  <si>
    <t>2015-2-11 11:17:48.422: Algorithm - getHedgeShortfall - required deltas is 130 price is 1.5291 currentHedgePositionDeltas is 82</t>
  </si>
  <si>
    <t>2015-2-11 11:17:48.425: Algorithm - processTransitionPoint - nextUpper/LowerStrikes are 1.53/1.525 requiredDeltas/currentPosition/currentHedgeShortfall/direction/transitionPrice are 130/82/48/1/1.5291</t>
  </si>
  <si>
    <t>2015-2-11 11:17:48.428: TransitionLogger - processTransitionpoint - checking transition - currentHedgeShortfall is 48</t>
  </si>
  <si>
    <t>2015-2-11 11:17:48.430: OrderManager - updateExecution - got a fill for id 9798 qty 3 side BOT price 1.529 - new working order size is -1884 new instrument.qty is 82</t>
  </si>
  <si>
    <t>0001f4e5.54da9c90.01.01</t>
  </si>
  <si>
    <t>20150211  11:17:49</t>
  </si>
  <si>
    <t>2015-2-11 11:17:48.436: OrderManagerView - UpdateExecutionView - entering updateExecutionView  executionId is 0001f4e5.54da9c90.01.01</t>
  </si>
  <si>
    <t>2015-2-11 11:17:48.439: OrderManagerView - updateExecutionView -  exiting UpdateExecutionView</t>
  </si>
  <si>
    <t>2015-2-11 11:17:48.440: RTWSControl - execDetails -  exiting execDetailsEx</t>
  </si>
  <si>
    <t>2015-2-11 11:17:48.441: RTWSControl - execDetails - Got execution Message id:-1</t>
  </si>
  <si>
    <t>2015-2-11 11:17:48.459: openOrderEx - I am here</t>
  </si>
  <si>
    <t>2015-2-11 11:17:48.468: RTWSControl - orderStatus -  entering orderStatus id is 9798 status is PendingSubmit</t>
  </si>
  <si>
    <t>2015-2-11 11:17:48.470: OrderManager - UpdateOrderStatus - id 9798 Setting status to PendingSubmit workingOrderCount is now -58 workingQty -1884</t>
  </si>
  <si>
    <t>2015-2-11 11:17:48.474: RTWSControl - OrderStatus - Got OrderStatus Message id:9798 status: PendingSubmit filled: 3</t>
  </si>
  <si>
    <t>2015-2-11 11:17:48.475: RTWSControl - OrderStatus - exiting orderStatus</t>
  </si>
  <si>
    <t>2015-2-11 11:17:48.486: openOrderEx - I am here</t>
  </si>
  <si>
    <t>2015-2-11 11:17:48.498: RTWSControl - orderStatus -  entering orderStatus id is 9798 status is Submitted</t>
  </si>
  <si>
    <t>2015-2-11 11:17:48.500: OrderManager - UpdateOrderStatus - id 9798 Setting status to Submitted workingOrderCount is now -58 workingQty -1884</t>
  </si>
  <si>
    <t>2015-2-11 11:17:48.503: RTWSControl - OrderStatus - Got OrderStatus Message id:9798 status: Submitted filled: 3</t>
  </si>
  <si>
    <t>2015-2-11 11:17:48.504: RTWSControl - OrderStatus - exiting orderStatus</t>
  </si>
  <si>
    <t>2015-2-11 11:17:48.514: openOrderEx - I am here</t>
  </si>
  <si>
    <t>2015-2-11 11:17:48.524: RTWSControl - orderStatus -  entering orderStatus id is 9798 status is Submitted</t>
  </si>
  <si>
    <t>2015-2-11 11:17:48.526: OrderManager - UpdateOrderStatus - id 9798 Setting status to Submitted workingOrderCount is now -58 workingQty -1884</t>
  </si>
  <si>
    <t>2015-2-11 11:17:48.530: RTWSControl - OrderStatus - Got OrderStatus Message id:9798 status: Submitted filled: 3</t>
  </si>
  <si>
    <t>2015-2-11 11:17:48.531: RTWSControl - OrderStatus - exiting orderStatus</t>
  </si>
  <si>
    <t>2015-2-11 11:17:52.29: Util - CleanOpenOrderView - an error occurred Object variable or With block variable not set</t>
  </si>
  <si>
    <t>2015-2-11 11:17:53.14: Util - CleanOpenOrderView - an error occurred Object variable or With block variable not set</t>
  </si>
  <si>
    <t>2015-2-11 11:18:27.57: Util - flushTransitionFile - an error occurred Object variable or With block variable not set</t>
  </si>
  <si>
    <t>2015-2-11 11:18:27.72: Util - flushTransitionFile - an error occurred Object variable or With block variable not set</t>
  </si>
  <si>
    <t>2015-2-11 11:24:19.833: Main - close files - an error occurred Object variable or With block variable not set</t>
  </si>
  <si>
    <t>AUTOSHAPER_FIRST_ROW</t>
  </si>
  <si>
    <t>AUTOSHAPER_FIRST_COL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</si>
</sst>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  <numFmt numFmtId="178" formatCode="_-* #,##0_-;\-* #,##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4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5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2" xfId="0" applyBorder="1" applyAlignment="1"/>
    <xf numFmtId="0" fontId="0" fillId="6" borderId="7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4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4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2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0" fontId="7" fillId="2" borderId="8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 wrapText="1"/>
    </xf>
    <xf numFmtId="9" fontId="17" fillId="10" borderId="0" xfId="3" applyFont="1" applyFill="1"/>
    <xf numFmtId="0" fontId="7" fillId="2" borderId="0" xfId="0" applyFont="1" applyFill="1" applyBorder="1" applyAlignment="1">
      <alignment horizontal="left" wrapText="1"/>
    </xf>
    <xf numFmtId="0" fontId="18" fillId="6" borderId="15" xfId="0" applyFont="1" applyFill="1" applyBorder="1" applyAlignment="1">
      <alignment horizontal="center"/>
    </xf>
    <xf numFmtId="0" fontId="19" fillId="0" borderId="0" xfId="0" applyFont="1"/>
    <xf numFmtId="0" fontId="18" fillId="6" borderId="0" xfId="0" applyFont="1" applyFill="1" applyBorder="1" applyAlignment="1">
      <alignment horizontal="center"/>
    </xf>
    <xf numFmtId="0" fontId="20" fillId="0" borderId="0" xfId="0" applyFont="1"/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3" xfId="0" applyFont="1" applyFill="1" applyBorder="1" applyAlignment="1" applyProtection="1">
      <alignment horizontal="center" wrapText="1"/>
      <protection locked="0"/>
    </xf>
    <xf numFmtId="0" fontId="6" fillId="4" borderId="12" xfId="0" applyFont="1" applyFill="1" applyBorder="1" applyAlignment="1" applyProtection="1">
      <alignment horizontal="center" wrapText="1"/>
      <protection locked="0"/>
    </xf>
    <xf numFmtId="0" fontId="5" fillId="5" borderId="2" xfId="0" applyFont="1" applyFill="1" applyBorder="1" applyAlignment="1" applyProtection="1">
      <alignment horizontal="center"/>
      <protection locked="0"/>
    </xf>
    <xf numFmtId="0" fontId="5" fillId="5" borderId="3" xfId="0" applyFont="1" applyFill="1" applyBorder="1" applyAlignment="1" applyProtection="1">
      <alignment horizontal="center"/>
      <protection locked="0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0" xfId="0" applyFont="1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2" borderId="1" xfId="0" applyFont="1" applyFill="1" applyBorder="1" applyAlignment="1"/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" fillId="2" borderId="6" xfId="0" applyFont="1" applyFill="1" applyBorder="1" applyAlignment="1"/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  <xf numFmtId="0" fontId="18" fillId="6" borderId="15" xfId="0" applyFont="1" applyFill="1" applyBorder="1" applyAlignment="1">
      <alignment horizontal="center"/>
    </xf>
    <xf numFmtId="178" fontId="17" fillId="10" borderId="0" xfId="2" applyNumberFormat="1" applyFont="1" applyFill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57150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381000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1190625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590551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590551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13</xdr:row>
          <xdr:rowOff>19050</xdr:rowOff>
        </xdr:from>
        <xdr:to>
          <xdr:col>3</xdr:col>
          <xdr:colOff>257175</xdr:colOff>
          <xdr:row>14</xdr:row>
          <xdr:rowOff>47625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1054344</xdr:colOff>
          <xdr:row>0</xdr:row>
          <xdr:rowOff>19050</xdr:rowOff>
        </xdr:from>
        <xdr:to>
          <xdr:col>7</xdr:col>
          <xdr:colOff>589085</xdr:colOff>
          <xdr:row>1</xdr:row>
          <xdr:rowOff>114300</xdr:rowOff>
        </xdr:to>
        <xdr:sp macro="" textlink="">
          <xdr:nvSpPr>
            <xdr:cNvPr id="14347" name="cmbAutoShaper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27"/>
  <sheetViews>
    <sheetView tabSelected="1" zoomScale="65" zoomScaleNormal="65" workbookViewId="0">
      <selection activeCell="E4" sqref="E4"/>
    </sheetView>
  </sheetViews>
  <sheetFormatPr defaultRowHeight="15" x14ac:dyDescent="0.25"/>
  <cols>
    <col min="1" max="1" width="19.28515625" customWidth="1"/>
    <col min="2" max="2" width="9.7109375" customWidth="1"/>
    <col min="3" max="3" width="23.710937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10.140625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6" x14ac:dyDescent="0.25">
      <c r="B1" t="s">
        <v>184</v>
      </c>
      <c r="C1">
        <v>3</v>
      </c>
      <c r="D1" t="s">
        <v>185</v>
      </c>
    </row>
    <row r="5" spans="1:36" x14ac:dyDescent="0.25">
      <c r="A5" s="58" t="s">
        <v>14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AF5" s="35"/>
    </row>
    <row r="6" spans="1:36" x14ac:dyDescent="0.25">
      <c r="A6" s="116" t="s">
        <v>124</v>
      </c>
      <c r="B6" s="116"/>
      <c r="C6" s="116"/>
      <c r="D6" s="116"/>
      <c r="E6" s="116" t="s">
        <v>125</v>
      </c>
      <c r="F6" s="116"/>
      <c r="G6" s="116" t="s">
        <v>126</v>
      </c>
      <c r="H6" s="116"/>
      <c r="I6" s="116" t="s">
        <v>127</v>
      </c>
      <c r="J6" s="116"/>
      <c r="K6" s="116" t="s">
        <v>128</v>
      </c>
      <c r="L6" s="116"/>
      <c r="M6" s="116" t="s">
        <v>129</v>
      </c>
      <c r="N6" s="116"/>
      <c r="O6" s="116"/>
      <c r="P6" s="116"/>
      <c r="Q6" s="116"/>
      <c r="R6" s="116"/>
      <c r="S6" s="116"/>
      <c r="T6" s="116"/>
      <c r="U6" s="59"/>
      <c r="V6" s="59"/>
      <c r="W6" s="59"/>
      <c r="AF6" s="35"/>
    </row>
    <row r="7" spans="1:36" x14ac:dyDescent="0.25">
      <c r="A7" s="117" t="s">
        <v>130</v>
      </c>
      <c r="B7" s="117"/>
      <c r="C7" s="117">
        <v>7497</v>
      </c>
      <c r="D7" s="117"/>
      <c r="E7" s="117">
        <v>7</v>
      </c>
      <c r="F7" s="117"/>
      <c r="G7" s="117">
        <v>5</v>
      </c>
      <c r="H7" s="117"/>
      <c r="I7" s="118">
        <v>0.96388888888888891</v>
      </c>
      <c r="J7" s="119"/>
      <c r="K7" s="114" t="s">
        <v>217</v>
      </c>
      <c r="L7" s="115"/>
      <c r="M7" s="120"/>
      <c r="N7" s="121"/>
      <c r="O7" s="120"/>
      <c r="P7" s="121"/>
      <c r="Q7" s="120"/>
      <c r="R7" s="121"/>
      <c r="S7" s="120"/>
      <c r="T7" s="121"/>
      <c r="U7" s="60"/>
      <c r="V7" s="61"/>
      <c r="W7" s="61"/>
      <c r="AF7" s="35"/>
    </row>
    <row r="11" spans="1:36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8"/>
    </row>
    <row r="12" spans="1:36" ht="23.25" x14ac:dyDescent="0.35">
      <c r="A12" s="126" t="s">
        <v>135</v>
      </c>
      <c r="B12" s="126"/>
      <c r="C12" s="126" t="s">
        <v>136</v>
      </c>
      <c r="D12" s="126"/>
      <c r="E12" s="63" t="s">
        <v>137</v>
      </c>
      <c r="F12" s="63"/>
      <c r="G12" s="126" t="s">
        <v>138</v>
      </c>
      <c r="H12" s="126"/>
      <c r="I12" s="126" t="s">
        <v>139</v>
      </c>
      <c r="J12" s="126"/>
      <c r="K12" s="116" t="s">
        <v>140</v>
      </c>
      <c r="L12" s="116"/>
      <c r="M12" s="116" t="s">
        <v>141</v>
      </c>
      <c r="N12" s="116"/>
      <c r="O12" s="59" t="s">
        <v>142</v>
      </c>
      <c r="P12" s="59"/>
      <c r="Q12" s="59" t="s">
        <v>143</v>
      </c>
      <c r="R12" s="59"/>
      <c r="S12" s="59"/>
      <c r="T12" s="59"/>
      <c r="U12" s="59"/>
      <c r="V12" s="59"/>
      <c r="W12" s="59"/>
      <c r="AB12" s="38"/>
    </row>
    <row r="13" spans="1:36" ht="23.25" x14ac:dyDescent="0.35">
      <c r="A13" s="5">
        <v>985672.57</v>
      </c>
      <c r="B13" s="3"/>
      <c r="C13" s="5">
        <v>535313.57999999996</v>
      </c>
      <c r="D13" s="3">
        <v>535313.57999999996</v>
      </c>
      <c r="E13" s="5">
        <v>535313.57999999996</v>
      </c>
      <c r="F13" s="5"/>
      <c r="G13" s="5">
        <v>330417.89</v>
      </c>
      <c r="H13" s="5"/>
      <c r="I13" s="5">
        <v>-1220</v>
      </c>
      <c r="J13" s="5"/>
      <c r="K13" s="6">
        <v>3925</v>
      </c>
      <c r="L13" s="4"/>
      <c r="M13" s="60" t="s">
        <v>216</v>
      </c>
      <c r="N13" s="61"/>
      <c r="O13" s="60" t="b">
        <v>1</v>
      </c>
      <c r="P13" s="61"/>
      <c r="Q13" s="64"/>
      <c r="R13" s="65"/>
      <c r="S13" s="60"/>
      <c r="T13" s="61"/>
      <c r="U13" s="60"/>
      <c r="V13" s="61"/>
      <c r="W13" s="61"/>
      <c r="Y13" s="38"/>
      <c r="Z13" s="38"/>
      <c r="AA13" s="38"/>
      <c r="AB13" s="38"/>
    </row>
    <row r="14" spans="1:36" ht="16.5" customHeight="1" x14ac:dyDescent="0.3">
      <c r="A14" s="17" t="s">
        <v>154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Y14" s="36"/>
      <c r="Z14" s="42"/>
      <c r="AA14" s="36"/>
      <c r="AB14" s="36"/>
    </row>
    <row r="15" spans="1:36" s="11" customFormat="1" ht="30.75" x14ac:dyDescent="0.3">
      <c r="A15" s="10" t="s">
        <v>0</v>
      </c>
      <c r="B15" s="10" t="s">
        <v>1</v>
      </c>
      <c r="C15" s="10"/>
      <c r="D15" s="10" t="s">
        <v>5</v>
      </c>
      <c r="E15" s="10"/>
      <c r="F15" s="10" t="s">
        <v>7</v>
      </c>
      <c r="G15" s="10" t="s">
        <v>8</v>
      </c>
      <c r="H15" s="10" t="s">
        <v>9</v>
      </c>
      <c r="I15" s="10" t="s">
        <v>10</v>
      </c>
      <c r="J15" s="10" t="s">
        <v>11</v>
      </c>
      <c r="K15" s="10" t="s">
        <v>19</v>
      </c>
      <c r="L15" s="10" t="s">
        <v>21</v>
      </c>
      <c r="M15" s="10" t="s">
        <v>22</v>
      </c>
      <c r="N15" s="10" t="s">
        <v>18</v>
      </c>
      <c r="O15" s="10" t="s">
        <v>20</v>
      </c>
      <c r="P15" s="10" t="s">
        <v>155</v>
      </c>
      <c r="Q15" s="10"/>
      <c r="R15" s="10" t="s">
        <v>156</v>
      </c>
      <c r="S15" s="10" t="s">
        <v>157</v>
      </c>
      <c r="T15" s="10" t="s">
        <v>158</v>
      </c>
      <c r="U15" s="10" t="s">
        <v>159</v>
      </c>
      <c r="V15" s="10" t="s">
        <v>160</v>
      </c>
      <c r="W15" s="10"/>
      <c r="Y15" s="37"/>
      <c r="Z15" s="37"/>
      <c r="AA15" s="37"/>
      <c r="AB15" s="37"/>
      <c r="AC15"/>
      <c r="AD15"/>
      <c r="AE15"/>
      <c r="AF15"/>
      <c r="AG15"/>
      <c r="AH15"/>
      <c r="AI15"/>
      <c r="AJ15"/>
    </row>
    <row r="16" spans="1:36" ht="18.75" x14ac:dyDescent="0.3">
      <c r="A16" s="62" t="s">
        <v>15</v>
      </c>
      <c r="B16" s="62" t="s">
        <v>24</v>
      </c>
      <c r="C16" s="62">
        <v>20150316</v>
      </c>
      <c r="D16" s="62">
        <v>62500</v>
      </c>
      <c r="E16" s="62"/>
      <c r="F16" s="62" t="s">
        <v>17</v>
      </c>
      <c r="G16" s="62" t="s">
        <v>16</v>
      </c>
      <c r="H16" s="62" t="s">
        <v>180</v>
      </c>
      <c r="I16" s="62" t="s">
        <v>25</v>
      </c>
      <c r="J16" s="62">
        <v>79</v>
      </c>
      <c r="K16" s="62">
        <v>1.5289999999999999</v>
      </c>
      <c r="L16" s="62"/>
      <c r="M16" s="62">
        <v>2</v>
      </c>
      <c r="N16" s="62">
        <v>1.5289999999999999</v>
      </c>
      <c r="O16" s="62">
        <v>1.5289999999999999</v>
      </c>
      <c r="P16" s="62">
        <v>0</v>
      </c>
      <c r="Q16" s="62"/>
      <c r="R16" s="62">
        <v>1.52855005</v>
      </c>
      <c r="S16" s="62">
        <v>7547215.7699999996</v>
      </c>
      <c r="T16" s="62">
        <v>95495.140343699997</v>
      </c>
      <c r="U16" s="62">
        <v>3099.68</v>
      </c>
      <c r="V16" s="62">
        <v>3924.76</v>
      </c>
      <c r="W16" s="62"/>
      <c r="Y16" s="36"/>
      <c r="Z16" s="36"/>
      <c r="AA16" s="36"/>
      <c r="AB16" s="36"/>
    </row>
    <row r="17" spans="1:37" ht="23.25" x14ac:dyDescent="0.35">
      <c r="Y17" s="38"/>
      <c r="Z17" s="38"/>
      <c r="AA17" s="38"/>
      <c r="AB17" s="38"/>
    </row>
    <row r="18" spans="1:37" ht="23.25" x14ac:dyDescent="0.35">
      <c r="Y18" s="38"/>
      <c r="Z18" s="38"/>
      <c r="AA18" s="38"/>
      <c r="AB18" s="38"/>
    </row>
    <row r="19" spans="1:37" ht="23.25" x14ac:dyDescent="0.35">
      <c r="A19" s="122"/>
      <c r="B19" s="107"/>
      <c r="C19" s="107"/>
      <c r="D19" s="107"/>
      <c r="E19" s="107"/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Y19" s="38"/>
      <c r="Z19" s="38"/>
      <c r="AA19" s="38"/>
      <c r="AB19" s="38"/>
    </row>
    <row r="20" spans="1:37" s="11" customFormat="1" ht="46.5" x14ac:dyDescent="0.35">
      <c r="A20" s="10" t="s">
        <v>145</v>
      </c>
      <c r="B20" s="10" t="s">
        <v>146</v>
      </c>
      <c r="C20" s="10"/>
      <c r="D20" s="10"/>
      <c r="E20" s="10" t="s">
        <v>147</v>
      </c>
      <c r="F20" s="10"/>
      <c r="G20" s="10" t="s">
        <v>148</v>
      </c>
      <c r="H20" s="10" t="s">
        <v>149</v>
      </c>
      <c r="I20" s="10" t="s">
        <v>150</v>
      </c>
      <c r="J20" s="10"/>
      <c r="K20" s="10" t="s">
        <v>151</v>
      </c>
      <c r="L20" s="10"/>
      <c r="M20" s="10" t="s">
        <v>152</v>
      </c>
      <c r="N20" s="10" t="s">
        <v>153</v>
      </c>
      <c r="Y20" s="38"/>
      <c r="Z20" s="38"/>
      <c r="AA20" s="38"/>
      <c r="AB20" s="39"/>
      <c r="AC20"/>
      <c r="AD20"/>
      <c r="AE20"/>
      <c r="AF20"/>
      <c r="AG20"/>
      <c r="AH20"/>
      <c r="AI20"/>
      <c r="AJ20"/>
    </row>
    <row r="21" spans="1:37" ht="21" x14ac:dyDescent="0.35">
      <c r="A21" s="76">
        <v>1</v>
      </c>
      <c r="B21" s="76">
        <v>1</v>
      </c>
      <c r="C21" s="77"/>
      <c r="D21" s="78"/>
      <c r="E21" s="123">
        <v>5</v>
      </c>
      <c r="F21" s="123"/>
      <c r="G21" s="79">
        <v>5</v>
      </c>
      <c r="H21" s="79">
        <v>10</v>
      </c>
      <c r="I21" s="79">
        <v>0.2</v>
      </c>
      <c r="J21" s="79"/>
      <c r="K21" s="124">
        <v>8</v>
      </c>
      <c r="L21" s="125"/>
      <c r="M21" s="80">
        <v>1</v>
      </c>
      <c r="N21" s="81" t="s">
        <v>100</v>
      </c>
    </row>
    <row r="23" spans="1:37" ht="18.75" x14ac:dyDescent="0.3">
      <c r="Y23" s="36"/>
      <c r="Z23" s="36"/>
      <c r="AA23" s="36"/>
      <c r="AB23" s="36"/>
    </row>
    <row r="24" spans="1:37" ht="18.75" x14ac:dyDescent="0.3">
      <c r="Y24" s="36"/>
      <c r="Z24" s="36"/>
      <c r="AA24" s="36"/>
      <c r="AB24" s="36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6"/>
      <c r="Z28" s="36"/>
      <c r="AA28" s="36"/>
      <c r="AB28" s="36"/>
      <c r="AC28" s="36"/>
      <c r="AD28" s="36"/>
      <c r="AE28" s="36"/>
    </row>
    <row r="29" spans="1:37" ht="18.75" x14ac:dyDescent="0.3">
      <c r="C29" s="112" t="s">
        <v>161</v>
      </c>
      <c r="D29" s="113"/>
      <c r="E29" s="12">
        <v>1.5249999999999999</v>
      </c>
      <c r="F29" s="12"/>
      <c r="G29" s="113" t="s">
        <v>162</v>
      </c>
      <c r="H29" s="113"/>
      <c r="I29" s="12">
        <v>1.53</v>
      </c>
      <c r="J29" s="12"/>
      <c r="K29" s="113" t="s">
        <v>163</v>
      </c>
      <c r="L29" s="113"/>
      <c r="M29" s="12">
        <v>130</v>
      </c>
      <c r="N29" s="13"/>
      <c r="O29" s="113" t="s">
        <v>164</v>
      </c>
      <c r="P29" s="113"/>
      <c r="Q29" s="29">
        <v>1.5289744798313885</v>
      </c>
      <c r="R29" s="13"/>
      <c r="S29" s="12"/>
      <c r="T29" s="13"/>
      <c r="U29" s="12"/>
      <c r="V29" s="13"/>
      <c r="W29" s="13"/>
      <c r="Y29" s="36"/>
      <c r="Z29" s="36"/>
      <c r="AA29" s="36"/>
      <c r="AB29" s="36"/>
      <c r="AC29" s="36"/>
      <c r="AD29" s="36"/>
      <c r="AE29" s="36"/>
    </row>
    <row r="30" spans="1:37" ht="18.75" x14ac:dyDescent="0.3">
      <c r="C30" s="112" t="s">
        <v>218</v>
      </c>
      <c r="D30" s="113"/>
      <c r="E30" s="12">
        <v>40</v>
      </c>
      <c r="F30" s="12"/>
      <c r="G30" s="113" t="s">
        <v>220</v>
      </c>
      <c r="H30" s="113"/>
      <c r="I30" s="12">
        <v>10</v>
      </c>
      <c r="J30" s="12"/>
      <c r="K30" s="113" t="s">
        <v>194</v>
      </c>
      <c r="L30" s="113"/>
      <c r="M30" s="12">
        <v>79</v>
      </c>
      <c r="N30" s="13"/>
      <c r="O30" s="113" t="s">
        <v>165</v>
      </c>
      <c r="P30" s="113"/>
      <c r="Q30" s="29">
        <v>1.5289146760953596</v>
      </c>
      <c r="R30" s="13"/>
      <c r="S30" s="12"/>
      <c r="T30" s="13"/>
      <c r="U30" s="12"/>
      <c r="V30" s="13"/>
      <c r="W30" s="13"/>
      <c r="Y30" s="36"/>
      <c r="Z30" s="36"/>
      <c r="AA30" s="36"/>
      <c r="AB30" s="36"/>
      <c r="AC30" s="36"/>
      <c r="AD30" s="36"/>
      <c r="AE30" s="36"/>
      <c r="AI30" s="41"/>
      <c r="AK30" s="41"/>
    </row>
    <row r="31" spans="1:37" ht="18.75" customHeight="1" x14ac:dyDescent="0.3">
      <c r="C31" s="112" t="s">
        <v>219</v>
      </c>
      <c r="D31" s="113"/>
      <c r="E31" s="12">
        <v>39</v>
      </c>
      <c r="F31" s="12"/>
      <c r="G31" s="113" t="s">
        <v>219</v>
      </c>
      <c r="H31" s="113"/>
      <c r="I31" s="12">
        <v>9</v>
      </c>
      <c r="J31" s="12"/>
      <c r="K31" s="113" t="s">
        <v>195</v>
      </c>
      <c r="L31" s="113"/>
      <c r="M31" s="12">
        <v>51</v>
      </c>
      <c r="N31" s="13"/>
      <c r="O31" s="113" t="s">
        <v>99</v>
      </c>
      <c r="P31" s="113"/>
      <c r="Q31" s="12">
        <v>1</v>
      </c>
      <c r="R31" s="13"/>
      <c r="S31" s="12"/>
      <c r="T31" s="13"/>
      <c r="U31" s="12"/>
      <c r="V31" s="13"/>
      <c r="W31" s="13"/>
      <c r="Y31" s="36"/>
      <c r="Z31" s="36"/>
      <c r="AA31" s="36"/>
      <c r="AB31" s="36"/>
      <c r="AC31" s="36"/>
      <c r="AD31" s="36"/>
      <c r="AE31" s="36"/>
      <c r="AI31" s="40"/>
    </row>
    <row r="32" spans="1:37" ht="18.75" customHeight="1" x14ac:dyDescent="0.25"/>
    <row r="33" spans="2:31" ht="18.75" customHeight="1" x14ac:dyDescent="0.3">
      <c r="Y33" s="36"/>
      <c r="Z33" s="36"/>
      <c r="AA33" s="36"/>
      <c r="AB33" s="36"/>
      <c r="AC33" s="36"/>
      <c r="AD33" s="36"/>
      <c r="AE33" s="36"/>
    </row>
    <row r="34" spans="2:31" ht="18.75" customHeight="1" x14ac:dyDescent="0.3">
      <c r="B34" s="111" t="s">
        <v>205</v>
      </c>
      <c r="C34" s="111"/>
      <c r="D34" s="111"/>
      <c r="E34" s="111"/>
      <c r="F34" s="111"/>
      <c r="G34" s="111"/>
      <c r="H34" s="111"/>
      <c r="Q34" s="99" t="s">
        <v>186</v>
      </c>
      <c r="R34" s="99"/>
      <c r="S34" s="99"/>
      <c r="T34" s="99"/>
      <c r="U34" s="99"/>
      <c r="V34" s="99"/>
      <c r="W34" s="99"/>
    </row>
    <row r="35" spans="2:31" s="11" customFormat="1" ht="27.75" customHeight="1" thickBot="1" x14ac:dyDescent="0.35">
      <c r="B35" s="133" t="s">
        <v>206</v>
      </c>
      <c r="C35" s="133"/>
      <c r="D35" s="133"/>
      <c r="E35" s="95"/>
      <c r="F35" s="133" t="s">
        <v>207</v>
      </c>
      <c r="G35" s="133"/>
      <c r="H35" s="133"/>
      <c r="Q35" s="69"/>
      <c r="R35" s="69" t="s">
        <v>104</v>
      </c>
      <c r="S35" s="69" t="s">
        <v>105</v>
      </c>
      <c r="T35" s="69" t="s">
        <v>109</v>
      </c>
      <c r="U35" s="69" t="s">
        <v>110</v>
      </c>
      <c r="V35" s="69" t="s">
        <v>111</v>
      </c>
      <c r="W35" s="69" t="s">
        <v>120</v>
      </c>
      <c r="X35" s="37"/>
      <c r="Y35" s="37"/>
      <c r="AC35" s="37"/>
    </row>
    <row r="36" spans="2:31" s="11" customFormat="1" ht="27.75" customHeight="1" thickTop="1" x14ac:dyDescent="0.35">
      <c r="B36" s="94" t="s">
        <v>213</v>
      </c>
      <c r="C36" s="93"/>
      <c r="D36" s="94" t="s">
        <v>240</v>
      </c>
      <c r="E36" s="134">
        <v>2</v>
      </c>
      <c r="F36" s="97"/>
      <c r="G36" s="97"/>
      <c r="H36" s="97"/>
      <c r="Q36" s="90"/>
      <c r="R36" s="90"/>
      <c r="S36" s="90"/>
      <c r="T36" s="90"/>
      <c r="U36" s="90"/>
      <c r="V36" s="90"/>
      <c r="W36" s="90"/>
      <c r="X36" s="37"/>
      <c r="Y36" s="37"/>
      <c r="AC36" s="37"/>
    </row>
    <row r="37" spans="2:31" s="11" customFormat="1" ht="42" customHeight="1" x14ac:dyDescent="0.4">
      <c r="B37" s="92" t="s">
        <v>208</v>
      </c>
      <c r="C37" s="92" t="s">
        <v>212</v>
      </c>
      <c r="D37" s="92" t="s">
        <v>210</v>
      </c>
      <c r="E37" s="92" t="s">
        <v>3</v>
      </c>
      <c r="F37" s="92" t="s">
        <v>211</v>
      </c>
      <c r="G37" s="92" t="s">
        <v>212</v>
      </c>
      <c r="H37" s="92" t="s">
        <v>209</v>
      </c>
      <c r="Q37" s="73">
        <f>SUM(U69:U89)+J16</f>
        <v>-1.0854623014978131</v>
      </c>
      <c r="R37" s="74">
        <f>SUM(X69:X89)</f>
        <v>-7205.1889389796461</v>
      </c>
      <c r="S37" s="72">
        <f>SUM(W69:W89)</f>
        <v>0.41072285680499415</v>
      </c>
      <c r="T37" s="74">
        <f>S37*62500</f>
        <v>25670.178550312135</v>
      </c>
      <c r="U37" s="71">
        <v>0.02</v>
      </c>
      <c r="V37" s="75">
        <f>-1*U37*W37</f>
        <v>-850</v>
      </c>
      <c r="W37" s="75">
        <f>AG67</f>
        <v>42500</v>
      </c>
      <c r="X37" s="44"/>
      <c r="Y37" s="44"/>
      <c r="AC37" s="37"/>
    </row>
    <row r="38" spans="2:31" ht="21" x14ac:dyDescent="0.35">
      <c r="B38" s="76">
        <v>0</v>
      </c>
      <c r="C38" s="91">
        <v>-7</v>
      </c>
      <c r="D38" s="74"/>
      <c r="E38" s="74"/>
      <c r="F38" s="74"/>
      <c r="G38" s="91">
        <v>7</v>
      </c>
      <c r="H38" s="76">
        <v>0</v>
      </c>
      <c r="Q38" s="69" t="s">
        <v>131</v>
      </c>
      <c r="R38" s="74">
        <f>ticksUpToLoss(V37,Q37,R37)</f>
        <v>17.981322546796751</v>
      </c>
      <c r="S38" s="74">
        <f>ticksDownToLoss(V37,Q37,R37)</f>
        <v>-20.994324178511153</v>
      </c>
      <c r="T38" s="74"/>
      <c r="U38" s="74"/>
      <c r="V38" s="74"/>
      <c r="W38" s="74"/>
      <c r="X38" s="36"/>
      <c r="Y38" s="36"/>
      <c r="Z38" s="36"/>
      <c r="AA38" s="36"/>
      <c r="AB38" s="36"/>
      <c r="AC38" s="36"/>
    </row>
    <row r="39" spans="2:31" ht="23.25" x14ac:dyDescent="0.35">
      <c r="B39" s="76">
        <v>0</v>
      </c>
      <c r="C39" s="91">
        <v>-6</v>
      </c>
      <c r="D39" s="74"/>
      <c r="E39" s="74"/>
      <c r="F39" s="74"/>
      <c r="G39" s="91">
        <v>6</v>
      </c>
      <c r="H39" s="76">
        <v>0</v>
      </c>
      <c r="Q39" s="69" t="s">
        <v>132</v>
      </c>
      <c r="R39" s="74">
        <f>Q37+R37*(R38*0.0001)</f>
        <v>-14.04134493373834</v>
      </c>
      <c r="S39" s="74">
        <f>Q37+R37*(S38*0.0001)</f>
        <v>14.041344933738337</v>
      </c>
      <c r="T39" s="74"/>
      <c r="U39" s="74"/>
      <c r="V39" s="74"/>
      <c r="W39" s="74"/>
      <c r="Y39" s="31"/>
      <c r="Z39" s="31"/>
      <c r="AA39" s="31"/>
      <c r="AB39" s="31"/>
      <c r="AC39" s="43"/>
      <c r="AD39" s="43"/>
      <c r="AE39" s="43"/>
    </row>
    <row r="40" spans="2:31" ht="21" x14ac:dyDescent="0.35">
      <c r="B40" s="76">
        <v>0</v>
      </c>
      <c r="C40" s="91">
        <v>-5</v>
      </c>
      <c r="D40" s="74"/>
      <c r="E40" s="74"/>
      <c r="F40" s="74"/>
      <c r="G40" s="91">
        <v>5</v>
      </c>
      <c r="H40" s="76">
        <v>0</v>
      </c>
      <c r="Q40" s="99" t="s">
        <v>133</v>
      </c>
      <c r="R40" s="99"/>
      <c r="S40" s="99"/>
      <c r="T40" s="99" t="s">
        <v>189</v>
      </c>
      <c r="U40" s="99"/>
      <c r="V40" s="99"/>
      <c r="W40" s="99"/>
      <c r="Y40" s="36"/>
      <c r="Z40" s="36"/>
      <c r="AA40" s="36"/>
      <c r="AB40" s="36"/>
      <c r="AC40" s="36"/>
    </row>
    <row r="41" spans="2:31" ht="21" x14ac:dyDescent="0.35">
      <c r="B41" s="76">
        <v>0</v>
      </c>
      <c r="C41" s="91">
        <v>-4</v>
      </c>
      <c r="D41" s="74"/>
      <c r="E41" s="74"/>
      <c r="F41" s="74"/>
      <c r="G41" s="91">
        <v>4</v>
      </c>
      <c r="H41" s="76">
        <v>0</v>
      </c>
      <c r="Q41" s="69" t="s">
        <v>134</v>
      </c>
      <c r="R41" s="82">
        <f>midMarket(N16,O16)+R38/10000</f>
        <v>1.5307981322546795</v>
      </c>
      <c r="S41" s="74">
        <f>ROUND(-R39,0)</f>
        <v>14</v>
      </c>
      <c r="T41" s="70" t="s">
        <v>187</v>
      </c>
      <c r="U41" s="76">
        <v>25</v>
      </c>
      <c r="V41" s="82">
        <v>1.5304</v>
      </c>
      <c r="W41" s="74">
        <v>14</v>
      </c>
      <c r="Y41" s="36"/>
      <c r="Z41" s="36"/>
      <c r="AA41" s="36"/>
      <c r="AB41" s="36"/>
      <c r="AC41" s="36"/>
    </row>
    <row r="42" spans="2:31" ht="21" x14ac:dyDescent="0.35">
      <c r="B42" s="76">
        <v>0</v>
      </c>
      <c r="C42" s="91">
        <v>-3</v>
      </c>
      <c r="D42" s="74"/>
      <c r="E42" s="74"/>
      <c r="F42" s="74"/>
      <c r="G42" s="91">
        <v>3</v>
      </c>
      <c r="H42" s="76">
        <v>0</v>
      </c>
      <c r="Q42" s="69" t="s">
        <v>144</v>
      </c>
      <c r="R42" s="82">
        <f>midMarket(N16,O16)+S38/10000</f>
        <v>1.5269005675821488</v>
      </c>
      <c r="S42" s="74">
        <f>ROUND(-S39,0)</f>
        <v>-14</v>
      </c>
      <c r="T42" s="70" t="s">
        <v>188</v>
      </c>
      <c r="U42" s="76">
        <v>2</v>
      </c>
      <c r="V42" s="82">
        <v>1.5265</v>
      </c>
      <c r="W42" s="74">
        <v>14</v>
      </c>
      <c r="X42" s="36"/>
      <c r="Y42" s="36"/>
      <c r="Z42" s="36"/>
      <c r="AA42" s="36"/>
      <c r="AB42" s="36"/>
      <c r="AC42" s="36"/>
    </row>
    <row r="43" spans="2:31" ht="21" x14ac:dyDescent="0.35">
      <c r="B43" s="76">
        <v>7</v>
      </c>
      <c r="C43" s="91">
        <v>-2</v>
      </c>
      <c r="D43" s="74"/>
      <c r="E43" s="74"/>
      <c r="F43" s="74"/>
      <c r="G43" s="91">
        <v>2</v>
      </c>
      <c r="H43" s="76">
        <v>8</v>
      </c>
    </row>
    <row r="44" spans="2:31" ht="21" x14ac:dyDescent="0.35">
      <c r="B44" s="76">
        <v>5</v>
      </c>
      <c r="C44" s="91">
        <v>-1</v>
      </c>
      <c r="D44" s="74"/>
      <c r="E44" s="74"/>
      <c r="F44" s="74"/>
      <c r="G44" s="91">
        <v>1</v>
      </c>
      <c r="H44" s="76">
        <v>6</v>
      </c>
      <c r="P44" t="s">
        <v>204</v>
      </c>
    </row>
    <row r="45" spans="2:31" ht="21" x14ac:dyDescent="0.35">
      <c r="B45" s="76">
        <v>1</v>
      </c>
      <c r="C45" s="91">
        <v>0</v>
      </c>
      <c r="D45" s="74"/>
      <c r="E45" s="74"/>
      <c r="F45" s="74"/>
      <c r="G45" s="91">
        <v>0</v>
      </c>
      <c r="H45" s="76">
        <v>2</v>
      </c>
    </row>
    <row r="46" spans="2:31" ht="21" x14ac:dyDescent="0.35">
      <c r="B46" s="76">
        <v>3</v>
      </c>
      <c r="C46" s="91">
        <v>1</v>
      </c>
      <c r="D46" s="74"/>
      <c r="E46" s="74"/>
      <c r="F46" s="74"/>
      <c r="G46" s="91">
        <v>-1</v>
      </c>
      <c r="H46" s="76">
        <v>4</v>
      </c>
    </row>
    <row r="47" spans="2:31" ht="21" x14ac:dyDescent="0.35">
      <c r="B47" s="76">
        <v>0</v>
      </c>
      <c r="C47" s="91">
        <v>2</v>
      </c>
      <c r="D47" s="74"/>
      <c r="E47" s="74"/>
      <c r="F47" s="74"/>
      <c r="G47" s="91">
        <v>-2</v>
      </c>
      <c r="H47" s="76">
        <v>0</v>
      </c>
    </row>
    <row r="48" spans="2:31" ht="21" x14ac:dyDescent="0.35">
      <c r="B48" s="76">
        <v>0</v>
      </c>
      <c r="C48" s="91">
        <v>3</v>
      </c>
      <c r="D48" s="74"/>
      <c r="E48" s="74"/>
      <c r="F48" s="74"/>
      <c r="G48" s="91">
        <v>-3</v>
      </c>
      <c r="H48" s="76">
        <v>0</v>
      </c>
    </row>
    <row r="49" spans="1:15" s="11" customFormat="1" ht="26.25" customHeight="1" x14ac:dyDescent="0.35">
      <c r="B49" s="76">
        <v>0</v>
      </c>
      <c r="C49" s="91">
        <v>4</v>
      </c>
      <c r="D49" s="74"/>
      <c r="E49" s="74"/>
      <c r="F49" s="74"/>
      <c r="G49" s="91">
        <v>-4</v>
      </c>
      <c r="H49" s="76">
        <v>0</v>
      </c>
    </row>
    <row r="50" spans="1:15" ht="21" x14ac:dyDescent="0.35">
      <c r="B50" s="76">
        <v>0</v>
      </c>
      <c r="C50" s="91">
        <v>5</v>
      </c>
      <c r="D50" s="74"/>
      <c r="E50" s="74"/>
      <c r="F50" s="74"/>
      <c r="G50" s="91">
        <v>-5</v>
      </c>
      <c r="H50" s="76">
        <v>0</v>
      </c>
    </row>
    <row r="51" spans="1:15" ht="21" x14ac:dyDescent="0.35">
      <c r="B51" s="76">
        <v>0</v>
      </c>
      <c r="C51" s="91">
        <v>6</v>
      </c>
      <c r="D51" s="74"/>
      <c r="E51" s="74"/>
      <c r="F51" s="74"/>
      <c r="G51" s="91">
        <v>-6</v>
      </c>
      <c r="H51" s="76">
        <v>0</v>
      </c>
    </row>
    <row r="52" spans="1:15" ht="21" x14ac:dyDescent="0.35">
      <c r="B52" s="76">
        <v>0</v>
      </c>
      <c r="C52" s="91">
        <v>7</v>
      </c>
      <c r="D52" s="74"/>
      <c r="E52" s="74"/>
      <c r="F52" s="74"/>
      <c r="G52" s="91">
        <v>-7</v>
      </c>
      <c r="H52" s="76">
        <v>0</v>
      </c>
    </row>
    <row r="56" spans="1:15" x14ac:dyDescent="0.25">
      <c r="A56" s="103" t="s">
        <v>166</v>
      </c>
      <c r="B56" s="104"/>
      <c r="C56" s="104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</row>
    <row r="57" spans="1:15" x14ac:dyDescent="0.25">
      <c r="A57" s="85" t="s">
        <v>26</v>
      </c>
      <c r="B57" s="101" t="s">
        <v>27</v>
      </c>
      <c r="C57" s="101"/>
      <c r="D57" s="101"/>
      <c r="E57" s="101"/>
      <c r="F57" s="86"/>
      <c r="G57" s="101" t="s">
        <v>28</v>
      </c>
      <c r="H57" s="101"/>
      <c r="I57" s="101"/>
      <c r="J57" s="101"/>
      <c r="K57" s="101"/>
      <c r="L57" s="86"/>
      <c r="M57" s="101" t="s">
        <v>167</v>
      </c>
      <c r="N57" s="101"/>
      <c r="O57" s="102"/>
    </row>
    <row r="58" spans="1:15" ht="30" x14ac:dyDescent="0.25">
      <c r="A58" s="87" t="s">
        <v>0</v>
      </c>
      <c r="B58" s="88" t="s">
        <v>32</v>
      </c>
      <c r="C58" s="88" t="s">
        <v>33</v>
      </c>
      <c r="D58" s="88" t="s">
        <v>34</v>
      </c>
      <c r="E58" s="88" t="s">
        <v>47</v>
      </c>
      <c r="F58" s="88" t="s">
        <v>196</v>
      </c>
      <c r="G58" s="88" t="s">
        <v>12</v>
      </c>
      <c r="H58" s="88" t="s">
        <v>37</v>
      </c>
      <c r="I58" s="88" t="s">
        <v>38</v>
      </c>
      <c r="J58" s="88" t="s">
        <v>39</v>
      </c>
      <c r="K58" s="88" t="s">
        <v>40</v>
      </c>
      <c r="L58" s="88" t="s">
        <v>168</v>
      </c>
      <c r="M58" s="88" t="s">
        <v>169</v>
      </c>
      <c r="N58" s="88" t="s">
        <v>170</v>
      </c>
      <c r="O58" s="88" t="s">
        <v>171</v>
      </c>
    </row>
    <row r="59" spans="1:15" x14ac:dyDescent="0.25">
      <c r="A59" s="2" t="s">
        <v>180</v>
      </c>
      <c r="B59" s="16" t="s">
        <v>184</v>
      </c>
      <c r="C59" s="16">
        <v>14</v>
      </c>
      <c r="D59" s="16" t="s">
        <v>221</v>
      </c>
      <c r="E59" s="16">
        <v>1.5304</v>
      </c>
      <c r="F59" s="2">
        <v>9793</v>
      </c>
      <c r="G59" s="18" t="s">
        <v>192</v>
      </c>
      <c r="H59" s="2">
        <v>0</v>
      </c>
      <c r="I59" s="2">
        <v>14</v>
      </c>
      <c r="J59" s="2">
        <v>0</v>
      </c>
      <c r="K59" s="2">
        <v>0</v>
      </c>
      <c r="L59" s="2"/>
      <c r="M59" s="2"/>
      <c r="N59" s="2"/>
      <c r="O59" s="2"/>
    </row>
    <row r="60" spans="1:15" x14ac:dyDescent="0.25">
      <c r="A60" s="2" t="s">
        <v>180</v>
      </c>
      <c r="B60" s="16" t="s">
        <v>193</v>
      </c>
      <c r="C60" s="16">
        <v>14</v>
      </c>
      <c r="D60" s="16" t="s">
        <v>221</v>
      </c>
      <c r="E60" s="16">
        <v>1.5265</v>
      </c>
      <c r="F60" s="2">
        <v>9794</v>
      </c>
      <c r="G60" s="18" t="s">
        <v>192</v>
      </c>
      <c r="H60" s="2">
        <v>0</v>
      </c>
      <c r="I60" s="2">
        <v>14</v>
      </c>
      <c r="J60" s="2">
        <v>0</v>
      </c>
      <c r="K60" s="2">
        <v>0</v>
      </c>
      <c r="L60" s="2"/>
      <c r="M60" s="2"/>
      <c r="N60" s="2"/>
      <c r="O60" s="2"/>
    </row>
    <row r="61" spans="1:15" x14ac:dyDescent="0.25">
      <c r="A61" s="2" t="s">
        <v>180</v>
      </c>
      <c r="B61" s="16" t="s">
        <v>184</v>
      </c>
      <c r="C61" s="16">
        <v>5</v>
      </c>
      <c r="D61" s="16" t="s">
        <v>185</v>
      </c>
      <c r="E61" s="16">
        <v>1.5286999999999999</v>
      </c>
      <c r="F61" s="2">
        <v>9795</v>
      </c>
      <c r="G61" s="18" t="s">
        <v>223</v>
      </c>
      <c r="H61" s="2">
        <v>0</v>
      </c>
      <c r="I61" s="2">
        <v>5</v>
      </c>
      <c r="J61" s="2">
        <v>0</v>
      </c>
      <c r="K61" s="2">
        <v>0</v>
      </c>
      <c r="L61" s="2"/>
      <c r="M61" s="2"/>
      <c r="N61" s="2"/>
      <c r="O61" s="2"/>
    </row>
    <row r="62" spans="1:15" x14ac:dyDescent="0.25">
      <c r="A62" s="2" t="s">
        <v>180</v>
      </c>
      <c r="B62" s="16" t="s">
        <v>184</v>
      </c>
      <c r="C62" s="16">
        <v>5</v>
      </c>
      <c r="D62" s="16" t="s">
        <v>185</v>
      </c>
      <c r="E62" s="16">
        <v>1.5289999999999999</v>
      </c>
      <c r="F62" s="2">
        <v>9798</v>
      </c>
      <c r="G62" s="18" t="s">
        <v>233</v>
      </c>
      <c r="H62" s="2">
        <v>3</v>
      </c>
      <c r="I62" s="2">
        <v>2</v>
      </c>
      <c r="J62" s="2">
        <v>1.5289999999999999</v>
      </c>
      <c r="K62" s="2">
        <v>1.5289999999999999</v>
      </c>
      <c r="L62" s="2"/>
      <c r="M62" s="2"/>
      <c r="N62" s="2"/>
      <c r="O62" s="2"/>
    </row>
    <row r="63" spans="1:15" x14ac:dyDescent="0.25">
      <c r="A63" s="2"/>
      <c r="B63" s="16"/>
      <c r="C63" s="16"/>
      <c r="D63" s="16"/>
      <c r="E63" s="16"/>
      <c r="F63" s="2"/>
      <c r="G63" s="18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89" t="s">
        <v>198</v>
      </c>
      <c r="B64" s="74">
        <f>ticksUpToLoss(F63,A63,B63)</f>
        <v>0</v>
      </c>
      <c r="C64" s="89" t="s">
        <v>199</v>
      </c>
      <c r="D64" s="74">
        <f>ticksUpToLoss(H63,C63,D63)</f>
        <v>0</v>
      </c>
      <c r="E64" s="89" t="s">
        <v>174</v>
      </c>
      <c r="F64" s="74">
        <f>ticksUpToLoss(J63,E63,F63)</f>
        <v>0</v>
      </c>
      <c r="G64" s="89" t="s">
        <v>200</v>
      </c>
      <c r="H64" s="74">
        <f>ticksUpToLoss(L63,G63,H63)</f>
        <v>0</v>
      </c>
      <c r="I64" s="110" t="s">
        <v>201</v>
      </c>
      <c r="J64" s="110"/>
      <c r="K64" s="74"/>
      <c r="L64" s="74"/>
      <c r="M64" s="74"/>
      <c r="N64" s="74"/>
      <c r="O64" s="74"/>
    </row>
    <row r="65" spans="1:33" ht="15.75" x14ac:dyDescent="0.25">
      <c r="A65" s="89" t="s">
        <v>197</v>
      </c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</row>
    <row r="67" spans="1:33" x14ac:dyDescent="0.25">
      <c r="A67" s="107" t="s">
        <v>13</v>
      </c>
      <c r="B67" s="107"/>
      <c r="C67" s="107"/>
      <c r="D67" s="107"/>
      <c r="E67" s="107"/>
      <c r="F67" s="107"/>
      <c r="G67" s="107"/>
      <c r="H67" s="107"/>
      <c r="I67" s="107"/>
      <c r="J67" s="107"/>
      <c r="K67" s="107"/>
      <c r="L67" s="107"/>
      <c r="M67" s="107"/>
      <c r="N67" s="100" t="s">
        <v>101</v>
      </c>
      <c r="O67" s="100"/>
      <c r="P67" s="100"/>
      <c r="Q67" s="100"/>
      <c r="R67" s="100"/>
      <c r="S67" s="100"/>
      <c r="T67" s="100" t="s">
        <v>108</v>
      </c>
      <c r="U67" s="100"/>
      <c r="V67" s="100"/>
      <c r="W67" s="100"/>
      <c r="AG67" s="46">
        <f>SUM(AD69:AD89)</f>
        <v>42500</v>
      </c>
    </row>
    <row r="68" spans="1:33" ht="30" x14ac:dyDescent="0.25">
      <c r="A68" s="1" t="s">
        <v>9</v>
      </c>
      <c r="B68" s="1" t="s">
        <v>11</v>
      </c>
      <c r="C68" s="1" t="s">
        <v>172</v>
      </c>
      <c r="D68" s="1" t="s">
        <v>157</v>
      </c>
      <c r="E68" s="1" t="s">
        <v>158</v>
      </c>
      <c r="F68" s="1" t="s">
        <v>179</v>
      </c>
      <c r="G68" s="1" t="s">
        <v>173</v>
      </c>
      <c r="H68" s="59" t="s">
        <v>19</v>
      </c>
      <c r="I68" s="59" t="s">
        <v>21</v>
      </c>
      <c r="J68" s="59" t="s">
        <v>22</v>
      </c>
      <c r="K68" s="59" t="s">
        <v>18</v>
      </c>
      <c r="L68" s="59" t="s">
        <v>20</v>
      </c>
      <c r="M68" s="59" t="s">
        <v>23</v>
      </c>
      <c r="N68" s="30" t="s">
        <v>102</v>
      </c>
      <c r="O68" s="30" t="s">
        <v>103</v>
      </c>
      <c r="P68" s="30" t="s">
        <v>104</v>
      </c>
      <c r="Q68" s="30" t="s">
        <v>105</v>
      </c>
      <c r="R68" s="30" t="s">
        <v>106</v>
      </c>
      <c r="S68" s="30" t="s">
        <v>107</v>
      </c>
      <c r="T68" s="34" t="s">
        <v>112</v>
      </c>
      <c r="U68" s="30" t="s">
        <v>103</v>
      </c>
      <c r="V68" s="30" t="s">
        <v>104</v>
      </c>
      <c r="W68" s="30" t="s">
        <v>105</v>
      </c>
      <c r="X68" s="34" t="s">
        <v>113</v>
      </c>
      <c r="Y68" s="34" t="s">
        <v>114</v>
      </c>
      <c r="Z68" s="34" t="s">
        <v>119</v>
      </c>
      <c r="AA68" s="48" t="s">
        <v>118</v>
      </c>
      <c r="AB68" s="48" t="s">
        <v>115</v>
      </c>
      <c r="AC68" s="48" t="s">
        <v>116</v>
      </c>
      <c r="AD68" s="48" t="s">
        <v>117</v>
      </c>
    </row>
    <row r="69" spans="1:33" x14ac:dyDescent="0.25">
      <c r="A69" s="2" t="s">
        <v>225</v>
      </c>
      <c r="B69" s="2">
        <v>-50</v>
      </c>
      <c r="C69" s="2">
        <v>9.9960000000000001E-4</v>
      </c>
      <c r="D69" s="2">
        <v>-3123.79</v>
      </c>
      <c r="E69" s="2">
        <v>191.29</v>
      </c>
      <c r="F69" s="27">
        <v>6440.71</v>
      </c>
      <c r="G69" s="2">
        <v>0</v>
      </c>
      <c r="H69" s="2">
        <v>8.0000000000000004E-4</v>
      </c>
      <c r="I69" s="2">
        <v>1</v>
      </c>
      <c r="J69" s="2">
        <v>70</v>
      </c>
      <c r="K69" s="2">
        <v>5.9999999999999995E-4</v>
      </c>
      <c r="L69" s="2">
        <v>1.1000000000000001E-3</v>
      </c>
      <c r="M69" s="2">
        <v>95</v>
      </c>
      <c r="N69" s="2">
        <v>0.13881235652551471</v>
      </c>
      <c r="O69" s="2">
        <v>-0.12815836107582818</v>
      </c>
      <c r="P69" s="2">
        <v>0</v>
      </c>
      <c r="Q69" s="32">
        <v>-7.6534492238674093E-4</v>
      </c>
      <c r="R69" s="2">
        <v>2.998195115433823E-4</v>
      </c>
      <c r="S69" s="2">
        <v>1.5289999999999999</v>
      </c>
      <c r="T69" s="2">
        <v>12.571770249528363</v>
      </c>
      <c r="U69" s="2">
        <f t="shared" ref="U69:U89" si="0">O69*B69</f>
        <v>6.4079180537914091</v>
      </c>
      <c r="V69" s="2">
        <v>1.5804</v>
      </c>
      <c r="W69" s="2">
        <f t="shared" ref="W69:W89" si="1">Q69*B69</f>
        <v>3.8267246119337045E-2</v>
      </c>
      <c r="X69">
        <f>IF(ISERR(T69),0,T69*B69)</f>
        <v>-628.58851247641815</v>
      </c>
      <c r="Y69">
        <f t="shared" ref="Y69:Y89" si="2">IF(X69 = 0,0,(W69*-10000)/X69)</f>
        <v>0.60878055134315967</v>
      </c>
      <c r="Z69" s="83">
        <f>midMarket(K69,L69) +AA69/10000</f>
        <v>8.5000000000000006E-4</v>
      </c>
      <c r="AA69">
        <f>IF(rightFromSymbol(A69)="C",MAX(0,$N$16-strikeFromSymbol(A69)),MAX(0,strikeFromSymbol(A69)-$N$16))*10000</f>
        <v>0</v>
      </c>
      <c r="AB69" s="84">
        <f>MAX(0,Z69-AA69) * 10000</f>
        <v>8.5</v>
      </c>
      <c r="AC69" s="47">
        <f t="shared" ref="AC69:AC89" si="3">-AB69*B69</f>
        <v>425</v>
      </c>
      <c r="AD69" s="46">
        <f t="shared" ref="AD69:AD77" si="4">MAX(0,AC69*6.25)</f>
        <v>2656.25</v>
      </c>
    </row>
    <row r="70" spans="1:33" x14ac:dyDescent="0.25">
      <c r="A70" s="2" t="s">
        <v>226</v>
      </c>
      <c r="B70" s="2">
        <v>-30</v>
      </c>
      <c r="C70" s="2">
        <v>1.6909500000000001E-3</v>
      </c>
      <c r="D70" s="2">
        <v>-3170.51</v>
      </c>
      <c r="E70" s="2">
        <v>268.37333335</v>
      </c>
      <c r="F70" s="27">
        <v>4880.6899999999996</v>
      </c>
      <c r="G70" s="2">
        <v>0</v>
      </c>
      <c r="H70" s="2">
        <v>0</v>
      </c>
      <c r="I70" s="2">
        <v>0</v>
      </c>
      <c r="J70" s="2">
        <v>30</v>
      </c>
      <c r="K70" s="2">
        <v>1.2999999999999999E-3</v>
      </c>
      <c r="L70" s="2">
        <v>1.6999999999999999E-3</v>
      </c>
      <c r="M70" s="2">
        <v>33</v>
      </c>
      <c r="N70" s="2">
        <v>0.13171339411148736</v>
      </c>
      <c r="O70" s="2">
        <v>-0.18959421441076765</v>
      </c>
      <c r="P70" s="2">
        <v>0</v>
      </c>
      <c r="Q70" s="32">
        <v>-9.4013036566416405E-4</v>
      </c>
      <c r="R70" s="2">
        <v>3.5749056647775383E-4</v>
      </c>
      <c r="S70" s="2">
        <v>1.5289999999999999</v>
      </c>
      <c r="T70" s="2">
        <v>16.118403943726054</v>
      </c>
      <c r="U70" s="2">
        <f t="shared" si="0"/>
        <v>5.6878264323230292</v>
      </c>
      <c r="V70" s="2">
        <v>1.5804</v>
      </c>
      <c r="W70" s="2">
        <f t="shared" si="1"/>
        <v>2.820391096992492E-2</v>
      </c>
      <c r="X70">
        <f t="shared" ref="X70:X89" si="5">IF(ISERR(T70),0,T70*B70)</f>
        <v>-483.55211831178161</v>
      </c>
      <c r="Y70">
        <f t="shared" si="2"/>
        <v>0.58326517249873333</v>
      </c>
      <c r="Z70" s="83">
        <f>midMarket(K70,L70) +AA70/10000</f>
        <v>1.5E-3</v>
      </c>
      <c r="AA70">
        <f>IF(rightFromSymbol(A70)="C",MAX(0,$N$16-strikeFromSymbol(A70)),MAX(0,strikeFromSymbol(A70)-$N$16))*10000</f>
        <v>0</v>
      </c>
      <c r="AB70" s="84">
        <f t="shared" ref="AB70:AB89" si="6">MAX(0,Z70-AA70) * 10000</f>
        <v>15</v>
      </c>
      <c r="AC70" s="47">
        <f t="shared" si="3"/>
        <v>450</v>
      </c>
      <c r="AD70" s="46">
        <f t="shared" si="4"/>
        <v>2812.5</v>
      </c>
    </row>
    <row r="71" spans="1:33" x14ac:dyDescent="0.25">
      <c r="A71" s="2" t="s">
        <v>227</v>
      </c>
      <c r="B71" s="2">
        <v>-90</v>
      </c>
      <c r="C71" s="2">
        <v>1.144095E-2</v>
      </c>
      <c r="D71" s="2">
        <v>-64355.3</v>
      </c>
      <c r="E71" s="2">
        <v>533.79</v>
      </c>
      <c r="F71" s="27">
        <v>-16314.2</v>
      </c>
      <c r="G71" s="2">
        <v>0</v>
      </c>
      <c r="H71" s="2">
        <v>0</v>
      </c>
      <c r="I71" s="2">
        <v>0</v>
      </c>
      <c r="J71" s="2">
        <v>12</v>
      </c>
      <c r="K71" s="2">
        <v>1.12E-2</v>
      </c>
      <c r="L71" s="2">
        <v>1.1900000000000001E-2</v>
      </c>
      <c r="M71" s="2">
        <v>12</v>
      </c>
      <c r="N71" s="2">
        <v>0.13179234297109008</v>
      </c>
      <c r="O71" s="2">
        <v>0.71441942412879489</v>
      </c>
      <c r="P71" s="2">
        <v>0</v>
      </c>
      <c r="Q71" s="32">
        <v>-1.1814035683357302E-3</v>
      </c>
      <c r="R71" s="2">
        <v>4.4943274558091433E-4</v>
      </c>
      <c r="S71" s="2">
        <v>1.5289999999999999</v>
      </c>
      <c r="T71" s="2">
        <v>19.490524784644229</v>
      </c>
      <c r="U71" s="2">
        <f t="shared" si="0"/>
        <v>-64.297748171591536</v>
      </c>
      <c r="V71" s="2">
        <v>1.5804</v>
      </c>
      <c r="W71" s="2">
        <f t="shared" si="1"/>
        <v>0.10632632115021572</v>
      </c>
      <c r="X71">
        <f t="shared" si="5"/>
        <v>-1754.1472306179805</v>
      </c>
      <c r="Y71">
        <f t="shared" si="2"/>
        <v>0.60614251354920357</v>
      </c>
      <c r="Z71" s="83">
        <f>midMarket(K71,L71) +AA71/10000</f>
        <v>2.0549999999999898E-2</v>
      </c>
      <c r="AA71">
        <f>IF(rightFromSymbol(A71)="C",MAX(0,$N$16-strikeFromSymbol(A71)),MAX(0,strikeFromSymbol(A71)-$N$16))*10000</f>
        <v>89.999999999998977</v>
      </c>
      <c r="AB71" s="84">
        <f t="shared" si="6"/>
        <v>0</v>
      </c>
      <c r="AC71" s="47">
        <f t="shared" si="3"/>
        <v>0</v>
      </c>
      <c r="AD71" s="46">
        <f t="shared" si="4"/>
        <v>0</v>
      </c>
    </row>
    <row r="72" spans="1:33" x14ac:dyDescent="0.25">
      <c r="A72" s="2" t="s">
        <v>228</v>
      </c>
      <c r="B72" s="2">
        <v>-40</v>
      </c>
      <c r="C72" s="2">
        <v>8.1130999999999998E-3</v>
      </c>
      <c r="D72" s="2">
        <v>-20282.78</v>
      </c>
      <c r="E72" s="2">
        <v>395.97750000000002</v>
      </c>
      <c r="F72" s="27">
        <v>-4443.68</v>
      </c>
      <c r="G72" s="2">
        <v>0</v>
      </c>
      <c r="H72" s="2">
        <v>5.0000000000000001E-3</v>
      </c>
      <c r="I72" s="2">
        <v>10</v>
      </c>
      <c r="J72" s="2">
        <v>2</v>
      </c>
      <c r="K72" s="2">
        <v>7.7000000000000002E-3</v>
      </c>
      <c r="L72" s="2">
        <v>8.3000000000000001E-3</v>
      </c>
      <c r="M72" s="2">
        <v>12</v>
      </c>
      <c r="N72" s="2">
        <v>0.12457652848190404</v>
      </c>
      <c r="O72" s="2">
        <v>0.60565577508855184</v>
      </c>
      <c r="P72" s="2">
        <v>0</v>
      </c>
      <c r="Q72" s="32">
        <v>-1.2632794908104025E-3</v>
      </c>
      <c r="R72" s="2">
        <v>4.8768637566013427E-4</v>
      </c>
      <c r="S72" s="2">
        <v>1.5289999999999999</v>
      </c>
      <c r="T72" s="2">
        <v>22.057256759054418</v>
      </c>
      <c r="U72" s="2">
        <f t="shared" si="0"/>
        <v>-24.226231003542075</v>
      </c>
      <c r="V72" s="2">
        <v>1.5804</v>
      </c>
      <c r="W72" s="2">
        <f t="shared" si="1"/>
        <v>5.0531179632416101E-2</v>
      </c>
      <c r="X72">
        <f t="shared" si="5"/>
        <v>-882.29027036217667</v>
      </c>
      <c r="Y72">
        <f t="shared" si="2"/>
        <v>0.57272738156426972</v>
      </c>
      <c r="Z72" s="83">
        <f t="shared" ref="Z72:Z89" si="7">midMarket(K72,L72) +AA72/10000</f>
        <v>1.2000000000000004E-2</v>
      </c>
      <c r="AA72">
        <f>IF(rightFromSymbol(A72)="C",MAX(0,$N$16-strikeFromSymbol(A72)),MAX(0,strikeFromSymbol(A72)-$N$16))*10000</f>
        <v>40.000000000000036</v>
      </c>
      <c r="AB72" s="84">
        <f t="shared" si="6"/>
        <v>0</v>
      </c>
      <c r="AC72" s="47">
        <f t="shared" si="3"/>
        <v>0</v>
      </c>
      <c r="AD72" s="46">
        <f t="shared" si="4"/>
        <v>0</v>
      </c>
    </row>
    <row r="73" spans="1:33" x14ac:dyDescent="0.25">
      <c r="A73" s="2" t="s">
        <v>229</v>
      </c>
      <c r="B73" s="2">
        <v>-30</v>
      </c>
      <c r="C73" s="2">
        <v>2.8035500000000001E-3</v>
      </c>
      <c r="D73" s="2">
        <v>-5256.67</v>
      </c>
      <c r="E73" s="2">
        <v>372.54</v>
      </c>
      <c r="F73" s="27">
        <v>5919.53</v>
      </c>
      <c r="G73" s="2">
        <v>0</v>
      </c>
      <c r="H73" s="2">
        <v>2.5999999999999999E-3</v>
      </c>
      <c r="I73" s="2">
        <v>1</v>
      </c>
      <c r="J73" s="2">
        <v>5</v>
      </c>
      <c r="K73" s="2">
        <v>2.3E-3</v>
      </c>
      <c r="L73" s="2">
        <v>2.7000000000000001E-3</v>
      </c>
      <c r="M73" s="2">
        <v>20</v>
      </c>
      <c r="N73" s="2">
        <v>0.12250438433721578</v>
      </c>
      <c r="O73" s="2">
        <v>-0.27213079976675819</v>
      </c>
      <c r="P73" s="33">
        <v>0</v>
      </c>
      <c r="Q73" s="32">
        <v>-1.0698809196022297E-3</v>
      </c>
      <c r="R73" s="2">
        <v>4.0147621485073746E-4</v>
      </c>
      <c r="S73" s="2">
        <v>1.5289999999999999</v>
      </c>
      <c r="T73" s="2">
        <v>18.892604533370115</v>
      </c>
      <c r="U73" s="2">
        <f t="shared" si="0"/>
        <v>8.1639239930027454</v>
      </c>
      <c r="V73" s="2">
        <v>1.5804</v>
      </c>
      <c r="W73" s="2">
        <f t="shared" si="1"/>
        <v>3.2096427588066891E-2</v>
      </c>
      <c r="X73">
        <f t="shared" si="5"/>
        <v>-566.77813600110346</v>
      </c>
      <c r="Y73">
        <f t="shared" si="2"/>
        <v>0.56629614922203697</v>
      </c>
      <c r="Z73" s="83">
        <f t="shared" si="7"/>
        <v>2.5000000000000001E-3</v>
      </c>
      <c r="AA73">
        <f>IF(rightFromSymbol(A73)="C",MAX(0,$N$16-strikeFromSymbol(A73)),MAX(0,strikeFromSymbol(A73)-$N$16))*10000</f>
        <v>0</v>
      </c>
      <c r="AB73" s="84">
        <f t="shared" si="6"/>
        <v>25</v>
      </c>
      <c r="AC73" s="47">
        <f t="shared" si="3"/>
        <v>750</v>
      </c>
      <c r="AD73" s="46">
        <f t="shared" si="4"/>
        <v>4687.5</v>
      </c>
    </row>
    <row r="74" spans="1:33" x14ac:dyDescent="0.25">
      <c r="A74" s="2" t="s">
        <v>239</v>
      </c>
      <c r="B74" s="2">
        <v>-50</v>
      </c>
      <c r="C74" s="2">
        <v>4.4320000000000002E-3</v>
      </c>
      <c r="D74" s="2">
        <v>-13850</v>
      </c>
      <c r="E74" s="2">
        <v>372.54</v>
      </c>
      <c r="F74" s="27">
        <v>4777</v>
      </c>
      <c r="G74" s="2">
        <v>0</v>
      </c>
      <c r="H74" s="2">
        <v>5.4999999999999997E-3</v>
      </c>
      <c r="I74" s="2">
        <v>1</v>
      </c>
      <c r="J74" s="2">
        <v>17</v>
      </c>
      <c r="K74" s="2">
        <v>3.8E-3</v>
      </c>
      <c r="L74" s="2">
        <v>4.3E-3</v>
      </c>
      <c r="M74" s="2">
        <v>52</v>
      </c>
      <c r="N74" s="2">
        <v>0.11982389468176097</v>
      </c>
      <c r="O74" s="2">
        <v>-0.39038992081276652</v>
      </c>
      <c r="P74" s="2">
        <v>0</v>
      </c>
      <c r="Q74" s="32">
        <v>-1.2132704734394242E-3</v>
      </c>
      <c r="R74" s="2">
        <v>4.8768791596455561E-4</v>
      </c>
      <c r="S74" s="2">
        <v>1.5289999999999999</v>
      </c>
      <c r="T74" s="2">
        <v>21.583812425178412</v>
      </c>
      <c r="U74" s="2">
        <f t="shared" si="0"/>
        <v>19.519496040638327</v>
      </c>
      <c r="V74" s="2">
        <v>1.5804</v>
      </c>
      <c r="W74" s="2">
        <f t="shared" si="1"/>
        <v>6.0663523671971212E-2</v>
      </c>
      <c r="X74">
        <f t="shared" si="5"/>
        <v>-1079.1906212589206</v>
      </c>
      <c r="Y74">
        <f t="shared" si="2"/>
        <v>0.5621205603251509</v>
      </c>
      <c r="Z74" s="83">
        <f t="shared" si="7"/>
        <v>4.0499999999999998E-3</v>
      </c>
      <c r="AA74">
        <f>IF(rightFromSymbol(A74)="C",MAX(0,$N$16-strikeFromSymbol(A74)),MAX(0,strikeFromSymbol(A74)-$N$16))*10000</f>
        <v>0</v>
      </c>
      <c r="AB74" s="84">
        <f t="shared" si="6"/>
        <v>40.5</v>
      </c>
      <c r="AC74" s="47">
        <f t="shared" si="3"/>
        <v>2025</v>
      </c>
      <c r="AD74" s="46">
        <f t="shared" si="4"/>
        <v>12656.25</v>
      </c>
    </row>
    <row r="75" spans="1:33" x14ac:dyDescent="0.25">
      <c r="A75" s="2" t="s">
        <v>230</v>
      </c>
      <c r="B75" s="2">
        <v>-30</v>
      </c>
      <c r="C75" s="2">
        <v>5.3845000000000004E-3</v>
      </c>
      <c r="D75" s="2">
        <v>-10095.94</v>
      </c>
      <c r="E75" s="2">
        <v>241.29</v>
      </c>
      <c r="F75" s="27">
        <v>-2857.24</v>
      </c>
      <c r="G75" s="2">
        <v>0</v>
      </c>
      <c r="H75" s="2">
        <v>0</v>
      </c>
      <c r="I75" s="2">
        <v>0</v>
      </c>
      <c r="J75" s="2">
        <v>17</v>
      </c>
      <c r="K75" s="2">
        <v>5.0000000000000001E-3</v>
      </c>
      <c r="L75" s="2">
        <v>5.4999999999999997E-3</v>
      </c>
      <c r="M75" s="2">
        <v>23</v>
      </c>
      <c r="N75" s="2">
        <v>0.12168069949504573</v>
      </c>
      <c r="O75" s="2">
        <v>0.47543628583747988</v>
      </c>
      <c r="P75" s="2">
        <v>0</v>
      </c>
      <c r="Q75" s="32">
        <v>-1.2712684554512059E-3</v>
      </c>
      <c r="R75" s="2">
        <v>4.8848546429452241E-4</v>
      </c>
      <c r="S75" s="2">
        <v>1.5289999999999999</v>
      </c>
      <c r="T75" s="2">
        <v>23.155445172050076</v>
      </c>
      <c r="U75" s="2">
        <f t="shared" si="0"/>
        <v>-14.263088575124396</v>
      </c>
      <c r="V75" s="2">
        <v>1.5804</v>
      </c>
      <c r="W75" s="2">
        <f t="shared" si="1"/>
        <v>3.8138053663536176E-2</v>
      </c>
      <c r="X75">
        <f t="shared" si="5"/>
        <v>-694.6633551615023</v>
      </c>
      <c r="Y75">
        <f t="shared" si="2"/>
        <v>0.54901490599960401</v>
      </c>
      <c r="Z75" s="83">
        <f t="shared" si="7"/>
        <v>5.2499999999999995E-3</v>
      </c>
      <c r="AA75">
        <f>IF(rightFromSymbol(A75)="C",MAX(0,$N$16-strikeFromSymbol(A75)),MAX(0,strikeFromSymbol(A75)-$N$16))*10000</f>
        <v>0</v>
      </c>
      <c r="AB75" s="84">
        <f t="shared" si="6"/>
        <v>52.499999999999993</v>
      </c>
      <c r="AC75" s="47">
        <f t="shared" si="3"/>
        <v>1574.9999999999998</v>
      </c>
      <c r="AD75" s="46">
        <f t="shared" si="4"/>
        <v>9843.7499999999982</v>
      </c>
    </row>
    <row r="76" spans="1:33" x14ac:dyDescent="0.25">
      <c r="A76" s="2" t="s">
        <v>231</v>
      </c>
      <c r="B76" s="2">
        <v>-50</v>
      </c>
      <c r="C76" s="2">
        <v>3.3319999999999999E-3</v>
      </c>
      <c r="D76" s="2">
        <v>-10412.5</v>
      </c>
      <c r="E76" s="2">
        <v>153.79</v>
      </c>
      <c r="F76" s="27">
        <v>-2723</v>
      </c>
      <c r="G76" s="2">
        <v>0</v>
      </c>
      <c r="H76" s="2">
        <v>0</v>
      </c>
      <c r="I76" s="2">
        <v>0</v>
      </c>
      <c r="J76" s="2">
        <v>20</v>
      </c>
      <c r="K76" s="2">
        <v>3.0000000000000001E-3</v>
      </c>
      <c r="L76" s="2">
        <v>3.3E-3</v>
      </c>
      <c r="M76" s="2">
        <v>7</v>
      </c>
      <c r="N76" s="2">
        <v>0.11768878763389563</v>
      </c>
      <c r="O76" s="2">
        <v>0.34155118141990598</v>
      </c>
      <c r="P76" s="2">
        <v>0</v>
      </c>
      <c r="Q76" s="32">
        <v>-1.1299238801905224E-3</v>
      </c>
      <c r="R76" s="2">
        <v>4.5164617959898455E-4</v>
      </c>
      <c r="S76" s="2">
        <v>1.5289999999999999</v>
      </c>
      <c r="T76" s="2">
        <v>22.319573895795259</v>
      </c>
      <c r="U76" s="2">
        <f t="shared" si="0"/>
        <v>-17.077559070995299</v>
      </c>
      <c r="V76" s="2">
        <v>1.5804</v>
      </c>
      <c r="W76" s="2">
        <f t="shared" si="1"/>
        <v>5.6496194009526116E-2</v>
      </c>
      <c r="X76">
        <f t="shared" si="5"/>
        <v>-1115.9786947897628</v>
      </c>
      <c r="Y76">
        <f t="shared" si="2"/>
        <v>0.50624796219939783</v>
      </c>
      <c r="Z76" s="83">
        <f t="shared" si="7"/>
        <v>3.15E-3</v>
      </c>
      <c r="AA76">
        <f>IF(rightFromSymbol(A76)="C",MAX(0,$N$16-strikeFromSymbol(A76)),MAX(0,strikeFromSymbol(A76)-$N$16))*10000</f>
        <v>0</v>
      </c>
      <c r="AB76" s="84">
        <f t="shared" si="6"/>
        <v>31.5</v>
      </c>
      <c r="AC76" s="47">
        <f t="shared" si="3"/>
        <v>1575</v>
      </c>
      <c r="AD76" s="46">
        <f t="shared" si="4"/>
        <v>9843.75</v>
      </c>
    </row>
    <row r="77" spans="1:33" x14ac:dyDescent="0.25">
      <c r="A77" s="2"/>
      <c r="B77" s="2"/>
      <c r="C77" s="2"/>
      <c r="D77" s="2"/>
      <c r="E77" s="2"/>
      <c r="F77" s="27"/>
      <c r="G77" s="2"/>
      <c r="H77" s="2"/>
      <c r="I77" s="2"/>
      <c r="J77" s="2"/>
      <c r="K77" s="2"/>
      <c r="L77" s="2"/>
      <c r="M77" s="2"/>
      <c r="N77" s="2"/>
      <c r="O77" s="2"/>
      <c r="P77" s="2"/>
      <c r="Q77" s="32"/>
      <c r="R77" s="2"/>
      <c r="S77" s="2"/>
      <c r="T77" s="2"/>
      <c r="U77" s="2">
        <f t="shared" si="0"/>
        <v>0</v>
      </c>
      <c r="V77" s="2">
        <v>1.5804</v>
      </c>
      <c r="W77" s="2">
        <f t="shared" si="1"/>
        <v>0</v>
      </c>
      <c r="X77">
        <f t="shared" si="5"/>
        <v>0</v>
      </c>
      <c r="Y77">
        <f t="shared" si="2"/>
        <v>0</v>
      </c>
      <c r="Z77" s="83">
        <f t="shared" si="7"/>
        <v>0</v>
      </c>
      <c r="AA77">
        <f>IF(rightFromSymbol(A77)="C",MAX(0,$N$16-strikeFromSymbol(A77)),MAX(0,strikeFromSymbol(A77)-$N$16))*10000</f>
        <v>0</v>
      </c>
      <c r="AB77" s="84">
        <f t="shared" si="6"/>
        <v>0</v>
      </c>
      <c r="AC77" s="47">
        <f t="shared" si="3"/>
        <v>0</v>
      </c>
      <c r="AD77" s="46">
        <f t="shared" si="4"/>
        <v>0</v>
      </c>
    </row>
    <row r="78" spans="1:33" x14ac:dyDescent="0.25">
      <c r="A78" s="2"/>
      <c r="B78" s="2"/>
      <c r="C78" s="2"/>
      <c r="D78" s="2"/>
      <c r="E78" s="2"/>
      <c r="F78" s="27"/>
      <c r="G78" s="2"/>
      <c r="H78" s="2"/>
      <c r="I78" s="2"/>
      <c r="J78" s="2"/>
      <c r="K78" s="2"/>
      <c r="L78" s="2"/>
      <c r="M78" s="2"/>
      <c r="N78" s="2"/>
      <c r="O78" s="2"/>
      <c r="P78" s="2"/>
      <c r="Q78" s="32"/>
      <c r="R78" s="2"/>
      <c r="S78" s="2"/>
      <c r="T78" s="2"/>
      <c r="U78" s="2">
        <f t="shared" si="0"/>
        <v>0</v>
      </c>
      <c r="V78" s="2">
        <v>1.5804</v>
      </c>
      <c r="W78" s="2">
        <f t="shared" si="1"/>
        <v>0</v>
      </c>
      <c r="X78">
        <f t="shared" si="5"/>
        <v>0</v>
      </c>
      <c r="Y78">
        <f t="shared" si="2"/>
        <v>0</v>
      </c>
      <c r="Z78" s="83">
        <f t="shared" si="7"/>
        <v>0</v>
      </c>
      <c r="AA78">
        <f>IF(rightFromSymbol(A78)="C",MAX(0,$N$16-strikeFromSymbol(A78)),MAX(0,strikeFromSymbol(A78)-$N$16))*10000</f>
        <v>0</v>
      </c>
      <c r="AB78" s="84">
        <f t="shared" si="6"/>
        <v>0</v>
      </c>
      <c r="AC78" s="47">
        <f t="shared" si="3"/>
        <v>0</v>
      </c>
      <c r="AD78" s="46">
        <f>MAX(0,AC78*6.25)</f>
        <v>0</v>
      </c>
    </row>
    <row r="79" spans="1:33" x14ac:dyDescent="0.25">
      <c r="A79" s="2"/>
      <c r="B79" s="2"/>
      <c r="C79" s="2"/>
      <c r="D79" s="2"/>
      <c r="E79" s="2"/>
      <c r="F79" s="27"/>
      <c r="G79" s="2"/>
      <c r="H79" s="2"/>
      <c r="I79" s="2"/>
      <c r="J79" s="2"/>
      <c r="K79" s="2"/>
      <c r="L79" s="2"/>
      <c r="M79" s="2"/>
      <c r="N79" s="2"/>
      <c r="O79" s="2"/>
      <c r="P79" s="2"/>
      <c r="Q79" s="32"/>
      <c r="R79" s="2"/>
      <c r="S79" s="2"/>
      <c r="T79" s="2"/>
      <c r="U79" s="2">
        <f t="shared" si="0"/>
        <v>0</v>
      </c>
      <c r="V79" s="2">
        <v>1.5804</v>
      </c>
      <c r="W79" s="2">
        <f t="shared" si="1"/>
        <v>0</v>
      </c>
      <c r="X79">
        <f t="shared" si="5"/>
        <v>0</v>
      </c>
      <c r="Y79">
        <f t="shared" si="2"/>
        <v>0</v>
      </c>
      <c r="Z79" s="83">
        <f t="shared" si="7"/>
        <v>0</v>
      </c>
      <c r="AA79">
        <f>IF(rightFromSymbol(A79)="C",MAX(0,$N$16-strikeFromSymbol(A79)),MAX(0,strikeFromSymbol(A79)-$N$16))*10000</f>
        <v>0</v>
      </c>
      <c r="AB79" s="84">
        <f t="shared" si="6"/>
        <v>0</v>
      </c>
      <c r="AC79" s="47">
        <f t="shared" si="3"/>
        <v>0</v>
      </c>
      <c r="AD79" s="46">
        <f t="shared" ref="AD79:AD89" si="8">MAX(0,AC79*6.25)</f>
        <v>0</v>
      </c>
    </row>
    <row r="80" spans="1:33" x14ac:dyDescent="0.25">
      <c r="A80" s="2"/>
      <c r="B80" s="2"/>
      <c r="C80" s="2"/>
      <c r="D80" s="2"/>
      <c r="E80" s="2"/>
      <c r="F80" s="27"/>
      <c r="G80" s="2"/>
      <c r="H80" s="2"/>
      <c r="I80" s="2"/>
      <c r="J80" s="2"/>
      <c r="K80" s="2"/>
      <c r="L80" s="2"/>
      <c r="M80" s="2"/>
      <c r="N80" s="2"/>
      <c r="O80" s="2"/>
      <c r="P80" s="2"/>
      <c r="Q80" s="32"/>
      <c r="R80" s="2"/>
      <c r="S80" s="2"/>
      <c r="T80" s="2"/>
      <c r="U80" s="2">
        <f t="shared" si="0"/>
        <v>0</v>
      </c>
      <c r="V80" s="2"/>
      <c r="W80" s="2">
        <f t="shared" si="1"/>
        <v>0</v>
      </c>
      <c r="X80">
        <f t="shared" si="5"/>
        <v>0</v>
      </c>
      <c r="Y80">
        <f t="shared" si="2"/>
        <v>0</v>
      </c>
      <c r="Z80" s="83">
        <f t="shared" si="7"/>
        <v>0</v>
      </c>
      <c r="AA80">
        <f>IF(rightFromSymbol(A80)="C",MAX(0,$N$16-strikeFromSymbol(A80)),MAX(0,strikeFromSymbol(A80)-$N$16))*10000</f>
        <v>0</v>
      </c>
      <c r="AB80" s="84">
        <f t="shared" si="6"/>
        <v>0</v>
      </c>
      <c r="AC80" s="47">
        <f t="shared" si="3"/>
        <v>0</v>
      </c>
      <c r="AD80" s="46">
        <f t="shared" si="8"/>
        <v>0</v>
      </c>
    </row>
    <row r="81" spans="1:30" x14ac:dyDescent="0.25">
      <c r="A81" s="2"/>
      <c r="B81" s="2"/>
      <c r="C81" s="2"/>
      <c r="D81" s="2"/>
      <c r="E81" s="2"/>
      <c r="F81" s="27"/>
      <c r="G81" s="2"/>
      <c r="H81" s="2"/>
      <c r="I81" s="2"/>
      <c r="J81" s="2"/>
      <c r="K81" s="2"/>
      <c r="L81" s="2"/>
      <c r="M81" s="2"/>
      <c r="N81" s="2"/>
      <c r="O81" s="2"/>
      <c r="P81" s="2"/>
      <c r="Q81" s="32"/>
      <c r="R81" s="2"/>
      <c r="S81" s="2"/>
      <c r="T81" s="2"/>
      <c r="U81" s="2">
        <f t="shared" si="0"/>
        <v>0</v>
      </c>
      <c r="V81" s="2"/>
      <c r="W81" s="2">
        <f t="shared" si="1"/>
        <v>0</v>
      </c>
      <c r="X81">
        <f t="shared" si="5"/>
        <v>0</v>
      </c>
      <c r="Y81">
        <f t="shared" si="2"/>
        <v>0</v>
      </c>
      <c r="Z81" s="83">
        <f t="shared" si="7"/>
        <v>0</v>
      </c>
      <c r="AA81">
        <f>IF(rightFromSymbol(A81)="C",MAX(0,$N$16-strikeFromSymbol(A81)),MAX(0,strikeFromSymbol(A81)-$N$16))*10000</f>
        <v>0</v>
      </c>
      <c r="AB81" s="84">
        <f t="shared" si="6"/>
        <v>0</v>
      </c>
      <c r="AC81" s="47">
        <f t="shared" si="3"/>
        <v>0</v>
      </c>
      <c r="AD81" s="46">
        <f t="shared" si="8"/>
        <v>0</v>
      </c>
    </row>
    <row r="82" spans="1:30" x14ac:dyDescent="0.25">
      <c r="A82" s="2"/>
      <c r="B82" s="2"/>
      <c r="C82" s="2"/>
      <c r="D82" s="2"/>
      <c r="E82" s="2"/>
      <c r="F82" s="27"/>
      <c r="G82" s="2"/>
      <c r="H82" s="2"/>
      <c r="I82" s="2"/>
      <c r="J82" s="2"/>
      <c r="K82" s="2"/>
      <c r="L82" s="2"/>
      <c r="M82" s="2"/>
      <c r="N82" s="2"/>
      <c r="O82" s="2"/>
      <c r="P82" s="2"/>
      <c r="Q82" s="32"/>
      <c r="R82" s="2"/>
      <c r="S82" s="2"/>
      <c r="T82" s="2"/>
      <c r="U82" s="2">
        <f t="shared" si="0"/>
        <v>0</v>
      </c>
      <c r="V82" s="2"/>
      <c r="W82" s="2">
        <f t="shared" si="1"/>
        <v>0</v>
      </c>
      <c r="X82">
        <f t="shared" si="5"/>
        <v>0</v>
      </c>
      <c r="Y82">
        <f t="shared" si="2"/>
        <v>0</v>
      </c>
      <c r="Z82" s="83">
        <f t="shared" si="7"/>
        <v>0</v>
      </c>
      <c r="AA82">
        <f>IF(rightFromSymbol(A82)="C",MAX(0,$N$16-strikeFromSymbol(A82)),MAX(0,strikeFromSymbol(A82)-$N$16))*10000</f>
        <v>0</v>
      </c>
      <c r="AB82" s="84">
        <f t="shared" si="6"/>
        <v>0</v>
      </c>
      <c r="AC82" s="47">
        <f t="shared" si="3"/>
        <v>0</v>
      </c>
      <c r="AD82" s="46">
        <f t="shared" si="8"/>
        <v>0</v>
      </c>
    </row>
    <row r="83" spans="1:30" x14ac:dyDescent="0.25">
      <c r="A83" s="2"/>
      <c r="B83" s="2"/>
      <c r="C83" s="2"/>
      <c r="D83" s="2"/>
      <c r="E83" s="2"/>
      <c r="F83" s="27"/>
      <c r="G83" s="2"/>
      <c r="H83" s="2"/>
      <c r="I83" s="2"/>
      <c r="J83" s="2"/>
      <c r="K83" s="2"/>
      <c r="L83" s="2"/>
      <c r="M83" s="2"/>
      <c r="N83" s="2"/>
      <c r="O83" s="2"/>
      <c r="P83" s="2"/>
      <c r="Q83" s="32"/>
      <c r="R83" s="2"/>
      <c r="S83" s="2"/>
      <c r="T83" s="2"/>
      <c r="U83" s="2">
        <f t="shared" si="0"/>
        <v>0</v>
      </c>
      <c r="V83" s="2"/>
      <c r="W83" s="2">
        <f t="shared" si="1"/>
        <v>0</v>
      </c>
      <c r="X83">
        <f t="shared" si="5"/>
        <v>0</v>
      </c>
      <c r="Y83">
        <f t="shared" si="2"/>
        <v>0</v>
      </c>
      <c r="Z83" s="83">
        <f t="shared" si="7"/>
        <v>0</v>
      </c>
      <c r="AA83">
        <f>IF(rightFromSymbol(A83)="C",MAX(0,$N$16-strikeFromSymbol(A83)),MAX(0,strikeFromSymbol(A83)-$N$16))*10000</f>
        <v>0</v>
      </c>
      <c r="AB83" s="84">
        <f t="shared" si="6"/>
        <v>0</v>
      </c>
      <c r="AC83" s="47">
        <f t="shared" si="3"/>
        <v>0</v>
      </c>
      <c r="AD83" s="46">
        <f t="shared" si="8"/>
        <v>0</v>
      </c>
    </row>
    <row r="84" spans="1:30" x14ac:dyDescent="0.25">
      <c r="A84" s="2"/>
      <c r="B84" s="2"/>
      <c r="C84" s="2"/>
      <c r="D84" s="2"/>
      <c r="E84" s="2"/>
      <c r="F84" s="27"/>
      <c r="G84" s="2"/>
      <c r="H84" s="2"/>
      <c r="I84" s="2"/>
      <c r="J84" s="2"/>
      <c r="K84" s="2"/>
      <c r="L84" s="2"/>
      <c r="M84" s="2"/>
      <c r="N84" s="2"/>
      <c r="O84" s="2"/>
      <c r="P84" s="2"/>
      <c r="Q84" s="32"/>
      <c r="R84" s="2"/>
      <c r="S84" s="2"/>
      <c r="T84" s="2"/>
      <c r="U84" s="2">
        <f t="shared" si="0"/>
        <v>0</v>
      </c>
      <c r="V84" s="2"/>
      <c r="W84" s="2">
        <f t="shared" si="1"/>
        <v>0</v>
      </c>
      <c r="X84">
        <f t="shared" si="5"/>
        <v>0</v>
      </c>
      <c r="Y84">
        <f t="shared" si="2"/>
        <v>0</v>
      </c>
      <c r="Z84" s="83">
        <f t="shared" si="7"/>
        <v>0</v>
      </c>
      <c r="AA84">
        <f>IF(rightFromSymbol(A84)="C",MAX(0,$N$16-strikeFromSymbol(A84)),MAX(0,strikeFromSymbol(A84)-$N$16))*10000</f>
        <v>0</v>
      </c>
      <c r="AB84" s="84">
        <f t="shared" si="6"/>
        <v>0</v>
      </c>
      <c r="AC84" s="47">
        <f t="shared" si="3"/>
        <v>0</v>
      </c>
      <c r="AD84" s="46">
        <f t="shared" si="8"/>
        <v>0</v>
      </c>
    </row>
    <row r="85" spans="1:30" x14ac:dyDescent="0.25">
      <c r="A85" s="2"/>
      <c r="B85" s="2"/>
      <c r="C85" s="2"/>
      <c r="D85" s="2"/>
      <c r="E85" s="2"/>
      <c r="F85" s="27"/>
      <c r="G85" s="2"/>
      <c r="H85" s="2"/>
      <c r="I85" s="2"/>
      <c r="J85" s="2"/>
      <c r="K85" s="2"/>
      <c r="L85" s="2"/>
      <c r="M85" s="2"/>
      <c r="N85" s="2"/>
      <c r="O85" s="2"/>
      <c r="P85" s="2"/>
      <c r="Q85" s="32"/>
      <c r="R85" s="2"/>
      <c r="S85" s="2"/>
      <c r="T85" s="2"/>
      <c r="U85" s="2">
        <f t="shared" si="0"/>
        <v>0</v>
      </c>
      <c r="V85" s="2"/>
      <c r="W85" s="2">
        <f t="shared" si="1"/>
        <v>0</v>
      </c>
      <c r="X85">
        <f t="shared" si="5"/>
        <v>0</v>
      </c>
      <c r="Y85">
        <f t="shared" si="2"/>
        <v>0</v>
      </c>
      <c r="Z85" s="83">
        <f t="shared" si="7"/>
        <v>0</v>
      </c>
      <c r="AA85">
        <f>IF(rightFromSymbol(A85)="C",MAX(0,$N$16-strikeFromSymbol(A85)),MAX(0,strikeFromSymbol(A85)-$N$16))*10000</f>
        <v>0</v>
      </c>
      <c r="AB85" s="84">
        <f t="shared" si="6"/>
        <v>0</v>
      </c>
      <c r="AC85" s="47">
        <f t="shared" si="3"/>
        <v>0</v>
      </c>
      <c r="AD85" s="46">
        <f t="shared" si="8"/>
        <v>0</v>
      </c>
    </row>
    <row r="86" spans="1:30" x14ac:dyDescent="0.25">
      <c r="A86" s="2"/>
      <c r="B86" s="2"/>
      <c r="C86" s="2"/>
      <c r="D86" s="2"/>
      <c r="E86" s="2"/>
      <c r="F86" s="27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>
        <f t="shared" si="0"/>
        <v>0</v>
      </c>
      <c r="V86" s="2"/>
      <c r="W86" s="2">
        <f t="shared" si="1"/>
        <v>0</v>
      </c>
      <c r="X86">
        <f t="shared" si="5"/>
        <v>0</v>
      </c>
      <c r="Y86">
        <f t="shared" si="2"/>
        <v>0</v>
      </c>
      <c r="Z86" s="83">
        <f t="shared" si="7"/>
        <v>0</v>
      </c>
      <c r="AA86">
        <f>IF(rightFromSymbol(A86)="C",MAX(0,$N$16-strikeFromSymbol(A86)),MAX(0,strikeFromSymbol(A86)-$N$16))*10000</f>
        <v>0</v>
      </c>
      <c r="AB86" s="84">
        <f t="shared" si="6"/>
        <v>0</v>
      </c>
      <c r="AC86" s="47">
        <f t="shared" si="3"/>
        <v>0</v>
      </c>
      <c r="AD86" s="46">
        <f t="shared" si="8"/>
        <v>0</v>
      </c>
    </row>
    <row r="87" spans="1:30" x14ac:dyDescent="0.25">
      <c r="A87" s="2"/>
      <c r="B87" s="2"/>
      <c r="C87" s="2"/>
      <c r="D87" s="2"/>
      <c r="E87" s="2"/>
      <c r="F87" s="27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>
        <f t="shared" si="0"/>
        <v>0</v>
      </c>
      <c r="V87" s="2"/>
      <c r="W87" s="2">
        <f t="shared" si="1"/>
        <v>0</v>
      </c>
      <c r="X87">
        <f t="shared" si="5"/>
        <v>0</v>
      </c>
      <c r="Y87">
        <f t="shared" si="2"/>
        <v>0</v>
      </c>
      <c r="Z87" s="83">
        <f t="shared" si="7"/>
        <v>0</v>
      </c>
      <c r="AA87">
        <f>IF(rightFromSymbol(A87)="C",MAX(0,$N$16-strikeFromSymbol(A87)),MAX(0,strikeFromSymbol(A87)-$N$16))*10000</f>
        <v>0</v>
      </c>
      <c r="AB87" s="84">
        <f t="shared" si="6"/>
        <v>0</v>
      </c>
      <c r="AC87" s="47">
        <f t="shared" si="3"/>
        <v>0</v>
      </c>
      <c r="AD87" s="46">
        <f t="shared" si="8"/>
        <v>0</v>
      </c>
    </row>
    <row r="88" spans="1:30" x14ac:dyDescent="0.25">
      <c r="A88" s="2"/>
      <c r="B88" s="2"/>
      <c r="C88" s="2"/>
      <c r="D88" s="2"/>
      <c r="E88" s="2"/>
      <c r="F88" s="27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f t="shared" si="0"/>
        <v>0</v>
      </c>
      <c r="V88" s="2"/>
      <c r="W88" s="2">
        <f t="shared" si="1"/>
        <v>0</v>
      </c>
      <c r="X88">
        <f t="shared" si="5"/>
        <v>0</v>
      </c>
      <c r="Y88">
        <f t="shared" si="2"/>
        <v>0</v>
      </c>
      <c r="Z88" s="83">
        <f t="shared" si="7"/>
        <v>0</v>
      </c>
      <c r="AA88">
        <f>IF(rightFromSymbol(A88)="C",MAX(0,$N$16-strikeFromSymbol(A88)),MAX(0,strikeFromSymbol(A88)-$N$16))*10000</f>
        <v>0</v>
      </c>
      <c r="AB88" s="84">
        <f t="shared" si="6"/>
        <v>0</v>
      </c>
      <c r="AC88" s="47">
        <f t="shared" si="3"/>
        <v>0</v>
      </c>
      <c r="AD88" s="46">
        <f t="shared" si="8"/>
        <v>0</v>
      </c>
    </row>
    <row r="89" spans="1:30" x14ac:dyDescent="0.25">
      <c r="A89" s="2"/>
      <c r="B89" s="2"/>
      <c r="C89" s="2"/>
      <c r="D89" s="2"/>
      <c r="E89" s="2"/>
      <c r="F89" s="27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f t="shared" si="0"/>
        <v>0</v>
      </c>
      <c r="V89" s="2"/>
      <c r="W89" s="2">
        <f t="shared" si="1"/>
        <v>0</v>
      </c>
      <c r="X89">
        <f t="shared" si="5"/>
        <v>0</v>
      </c>
      <c r="Y89">
        <f t="shared" si="2"/>
        <v>0</v>
      </c>
      <c r="Z89" s="83">
        <f t="shared" si="7"/>
        <v>0</v>
      </c>
      <c r="AA89">
        <f>IF(rightFromSymbol(A89)="C",MAX(0,$N$16-strikeFromSymbol(A89)),MAX(0,strikeFromSymbol(A89)-$N$16))*10000</f>
        <v>0</v>
      </c>
      <c r="AB89" s="84">
        <f t="shared" si="6"/>
        <v>0</v>
      </c>
      <c r="AC89" s="47">
        <f t="shared" si="3"/>
        <v>0</v>
      </c>
      <c r="AD89" s="46">
        <f t="shared" si="8"/>
        <v>0</v>
      </c>
    </row>
    <row r="91" spans="1:30" x14ac:dyDescent="0.25">
      <c r="A91" s="108" t="s">
        <v>174</v>
      </c>
      <c r="B91" s="10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</row>
    <row r="92" spans="1:30" x14ac:dyDescent="0.25">
      <c r="A92" s="105" t="s">
        <v>41</v>
      </c>
      <c r="B92" s="106"/>
      <c r="C92" s="106"/>
      <c r="D92" s="106"/>
      <c r="E92" s="106"/>
      <c r="F92" s="106"/>
      <c r="G92" s="106"/>
      <c r="H92" s="106"/>
      <c r="I92" s="106"/>
      <c r="J92" s="106"/>
      <c r="K92" s="106"/>
      <c r="L92" s="106"/>
      <c r="M92" s="106"/>
    </row>
    <row r="93" spans="1:30" x14ac:dyDescent="0.25">
      <c r="A93" s="68" t="s">
        <v>9</v>
      </c>
      <c r="B93" s="67" t="s">
        <v>42</v>
      </c>
      <c r="C93" s="67" t="s">
        <v>43</v>
      </c>
      <c r="D93" s="67" t="s">
        <v>44</v>
      </c>
      <c r="E93" s="67" t="s">
        <v>45</v>
      </c>
      <c r="F93" s="67" t="s">
        <v>33</v>
      </c>
      <c r="G93" s="67" t="s">
        <v>46</v>
      </c>
      <c r="H93" s="67" t="s">
        <v>47</v>
      </c>
      <c r="I93" s="67" t="s">
        <v>48</v>
      </c>
      <c r="J93" s="67" t="s">
        <v>49</v>
      </c>
      <c r="K93" s="67" t="s">
        <v>50</v>
      </c>
      <c r="L93" s="67" t="s">
        <v>51</v>
      </c>
      <c r="M93" s="67" t="s">
        <v>52</v>
      </c>
    </row>
    <row r="94" spans="1:30" x14ac:dyDescent="0.25">
      <c r="A94" s="2" t="s">
        <v>180</v>
      </c>
      <c r="B94" s="16">
        <v>9701</v>
      </c>
      <c r="C94" s="20" t="s">
        <v>641</v>
      </c>
      <c r="D94" s="16" t="s">
        <v>642</v>
      </c>
      <c r="E94" s="16" t="s">
        <v>235</v>
      </c>
      <c r="F94" s="16">
        <v>3</v>
      </c>
      <c r="G94" s="16">
        <v>3</v>
      </c>
      <c r="H94" s="16">
        <v>1.5287999999999999</v>
      </c>
      <c r="I94" s="16">
        <v>1.5287999999999999</v>
      </c>
      <c r="J94" s="16">
        <v>1226100157</v>
      </c>
      <c r="K94" s="16">
        <v>0</v>
      </c>
      <c r="L94" s="16">
        <v>7</v>
      </c>
      <c r="M94" s="16"/>
    </row>
    <row r="95" spans="1:30" x14ac:dyDescent="0.25">
      <c r="A95" s="2" t="s">
        <v>180</v>
      </c>
      <c r="B95" s="16">
        <v>9701</v>
      </c>
      <c r="C95" s="20" t="s">
        <v>668</v>
      </c>
      <c r="D95" s="16" t="s">
        <v>642</v>
      </c>
      <c r="E95" s="16" t="s">
        <v>235</v>
      </c>
      <c r="F95" s="16">
        <v>2</v>
      </c>
      <c r="G95" s="16">
        <v>5</v>
      </c>
      <c r="H95" s="16">
        <v>1.5287999999999999</v>
      </c>
      <c r="I95" s="16">
        <v>1.5287999999999999</v>
      </c>
      <c r="J95" s="16">
        <v>1226100157</v>
      </c>
      <c r="K95" s="16">
        <v>0</v>
      </c>
      <c r="L95" s="16">
        <v>7</v>
      </c>
      <c r="M95" s="16"/>
    </row>
    <row r="96" spans="1:30" x14ac:dyDescent="0.25">
      <c r="A96" s="2" t="s">
        <v>180</v>
      </c>
      <c r="B96" s="16">
        <v>9704</v>
      </c>
      <c r="C96" s="20" t="s">
        <v>1490</v>
      </c>
      <c r="D96" s="16" t="s">
        <v>1491</v>
      </c>
      <c r="E96" s="16" t="s">
        <v>235</v>
      </c>
      <c r="F96" s="16">
        <v>4</v>
      </c>
      <c r="G96" s="16">
        <v>4</v>
      </c>
      <c r="H96" s="16">
        <v>1.5287999999999999</v>
      </c>
      <c r="I96" s="16">
        <v>1.5287999999999999</v>
      </c>
      <c r="J96" s="16">
        <v>1226100160</v>
      </c>
      <c r="K96" s="16">
        <v>0</v>
      </c>
      <c r="L96" s="16">
        <v>7</v>
      </c>
      <c r="M96" s="16"/>
    </row>
    <row r="97" spans="1:13" x14ac:dyDescent="0.25">
      <c r="A97" s="2" t="s">
        <v>180</v>
      </c>
      <c r="B97" s="16">
        <v>9704</v>
      </c>
      <c r="C97" s="20" t="s">
        <v>1593</v>
      </c>
      <c r="D97" s="16" t="s">
        <v>1594</v>
      </c>
      <c r="E97" s="16" t="s">
        <v>235</v>
      </c>
      <c r="F97" s="16">
        <v>1</v>
      </c>
      <c r="G97" s="16">
        <v>5</v>
      </c>
      <c r="H97" s="16">
        <v>1.5287999999999999</v>
      </c>
      <c r="I97" s="16">
        <v>1.5287999999999999</v>
      </c>
      <c r="J97" s="16">
        <v>1226100160</v>
      </c>
      <c r="K97" s="16">
        <v>0</v>
      </c>
      <c r="L97" s="16">
        <v>7</v>
      </c>
      <c r="M97" s="16"/>
    </row>
    <row r="98" spans="1:13" x14ac:dyDescent="0.25">
      <c r="A98" s="2" t="s">
        <v>180</v>
      </c>
      <c r="B98" s="16">
        <v>9705</v>
      </c>
      <c r="C98" s="22" t="s">
        <v>1865</v>
      </c>
      <c r="D98" s="16" t="s">
        <v>1866</v>
      </c>
      <c r="E98" s="16" t="s">
        <v>235</v>
      </c>
      <c r="F98" s="16">
        <v>1</v>
      </c>
      <c r="G98" s="16">
        <v>1</v>
      </c>
      <c r="H98" s="16">
        <v>1.5286999999999999</v>
      </c>
      <c r="I98" s="16">
        <v>1.5286999999999999</v>
      </c>
      <c r="J98" s="16">
        <v>1226100161</v>
      </c>
      <c r="K98" s="16">
        <v>0</v>
      </c>
      <c r="L98" s="16">
        <v>7</v>
      </c>
      <c r="M98" s="16"/>
    </row>
    <row r="99" spans="1:13" x14ac:dyDescent="0.25">
      <c r="A99" s="2" t="s">
        <v>180</v>
      </c>
      <c r="B99" s="16">
        <v>9705</v>
      </c>
      <c r="C99" s="22" t="s">
        <v>1887</v>
      </c>
      <c r="D99" s="16" t="s">
        <v>1866</v>
      </c>
      <c r="E99" s="16" t="s">
        <v>235</v>
      </c>
      <c r="F99" s="16">
        <v>4</v>
      </c>
      <c r="G99" s="16">
        <v>5</v>
      </c>
      <c r="H99" s="16">
        <v>1.5286999999999999</v>
      </c>
      <c r="I99" s="16">
        <v>1.5286999999999999</v>
      </c>
      <c r="J99" s="16">
        <v>1226100161</v>
      </c>
      <c r="K99" s="16">
        <v>0</v>
      </c>
      <c r="L99" s="16">
        <v>7</v>
      </c>
      <c r="M99" s="16"/>
    </row>
    <row r="100" spans="1:13" x14ac:dyDescent="0.25">
      <c r="A100" s="2" t="s">
        <v>180</v>
      </c>
      <c r="B100" s="16">
        <v>9708</v>
      </c>
      <c r="C100" s="22" t="s">
        <v>2157</v>
      </c>
      <c r="D100" s="16" t="s">
        <v>2158</v>
      </c>
      <c r="E100" s="16" t="s">
        <v>235</v>
      </c>
      <c r="F100" s="16">
        <v>3</v>
      </c>
      <c r="G100" s="16">
        <v>3</v>
      </c>
      <c r="H100" s="16">
        <v>1.5286999999999999</v>
      </c>
      <c r="I100" s="16">
        <v>1.5286999999999999</v>
      </c>
      <c r="J100" s="16">
        <v>1226100164</v>
      </c>
      <c r="K100" s="16">
        <v>0</v>
      </c>
      <c r="L100" s="16">
        <v>7</v>
      </c>
      <c r="M100" s="16"/>
    </row>
    <row r="101" spans="1:13" x14ac:dyDescent="0.25">
      <c r="A101" s="2" t="s">
        <v>180</v>
      </c>
      <c r="B101" s="16">
        <v>9708</v>
      </c>
      <c r="C101" s="20" t="s">
        <v>2284</v>
      </c>
      <c r="D101" s="16" t="s">
        <v>2285</v>
      </c>
      <c r="E101" s="16" t="s">
        <v>235</v>
      </c>
      <c r="F101" s="16">
        <v>2</v>
      </c>
      <c r="G101" s="16">
        <v>5</v>
      </c>
      <c r="H101" s="16">
        <v>1.5286999999999999</v>
      </c>
      <c r="I101" s="16">
        <v>1.5286999999999999</v>
      </c>
      <c r="J101" s="16">
        <v>1226100164</v>
      </c>
      <c r="K101" s="16">
        <v>0</v>
      </c>
      <c r="L101" s="16">
        <v>7</v>
      </c>
      <c r="M101" s="16"/>
    </row>
    <row r="102" spans="1:13" x14ac:dyDescent="0.25">
      <c r="A102" s="2" t="s">
        <v>180</v>
      </c>
      <c r="B102" s="16">
        <v>9710</v>
      </c>
      <c r="C102" s="22" t="s">
        <v>2319</v>
      </c>
      <c r="D102" s="16" t="s">
        <v>2285</v>
      </c>
      <c r="E102" s="16" t="s">
        <v>235</v>
      </c>
      <c r="F102" s="16">
        <v>4</v>
      </c>
      <c r="G102" s="16">
        <v>4</v>
      </c>
      <c r="H102" s="16">
        <v>1.5286999999999999</v>
      </c>
      <c r="I102" s="16">
        <v>1.5286999999999999</v>
      </c>
      <c r="J102" s="16">
        <v>1226100166</v>
      </c>
      <c r="K102" s="16">
        <v>0</v>
      </c>
      <c r="L102" s="16">
        <v>7</v>
      </c>
      <c r="M102" s="16"/>
    </row>
    <row r="103" spans="1:13" x14ac:dyDescent="0.25">
      <c r="A103" s="2" t="s">
        <v>180</v>
      </c>
      <c r="B103" s="16">
        <v>9710</v>
      </c>
      <c r="C103" s="20" t="s">
        <v>2348</v>
      </c>
      <c r="D103" s="16" t="s">
        <v>2349</v>
      </c>
      <c r="E103" s="16" t="s">
        <v>235</v>
      </c>
      <c r="F103" s="16">
        <v>1</v>
      </c>
      <c r="G103" s="16">
        <v>5</v>
      </c>
      <c r="H103" s="16">
        <v>1.5286999999999999</v>
      </c>
      <c r="I103" s="16">
        <v>1.5286999999999999</v>
      </c>
      <c r="J103" s="16">
        <v>1226100166</v>
      </c>
      <c r="K103" s="16">
        <v>0</v>
      </c>
      <c r="L103" s="16">
        <v>7</v>
      </c>
      <c r="M103" s="16"/>
    </row>
    <row r="104" spans="1:13" x14ac:dyDescent="0.25">
      <c r="A104" s="2" t="s">
        <v>180</v>
      </c>
      <c r="B104" s="16">
        <v>9713</v>
      </c>
      <c r="C104" s="22" t="s">
        <v>2452</v>
      </c>
      <c r="D104" s="16" t="s">
        <v>2453</v>
      </c>
      <c r="E104" s="16" t="s">
        <v>235</v>
      </c>
      <c r="F104" s="16">
        <v>1</v>
      </c>
      <c r="G104" s="16">
        <v>1</v>
      </c>
      <c r="H104" s="16">
        <v>1.5286999999999999</v>
      </c>
      <c r="I104" s="16">
        <v>1.5286999999999999</v>
      </c>
      <c r="J104" s="16">
        <v>1226100169</v>
      </c>
      <c r="K104" s="16">
        <v>0</v>
      </c>
      <c r="L104" s="16">
        <v>7</v>
      </c>
      <c r="M104" s="16"/>
    </row>
    <row r="105" spans="1:13" x14ac:dyDescent="0.25">
      <c r="A105" s="2" t="s">
        <v>180</v>
      </c>
      <c r="B105" s="16">
        <v>9713</v>
      </c>
      <c r="C105" s="20" t="s">
        <v>2491</v>
      </c>
      <c r="D105" s="16" t="s">
        <v>2492</v>
      </c>
      <c r="E105" s="16" t="s">
        <v>235</v>
      </c>
      <c r="F105" s="16">
        <v>2</v>
      </c>
      <c r="G105" s="16">
        <v>3</v>
      </c>
      <c r="H105" s="16">
        <v>1.5286999999999999</v>
      </c>
      <c r="I105" s="16">
        <v>1.5286999999999999</v>
      </c>
      <c r="J105" s="16">
        <v>1226100169</v>
      </c>
      <c r="K105" s="16">
        <v>0</v>
      </c>
      <c r="L105" s="16">
        <v>7</v>
      </c>
      <c r="M105" s="16"/>
    </row>
    <row r="106" spans="1:13" x14ac:dyDescent="0.25">
      <c r="A106" s="2" t="s">
        <v>180</v>
      </c>
      <c r="B106" s="16">
        <v>9713</v>
      </c>
      <c r="C106" s="22" t="s">
        <v>2513</v>
      </c>
      <c r="D106" s="16" t="s">
        <v>2492</v>
      </c>
      <c r="E106" s="16" t="s">
        <v>235</v>
      </c>
      <c r="F106" s="16">
        <v>2</v>
      </c>
      <c r="G106" s="16">
        <v>5</v>
      </c>
      <c r="H106" s="16">
        <v>1.5286999999999999</v>
      </c>
      <c r="I106" s="16">
        <v>1.5286999999999999</v>
      </c>
      <c r="J106" s="16">
        <v>1226100169</v>
      </c>
      <c r="K106" s="16">
        <v>0</v>
      </c>
      <c r="L106" s="16">
        <v>7</v>
      </c>
      <c r="M106" s="16"/>
    </row>
    <row r="107" spans="1:13" x14ac:dyDescent="0.25">
      <c r="A107" s="2" t="s">
        <v>180</v>
      </c>
      <c r="B107" s="16">
        <v>9715</v>
      </c>
      <c r="C107" s="20" t="s">
        <v>2598</v>
      </c>
      <c r="D107" s="16" t="s">
        <v>2599</v>
      </c>
      <c r="E107" s="16" t="s">
        <v>235</v>
      </c>
      <c r="F107" s="16">
        <v>5</v>
      </c>
      <c r="G107" s="16">
        <v>5</v>
      </c>
      <c r="H107" s="16">
        <v>1.5286</v>
      </c>
      <c r="I107" s="16">
        <v>1.5286</v>
      </c>
      <c r="J107" s="16">
        <v>1226100171</v>
      </c>
      <c r="K107" s="16">
        <v>0</v>
      </c>
      <c r="L107" s="16">
        <v>7</v>
      </c>
      <c r="M107" s="16"/>
    </row>
    <row r="108" spans="1:13" x14ac:dyDescent="0.25">
      <c r="A108" s="2" t="s">
        <v>180</v>
      </c>
      <c r="B108" s="16">
        <v>9721</v>
      </c>
      <c r="C108" s="22" t="s">
        <v>2815</v>
      </c>
      <c r="D108" s="16" t="s">
        <v>2816</v>
      </c>
      <c r="E108" s="16" t="s">
        <v>235</v>
      </c>
      <c r="F108" s="16">
        <v>1</v>
      </c>
      <c r="G108" s="16">
        <v>1</v>
      </c>
      <c r="H108" s="16">
        <v>1.5286999999999999</v>
      </c>
      <c r="I108" s="16">
        <v>1.5286999999999999</v>
      </c>
      <c r="J108" s="16">
        <v>1226100177</v>
      </c>
      <c r="K108" s="16">
        <v>0</v>
      </c>
      <c r="L108" s="16">
        <v>7</v>
      </c>
      <c r="M108" s="16"/>
    </row>
    <row r="109" spans="1:13" x14ac:dyDescent="0.25">
      <c r="A109" s="2" t="s">
        <v>180</v>
      </c>
      <c r="B109" s="16">
        <v>9721</v>
      </c>
      <c r="C109" s="22" t="s">
        <v>2837</v>
      </c>
      <c r="D109" s="16" t="s">
        <v>2816</v>
      </c>
      <c r="E109" s="16" t="s">
        <v>235</v>
      </c>
      <c r="F109" s="16">
        <v>4</v>
      </c>
      <c r="G109" s="16">
        <v>5</v>
      </c>
      <c r="H109" s="16">
        <v>1.5286999999999999</v>
      </c>
      <c r="I109" s="16">
        <v>1.5286999999999999</v>
      </c>
      <c r="J109" s="16">
        <v>1226100177</v>
      </c>
      <c r="K109" s="16">
        <v>0</v>
      </c>
      <c r="L109" s="16">
        <v>7</v>
      </c>
      <c r="M109" s="16"/>
    </row>
    <row r="110" spans="1:13" x14ac:dyDescent="0.25">
      <c r="A110" s="2" t="s">
        <v>180</v>
      </c>
      <c r="B110" s="16">
        <v>9726</v>
      </c>
      <c r="C110" s="22" t="s">
        <v>3132</v>
      </c>
      <c r="D110" s="16" t="s">
        <v>3133</v>
      </c>
      <c r="E110" s="16" t="s">
        <v>235</v>
      </c>
      <c r="F110" s="16">
        <v>3</v>
      </c>
      <c r="G110" s="16">
        <v>3</v>
      </c>
      <c r="H110" s="16">
        <v>1.5287999999999999</v>
      </c>
      <c r="I110" s="16">
        <v>1.5287999999999999</v>
      </c>
      <c r="J110" s="16">
        <v>1226100182</v>
      </c>
      <c r="K110" s="16">
        <v>0</v>
      </c>
      <c r="L110" s="16">
        <v>7</v>
      </c>
      <c r="M110" s="16"/>
    </row>
    <row r="111" spans="1:13" x14ac:dyDescent="0.25">
      <c r="A111" s="2" t="s">
        <v>180</v>
      </c>
      <c r="B111" s="16">
        <v>9726</v>
      </c>
      <c r="C111" s="20" t="s">
        <v>3157</v>
      </c>
      <c r="D111" s="16" t="s">
        <v>3158</v>
      </c>
      <c r="E111" s="16" t="s">
        <v>235</v>
      </c>
      <c r="F111" s="16">
        <v>2</v>
      </c>
      <c r="G111" s="16">
        <v>5</v>
      </c>
      <c r="H111" s="16">
        <v>1.5287999999999999</v>
      </c>
      <c r="I111" s="16">
        <v>1.5287999999999999</v>
      </c>
      <c r="J111" s="16">
        <v>1226100182</v>
      </c>
      <c r="K111" s="16">
        <v>0</v>
      </c>
      <c r="L111" s="16">
        <v>7</v>
      </c>
      <c r="M111" s="16"/>
    </row>
    <row r="112" spans="1:13" x14ac:dyDescent="0.25">
      <c r="A112" s="2" t="s">
        <v>180</v>
      </c>
      <c r="B112" s="16">
        <v>9729</v>
      </c>
      <c r="C112" s="20" t="s">
        <v>3332</v>
      </c>
      <c r="D112" s="16" t="s">
        <v>3333</v>
      </c>
      <c r="E112" s="16" t="s">
        <v>235</v>
      </c>
      <c r="F112" s="16">
        <v>5</v>
      </c>
      <c r="G112" s="16">
        <v>5</v>
      </c>
      <c r="H112" s="16">
        <v>1.5288999999999999</v>
      </c>
      <c r="I112" s="16">
        <v>1.5288999999999999</v>
      </c>
      <c r="J112" s="16">
        <v>1226100185</v>
      </c>
      <c r="K112" s="16">
        <v>0</v>
      </c>
      <c r="L112" s="16">
        <v>7</v>
      </c>
      <c r="M112" s="16"/>
    </row>
    <row r="113" spans="1:13" x14ac:dyDescent="0.25">
      <c r="A113" s="2" t="s">
        <v>180</v>
      </c>
      <c r="B113" s="16">
        <v>9731</v>
      </c>
      <c r="C113" s="20" t="s">
        <v>3509</v>
      </c>
      <c r="D113" s="16" t="s">
        <v>3510</v>
      </c>
      <c r="E113" s="16" t="s">
        <v>237</v>
      </c>
      <c r="F113" s="16">
        <v>25</v>
      </c>
      <c r="G113" s="16">
        <v>25</v>
      </c>
      <c r="H113" s="16">
        <v>1.5285</v>
      </c>
      <c r="I113" s="16">
        <v>1.5285</v>
      </c>
      <c r="J113" s="16">
        <v>1226100187</v>
      </c>
      <c r="K113" s="16">
        <v>0</v>
      </c>
      <c r="L113" s="16">
        <v>7</v>
      </c>
      <c r="M113" s="16"/>
    </row>
    <row r="114" spans="1:13" x14ac:dyDescent="0.25">
      <c r="A114" s="2" t="s">
        <v>180</v>
      </c>
      <c r="B114" s="16">
        <v>9731</v>
      </c>
      <c r="C114" s="20" t="s">
        <v>3535</v>
      </c>
      <c r="D114" s="16" t="s">
        <v>3510</v>
      </c>
      <c r="E114" s="16" t="s">
        <v>237</v>
      </c>
      <c r="F114" s="16">
        <v>14</v>
      </c>
      <c r="G114" s="16">
        <v>39</v>
      </c>
      <c r="H114" s="16">
        <v>1.5276000000000001</v>
      </c>
      <c r="I114" s="16">
        <v>1.5281769999999999</v>
      </c>
      <c r="J114" s="16">
        <v>1226100187</v>
      </c>
      <c r="K114" s="16">
        <v>0</v>
      </c>
      <c r="L114" s="16">
        <v>7</v>
      </c>
      <c r="M114" s="16"/>
    </row>
    <row r="115" spans="1:13" x14ac:dyDescent="0.25">
      <c r="A115" s="2" t="s">
        <v>180</v>
      </c>
      <c r="B115" s="16">
        <v>9731</v>
      </c>
      <c r="C115" s="22" t="s">
        <v>3548</v>
      </c>
      <c r="D115" s="16" t="s">
        <v>3510</v>
      </c>
      <c r="E115" s="16" t="s">
        <v>237</v>
      </c>
      <c r="F115" s="16">
        <v>1</v>
      </c>
      <c r="G115" s="16">
        <v>40</v>
      </c>
      <c r="H115" s="16">
        <v>1.5276000000000001</v>
      </c>
      <c r="I115" s="16">
        <v>1.5281629999999999</v>
      </c>
      <c r="J115" s="16">
        <v>1226100187</v>
      </c>
      <c r="K115" s="16">
        <v>0</v>
      </c>
      <c r="L115" s="16">
        <v>7</v>
      </c>
      <c r="M115" s="16"/>
    </row>
    <row r="116" spans="1:13" x14ac:dyDescent="0.25">
      <c r="A116" s="2" t="s">
        <v>180</v>
      </c>
      <c r="B116" s="16">
        <v>9731</v>
      </c>
      <c r="C116" s="22" t="s">
        <v>3561</v>
      </c>
      <c r="D116" s="16" t="s">
        <v>3510</v>
      </c>
      <c r="E116" s="16" t="s">
        <v>237</v>
      </c>
      <c r="F116" s="16">
        <v>8</v>
      </c>
      <c r="G116" s="16">
        <v>48</v>
      </c>
      <c r="H116" s="16">
        <v>1.5276000000000001</v>
      </c>
      <c r="I116" s="16">
        <v>1.5280689999999999</v>
      </c>
      <c r="J116" s="16">
        <v>1226100187</v>
      </c>
      <c r="K116" s="16">
        <v>0</v>
      </c>
      <c r="L116" s="16">
        <v>7</v>
      </c>
      <c r="M116" s="16"/>
    </row>
    <row r="117" spans="1:13" x14ac:dyDescent="0.25">
      <c r="A117" s="2" t="s">
        <v>180</v>
      </c>
      <c r="B117" s="16">
        <v>9737</v>
      </c>
      <c r="C117" s="22" t="s">
        <v>3902</v>
      </c>
      <c r="D117" s="16" t="s">
        <v>3903</v>
      </c>
      <c r="E117" s="16" t="s">
        <v>235</v>
      </c>
      <c r="F117" s="16">
        <v>5</v>
      </c>
      <c r="G117" s="16">
        <v>5</v>
      </c>
      <c r="H117" s="16">
        <v>1.5288999999999999</v>
      </c>
      <c r="I117" s="16">
        <v>1.5288999999999999</v>
      </c>
      <c r="J117" s="16">
        <v>1226100193</v>
      </c>
      <c r="K117" s="16">
        <v>0</v>
      </c>
      <c r="L117" s="16">
        <v>7</v>
      </c>
      <c r="M117" s="16"/>
    </row>
    <row r="118" spans="1:13" x14ac:dyDescent="0.25">
      <c r="A118" s="2" t="s">
        <v>180</v>
      </c>
      <c r="B118" s="16">
        <v>9738</v>
      </c>
      <c r="C118" s="22" t="s">
        <v>4026</v>
      </c>
      <c r="D118" s="16" t="s">
        <v>4027</v>
      </c>
      <c r="E118" s="16" t="s">
        <v>235</v>
      </c>
      <c r="F118" s="16">
        <v>2</v>
      </c>
      <c r="G118" s="16">
        <v>2</v>
      </c>
      <c r="H118" s="16">
        <v>1.5287999999999999</v>
      </c>
      <c r="I118" s="16">
        <v>1.5287999999999999</v>
      </c>
      <c r="J118" s="16">
        <v>1226100194</v>
      </c>
      <c r="K118" s="16">
        <v>0</v>
      </c>
      <c r="L118" s="16">
        <v>7</v>
      </c>
      <c r="M118" s="16"/>
    </row>
    <row r="119" spans="1:13" x14ac:dyDescent="0.25">
      <c r="A119" s="2" t="s">
        <v>180</v>
      </c>
      <c r="B119" s="16">
        <v>9738</v>
      </c>
      <c r="C119" s="22" t="s">
        <v>4053</v>
      </c>
      <c r="D119" s="16" t="s">
        <v>4027</v>
      </c>
      <c r="E119" s="16" t="s">
        <v>235</v>
      </c>
      <c r="F119" s="16">
        <v>3</v>
      </c>
      <c r="G119" s="16">
        <v>5</v>
      </c>
      <c r="H119" s="16">
        <v>1.5287999999999999</v>
      </c>
      <c r="I119" s="16">
        <v>1.5287999999999999</v>
      </c>
      <c r="J119" s="16">
        <v>1226100194</v>
      </c>
      <c r="K119" s="16">
        <v>0</v>
      </c>
      <c r="L119" s="16">
        <v>7</v>
      </c>
      <c r="M119" s="16"/>
    </row>
    <row r="120" spans="1:13" x14ac:dyDescent="0.25">
      <c r="A120" s="2" t="s">
        <v>180</v>
      </c>
      <c r="B120" s="16">
        <v>9744</v>
      </c>
      <c r="C120" s="22" t="s">
        <v>4298</v>
      </c>
      <c r="D120" s="16" t="s">
        <v>4299</v>
      </c>
      <c r="E120" s="16" t="s">
        <v>235</v>
      </c>
      <c r="F120" s="16">
        <v>1</v>
      </c>
      <c r="G120" s="16">
        <v>1</v>
      </c>
      <c r="H120" s="16">
        <v>1.5290999999999999</v>
      </c>
      <c r="I120" s="16">
        <v>1.5290999999999999</v>
      </c>
      <c r="J120" s="16">
        <v>1226100200</v>
      </c>
      <c r="K120" s="16">
        <v>0</v>
      </c>
      <c r="L120" s="16">
        <v>7</v>
      </c>
      <c r="M120" s="16"/>
    </row>
    <row r="121" spans="1:13" x14ac:dyDescent="0.25">
      <c r="A121" s="2" t="s">
        <v>180</v>
      </c>
      <c r="B121" s="16">
        <v>9744</v>
      </c>
      <c r="C121" s="20" t="s">
        <v>4326</v>
      </c>
      <c r="D121" s="16" t="s">
        <v>4299</v>
      </c>
      <c r="E121" s="16" t="s">
        <v>235</v>
      </c>
      <c r="F121" s="16">
        <v>1</v>
      </c>
      <c r="G121" s="16">
        <v>2</v>
      </c>
      <c r="H121" s="16">
        <v>1.5290999999999999</v>
      </c>
      <c r="I121" s="16">
        <v>1.5290999999999999</v>
      </c>
      <c r="J121" s="16">
        <v>1226100200</v>
      </c>
      <c r="K121" s="16">
        <v>0</v>
      </c>
      <c r="L121" s="16">
        <v>7</v>
      </c>
      <c r="M121" s="16"/>
    </row>
    <row r="122" spans="1:13" x14ac:dyDescent="0.25">
      <c r="A122" s="2" t="s">
        <v>180</v>
      </c>
      <c r="B122" s="16">
        <v>9744</v>
      </c>
      <c r="C122" s="20" t="s">
        <v>4432</v>
      </c>
      <c r="D122" s="16" t="s">
        <v>4433</v>
      </c>
      <c r="E122" s="16" t="s">
        <v>235</v>
      </c>
      <c r="F122" s="16">
        <v>3</v>
      </c>
      <c r="G122" s="16">
        <v>5</v>
      </c>
      <c r="H122" s="16">
        <v>1.5290999999999999</v>
      </c>
      <c r="I122" s="16">
        <v>1.5290999999999999</v>
      </c>
      <c r="J122" s="16">
        <v>1226100200</v>
      </c>
      <c r="K122" s="16">
        <v>0</v>
      </c>
      <c r="L122" s="16">
        <v>7</v>
      </c>
      <c r="M122" s="16"/>
    </row>
    <row r="123" spans="1:13" x14ac:dyDescent="0.25">
      <c r="A123" s="2" t="s">
        <v>180</v>
      </c>
      <c r="B123" s="16">
        <v>9745</v>
      </c>
      <c r="C123" s="22" t="s">
        <v>4463</v>
      </c>
      <c r="D123" s="16" t="s">
        <v>4464</v>
      </c>
      <c r="E123" s="16" t="s">
        <v>235</v>
      </c>
      <c r="F123" s="16">
        <v>5</v>
      </c>
      <c r="G123" s="16">
        <v>5</v>
      </c>
      <c r="H123" s="16">
        <v>1.5290999999999999</v>
      </c>
      <c r="I123" s="16">
        <v>1.5290999999999999</v>
      </c>
      <c r="J123" s="16">
        <v>1226100201</v>
      </c>
      <c r="K123" s="16">
        <v>0</v>
      </c>
      <c r="L123" s="16">
        <v>7</v>
      </c>
      <c r="M123" s="16"/>
    </row>
    <row r="124" spans="1:13" x14ac:dyDescent="0.25">
      <c r="A124" s="2" t="s">
        <v>180</v>
      </c>
      <c r="B124" s="16">
        <v>9746</v>
      </c>
      <c r="C124" s="20" t="s">
        <v>4534</v>
      </c>
      <c r="D124" s="16" t="s">
        <v>4535</v>
      </c>
      <c r="E124" s="16" t="s">
        <v>235</v>
      </c>
      <c r="F124" s="16">
        <v>2</v>
      </c>
      <c r="G124" s="16">
        <v>2</v>
      </c>
      <c r="H124" s="16">
        <v>1.5289999999999999</v>
      </c>
      <c r="I124" s="16">
        <v>1.5289999999999999</v>
      </c>
      <c r="J124" s="16">
        <v>1226100202</v>
      </c>
      <c r="K124" s="16">
        <v>0</v>
      </c>
      <c r="L124" s="16">
        <v>7</v>
      </c>
      <c r="M124" s="16"/>
    </row>
    <row r="125" spans="1:13" x14ac:dyDescent="0.25">
      <c r="A125" s="2" t="s">
        <v>180</v>
      </c>
      <c r="B125" s="16">
        <v>9746</v>
      </c>
      <c r="C125" s="22" t="s">
        <v>4615</v>
      </c>
      <c r="D125" s="16" t="s">
        <v>4616</v>
      </c>
      <c r="E125" s="16" t="s">
        <v>235</v>
      </c>
      <c r="F125" s="16">
        <v>3</v>
      </c>
      <c r="G125" s="16">
        <v>5</v>
      </c>
      <c r="H125" s="16">
        <v>1.5289999999999999</v>
      </c>
      <c r="I125" s="16">
        <v>1.5289999999999999</v>
      </c>
      <c r="J125" s="16">
        <v>1226100202</v>
      </c>
      <c r="K125" s="16">
        <v>0</v>
      </c>
      <c r="L125" s="16">
        <v>7</v>
      </c>
      <c r="M125" s="16"/>
    </row>
    <row r="126" spans="1:13" x14ac:dyDescent="0.25">
      <c r="A126" s="2" t="s">
        <v>180</v>
      </c>
      <c r="B126" s="16">
        <v>9751</v>
      </c>
      <c r="C126" s="22" t="s">
        <v>4783</v>
      </c>
      <c r="D126" s="16" t="s">
        <v>4784</v>
      </c>
      <c r="E126" s="16" t="s">
        <v>235</v>
      </c>
      <c r="F126" s="16">
        <v>5</v>
      </c>
      <c r="G126" s="16">
        <v>5</v>
      </c>
      <c r="H126" s="16">
        <v>1.5289999999999999</v>
      </c>
      <c r="I126" s="16">
        <v>1.5289999999999999</v>
      </c>
      <c r="J126" s="16">
        <v>1226100207</v>
      </c>
      <c r="K126" s="16">
        <v>0</v>
      </c>
      <c r="L126" s="16">
        <v>7</v>
      </c>
      <c r="M126" s="16"/>
    </row>
    <row r="127" spans="1:13" x14ac:dyDescent="0.25">
      <c r="A127" s="2" t="s">
        <v>180</v>
      </c>
      <c r="B127" s="16">
        <v>9752</v>
      </c>
      <c r="C127" s="22" t="s">
        <v>4820</v>
      </c>
      <c r="D127" s="16" t="s">
        <v>4821</v>
      </c>
      <c r="E127" s="16" t="s">
        <v>235</v>
      </c>
      <c r="F127" s="16">
        <v>2</v>
      </c>
      <c r="G127" s="16">
        <v>2</v>
      </c>
      <c r="H127" s="16">
        <v>1.5288999999999999</v>
      </c>
      <c r="I127" s="16">
        <v>1.5288999999999999</v>
      </c>
      <c r="J127" s="16">
        <v>1226100208</v>
      </c>
      <c r="K127" s="16">
        <v>0</v>
      </c>
      <c r="L127" s="16">
        <v>7</v>
      </c>
      <c r="M127" s="16"/>
    </row>
    <row r="128" spans="1:13" x14ac:dyDescent="0.25">
      <c r="A128" s="2" t="s">
        <v>180</v>
      </c>
      <c r="B128" s="16">
        <v>9752</v>
      </c>
      <c r="C128" s="22" t="s">
        <v>4850</v>
      </c>
      <c r="D128" s="16" t="s">
        <v>4821</v>
      </c>
      <c r="E128" s="16" t="s">
        <v>235</v>
      </c>
      <c r="F128" s="16">
        <v>3</v>
      </c>
      <c r="G128" s="16">
        <v>5</v>
      </c>
      <c r="H128" s="16">
        <v>1.5289999999999999</v>
      </c>
      <c r="I128" s="16">
        <v>1.5289600000000001</v>
      </c>
      <c r="J128" s="16">
        <v>1226100208</v>
      </c>
      <c r="K128" s="16">
        <v>0</v>
      </c>
      <c r="L128" s="16">
        <v>7</v>
      </c>
      <c r="M128" s="16"/>
    </row>
    <row r="129" spans="1:13" x14ac:dyDescent="0.25">
      <c r="A129" s="2" t="s">
        <v>180</v>
      </c>
      <c r="B129" s="16">
        <v>9759</v>
      </c>
      <c r="C129" s="22" t="s">
        <v>5146</v>
      </c>
      <c r="D129" s="16" t="s">
        <v>5147</v>
      </c>
      <c r="E129" s="16" t="s">
        <v>235</v>
      </c>
      <c r="F129" s="16">
        <v>5</v>
      </c>
      <c r="G129" s="16">
        <v>5</v>
      </c>
      <c r="H129" s="16">
        <v>1.5289999999999999</v>
      </c>
      <c r="I129" s="16">
        <v>1.5289999999999999</v>
      </c>
      <c r="J129" s="16">
        <v>1226100215</v>
      </c>
      <c r="K129" s="16">
        <v>0</v>
      </c>
      <c r="L129" s="16">
        <v>7</v>
      </c>
      <c r="M129" s="16"/>
    </row>
    <row r="130" spans="1:13" x14ac:dyDescent="0.25">
      <c r="A130" s="2" t="s">
        <v>180</v>
      </c>
      <c r="B130" s="16">
        <v>9762</v>
      </c>
      <c r="C130" s="22" t="s">
        <v>5400</v>
      </c>
      <c r="D130" s="16" t="s">
        <v>5401</v>
      </c>
      <c r="E130" s="16" t="s">
        <v>235</v>
      </c>
      <c r="F130" s="16">
        <v>1</v>
      </c>
      <c r="G130" s="16">
        <v>1</v>
      </c>
      <c r="H130" s="16">
        <v>1.5289999999999999</v>
      </c>
      <c r="I130" s="16">
        <v>1.5289999999999999</v>
      </c>
      <c r="J130" s="16">
        <v>1226100218</v>
      </c>
      <c r="K130" s="16">
        <v>0</v>
      </c>
      <c r="L130" s="16">
        <v>7</v>
      </c>
      <c r="M130" s="16"/>
    </row>
    <row r="131" spans="1:13" x14ac:dyDescent="0.25">
      <c r="A131" s="2" t="s">
        <v>180</v>
      </c>
      <c r="B131" s="16">
        <v>9762</v>
      </c>
      <c r="C131" s="22" t="s">
        <v>5442</v>
      </c>
      <c r="D131" s="16" t="s">
        <v>5443</v>
      </c>
      <c r="E131" s="16" t="s">
        <v>235</v>
      </c>
      <c r="F131" s="16">
        <v>3</v>
      </c>
      <c r="G131" s="16">
        <v>4</v>
      </c>
      <c r="H131" s="16">
        <v>1.5289999999999999</v>
      </c>
      <c r="I131" s="16">
        <v>1.5289999999999999</v>
      </c>
      <c r="J131" s="16">
        <v>1226100218</v>
      </c>
      <c r="K131" s="16">
        <v>0</v>
      </c>
      <c r="L131" s="16">
        <v>7</v>
      </c>
      <c r="M131" s="16"/>
    </row>
    <row r="132" spans="1:13" x14ac:dyDescent="0.25">
      <c r="A132" s="2" t="s">
        <v>180</v>
      </c>
      <c r="B132" s="16">
        <v>9762</v>
      </c>
      <c r="C132" s="22" t="s">
        <v>5491</v>
      </c>
      <c r="D132" s="16" t="s">
        <v>5492</v>
      </c>
      <c r="E132" s="16" t="s">
        <v>235</v>
      </c>
      <c r="F132" s="16">
        <v>1</v>
      </c>
      <c r="G132" s="16">
        <v>5</v>
      </c>
      <c r="H132" s="16">
        <v>1.5289999999999999</v>
      </c>
      <c r="I132" s="16">
        <v>1.5289999999999999</v>
      </c>
      <c r="J132" s="16">
        <v>1226100218</v>
      </c>
      <c r="K132" s="16">
        <v>0</v>
      </c>
      <c r="L132" s="16">
        <v>7</v>
      </c>
      <c r="M132" s="16"/>
    </row>
    <row r="133" spans="1:13" x14ac:dyDescent="0.25">
      <c r="A133" s="2" t="s">
        <v>180</v>
      </c>
      <c r="B133" s="16">
        <v>9765</v>
      </c>
      <c r="C133" s="22" t="s">
        <v>5526</v>
      </c>
      <c r="D133" s="16" t="s">
        <v>5492</v>
      </c>
      <c r="E133" s="16" t="s">
        <v>235</v>
      </c>
      <c r="F133" s="16">
        <v>3</v>
      </c>
      <c r="G133" s="16">
        <v>3</v>
      </c>
      <c r="H133" s="16">
        <v>1.5288999999999999</v>
      </c>
      <c r="I133" s="16">
        <v>1.5288999999999999</v>
      </c>
      <c r="J133" s="16">
        <v>1226100221</v>
      </c>
      <c r="K133" s="16">
        <v>0</v>
      </c>
      <c r="L133" s="16">
        <v>7</v>
      </c>
      <c r="M133" s="16"/>
    </row>
    <row r="134" spans="1:13" x14ac:dyDescent="0.25">
      <c r="A134" s="2" t="s">
        <v>180</v>
      </c>
      <c r="B134" s="16">
        <v>9779</v>
      </c>
      <c r="C134" s="22" t="s">
        <v>5976</v>
      </c>
      <c r="D134" s="16" t="s">
        <v>5977</v>
      </c>
      <c r="E134" s="16" t="s">
        <v>235</v>
      </c>
      <c r="F134" s="16">
        <v>1</v>
      </c>
      <c r="G134" s="16">
        <v>1</v>
      </c>
      <c r="H134" s="16">
        <v>1.5286999999999999</v>
      </c>
      <c r="I134" s="16">
        <v>1.5286999999999999</v>
      </c>
      <c r="J134" s="16">
        <v>1226100238</v>
      </c>
      <c r="K134" s="16">
        <v>0</v>
      </c>
      <c r="L134" s="16">
        <v>7</v>
      </c>
      <c r="M134" s="16"/>
    </row>
    <row r="135" spans="1:13" x14ac:dyDescent="0.25">
      <c r="A135" s="2" t="s">
        <v>180</v>
      </c>
      <c r="B135" s="16">
        <v>9779</v>
      </c>
      <c r="C135" s="22" t="s">
        <v>6004</v>
      </c>
      <c r="D135" s="16" t="s">
        <v>5977</v>
      </c>
      <c r="E135" s="16" t="s">
        <v>235</v>
      </c>
      <c r="F135" s="16">
        <v>1</v>
      </c>
      <c r="G135" s="16">
        <v>2</v>
      </c>
      <c r="H135" s="16">
        <v>1.5286999999999999</v>
      </c>
      <c r="I135" s="16">
        <v>1.5286999999999999</v>
      </c>
      <c r="J135" s="16">
        <v>1226100238</v>
      </c>
      <c r="K135" s="16">
        <v>0</v>
      </c>
      <c r="L135" s="16">
        <v>7</v>
      </c>
      <c r="M135" s="16"/>
    </row>
    <row r="136" spans="1:13" x14ac:dyDescent="0.25">
      <c r="A136" s="2" t="s">
        <v>180</v>
      </c>
      <c r="B136" s="16">
        <v>9779</v>
      </c>
      <c r="C136" s="22" t="s">
        <v>6121</v>
      </c>
      <c r="D136" s="16" t="s">
        <v>6122</v>
      </c>
      <c r="E136" s="16" t="s">
        <v>235</v>
      </c>
      <c r="F136" s="16">
        <v>1</v>
      </c>
      <c r="G136" s="16">
        <v>3</v>
      </c>
      <c r="H136" s="16">
        <v>1.5286999999999999</v>
      </c>
      <c r="I136" s="16">
        <v>1.5286999999999999</v>
      </c>
      <c r="J136" s="16">
        <v>1226100238</v>
      </c>
      <c r="K136" s="16">
        <v>0</v>
      </c>
      <c r="L136" s="16">
        <v>7</v>
      </c>
      <c r="M136" s="16"/>
    </row>
    <row r="137" spans="1:13" x14ac:dyDescent="0.25">
      <c r="A137" s="2" t="s">
        <v>180</v>
      </c>
      <c r="B137" s="16">
        <v>9779</v>
      </c>
      <c r="C137" s="22" t="s">
        <v>6139</v>
      </c>
      <c r="D137" s="16" t="s">
        <v>6122</v>
      </c>
      <c r="E137" s="16" t="s">
        <v>235</v>
      </c>
      <c r="F137" s="16">
        <v>1</v>
      </c>
      <c r="G137" s="16">
        <v>4</v>
      </c>
      <c r="H137" s="16">
        <v>1.5286999999999999</v>
      </c>
      <c r="I137" s="16">
        <v>1.5286999999999999</v>
      </c>
      <c r="J137" s="16">
        <v>1226100238</v>
      </c>
      <c r="K137" s="16">
        <v>0</v>
      </c>
      <c r="L137" s="16">
        <v>7</v>
      </c>
      <c r="M137" s="16"/>
    </row>
    <row r="138" spans="1:13" x14ac:dyDescent="0.25">
      <c r="A138" s="2" t="s">
        <v>180</v>
      </c>
      <c r="B138" s="16">
        <v>9782</v>
      </c>
      <c r="C138" s="22" t="s">
        <v>6231</v>
      </c>
      <c r="D138" s="16" t="s">
        <v>6232</v>
      </c>
      <c r="E138" s="16" t="s">
        <v>235</v>
      </c>
      <c r="F138" s="16">
        <v>5</v>
      </c>
      <c r="G138" s="16">
        <v>5</v>
      </c>
      <c r="H138" s="16">
        <v>1.5287999999999999</v>
      </c>
      <c r="I138" s="16">
        <v>1.5287999999999999</v>
      </c>
      <c r="J138" s="16">
        <v>1226100241</v>
      </c>
      <c r="K138" s="16">
        <v>0</v>
      </c>
      <c r="L138" s="16">
        <v>7</v>
      </c>
      <c r="M138" s="16"/>
    </row>
    <row r="139" spans="1:13" x14ac:dyDescent="0.25">
      <c r="A139" s="2" t="s">
        <v>180</v>
      </c>
      <c r="B139" s="16">
        <v>9787</v>
      </c>
      <c r="C139" s="22" t="s">
        <v>6487</v>
      </c>
      <c r="D139" s="16" t="s">
        <v>6488</v>
      </c>
      <c r="E139" s="16" t="s">
        <v>235</v>
      </c>
      <c r="F139" s="16">
        <v>1</v>
      </c>
      <c r="G139" s="16">
        <v>1</v>
      </c>
      <c r="H139" s="16">
        <v>1.5288999999999999</v>
      </c>
      <c r="I139" s="16">
        <v>1.5288999999999999</v>
      </c>
      <c r="J139" s="16">
        <v>1226100246</v>
      </c>
      <c r="K139" s="16">
        <v>0</v>
      </c>
      <c r="L139" s="16">
        <v>7</v>
      </c>
      <c r="M139" s="16"/>
    </row>
    <row r="140" spans="1:13" x14ac:dyDescent="0.25">
      <c r="A140" s="2" t="s">
        <v>180</v>
      </c>
      <c r="B140" s="16">
        <v>9788</v>
      </c>
      <c r="C140" s="22" t="s">
        <v>6757</v>
      </c>
      <c r="D140" s="16" t="s">
        <v>6758</v>
      </c>
      <c r="E140" s="16" t="s">
        <v>237</v>
      </c>
      <c r="F140" s="16">
        <v>39</v>
      </c>
      <c r="G140" s="16">
        <v>39</v>
      </c>
      <c r="H140" s="16">
        <v>1.5285</v>
      </c>
      <c r="I140" s="16">
        <v>1.5285</v>
      </c>
      <c r="J140" s="16">
        <v>1226100247</v>
      </c>
      <c r="K140" s="16">
        <v>0</v>
      </c>
      <c r="L140" s="16">
        <v>7</v>
      </c>
      <c r="M140" s="16"/>
    </row>
    <row r="141" spans="1:13" x14ac:dyDescent="0.25">
      <c r="A141" s="2" t="s">
        <v>180</v>
      </c>
      <c r="B141" s="16">
        <v>9788</v>
      </c>
      <c r="C141" s="22" t="s">
        <v>6776</v>
      </c>
      <c r="D141" s="16" t="s">
        <v>6758</v>
      </c>
      <c r="E141" s="16" t="s">
        <v>237</v>
      </c>
      <c r="F141" s="16">
        <v>12</v>
      </c>
      <c r="G141" s="16">
        <v>51</v>
      </c>
      <c r="H141" s="16">
        <v>1.5276000000000001</v>
      </c>
      <c r="I141" s="16">
        <v>1.5282880000000001</v>
      </c>
      <c r="J141" s="16">
        <v>1226100247</v>
      </c>
      <c r="K141" s="16">
        <v>0</v>
      </c>
      <c r="L141" s="16">
        <v>7</v>
      </c>
      <c r="M141" s="16"/>
    </row>
    <row r="142" spans="1:13" x14ac:dyDescent="0.25">
      <c r="A142" s="2" t="s">
        <v>180</v>
      </c>
      <c r="B142" s="16">
        <v>9798</v>
      </c>
      <c r="C142" s="22" t="s">
        <v>7096</v>
      </c>
      <c r="D142" s="16" t="s">
        <v>7097</v>
      </c>
      <c r="E142" s="16" t="s">
        <v>235</v>
      </c>
      <c r="F142" s="16">
        <v>3</v>
      </c>
      <c r="G142" s="16">
        <v>3</v>
      </c>
      <c r="H142" s="16">
        <v>1.5289999999999999</v>
      </c>
      <c r="I142" s="16">
        <v>1.5289999999999999</v>
      </c>
      <c r="J142" s="16">
        <v>1226100257</v>
      </c>
      <c r="K142" s="16">
        <v>0</v>
      </c>
      <c r="L142" s="16">
        <v>7</v>
      </c>
      <c r="M142" s="16"/>
    </row>
    <row r="143" spans="1:13" x14ac:dyDescent="0.25">
      <c r="A143" s="2"/>
      <c r="B143" s="16"/>
      <c r="C143" s="22"/>
      <c r="D143" s="16"/>
      <c r="E143" s="16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16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16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16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16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16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16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16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16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16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16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  <row r="1010" spans="1:13" x14ac:dyDescent="0.25">
      <c r="A1010" s="2"/>
      <c r="B1010" s="16"/>
      <c r="C1010" s="22"/>
      <c r="D1010" s="16"/>
      <c r="E1010" s="21"/>
      <c r="F1010" s="16"/>
      <c r="G1010" s="16"/>
      <c r="H1010" s="16"/>
      <c r="I1010" s="16"/>
      <c r="J1010" s="16"/>
      <c r="K1010" s="16"/>
      <c r="L1010" s="16"/>
      <c r="M1010" s="16"/>
    </row>
    <row r="1011" spans="1:13" x14ac:dyDescent="0.25">
      <c r="A1011" s="2"/>
      <c r="B1011" s="16"/>
      <c r="C1011" s="22"/>
      <c r="D1011" s="16"/>
      <c r="E1011" s="21"/>
      <c r="F1011" s="16"/>
      <c r="G1011" s="16"/>
      <c r="H1011" s="16"/>
      <c r="I1011" s="16"/>
      <c r="J1011" s="16"/>
      <c r="K1011" s="16"/>
      <c r="L1011" s="16"/>
      <c r="M1011" s="16"/>
    </row>
    <row r="1012" spans="1:13" x14ac:dyDescent="0.25">
      <c r="A1012" s="2"/>
      <c r="B1012" s="16"/>
      <c r="C1012" s="22"/>
      <c r="D1012" s="16"/>
      <c r="E1012" s="21"/>
      <c r="F1012" s="16"/>
      <c r="G1012" s="16"/>
      <c r="H1012" s="16"/>
      <c r="I1012" s="16"/>
      <c r="J1012" s="16"/>
      <c r="K1012" s="16"/>
      <c r="L1012" s="16"/>
      <c r="M1012" s="16"/>
    </row>
    <row r="1013" spans="1:13" x14ac:dyDescent="0.25">
      <c r="A1013" s="2"/>
      <c r="B1013" s="16"/>
      <c r="C1013" s="22"/>
      <c r="D1013" s="16"/>
      <c r="E1013" s="21"/>
      <c r="F1013" s="16"/>
      <c r="G1013" s="16"/>
      <c r="H1013" s="16"/>
      <c r="I1013" s="16"/>
      <c r="J1013" s="16"/>
      <c r="K1013" s="16"/>
      <c r="L1013" s="16"/>
      <c r="M1013" s="16"/>
    </row>
    <row r="1014" spans="1:13" x14ac:dyDescent="0.25">
      <c r="A1014" s="2"/>
      <c r="B1014" s="16"/>
      <c r="C1014" s="22"/>
      <c r="D1014" s="16"/>
      <c r="E1014" s="21"/>
      <c r="F1014" s="16"/>
      <c r="G1014" s="16"/>
      <c r="H1014" s="16"/>
      <c r="I1014" s="16"/>
      <c r="J1014" s="16"/>
      <c r="K1014" s="16"/>
      <c r="L1014" s="16"/>
      <c r="M1014" s="16"/>
    </row>
    <row r="1015" spans="1:13" x14ac:dyDescent="0.25">
      <c r="A1015" s="2"/>
      <c r="B1015" s="16"/>
      <c r="C1015" s="22"/>
      <c r="D1015" s="16"/>
      <c r="E1015" s="21"/>
      <c r="F1015" s="16"/>
      <c r="G1015" s="16"/>
      <c r="H1015" s="16"/>
      <c r="I1015" s="16"/>
      <c r="J1015" s="16"/>
      <c r="K1015" s="16"/>
      <c r="L1015" s="16"/>
      <c r="M1015" s="16"/>
    </row>
    <row r="1016" spans="1:13" x14ac:dyDescent="0.25">
      <c r="A1016" s="2"/>
      <c r="B1016" s="16"/>
      <c r="C1016" s="22"/>
      <c r="D1016" s="16"/>
      <c r="E1016" s="21"/>
      <c r="F1016" s="16"/>
      <c r="G1016" s="16"/>
      <c r="H1016" s="16"/>
      <c r="I1016" s="16"/>
      <c r="J1016" s="16"/>
      <c r="K1016" s="16"/>
      <c r="L1016" s="16"/>
      <c r="M1016" s="16"/>
    </row>
    <row r="1017" spans="1:13" x14ac:dyDescent="0.25">
      <c r="A1017" s="2"/>
      <c r="B1017" s="16"/>
      <c r="C1017" s="22"/>
      <c r="D1017" s="16"/>
      <c r="E1017" s="21"/>
      <c r="F1017" s="16"/>
      <c r="G1017" s="16"/>
      <c r="H1017" s="16"/>
      <c r="I1017" s="16"/>
      <c r="J1017" s="16"/>
      <c r="K1017" s="16"/>
      <c r="L1017" s="16"/>
      <c r="M1017" s="16"/>
    </row>
    <row r="1018" spans="1:13" x14ac:dyDescent="0.25">
      <c r="A1018" s="2"/>
      <c r="B1018" s="16"/>
      <c r="C1018" s="22"/>
      <c r="D1018" s="16"/>
      <c r="E1018" s="21"/>
      <c r="F1018" s="16"/>
      <c r="G1018" s="16"/>
      <c r="H1018" s="16"/>
      <c r="I1018" s="16"/>
      <c r="J1018" s="16"/>
      <c r="K1018" s="16"/>
      <c r="L1018" s="16"/>
      <c r="M1018" s="16"/>
    </row>
    <row r="1019" spans="1:13" x14ac:dyDescent="0.25">
      <c r="A1019" s="2"/>
      <c r="B1019" s="16"/>
      <c r="C1019" s="22"/>
      <c r="D1019" s="16"/>
      <c r="E1019" s="21"/>
      <c r="F1019" s="16"/>
      <c r="G1019" s="16"/>
      <c r="H1019" s="16"/>
      <c r="I1019" s="16"/>
      <c r="J1019" s="16"/>
      <c r="K1019" s="16"/>
      <c r="L1019" s="16"/>
      <c r="M1019" s="16"/>
    </row>
    <row r="1020" spans="1:13" x14ac:dyDescent="0.25">
      <c r="A1020" s="2"/>
      <c r="B1020" s="16"/>
      <c r="C1020" s="22"/>
      <c r="D1020" s="16"/>
      <c r="E1020" s="21"/>
      <c r="F1020" s="16"/>
      <c r="G1020" s="16"/>
      <c r="H1020" s="16"/>
      <c r="I1020" s="16"/>
      <c r="J1020" s="16"/>
      <c r="K1020" s="16"/>
      <c r="L1020" s="16"/>
      <c r="M1020" s="16"/>
    </row>
    <row r="1021" spans="1:13" x14ac:dyDescent="0.25">
      <c r="A1021" s="2"/>
      <c r="B1021" s="16"/>
      <c r="C1021" s="22"/>
      <c r="D1021" s="16"/>
      <c r="E1021" s="21"/>
      <c r="F1021" s="16"/>
      <c r="G1021" s="16"/>
      <c r="H1021" s="16"/>
      <c r="I1021" s="16"/>
      <c r="J1021" s="16"/>
      <c r="K1021" s="16"/>
      <c r="L1021" s="16"/>
      <c r="M1021" s="16"/>
    </row>
    <row r="1022" spans="1:13" x14ac:dyDescent="0.25">
      <c r="A1022" s="2"/>
      <c r="B1022" s="16"/>
      <c r="C1022" s="22"/>
      <c r="D1022" s="16"/>
      <c r="E1022" s="21"/>
      <c r="F1022" s="16"/>
      <c r="G1022" s="16"/>
      <c r="H1022" s="16"/>
      <c r="I1022" s="16"/>
      <c r="J1022" s="16"/>
      <c r="K1022" s="16"/>
      <c r="L1022" s="16"/>
      <c r="M1022" s="16"/>
    </row>
    <row r="1023" spans="1:13" x14ac:dyDescent="0.25">
      <c r="A1023" s="2"/>
      <c r="B1023" s="16"/>
      <c r="C1023" s="22"/>
      <c r="D1023" s="16"/>
      <c r="E1023" s="21"/>
      <c r="F1023" s="16"/>
      <c r="G1023" s="16"/>
      <c r="H1023" s="16"/>
      <c r="I1023" s="16"/>
      <c r="J1023" s="16"/>
      <c r="K1023" s="16"/>
      <c r="L1023" s="16"/>
      <c r="M1023" s="16"/>
    </row>
    <row r="1024" spans="1:13" x14ac:dyDescent="0.25">
      <c r="A1024" s="2"/>
      <c r="B1024" s="16"/>
      <c r="C1024" s="22"/>
      <c r="D1024" s="16"/>
      <c r="E1024" s="21"/>
      <c r="F1024" s="16"/>
      <c r="G1024" s="16"/>
      <c r="H1024" s="16"/>
      <c r="I1024" s="16"/>
      <c r="J1024" s="16"/>
      <c r="K1024" s="16"/>
      <c r="L1024" s="16"/>
      <c r="M1024" s="16"/>
    </row>
    <row r="1025" spans="1:13" x14ac:dyDescent="0.25">
      <c r="A1025" s="2"/>
      <c r="B1025" s="16"/>
      <c r="C1025" s="22"/>
      <c r="D1025" s="16"/>
      <c r="E1025" s="21"/>
      <c r="F1025" s="16"/>
      <c r="G1025" s="16"/>
      <c r="H1025" s="16"/>
      <c r="I1025" s="16"/>
      <c r="J1025" s="16"/>
      <c r="K1025" s="16"/>
      <c r="L1025" s="16"/>
      <c r="M1025" s="16"/>
    </row>
    <row r="1026" spans="1:13" x14ac:dyDescent="0.25">
      <c r="A1026" s="2"/>
      <c r="B1026" s="16"/>
      <c r="C1026" s="22"/>
      <c r="D1026" s="16"/>
      <c r="E1026" s="21"/>
      <c r="F1026" s="16"/>
      <c r="G1026" s="16"/>
      <c r="H1026" s="16"/>
      <c r="I1026" s="16"/>
      <c r="J1026" s="16"/>
      <c r="K1026" s="16"/>
      <c r="L1026" s="16"/>
      <c r="M1026" s="16"/>
    </row>
    <row r="1027" spans="1:13" x14ac:dyDescent="0.25">
      <c r="A1027" s="2"/>
      <c r="B1027" s="16"/>
      <c r="C1027" s="22"/>
      <c r="D1027" s="16"/>
      <c r="E1027" s="21"/>
      <c r="F1027" s="16"/>
      <c r="G1027" s="16"/>
      <c r="H1027" s="16"/>
      <c r="I1027" s="16"/>
      <c r="J1027" s="16"/>
      <c r="K1027" s="16"/>
      <c r="L1027" s="16"/>
      <c r="M1027" s="16"/>
    </row>
  </sheetData>
  <dataConsolidate link="1"/>
  <mergeCells count="58"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  <mergeCell ref="M6:N6"/>
    <mergeCell ref="O6:P6"/>
    <mergeCell ref="Q6:R6"/>
    <mergeCell ref="S6:T6"/>
    <mergeCell ref="M7:N7"/>
    <mergeCell ref="O7:P7"/>
    <mergeCell ref="Q7:R7"/>
    <mergeCell ref="S7:T7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C30:D30"/>
    <mergeCell ref="G30:H30"/>
    <mergeCell ref="K30:L30"/>
    <mergeCell ref="O30:P30"/>
    <mergeCell ref="C31:D31"/>
    <mergeCell ref="G31:H31"/>
    <mergeCell ref="K31:L31"/>
    <mergeCell ref="O31:P31"/>
    <mergeCell ref="A92:M92"/>
    <mergeCell ref="A67:M67"/>
    <mergeCell ref="B57:E57"/>
    <mergeCell ref="G57:K57"/>
    <mergeCell ref="A91:M91"/>
    <mergeCell ref="I64:J64"/>
    <mergeCell ref="B34:H34"/>
    <mergeCell ref="B35:D35"/>
    <mergeCell ref="Q34:W34"/>
    <mergeCell ref="N67:S67"/>
    <mergeCell ref="T67:W67"/>
    <mergeCell ref="M57:O57"/>
    <mergeCell ref="A56:O56"/>
    <mergeCell ref="Q40:S40"/>
    <mergeCell ref="T40:U40"/>
    <mergeCell ref="V40:W40"/>
    <mergeCell ref="F35:H3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7" r:id="rId4" name="cmbAutoShaper">
          <controlPr defaultSize="0" autoLine="0" r:id="rId5">
            <anchor moveWithCells="1">
              <from>
                <xdr:col>5</xdr:col>
                <xdr:colOff>1057275</xdr:colOff>
                <xdr:row>0</xdr:row>
                <xdr:rowOff>19050</xdr:rowOff>
              </from>
              <to>
                <xdr:col>7</xdr:col>
                <xdr:colOff>590550</xdr:colOff>
                <xdr:row>1</xdr:row>
                <xdr:rowOff>114300</xdr:rowOff>
              </to>
            </anchor>
          </controlPr>
        </control>
      </mc:Choice>
      <mc:Fallback>
        <control shapeId="14347" r:id="rId4" name="cmbAutoShaper"/>
      </mc:Fallback>
    </mc:AlternateContent>
    <mc:AlternateContent xmlns:mc="http://schemas.openxmlformats.org/markup-compatibility/2006">
      <mc:Choice Requires="x14">
        <control shapeId="14337" r:id="rId6" name="cmbConnect">
          <controlPr defaultSize="0" autoLine="0" autoPict="0" r:id="rId7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6" name="cmbConnect"/>
      </mc:Fallback>
    </mc:AlternateContent>
    <mc:AlternateContent xmlns:mc="http://schemas.openxmlformats.org/markup-compatibility/2006">
      <mc:Choice Requires="x14">
        <control shapeId="14338" r:id="rId8" name="cmbSubscribeAccountInfo">
          <controlPr defaultSize="0" autoLine="0" r:id="rId9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57150</xdr:colOff>
                <xdr:row>1</xdr:row>
                <xdr:rowOff>114300</xdr:rowOff>
              </to>
            </anchor>
          </controlPr>
        </control>
      </mc:Choice>
      <mc:Fallback>
        <control shapeId="14338" r:id="rId8" name="cmbSubscribeAccountInfo"/>
      </mc:Fallback>
    </mc:AlternateContent>
    <mc:AlternateContent xmlns:mc="http://schemas.openxmlformats.org/markup-compatibility/2006">
      <mc:Choice Requires="x14">
        <control shapeId="14339" r:id="rId10" name="cmbSubscribePortfolio">
          <controlPr defaultSize="0" autoLine="0" autoPict="0" r:id="rId11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381000</xdr:colOff>
                <xdr:row>1</xdr:row>
                <xdr:rowOff>114300</xdr:rowOff>
              </to>
            </anchor>
          </controlPr>
        </control>
      </mc:Choice>
      <mc:Fallback>
        <control shapeId="14339" r:id="rId10" name="cmbSubscribePortfolio"/>
      </mc:Fallback>
    </mc:AlternateContent>
    <mc:AlternateContent xmlns:mc="http://schemas.openxmlformats.org/markup-compatibility/2006">
      <mc:Choice Requires="x14">
        <control shapeId="14340" r:id="rId12" name="CommandButton1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1190625</xdr:colOff>
                <xdr:row>3</xdr:row>
                <xdr:rowOff>85725</xdr:rowOff>
              </to>
            </anchor>
          </controlPr>
        </control>
      </mc:Choice>
      <mc:Fallback>
        <control shapeId="14340" r:id="rId12" name="CommandButton1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2" r:id="rId16" name="obNoRebalanceOnStartup">
          <controlPr defaultSize="0" autoLine="0" r:id="rId17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6" name="obNoRebalanceOnStartup"/>
      </mc:Fallback>
    </mc:AlternateContent>
    <mc:AlternateContent xmlns:mc="http://schemas.openxmlformats.org/markup-compatibility/2006">
      <mc:Choice Requires="x14">
        <control shapeId="14343" r:id="rId18" name="cmbEnableAutoHedge">
          <controlPr defaultSize="0" autoLine="0" r:id="rId19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8" name="cmbEnableAutoHedge"/>
      </mc:Fallback>
    </mc:AlternateContent>
    <mc:AlternateContent xmlns:mc="http://schemas.openxmlformats.org/markup-compatibility/2006">
      <mc:Choice Requires="x14">
        <control shapeId="14344" r:id="rId20" name="cmbDumpContracts">
          <controlPr defaultSize="0" autoLine="0" r:id="rId21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20" name="cmbDumpContracts"/>
      </mc:Fallback>
    </mc:AlternateContent>
    <mc:AlternateContent xmlns:mc="http://schemas.openxmlformats.org/markup-compatibility/2006">
      <mc:Choice Requires="x14">
        <control shapeId="14345" r:id="rId22" name="cbPreserveContract">
          <controlPr defaultSize="0" autoLine="0" r:id="rId23">
            <anchor moveWithCells="1">
              <from>
                <xdr:col>1</xdr:col>
                <xdr:colOff>523875</xdr:colOff>
                <xdr:row>13</xdr:row>
                <xdr:rowOff>19050</xdr:rowOff>
              </from>
              <to>
                <xdr:col>3</xdr:col>
                <xdr:colOff>257175</xdr:colOff>
                <xdr:row>14</xdr:row>
                <xdr:rowOff>47625</xdr:rowOff>
              </to>
            </anchor>
          </controlPr>
        </control>
      </mc:Choice>
      <mc:Fallback>
        <control shapeId="14345" r:id="rId22" name="cbPreserveContract"/>
      </mc:Fallback>
    </mc:AlternateContent>
    <mc:AlternateContent xmlns:mc="http://schemas.openxmlformats.org/markup-compatibility/2006">
      <mc:Choice Requires="x14">
        <control shapeId="14346" r:id="rId24" name="cmbEnableAutoStop">
          <controlPr defaultSize="0" autoLine="0" r:id="rId2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24" name="cmbEnableAutoSto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4" customWidth="1"/>
    <col min="24" max="24" width="12.140625" customWidth="1"/>
    <col min="26" max="26" width="16.28515625" customWidth="1"/>
    <col min="31" max="31" width="10.42578125" customWidth="1"/>
    <col min="32" max="32" width="9.140625" style="56"/>
    <col min="33" max="33" width="9.5703125" bestFit="1" customWidth="1"/>
    <col min="34" max="34" width="9.85546875" customWidth="1"/>
  </cols>
  <sheetData>
    <row r="1" spans="2:37" x14ac:dyDescent="0.25">
      <c r="AE1" s="128" t="s">
        <v>123</v>
      </c>
      <c r="AF1" s="128"/>
      <c r="AG1" s="128"/>
      <c r="AH1" s="128"/>
      <c r="AI1" s="128"/>
      <c r="AJ1" s="128"/>
      <c r="AK1" s="128"/>
    </row>
    <row r="4" spans="2:37" x14ac:dyDescent="0.25">
      <c r="B4" s="122" t="s">
        <v>13</v>
      </c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2"/>
      <c r="R4" s="107"/>
      <c r="S4" s="107"/>
      <c r="T4" s="100" t="s">
        <v>101</v>
      </c>
      <c r="U4" s="100"/>
      <c r="V4" s="100"/>
      <c r="W4" s="100"/>
      <c r="X4" s="100"/>
      <c r="Y4" s="100"/>
      <c r="Z4" s="100"/>
      <c r="AA4" s="100"/>
      <c r="AB4" s="100" t="s">
        <v>108</v>
      </c>
      <c r="AC4" s="100"/>
      <c r="AD4" s="100"/>
      <c r="AF4" s="56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5" t="s">
        <v>19</v>
      </c>
      <c r="O5" s="45" t="s">
        <v>21</v>
      </c>
      <c r="P5" s="45" t="s">
        <v>22</v>
      </c>
      <c r="Q5" s="45" t="s">
        <v>18</v>
      </c>
      <c r="R5" s="45" t="s">
        <v>20</v>
      </c>
      <c r="S5" s="45" t="s">
        <v>23</v>
      </c>
      <c r="T5" s="30" t="s">
        <v>45</v>
      </c>
      <c r="U5" s="30" t="s">
        <v>121</v>
      </c>
      <c r="V5" s="53" t="s">
        <v>102</v>
      </c>
      <c r="W5" s="30" t="s">
        <v>103</v>
      </c>
      <c r="X5" s="30" t="s">
        <v>104</v>
      </c>
      <c r="Y5" s="30" t="s">
        <v>105</v>
      </c>
      <c r="Z5" s="30" t="s">
        <v>106</v>
      </c>
      <c r="AA5" s="30" t="s">
        <v>107</v>
      </c>
      <c r="AB5" s="30" t="s">
        <v>103</v>
      </c>
      <c r="AC5" s="30" t="s">
        <v>104</v>
      </c>
      <c r="AD5" s="30" t="s">
        <v>105</v>
      </c>
      <c r="AE5" s="34" t="s">
        <v>112</v>
      </c>
      <c r="AF5" s="57" t="s">
        <v>113</v>
      </c>
      <c r="AG5" s="34" t="s">
        <v>114</v>
      </c>
      <c r="AH5" s="48" t="s">
        <v>118</v>
      </c>
      <c r="AI5" s="48" t="s">
        <v>115</v>
      </c>
      <c r="AJ5" s="48" t="s">
        <v>116</v>
      </c>
      <c r="AK5" s="48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49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1">
        <v>8.1199351145806584E-5</v>
      </c>
      <c r="V6" s="50">
        <v>0.26420497997470704</v>
      </c>
      <c r="W6" s="2">
        <v>-9.6878701869559432E-3</v>
      </c>
      <c r="X6" s="51">
        <v>0.84191308475782911</v>
      </c>
      <c r="Y6" s="32">
        <v>-2.4950003905054767E-4</v>
      </c>
      <c r="Z6" s="33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5">
        <f>BSGamma($AA$17,E6,D6,0.001,V6)</f>
        <v>0</v>
      </c>
      <c r="AF6" s="56">
        <f t="shared" ref="AF6:AF37" si="0">IF(ISERR(AE6),0,AE6*M6)</f>
        <v>0</v>
      </c>
      <c r="AG6" s="28">
        <f>IF(AE6 = 0,0,(Y6*-10000)/AE6)</f>
        <v>0</v>
      </c>
      <c r="AH6">
        <f>IF(F6="C",MAX(0,$AA$14-E6),MAX(0,E6-$AA$14))*10000</f>
        <v>0</v>
      </c>
      <c r="AI6" s="47">
        <f>MAX(0,(U6*10000)-AH6)</f>
        <v>0.81199351145806586</v>
      </c>
      <c r="AJ6" s="47">
        <f>AI6*M6</f>
        <v>8.1199351145806595</v>
      </c>
      <c r="AK6" s="46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49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1">
        <v>7.4421382497728584E-5</v>
      </c>
      <c r="V7" s="50">
        <v>0.24014391877688013</v>
      </c>
      <c r="W7" s="2">
        <v>-9.7672371887170713E-3</v>
      </c>
      <c r="X7" s="51">
        <v>0.96797095253886623</v>
      </c>
      <c r="Y7" s="32">
        <v>-2.2846199736357761E-4</v>
      </c>
      <c r="Z7" s="33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5">
        <f t="shared" ref="AE7:AE70" si="7">BSGamma($AA$17,E7,D7,0.001,V7)</f>
        <v>0</v>
      </c>
      <c r="AF7" s="56">
        <f t="shared" si="0"/>
        <v>0</v>
      </c>
      <c r="AG7" s="28">
        <f t="shared" ref="AG7:AG70" si="8">IF(AE7 = 0,0,(Y7*-10000)/AE7)</f>
        <v>0</v>
      </c>
      <c r="AH7">
        <f t="shared" ref="AH7:AH70" si="9">IF(F7="C",MAX(0,$AA$14-E7),MAX(0,E7-$AA$14))*10000</f>
        <v>0</v>
      </c>
      <c r="AI7" s="47">
        <f t="shared" ref="AI7:AI70" si="10">MAX(0,(U7*10000)-AH7)</f>
        <v>0.74421382497728583</v>
      </c>
      <c r="AJ7" s="47">
        <f t="shared" ref="AJ7:AJ70" si="11">AI7*M7</f>
        <v>0</v>
      </c>
      <c r="AK7" s="46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49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1">
        <v>7.1611499573167992E-5</v>
      </c>
      <c r="V8" s="50">
        <v>0.21823570997051434</v>
      </c>
      <c r="W8" s="2">
        <v>-1.0310207742769443E-2</v>
      </c>
      <c r="X8" s="51">
        <v>0</v>
      </c>
      <c r="Y8" s="32">
        <v>-2.1819140367112388E-4</v>
      </c>
      <c r="Z8" s="33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5">
        <f t="shared" si="7"/>
        <v>0</v>
      </c>
      <c r="AF8" s="56">
        <f t="shared" si="0"/>
        <v>0</v>
      </c>
      <c r="AG8" s="28">
        <f t="shared" si="8"/>
        <v>0</v>
      </c>
      <c r="AH8">
        <f t="shared" si="9"/>
        <v>0</v>
      </c>
      <c r="AI8" s="47">
        <f t="shared" si="10"/>
        <v>0.71611499573167992</v>
      </c>
      <c r="AJ8" s="47">
        <f t="shared" si="11"/>
        <v>0</v>
      </c>
      <c r="AK8" s="46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49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1">
        <v>8.0178960996781138E-5</v>
      </c>
      <c r="V9" s="50">
        <v>0.1984803535556523</v>
      </c>
      <c r="W9" s="2">
        <v>-1.2365932135729427E-2</v>
      </c>
      <c r="X9" s="51">
        <v>0</v>
      </c>
      <c r="Y9" s="32">
        <v>-2.3096374601349581E-4</v>
      </c>
      <c r="Z9" s="33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5">
        <f t="shared" si="7"/>
        <v>0</v>
      </c>
      <c r="AF9" s="56">
        <f t="shared" si="0"/>
        <v>0</v>
      </c>
      <c r="AG9" s="28">
        <f t="shared" si="8"/>
        <v>0</v>
      </c>
      <c r="AH9">
        <f t="shared" si="9"/>
        <v>0</v>
      </c>
      <c r="AI9" s="47">
        <f t="shared" si="10"/>
        <v>0.80178960996781135</v>
      </c>
      <c r="AJ9" s="47">
        <f t="shared" si="11"/>
        <v>0</v>
      </c>
      <c r="AK9" s="46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49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1">
        <v>9.787043407957923E-5</v>
      </c>
      <c r="V10" s="50">
        <v>0.18087784953227981</v>
      </c>
      <c r="W10" s="2">
        <v>-1.6053871129648158E-2</v>
      </c>
      <c r="X10" s="52">
        <v>0</v>
      </c>
      <c r="Y10" s="32">
        <v>-2.6307424795380687E-4</v>
      </c>
      <c r="Z10" s="33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5">
        <f t="shared" si="7"/>
        <v>0</v>
      </c>
      <c r="AF10" s="56">
        <f t="shared" si="0"/>
        <v>0</v>
      </c>
      <c r="AG10" s="28">
        <f t="shared" si="8"/>
        <v>0</v>
      </c>
      <c r="AH10">
        <f t="shared" si="9"/>
        <v>0</v>
      </c>
      <c r="AI10" s="47">
        <f t="shared" si="10"/>
        <v>0.97870434079579227</v>
      </c>
      <c r="AJ10" s="47">
        <f t="shared" si="11"/>
        <v>0</v>
      </c>
      <c r="AK10" s="46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49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1">
        <v>1.2338459576258055E-4</v>
      </c>
      <c r="V11" s="50">
        <v>0.16542819790035423</v>
      </c>
      <c r="W11" s="2">
        <v>-2.1560138228549582E-2</v>
      </c>
      <c r="X11" s="51">
        <v>0</v>
      </c>
      <c r="Y11" s="32">
        <v>-3.1239254104964881E-4</v>
      </c>
      <c r="Z11" s="33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5">
        <f t="shared" si="7"/>
        <v>0</v>
      </c>
      <c r="AF11" s="56">
        <f t="shared" si="0"/>
        <v>0</v>
      </c>
      <c r="AG11" s="28">
        <f t="shared" si="8"/>
        <v>0</v>
      </c>
      <c r="AH11">
        <f t="shared" si="9"/>
        <v>0</v>
      </c>
      <c r="AI11" s="47">
        <f t="shared" si="10"/>
        <v>1.2338459576258056</v>
      </c>
      <c r="AJ11" s="47">
        <f t="shared" si="11"/>
        <v>0</v>
      </c>
      <c r="AK11" s="46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49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1">
        <v>1.9676249128862636E-4</v>
      </c>
      <c r="V12" s="50">
        <v>0.15213139865993242</v>
      </c>
      <c r="W12" s="2">
        <v>-3.4836869172406915E-2</v>
      </c>
      <c r="X12" s="51">
        <v>0</v>
      </c>
      <c r="Y12" s="32">
        <v>-4.2589234528331163E-4</v>
      </c>
      <c r="Z12" s="33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5">
        <f t="shared" si="7"/>
        <v>0</v>
      </c>
      <c r="AF12" s="56">
        <f t="shared" si="0"/>
        <v>0</v>
      </c>
      <c r="AG12" s="28">
        <f t="shared" si="8"/>
        <v>0</v>
      </c>
      <c r="AH12">
        <f t="shared" si="9"/>
        <v>0</v>
      </c>
      <c r="AI12" s="47">
        <f t="shared" si="10"/>
        <v>1.9676249128862635</v>
      </c>
      <c r="AJ12" s="47">
        <f t="shared" si="11"/>
        <v>0</v>
      </c>
      <c r="AK12" s="46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49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1">
        <v>3.3657321716550412E-4</v>
      </c>
      <c r="V13" s="50">
        <v>0.14098745181098593</v>
      </c>
      <c r="W13" s="2">
        <v>-5.9208535931378342E-2</v>
      </c>
      <c r="X13" s="51">
        <v>0</v>
      </c>
      <c r="Y13" s="32">
        <v>-6.0446077599329222E-4</v>
      </c>
      <c r="Z13" s="33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5">
        <f t="shared" si="7"/>
        <v>0</v>
      </c>
      <c r="AF13" s="56">
        <f t="shared" si="0"/>
        <v>0</v>
      </c>
      <c r="AG13" s="28">
        <f t="shared" si="8"/>
        <v>0</v>
      </c>
      <c r="AH13">
        <f t="shared" si="9"/>
        <v>0</v>
      </c>
      <c r="AI13" s="47">
        <f t="shared" si="10"/>
        <v>3.3657321716550412</v>
      </c>
      <c r="AJ13" s="47">
        <f t="shared" si="11"/>
        <v>0</v>
      </c>
      <c r="AK13" s="46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49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1">
        <v>6.2461154282803021E-4</v>
      </c>
      <c r="V14" s="50">
        <v>0.13199635735350057</v>
      </c>
      <c r="W14" s="2">
        <v>-0.10560974891081049</v>
      </c>
      <c r="X14" s="51">
        <v>0</v>
      </c>
      <c r="Y14" s="32">
        <v>-8.7852672117392106E-4</v>
      </c>
      <c r="Z14" s="33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5">
        <f t="shared" si="7"/>
        <v>0</v>
      </c>
      <c r="AF14" s="56">
        <f t="shared" si="0"/>
        <v>0</v>
      </c>
      <c r="AG14" s="28">
        <f t="shared" si="8"/>
        <v>0</v>
      </c>
      <c r="AH14">
        <f t="shared" si="9"/>
        <v>0</v>
      </c>
      <c r="AI14" s="47">
        <f t="shared" si="10"/>
        <v>6.2461154282803024</v>
      </c>
      <c r="AJ14" s="47">
        <f t="shared" si="11"/>
        <v>0</v>
      </c>
      <c r="AK14" s="46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49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1">
        <v>1.1984139041402108E-3</v>
      </c>
      <c r="V15" s="50">
        <v>0.12515811528751897</v>
      </c>
      <c r="W15" s="2">
        <v>-0.18793765586023906</v>
      </c>
      <c r="X15" s="51">
        <v>0</v>
      </c>
      <c r="Y15" s="32">
        <v>-1.2388664701268209E-3</v>
      </c>
      <c r="Z15" s="33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5">
        <f t="shared" si="7"/>
        <v>0</v>
      </c>
      <c r="AF15" s="56">
        <f t="shared" si="0"/>
        <v>0</v>
      </c>
      <c r="AG15" s="28">
        <f t="shared" si="8"/>
        <v>0</v>
      </c>
      <c r="AH15">
        <f t="shared" si="9"/>
        <v>0</v>
      </c>
      <c r="AI15" s="47">
        <f t="shared" si="10"/>
        <v>11.984139041402107</v>
      </c>
      <c r="AJ15" s="47">
        <f t="shared" si="11"/>
        <v>0</v>
      </c>
      <c r="AK15" s="46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49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1">
        <v>2.3571633551261869E-3</v>
      </c>
      <c r="V16" s="50">
        <v>0.1204727256130127</v>
      </c>
      <c r="W16" s="2">
        <v>-0.32187740475039894</v>
      </c>
      <c r="X16" s="51">
        <v>0</v>
      </c>
      <c r="Y16" s="32">
        <v>-1.5770148129181599E-3</v>
      </c>
      <c r="Z16" s="33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5">
        <f t="shared" si="7"/>
        <v>0</v>
      </c>
      <c r="AF16" s="56">
        <f t="shared" si="0"/>
        <v>0</v>
      </c>
      <c r="AG16" s="28">
        <f t="shared" si="8"/>
        <v>0</v>
      </c>
      <c r="AH16">
        <f t="shared" si="9"/>
        <v>0</v>
      </c>
      <c r="AI16" s="47">
        <f t="shared" si="10"/>
        <v>23.571633551261868</v>
      </c>
      <c r="AJ16" s="47">
        <f t="shared" si="11"/>
        <v>0</v>
      </c>
      <c r="AK16" s="46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49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1">
        <v>7.1000000461935997E-3</v>
      </c>
      <c r="V17" s="50">
        <v>0.19486266952716297</v>
      </c>
      <c r="W17" s="2">
        <v>-0.49550698962638023</v>
      </c>
      <c r="X17" s="51">
        <v>0</v>
      </c>
      <c r="Y17" s="32">
        <v>-2.8652366511571609E-3</v>
      </c>
      <c r="Z17" s="33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5">
        <f t="shared" si="7"/>
        <v>0</v>
      </c>
      <c r="AF17" s="56">
        <f t="shared" si="0"/>
        <v>0</v>
      </c>
      <c r="AG17" s="28">
        <f t="shared" si="8"/>
        <v>0</v>
      </c>
      <c r="AH17">
        <f t="shared" si="9"/>
        <v>0</v>
      </c>
      <c r="AI17" s="47">
        <f t="shared" si="10"/>
        <v>71.000000461935997</v>
      </c>
      <c r="AJ17" s="47">
        <f t="shared" si="11"/>
        <v>0</v>
      </c>
      <c r="AK17" s="46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49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1">
        <v>7.2386292668941759E-3</v>
      </c>
      <c r="V18" s="50">
        <v>0.11756050343842617</v>
      </c>
      <c r="W18" s="2">
        <v>-0.67253122920548303</v>
      </c>
      <c r="X18" s="51">
        <v>0</v>
      </c>
      <c r="Y18" s="32">
        <v>-1.5495704596294006E-3</v>
      </c>
      <c r="Z18" s="33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5">
        <f t="shared" si="7"/>
        <v>0</v>
      </c>
      <c r="AF18" s="56">
        <f t="shared" si="0"/>
        <v>0</v>
      </c>
      <c r="AG18" s="28">
        <f t="shared" si="8"/>
        <v>0</v>
      </c>
      <c r="AH18">
        <f t="shared" si="9"/>
        <v>49.000000000001265</v>
      </c>
      <c r="AI18" s="47">
        <f t="shared" si="10"/>
        <v>23.386292668940499</v>
      </c>
      <c r="AJ18" s="47">
        <f t="shared" si="11"/>
        <v>0</v>
      </c>
      <c r="AK18" s="46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49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1">
        <v>1.1016346548179045E-2</v>
      </c>
      <c r="V19" s="50">
        <v>0.11933367093836011</v>
      </c>
      <c r="W19" s="2">
        <v>-0.81481940558608035</v>
      </c>
      <c r="X19" s="51">
        <v>0</v>
      </c>
      <c r="Y19" s="32">
        <v>-1.168430220345048E-3</v>
      </c>
      <c r="Z19" s="33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5">
        <f t="shared" si="7"/>
        <v>0</v>
      </c>
      <c r="AF19" s="56">
        <f t="shared" si="0"/>
        <v>0</v>
      </c>
      <c r="AG19" s="28">
        <f t="shared" si="8"/>
        <v>0</v>
      </c>
      <c r="AH19">
        <f t="shared" si="9"/>
        <v>99.000000000000199</v>
      </c>
      <c r="AI19" s="47">
        <f t="shared" si="10"/>
        <v>11.163465481790254</v>
      </c>
      <c r="AJ19" s="47">
        <f t="shared" si="11"/>
        <v>0</v>
      </c>
      <c r="AK19" s="46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49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1">
        <v>1.5421554579886813E-2</v>
      </c>
      <c r="V20" s="50">
        <v>0.1232596908297694</v>
      </c>
      <c r="W20" s="2">
        <v>-0.9034281906599263</v>
      </c>
      <c r="X20" s="51">
        <v>0.45586362429465982</v>
      </c>
      <c r="Y20" s="32">
        <v>-7.6797840683540336E-4</v>
      </c>
      <c r="Z20" s="33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5">
        <f t="shared" si="7"/>
        <v>0</v>
      </c>
      <c r="AF20" s="56">
        <f t="shared" si="0"/>
        <v>0</v>
      </c>
      <c r="AG20" s="28">
        <f t="shared" si="8"/>
        <v>0</v>
      </c>
      <c r="AH20">
        <f t="shared" si="9"/>
        <v>149.00000000000136</v>
      </c>
      <c r="AI20" s="47">
        <f t="shared" si="10"/>
        <v>5.2155457988667706</v>
      </c>
      <c r="AJ20" s="47">
        <f t="shared" si="11"/>
        <v>0</v>
      </c>
      <c r="AK20" s="46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49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1">
        <v>2.0139865568373858E-2</v>
      </c>
      <c r="V21" s="50">
        <v>0.1293385631126398</v>
      </c>
      <c r="W21" s="2">
        <v>-0.95204286396793458</v>
      </c>
      <c r="X21" s="51">
        <v>0</v>
      </c>
      <c r="Y21" s="32">
        <v>-4.7107727011627768E-4</v>
      </c>
      <c r="Z21" s="33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5">
        <f t="shared" si="7"/>
        <v>0</v>
      </c>
      <c r="AF21" s="56">
        <f t="shared" si="0"/>
        <v>0</v>
      </c>
      <c r="AG21" s="28">
        <f t="shared" si="8"/>
        <v>0</v>
      </c>
      <c r="AH21">
        <f t="shared" si="9"/>
        <v>199.00000000000028</v>
      </c>
      <c r="AI21" s="47">
        <f t="shared" si="10"/>
        <v>2.3986556837382977</v>
      </c>
      <c r="AJ21" s="47">
        <f t="shared" si="11"/>
        <v>0</v>
      </c>
      <c r="AK21" s="46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49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1">
        <v>2.5021042245330444E-2</v>
      </c>
      <c r="V22" s="50">
        <v>0.13757028778701397</v>
      </c>
      <c r="W22" s="2">
        <v>-0.97506282275406442</v>
      </c>
      <c r="X22" s="51">
        <v>0</v>
      </c>
      <c r="Y22" s="32">
        <v>-2.928207005908077E-4</v>
      </c>
      <c r="Z22" s="33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5">
        <f t="shared" si="7"/>
        <v>0</v>
      </c>
      <c r="AF22" s="56">
        <f t="shared" si="0"/>
        <v>0</v>
      </c>
      <c r="AG22" s="28">
        <f t="shared" si="8"/>
        <v>0</v>
      </c>
      <c r="AH22">
        <f t="shared" si="9"/>
        <v>249.00000000000145</v>
      </c>
      <c r="AI22" s="47">
        <f t="shared" si="10"/>
        <v>1.2104224533029821</v>
      </c>
      <c r="AJ22" s="47">
        <f t="shared" si="11"/>
        <v>0</v>
      </c>
      <c r="AK22" s="46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49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1">
        <v>2.9971969328718363E-2</v>
      </c>
      <c r="V23" s="50">
        <v>0.14795486485286347</v>
      </c>
      <c r="W23" s="2">
        <v>-0.98537525388845271</v>
      </c>
      <c r="X23" s="51">
        <v>0</v>
      </c>
      <c r="Y23" s="2">
        <v>-1.9919460149662467E-4</v>
      </c>
      <c r="Z23" s="33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5">
        <f t="shared" si="7"/>
        <v>0</v>
      </c>
      <c r="AF23" s="56">
        <f t="shared" si="0"/>
        <v>0</v>
      </c>
      <c r="AG23" s="28">
        <f t="shared" si="8"/>
        <v>0</v>
      </c>
      <c r="AH23">
        <f t="shared" si="9"/>
        <v>299.0000000000004</v>
      </c>
      <c r="AI23" s="47">
        <f t="shared" si="10"/>
        <v>0.71969328718324732</v>
      </c>
      <c r="AJ23" s="47">
        <f t="shared" si="11"/>
        <v>0</v>
      </c>
      <c r="AK23" s="46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49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1">
        <v>3.4947170242700727E-2</v>
      </c>
      <c r="V24" s="50">
        <v>0.16049229431017409</v>
      </c>
      <c r="W24" s="2">
        <v>-0.99069384771629254</v>
      </c>
      <c r="X24" s="51">
        <v>0.96000685239764894</v>
      </c>
      <c r="Y24" s="2">
        <v>-1.4673614098978258E-4</v>
      </c>
      <c r="Z24" s="33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5">
        <f t="shared" si="7"/>
        <v>0</v>
      </c>
      <c r="AF24" s="56">
        <f t="shared" si="0"/>
        <v>0</v>
      </c>
      <c r="AG24" s="28">
        <f t="shared" si="8"/>
        <v>0</v>
      </c>
      <c r="AH24">
        <f t="shared" si="9"/>
        <v>349.00000000000153</v>
      </c>
      <c r="AI24" s="47">
        <f t="shared" si="10"/>
        <v>0.47170242700570952</v>
      </c>
      <c r="AJ24" s="47">
        <f t="shared" si="11"/>
        <v>0</v>
      </c>
      <c r="AK24" s="46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49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1">
        <v>3.9938167651417097E-2</v>
      </c>
      <c r="V25" s="50">
        <v>0.17518257615898847</v>
      </c>
      <c r="W25" s="2">
        <v>-0.99295163726063207</v>
      </c>
      <c r="X25" s="51">
        <v>0.96459820214130731</v>
      </c>
      <c r="Y25" s="2">
        <v>-1.2498221345756254E-4</v>
      </c>
      <c r="Z25" s="33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5">
        <f t="shared" si="7"/>
        <v>0</v>
      </c>
      <c r="AF25" s="56">
        <f t="shared" si="0"/>
        <v>0</v>
      </c>
      <c r="AG25" s="28">
        <f t="shared" si="8"/>
        <v>0</v>
      </c>
      <c r="AH25">
        <f t="shared" si="9"/>
        <v>399.00000000000045</v>
      </c>
      <c r="AI25" s="47">
        <f t="shared" si="10"/>
        <v>0.38167651417052184</v>
      </c>
      <c r="AJ25" s="47">
        <f t="shared" si="11"/>
        <v>0</v>
      </c>
      <c r="AK25" s="46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49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1">
        <v>4.4933497038128635E-2</v>
      </c>
      <c r="V26" s="50">
        <v>0.19202571039927818</v>
      </c>
      <c r="W26" s="2">
        <v>-0.99424128479175922</v>
      </c>
      <c r="X26" s="51">
        <v>0.93178526449189381</v>
      </c>
      <c r="Y26" s="2">
        <v>-1.1497841994031873E-4</v>
      </c>
      <c r="Z26" s="33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5">
        <f t="shared" si="7"/>
        <v>0</v>
      </c>
      <c r="AF26" s="56">
        <f t="shared" si="0"/>
        <v>0</v>
      </c>
      <c r="AG26" s="28">
        <f t="shared" si="8"/>
        <v>0</v>
      </c>
      <c r="AH26">
        <f t="shared" si="9"/>
        <v>449.00000000000159</v>
      </c>
      <c r="AI26" s="47">
        <f t="shared" si="10"/>
        <v>0.33497038128473378</v>
      </c>
      <c r="AJ26" s="47">
        <f t="shared" si="11"/>
        <v>0</v>
      </c>
      <c r="AK26" s="46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49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1">
        <v>4.9933175905381037E-2</v>
      </c>
      <c r="V27" s="50">
        <v>0.21102169703104323</v>
      </c>
      <c r="W27" s="2">
        <v>-0.99475196361446627</v>
      </c>
      <c r="X27" s="51">
        <v>0.78384519397573749</v>
      </c>
      <c r="Y27" s="2">
        <v>-1.1677813097680746E-4</v>
      </c>
      <c r="Z27" s="33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5">
        <f t="shared" si="7"/>
        <v>0</v>
      </c>
      <c r="AF27" s="56">
        <f t="shared" si="0"/>
        <v>0</v>
      </c>
      <c r="AG27" s="28">
        <f t="shared" si="8"/>
        <v>0</v>
      </c>
      <c r="AH27">
        <f t="shared" si="9"/>
        <v>499.00000000000057</v>
      </c>
      <c r="AI27" s="47">
        <f t="shared" si="10"/>
        <v>0.33175905380977611</v>
      </c>
      <c r="AJ27" s="47">
        <f t="shared" si="11"/>
        <v>0</v>
      </c>
      <c r="AK27" s="46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49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1">
        <v>5.4937219892936658E-2</v>
      </c>
      <c r="V28" s="50">
        <v>0.23217053605428362</v>
      </c>
      <c r="W28" s="2">
        <v>-0.99465768629688212</v>
      </c>
      <c r="X28" s="51">
        <v>0.72323851067159062</v>
      </c>
      <c r="Y28" s="2">
        <v>-1.3043410533604931E-4</v>
      </c>
      <c r="Z28" s="33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5">
        <f t="shared" si="7"/>
        <v>0</v>
      </c>
      <c r="AF28" s="56">
        <f t="shared" si="0"/>
        <v>0</v>
      </c>
      <c r="AG28" s="28">
        <f t="shared" si="8"/>
        <v>0</v>
      </c>
      <c r="AH28">
        <f t="shared" si="9"/>
        <v>549.00000000000171</v>
      </c>
      <c r="AI28" s="47">
        <f t="shared" si="10"/>
        <v>0.37219892936491306</v>
      </c>
      <c r="AJ28" s="47">
        <f t="shared" si="11"/>
        <v>0</v>
      </c>
      <c r="AK28" s="46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49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1">
        <v>5.9945648867460698E-2</v>
      </c>
      <c r="V29" s="50">
        <v>0.25547222746899934</v>
      </c>
      <c r="W29" s="2">
        <v>-0.99410840163359981</v>
      </c>
      <c r="X29" s="51">
        <v>0.71422133303684943</v>
      </c>
      <c r="Y29" s="2">
        <v>-1.5599872907370662E-4</v>
      </c>
      <c r="Z29" s="33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5">
        <f t="shared" si="7"/>
        <v>0</v>
      </c>
      <c r="AF29" s="56">
        <f t="shared" si="0"/>
        <v>0</v>
      </c>
      <c r="AG29" s="28">
        <f t="shared" si="8"/>
        <v>0</v>
      </c>
      <c r="AH29">
        <f t="shared" si="9"/>
        <v>599.00000000000068</v>
      </c>
      <c r="AI29" s="47">
        <f t="shared" si="10"/>
        <v>0.45648867460624842</v>
      </c>
      <c r="AJ29" s="47">
        <f t="shared" si="11"/>
        <v>0</v>
      </c>
      <c r="AK29" s="46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49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1">
        <v>6.4958485315866926E-2</v>
      </c>
      <c r="V30" s="50">
        <v>0.2809267712752046</v>
      </c>
      <c r="W30" s="2">
        <v>-0.99322759936178417</v>
      </c>
      <c r="X30" s="51">
        <v>0.73250794366057015</v>
      </c>
      <c r="Y30" s="2">
        <v>-1.9352554713736398E-4</v>
      </c>
      <c r="Z30" s="33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5">
        <f t="shared" si="7"/>
        <v>0</v>
      </c>
      <c r="AF30" s="56">
        <f t="shared" si="0"/>
        <v>0</v>
      </c>
      <c r="AG30" s="28">
        <f t="shared" si="8"/>
        <v>0</v>
      </c>
      <c r="AH30">
        <f t="shared" si="9"/>
        <v>648.99999999999955</v>
      </c>
      <c r="AI30" s="47">
        <f t="shared" si="10"/>
        <v>0.58485315866971632</v>
      </c>
      <c r="AJ30" s="47">
        <f t="shared" si="11"/>
        <v>0</v>
      </c>
      <c r="AK30" s="46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49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1">
        <v>6.9975749618210112E-2</v>
      </c>
      <c r="V31" s="50">
        <v>0.30853416747289941</v>
      </c>
      <c r="W31" s="2">
        <v>-0.99211342707809069</v>
      </c>
      <c r="X31" s="51">
        <v>0.76249876297262764</v>
      </c>
      <c r="Y31" s="2">
        <v>-2.4306472003765922E-4</v>
      </c>
      <c r="Z31" s="33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5">
        <f t="shared" si="7"/>
        <v>0</v>
      </c>
      <c r="AF31" s="56">
        <f t="shared" si="0"/>
        <v>0</v>
      </c>
      <c r="AG31" s="28">
        <f t="shared" si="8"/>
        <v>0</v>
      </c>
      <c r="AH31">
        <f t="shared" si="9"/>
        <v>699.00000000000068</v>
      </c>
      <c r="AI31" s="47">
        <f t="shared" si="10"/>
        <v>0.75749618210045355</v>
      </c>
      <c r="AJ31" s="47">
        <f t="shared" si="11"/>
        <v>0</v>
      </c>
      <c r="AK31" s="46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49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1">
        <v>7.4997461117907296E-2</v>
      </c>
      <c r="V32" s="50">
        <v>0.33829441606204114</v>
      </c>
      <c r="W32" s="2">
        <v>-0.99084222167956415</v>
      </c>
      <c r="X32" s="51">
        <v>0.79477854501055389</v>
      </c>
      <c r="Y32" s="2">
        <v>-3.0467123538908616E-4</v>
      </c>
      <c r="Z32" s="33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5">
        <f t="shared" si="7"/>
        <v>0</v>
      </c>
      <c r="AF32" s="56">
        <f t="shared" si="0"/>
        <v>0</v>
      </c>
      <c r="AG32" s="28">
        <f t="shared" si="8"/>
        <v>0</v>
      </c>
      <c r="AH32">
        <f t="shared" si="9"/>
        <v>749.00000000000193</v>
      </c>
      <c r="AI32" s="47">
        <f t="shared" si="10"/>
        <v>0.97461117907107564</v>
      </c>
      <c r="AJ32" s="47">
        <f t="shared" si="11"/>
        <v>0</v>
      </c>
      <c r="AK32" s="46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49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1">
        <v>8.0023639217036438E-2</v>
      </c>
      <c r="V33" s="50">
        <v>0.37020751704270083</v>
      </c>
      <c r="W33" s="2">
        <v>-0.98947196305720375</v>
      </c>
      <c r="X33" s="51">
        <v>0.82406090664307019</v>
      </c>
      <c r="Y33" s="2">
        <v>-3.7839448819390126E-4</v>
      </c>
      <c r="Z33" s="33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5">
        <f t="shared" si="7"/>
        <v>0</v>
      </c>
      <c r="AF33" s="56">
        <f t="shared" si="0"/>
        <v>0</v>
      </c>
      <c r="AG33" s="28">
        <f t="shared" si="8"/>
        <v>0</v>
      </c>
      <c r="AH33">
        <f t="shared" si="9"/>
        <v>799.0000000000008</v>
      </c>
      <c r="AI33" s="47">
        <f t="shared" si="10"/>
        <v>1.2363921703636152</v>
      </c>
      <c r="AJ33" s="47">
        <f t="shared" si="11"/>
        <v>0</v>
      </c>
      <c r="AK33" s="46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49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1">
        <v>8.5070516615054173E-2</v>
      </c>
      <c r="V34" s="50">
        <v>0.40427347041482165</v>
      </c>
      <c r="W34" s="2">
        <v>-0.98705691075711555</v>
      </c>
      <c r="X34" s="51">
        <v>0.8966998586038698</v>
      </c>
      <c r="Y34" s="2">
        <v>-4.9113662857176266E-4</v>
      </c>
      <c r="Z34" s="33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5">
        <f t="shared" si="7"/>
        <v>0</v>
      </c>
      <c r="AF34" s="56">
        <f t="shared" si="0"/>
        <v>0</v>
      </c>
      <c r="AG34" s="28">
        <f t="shared" si="8"/>
        <v>0</v>
      </c>
      <c r="AH34">
        <f t="shared" si="9"/>
        <v>848.99999999999977</v>
      </c>
      <c r="AI34" s="47">
        <f t="shared" si="10"/>
        <v>1.7051661505419133</v>
      </c>
      <c r="AJ34" s="47">
        <f t="shared" si="11"/>
        <v>0</v>
      </c>
      <c r="AK34" s="46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49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1">
        <v>9.0131182289735531E-2</v>
      </c>
      <c r="V35" s="50">
        <v>0.44049227617840359</v>
      </c>
      <c r="W35" s="2">
        <v>-0.98426134336016369</v>
      </c>
      <c r="X35" s="51">
        <v>0.97085895907125108</v>
      </c>
      <c r="Y35" s="2">
        <v>-6.3142971592561868E-4</v>
      </c>
      <c r="Z35" s="33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5">
        <f t="shared" si="7"/>
        <v>0</v>
      </c>
      <c r="AF35" s="56">
        <f t="shared" si="0"/>
        <v>0</v>
      </c>
      <c r="AG35" s="28">
        <f t="shared" si="8"/>
        <v>0</v>
      </c>
      <c r="AH35">
        <f t="shared" si="9"/>
        <v>899.00000000000091</v>
      </c>
      <c r="AI35" s="47">
        <f t="shared" si="10"/>
        <v>2.3118228973544319</v>
      </c>
      <c r="AJ35" s="47">
        <f t="shared" si="11"/>
        <v>0</v>
      </c>
      <c r="AK35" s="46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49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1">
        <v>5.5180738412799829E-2</v>
      </c>
      <c r="V36" s="50">
        <v>0.26420497997470704</v>
      </c>
      <c r="W36" s="2">
        <v>0.9903783911365891</v>
      </c>
      <c r="X36" s="51">
        <v>8.4867609479617076E-7</v>
      </c>
      <c r="Y36" s="2">
        <v>-2.4913728829400539E-4</v>
      </c>
      <c r="Z36" s="33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5">
        <f t="shared" si="7"/>
        <v>0</v>
      </c>
      <c r="AF36" s="56">
        <f t="shared" si="0"/>
        <v>0</v>
      </c>
      <c r="AG36" s="28">
        <f t="shared" si="8"/>
        <v>0</v>
      </c>
      <c r="AH36">
        <f t="shared" si="9"/>
        <v>550.99999999999932</v>
      </c>
      <c r="AI36" s="47">
        <f t="shared" si="10"/>
        <v>0.80738412799894377</v>
      </c>
      <c r="AJ36" s="47">
        <f t="shared" si="11"/>
        <v>0</v>
      </c>
      <c r="AK36" s="46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49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1">
        <v>5.0174002271439908E-2</v>
      </c>
      <c r="V37" s="50">
        <v>0.24014391877688013</v>
      </c>
      <c r="W37" s="2">
        <v>0.99029902415853122</v>
      </c>
      <c r="X37" s="51">
        <v>0</v>
      </c>
      <c r="Y37" s="2">
        <v>-2.2813216354481477E-4</v>
      </c>
      <c r="Z37" s="33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5">
        <f t="shared" si="7"/>
        <v>0</v>
      </c>
      <c r="AF37" s="56">
        <f t="shared" si="0"/>
        <v>0</v>
      </c>
      <c r="AG37" s="28">
        <f t="shared" si="8"/>
        <v>0</v>
      </c>
      <c r="AH37">
        <f t="shared" si="9"/>
        <v>501.00000000000034</v>
      </c>
      <c r="AI37" s="47">
        <f t="shared" si="10"/>
        <v>0.74002271439871947</v>
      </c>
      <c r="AJ37" s="47">
        <f t="shared" si="11"/>
        <v>0</v>
      </c>
      <c r="AK37" s="46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49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1">
        <v>4.5171234214798316E-2</v>
      </c>
      <c r="V38" s="50">
        <v>0.21823570997051434</v>
      </c>
      <c r="W38" s="2">
        <v>0.98975605375086417</v>
      </c>
      <c r="X38" s="51">
        <v>0</v>
      </c>
      <c r="Y38" s="2">
        <v>-2.1789448305739866E-4</v>
      </c>
      <c r="Z38" s="33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5">
        <f t="shared" si="7"/>
        <v>0</v>
      </c>
      <c r="AF38" s="56">
        <f t="shared" ref="AF38:AF69" si="13">IF(ISERR(AE38),0,AE38*M38)</f>
        <v>0</v>
      </c>
      <c r="AG38" s="28">
        <f t="shared" si="8"/>
        <v>0</v>
      </c>
      <c r="AH38">
        <f t="shared" si="9"/>
        <v>450.9999999999992</v>
      </c>
      <c r="AI38" s="47">
        <f t="shared" si="10"/>
        <v>0.71234214798397488</v>
      </c>
      <c r="AJ38" s="47">
        <f t="shared" si="11"/>
        <v>0</v>
      </c>
      <c r="AK38" s="46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49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1">
        <v>4.017984348371216E-2</v>
      </c>
      <c r="V39" s="50">
        <v>0.1984803535556523</v>
      </c>
      <c r="W39" s="2">
        <v>0.98770033251658362</v>
      </c>
      <c r="X39" s="51">
        <v>0</v>
      </c>
      <c r="Y39" s="2">
        <v>-2.3069967905503622E-4</v>
      </c>
      <c r="Z39" s="33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5">
        <f t="shared" si="7"/>
        <v>0</v>
      </c>
      <c r="AF39" s="56">
        <f t="shared" si="13"/>
        <v>0</v>
      </c>
      <c r="AG39" s="28">
        <f t="shared" si="8"/>
        <v>0</v>
      </c>
      <c r="AH39">
        <f t="shared" si="9"/>
        <v>401.00000000000023</v>
      </c>
      <c r="AI39" s="47">
        <f t="shared" si="10"/>
        <v>0.79843483712136276</v>
      </c>
      <c r="AJ39" s="47">
        <f t="shared" si="11"/>
        <v>0</v>
      </c>
      <c r="AK39" s="46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49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1">
        <v>3.5197576778754069E-2</v>
      </c>
      <c r="V40" s="50">
        <v>0.18087784953227981</v>
      </c>
      <c r="W40" s="2">
        <v>0.98401239466735069</v>
      </c>
      <c r="X40" s="51">
        <v>0</v>
      </c>
      <c r="Y40" s="2">
        <v>-2.6284308136189993E-4</v>
      </c>
      <c r="Z40" s="33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5">
        <f t="shared" si="7"/>
        <v>0</v>
      </c>
      <c r="AF40" s="56">
        <f t="shared" si="13"/>
        <v>0</v>
      </c>
      <c r="AG40" s="28">
        <f t="shared" si="8"/>
        <v>0</v>
      </c>
      <c r="AH40">
        <f t="shared" si="9"/>
        <v>350.99999999999909</v>
      </c>
      <c r="AI40" s="47">
        <f t="shared" si="10"/>
        <v>0.97576778754159932</v>
      </c>
      <c r="AJ40" s="47">
        <f t="shared" si="11"/>
        <v>0</v>
      </c>
      <c r="AK40" s="46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49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1">
        <v>3.0223132760095989E-2</v>
      </c>
      <c r="V41" s="50">
        <v>0.16542819790035423</v>
      </c>
      <c r="W41" s="2">
        <v>0.97850612927498648</v>
      </c>
      <c r="X41" s="51">
        <v>0</v>
      </c>
      <c r="Y41" s="2">
        <v>-3.1219426754247582E-4</v>
      </c>
      <c r="Z41" s="33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5">
        <f t="shared" si="7"/>
        <v>0</v>
      </c>
      <c r="AF41" s="56">
        <f t="shared" si="13"/>
        <v>0</v>
      </c>
      <c r="AG41" s="28">
        <f t="shared" si="8"/>
        <v>0</v>
      </c>
      <c r="AH41">
        <f t="shared" si="9"/>
        <v>301.00000000000017</v>
      </c>
      <c r="AI41" s="47">
        <f t="shared" si="10"/>
        <v>1.2313276009597303</v>
      </c>
      <c r="AJ41" s="47">
        <f t="shared" si="11"/>
        <v>0</v>
      </c>
      <c r="AK41" s="46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49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1">
        <v>2.52965524313538E-2</v>
      </c>
      <c r="V42" s="50">
        <v>0.15213139865993242</v>
      </c>
      <c r="W42" s="2">
        <v>0.96522940856043193</v>
      </c>
      <c r="X42" s="51">
        <v>0</v>
      </c>
      <c r="Y42" s="2">
        <v>-4.2572685371954631E-4</v>
      </c>
      <c r="Z42" s="33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5">
        <f t="shared" si="7"/>
        <v>0</v>
      </c>
      <c r="AF42" s="56">
        <f t="shared" si="13"/>
        <v>0</v>
      </c>
      <c r="AG42" s="28">
        <f t="shared" si="8"/>
        <v>0</v>
      </c>
      <c r="AH42">
        <f t="shared" si="9"/>
        <v>250.99999999999901</v>
      </c>
      <c r="AI42" s="47">
        <f t="shared" si="10"/>
        <v>1.9655243135389924</v>
      </c>
      <c r="AJ42" s="47">
        <f t="shared" si="11"/>
        <v>0</v>
      </c>
      <c r="AK42" s="46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49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1">
        <v>2.0436404881690615E-2</v>
      </c>
      <c r="V43" s="50">
        <v>0.14098745181098593</v>
      </c>
      <c r="W43" s="2">
        <v>0.9408577625029193</v>
      </c>
      <c r="X43" s="51">
        <v>0</v>
      </c>
      <c r="Y43" s="2">
        <v>-6.0432797633985607E-4</v>
      </c>
      <c r="Z43" s="33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5">
        <f t="shared" si="7"/>
        <v>0</v>
      </c>
      <c r="AF43" s="56">
        <f t="shared" si="13"/>
        <v>0</v>
      </c>
      <c r="AG43" s="28">
        <f t="shared" si="8"/>
        <v>0</v>
      </c>
      <c r="AH43">
        <f t="shared" si="9"/>
        <v>201.00000000000006</v>
      </c>
      <c r="AI43" s="47">
        <f t="shared" si="10"/>
        <v>3.3640488169060916</v>
      </c>
      <c r="AJ43" s="47">
        <f t="shared" si="11"/>
        <v>0</v>
      </c>
      <c r="AK43" s="46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49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1">
        <v>1.5724484820930949E-2</v>
      </c>
      <c r="V44" s="50">
        <v>0.13199635735350057</v>
      </c>
      <c r="W44" s="2">
        <v>0.89445659155028767</v>
      </c>
      <c r="X44" s="51">
        <v>0</v>
      </c>
      <c r="Y44" s="2">
        <v>-8.7842645993631025E-4</v>
      </c>
      <c r="Z44" s="33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5">
        <f t="shared" si="7"/>
        <v>0</v>
      </c>
      <c r="AF44" s="56">
        <f t="shared" si="13"/>
        <v>0</v>
      </c>
      <c r="AG44" s="28">
        <f t="shared" si="8"/>
        <v>0</v>
      </c>
      <c r="AH44">
        <f t="shared" si="9"/>
        <v>150.99999999999892</v>
      </c>
      <c r="AI44" s="47">
        <f t="shared" si="10"/>
        <v>6.2448482093105611</v>
      </c>
      <c r="AJ44" s="47">
        <f t="shared" si="11"/>
        <v>0</v>
      </c>
      <c r="AK44" s="46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49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1">
        <v>1.1298328568095721E-2</v>
      </c>
      <c r="V45" s="50">
        <v>0.12515811528751897</v>
      </c>
      <c r="W45" s="2">
        <v>0.81212876673398537</v>
      </c>
      <c r="X45" s="51">
        <v>0</v>
      </c>
      <c r="Y45" s="2">
        <v>-1.2387985114968151E-3</v>
      </c>
      <c r="Z45" s="33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5">
        <f t="shared" si="7"/>
        <v>0</v>
      </c>
      <c r="AF45" s="56">
        <f t="shared" si="13"/>
        <v>0</v>
      </c>
      <c r="AG45" s="28">
        <f t="shared" si="8"/>
        <v>0</v>
      </c>
      <c r="AH45">
        <f t="shared" si="9"/>
        <v>100.99999999999997</v>
      </c>
      <c r="AI45" s="47">
        <f t="shared" si="10"/>
        <v>11.983285680957238</v>
      </c>
      <c r="AJ45" s="47">
        <f t="shared" si="11"/>
        <v>0</v>
      </c>
      <c r="AK45" s="46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49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1">
        <v>7.4571183521020025E-3</v>
      </c>
      <c r="V46" s="50">
        <v>0.1204727256130127</v>
      </c>
      <c r="W46" s="2">
        <v>0.67818925711837008</v>
      </c>
      <c r="X46" s="51">
        <v>0</v>
      </c>
      <c r="Y46" s="2">
        <v>-1.5769783665466137E-3</v>
      </c>
      <c r="Z46" s="33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5">
        <f t="shared" si="7"/>
        <v>0</v>
      </c>
      <c r="AF46" s="56">
        <f t="shared" si="13"/>
        <v>0</v>
      </c>
      <c r="AG46" s="28">
        <f t="shared" si="8"/>
        <v>0</v>
      </c>
      <c r="AH46">
        <f t="shared" si="9"/>
        <v>50.99999999999882</v>
      </c>
      <c r="AI46" s="47">
        <f t="shared" si="10"/>
        <v>23.571183521021212</v>
      </c>
      <c r="AJ46" s="47">
        <f t="shared" si="11"/>
        <v>0</v>
      </c>
      <c r="AK46" s="46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49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1">
        <v>7.4000000022351742E-3</v>
      </c>
      <c r="V47" s="50">
        <v>0.20033945498258379</v>
      </c>
      <c r="W47" s="2">
        <v>0.50448938338421789</v>
      </c>
      <c r="X47" s="51">
        <v>0</v>
      </c>
      <c r="Y47" s="2">
        <v>-2.9458189595816023E-3</v>
      </c>
      <c r="Z47" s="33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5">
        <f t="shared" si="7"/>
        <v>0</v>
      </c>
      <c r="AF47" s="56">
        <f t="shared" si="13"/>
        <v>0</v>
      </c>
      <c r="AG47" s="28">
        <f t="shared" si="8"/>
        <v>0</v>
      </c>
      <c r="AH47">
        <f t="shared" si="9"/>
        <v>0.99999999999988987</v>
      </c>
      <c r="AI47" s="47">
        <f t="shared" si="10"/>
        <v>73.000000022351855</v>
      </c>
      <c r="AJ47" s="47">
        <f t="shared" si="11"/>
        <v>0</v>
      </c>
      <c r="AK47" s="46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49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1">
        <v>2.3386601062499526E-3</v>
      </c>
      <c r="V48" s="50">
        <v>0.11756050343842617</v>
      </c>
      <c r="W48" s="2">
        <v>0.32753638011934455</v>
      </c>
      <c r="X48" s="51">
        <v>0</v>
      </c>
      <c r="Y48" s="2">
        <v>-1.5495961318951479E-3</v>
      </c>
      <c r="Z48" s="33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5">
        <f t="shared" si="7"/>
        <v>0</v>
      </c>
      <c r="AF48" s="56">
        <f t="shared" si="13"/>
        <v>0</v>
      </c>
      <c r="AG48" s="28">
        <f t="shared" si="8"/>
        <v>0</v>
      </c>
      <c r="AH48">
        <f t="shared" si="9"/>
        <v>0</v>
      </c>
      <c r="AI48" s="47">
        <f t="shared" si="10"/>
        <v>23.386601062499526</v>
      </c>
      <c r="AJ48" s="47">
        <f t="shared" si="11"/>
        <v>0</v>
      </c>
      <c r="AK48" s="46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49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1">
        <v>1.1164091165729115E-3</v>
      </c>
      <c r="V49" s="50">
        <v>0.11933367093836011</v>
      </c>
      <c r="W49" s="2">
        <v>0.18524911076303147</v>
      </c>
      <c r="X49" s="51">
        <v>0</v>
      </c>
      <c r="Y49" s="2">
        <v>-1.1684861695963273E-3</v>
      </c>
      <c r="Z49" s="33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5">
        <f t="shared" si="7"/>
        <v>0</v>
      </c>
      <c r="AF49" s="56">
        <f t="shared" si="13"/>
        <v>0</v>
      </c>
      <c r="AG49" s="28">
        <f t="shared" si="8"/>
        <v>0</v>
      </c>
      <c r="AH49">
        <f t="shared" si="9"/>
        <v>0</v>
      </c>
      <c r="AI49" s="47">
        <f t="shared" si="10"/>
        <v>11.164091165729115</v>
      </c>
      <c r="AJ49" s="47">
        <f t="shared" si="11"/>
        <v>0</v>
      </c>
      <c r="AK49" s="46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49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1">
        <v>5.216474251880307E-4</v>
      </c>
      <c r="V50" s="50">
        <v>0.1232596908297694</v>
      </c>
      <c r="W50" s="2">
        <v>9.6641212812860214E-2</v>
      </c>
      <c r="X50" s="51">
        <v>0</v>
      </c>
      <c r="Y50" s="2">
        <v>-7.6806409255681253E-4</v>
      </c>
      <c r="Z50" s="33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5">
        <f t="shared" si="7"/>
        <v>0</v>
      </c>
      <c r="AF50" s="56">
        <f t="shared" si="13"/>
        <v>0</v>
      </c>
      <c r="AG50" s="28">
        <f t="shared" si="8"/>
        <v>0</v>
      </c>
      <c r="AH50">
        <f t="shared" si="9"/>
        <v>0</v>
      </c>
      <c r="AI50" s="47">
        <f t="shared" si="10"/>
        <v>5.2164742518803067</v>
      </c>
      <c r="AJ50" s="47">
        <f t="shared" si="11"/>
        <v>0</v>
      </c>
      <c r="AK50" s="46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49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1">
        <v>2.3998364970128798E-4</v>
      </c>
      <c r="V51" s="50">
        <v>0.1293385631126398</v>
      </c>
      <c r="W51" s="2">
        <v>4.8027688265695208E-2</v>
      </c>
      <c r="X51" s="51">
        <v>0</v>
      </c>
      <c r="Y51" s="2">
        <v>-4.7119122755980345E-4</v>
      </c>
      <c r="Z51" s="33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5">
        <f t="shared" si="7"/>
        <v>0</v>
      </c>
      <c r="AF51" s="56">
        <f t="shared" si="13"/>
        <v>0</v>
      </c>
      <c r="AG51" s="28">
        <f t="shared" si="8"/>
        <v>0</v>
      </c>
      <c r="AH51">
        <f t="shared" si="9"/>
        <v>0</v>
      </c>
      <c r="AI51" s="47">
        <f t="shared" si="10"/>
        <v>2.3998364970128798</v>
      </c>
      <c r="AJ51" s="47">
        <f t="shared" si="11"/>
        <v>0</v>
      </c>
      <c r="AK51" s="46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49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1">
        <v>1.2118092944529462E-4</v>
      </c>
      <c r="V52" s="50">
        <v>0.13757028778701397</v>
      </c>
      <c r="W52" s="2">
        <v>2.5008897404942047E-2</v>
      </c>
      <c r="X52" s="51">
        <v>0</v>
      </c>
      <c r="Y52" s="2">
        <v>-2.9296286178520485E-4</v>
      </c>
      <c r="Z52" s="33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5">
        <f t="shared" si="7"/>
        <v>0</v>
      </c>
      <c r="AF52" s="56">
        <f t="shared" si="13"/>
        <v>0</v>
      </c>
      <c r="AG52" s="28">
        <f t="shared" si="8"/>
        <v>0</v>
      </c>
      <c r="AH52">
        <f t="shared" si="9"/>
        <v>0</v>
      </c>
      <c r="AI52" s="47">
        <f t="shared" si="10"/>
        <v>1.2118092944529462</v>
      </c>
      <c r="AJ52" s="47">
        <f t="shared" si="11"/>
        <v>0</v>
      </c>
      <c r="AK52" s="46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49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1">
        <v>7.2126364204528251E-5</v>
      </c>
      <c r="V53" s="50">
        <v>0.14795486485286347</v>
      </c>
      <c r="W53" s="2">
        <v>1.469739074729449E-2</v>
      </c>
      <c r="X53" s="51">
        <v>0</v>
      </c>
      <c r="Y53" s="2">
        <v>-1.9936522724189968E-4</v>
      </c>
      <c r="Z53" s="33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5">
        <f t="shared" si="7"/>
        <v>0</v>
      </c>
      <c r="AF53" s="56">
        <f t="shared" si="13"/>
        <v>0</v>
      </c>
      <c r="AG53" s="28">
        <f t="shared" si="8"/>
        <v>0</v>
      </c>
      <c r="AH53">
        <f t="shared" si="9"/>
        <v>0</v>
      </c>
      <c r="AI53" s="47">
        <f t="shared" si="10"/>
        <v>0.72126364204528248</v>
      </c>
      <c r="AJ53" s="47">
        <f t="shared" si="11"/>
        <v>0</v>
      </c>
      <c r="AK53" s="46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49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1">
        <v>4.7341293692565039E-5</v>
      </c>
      <c r="V54" s="50">
        <v>0.16049229431017409</v>
      </c>
      <c r="W54" s="2">
        <v>9.3796575175678007E-3</v>
      </c>
      <c r="X54" s="51">
        <v>0.95954405647310892</v>
      </c>
      <c r="Y54" s="2">
        <v>-1.4693501410608861E-4</v>
      </c>
      <c r="Z54" s="33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5">
        <f t="shared" si="7"/>
        <v>0</v>
      </c>
      <c r="AF54" s="56">
        <f t="shared" si="13"/>
        <v>0</v>
      </c>
      <c r="AG54" s="28">
        <f t="shared" si="8"/>
        <v>0</v>
      </c>
      <c r="AH54">
        <f t="shared" si="9"/>
        <v>0</v>
      </c>
      <c r="AI54" s="47">
        <f t="shared" si="10"/>
        <v>0.4734129369256504</v>
      </c>
      <c r="AJ54" s="47">
        <f t="shared" si="11"/>
        <v>0</v>
      </c>
      <c r="AK54" s="46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49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1">
        <v>3.8359639553938722E-5</v>
      </c>
      <c r="V55" s="50">
        <v>0.17518257615898847</v>
      </c>
      <c r="W55" s="2">
        <v>7.1224100425666325E-3</v>
      </c>
      <c r="X55" s="51">
        <v>0.96421830226224814</v>
      </c>
      <c r="Y55" s="2">
        <v>-1.252089076573424E-4</v>
      </c>
      <c r="Z55" s="33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5">
        <f t="shared" si="7"/>
        <v>0</v>
      </c>
      <c r="AF55" s="56">
        <f t="shared" si="13"/>
        <v>0</v>
      </c>
      <c r="AG55" s="28">
        <f t="shared" si="8"/>
        <v>0</v>
      </c>
      <c r="AH55">
        <f t="shared" si="9"/>
        <v>0</v>
      </c>
      <c r="AI55" s="47">
        <f t="shared" si="10"/>
        <v>0.38359639553938724</v>
      </c>
      <c r="AJ55" s="47">
        <f t="shared" si="11"/>
        <v>0</v>
      </c>
      <c r="AK55" s="46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49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1">
        <v>3.3708268785229029E-5</v>
      </c>
      <c r="V56" s="50">
        <v>0.19202571039927818</v>
      </c>
      <c r="W56" s="2">
        <v>5.8332014101459308E-3</v>
      </c>
      <c r="X56" s="51">
        <v>0.93145623559933899</v>
      </c>
      <c r="Y56" s="2">
        <v>-1.1523321629706423E-4</v>
      </c>
      <c r="Z56" s="33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5">
        <f t="shared" si="7"/>
        <v>0</v>
      </c>
      <c r="AF56" s="56">
        <f t="shared" si="13"/>
        <v>0</v>
      </c>
      <c r="AG56" s="28">
        <f t="shared" si="8"/>
        <v>0</v>
      </c>
      <c r="AH56">
        <f t="shared" si="9"/>
        <v>0</v>
      </c>
      <c r="AI56" s="47">
        <f t="shared" si="10"/>
        <v>0.33708268785229029</v>
      </c>
      <c r="AJ56" s="47">
        <f t="shared" si="11"/>
        <v>0</v>
      </c>
      <c r="AK56" s="46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49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1">
        <v>3.3406769725283334E-5</v>
      </c>
      <c r="V57" s="50">
        <v>0.21102169703104323</v>
      </c>
      <c r="W57" s="2">
        <v>5.3227665009588747E-3</v>
      </c>
      <c r="X57" s="51">
        <v>0.78354081495236994</v>
      </c>
      <c r="Y57" s="2">
        <v>-1.170610648750622E-4</v>
      </c>
      <c r="Z57" s="33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5">
        <f t="shared" si="7"/>
        <v>0</v>
      </c>
      <c r="AF57" s="56">
        <f t="shared" si="13"/>
        <v>0</v>
      </c>
      <c r="AG57" s="28">
        <f t="shared" si="8"/>
        <v>0</v>
      </c>
      <c r="AH57">
        <f t="shared" si="9"/>
        <v>0</v>
      </c>
      <c r="AI57" s="47">
        <f t="shared" si="10"/>
        <v>0.33406769725283336</v>
      </c>
      <c r="AJ57" s="47">
        <f t="shared" si="11"/>
        <v>0</v>
      </c>
      <c r="AK57" s="46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49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1">
        <v>3.7474658669514331E-5</v>
      </c>
      <c r="V58" s="50">
        <v>0.23217053605428362</v>
      </c>
      <c r="W58" s="2">
        <v>5.4170141095194035E-3</v>
      </c>
      <c r="X58" s="51">
        <v>0.72296178194305927</v>
      </c>
      <c r="Y58" s="2">
        <v>-1.307453745865314E-4</v>
      </c>
      <c r="Z58" s="33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5">
        <f t="shared" si="7"/>
        <v>0</v>
      </c>
      <c r="AF58" s="56">
        <f t="shared" si="13"/>
        <v>0</v>
      </c>
      <c r="AG58" s="28">
        <f t="shared" si="8"/>
        <v>0</v>
      </c>
      <c r="AH58">
        <f t="shared" si="9"/>
        <v>0</v>
      </c>
      <c r="AI58" s="47">
        <f t="shared" si="10"/>
        <v>0.37474658669514332</v>
      </c>
      <c r="AJ58" s="47">
        <f t="shared" si="11"/>
        <v>0</v>
      </c>
      <c r="AK58" s="46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49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1">
        <v>4.5931375836816548E-5</v>
      </c>
      <c r="V59" s="50">
        <v>0.25547222746899934</v>
      </c>
      <c r="W59" s="2">
        <v>5.9660562201696056E-3</v>
      </c>
      <c r="X59" s="51">
        <v>0.71397426698489763</v>
      </c>
      <c r="Y59" s="2">
        <v>-1.5633885042448125E-4</v>
      </c>
      <c r="Z59" s="33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5">
        <f t="shared" si="7"/>
        <v>0</v>
      </c>
      <c r="AF59" s="56">
        <f t="shared" si="13"/>
        <v>0</v>
      </c>
      <c r="AG59" s="28">
        <f t="shared" si="8"/>
        <v>0</v>
      </c>
      <c r="AH59">
        <f t="shared" si="9"/>
        <v>0</v>
      </c>
      <c r="AI59" s="47">
        <f t="shared" si="10"/>
        <v>0.45931375836816546</v>
      </c>
      <c r="AJ59" s="47">
        <f t="shared" si="11"/>
        <v>0</v>
      </c>
      <c r="AK59" s="46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49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1">
        <v>5.879628266652186E-5</v>
      </c>
      <c r="V60" s="50">
        <v>0.2809267712752046</v>
      </c>
      <c r="W60" s="2">
        <v>6.8465843625261889E-3</v>
      </c>
      <c r="X60" s="51">
        <v>0.73228623779271962</v>
      </c>
      <c r="Y60" s="2">
        <v>-1.9389397205251652E-4</v>
      </c>
      <c r="Z60" s="33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5">
        <f t="shared" si="7"/>
        <v>0</v>
      </c>
      <c r="AF60" s="56">
        <f t="shared" si="13"/>
        <v>0</v>
      </c>
      <c r="AG60" s="28">
        <f t="shared" si="8"/>
        <v>0</v>
      </c>
      <c r="AH60">
        <f t="shared" si="9"/>
        <v>0</v>
      </c>
      <c r="AI60" s="47">
        <f t="shared" si="10"/>
        <v>0.5879628266652186</v>
      </c>
      <c r="AJ60" s="47">
        <f t="shared" si="11"/>
        <v>0</v>
      </c>
      <c r="AK60" s="46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49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1">
        <v>7.6088660456964788E-5</v>
      </c>
      <c r="V61" s="50">
        <v>0.30853416747289941</v>
      </c>
      <c r="W61" s="2">
        <v>7.9604370634031359E-3</v>
      </c>
      <c r="X61" s="51">
        <v>0.76230536640109481</v>
      </c>
      <c r="Y61" s="2">
        <v>-2.4346298812732108E-4</v>
      </c>
      <c r="Z61" s="33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5">
        <f t="shared" si="7"/>
        <v>0</v>
      </c>
      <c r="AF61" s="56">
        <f t="shared" si="13"/>
        <v>0</v>
      </c>
      <c r="AG61" s="28">
        <f t="shared" si="8"/>
        <v>0</v>
      </c>
      <c r="AH61">
        <f t="shared" si="9"/>
        <v>0</v>
      </c>
      <c r="AI61" s="47">
        <f t="shared" si="10"/>
        <v>0.76088660456964785</v>
      </c>
      <c r="AJ61" s="47">
        <f t="shared" si="11"/>
        <v>0</v>
      </c>
      <c r="AK61" s="46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49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1">
        <v>9.782771035915851E-5</v>
      </c>
      <c r="V62" s="50">
        <v>0.33829441606204114</v>
      </c>
      <c r="W62" s="2">
        <v>9.231386342049331E-3</v>
      </c>
      <c r="X62" s="51">
        <v>0.79460596919069038</v>
      </c>
      <c r="Y62" s="2">
        <v>-3.0509791410599559E-4</v>
      </c>
      <c r="Z62" s="33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5">
        <f t="shared" si="7"/>
        <v>0</v>
      </c>
      <c r="AF62" s="56">
        <f t="shared" si="13"/>
        <v>0</v>
      </c>
      <c r="AG62" s="28">
        <f t="shared" si="8"/>
        <v>0</v>
      </c>
      <c r="AH62">
        <f t="shared" si="9"/>
        <v>0</v>
      </c>
      <c r="AI62" s="47">
        <f t="shared" si="10"/>
        <v>0.97827710359158515</v>
      </c>
      <c r="AJ62" s="47">
        <f t="shared" si="11"/>
        <v>0</v>
      </c>
      <c r="AK62" s="46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49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1">
        <v>1.2403255473835201E-4</v>
      </c>
      <c r="V63" s="50">
        <v>0.37020751704270083</v>
      </c>
      <c r="W63" s="2">
        <v>1.0601392863491977E-2</v>
      </c>
      <c r="X63" s="51">
        <v>0.82390910321157418</v>
      </c>
      <c r="Y63" s="2">
        <v>-3.7885053357087256E-4</v>
      </c>
      <c r="Z63" s="33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5">
        <f t="shared" si="7"/>
        <v>0</v>
      </c>
      <c r="AF63" s="56">
        <f t="shared" si="13"/>
        <v>0</v>
      </c>
      <c r="AG63" s="28">
        <f t="shared" si="8"/>
        <v>0</v>
      </c>
      <c r="AH63">
        <f t="shared" si="9"/>
        <v>0</v>
      </c>
      <c r="AI63" s="47">
        <f t="shared" si="10"/>
        <v>1.2403255473835202</v>
      </c>
      <c r="AJ63" s="47">
        <f t="shared" si="11"/>
        <v>0</v>
      </c>
      <c r="AK63" s="46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49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1">
        <v>1.7095647955773504E-4</v>
      </c>
      <c r="V64" s="50">
        <v>0.40427347041482165</v>
      </c>
      <c r="W64" s="2">
        <v>1.3016096373638784E-2</v>
      </c>
      <c r="X64" s="51">
        <v>0.89656273865530178</v>
      </c>
      <c r="Y64" s="2">
        <v>-4.916201945875079E-4</v>
      </c>
      <c r="Z64" s="33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5">
        <f t="shared" si="7"/>
        <v>0</v>
      </c>
      <c r="AF64" s="56">
        <f t="shared" si="13"/>
        <v>0</v>
      </c>
      <c r="AG64" s="28">
        <f t="shared" si="8"/>
        <v>0</v>
      </c>
      <c r="AH64">
        <f t="shared" si="9"/>
        <v>0</v>
      </c>
      <c r="AI64" s="47">
        <f t="shared" si="10"/>
        <v>1.7095647955773505</v>
      </c>
      <c r="AJ64" s="47">
        <f t="shared" si="11"/>
        <v>0</v>
      </c>
      <c r="AK64" s="46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49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1">
        <v>2.3165590829105819E-4</v>
      </c>
      <c r="V65" s="50">
        <v>0.44049227617840359</v>
      </c>
      <c r="W65" s="2">
        <v>1.5811261977233655E-2</v>
      </c>
      <c r="X65" s="51">
        <v>0.97073908073251758</v>
      </c>
      <c r="Y65" s="2">
        <v>-6.3194333685412407E-4</v>
      </c>
      <c r="Z65" s="33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5">
        <f t="shared" si="7"/>
        <v>0</v>
      </c>
      <c r="AF65" s="56">
        <f t="shared" si="13"/>
        <v>0</v>
      </c>
      <c r="AG65" s="28">
        <f t="shared" si="8"/>
        <v>0</v>
      </c>
      <c r="AH65">
        <f t="shared" si="9"/>
        <v>0</v>
      </c>
      <c r="AI65" s="47">
        <f t="shared" si="10"/>
        <v>2.3165590829105818</v>
      </c>
      <c r="AJ65" s="47">
        <f t="shared" si="11"/>
        <v>0</v>
      </c>
      <c r="AK65" s="46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49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1">
        <v>1.4024361866305218E-4</v>
      </c>
      <c r="V66" s="50">
        <v>0.10908946559042221</v>
      </c>
      <c r="W66" s="2">
        <v>-1.5048388587889306E-2</v>
      </c>
      <c r="X66" s="51">
        <v>0</v>
      </c>
      <c r="Y66" s="2">
        <v>-5.8744395122650194E-5</v>
      </c>
      <c r="Z66" s="33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5">
        <f t="shared" si="7"/>
        <v>0</v>
      </c>
      <c r="AF66" s="56">
        <f t="shared" si="13"/>
        <v>0</v>
      </c>
      <c r="AG66" s="28">
        <f t="shared" si="8"/>
        <v>0</v>
      </c>
      <c r="AH66">
        <f t="shared" si="9"/>
        <v>0</v>
      </c>
      <c r="AI66" s="47">
        <f t="shared" si="10"/>
        <v>1.4024361866305217</v>
      </c>
      <c r="AJ66" s="47">
        <f t="shared" si="11"/>
        <v>0</v>
      </c>
      <c r="AK66" s="46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49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1">
        <v>1.7091252918472518E-4</v>
      </c>
      <c r="V67" s="50">
        <v>0.10347358242750815</v>
      </c>
      <c r="W67" s="2">
        <v>-1.8909580693521087E-2</v>
      </c>
      <c r="X67" s="51">
        <v>0</v>
      </c>
      <c r="Y67" s="2">
        <v>-6.8065663889373048E-5</v>
      </c>
      <c r="Z67" s="33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5">
        <f t="shared" si="7"/>
        <v>0</v>
      </c>
      <c r="AF67" s="56">
        <f t="shared" si="13"/>
        <v>0</v>
      </c>
      <c r="AG67" s="28">
        <f t="shared" si="8"/>
        <v>0</v>
      </c>
      <c r="AH67">
        <f t="shared" si="9"/>
        <v>0</v>
      </c>
      <c r="AI67" s="47">
        <f t="shared" si="10"/>
        <v>1.7091252918472517</v>
      </c>
      <c r="AJ67" s="47">
        <f t="shared" si="11"/>
        <v>0</v>
      </c>
      <c r="AK67" s="46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49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1">
        <v>2.2087118979903026E-4</v>
      </c>
      <c r="V68" s="50">
        <v>9.8277391541415682E-2</v>
      </c>
      <c r="W68" s="2">
        <v>-2.485039263321118E-2</v>
      </c>
      <c r="X68" s="51">
        <v>0</v>
      </c>
      <c r="Y68" s="2">
        <v>-8.1461483749445217E-5</v>
      </c>
      <c r="Z68" s="33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5">
        <f t="shared" si="7"/>
        <v>0</v>
      </c>
      <c r="AF68" s="56">
        <f t="shared" si="13"/>
        <v>0</v>
      </c>
      <c r="AG68" s="28">
        <f t="shared" si="8"/>
        <v>0</v>
      </c>
      <c r="AH68">
        <f t="shared" si="9"/>
        <v>0</v>
      </c>
      <c r="AI68" s="47">
        <f t="shared" si="10"/>
        <v>2.2087118979903027</v>
      </c>
      <c r="AJ68" s="47">
        <f t="shared" si="11"/>
        <v>0</v>
      </c>
      <c r="AK68" s="46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49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1">
        <v>3.0525823040291824E-4</v>
      </c>
      <c r="V69" s="50">
        <v>9.3500892932148361E-2</v>
      </c>
      <c r="W69" s="2">
        <v>-3.4496333851781462E-2</v>
      </c>
      <c r="X69" s="51">
        <v>0</v>
      </c>
      <c r="Y69" s="2">
        <v>-1.0166154490831713E-4</v>
      </c>
      <c r="Z69" s="33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5">
        <f t="shared" si="7"/>
        <v>0</v>
      </c>
      <c r="AF69" s="56">
        <f t="shared" si="13"/>
        <v>0</v>
      </c>
      <c r="AG69" s="28">
        <f t="shared" si="8"/>
        <v>0</v>
      </c>
      <c r="AH69">
        <f t="shared" si="9"/>
        <v>0</v>
      </c>
      <c r="AI69" s="47">
        <f t="shared" si="10"/>
        <v>3.0525823040291824</v>
      </c>
      <c r="AJ69" s="47">
        <f t="shared" si="11"/>
        <v>0</v>
      </c>
      <c r="AK69" s="46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49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1">
        <v>4.2430784877228365E-4</v>
      </c>
      <c r="V70" s="50">
        <v>8.9144086599702632E-2</v>
      </c>
      <c r="W70" s="2">
        <v>-4.7955376057874304E-2</v>
      </c>
      <c r="X70" s="51">
        <v>0</v>
      </c>
      <c r="Y70" s="2">
        <v>-1.2692565479226184E-4</v>
      </c>
      <c r="Z70" s="33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5">
        <f t="shared" si="7"/>
        <v>0</v>
      </c>
      <c r="AF70" s="56">
        <f t="shared" ref="AF70:AF101" si="17">IF(ISERR(AE70),0,AE70*M70)</f>
        <v>0</v>
      </c>
      <c r="AG70" s="28">
        <f t="shared" si="8"/>
        <v>0</v>
      </c>
      <c r="AH70">
        <f t="shared" si="9"/>
        <v>0</v>
      </c>
      <c r="AI70" s="47">
        <f t="shared" si="10"/>
        <v>4.243078487722836</v>
      </c>
      <c r="AJ70" s="47">
        <f t="shared" si="11"/>
        <v>0</v>
      </c>
      <c r="AK70" s="46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49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1">
        <v>6.1686464319775445E-4</v>
      </c>
      <c r="V71" s="50">
        <v>8.5206972544082049E-2</v>
      </c>
      <c r="W71" s="2">
        <v>-6.889121112523823E-2</v>
      </c>
      <c r="X71" s="51">
        <v>0</v>
      </c>
      <c r="Y71" s="2">
        <v>-1.6176339292787062E-4</v>
      </c>
      <c r="Z71" s="33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5">
        <f t="shared" ref="AE71:AE125" si="21">BSGamma($AA$17,E71,D71,0.001,V71)</f>
        <v>0</v>
      </c>
      <c r="AF71" s="56">
        <f t="shared" si="17"/>
        <v>0</v>
      </c>
      <c r="AG71" s="28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7">
        <f t="shared" ref="AI71:AI125" si="24">MAX(0,(U71*10000)-AH71)</f>
        <v>6.1686464319775443</v>
      </c>
      <c r="AJ71" s="47">
        <f t="shared" ref="AJ71:AJ125" si="25">AI71*M71</f>
        <v>0</v>
      </c>
      <c r="AK71" s="46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49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1">
        <v>9.375124077932583E-4</v>
      </c>
      <c r="V72" s="50">
        <v>8.1689550765279506E-2</v>
      </c>
      <c r="W72" s="2">
        <v>-0.1011482523224258</v>
      </c>
      <c r="X72" s="51">
        <v>0</v>
      </c>
      <c r="Y72" s="2">
        <v>-2.061677808913667E-4</v>
      </c>
      <c r="Z72" s="33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5">
        <f t="shared" si="21"/>
        <v>0</v>
      </c>
      <c r="AF72" s="56">
        <f t="shared" si="17"/>
        <v>0</v>
      </c>
      <c r="AG72" s="28">
        <f t="shared" si="22"/>
        <v>0</v>
      </c>
      <c r="AH72">
        <f t="shared" si="23"/>
        <v>0</v>
      </c>
      <c r="AI72" s="47">
        <f t="shared" si="24"/>
        <v>9.3751240779325826</v>
      </c>
      <c r="AJ72" s="47">
        <f t="shared" si="25"/>
        <v>0</v>
      </c>
      <c r="AK72" s="46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49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1">
        <v>1.416978241784104E-3</v>
      </c>
      <c r="V73" s="50">
        <v>7.8591821263305661E-2</v>
      </c>
      <c r="W73" s="2">
        <v>-0.14660509614944628</v>
      </c>
      <c r="X73" s="51">
        <v>0</v>
      </c>
      <c r="Y73" s="2">
        <v>-2.5777221457805126E-4</v>
      </c>
      <c r="Z73" s="33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5">
        <f t="shared" si="21"/>
        <v>0</v>
      </c>
      <c r="AF73" s="56">
        <f t="shared" si="17"/>
        <v>0</v>
      </c>
      <c r="AG73" s="28">
        <f t="shared" si="22"/>
        <v>0</v>
      </c>
      <c r="AH73">
        <f t="shared" si="23"/>
        <v>0</v>
      </c>
      <c r="AI73" s="47">
        <f t="shared" si="24"/>
        <v>14.16978241784104</v>
      </c>
      <c r="AJ73" s="47">
        <f t="shared" si="25"/>
        <v>0</v>
      </c>
      <c r="AK73" s="46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49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1">
        <v>2.6000000070780516E-3</v>
      </c>
      <c r="V74" s="50">
        <v>8.2106750773082798E-2</v>
      </c>
      <c r="W74" s="2">
        <v>-0.22845899713945739</v>
      </c>
      <c r="X74" s="51">
        <v>0</v>
      </c>
      <c r="Y74" s="2">
        <v>-3.5504937711312948E-4</v>
      </c>
      <c r="Z74" s="33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5">
        <f t="shared" si="21"/>
        <v>0</v>
      </c>
      <c r="AF74" s="56">
        <f t="shared" si="17"/>
        <v>0</v>
      </c>
      <c r="AG74" s="28">
        <f t="shared" si="22"/>
        <v>0</v>
      </c>
      <c r="AH74">
        <f t="shared" si="23"/>
        <v>0</v>
      </c>
      <c r="AI74" s="47">
        <f t="shared" si="24"/>
        <v>26.000000070780516</v>
      </c>
      <c r="AJ74" s="47">
        <f t="shared" si="25"/>
        <v>0</v>
      </c>
      <c r="AK74" s="46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49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1">
        <v>3.7000000011175871E-3</v>
      </c>
      <c r="V75" s="50">
        <v>7.8934224134678738E-2</v>
      </c>
      <c r="W75" s="2">
        <v>-0.30734476741151529</v>
      </c>
      <c r="X75" s="51">
        <v>0</v>
      </c>
      <c r="Y75" s="2">
        <v>-3.9760947845931372E-4</v>
      </c>
      <c r="Z75" s="33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5">
        <f t="shared" si="21"/>
        <v>0</v>
      </c>
      <c r="AF75" s="56">
        <f t="shared" si="17"/>
        <v>0</v>
      </c>
      <c r="AG75" s="28">
        <f t="shared" si="22"/>
        <v>0</v>
      </c>
      <c r="AH75">
        <f t="shared" si="23"/>
        <v>0</v>
      </c>
      <c r="AI75" s="47">
        <f t="shared" si="24"/>
        <v>37.000000011175871</v>
      </c>
      <c r="AJ75" s="47">
        <f t="shared" si="25"/>
        <v>0</v>
      </c>
      <c r="AK75" s="46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49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1">
        <v>5.2999998442828655E-3</v>
      </c>
      <c r="V76" s="50">
        <v>7.6751744999702859E-2</v>
      </c>
      <c r="W76" s="2">
        <v>-0.40536358511188464</v>
      </c>
      <c r="X76" s="51">
        <v>0</v>
      </c>
      <c r="Y76" s="2">
        <v>-4.2732813817634654E-4</v>
      </c>
      <c r="Z76" s="33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5">
        <f t="shared" si="21"/>
        <v>0</v>
      </c>
      <c r="AF76" s="56">
        <f t="shared" si="17"/>
        <v>0</v>
      </c>
      <c r="AG76" s="28">
        <f t="shared" si="22"/>
        <v>0</v>
      </c>
      <c r="AH76">
        <f t="shared" si="23"/>
        <v>0</v>
      </c>
      <c r="AI76" s="47">
        <f t="shared" si="24"/>
        <v>52.999998442828655</v>
      </c>
      <c r="AJ76" s="47">
        <f t="shared" si="25"/>
        <v>0</v>
      </c>
      <c r="AK76" s="46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49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1">
        <v>7.4000000022351742E-3</v>
      </c>
      <c r="V77" s="50">
        <v>7.4396303419425852E-2</v>
      </c>
      <c r="W77" s="2">
        <v>-0.5158690329125325</v>
      </c>
      <c r="X77" s="51">
        <v>0</v>
      </c>
      <c r="Y77" s="2">
        <v>-4.2621403421939149E-4</v>
      </c>
      <c r="Z77" s="33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5">
        <f t="shared" si="21"/>
        <v>0</v>
      </c>
      <c r="AF77" s="56">
        <f t="shared" si="17"/>
        <v>0</v>
      </c>
      <c r="AG77" s="28">
        <f t="shared" si="22"/>
        <v>0</v>
      </c>
      <c r="AH77">
        <f t="shared" si="23"/>
        <v>0</v>
      </c>
      <c r="AI77" s="47">
        <f t="shared" si="24"/>
        <v>74.000000022351742</v>
      </c>
      <c r="AJ77" s="47">
        <f t="shared" si="25"/>
        <v>0</v>
      </c>
      <c r="AK77" s="46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49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1">
        <v>9.849963790279654E-3</v>
      </c>
      <c r="V78" s="50">
        <v>6.9398557905767433E-2</v>
      </c>
      <c r="W78" s="2">
        <v>-0.63690171392061634</v>
      </c>
      <c r="X78" s="51">
        <v>0</v>
      </c>
      <c r="Y78" s="2">
        <v>-3.7354043882210003E-4</v>
      </c>
      <c r="Z78" s="33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5">
        <f t="shared" si="21"/>
        <v>0</v>
      </c>
      <c r="AF78" s="56">
        <f t="shared" si="17"/>
        <v>0</v>
      </c>
      <c r="AG78" s="28">
        <f t="shared" si="22"/>
        <v>0</v>
      </c>
      <c r="AH78">
        <f t="shared" si="23"/>
        <v>49.000000000001265</v>
      </c>
      <c r="AI78" s="47">
        <f t="shared" si="24"/>
        <v>49.499637902795271</v>
      </c>
      <c r="AJ78" s="47">
        <f t="shared" si="25"/>
        <v>0</v>
      </c>
      <c r="AK78" s="46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49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1">
        <v>1.3283389033889077E-2</v>
      </c>
      <c r="V79" s="50">
        <v>6.881898206473025E-2</v>
      </c>
      <c r="W79" s="2">
        <v>-0.74548194298778125</v>
      </c>
      <c r="X79" s="51">
        <v>0</v>
      </c>
      <c r="Y79" s="2">
        <v>-3.1622184771077586E-4</v>
      </c>
      <c r="Z79" s="33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5">
        <f t="shared" si="21"/>
        <v>0</v>
      </c>
      <c r="AF79" s="56">
        <f t="shared" si="17"/>
        <v>0</v>
      </c>
      <c r="AG79" s="28">
        <f t="shared" si="22"/>
        <v>0</v>
      </c>
      <c r="AH79">
        <f t="shared" si="23"/>
        <v>99.000000000000199</v>
      </c>
      <c r="AI79" s="47">
        <f t="shared" si="24"/>
        <v>33.833890338890569</v>
      </c>
      <c r="AJ79" s="47">
        <f t="shared" si="25"/>
        <v>0</v>
      </c>
      <c r="AK79" s="46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49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1">
        <v>1.7238446061206374E-2</v>
      </c>
      <c r="V80" s="50">
        <v>6.8659098500514659E-2</v>
      </c>
      <c r="W80" s="2">
        <v>-0.83383467431171088</v>
      </c>
      <c r="X80" s="51">
        <v>0</v>
      </c>
      <c r="Y80" s="2">
        <v>-2.4504692679877814E-4</v>
      </c>
      <c r="Z80" s="33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5">
        <f t="shared" si="21"/>
        <v>0</v>
      </c>
      <c r="AF80" s="56">
        <f t="shared" si="17"/>
        <v>0</v>
      </c>
      <c r="AG80" s="28">
        <f t="shared" si="22"/>
        <v>0</v>
      </c>
      <c r="AH80">
        <f t="shared" si="23"/>
        <v>149.00000000000136</v>
      </c>
      <c r="AI80" s="47">
        <f t="shared" si="24"/>
        <v>23.384460612062384</v>
      </c>
      <c r="AJ80" s="47">
        <f t="shared" si="25"/>
        <v>0</v>
      </c>
      <c r="AK80" s="46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49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1">
        <v>2.1592768441763846E-2</v>
      </c>
      <c r="V81" s="50">
        <v>6.8918907213120661E-2</v>
      </c>
      <c r="W81" s="2">
        <v>-0.89843898729750027</v>
      </c>
      <c r="X81" s="51">
        <v>0.31230709313196536</v>
      </c>
      <c r="Y81" s="2">
        <v>-1.7512937547703081E-4</v>
      </c>
      <c r="Z81" s="33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5">
        <f t="shared" si="21"/>
        <v>0</v>
      </c>
      <c r="AF81" s="56">
        <f t="shared" si="17"/>
        <v>0</v>
      </c>
      <c r="AG81" s="28">
        <f t="shared" si="22"/>
        <v>0</v>
      </c>
      <c r="AH81">
        <f t="shared" si="23"/>
        <v>199.00000000000028</v>
      </c>
      <c r="AI81" s="47">
        <f t="shared" si="24"/>
        <v>16.927684417638176</v>
      </c>
      <c r="AJ81" s="47">
        <f t="shared" si="25"/>
        <v>0</v>
      </c>
      <c r="AK81" s="46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49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1">
        <v>2.6221137682861727E-2</v>
      </c>
      <c r="V82" s="50">
        <v>6.9598408202555362E-2</v>
      </c>
      <c r="W82" s="2">
        <v>-0.941242699965532</v>
      </c>
      <c r="X82" s="51">
        <v>1.4557493288944705E-10</v>
      </c>
      <c r="Y82" s="2">
        <v>-1.1700372223668011E-4</v>
      </c>
      <c r="Z82" s="33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5">
        <f t="shared" si="21"/>
        <v>0</v>
      </c>
      <c r="AF82" s="56">
        <f t="shared" si="17"/>
        <v>0</v>
      </c>
      <c r="AG82" s="28">
        <f t="shared" si="22"/>
        <v>0</v>
      </c>
      <c r="AH82">
        <f t="shared" si="23"/>
        <v>249.00000000000145</v>
      </c>
      <c r="AI82" s="47">
        <f t="shared" si="24"/>
        <v>13.21137682861584</v>
      </c>
      <c r="AJ82" s="47">
        <f t="shared" si="25"/>
        <v>0</v>
      </c>
      <c r="AK82" s="46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49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1">
        <v>3.101912880198604E-2</v>
      </c>
      <c r="V83" s="50">
        <v>7.0697601468808102E-2</v>
      </c>
      <c r="W83" s="2">
        <v>-0.96735155062787792</v>
      </c>
      <c r="X83" s="51">
        <v>0.95512081462560372</v>
      </c>
      <c r="Y83" s="2">
        <v>-7.4427053950772829E-5</v>
      </c>
      <c r="Z83" s="33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5">
        <f t="shared" si="21"/>
        <v>0</v>
      </c>
      <c r="AF83" s="56">
        <f t="shared" si="17"/>
        <v>0</v>
      </c>
      <c r="AG83" s="28">
        <f t="shared" si="22"/>
        <v>0</v>
      </c>
      <c r="AH83">
        <f t="shared" si="23"/>
        <v>299.0000000000004</v>
      </c>
      <c r="AI83" s="47">
        <f t="shared" si="24"/>
        <v>11.191288019859996</v>
      </c>
      <c r="AJ83" s="47">
        <f t="shared" si="25"/>
        <v>0</v>
      </c>
      <c r="AK83" s="46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49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1">
        <v>3.5913001313962231E-2</v>
      </c>
      <c r="V84" s="50">
        <v>7.2216487011885988E-2</v>
      </c>
      <c r="W84" s="2">
        <v>-0.98238765674169393</v>
      </c>
      <c r="X84" s="51">
        <v>8.8368733316568249E-2</v>
      </c>
      <c r="Y84" s="2">
        <v>-4.5882789192456088E-5</v>
      </c>
      <c r="Z84" s="33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5">
        <f t="shared" si="21"/>
        <v>0</v>
      </c>
      <c r="AF84" s="56">
        <f t="shared" si="17"/>
        <v>0</v>
      </c>
      <c r="AG84" s="28">
        <f t="shared" si="22"/>
        <v>0</v>
      </c>
      <c r="AH84">
        <f t="shared" si="23"/>
        <v>349.00000000000153</v>
      </c>
      <c r="AI84" s="47">
        <f t="shared" si="24"/>
        <v>10.130013139620758</v>
      </c>
      <c r="AJ84" s="47">
        <f t="shared" si="25"/>
        <v>0</v>
      </c>
      <c r="AK84" s="46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49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1">
        <v>4.0857647090208234E-2</v>
      </c>
      <c r="V85" s="50">
        <v>7.4155064831785467E-2</v>
      </c>
      <c r="W85" s="2">
        <v>-0.99081709690255992</v>
      </c>
      <c r="X85" s="51">
        <v>0.96871027631197282</v>
      </c>
      <c r="Y85" s="2">
        <v>-2.7631934819026774E-5</v>
      </c>
      <c r="Z85" s="33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5">
        <f t="shared" si="21"/>
        <v>0</v>
      </c>
      <c r="AF85" s="56">
        <f t="shared" si="17"/>
        <v>0</v>
      </c>
      <c r="AG85" s="28">
        <f t="shared" si="22"/>
        <v>0</v>
      </c>
      <c r="AH85">
        <f t="shared" si="23"/>
        <v>399.00000000000045</v>
      </c>
      <c r="AI85" s="47">
        <f t="shared" si="24"/>
        <v>9.5764709020818941</v>
      </c>
      <c r="AJ85" s="47">
        <f t="shared" si="25"/>
        <v>0</v>
      </c>
      <c r="AK85" s="46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49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1">
        <v>4.5831666032853526E-2</v>
      </c>
      <c r="V86" s="50">
        <v>7.6513334928510091E-2</v>
      </c>
      <c r="W86" s="2">
        <v>-0.99506620802919665</v>
      </c>
      <c r="X86" s="51">
        <v>0.89302224548306097</v>
      </c>
      <c r="Y86" s="2">
        <v>-1.7196847431938451E-5</v>
      </c>
      <c r="Z86" s="33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5">
        <f t="shared" si="21"/>
        <v>0</v>
      </c>
      <c r="AF86" s="56">
        <f t="shared" si="17"/>
        <v>0</v>
      </c>
      <c r="AG86" s="28">
        <f t="shared" si="22"/>
        <v>0</v>
      </c>
      <c r="AH86">
        <f t="shared" si="23"/>
        <v>449.00000000000159</v>
      </c>
      <c r="AI86" s="47">
        <f t="shared" si="24"/>
        <v>9.3166603285336578</v>
      </c>
      <c r="AJ86" s="47">
        <f t="shared" si="25"/>
        <v>0</v>
      </c>
      <c r="AK86" s="46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49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1">
        <v>5.0818822908783166E-2</v>
      </c>
      <c r="V87" s="50">
        <v>7.9291297302056307E-2</v>
      </c>
      <c r="W87" s="2">
        <v>-0.99725158365350686</v>
      </c>
      <c r="X87" s="51">
        <v>0.55577517275093047</v>
      </c>
      <c r="Y87" s="2">
        <v>-1.1360915932008898E-5</v>
      </c>
      <c r="Z87" s="33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5">
        <f t="shared" si="21"/>
        <v>0</v>
      </c>
      <c r="AF87" s="56">
        <f t="shared" si="17"/>
        <v>0</v>
      </c>
      <c r="AG87" s="28">
        <f t="shared" si="22"/>
        <v>0</v>
      </c>
      <c r="AH87">
        <f t="shared" si="23"/>
        <v>499.00000000000057</v>
      </c>
      <c r="AI87" s="47">
        <f t="shared" si="24"/>
        <v>9.1882290878310755</v>
      </c>
      <c r="AJ87" s="47">
        <f t="shared" si="25"/>
        <v>0</v>
      </c>
      <c r="AK87" s="46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49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1">
        <v>5.5810241044231573E-2</v>
      </c>
      <c r="V88" s="50">
        <v>8.2488951952424117E-2</v>
      </c>
      <c r="W88" s="2">
        <v>-0.99872032790875331</v>
      </c>
      <c r="X88" s="51">
        <v>0.32862269706191033</v>
      </c>
      <c r="Y88" s="2">
        <v>-7.1170250806483598E-6</v>
      </c>
      <c r="Z88" s="33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5">
        <f t="shared" si="21"/>
        <v>0</v>
      </c>
      <c r="AF88" s="56">
        <f t="shared" si="17"/>
        <v>0</v>
      </c>
      <c r="AG88" s="28">
        <f t="shared" si="22"/>
        <v>0</v>
      </c>
      <c r="AH88">
        <f t="shared" si="23"/>
        <v>549.00000000000171</v>
      </c>
      <c r="AI88" s="47">
        <f t="shared" si="24"/>
        <v>9.102410442314067</v>
      </c>
      <c r="AJ88" s="47">
        <f t="shared" si="25"/>
        <v>0</v>
      </c>
      <c r="AK88" s="46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49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1">
        <v>6.080730140755982E-2</v>
      </c>
      <c r="V89" s="50">
        <v>8.6106298879613519E-2</v>
      </c>
      <c r="W89" s="2">
        <v>-0.99927152965490784</v>
      </c>
      <c r="X89" s="51">
        <v>0.23426743885702728</v>
      </c>
      <c r="Y89" s="2">
        <v>-5.4134136970684019E-6</v>
      </c>
      <c r="Z89" s="33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5">
        <f t="shared" si="21"/>
        <v>0</v>
      </c>
      <c r="AF89" s="56">
        <f t="shared" si="17"/>
        <v>0</v>
      </c>
      <c r="AG89" s="28">
        <f t="shared" si="22"/>
        <v>0</v>
      </c>
      <c r="AH89">
        <f t="shared" si="23"/>
        <v>599.00000000000068</v>
      </c>
      <c r="AI89" s="47">
        <f t="shared" si="24"/>
        <v>9.0730140755974844</v>
      </c>
      <c r="AJ89" s="47">
        <f t="shared" si="25"/>
        <v>0</v>
      </c>
      <c r="AK89" s="46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49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1">
        <v>6.5805048176177078E-2</v>
      </c>
      <c r="V90" s="50">
        <v>9.0143338083628066E-2</v>
      </c>
      <c r="W90" s="2">
        <v>-0.99968592676117185</v>
      </c>
      <c r="X90" s="51">
        <v>0.16573057236891009</v>
      </c>
      <c r="Y90" s="2">
        <v>-4.0743950792055731E-6</v>
      </c>
      <c r="Z90" s="33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5">
        <f t="shared" si="21"/>
        <v>0</v>
      </c>
      <c r="AF90" s="56">
        <f t="shared" si="17"/>
        <v>0</v>
      </c>
      <c r="AG90" s="28">
        <f t="shared" si="22"/>
        <v>0</v>
      </c>
      <c r="AH90">
        <f t="shared" si="23"/>
        <v>648.99999999999955</v>
      </c>
      <c r="AI90" s="47">
        <f t="shared" si="24"/>
        <v>9.0504817617712661</v>
      </c>
      <c r="AJ90" s="47">
        <f t="shared" si="25"/>
        <v>0</v>
      </c>
      <c r="AK90" s="46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49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1">
        <v>7.0803294364885874E-2</v>
      </c>
      <c r="V91" s="50">
        <v>9.4600069564467759E-2</v>
      </c>
      <c r="W91" s="2">
        <v>-0.999999999999999</v>
      </c>
      <c r="X91" s="51">
        <v>0.11570355845254587</v>
      </c>
      <c r="Y91" s="2">
        <v>-2.9997405643752208E-6</v>
      </c>
      <c r="Z91" s="33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5">
        <f t="shared" si="21"/>
        <v>0</v>
      </c>
      <c r="AF91" s="56">
        <f t="shared" si="17"/>
        <v>0</v>
      </c>
      <c r="AG91" s="28">
        <f t="shared" si="22"/>
        <v>0</v>
      </c>
      <c r="AH91">
        <f t="shared" si="23"/>
        <v>699.00000000000068</v>
      </c>
      <c r="AI91" s="47">
        <f t="shared" si="24"/>
        <v>9.0329436488580086</v>
      </c>
      <c r="AJ91" s="47">
        <f t="shared" si="25"/>
        <v>0</v>
      </c>
      <c r="AK91" s="46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49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1">
        <v>7.5802867299009688E-2</v>
      </c>
      <c r="V92" s="50">
        <v>9.9476493322129045E-2</v>
      </c>
      <c r="W92" s="2">
        <v>-0.999999999999999</v>
      </c>
      <c r="X92" s="51">
        <v>9.717201547329514E-2</v>
      </c>
      <c r="Y92" s="2">
        <v>-2.7195614108035901E-6</v>
      </c>
      <c r="Z92" s="33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5">
        <f t="shared" si="21"/>
        <v>0</v>
      </c>
      <c r="AF92" s="56">
        <f t="shared" si="17"/>
        <v>0</v>
      </c>
      <c r="AG92" s="28">
        <f t="shared" si="22"/>
        <v>0</v>
      </c>
      <c r="AH92">
        <f t="shared" si="23"/>
        <v>749.00000000000193</v>
      </c>
      <c r="AI92" s="47">
        <f t="shared" si="24"/>
        <v>9.0286729900949467</v>
      </c>
      <c r="AJ92" s="47">
        <f t="shared" si="25"/>
        <v>0</v>
      </c>
      <c r="AK92" s="46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49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1">
        <v>8.0802648662578025E-2</v>
      </c>
      <c r="V93" s="50">
        <v>0.10477260935661192</v>
      </c>
      <c r="W93" s="2">
        <v>-0.999999999999999</v>
      </c>
      <c r="X93" s="51">
        <v>8.4850529324475107E-2</v>
      </c>
      <c r="Y93" s="2">
        <v>-2.5857661098615359E-6</v>
      </c>
      <c r="Z93" s="33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5">
        <f t="shared" si="21"/>
        <v>0</v>
      </c>
      <c r="AF93" s="56">
        <f t="shared" si="17"/>
        <v>0</v>
      </c>
      <c r="AG93" s="28">
        <f t="shared" si="22"/>
        <v>0</v>
      </c>
      <c r="AH93">
        <f t="shared" si="23"/>
        <v>799.0000000000008</v>
      </c>
      <c r="AI93" s="47">
        <f t="shared" si="24"/>
        <v>9.0264866257793983</v>
      </c>
      <c r="AJ93" s="47">
        <f t="shared" si="25"/>
        <v>0</v>
      </c>
      <c r="AK93" s="46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49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1">
        <v>8.5802592579225401E-2</v>
      </c>
      <c r="V94" s="50">
        <v>0.11048841766791995</v>
      </c>
      <c r="W94" s="2">
        <v>-0.999999999999999</v>
      </c>
      <c r="X94" s="51">
        <v>7.6854006162068209E-2</v>
      </c>
      <c r="Y94" s="2">
        <v>-2.5755545616893304E-6</v>
      </c>
      <c r="Z94" s="33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5">
        <f t="shared" si="21"/>
        <v>0</v>
      </c>
      <c r="AF94" s="56">
        <f t="shared" si="17"/>
        <v>0</v>
      </c>
      <c r="AG94" s="28">
        <f t="shared" si="22"/>
        <v>0</v>
      </c>
      <c r="AH94">
        <f t="shared" si="23"/>
        <v>848.99999999999977</v>
      </c>
      <c r="AI94" s="47">
        <f t="shared" si="24"/>
        <v>9.0259257922542702</v>
      </c>
      <c r="AJ94" s="47">
        <f t="shared" si="25"/>
        <v>0</v>
      </c>
      <c r="AK94" s="46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49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1">
        <v>9.0802697769349655E-2</v>
      </c>
      <c r="V95" s="50">
        <v>0.11662391825604956</v>
      </c>
      <c r="W95" s="2">
        <v>-0.999999999999999</v>
      </c>
      <c r="X95" s="51">
        <v>7.2216037511528886E-2</v>
      </c>
      <c r="Y95" s="2">
        <v>-2.6899540681410207E-6</v>
      </c>
      <c r="Z95" s="33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5">
        <f t="shared" si="21"/>
        <v>0</v>
      </c>
      <c r="AF95" s="56">
        <f t="shared" si="17"/>
        <v>0</v>
      </c>
      <c r="AG95" s="28">
        <f t="shared" si="22"/>
        <v>0</v>
      </c>
      <c r="AH95">
        <f t="shared" si="23"/>
        <v>899.00000000000091</v>
      </c>
      <c r="AI95" s="47">
        <f t="shared" si="24"/>
        <v>9.0269776934956099</v>
      </c>
      <c r="AJ95" s="47">
        <f t="shared" si="25"/>
        <v>0</v>
      </c>
      <c r="AK95" s="46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49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1">
        <v>5.4319785196485774E-2</v>
      </c>
      <c r="V96" s="50">
        <v>0.10723529180589253</v>
      </c>
      <c r="W96" s="2">
        <v>0.98707203057288928</v>
      </c>
      <c r="X96" s="51">
        <v>0</v>
      </c>
      <c r="Y96" s="2">
        <v>-5.2469350336438748E-5</v>
      </c>
      <c r="Z96" s="33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5">
        <f t="shared" si="21"/>
        <v>0</v>
      </c>
      <c r="AF96" s="56">
        <f t="shared" si="17"/>
        <v>0</v>
      </c>
      <c r="AG96" s="28">
        <f t="shared" si="22"/>
        <v>0</v>
      </c>
      <c r="AH96">
        <f t="shared" si="23"/>
        <v>550.99999999999932</v>
      </c>
      <c r="AI96" s="47">
        <f t="shared" si="24"/>
        <v>0</v>
      </c>
      <c r="AJ96" s="47">
        <f t="shared" si="25"/>
        <v>0</v>
      </c>
      <c r="AK96" s="46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49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1">
        <v>4.9356611380239168E-2</v>
      </c>
      <c r="V97" s="50">
        <v>0.10224471891346454</v>
      </c>
      <c r="W97" s="2">
        <v>0.98271392014671832</v>
      </c>
      <c r="X97" s="51">
        <v>0</v>
      </c>
      <c r="Y97" s="2">
        <v>-6.3812852870000851E-5</v>
      </c>
      <c r="Z97" s="33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5">
        <f t="shared" si="21"/>
        <v>0</v>
      </c>
      <c r="AF97" s="56">
        <f t="shared" si="17"/>
        <v>0</v>
      </c>
      <c r="AG97" s="28">
        <f t="shared" si="22"/>
        <v>0</v>
      </c>
      <c r="AH97">
        <f t="shared" si="23"/>
        <v>501.00000000000034</v>
      </c>
      <c r="AI97" s="47">
        <f t="shared" si="24"/>
        <v>0</v>
      </c>
      <c r="AJ97" s="47">
        <f t="shared" si="25"/>
        <v>0</v>
      </c>
      <c r="AK97" s="46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49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1">
        <v>4.440670335962453E-2</v>
      </c>
      <c r="V98" s="50">
        <v>9.7579074379925856E-2</v>
      </c>
      <c r="W98" s="2">
        <v>0.9767743652221681</v>
      </c>
      <c r="X98" s="51">
        <v>0</v>
      </c>
      <c r="Y98" s="2">
        <v>-7.8007163637898805E-5</v>
      </c>
      <c r="Z98" s="33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5">
        <f t="shared" si="21"/>
        <v>0</v>
      </c>
      <c r="AF98" s="56">
        <f t="shared" si="17"/>
        <v>0</v>
      </c>
      <c r="AG98" s="28">
        <f t="shared" si="22"/>
        <v>0</v>
      </c>
      <c r="AH98">
        <f t="shared" si="23"/>
        <v>450.9999999999992</v>
      </c>
      <c r="AI98" s="47">
        <f t="shared" si="24"/>
        <v>0</v>
      </c>
      <c r="AJ98" s="47">
        <f t="shared" si="25"/>
        <v>0</v>
      </c>
      <c r="AK98" s="46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49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1">
        <v>3.9498694572012154E-2</v>
      </c>
      <c r="V99" s="50">
        <v>9.3238358205276484E-2</v>
      </c>
      <c r="W99" s="2">
        <v>0.96650233880327663</v>
      </c>
      <c r="X99" s="51">
        <v>0</v>
      </c>
      <c r="Y99" s="2">
        <v>-1.0021199337090616E-4</v>
      </c>
      <c r="Z99" s="33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5">
        <f t="shared" si="21"/>
        <v>0</v>
      </c>
      <c r="AF99" s="56">
        <f t="shared" si="17"/>
        <v>0</v>
      </c>
      <c r="AG99" s="28">
        <f t="shared" si="22"/>
        <v>0</v>
      </c>
      <c r="AH99">
        <f t="shared" si="23"/>
        <v>401.00000000000023</v>
      </c>
      <c r="AI99" s="47">
        <f t="shared" si="24"/>
        <v>0</v>
      </c>
      <c r="AJ99" s="47">
        <f t="shared" si="25"/>
        <v>0</v>
      </c>
      <c r="AK99" s="46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49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1">
        <v>3.4624608160590938E-2</v>
      </c>
      <c r="V100" s="50">
        <v>8.9222570389523526E-2</v>
      </c>
      <c r="W100" s="2">
        <v>0.95251170745195557</v>
      </c>
      <c r="X100" s="51">
        <v>0</v>
      </c>
      <c r="Y100" s="2">
        <v>-1.271536281950097E-4</v>
      </c>
      <c r="Z100" s="33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5">
        <f t="shared" si="21"/>
        <v>0</v>
      </c>
      <c r="AF100" s="56">
        <f t="shared" si="17"/>
        <v>0</v>
      </c>
      <c r="AG100" s="28">
        <f t="shared" si="22"/>
        <v>0</v>
      </c>
      <c r="AH100">
        <f t="shared" si="23"/>
        <v>350.99999999999909</v>
      </c>
      <c r="AI100" s="47">
        <f t="shared" si="24"/>
        <v>0</v>
      </c>
      <c r="AJ100" s="47">
        <f t="shared" si="25"/>
        <v>0</v>
      </c>
      <c r="AK100" s="46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49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1">
        <v>2.9824240434176308E-2</v>
      </c>
      <c r="V101" s="50">
        <v>8.5531710932656324E-2</v>
      </c>
      <c r="W101" s="2">
        <v>0.93109328133273772</v>
      </c>
      <c r="X101" s="51">
        <v>0</v>
      </c>
      <c r="Y101" s="2">
        <v>-1.6345104842675119E-4</v>
      </c>
      <c r="Z101" s="33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5">
        <f t="shared" si="21"/>
        <v>0</v>
      </c>
      <c r="AF101" s="56">
        <f t="shared" si="17"/>
        <v>0</v>
      </c>
      <c r="AG101" s="28">
        <f t="shared" si="22"/>
        <v>0</v>
      </c>
      <c r="AH101">
        <f t="shared" si="23"/>
        <v>301.00000000000017</v>
      </c>
      <c r="AI101" s="47">
        <f t="shared" si="24"/>
        <v>0</v>
      </c>
      <c r="AJ101" s="47">
        <f t="shared" si="25"/>
        <v>0</v>
      </c>
      <c r="AK101" s="46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49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1">
        <v>2.5155949349616805E-2</v>
      </c>
      <c r="V102" s="50">
        <v>8.2165779834681985E-2</v>
      </c>
      <c r="W102" s="2">
        <v>0.89819873517080717</v>
      </c>
      <c r="X102" s="51">
        <v>0</v>
      </c>
      <c r="Y102" s="2">
        <v>-2.0917589293509284E-4</v>
      </c>
      <c r="Z102" s="33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5">
        <f t="shared" si="21"/>
        <v>0</v>
      </c>
      <c r="AF102" s="56">
        <f t="shared" ref="AF102:AF125" si="26">IF(ISERR(AE102),0,AE102*M102)</f>
        <v>0</v>
      </c>
      <c r="AG102" s="28">
        <f t="shared" si="22"/>
        <v>0</v>
      </c>
      <c r="AH102">
        <f t="shared" si="23"/>
        <v>250.99999999999901</v>
      </c>
      <c r="AI102" s="47">
        <f t="shared" si="24"/>
        <v>0.55949349616903987</v>
      </c>
      <c r="AJ102" s="47">
        <f t="shared" si="25"/>
        <v>0</v>
      </c>
      <c r="AK102" s="46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49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1">
        <v>2.0646510785923843E-2</v>
      </c>
      <c r="V103" s="50">
        <v>7.9124777095596954E-2</v>
      </c>
      <c r="W103" s="2">
        <v>0.85232660263713667</v>
      </c>
      <c r="X103" s="51">
        <v>0</v>
      </c>
      <c r="Y103" s="2">
        <v>-2.6134138565999206E-4</v>
      </c>
      <c r="Z103" s="33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5">
        <f t="shared" si="21"/>
        <v>0</v>
      </c>
      <c r="AF103" s="56">
        <f t="shared" si="26"/>
        <v>0</v>
      </c>
      <c r="AG103" s="28">
        <f t="shared" si="22"/>
        <v>0</v>
      </c>
      <c r="AH103">
        <f t="shared" si="23"/>
        <v>201.00000000000006</v>
      </c>
      <c r="AI103" s="47">
        <f t="shared" si="24"/>
        <v>5.4651078592383726</v>
      </c>
      <c r="AJ103" s="47">
        <f t="shared" si="25"/>
        <v>0</v>
      </c>
      <c r="AK103" s="46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49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1">
        <v>1.7200000584125519E-2</v>
      </c>
      <c r="V104" s="50">
        <v>8.7588735445913224E-2</v>
      </c>
      <c r="W104" s="2">
        <v>0.75726981248408365</v>
      </c>
      <c r="X104" s="51">
        <v>0</v>
      </c>
      <c r="Y104" s="2">
        <v>-3.9156215779300965E-4</v>
      </c>
      <c r="Z104" s="33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5">
        <f t="shared" si="21"/>
        <v>0</v>
      </c>
      <c r="AF104" s="56">
        <f t="shared" si="26"/>
        <v>0</v>
      </c>
      <c r="AG104" s="28">
        <f t="shared" si="22"/>
        <v>0</v>
      </c>
      <c r="AH104">
        <f t="shared" si="23"/>
        <v>150.99999999999892</v>
      </c>
      <c r="AI104" s="47">
        <f t="shared" si="24"/>
        <v>21.000005841256268</v>
      </c>
      <c r="AJ104" s="47">
        <f t="shared" si="25"/>
        <v>0</v>
      </c>
      <c r="AK104" s="46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49"/>
      <c r="N105" s="2"/>
      <c r="O105" s="2"/>
      <c r="P105" s="2"/>
      <c r="Q105" s="2"/>
      <c r="R105" s="2"/>
      <c r="S105" s="2"/>
      <c r="T105" s="2"/>
      <c r="U105" s="51"/>
      <c r="V105" s="50"/>
      <c r="W105" s="2"/>
      <c r="X105" s="51"/>
      <c r="Y105" s="2"/>
      <c r="Z105" s="33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5">
        <f t="shared" si="21"/>
        <v>0</v>
      </c>
      <c r="AF105" s="56">
        <f t="shared" si="26"/>
        <v>0</v>
      </c>
      <c r="AG105" s="28">
        <f t="shared" si="22"/>
        <v>0</v>
      </c>
      <c r="AH105">
        <f t="shared" si="23"/>
        <v>100.99999999999997</v>
      </c>
      <c r="AI105" s="47">
        <f t="shared" si="24"/>
        <v>0</v>
      </c>
      <c r="AJ105" s="47">
        <f t="shared" si="25"/>
        <v>0</v>
      </c>
      <c r="AK105" s="46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49"/>
      <c r="N106" s="2"/>
      <c r="O106" s="2"/>
      <c r="P106" s="2"/>
      <c r="Q106" s="2"/>
      <c r="R106" s="2"/>
      <c r="S106" s="2"/>
      <c r="T106" s="2"/>
      <c r="U106" s="51"/>
      <c r="V106" s="50"/>
      <c r="W106" s="2"/>
      <c r="X106" s="51"/>
      <c r="Y106" s="2"/>
      <c r="Z106" s="33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5">
        <f t="shared" si="21"/>
        <v>0</v>
      </c>
      <c r="AF106" s="56">
        <f t="shared" si="26"/>
        <v>0</v>
      </c>
      <c r="AG106" s="28">
        <f t="shared" si="22"/>
        <v>0</v>
      </c>
      <c r="AH106">
        <f t="shared" si="23"/>
        <v>50.99999999999882</v>
      </c>
      <c r="AI106" s="47">
        <f t="shared" si="24"/>
        <v>0</v>
      </c>
      <c r="AJ106" s="47">
        <f t="shared" si="25"/>
        <v>0</v>
      </c>
      <c r="AK106" s="46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49"/>
      <c r="N107" s="2"/>
      <c r="O107" s="2"/>
      <c r="P107" s="2"/>
      <c r="Q107" s="2"/>
      <c r="R107" s="2"/>
      <c r="S107" s="2"/>
      <c r="T107" s="2"/>
      <c r="U107" s="51"/>
      <c r="V107" s="50"/>
      <c r="W107" s="2"/>
      <c r="X107" s="51"/>
      <c r="Y107" s="2"/>
      <c r="Z107" s="33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5">
        <f t="shared" si="21"/>
        <v>0</v>
      </c>
      <c r="AF107" s="56">
        <f t="shared" si="26"/>
        <v>0</v>
      </c>
      <c r="AG107" s="28">
        <f t="shared" si="22"/>
        <v>0</v>
      </c>
      <c r="AH107">
        <f t="shared" si="23"/>
        <v>0.99999999999988987</v>
      </c>
      <c r="AI107" s="47">
        <f t="shared" si="24"/>
        <v>0</v>
      </c>
      <c r="AJ107" s="47">
        <f t="shared" si="25"/>
        <v>0</v>
      </c>
      <c r="AK107" s="46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49"/>
      <c r="N108" s="2"/>
      <c r="O108" s="2"/>
      <c r="P108" s="2"/>
      <c r="Q108" s="2"/>
      <c r="R108" s="2"/>
      <c r="S108" s="2"/>
      <c r="T108" s="2"/>
      <c r="U108" s="51"/>
      <c r="V108" s="50"/>
      <c r="W108" s="2"/>
      <c r="X108" s="51"/>
      <c r="Y108" s="2"/>
      <c r="Z108" s="33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5">
        <f t="shared" si="21"/>
        <v>0</v>
      </c>
      <c r="AF108" s="56">
        <f t="shared" si="26"/>
        <v>0</v>
      </c>
      <c r="AG108" s="28">
        <f t="shared" si="22"/>
        <v>0</v>
      </c>
      <c r="AH108">
        <f t="shared" si="23"/>
        <v>0</v>
      </c>
      <c r="AI108" s="47">
        <f t="shared" si="24"/>
        <v>0</v>
      </c>
      <c r="AJ108" s="47">
        <f t="shared" si="25"/>
        <v>0</v>
      </c>
      <c r="AK108" s="46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49"/>
      <c r="N109" s="2"/>
      <c r="O109" s="2"/>
      <c r="P109" s="2"/>
      <c r="Q109" s="2"/>
      <c r="R109" s="2"/>
      <c r="S109" s="2"/>
      <c r="T109" s="2"/>
      <c r="U109" s="51"/>
      <c r="V109" s="50"/>
      <c r="W109" s="2"/>
      <c r="X109" s="51"/>
      <c r="Y109" s="2"/>
      <c r="Z109" s="33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5">
        <f t="shared" si="21"/>
        <v>0</v>
      </c>
      <c r="AF109" s="56">
        <f t="shared" si="26"/>
        <v>0</v>
      </c>
      <c r="AG109" s="28">
        <f t="shared" si="22"/>
        <v>0</v>
      </c>
      <c r="AH109">
        <f t="shared" si="23"/>
        <v>0</v>
      </c>
      <c r="AI109" s="47">
        <f t="shared" si="24"/>
        <v>0</v>
      </c>
      <c r="AJ109" s="47">
        <f t="shared" si="25"/>
        <v>0</v>
      </c>
      <c r="AK109" s="46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49"/>
      <c r="N110" s="2"/>
      <c r="O110" s="2"/>
      <c r="P110" s="2"/>
      <c r="Q110" s="2"/>
      <c r="R110" s="2"/>
      <c r="S110" s="2"/>
      <c r="T110" s="2"/>
      <c r="U110" s="51"/>
      <c r="V110" s="50"/>
      <c r="W110" s="2"/>
      <c r="X110" s="51"/>
      <c r="Y110" s="2"/>
      <c r="Z110" s="33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5">
        <f t="shared" si="21"/>
        <v>0</v>
      </c>
      <c r="AF110" s="56">
        <f t="shared" si="26"/>
        <v>0</v>
      </c>
      <c r="AG110" s="28">
        <f t="shared" si="22"/>
        <v>0</v>
      </c>
      <c r="AH110">
        <f t="shared" si="23"/>
        <v>0</v>
      </c>
      <c r="AI110" s="47">
        <f t="shared" si="24"/>
        <v>0</v>
      </c>
      <c r="AJ110" s="47">
        <f t="shared" si="25"/>
        <v>0</v>
      </c>
      <c r="AK110" s="46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49"/>
      <c r="N111" s="2"/>
      <c r="O111" s="2"/>
      <c r="P111" s="2"/>
      <c r="Q111" s="2"/>
      <c r="R111" s="2"/>
      <c r="S111" s="2"/>
      <c r="T111" s="2"/>
      <c r="U111" s="51"/>
      <c r="V111" s="50"/>
      <c r="W111" s="2"/>
      <c r="X111" s="51"/>
      <c r="Y111" s="2"/>
      <c r="Z111" s="33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5">
        <f t="shared" si="21"/>
        <v>0</v>
      </c>
      <c r="AF111" s="56">
        <f t="shared" si="26"/>
        <v>0</v>
      </c>
      <c r="AG111" s="28">
        <f t="shared" si="22"/>
        <v>0</v>
      </c>
      <c r="AH111">
        <f t="shared" si="23"/>
        <v>0</v>
      </c>
      <c r="AI111" s="47">
        <f t="shared" si="24"/>
        <v>0</v>
      </c>
      <c r="AJ111" s="47">
        <f t="shared" si="25"/>
        <v>0</v>
      </c>
      <c r="AK111" s="46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49"/>
      <c r="N112" s="2"/>
      <c r="O112" s="2"/>
      <c r="P112" s="2"/>
      <c r="Q112" s="2"/>
      <c r="R112" s="2"/>
      <c r="S112" s="2"/>
      <c r="T112" s="2"/>
      <c r="U112" s="51"/>
      <c r="V112" s="50"/>
      <c r="W112" s="2"/>
      <c r="X112" s="51"/>
      <c r="Y112" s="2"/>
      <c r="Z112" s="33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5">
        <f t="shared" si="21"/>
        <v>0</v>
      </c>
      <c r="AF112" s="56">
        <f t="shared" si="26"/>
        <v>0</v>
      </c>
      <c r="AG112" s="28">
        <f t="shared" si="22"/>
        <v>0</v>
      </c>
      <c r="AH112">
        <f t="shared" si="23"/>
        <v>0</v>
      </c>
      <c r="AI112" s="47">
        <f t="shared" si="24"/>
        <v>0</v>
      </c>
      <c r="AJ112" s="47">
        <f t="shared" si="25"/>
        <v>0</v>
      </c>
      <c r="AK112" s="46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49"/>
      <c r="N113" s="2"/>
      <c r="O113" s="2"/>
      <c r="P113" s="2"/>
      <c r="Q113" s="2"/>
      <c r="R113" s="2"/>
      <c r="S113" s="2"/>
      <c r="T113" s="2"/>
      <c r="U113" s="51"/>
      <c r="V113" s="50"/>
      <c r="W113" s="2"/>
      <c r="X113" s="51"/>
      <c r="Y113" s="2"/>
      <c r="Z113" s="33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5">
        <f t="shared" si="21"/>
        <v>0</v>
      </c>
      <c r="AF113" s="56">
        <f t="shared" si="26"/>
        <v>0</v>
      </c>
      <c r="AG113" s="28">
        <f t="shared" si="22"/>
        <v>0</v>
      </c>
      <c r="AH113">
        <f t="shared" si="23"/>
        <v>0</v>
      </c>
      <c r="AI113" s="47">
        <f t="shared" si="24"/>
        <v>0</v>
      </c>
      <c r="AJ113" s="47">
        <f t="shared" si="25"/>
        <v>0</v>
      </c>
      <c r="AK113" s="46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49"/>
      <c r="N114" s="2"/>
      <c r="O114" s="2"/>
      <c r="P114" s="2"/>
      <c r="Q114" s="2"/>
      <c r="R114" s="2"/>
      <c r="S114" s="2"/>
      <c r="T114" s="2"/>
      <c r="U114" s="51"/>
      <c r="V114" s="50"/>
      <c r="W114" s="2"/>
      <c r="X114" s="51"/>
      <c r="Y114" s="2"/>
      <c r="Z114" s="33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5">
        <f t="shared" si="21"/>
        <v>0</v>
      </c>
      <c r="AF114" s="56">
        <f t="shared" si="26"/>
        <v>0</v>
      </c>
      <c r="AG114" s="28">
        <f t="shared" si="22"/>
        <v>0</v>
      </c>
      <c r="AH114">
        <f t="shared" si="23"/>
        <v>0</v>
      </c>
      <c r="AI114" s="47">
        <f t="shared" si="24"/>
        <v>0</v>
      </c>
      <c r="AJ114" s="47">
        <f t="shared" si="25"/>
        <v>0</v>
      </c>
      <c r="AK114" s="46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49"/>
      <c r="N115" s="2"/>
      <c r="O115" s="2"/>
      <c r="P115" s="2"/>
      <c r="Q115" s="2"/>
      <c r="R115" s="2"/>
      <c r="S115" s="2"/>
      <c r="T115" s="2"/>
      <c r="U115" s="51"/>
      <c r="V115" s="50"/>
      <c r="W115" s="2"/>
      <c r="X115" s="51"/>
      <c r="Y115" s="2"/>
      <c r="Z115" s="33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5">
        <f t="shared" si="21"/>
        <v>0</v>
      </c>
      <c r="AF115" s="56">
        <f t="shared" si="26"/>
        <v>0</v>
      </c>
      <c r="AG115" s="28">
        <f t="shared" si="22"/>
        <v>0</v>
      </c>
      <c r="AH115">
        <f t="shared" si="23"/>
        <v>0</v>
      </c>
      <c r="AI115" s="47">
        <f t="shared" si="24"/>
        <v>0</v>
      </c>
      <c r="AJ115" s="47">
        <f t="shared" si="25"/>
        <v>0</v>
      </c>
      <c r="AK115" s="46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49"/>
      <c r="N116" s="2"/>
      <c r="O116" s="2"/>
      <c r="P116" s="2"/>
      <c r="Q116" s="2"/>
      <c r="R116" s="2"/>
      <c r="S116" s="2"/>
      <c r="T116" s="2"/>
      <c r="U116" s="51"/>
      <c r="V116" s="50"/>
      <c r="W116" s="2"/>
      <c r="X116" s="51"/>
      <c r="Y116" s="2"/>
      <c r="Z116" s="33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5">
        <f t="shared" si="21"/>
        <v>0</v>
      </c>
      <c r="AF116" s="56">
        <f t="shared" si="26"/>
        <v>0</v>
      </c>
      <c r="AG116" s="28">
        <f t="shared" si="22"/>
        <v>0</v>
      </c>
      <c r="AH116">
        <f t="shared" si="23"/>
        <v>0</v>
      </c>
      <c r="AI116" s="47">
        <f t="shared" si="24"/>
        <v>0</v>
      </c>
      <c r="AJ116" s="47">
        <f t="shared" si="25"/>
        <v>0</v>
      </c>
      <c r="AK116" s="46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49"/>
      <c r="N117" s="2"/>
      <c r="O117" s="2"/>
      <c r="P117" s="2"/>
      <c r="Q117" s="2"/>
      <c r="R117" s="2"/>
      <c r="S117" s="2"/>
      <c r="T117" s="2"/>
      <c r="U117" s="51"/>
      <c r="V117" s="50"/>
      <c r="W117" s="2"/>
      <c r="X117" s="51"/>
      <c r="Y117" s="2"/>
      <c r="Z117" s="33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5">
        <f t="shared" si="21"/>
        <v>0</v>
      </c>
      <c r="AF117" s="56">
        <f t="shared" si="26"/>
        <v>0</v>
      </c>
      <c r="AG117" s="28">
        <f t="shared" si="22"/>
        <v>0</v>
      </c>
      <c r="AH117">
        <f t="shared" si="23"/>
        <v>0</v>
      </c>
      <c r="AI117" s="47">
        <f t="shared" si="24"/>
        <v>0</v>
      </c>
      <c r="AJ117" s="47">
        <f t="shared" si="25"/>
        <v>0</v>
      </c>
      <c r="AK117" s="46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49"/>
      <c r="N118" s="2"/>
      <c r="O118" s="2"/>
      <c r="P118" s="2"/>
      <c r="Q118" s="2"/>
      <c r="R118" s="2"/>
      <c r="S118" s="2"/>
      <c r="T118" s="2"/>
      <c r="U118" s="51"/>
      <c r="V118" s="50"/>
      <c r="W118" s="2"/>
      <c r="X118" s="51"/>
      <c r="Y118" s="2"/>
      <c r="Z118" s="33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5">
        <f t="shared" si="21"/>
        <v>0</v>
      </c>
      <c r="AF118" s="56">
        <f t="shared" si="26"/>
        <v>0</v>
      </c>
      <c r="AG118" s="28">
        <f t="shared" si="22"/>
        <v>0</v>
      </c>
      <c r="AH118">
        <f t="shared" si="23"/>
        <v>0</v>
      </c>
      <c r="AI118" s="47">
        <f t="shared" si="24"/>
        <v>0</v>
      </c>
      <c r="AJ118" s="47">
        <f t="shared" si="25"/>
        <v>0</v>
      </c>
      <c r="AK118" s="46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49"/>
      <c r="N119" s="2"/>
      <c r="O119" s="2"/>
      <c r="P119" s="2"/>
      <c r="Q119" s="2"/>
      <c r="R119" s="2"/>
      <c r="S119" s="2"/>
      <c r="T119" s="2"/>
      <c r="U119" s="51"/>
      <c r="V119" s="50"/>
      <c r="W119" s="2"/>
      <c r="X119" s="51"/>
      <c r="Y119" s="2"/>
      <c r="Z119" s="33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5">
        <f t="shared" si="21"/>
        <v>0</v>
      </c>
      <c r="AF119" s="56">
        <f t="shared" si="26"/>
        <v>0</v>
      </c>
      <c r="AG119" s="28">
        <f t="shared" si="22"/>
        <v>0</v>
      </c>
      <c r="AH119">
        <f t="shared" si="23"/>
        <v>0</v>
      </c>
      <c r="AI119" s="47">
        <f t="shared" si="24"/>
        <v>0</v>
      </c>
      <c r="AJ119" s="47">
        <f t="shared" si="25"/>
        <v>0</v>
      </c>
      <c r="AK119" s="46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49"/>
      <c r="N120" s="2"/>
      <c r="O120" s="2"/>
      <c r="P120" s="2"/>
      <c r="Q120" s="2"/>
      <c r="R120" s="2"/>
      <c r="S120" s="2"/>
      <c r="T120" s="2"/>
      <c r="U120" s="51"/>
      <c r="V120" s="50"/>
      <c r="W120" s="2"/>
      <c r="X120" s="51"/>
      <c r="Y120" s="2"/>
      <c r="Z120" s="33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5">
        <f t="shared" si="21"/>
        <v>0</v>
      </c>
      <c r="AF120" s="56">
        <f t="shared" si="26"/>
        <v>0</v>
      </c>
      <c r="AG120" s="28">
        <f t="shared" si="22"/>
        <v>0</v>
      </c>
      <c r="AH120">
        <f t="shared" si="23"/>
        <v>0</v>
      </c>
      <c r="AI120" s="47">
        <f t="shared" si="24"/>
        <v>0</v>
      </c>
      <c r="AJ120" s="47">
        <f t="shared" si="25"/>
        <v>0</v>
      </c>
      <c r="AK120" s="46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49"/>
      <c r="N121" s="2"/>
      <c r="O121" s="2"/>
      <c r="P121" s="2"/>
      <c r="Q121" s="2"/>
      <c r="R121" s="2"/>
      <c r="S121" s="2"/>
      <c r="T121" s="2"/>
      <c r="U121" s="51"/>
      <c r="V121" s="50"/>
      <c r="W121" s="2"/>
      <c r="X121" s="51"/>
      <c r="Y121" s="2"/>
      <c r="Z121" s="33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5">
        <f t="shared" si="21"/>
        <v>0</v>
      </c>
      <c r="AF121" s="56">
        <f t="shared" si="26"/>
        <v>0</v>
      </c>
      <c r="AG121" s="28">
        <f t="shared" si="22"/>
        <v>0</v>
      </c>
      <c r="AH121">
        <f t="shared" si="23"/>
        <v>0</v>
      </c>
      <c r="AI121" s="47">
        <f t="shared" si="24"/>
        <v>0</v>
      </c>
      <c r="AJ121" s="47">
        <f t="shared" si="25"/>
        <v>0</v>
      </c>
      <c r="AK121" s="46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49"/>
      <c r="N122" s="2"/>
      <c r="O122" s="2"/>
      <c r="P122" s="2"/>
      <c r="Q122" s="2"/>
      <c r="R122" s="2"/>
      <c r="S122" s="2"/>
      <c r="T122" s="2"/>
      <c r="U122" s="51"/>
      <c r="V122" s="50"/>
      <c r="W122" s="2"/>
      <c r="X122" s="51"/>
      <c r="Y122" s="2"/>
      <c r="Z122" s="33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5">
        <f t="shared" si="21"/>
        <v>0</v>
      </c>
      <c r="AF122" s="56">
        <f t="shared" si="26"/>
        <v>0</v>
      </c>
      <c r="AG122" s="28">
        <f t="shared" si="22"/>
        <v>0</v>
      </c>
      <c r="AH122">
        <f t="shared" si="23"/>
        <v>0</v>
      </c>
      <c r="AI122" s="47">
        <f t="shared" si="24"/>
        <v>0</v>
      </c>
      <c r="AJ122" s="47">
        <f t="shared" si="25"/>
        <v>0</v>
      </c>
      <c r="AK122" s="46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49"/>
      <c r="N123" s="2"/>
      <c r="O123" s="2"/>
      <c r="P123" s="2"/>
      <c r="Q123" s="2"/>
      <c r="R123" s="2"/>
      <c r="S123" s="2"/>
      <c r="T123" s="2"/>
      <c r="U123" s="51"/>
      <c r="V123" s="50"/>
      <c r="W123" s="2"/>
      <c r="X123" s="51"/>
      <c r="Y123" s="2"/>
      <c r="Z123" s="33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5">
        <f t="shared" si="21"/>
        <v>0</v>
      </c>
      <c r="AF123" s="56">
        <f t="shared" si="26"/>
        <v>0</v>
      </c>
      <c r="AG123" s="28">
        <f t="shared" si="22"/>
        <v>0</v>
      </c>
      <c r="AH123">
        <f t="shared" si="23"/>
        <v>0</v>
      </c>
      <c r="AI123" s="47">
        <f t="shared" si="24"/>
        <v>0</v>
      </c>
      <c r="AJ123" s="47">
        <f t="shared" si="25"/>
        <v>0</v>
      </c>
      <c r="AK123" s="46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49"/>
      <c r="N124" s="2"/>
      <c r="O124" s="2"/>
      <c r="P124" s="2"/>
      <c r="Q124" s="2"/>
      <c r="R124" s="2"/>
      <c r="S124" s="2"/>
      <c r="T124" s="2"/>
      <c r="U124" s="51"/>
      <c r="V124" s="50"/>
      <c r="W124" s="2"/>
      <c r="X124" s="51"/>
      <c r="Y124" s="2"/>
      <c r="Z124" s="33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5">
        <f t="shared" si="21"/>
        <v>0</v>
      </c>
      <c r="AF124" s="56">
        <f t="shared" si="26"/>
        <v>0</v>
      </c>
      <c r="AG124" s="28">
        <f t="shared" si="22"/>
        <v>0</v>
      </c>
      <c r="AH124">
        <f t="shared" si="23"/>
        <v>0</v>
      </c>
      <c r="AI124" s="47">
        <f t="shared" si="24"/>
        <v>0</v>
      </c>
      <c r="AJ124" s="47">
        <f t="shared" si="25"/>
        <v>0</v>
      </c>
      <c r="AK124" s="46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49"/>
      <c r="N125" s="2"/>
      <c r="O125" s="2"/>
      <c r="P125" s="2"/>
      <c r="Q125" s="2"/>
      <c r="R125" s="2"/>
      <c r="S125" s="2"/>
      <c r="T125" s="2"/>
      <c r="U125" s="51"/>
      <c r="V125" s="50"/>
      <c r="W125" s="2"/>
      <c r="X125" s="51"/>
      <c r="Y125" s="2"/>
      <c r="Z125" s="33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5">
        <f t="shared" si="21"/>
        <v>0</v>
      </c>
      <c r="AF125" s="56">
        <f t="shared" si="26"/>
        <v>0</v>
      </c>
      <c r="AG125" s="28">
        <f t="shared" si="22"/>
        <v>0</v>
      </c>
      <c r="AH125">
        <f t="shared" si="23"/>
        <v>0</v>
      </c>
      <c r="AI125" s="47">
        <f t="shared" si="24"/>
        <v>0</v>
      </c>
      <c r="AJ125" s="47">
        <f t="shared" si="25"/>
        <v>0</v>
      </c>
      <c r="AK125" s="46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5"/>
  <sheetViews>
    <sheetView workbookViewId="0">
      <selection activeCell="B16" sqref="B16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175</v>
      </c>
      <c r="B1">
        <v>94</v>
      </c>
    </row>
    <row r="2" spans="1:2" x14ac:dyDescent="0.25">
      <c r="A2" t="s">
        <v>176</v>
      </c>
      <c r="B2">
        <v>1027</v>
      </c>
    </row>
    <row r="3" spans="1:2" x14ac:dyDescent="0.25">
      <c r="A3" t="s">
        <v>177</v>
      </c>
      <c r="B3">
        <v>69</v>
      </c>
    </row>
    <row r="4" spans="1:2" x14ac:dyDescent="0.25">
      <c r="A4" t="s">
        <v>178</v>
      </c>
      <c r="B4">
        <v>89</v>
      </c>
    </row>
    <row r="5" spans="1:2" x14ac:dyDescent="0.25">
      <c r="A5" t="s">
        <v>181</v>
      </c>
      <c r="B5">
        <v>1E-4</v>
      </c>
    </row>
    <row r="6" spans="1:2" x14ac:dyDescent="0.25">
      <c r="A6" t="s">
        <v>182</v>
      </c>
      <c r="B6">
        <v>59</v>
      </c>
    </row>
    <row r="7" spans="1:2" x14ac:dyDescent="0.25">
      <c r="A7" t="s">
        <v>183</v>
      </c>
      <c r="B7">
        <v>5</v>
      </c>
    </row>
    <row r="8" spans="1:2" x14ac:dyDescent="0.25">
      <c r="A8" t="s">
        <v>190</v>
      </c>
      <c r="B8">
        <v>35</v>
      </c>
    </row>
    <row r="9" spans="1:2" x14ac:dyDescent="0.25">
      <c r="A9" t="s">
        <v>191</v>
      </c>
      <c r="B9">
        <v>17</v>
      </c>
    </row>
    <row r="10" spans="1:2" x14ac:dyDescent="0.25">
      <c r="A10" t="s">
        <v>202</v>
      </c>
      <c r="B10">
        <v>64</v>
      </c>
    </row>
    <row r="11" spans="1:2" x14ac:dyDescent="0.25">
      <c r="A11" t="s">
        <v>203</v>
      </c>
      <c r="B11">
        <v>65</v>
      </c>
    </row>
    <row r="12" spans="1:2" x14ac:dyDescent="0.25">
      <c r="A12" t="s">
        <v>214</v>
      </c>
      <c r="B12">
        <v>16</v>
      </c>
    </row>
    <row r="13" spans="1:2" x14ac:dyDescent="0.25">
      <c r="A13" t="s">
        <v>215</v>
      </c>
      <c r="B13">
        <v>13</v>
      </c>
    </row>
    <row r="14" spans="1:2" x14ac:dyDescent="0.25">
      <c r="A14" t="s">
        <v>7122</v>
      </c>
      <c r="B14">
        <v>36</v>
      </c>
    </row>
    <row r="15" spans="1:2" x14ac:dyDescent="0.25">
      <c r="A15" t="s">
        <v>7123</v>
      </c>
      <c r="B15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7262"/>
  <sheetViews>
    <sheetView topLeftCell="A7257"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6" t="s">
        <v>7117</v>
      </c>
    </row>
    <row r="2" spans="1:1" x14ac:dyDescent="0.25">
      <c r="A2" s="26" t="s">
        <v>485</v>
      </c>
    </row>
    <row r="3" spans="1:1" x14ac:dyDescent="0.25">
      <c r="A3" s="26" t="s">
        <v>486</v>
      </c>
    </row>
    <row r="4" spans="1:1" x14ac:dyDescent="0.25">
      <c r="A4" s="26" t="s">
        <v>487</v>
      </c>
    </row>
    <row r="5" spans="1:1" x14ac:dyDescent="0.25">
      <c r="A5" s="26" t="s">
        <v>488</v>
      </c>
    </row>
    <row r="6" spans="1:1" x14ac:dyDescent="0.25">
      <c r="A6" s="26" t="s">
        <v>489</v>
      </c>
    </row>
    <row r="7" spans="1:1" x14ac:dyDescent="0.25">
      <c r="A7" s="26" t="s">
        <v>490</v>
      </c>
    </row>
    <row r="8" spans="1:1" x14ac:dyDescent="0.25">
      <c r="A8" s="26" t="s">
        <v>491</v>
      </c>
    </row>
    <row r="9" spans="1:1" x14ac:dyDescent="0.25">
      <c r="A9" s="26" t="s">
        <v>492</v>
      </c>
    </row>
    <row r="10" spans="1:1" x14ac:dyDescent="0.25">
      <c r="A10" s="26" t="s">
        <v>493</v>
      </c>
    </row>
    <row r="11" spans="1:1" x14ac:dyDescent="0.25">
      <c r="A11" s="26" t="s">
        <v>494</v>
      </c>
    </row>
    <row r="12" spans="1:1" x14ac:dyDescent="0.25">
      <c r="A12" s="26" t="s">
        <v>495</v>
      </c>
    </row>
    <row r="13" spans="1:1" x14ac:dyDescent="0.25">
      <c r="A13" s="26" t="s">
        <v>496</v>
      </c>
    </row>
    <row r="14" spans="1:1" x14ac:dyDescent="0.25">
      <c r="A14" s="26" t="s">
        <v>497</v>
      </c>
    </row>
    <row r="15" spans="1:1" x14ac:dyDescent="0.25">
      <c r="A15" s="26" t="s">
        <v>498</v>
      </c>
    </row>
    <row r="16" spans="1:1" x14ac:dyDescent="0.25">
      <c r="A16" s="26" t="s">
        <v>499</v>
      </c>
    </row>
    <row r="17" spans="1:1" x14ac:dyDescent="0.25">
      <c r="A17" s="26" t="s">
        <v>500</v>
      </c>
    </row>
    <row r="18" spans="1:1" x14ac:dyDescent="0.25">
      <c r="A18" s="26" t="s">
        <v>501</v>
      </c>
    </row>
    <row r="19" spans="1:1" x14ac:dyDescent="0.25">
      <c r="A19" s="26" t="s">
        <v>502</v>
      </c>
    </row>
    <row r="20" spans="1:1" x14ac:dyDescent="0.25">
      <c r="A20" s="26" t="s">
        <v>503</v>
      </c>
    </row>
    <row r="21" spans="1:1" x14ac:dyDescent="0.25">
      <c r="A21" s="26" t="s">
        <v>504</v>
      </c>
    </row>
    <row r="22" spans="1:1" x14ac:dyDescent="0.25">
      <c r="A22" s="26" t="s">
        <v>505</v>
      </c>
    </row>
    <row r="23" spans="1:1" x14ac:dyDescent="0.25">
      <c r="A23" s="26" t="s">
        <v>506</v>
      </c>
    </row>
    <row r="24" spans="1:1" x14ac:dyDescent="0.25">
      <c r="A24" s="26" t="s">
        <v>507</v>
      </c>
    </row>
    <row r="25" spans="1:1" x14ac:dyDescent="0.25">
      <c r="A25" s="26" t="s">
        <v>508</v>
      </c>
    </row>
    <row r="26" spans="1:1" x14ac:dyDescent="0.25">
      <c r="A26" s="26" t="s">
        <v>509</v>
      </c>
    </row>
    <row r="27" spans="1:1" x14ac:dyDescent="0.25">
      <c r="A27" s="26" t="s">
        <v>510</v>
      </c>
    </row>
    <row r="28" spans="1:1" x14ac:dyDescent="0.25">
      <c r="A28" s="26" t="s">
        <v>511</v>
      </c>
    </row>
    <row r="29" spans="1:1" x14ac:dyDescent="0.25">
      <c r="A29" s="26" t="s">
        <v>512</v>
      </c>
    </row>
    <row r="30" spans="1:1" x14ac:dyDescent="0.25">
      <c r="A30" s="26" t="s">
        <v>513</v>
      </c>
    </row>
    <row r="31" spans="1:1" x14ac:dyDescent="0.25">
      <c r="A31" s="26" t="s">
        <v>514</v>
      </c>
    </row>
    <row r="32" spans="1:1" x14ac:dyDescent="0.25">
      <c r="A32" s="26" t="s">
        <v>515</v>
      </c>
    </row>
    <row r="33" spans="1:1" x14ac:dyDescent="0.25">
      <c r="A33" s="26" t="s">
        <v>516</v>
      </c>
    </row>
    <row r="34" spans="1:1" x14ac:dyDescent="0.25">
      <c r="A34" s="26" t="s">
        <v>517</v>
      </c>
    </row>
    <row r="35" spans="1:1" x14ac:dyDescent="0.25">
      <c r="A35" s="26" t="s">
        <v>518</v>
      </c>
    </row>
    <row r="36" spans="1:1" x14ac:dyDescent="0.25">
      <c r="A36" s="26" t="s">
        <v>519</v>
      </c>
    </row>
    <row r="37" spans="1:1" x14ac:dyDescent="0.25">
      <c r="A37" s="26" t="s">
        <v>520</v>
      </c>
    </row>
    <row r="38" spans="1:1" x14ac:dyDescent="0.25">
      <c r="A38" s="26" t="s">
        <v>521</v>
      </c>
    </row>
    <row r="39" spans="1:1" x14ac:dyDescent="0.25">
      <c r="A39" s="26" t="s">
        <v>522</v>
      </c>
    </row>
    <row r="40" spans="1:1" x14ac:dyDescent="0.25">
      <c r="A40" s="26" t="s">
        <v>523</v>
      </c>
    </row>
    <row r="41" spans="1:1" x14ac:dyDescent="0.25">
      <c r="A41" s="26" t="s">
        <v>524</v>
      </c>
    </row>
    <row r="42" spans="1:1" x14ac:dyDescent="0.25">
      <c r="A42" s="26" t="s">
        <v>525</v>
      </c>
    </row>
    <row r="43" spans="1:1" x14ac:dyDescent="0.25">
      <c r="A43" s="26" t="s">
        <v>526</v>
      </c>
    </row>
    <row r="44" spans="1:1" x14ac:dyDescent="0.25">
      <c r="A44" s="26" t="s">
        <v>527</v>
      </c>
    </row>
    <row r="45" spans="1:1" x14ac:dyDescent="0.25">
      <c r="A45" s="26" t="s">
        <v>528</v>
      </c>
    </row>
    <row r="46" spans="1:1" x14ac:dyDescent="0.25">
      <c r="A46" s="26" t="s">
        <v>529</v>
      </c>
    </row>
    <row r="47" spans="1:1" x14ac:dyDescent="0.25">
      <c r="A47" s="26" t="s">
        <v>530</v>
      </c>
    </row>
    <row r="48" spans="1:1" x14ac:dyDescent="0.25">
      <c r="A48" s="26" t="s">
        <v>531</v>
      </c>
    </row>
    <row r="49" spans="1:1" x14ac:dyDescent="0.25">
      <c r="A49" s="26" t="s">
        <v>532</v>
      </c>
    </row>
    <row r="50" spans="1:1" x14ac:dyDescent="0.25">
      <c r="A50" s="26" t="s">
        <v>533</v>
      </c>
    </row>
    <row r="51" spans="1:1" x14ac:dyDescent="0.25">
      <c r="A51" s="26" t="s">
        <v>534</v>
      </c>
    </row>
    <row r="52" spans="1:1" x14ac:dyDescent="0.25">
      <c r="A52" s="26" t="s">
        <v>535</v>
      </c>
    </row>
    <row r="53" spans="1:1" x14ac:dyDescent="0.25">
      <c r="A53" s="26" t="s">
        <v>536</v>
      </c>
    </row>
    <row r="54" spans="1:1" x14ac:dyDescent="0.25">
      <c r="A54" s="26" t="s">
        <v>537</v>
      </c>
    </row>
    <row r="55" spans="1:1" x14ac:dyDescent="0.25">
      <c r="A55" s="26" t="s">
        <v>538</v>
      </c>
    </row>
    <row r="56" spans="1:1" x14ac:dyDescent="0.25">
      <c r="A56" s="26" t="s">
        <v>539</v>
      </c>
    </row>
    <row r="57" spans="1:1" x14ac:dyDescent="0.25">
      <c r="A57" s="26" t="s">
        <v>540</v>
      </c>
    </row>
    <row r="58" spans="1:1" x14ac:dyDescent="0.25">
      <c r="A58" s="26" t="s">
        <v>541</v>
      </c>
    </row>
    <row r="59" spans="1:1" x14ac:dyDescent="0.25">
      <c r="A59" s="26" t="s">
        <v>542</v>
      </c>
    </row>
    <row r="60" spans="1:1" x14ac:dyDescent="0.25">
      <c r="A60" s="26" t="s">
        <v>543</v>
      </c>
    </row>
    <row r="61" spans="1:1" x14ac:dyDescent="0.25">
      <c r="A61" s="26" t="s">
        <v>544</v>
      </c>
    </row>
    <row r="62" spans="1:1" x14ac:dyDescent="0.25">
      <c r="A62" s="26" t="s">
        <v>545</v>
      </c>
    </row>
    <row r="63" spans="1:1" x14ac:dyDescent="0.25">
      <c r="A63" s="26" t="s">
        <v>546</v>
      </c>
    </row>
    <row r="64" spans="1:1" x14ac:dyDescent="0.25">
      <c r="A64" s="26" t="s">
        <v>547</v>
      </c>
    </row>
    <row r="65" spans="1:1" x14ac:dyDescent="0.25">
      <c r="A65" s="26" t="s">
        <v>548</v>
      </c>
    </row>
    <row r="66" spans="1:1" x14ac:dyDescent="0.25">
      <c r="A66" s="26" t="s">
        <v>549</v>
      </c>
    </row>
    <row r="67" spans="1:1" x14ac:dyDescent="0.25">
      <c r="A67" s="26" t="s">
        <v>550</v>
      </c>
    </row>
    <row r="68" spans="1:1" x14ac:dyDescent="0.25">
      <c r="A68" s="26" t="s">
        <v>551</v>
      </c>
    </row>
    <row r="69" spans="1:1" x14ac:dyDescent="0.25">
      <c r="A69" s="26" t="s">
        <v>552</v>
      </c>
    </row>
    <row r="70" spans="1:1" x14ac:dyDescent="0.25">
      <c r="A70" s="26" t="s">
        <v>553</v>
      </c>
    </row>
    <row r="71" spans="1:1" x14ac:dyDescent="0.25">
      <c r="A71" s="26" t="s">
        <v>554</v>
      </c>
    </row>
    <row r="72" spans="1:1" x14ac:dyDescent="0.25">
      <c r="A72" s="26" t="s">
        <v>555</v>
      </c>
    </row>
    <row r="73" spans="1:1" x14ac:dyDescent="0.25">
      <c r="A73" s="26" t="s">
        <v>556</v>
      </c>
    </row>
    <row r="74" spans="1:1" x14ac:dyDescent="0.25">
      <c r="A74" s="26" t="s">
        <v>557</v>
      </c>
    </row>
    <row r="75" spans="1:1" x14ac:dyDescent="0.25">
      <c r="A75" s="26" t="s">
        <v>558</v>
      </c>
    </row>
    <row r="76" spans="1:1" x14ac:dyDescent="0.25">
      <c r="A76" s="26" t="s">
        <v>559</v>
      </c>
    </row>
    <row r="77" spans="1:1" x14ac:dyDescent="0.25">
      <c r="A77" s="26" t="s">
        <v>560</v>
      </c>
    </row>
    <row r="78" spans="1:1" x14ac:dyDescent="0.25">
      <c r="A78" s="26" t="s">
        <v>561</v>
      </c>
    </row>
    <row r="79" spans="1:1" x14ac:dyDescent="0.25">
      <c r="A79" s="26" t="s">
        <v>562</v>
      </c>
    </row>
    <row r="80" spans="1:1" x14ac:dyDescent="0.25">
      <c r="A80" s="26" t="s">
        <v>563</v>
      </c>
    </row>
    <row r="81" spans="1:1" x14ac:dyDescent="0.25">
      <c r="A81" s="26" t="s">
        <v>564</v>
      </c>
    </row>
    <row r="82" spans="1:1" x14ac:dyDescent="0.25">
      <c r="A82" s="26" t="s">
        <v>565</v>
      </c>
    </row>
    <row r="83" spans="1:1" x14ac:dyDescent="0.25">
      <c r="A83" s="26" t="s">
        <v>566</v>
      </c>
    </row>
    <row r="84" spans="1:1" x14ac:dyDescent="0.25">
      <c r="A84" s="26" t="s">
        <v>567</v>
      </c>
    </row>
    <row r="85" spans="1:1" x14ac:dyDescent="0.25">
      <c r="A85" s="26" t="s">
        <v>568</v>
      </c>
    </row>
    <row r="86" spans="1:1" x14ac:dyDescent="0.25">
      <c r="A86" s="26" t="s">
        <v>569</v>
      </c>
    </row>
    <row r="87" spans="1:1" x14ac:dyDescent="0.25">
      <c r="A87" s="26" t="s">
        <v>570</v>
      </c>
    </row>
    <row r="88" spans="1:1" x14ac:dyDescent="0.25">
      <c r="A88" s="26" t="s">
        <v>571</v>
      </c>
    </row>
    <row r="89" spans="1:1" x14ac:dyDescent="0.25">
      <c r="A89" s="26" t="s">
        <v>572</v>
      </c>
    </row>
    <row r="90" spans="1:1" x14ac:dyDescent="0.25">
      <c r="A90" s="26" t="s">
        <v>573</v>
      </c>
    </row>
    <row r="91" spans="1:1" x14ac:dyDescent="0.25">
      <c r="A91" s="26" t="s">
        <v>574</v>
      </c>
    </row>
    <row r="92" spans="1:1" x14ac:dyDescent="0.25">
      <c r="A92" s="26" t="s">
        <v>575</v>
      </c>
    </row>
    <row r="93" spans="1:1" x14ac:dyDescent="0.25">
      <c r="A93" s="26" t="s">
        <v>576</v>
      </c>
    </row>
    <row r="94" spans="1:1" x14ac:dyDescent="0.25">
      <c r="A94" s="26" t="s">
        <v>577</v>
      </c>
    </row>
    <row r="95" spans="1:1" x14ac:dyDescent="0.25">
      <c r="A95" s="26" t="s">
        <v>578</v>
      </c>
    </row>
    <row r="96" spans="1:1" x14ac:dyDescent="0.25">
      <c r="A96" s="26" t="s">
        <v>579</v>
      </c>
    </row>
    <row r="97" spans="1:1" x14ac:dyDescent="0.25">
      <c r="A97" s="26" t="s">
        <v>580</v>
      </c>
    </row>
    <row r="98" spans="1:1" x14ac:dyDescent="0.25">
      <c r="A98" s="26" t="s">
        <v>581</v>
      </c>
    </row>
    <row r="99" spans="1:1" x14ac:dyDescent="0.25">
      <c r="A99" s="26" t="s">
        <v>582</v>
      </c>
    </row>
    <row r="100" spans="1:1" x14ac:dyDescent="0.25">
      <c r="A100" s="26" t="s">
        <v>583</v>
      </c>
    </row>
    <row r="101" spans="1:1" x14ac:dyDescent="0.25">
      <c r="A101" s="26" t="s">
        <v>584</v>
      </c>
    </row>
    <row r="102" spans="1:1" x14ac:dyDescent="0.25">
      <c r="A102" s="26" t="s">
        <v>585</v>
      </c>
    </row>
    <row r="103" spans="1:1" x14ac:dyDescent="0.25">
      <c r="A103" s="26" t="s">
        <v>586</v>
      </c>
    </row>
    <row r="104" spans="1:1" x14ac:dyDescent="0.25">
      <c r="A104" s="26" t="s">
        <v>587</v>
      </c>
    </row>
    <row r="105" spans="1:1" x14ac:dyDescent="0.25">
      <c r="A105" s="26" t="s">
        <v>588</v>
      </c>
    </row>
    <row r="106" spans="1:1" x14ac:dyDescent="0.25">
      <c r="A106" s="26" t="s">
        <v>589</v>
      </c>
    </row>
    <row r="107" spans="1:1" x14ac:dyDescent="0.25">
      <c r="A107" s="26" t="s">
        <v>590</v>
      </c>
    </row>
    <row r="108" spans="1:1" x14ac:dyDescent="0.25">
      <c r="A108" s="26" t="s">
        <v>591</v>
      </c>
    </row>
    <row r="109" spans="1:1" x14ac:dyDescent="0.25">
      <c r="A109" s="26" t="s">
        <v>592</v>
      </c>
    </row>
    <row r="110" spans="1:1" x14ac:dyDescent="0.25">
      <c r="A110" s="26" t="s">
        <v>593</v>
      </c>
    </row>
    <row r="111" spans="1:1" x14ac:dyDescent="0.25">
      <c r="A111" s="26" t="s">
        <v>594</v>
      </c>
    </row>
    <row r="112" spans="1:1" x14ac:dyDescent="0.25">
      <c r="A112" s="26" t="s">
        <v>595</v>
      </c>
    </row>
    <row r="113" spans="1:1" x14ac:dyDescent="0.25">
      <c r="A113" s="26" t="s">
        <v>596</v>
      </c>
    </row>
    <row r="114" spans="1:1" x14ac:dyDescent="0.25">
      <c r="A114" s="26" t="s">
        <v>597</v>
      </c>
    </row>
    <row r="115" spans="1:1" x14ac:dyDescent="0.25">
      <c r="A115" s="26" t="s">
        <v>598</v>
      </c>
    </row>
    <row r="116" spans="1:1" x14ac:dyDescent="0.25">
      <c r="A116" s="26" t="s">
        <v>599</v>
      </c>
    </row>
    <row r="117" spans="1:1" x14ac:dyDescent="0.25">
      <c r="A117" s="26" t="s">
        <v>600</v>
      </c>
    </row>
    <row r="118" spans="1:1" x14ac:dyDescent="0.25">
      <c r="A118" s="26" t="s">
        <v>601</v>
      </c>
    </row>
    <row r="119" spans="1:1" x14ac:dyDescent="0.25">
      <c r="A119" s="26" t="s">
        <v>602</v>
      </c>
    </row>
    <row r="120" spans="1:1" x14ac:dyDescent="0.25">
      <c r="A120" s="26" t="s">
        <v>603</v>
      </c>
    </row>
    <row r="121" spans="1:1" x14ac:dyDescent="0.25">
      <c r="A121" s="26" t="s">
        <v>604</v>
      </c>
    </row>
    <row r="122" spans="1:1" x14ac:dyDescent="0.25">
      <c r="A122" s="26" t="s">
        <v>605</v>
      </c>
    </row>
    <row r="123" spans="1:1" x14ac:dyDescent="0.25">
      <c r="A123" s="26" t="s">
        <v>606</v>
      </c>
    </row>
    <row r="124" spans="1:1" x14ac:dyDescent="0.25">
      <c r="A124" s="26" t="s">
        <v>607</v>
      </c>
    </row>
    <row r="125" spans="1:1" x14ac:dyDescent="0.25">
      <c r="A125" s="26" t="s">
        <v>608</v>
      </c>
    </row>
    <row r="126" spans="1:1" x14ac:dyDescent="0.25">
      <c r="A126" s="26" t="s">
        <v>609</v>
      </c>
    </row>
    <row r="127" spans="1:1" x14ac:dyDescent="0.25">
      <c r="A127" s="26" t="s">
        <v>610</v>
      </c>
    </row>
    <row r="128" spans="1:1" x14ac:dyDescent="0.25">
      <c r="A128" s="26" t="s">
        <v>611</v>
      </c>
    </row>
    <row r="129" spans="1:1" x14ac:dyDescent="0.25">
      <c r="A129" s="26" t="s">
        <v>612</v>
      </c>
    </row>
    <row r="130" spans="1:1" x14ac:dyDescent="0.25">
      <c r="A130" s="26" t="s">
        <v>613</v>
      </c>
    </row>
    <row r="131" spans="1:1" x14ac:dyDescent="0.25">
      <c r="A131" s="26" t="s">
        <v>614</v>
      </c>
    </row>
    <row r="132" spans="1:1" x14ac:dyDescent="0.25">
      <c r="A132" s="26" t="s">
        <v>615</v>
      </c>
    </row>
    <row r="133" spans="1:1" x14ac:dyDescent="0.25">
      <c r="A133" s="26" t="s">
        <v>616</v>
      </c>
    </row>
    <row r="134" spans="1:1" x14ac:dyDescent="0.25">
      <c r="A134" s="26" t="s">
        <v>617</v>
      </c>
    </row>
    <row r="135" spans="1:1" x14ac:dyDescent="0.25">
      <c r="A135" s="26" t="s">
        <v>618</v>
      </c>
    </row>
    <row r="136" spans="1:1" x14ac:dyDescent="0.25">
      <c r="A136" s="26" t="s">
        <v>619</v>
      </c>
    </row>
    <row r="137" spans="1:1" x14ac:dyDescent="0.25">
      <c r="A137" s="26" t="s">
        <v>620</v>
      </c>
    </row>
    <row r="138" spans="1:1" x14ac:dyDescent="0.25">
      <c r="A138" s="26" t="s">
        <v>621</v>
      </c>
    </row>
    <row r="139" spans="1:1" x14ac:dyDescent="0.25">
      <c r="A139" s="26" t="s">
        <v>622</v>
      </c>
    </row>
    <row r="140" spans="1:1" x14ac:dyDescent="0.25">
      <c r="A140" s="26" t="s">
        <v>623</v>
      </c>
    </row>
    <row r="141" spans="1:1" x14ac:dyDescent="0.25">
      <c r="A141" s="26" t="s">
        <v>624</v>
      </c>
    </row>
    <row r="142" spans="1:1" x14ac:dyDescent="0.25">
      <c r="A142" s="26" t="s">
        <v>625</v>
      </c>
    </row>
    <row r="143" spans="1:1" x14ac:dyDescent="0.25">
      <c r="A143" s="26" t="s">
        <v>626</v>
      </c>
    </row>
    <row r="144" spans="1:1" x14ac:dyDescent="0.25">
      <c r="A144" s="26" t="s">
        <v>627</v>
      </c>
    </row>
    <row r="145" spans="1:1" x14ac:dyDescent="0.25">
      <c r="A145" s="26" t="s">
        <v>628</v>
      </c>
    </row>
    <row r="146" spans="1:1" x14ac:dyDescent="0.25">
      <c r="A146" s="26" t="s">
        <v>629</v>
      </c>
    </row>
    <row r="147" spans="1:1" x14ac:dyDescent="0.25">
      <c r="A147" s="26" t="s">
        <v>630</v>
      </c>
    </row>
    <row r="148" spans="1:1" x14ac:dyDescent="0.25">
      <c r="A148" s="26" t="s">
        <v>631</v>
      </c>
    </row>
    <row r="149" spans="1:1" x14ac:dyDescent="0.25">
      <c r="A149" s="26" t="s">
        <v>632</v>
      </c>
    </row>
    <row r="150" spans="1:1" x14ac:dyDescent="0.25">
      <c r="A150" s="26" t="s">
        <v>633</v>
      </c>
    </row>
    <row r="151" spans="1:1" x14ac:dyDescent="0.25">
      <c r="A151" s="26" t="s">
        <v>634</v>
      </c>
    </row>
    <row r="152" spans="1:1" x14ac:dyDescent="0.25">
      <c r="A152" s="26" t="s">
        <v>635</v>
      </c>
    </row>
    <row r="153" spans="1:1" x14ac:dyDescent="0.25">
      <c r="A153" s="26" t="s">
        <v>636</v>
      </c>
    </row>
    <row r="154" spans="1:1" x14ac:dyDescent="0.25">
      <c r="A154" s="26" t="s">
        <v>637</v>
      </c>
    </row>
    <row r="155" spans="1:1" x14ac:dyDescent="0.25">
      <c r="A155" s="26" t="s">
        <v>638</v>
      </c>
    </row>
    <row r="156" spans="1:1" x14ac:dyDescent="0.25">
      <c r="A156" s="26" t="s">
        <v>639</v>
      </c>
    </row>
    <row r="157" spans="1:1" x14ac:dyDescent="0.25">
      <c r="A157" s="26" t="s">
        <v>640</v>
      </c>
    </row>
    <row r="158" spans="1:1" x14ac:dyDescent="0.25">
      <c r="A158" s="26" t="s">
        <v>643</v>
      </c>
    </row>
    <row r="159" spans="1:1" x14ac:dyDescent="0.25">
      <c r="A159" s="26" t="s">
        <v>644</v>
      </c>
    </row>
    <row r="160" spans="1:1" x14ac:dyDescent="0.25">
      <c r="A160" s="26" t="s">
        <v>645</v>
      </c>
    </row>
    <row r="161" spans="1:1" x14ac:dyDescent="0.25">
      <c r="A161" s="26" t="s">
        <v>646</v>
      </c>
    </row>
    <row r="162" spans="1:1" x14ac:dyDescent="0.25">
      <c r="A162" s="26" t="s">
        <v>647</v>
      </c>
    </row>
    <row r="163" spans="1:1" x14ac:dyDescent="0.25">
      <c r="A163" s="26" t="s">
        <v>648</v>
      </c>
    </row>
    <row r="164" spans="1:1" x14ac:dyDescent="0.25">
      <c r="A164" s="26" t="s">
        <v>649</v>
      </c>
    </row>
    <row r="165" spans="1:1" x14ac:dyDescent="0.25">
      <c r="A165" s="26" t="s">
        <v>650</v>
      </c>
    </row>
    <row r="166" spans="1:1" x14ac:dyDescent="0.25">
      <c r="A166" s="26" t="s">
        <v>651</v>
      </c>
    </row>
    <row r="167" spans="1:1" x14ac:dyDescent="0.25">
      <c r="A167" s="26" t="s">
        <v>652</v>
      </c>
    </row>
    <row r="168" spans="1:1" x14ac:dyDescent="0.25">
      <c r="A168" s="26" t="s">
        <v>653</v>
      </c>
    </row>
    <row r="169" spans="1:1" x14ac:dyDescent="0.25">
      <c r="A169" s="26" t="s">
        <v>654</v>
      </c>
    </row>
    <row r="170" spans="1:1" x14ac:dyDescent="0.25">
      <c r="A170" s="26" t="s">
        <v>655</v>
      </c>
    </row>
    <row r="171" spans="1:1" x14ac:dyDescent="0.25">
      <c r="A171" s="26" t="s">
        <v>656</v>
      </c>
    </row>
    <row r="172" spans="1:1" x14ac:dyDescent="0.25">
      <c r="A172" s="26" t="s">
        <v>657</v>
      </c>
    </row>
    <row r="173" spans="1:1" x14ac:dyDescent="0.25">
      <c r="A173" s="26" t="s">
        <v>658</v>
      </c>
    </row>
    <row r="174" spans="1:1" x14ac:dyDescent="0.25">
      <c r="A174" s="26" t="s">
        <v>659</v>
      </c>
    </row>
    <row r="175" spans="1:1" x14ac:dyDescent="0.25">
      <c r="A175" s="26" t="s">
        <v>660</v>
      </c>
    </row>
    <row r="176" spans="1:1" x14ac:dyDescent="0.25">
      <c r="A176" s="26" t="s">
        <v>661</v>
      </c>
    </row>
    <row r="177" spans="1:1" x14ac:dyDescent="0.25">
      <c r="A177" s="26" t="s">
        <v>662</v>
      </c>
    </row>
    <row r="178" spans="1:1" x14ac:dyDescent="0.25">
      <c r="A178" s="26" t="s">
        <v>663</v>
      </c>
    </row>
    <row r="179" spans="1:1" x14ac:dyDescent="0.25">
      <c r="A179" s="26" t="s">
        <v>664</v>
      </c>
    </row>
    <row r="180" spans="1:1" x14ac:dyDescent="0.25">
      <c r="A180" s="26" t="s">
        <v>665</v>
      </c>
    </row>
    <row r="181" spans="1:1" x14ac:dyDescent="0.25">
      <c r="A181" s="26" t="s">
        <v>666</v>
      </c>
    </row>
    <row r="182" spans="1:1" x14ac:dyDescent="0.25">
      <c r="A182" s="26" t="s">
        <v>667</v>
      </c>
    </row>
    <row r="183" spans="1:1" x14ac:dyDescent="0.25">
      <c r="A183" s="26" t="s">
        <v>669</v>
      </c>
    </row>
    <row r="184" spans="1:1" x14ac:dyDescent="0.25">
      <c r="A184" s="26" t="s">
        <v>670</v>
      </c>
    </row>
    <row r="185" spans="1:1" x14ac:dyDescent="0.25">
      <c r="A185" s="26" t="s">
        <v>671</v>
      </c>
    </row>
    <row r="186" spans="1:1" x14ac:dyDescent="0.25">
      <c r="A186" s="26" t="s">
        <v>672</v>
      </c>
    </row>
    <row r="187" spans="1:1" x14ac:dyDescent="0.25">
      <c r="A187" s="26" t="s">
        <v>673</v>
      </c>
    </row>
    <row r="188" spans="1:1" x14ac:dyDescent="0.25">
      <c r="A188" s="26" t="s">
        <v>674</v>
      </c>
    </row>
    <row r="189" spans="1:1" x14ac:dyDescent="0.25">
      <c r="A189" s="26" t="s">
        <v>675</v>
      </c>
    </row>
    <row r="190" spans="1:1" x14ac:dyDescent="0.25">
      <c r="A190" s="26" t="s">
        <v>676</v>
      </c>
    </row>
    <row r="191" spans="1:1" x14ac:dyDescent="0.25">
      <c r="A191" s="26" t="s">
        <v>677</v>
      </c>
    </row>
    <row r="192" spans="1:1" x14ac:dyDescent="0.25">
      <c r="A192" s="26" t="s">
        <v>678</v>
      </c>
    </row>
    <row r="193" spans="1:1" x14ac:dyDescent="0.25">
      <c r="A193" s="26" t="s">
        <v>679</v>
      </c>
    </row>
    <row r="194" spans="1:1" x14ac:dyDescent="0.25">
      <c r="A194" s="26" t="s">
        <v>680</v>
      </c>
    </row>
    <row r="195" spans="1:1" x14ac:dyDescent="0.25">
      <c r="A195" s="26" t="s">
        <v>681</v>
      </c>
    </row>
    <row r="196" spans="1:1" x14ac:dyDescent="0.25">
      <c r="A196" s="26" t="s">
        <v>682</v>
      </c>
    </row>
    <row r="197" spans="1:1" x14ac:dyDescent="0.25">
      <c r="A197" s="26" t="s">
        <v>683</v>
      </c>
    </row>
    <row r="198" spans="1:1" x14ac:dyDescent="0.25">
      <c r="A198" s="26" t="s">
        <v>684</v>
      </c>
    </row>
    <row r="199" spans="1:1" x14ac:dyDescent="0.25">
      <c r="A199" s="26" t="s">
        <v>685</v>
      </c>
    </row>
    <row r="200" spans="1:1" x14ac:dyDescent="0.25">
      <c r="A200" s="26" t="s">
        <v>686</v>
      </c>
    </row>
    <row r="201" spans="1:1" x14ac:dyDescent="0.25">
      <c r="A201" s="26" t="s">
        <v>687</v>
      </c>
    </row>
    <row r="202" spans="1:1" x14ac:dyDescent="0.25">
      <c r="A202" s="26" t="s">
        <v>688</v>
      </c>
    </row>
    <row r="203" spans="1:1" x14ac:dyDescent="0.25">
      <c r="A203" s="26" t="s">
        <v>689</v>
      </c>
    </row>
    <row r="204" spans="1:1" x14ac:dyDescent="0.25">
      <c r="A204" s="26" t="s">
        <v>690</v>
      </c>
    </row>
    <row r="205" spans="1:1" x14ac:dyDescent="0.25">
      <c r="A205" s="26" t="s">
        <v>691</v>
      </c>
    </row>
    <row r="206" spans="1:1" x14ac:dyDescent="0.25">
      <c r="A206" s="26" t="s">
        <v>692</v>
      </c>
    </row>
    <row r="207" spans="1:1" x14ac:dyDescent="0.25">
      <c r="A207" s="26" t="s">
        <v>693</v>
      </c>
    </row>
    <row r="208" spans="1:1" x14ac:dyDescent="0.25">
      <c r="A208" s="26" t="s">
        <v>694</v>
      </c>
    </row>
    <row r="209" spans="1:1" x14ac:dyDescent="0.25">
      <c r="A209" s="26" t="s">
        <v>695</v>
      </c>
    </row>
    <row r="210" spans="1:1" x14ac:dyDescent="0.25">
      <c r="A210" s="26" t="s">
        <v>696</v>
      </c>
    </row>
    <row r="211" spans="1:1" x14ac:dyDescent="0.25">
      <c r="A211" s="26" t="s">
        <v>697</v>
      </c>
    </row>
    <row r="212" spans="1:1" x14ac:dyDescent="0.25">
      <c r="A212" s="26" t="s">
        <v>698</v>
      </c>
    </row>
    <row r="213" spans="1:1" x14ac:dyDescent="0.25">
      <c r="A213" s="26" t="s">
        <v>699</v>
      </c>
    </row>
    <row r="214" spans="1:1" x14ac:dyDescent="0.25">
      <c r="A214" s="26" t="s">
        <v>700</v>
      </c>
    </row>
    <row r="215" spans="1:1" x14ac:dyDescent="0.25">
      <c r="A215" s="26" t="s">
        <v>701</v>
      </c>
    </row>
    <row r="216" spans="1:1" x14ac:dyDescent="0.25">
      <c r="A216" s="26" t="s">
        <v>702</v>
      </c>
    </row>
    <row r="217" spans="1:1" x14ac:dyDescent="0.25">
      <c r="A217" s="26" t="s">
        <v>703</v>
      </c>
    </row>
    <row r="218" spans="1:1" x14ac:dyDescent="0.25">
      <c r="A218" s="26" t="s">
        <v>704</v>
      </c>
    </row>
    <row r="219" spans="1:1" x14ac:dyDescent="0.25">
      <c r="A219" s="26" t="s">
        <v>705</v>
      </c>
    </row>
    <row r="220" spans="1:1" x14ac:dyDescent="0.25">
      <c r="A220" s="26" t="s">
        <v>7121</v>
      </c>
    </row>
    <row r="221" spans="1:1" x14ac:dyDescent="0.25">
      <c r="A221" s="26" t="s">
        <v>7118</v>
      </c>
    </row>
    <row r="222" spans="1:1" x14ac:dyDescent="0.25">
      <c r="A222" s="26" t="s">
        <v>7119</v>
      </c>
    </row>
    <row r="223" spans="1:1" x14ac:dyDescent="0.25">
      <c r="A223" s="26" t="s">
        <v>7120</v>
      </c>
    </row>
    <row r="224" spans="1:1" x14ac:dyDescent="0.25">
      <c r="A224" s="98" t="s">
        <v>706</v>
      </c>
    </row>
    <row r="225" spans="1:1" x14ac:dyDescent="0.25">
      <c r="A225" s="98" t="s">
        <v>707</v>
      </c>
    </row>
    <row r="226" spans="1:1" x14ac:dyDescent="0.25">
      <c r="A226" s="98" t="s">
        <v>708</v>
      </c>
    </row>
    <row r="227" spans="1:1" x14ac:dyDescent="0.25">
      <c r="A227" s="98" t="s">
        <v>709</v>
      </c>
    </row>
    <row r="228" spans="1:1" x14ac:dyDescent="0.25">
      <c r="A228" s="98" t="s">
        <v>710</v>
      </c>
    </row>
    <row r="229" spans="1:1" x14ac:dyDescent="0.25">
      <c r="A229" s="96" t="s">
        <v>711</v>
      </c>
    </row>
    <row r="230" spans="1:1" x14ac:dyDescent="0.25">
      <c r="A230" s="96" t="s">
        <v>712</v>
      </c>
    </row>
    <row r="231" spans="1:1" x14ac:dyDescent="0.25">
      <c r="A231" s="98" t="s">
        <v>713</v>
      </c>
    </row>
    <row r="232" spans="1:1" x14ac:dyDescent="0.25">
      <c r="A232" s="96" t="s">
        <v>714</v>
      </c>
    </row>
    <row r="233" spans="1:1" x14ac:dyDescent="0.25">
      <c r="A233" s="98" t="s">
        <v>715</v>
      </c>
    </row>
    <row r="234" spans="1:1" x14ac:dyDescent="0.25">
      <c r="A234" s="98" t="s">
        <v>716</v>
      </c>
    </row>
    <row r="235" spans="1:1" x14ac:dyDescent="0.25">
      <c r="A235" s="98" t="s">
        <v>717</v>
      </c>
    </row>
    <row r="236" spans="1:1" x14ac:dyDescent="0.25">
      <c r="A236" s="98" t="s">
        <v>718</v>
      </c>
    </row>
    <row r="237" spans="1:1" x14ac:dyDescent="0.25">
      <c r="A237" s="98" t="s">
        <v>719</v>
      </c>
    </row>
    <row r="238" spans="1:1" x14ac:dyDescent="0.25">
      <c r="A238" s="96" t="s">
        <v>720</v>
      </c>
    </row>
    <row r="239" spans="1:1" x14ac:dyDescent="0.25">
      <c r="A239" s="96" t="s">
        <v>721</v>
      </c>
    </row>
    <row r="240" spans="1:1" x14ac:dyDescent="0.25">
      <c r="A240" s="98" t="s">
        <v>722</v>
      </c>
    </row>
    <row r="241" spans="1:1" x14ac:dyDescent="0.25">
      <c r="A241" s="96" t="s">
        <v>723</v>
      </c>
    </row>
    <row r="242" spans="1:1" x14ac:dyDescent="0.25">
      <c r="A242" s="98" t="s">
        <v>724</v>
      </c>
    </row>
    <row r="243" spans="1:1" x14ac:dyDescent="0.25">
      <c r="A243" s="98" t="s">
        <v>725</v>
      </c>
    </row>
    <row r="244" spans="1:1" x14ac:dyDescent="0.25">
      <c r="A244" s="98" t="s">
        <v>726</v>
      </c>
    </row>
    <row r="245" spans="1:1" x14ac:dyDescent="0.25">
      <c r="A245" s="98" t="s">
        <v>727</v>
      </c>
    </row>
    <row r="246" spans="1:1" x14ac:dyDescent="0.25">
      <c r="A246" s="98" t="s">
        <v>728</v>
      </c>
    </row>
    <row r="247" spans="1:1" x14ac:dyDescent="0.25">
      <c r="A247" s="96" t="s">
        <v>729</v>
      </c>
    </row>
    <row r="248" spans="1:1" x14ac:dyDescent="0.25">
      <c r="A248" s="96" t="s">
        <v>730</v>
      </c>
    </row>
    <row r="249" spans="1:1" x14ac:dyDescent="0.25">
      <c r="A249" s="98" t="s">
        <v>731</v>
      </c>
    </row>
    <row r="250" spans="1:1" x14ac:dyDescent="0.25">
      <c r="A250" s="96" t="s">
        <v>732</v>
      </c>
    </row>
    <row r="251" spans="1:1" x14ac:dyDescent="0.25">
      <c r="A251" s="98" t="s">
        <v>733</v>
      </c>
    </row>
    <row r="252" spans="1:1" x14ac:dyDescent="0.25">
      <c r="A252" s="98" t="s">
        <v>734</v>
      </c>
    </row>
    <row r="253" spans="1:1" x14ac:dyDescent="0.25">
      <c r="A253" s="98" t="s">
        <v>735</v>
      </c>
    </row>
    <row r="254" spans="1:1" x14ac:dyDescent="0.25">
      <c r="A254" s="98" t="s">
        <v>736</v>
      </c>
    </row>
    <row r="255" spans="1:1" x14ac:dyDescent="0.25">
      <c r="A255" s="98" t="s">
        <v>737</v>
      </c>
    </row>
    <row r="256" spans="1:1" x14ac:dyDescent="0.25">
      <c r="A256" s="96" t="s">
        <v>738</v>
      </c>
    </row>
    <row r="257" spans="1:1" x14ac:dyDescent="0.25">
      <c r="A257" s="96" t="s">
        <v>739</v>
      </c>
    </row>
    <row r="258" spans="1:1" x14ac:dyDescent="0.25">
      <c r="A258" s="98" t="s">
        <v>740</v>
      </c>
    </row>
    <row r="259" spans="1:1" x14ac:dyDescent="0.25">
      <c r="A259" s="96" t="s">
        <v>741</v>
      </c>
    </row>
    <row r="260" spans="1:1" x14ac:dyDescent="0.25">
      <c r="A260" s="98" t="s">
        <v>742</v>
      </c>
    </row>
    <row r="261" spans="1:1" x14ac:dyDescent="0.25">
      <c r="A261" s="98" t="s">
        <v>743</v>
      </c>
    </row>
    <row r="262" spans="1:1" x14ac:dyDescent="0.25">
      <c r="A262" s="98" t="s">
        <v>744</v>
      </c>
    </row>
    <row r="263" spans="1:1" x14ac:dyDescent="0.25">
      <c r="A263" s="98" t="s">
        <v>745</v>
      </c>
    </row>
    <row r="264" spans="1:1" x14ac:dyDescent="0.25">
      <c r="A264" s="98" t="s">
        <v>746</v>
      </c>
    </row>
    <row r="265" spans="1:1" x14ac:dyDescent="0.25">
      <c r="A265" s="96" t="s">
        <v>747</v>
      </c>
    </row>
    <row r="266" spans="1:1" x14ac:dyDescent="0.25">
      <c r="A266" s="96" t="s">
        <v>748</v>
      </c>
    </row>
    <row r="267" spans="1:1" x14ac:dyDescent="0.25">
      <c r="A267" s="98" t="s">
        <v>749</v>
      </c>
    </row>
    <row r="268" spans="1:1" x14ac:dyDescent="0.25">
      <c r="A268" s="96" t="s">
        <v>750</v>
      </c>
    </row>
    <row r="269" spans="1:1" x14ac:dyDescent="0.25">
      <c r="A269" s="98" t="s">
        <v>751</v>
      </c>
    </row>
    <row r="270" spans="1:1" x14ac:dyDescent="0.25">
      <c r="A270" s="98" t="s">
        <v>752</v>
      </c>
    </row>
    <row r="271" spans="1:1" x14ac:dyDescent="0.25">
      <c r="A271" s="98" t="s">
        <v>753</v>
      </c>
    </row>
    <row r="272" spans="1:1" x14ac:dyDescent="0.25">
      <c r="A272" s="98" t="s">
        <v>754</v>
      </c>
    </row>
    <row r="273" spans="1:1" x14ac:dyDescent="0.25">
      <c r="A273" s="98" t="s">
        <v>755</v>
      </c>
    </row>
    <row r="274" spans="1:1" x14ac:dyDescent="0.25">
      <c r="A274" s="96" t="s">
        <v>756</v>
      </c>
    </row>
    <row r="275" spans="1:1" x14ac:dyDescent="0.25">
      <c r="A275" s="96" t="s">
        <v>757</v>
      </c>
    </row>
    <row r="276" spans="1:1" x14ac:dyDescent="0.25">
      <c r="A276" s="98" t="s">
        <v>758</v>
      </c>
    </row>
    <row r="277" spans="1:1" x14ac:dyDescent="0.25">
      <c r="A277" s="96" t="s">
        <v>759</v>
      </c>
    </row>
    <row r="278" spans="1:1" x14ac:dyDescent="0.25">
      <c r="A278" s="98" t="s">
        <v>760</v>
      </c>
    </row>
    <row r="279" spans="1:1" x14ac:dyDescent="0.25">
      <c r="A279" s="98" t="s">
        <v>761</v>
      </c>
    </row>
    <row r="280" spans="1:1" x14ac:dyDescent="0.25">
      <c r="A280" s="98" t="s">
        <v>762</v>
      </c>
    </row>
    <row r="281" spans="1:1" x14ac:dyDescent="0.25">
      <c r="A281" s="98" t="s">
        <v>763</v>
      </c>
    </row>
    <row r="282" spans="1:1" x14ac:dyDescent="0.25">
      <c r="A282" s="98" t="s">
        <v>764</v>
      </c>
    </row>
    <row r="283" spans="1:1" x14ac:dyDescent="0.25">
      <c r="A283" s="96" t="s">
        <v>765</v>
      </c>
    </row>
    <row r="284" spans="1:1" x14ac:dyDescent="0.25">
      <c r="A284" s="96" t="s">
        <v>766</v>
      </c>
    </row>
    <row r="285" spans="1:1" x14ac:dyDescent="0.25">
      <c r="A285" s="98" t="s">
        <v>767</v>
      </c>
    </row>
    <row r="286" spans="1:1" x14ac:dyDescent="0.25">
      <c r="A286" s="96" t="s">
        <v>768</v>
      </c>
    </row>
    <row r="287" spans="1:1" x14ac:dyDescent="0.25">
      <c r="A287" s="98" t="s">
        <v>769</v>
      </c>
    </row>
    <row r="288" spans="1:1" x14ac:dyDescent="0.25">
      <c r="A288" s="98" t="s">
        <v>770</v>
      </c>
    </row>
    <row r="289" spans="1:1" x14ac:dyDescent="0.25">
      <c r="A289" s="98" t="s">
        <v>771</v>
      </c>
    </row>
    <row r="290" spans="1:1" x14ac:dyDescent="0.25">
      <c r="A290" s="96" t="s">
        <v>772</v>
      </c>
    </row>
    <row r="291" spans="1:1" x14ac:dyDescent="0.25">
      <c r="A291" s="98" t="s">
        <v>773</v>
      </c>
    </row>
    <row r="292" spans="1:1" x14ac:dyDescent="0.25">
      <c r="A292" s="98" t="s">
        <v>774</v>
      </c>
    </row>
    <row r="293" spans="1:1" x14ac:dyDescent="0.25">
      <c r="A293" s="96" t="s">
        <v>775</v>
      </c>
    </row>
    <row r="294" spans="1:1" x14ac:dyDescent="0.25">
      <c r="A294" s="98" t="s">
        <v>776</v>
      </c>
    </row>
    <row r="295" spans="1:1" x14ac:dyDescent="0.25">
      <c r="A295" s="98" t="s">
        <v>777</v>
      </c>
    </row>
    <row r="296" spans="1:1" x14ac:dyDescent="0.25">
      <c r="A296" s="96" t="s">
        <v>778</v>
      </c>
    </row>
    <row r="297" spans="1:1" x14ac:dyDescent="0.25">
      <c r="A297" s="98" t="s">
        <v>779</v>
      </c>
    </row>
    <row r="298" spans="1:1" x14ac:dyDescent="0.25">
      <c r="A298" s="98" t="s">
        <v>780</v>
      </c>
    </row>
    <row r="299" spans="1:1" x14ac:dyDescent="0.25">
      <c r="A299" s="96" t="s">
        <v>781</v>
      </c>
    </row>
    <row r="300" spans="1:1" x14ac:dyDescent="0.25">
      <c r="A300" s="98" t="s">
        <v>782</v>
      </c>
    </row>
    <row r="301" spans="1:1" x14ac:dyDescent="0.25">
      <c r="A301" s="98" t="s">
        <v>783</v>
      </c>
    </row>
    <row r="302" spans="1:1" x14ac:dyDescent="0.25">
      <c r="A302" s="98" t="s">
        <v>784</v>
      </c>
    </row>
    <row r="303" spans="1:1" x14ac:dyDescent="0.25">
      <c r="A303" s="98" t="s">
        <v>785</v>
      </c>
    </row>
    <row r="304" spans="1:1" x14ac:dyDescent="0.25">
      <c r="A304" s="96" t="s">
        <v>786</v>
      </c>
    </row>
    <row r="305" spans="1:1" x14ac:dyDescent="0.25">
      <c r="A305" s="96" t="s">
        <v>787</v>
      </c>
    </row>
    <row r="306" spans="1:1" x14ac:dyDescent="0.25">
      <c r="A306" s="98" t="s">
        <v>788</v>
      </c>
    </row>
    <row r="307" spans="1:1" x14ac:dyDescent="0.25">
      <c r="A307" s="96" t="s">
        <v>789</v>
      </c>
    </row>
    <row r="308" spans="1:1" x14ac:dyDescent="0.25">
      <c r="A308" s="98" t="s">
        <v>790</v>
      </c>
    </row>
    <row r="309" spans="1:1" x14ac:dyDescent="0.25">
      <c r="A309" s="98" t="s">
        <v>791</v>
      </c>
    </row>
    <row r="310" spans="1:1" x14ac:dyDescent="0.25">
      <c r="A310" s="98" t="s">
        <v>792</v>
      </c>
    </row>
    <row r="311" spans="1:1" x14ac:dyDescent="0.25">
      <c r="A311" s="98" t="s">
        <v>793</v>
      </c>
    </row>
    <row r="312" spans="1:1" x14ac:dyDescent="0.25">
      <c r="A312" s="98" t="s">
        <v>794</v>
      </c>
    </row>
    <row r="313" spans="1:1" x14ac:dyDescent="0.25">
      <c r="A313" s="96" t="s">
        <v>795</v>
      </c>
    </row>
    <row r="314" spans="1:1" x14ac:dyDescent="0.25">
      <c r="A314" s="96" t="s">
        <v>796</v>
      </c>
    </row>
    <row r="315" spans="1:1" x14ac:dyDescent="0.25">
      <c r="A315" s="98" t="s">
        <v>797</v>
      </c>
    </row>
    <row r="316" spans="1:1" x14ac:dyDescent="0.25">
      <c r="A316" s="96" t="s">
        <v>798</v>
      </c>
    </row>
    <row r="317" spans="1:1" x14ac:dyDescent="0.25">
      <c r="A317" s="98" t="s">
        <v>799</v>
      </c>
    </row>
    <row r="318" spans="1:1" x14ac:dyDescent="0.25">
      <c r="A318" s="98" t="s">
        <v>800</v>
      </c>
    </row>
    <row r="319" spans="1:1" x14ac:dyDescent="0.25">
      <c r="A319" s="98" t="s">
        <v>801</v>
      </c>
    </row>
    <row r="320" spans="1:1" x14ac:dyDescent="0.25">
      <c r="A320" s="98" t="s">
        <v>802</v>
      </c>
    </row>
    <row r="321" spans="1:1" x14ac:dyDescent="0.25">
      <c r="A321" s="98" t="s">
        <v>803</v>
      </c>
    </row>
    <row r="322" spans="1:1" x14ac:dyDescent="0.25">
      <c r="A322" s="96" t="s">
        <v>804</v>
      </c>
    </row>
    <row r="323" spans="1:1" x14ac:dyDescent="0.25">
      <c r="A323" s="96" t="s">
        <v>805</v>
      </c>
    </row>
    <row r="324" spans="1:1" x14ac:dyDescent="0.25">
      <c r="A324" s="98" t="s">
        <v>806</v>
      </c>
    </row>
    <row r="325" spans="1:1" x14ac:dyDescent="0.25">
      <c r="A325" s="96" t="s">
        <v>807</v>
      </c>
    </row>
    <row r="326" spans="1:1" x14ac:dyDescent="0.25">
      <c r="A326" s="98" t="s">
        <v>808</v>
      </c>
    </row>
    <row r="327" spans="1:1" x14ac:dyDescent="0.25">
      <c r="A327" s="98" t="s">
        <v>809</v>
      </c>
    </row>
    <row r="328" spans="1:1" x14ac:dyDescent="0.25">
      <c r="A328" s="98" t="s">
        <v>810</v>
      </c>
    </row>
    <row r="329" spans="1:1" x14ac:dyDescent="0.25">
      <c r="A329" s="98" t="s">
        <v>811</v>
      </c>
    </row>
    <row r="330" spans="1:1" x14ac:dyDescent="0.25">
      <c r="A330" s="98" t="s">
        <v>812</v>
      </c>
    </row>
    <row r="331" spans="1:1" x14ac:dyDescent="0.25">
      <c r="A331" s="96" t="s">
        <v>813</v>
      </c>
    </row>
    <row r="332" spans="1:1" x14ac:dyDescent="0.25">
      <c r="A332" s="96" t="s">
        <v>814</v>
      </c>
    </row>
    <row r="333" spans="1:1" x14ac:dyDescent="0.25">
      <c r="A333" s="98" t="s">
        <v>815</v>
      </c>
    </row>
    <row r="334" spans="1:1" x14ac:dyDescent="0.25">
      <c r="A334" s="96" t="s">
        <v>816</v>
      </c>
    </row>
    <row r="335" spans="1:1" x14ac:dyDescent="0.25">
      <c r="A335" s="98" t="s">
        <v>817</v>
      </c>
    </row>
    <row r="336" spans="1:1" x14ac:dyDescent="0.25">
      <c r="A336" s="98" t="s">
        <v>818</v>
      </c>
    </row>
    <row r="337" spans="1:1" x14ac:dyDescent="0.25">
      <c r="A337" s="98" t="s">
        <v>819</v>
      </c>
    </row>
    <row r="338" spans="1:1" x14ac:dyDescent="0.25">
      <c r="A338" s="98" t="s">
        <v>820</v>
      </c>
    </row>
    <row r="339" spans="1:1" x14ac:dyDescent="0.25">
      <c r="A339" s="98" t="s">
        <v>821</v>
      </c>
    </row>
    <row r="340" spans="1:1" x14ac:dyDescent="0.25">
      <c r="A340" s="96" t="s">
        <v>822</v>
      </c>
    </row>
    <row r="341" spans="1:1" x14ac:dyDescent="0.25">
      <c r="A341" s="96" t="s">
        <v>823</v>
      </c>
    </row>
    <row r="342" spans="1:1" x14ac:dyDescent="0.25">
      <c r="A342" s="98" t="s">
        <v>824</v>
      </c>
    </row>
    <row r="343" spans="1:1" x14ac:dyDescent="0.25">
      <c r="A343" s="96" t="s">
        <v>825</v>
      </c>
    </row>
    <row r="344" spans="1:1" x14ac:dyDescent="0.25">
      <c r="A344" s="98" t="s">
        <v>826</v>
      </c>
    </row>
    <row r="345" spans="1:1" x14ac:dyDescent="0.25">
      <c r="A345" s="98" t="s">
        <v>827</v>
      </c>
    </row>
    <row r="346" spans="1:1" x14ac:dyDescent="0.25">
      <c r="A346" s="98" t="s">
        <v>828</v>
      </c>
    </row>
    <row r="347" spans="1:1" x14ac:dyDescent="0.25">
      <c r="A347" s="98" t="s">
        <v>829</v>
      </c>
    </row>
    <row r="348" spans="1:1" x14ac:dyDescent="0.25">
      <c r="A348" s="98" t="s">
        <v>830</v>
      </c>
    </row>
    <row r="349" spans="1:1" x14ac:dyDescent="0.25">
      <c r="A349" s="96" t="s">
        <v>831</v>
      </c>
    </row>
    <row r="350" spans="1:1" x14ac:dyDescent="0.25">
      <c r="A350" s="96" t="s">
        <v>832</v>
      </c>
    </row>
    <row r="351" spans="1:1" x14ac:dyDescent="0.25">
      <c r="A351" s="98" t="s">
        <v>833</v>
      </c>
    </row>
    <row r="352" spans="1:1" x14ac:dyDescent="0.25">
      <c r="A352" s="96" t="s">
        <v>834</v>
      </c>
    </row>
    <row r="353" spans="1:1" x14ac:dyDescent="0.25">
      <c r="A353" s="98" t="s">
        <v>835</v>
      </c>
    </row>
    <row r="354" spans="1:1" x14ac:dyDescent="0.25">
      <c r="A354" s="98" t="s">
        <v>836</v>
      </c>
    </row>
    <row r="355" spans="1:1" x14ac:dyDescent="0.25">
      <c r="A355" s="98" t="s">
        <v>837</v>
      </c>
    </row>
    <row r="356" spans="1:1" x14ac:dyDescent="0.25">
      <c r="A356" s="98" t="s">
        <v>838</v>
      </c>
    </row>
    <row r="357" spans="1:1" x14ac:dyDescent="0.25">
      <c r="A357" s="98" t="s">
        <v>839</v>
      </c>
    </row>
    <row r="358" spans="1:1" x14ac:dyDescent="0.25">
      <c r="A358" s="96" t="s">
        <v>840</v>
      </c>
    </row>
    <row r="359" spans="1:1" x14ac:dyDescent="0.25">
      <c r="A359" s="96" t="s">
        <v>841</v>
      </c>
    </row>
    <row r="360" spans="1:1" x14ac:dyDescent="0.25">
      <c r="A360" s="98" t="s">
        <v>842</v>
      </c>
    </row>
    <row r="361" spans="1:1" x14ac:dyDescent="0.25">
      <c r="A361" s="96" t="s">
        <v>843</v>
      </c>
    </row>
    <row r="362" spans="1:1" x14ac:dyDescent="0.25">
      <c r="A362" s="98" t="s">
        <v>844</v>
      </c>
    </row>
    <row r="363" spans="1:1" x14ac:dyDescent="0.25">
      <c r="A363" s="98" t="s">
        <v>845</v>
      </c>
    </row>
    <row r="364" spans="1:1" x14ac:dyDescent="0.25">
      <c r="A364" s="98" t="s">
        <v>846</v>
      </c>
    </row>
    <row r="365" spans="1:1" x14ac:dyDescent="0.25">
      <c r="A365" s="98" t="s">
        <v>847</v>
      </c>
    </row>
    <row r="366" spans="1:1" x14ac:dyDescent="0.25">
      <c r="A366" s="98" t="s">
        <v>848</v>
      </c>
    </row>
    <row r="367" spans="1:1" x14ac:dyDescent="0.25">
      <c r="A367" s="96" t="s">
        <v>849</v>
      </c>
    </row>
    <row r="368" spans="1:1" x14ac:dyDescent="0.25">
      <c r="A368" s="96" t="s">
        <v>850</v>
      </c>
    </row>
    <row r="369" spans="1:1" x14ac:dyDescent="0.25">
      <c r="A369" s="98" t="s">
        <v>851</v>
      </c>
    </row>
    <row r="370" spans="1:1" x14ac:dyDescent="0.25">
      <c r="A370" s="96" t="s">
        <v>852</v>
      </c>
    </row>
    <row r="371" spans="1:1" x14ac:dyDescent="0.25">
      <c r="A371" s="98" t="s">
        <v>853</v>
      </c>
    </row>
    <row r="372" spans="1:1" x14ac:dyDescent="0.25">
      <c r="A372" s="98" t="s">
        <v>854</v>
      </c>
    </row>
    <row r="373" spans="1:1" x14ac:dyDescent="0.25">
      <c r="A373" s="98" t="s">
        <v>855</v>
      </c>
    </row>
    <row r="374" spans="1:1" x14ac:dyDescent="0.25">
      <c r="A374" s="98" t="s">
        <v>856</v>
      </c>
    </row>
    <row r="375" spans="1:1" x14ac:dyDescent="0.25">
      <c r="A375" s="98" t="s">
        <v>857</v>
      </c>
    </row>
    <row r="376" spans="1:1" x14ac:dyDescent="0.25">
      <c r="A376" s="96" t="s">
        <v>858</v>
      </c>
    </row>
    <row r="377" spans="1:1" x14ac:dyDescent="0.25">
      <c r="A377" s="96" t="s">
        <v>859</v>
      </c>
    </row>
    <row r="378" spans="1:1" x14ac:dyDescent="0.25">
      <c r="A378" s="98" t="s">
        <v>860</v>
      </c>
    </row>
    <row r="379" spans="1:1" x14ac:dyDescent="0.25">
      <c r="A379" s="96" t="s">
        <v>861</v>
      </c>
    </row>
    <row r="380" spans="1:1" x14ac:dyDescent="0.25">
      <c r="A380" s="98" t="s">
        <v>862</v>
      </c>
    </row>
    <row r="381" spans="1:1" x14ac:dyDescent="0.25">
      <c r="A381" s="98" t="s">
        <v>863</v>
      </c>
    </row>
    <row r="382" spans="1:1" x14ac:dyDescent="0.25">
      <c r="A382" s="98" t="s">
        <v>864</v>
      </c>
    </row>
    <row r="383" spans="1:1" x14ac:dyDescent="0.25">
      <c r="A383" s="98" t="s">
        <v>865</v>
      </c>
    </row>
    <row r="384" spans="1:1" x14ac:dyDescent="0.25">
      <c r="A384" s="98" t="s">
        <v>866</v>
      </c>
    </row>
    <row r="385" spans="1:1" x14ac:dyDescent="0.25">
      <c r="A385" s="96" t="s">
        <v>867</v>
      </c>
    </row>
    <row r="386" spans="1:1" x14ac:dyDescent="0.25">
      <c r="A386" s="96" t="s">
        <v>868</v>
      </c>
    </row>
    <row r="387" spans="1:1" x14ac:dyDescent="0.25">
      <c r="A387" s="98" t="s">
        <v>869</v>
      </c>
    </row>
    <row r="388" spans="1:1" x14ac:dyDescent="0.25">
      <c r="A388" s="96" t="s">
        <v>870</v>
      </c>
    </row>
    <row r="389" spans="1:1" x14ac:dyDescent="0.25">
      <c r="A389" s="98" t="s">
        <v>871</v>
      </c>
    </row>
    <row r="390" spans="1:1" x14ac:dyDescent="0.25">
      <c r="A390" s="98" t="s">
        <v>872</v>
      </c>
    </row>
    <row r="391" spans="1:1" x14ac:dyDescent="0.25">
      <c r="A391" s="98" t="s">
        <v>873</v>
      </c>
    </row>
    <row r="392" spans="1:1" x14ac:dyDescent="0.25">
      <c r="A392" s="96" t="s">
        <v>874</v>
      </c>
    </row>
    <row r="393" spans="1:1" x14ac:dyDescent="0.25">
      <c r="A393" s="98" t="s">
        <v>875</v>
      </c>
    </row>
    <row r="394" spans="1:1" x14ac:dyDescent="0.25">
      <c r="A394" s="98" t="s">
        <v>876</v>
      </c>
    </row>
    <row r="395" spans="1:1" x14ac:dyDescent="0.25">
      <c r="A395" s="96" t="s">
        <v>877</v>
      </c>
    </row>
    <row r="396" spans="1:1" x14ac:dyDescent="0.25">
      <c r="A396" s="98" t="s">
        <v>878</v>
      </c>
    </row>
    <row r="397" spans="1:1" x14ac:dyDescent="0.25">
      <c r="A397" s="98" t="s">
        <v>879</v>
      </c>
    </row>
    <row r="398" spans="1:1" x14ac:dyDescent="0.25">
      <c r="A398" s="96" t="s">
        <v>880</v>
      </c>
    </row>
    <row r="399" spans="1:1" x14ac:dyDescent="0.25">
      <c r="A399" s="98" t="s">
        <v>881</v>
      </c>
    </row>
    <row r="400" spans="1:1" x14ac:dyDescent="0.25">
      <c r="A400" s="98" t="s">
        <v>882</v>
      </c>
    </row>
    <row r="401" spans="1:1" x14ac:dyDescent="0.25">
      <c r="A401" s="96" t="s">
        <v>883</v>
      </c>
    </row>
    <row r="402" spans="1:1" x14ac:dyDescent="0.25">
      <c r="A402" s="98" t="s">
        <v>884</v>
      </c>
    </row>
    <row r="403" spans="1:1" x14ac:dyDescent="0.25">
      <c r="A403" s="98" t="s">
        <v>885</v>
      </c>
    </row>
    <row r="404" spans="1:1" x14ac:dyDescent="0.25">
      <c r="A404" s="96" t="s">
        <v>886</v>
      </c>
    </row>
    <row r="405" spans="1:1" x14ac:dyDescent="0.25">
      <c r="A405" s="98" t="s">
        <v>887</v>
      </c>
    </row>
    <row r="406" spans="1:1" x14ac:dyDescent="0.25">
      <c r="A406" s="98" t="s">
        <v>888</v>
      </c>
    </row>
    <row r="407" spans="1:1" x14ac:dyDescent="0.25">
      <c r="A407" s="96" t="s">
        <v>889</v>
      </c>
    </row>
    <row r="408" spans="1:1" x14ac:dyDescent="0.25">
      <c r="A408" s="98" t="s">
        <v>890</v>
      </c>
    </row>
    <row r="409" spans="1:1" x14ac:dyDescent="0.25">
      <c r="A409" s="98" t="s">
        <v>891</v>
      </c>
    </row>
    <row r="410" spans="1:1" x14ac:dyDescent="0.25">
      <c r="A410" s="96" t="s">
        <v>892</v>
      </c>
    </row>
    <row r="411" spans="1:1" x14ac:dyDescent="0.25">
      <c r="A411" s="98" t="s">
        <v>893</v>
      </c>
    </row>
    <row r="412" spans="1:1" x14ac:dyDescent="0.25">
      <c r="A412" s="98" t="s">
        <v>894</v>
      </c>
    </row>
    <row r="413" spans="1:1" x14ac:dyDescent="0.25">
      <c r="A413" s="96" t="s">
        <v>895</v>
      </c>
    </row>
    <row r="414" spans="1:1" x14ac:dyDescent="0.25">
      <c r="A414" s="96" t="s">
        <v>896</v>
      </c>
    </row>
    <row r="415" spans="1:1" x14ac:dyDescent="0.25">
      <c r="A415" s="96" t="s">
        <v>897</v>
      </c>
    </row>
    <row r="416" spans="1:1" x14ac:dyDescent="0.25">
      <c r="A416" s="98" t="s">
        <v>898</v>
      </c>
    </row>
    <row r="417" spans="1:1" x14ac:dyDescent="0.25">
      <c r="A417" s="26" t="s">
        <v>899</v>
      </c>
    </row>
    <row r="418" spans="1:1" x14ac:dyDescent="0.25">
      <c r="A418" s="96" t="s">
        <v>900</v>
      </c>
    </row>
    <row r="419" spans="1:1" x14ac:dyDescent="0.25">
      <c r="A419" s="98" t="s">
        <v>901</v>
      </c>
    </row>
    <row r="420" spans="1:1" x14ac:dyDescent="0.25">
      <c r="A420" s="96" t="s">
        <v>902</v>
      </c>
    </row>
    <row r="421" spans="1:1" x14ac:dyDescent="0.25">
      <c r="A421" s="98" t="s">
        <v>903</v>
      </c>
    </row>
    <row r="422" spans="1:1" x14ac:dyDescent="0.25">
      <c r="A422" s="98" t="s">
        <v>904</v>
      </c>
    </row>
    <row r="423" spans="1:1" x14ac:dyDescent="0.25">
      <c r="A423" s="98" t="s">
        <v>905</v>
      </c>
    </row>
    <row r="424" spans="1:1" x14ac:dyDescent="0.25">
      <c r="A424" s="98" t="s">
        <v>906</v>
      </c>
    </row>
    <row r="425" spans="1:1" x14ac:dyDescent="0.25">
      <c r="A425" s="98" t="s">
        <v>907</v>
      </c>
    </row>
    <row r="426" spans="1:1" x14ac:dyDescent="0.25">
      <c r="A426" s="98" t="s">
        <v>908</v>
      </c>
    </row>
    <row r="427" spans="1:1" x14ac:dyDescent="0.25">
      <c r="A427" s="98" t="s">
        <v>909</v>
      </c>
    </row>
    <row r="428" spans="1:1" x14ac:dyDescent="0.25">
      <c r="A428" s="98" t="s">
        <v>910</v>
      </c>
    </row>
    <row r="429" spans="1:1" x14ac:dyDescent="0.25">
      <c r="A429" s="98" t="s">
        <v>911</v>
      </c>
    </row>
    <row r="430" spans="1:1" x14ac:dyDescent="0.25">
      <c r="A430" s="98" t="s">
        <v>912</v>
      </c>
    </row>
    <row r="431" spans="1:1" x14ac:dyDescent="0.25">
      <c r="A431" s="98" t="s">
        <v>913</v>
      </c>
    </row>
    <row r="432" spans="1:1" x14ac:dyDescent="0.25">
      <c r="A432" s="98" t="s">
        <v>914</v>
      </c>
    </row>
    <row r="433" spans="1:1" x14ac:dyDescent="0.25">
      <c r="A433" s="98" t="s">
        <v>915</v>
      </c>
    </row>
    <row r="434" spans="1:1" x14ac:dyDescent="0.25">
      <c r="A434" s="98" t="s">
        <v>916</v>
      </c>
    </row>
    <row r="435" spans="1:1" x14ac:dyDescent="0.25">
      <c r="A435" s="98" t="s">
        <v>917</v>
      </c>
    </row>
    <row r="436" spans="1:1" x14ac:dyDescent="0.25">
      <c r="A436" s="98" t="s">
        <v>918</v>
      </c>
    </row>
    <row r="437" spans="1:1" x14ac:dyDescent="0.25">
      <c r="A437" s="98" t="s">
        <v>919</v>
      </c>
    </row>
    <row r="438" spans="1:1" x14ac:dyDescent="0.25">
      <c r="A438" s="98" t="s">
        <v>920</v>
      </c>
    </row>
    <row r="439" spans="1:1" x14ac:dyDescent="0.25">
      <c r="A439" s="98" t="s">
        <v>921</v>
      </c>
    </row>
    <row r="440" spans="1:1" x14ac:dyDescent="0.25">
      <c r="A440" s="98" t="s">
        <v>922</v>
      </c>
    </row>
    <row r="441" spans="1:1" x14ac:dyDescent="0.25">
      <c r="A441" s="98" t="s">
        <v>923</v>
      </c>
    </row>
    <row r="442" spans="1:1" x14ac:dyDescent="0.25">
      <c r="A442" s="98" t="s">
        <v>924</v>
      </c>
    </row>
    <row r="443" spans="1:1" x14ac:dyDescent="0.25">
      <c r="A443" s="98" t="s">
        <v>925</v>
      </c>
    </row>
    <row r="444" spans="1:1" x14ac:dyDescent="0.25">
      <c r="A444" s="98" t="s">
        <v>926</v>
      </c>
    </row>
    <row r="445" spans="1:1" x14ac:dyDescent="0.25">
      <c r="A445" s="98" t="s">
        <v>927</v>
      </c>
    </row>
    <row r="446" spans="1:1" x14ac:dyDescent="0.25">
      <c r="A446" s="98" t="s">
        <v>928</v>
      </c>
    </row>
    <row r="447" spans="1:1" x14ac:dyDescent="0.25">
      <c r="A447" s="98" t="s">
        <v>929</v>
      </c>
    </row>
    <row r="448" spans="1:1" x14ac:dyDescent="0.25">
      <c r="A448" s="98" t="s">
        <v>930</v>
      </c>
    </row>
    <row r="449" spans="1:1" x14ac:dyDescent="0.25">
      <c r="A449" s="98" t="s">
        <v>931</v>
      </c>
    </row>
    <row r="450" spans="1:1" x14ac:dyDescent="0.25">
      <c r="A450" s="98" t="s">
        <v>932</v>
      </c>
    </row>
    <row r="451" spans="1:1" x14ac:dyDescent="0.25">
      <c r="A451" s="98" t="s">
        <v>933</v>
      </c>
    </row>
    <row r="452" spans="1:1" x14ac:dyDescent="0.25">
      <c r="A452" s="98" t="s">
        <v>934</v>
      </c>
    </row>
    <row r="453" spans="1:1" x14ac:dyDescent="0.25">
      <c r="A453" s="98" t="s">
        <v>935</v>
      </c>
    </row>
    <row r="454" spans="1:1" x14ac:dyDescent="0.25">
      <c r="A454" s="98" t="s">
        <v>936</v>
      </c>
    </row>
    <row r="455" spans="1:1" x14ac:dyDescent="0.25">
      <c r="A455" s="98" t="s">
        <v>937</v>
      </c>
    </row>
    <row r="456" spans="1:1" x14ac:dyDescent="0.25">
      <c r="A456" s="98" t="s">
        <v>938</v>
      </c>
    </row>
    <row r="457" spans="1:1" x14ac:dyDescent="0.25">
      <c r="A457" s="98" t="s">
        <v>939</v>
      </c>
    </row>
    <row r="458" spans="1:1" x14ac:dyDescent="0.25">
      <c r="A458" s="98" t="s">
        <v>940</v>
      </c>
    </row>
    <row r="459" spans="1:1" x14ac:dyDescent="0.25">
      <c r="A459" s="98" t="s">
        <v>941</v>
      </c>
    </row>
    <row r="460" spans="1:1" x14ac:dyDescent="0.25">
      <c r="A460" s="98" t="s">
        <v>942</v>
      </c>
    </row>
    <row r="461" spans="1:1" x14ac:dyDescent="0.25">
      <c r="A461" s="98" t="s">
        <v>943</v>
      </c>
    </row>
    <row r="462" spans="1:1" x14ac:dyDescent="0.25">
      <c r="A462" s="98" t="s">
        <v>944</v>
      </c>
    </row>
    <row r="463" spans="1:1" x14ac:dyDescent="0.25">
      <c r="A463" s="98" t="s">
        <v>945</v>
      </c>
    </row>
    <row r="464" spans="1:1" x14ac:dyDescent="0.25">
      <c r="A464" s="98" t="s">
        <v>946</v>
      </c>
    </row>
    <row r="465" spans="1:1" x14ac:dyDescent="0.25">
      <c r="A465" s="98" t="s">
        <v>947</v>
      </c>
    </row>
    <row r="466" spans="1:1" x14ac:dyDescent="0.25">
      <c r="A466" s="98" t="s">
        <v>948</v>
      </c>
    </row>
    <row r="467" spans="1:1" x14ac:dyDescent="0.25">
      <c r="A467" s="98" t="s">
        <v>949</v>
      </c>
    </row>
    <row r="468" spans="1:1" x14ac:dyDescent="0.25">
      <c r="A468" s="98" t="s">
        <v>950</v>
      </c>
    </row>
    <row r="469" spans="1:1" x14ac:dyDescent="0.25">
      <c r="A469" s="98" t="s">
        <v>951</v>
      </c>
    </row>
    <row r="470" spans="1:1" x14ac:dyDescent="0.25">
      <c r="A470" s="98" t="s">
        <v>952</v>
      </c>
    </row>
    <row r="471" spans="1:1" x14ac:dyDescent="0.25">
      <c r="A471" s="98" t="s">
        <v>953</v>
      </c>
    </row>
    <row r="472" spans="1:1" x14ac:dyDescent="0.25">
      <c r="A472" s="98" t="s">
        <v>954</v>
      </c>
    </row>
    <row r="473" spans="1:1" x14ac:dyDescent="0.25">
      <c r="A473" s="98" t="s">
        <v>955</v>
      </c>
    </row>
    <row r="474" spans="1:1" x14ac:dyDescent="0.25">
      <c r="A474" s="98" t="s">
        <v>956</v>
      </c>
    </row>
    <row r="475" spans="1:1" x14ac:dyDescent="0.25">
      <c r="A475" s="98" t="s">
        <v>957</v>
      </c>
    </row>
    <row r="476" spans="1:1" x14ac:dyDescent="0.25">
      <c r="A476" s="98" t="s">
        <v>958</v>
      </c>
    </row>
    <row r="477" spans="1:1" x14ac:dyDescent="0.25">
      <c r="A477" s="98" t="s">
        <v>959</v>
      </c>
    </row>
    <row r="478" spans="1:1" x14ac:dyDescent="0.25">
      <c r="A478" s="98" t="s">
        <v>960</v>
      </c>
    </row>
    <row r="479" spans="1:1" x14ac:dyDescent="0.25">
      <c r="A479" s="98" t="s">
        <v>961</v>
      </c>
    </row>
    <row r="480" spans="1:1" x14ac:dyDescent="0.25">
      <c r="A480" s="98" t="s">
        <v>962</v>
      </c>
    </row>
    <row r="481" spans="1:1" x14ac:dyDescent="0.25">
      <c r="A481" s="98" t="s">
        <v>963</v>
      </c>
    </row>
    <row r="482" spans="1:1" x14ac:dyDescent="0.25">
      <c r="A482" s="98" t="s">
        <v>964</v>
      </c>
    </row>
    <row r="483" spans="1:1" x14ac:dyDescent="0.25">
      <c r="A483" s="98" t="s">
        <v>965</v>
      </c>
    </row>
    <row r="484" spans="1:1" x14ac:dyDescent="0.25">
      <c r="A484" s="98" t="s">
        <v>966</v>
      </c>
    </row>
    <row r="485" spans="1:1" x14ac:dyDescent="0.25">
      <c r="A485" s="98" t="s">
        <v>967</v>
      </c>
    </row>
    <row r="486" spans="1:1" x14ac:dyDescent="0.25">
      <c r="A486" s="98" t="s">
        <v>968</v>
      </c>
    </row>
    <row r="487" spans="1:1" x14ac:dyDescent="0.25">
      <c r="A487" s="98" t="s">
        <v>969</v>
      </c>
    </row>
    <row r="488" spans="1:1" x14ac:dyDescent="0.25">
      <c r="A488" s="98" t="s">
        <v>970</v>
      </c>
    </row>
    <row r="489" spans="1:1" x14ac:dyDescent="0.25">
      <c r="A489" s="98" t="s">
        <v>971</v>
      </c>
    </row>
    <row r="490" spans="1:1" x14ac:dyDescent="0.25">
      <c r="A490" s="98" t="s">
        <v>972</v>
      </c>
    </row>
    <row r="491" spans="1:1" x14ac:dyDescent="0.25">
      <c r="A491" s="98" t="s">
        <v>973</v>
      </c>
    </row>
    <row r="492" spans="1:1" x14ac:dyDescent="0.25">
      <c r="A492" s="98" t="s">
        <v>974</v>
      </c>
    </row>
    <row r="493" spans="1:1" x14ac:dyDescent="0.25">
      <c r="A493" s="98" t="s">
        <v>975</v>
      </c>
    </row>
    <row r="494" spans="1:1" x14ac:dyDescent="0.25">
      <c r="A494" s="98" t="s">
        <v>976</v>
      </c>
    </row>
    <row r="495" spans="1:1" x14ac:dyDescent="0.25">
      <c r="A495" s="98" t="s">
        <v>977</v>
      </c>
    </row>
    <row r="496" spans="1:1" x14ac:dyDescent="0.25">
      <c r="A496" s="98" t="s">
        <v>978</v>
      </c>
    </row>
    <row r="497" spans="1:1" x14ac:dyDescent="0.25">
      <c r="A497" s="98" t="s">
        <v>979</v>
      </c>
    </row>
    <row r="498" spans="1:1" x14ac:dyDescent="0.25">
      <c r="A498" s="98" t="s">
        <v>980</v>
      </c>
    </row>
    <row r="499" spans="1:1" x14ac:dyDescent="0.25">
      <c r="A499" s="98" t="s">
        <v>981</v>
      </c>
    </row>
    <row r="500" spans="1:1" x14ac:dyDescent="0.25">
      <c r="A500" s="98" t="s">
        <v>982</v>
      </c>
    </row>
    <row r="501" spans="1:1" x14ac:dyDescent="0.25">
      <c r="A501" s="98" t="s">
        <v>983</v>
      </c>
    </row>
    <row r="502" spans="1:1" x14ac:dyDescent="0.25">
      <c r="A502" s="98" t="s">
        <v>984</v>
      </c>
    </row>
    <row r="503" spans="1:1" x14ac:dyDescent="0.25">
      <c r="A503" s="98" t="s">
        <v>985</v>
      </c>
    </row>
    <row r="504" spans="1:1" x14ac:dyDescent="0.25">
      <c r="A504" s="96" t="s">
        <v>986</v>
      </c>
    </row>
    <row r="505" spans="1:1" x14ac:dyDescent="0.25">
      <c r="A505" s="96" t="s">
        <v>987</v>
      </c>
    </row>
    <row r="506" spans="1:1" x14ac:dyDescent="0.25">
      <c r="A506" s="98" t="s">
        <v>988</v>
      </c>
    </row>
    <row r="507" spans="1:1" x14ac:dyDescent="0.25">
      <c r="A507" s="98" t="s">
        <v>989</v>
      </c>
    </row>
    <row r="508" spans="1:1" x14ac:dyDescent="0.25">
      <c r="A508" s="98" t="s">
        <v>990</v>
      </c>
    </row>
    <row r="509" spans="1:1" x14ac:dyDescent="0.25">
      <c r="A509" s="98" t="s">
        <v>991</v>
      </c>
    </row>
    <row r="510" spans="1:1" x14ac:dyDescent="0.25">
      <c r="A510" s="98" t="s">
        <v>992</v>
      </c>
    </row>
    <row r="511" spans="1:1" x14ac:dyDescent="0.25">
      <c r="A511" s="98" t="s">
        <v>993</v>
      </c>
    </row>
    <row r="512" spans="1:1" x14ac:dyDescent="0.25">
      <c r="A512" s="96" t="s">
        <v>994</v>
      </c>
    </row>
    <row r="513" spans="1:1" x14ac:dyDescent="0.25">
      <c r="A513" s="96" t="s">
        <v>995</v>
      </c>
    </row>
    <row r="514" spans="1:1" x14ac:dyDescent="0.25">
      <c r="A514" s="98" t="s">
        <v>996</v>
      </c>
    </row>
    <row r="515" spans="1:1" x14ac:dyDescent="0.25">
      <c r="A515" s="98" t="s">
        <v>997</v>
      </c>
    </row>
    <row r="516" spans="1:1" x14ac:dyDescent="0.25">
      <c r="A516" s="98" t="s">
        <v>998</v>
      </c>
    </row>
    <row r="517" spans="1:1" x14ac:dyDescent="0.25">
      <c r="A517" s="98" t="s">
        <v>999</v>
      </c>
    </row>
    <row r="518" spans="1:1" x14ac:dyDescent="0.25">
      <c r="A518" s="98" t="s">
        <v>1000</v>
      </c>
    </row>
    <row r="519" spans="1:1" x14ac:dyDescent="0.25">
      <c r="A519" s="98" t="s">
        <v>1001</v>
      </c>
    </row>
    <row r="520" spans="1:1" x14ac:dyDescent="0.25">
      <c r="A520" s="96" t="s">
        <v>1002</v>
      </c>
    </row>
    <row r="521" spans="1:1" x14ac:dyDescent="0.25">
      <c r="A521" s="96" t="s">
        <v>1003</v>
      </c>
    </row>
    <row r="522" spans="1:1" x14ac:dyDescent="0.25">
      <c r="A522" s="98" t="s">
        <v>1004</v>
      </c>
    </row>
    <row r="523" spans="1:1" x14ac:dyDescent="0.25">
      <c r="A523" s="98" t="s">
        <v>1005</v>
      </c>
    </row>
    <row r="524" spans="1:1" x14ac:dyDescent="0.25">
      <c r="A524" s="98" t="s">
        <v>1006</v>
      </c>
    </row>
    <row r="525" spans="1:1" x14ac:dyDescent="0.25">
      <c r="A525" s="98" t="s">
        <v>1007</v>
      </c>
    </row>
    <row r="526" spans="1:1" x14ac:dyDescent="0.25">
      <c r="A526" s="98" t="s">
        <v>1008</v>
      </c>
    </row>
    <row r="527" spans="1:1" x14ac:dyDescent="0.25">
      <c r="A527" s="98" t="s">
        <v>1009</v>
      </c>
    </row>
    <row r="528" spans="1:1" x14ac:dyDescent="0.25">
      <c r="A528" s="96" t="s">
        <v>1010</v>
      </c>
    </row>
    <row r="529" spans="1:1" x14ac:dyDescent="0.25">
      <c r="A529" s="96" t="s">
        <v>1011</v>
      </c>
    </row>
    <row r="530" spans="1:1" x14ac:dyDescent="0.25">
      <c r="A530" s="98" t="s">
        <v>1012</v>
      </c>
    </row>
    <row r="531" spans="1:1" x14ac:dyDescent="0.25">
      <c r="A531" s="98" t="s">
        <v>1013</v>
      </c>
    </row>
    <row r="532" spans="1:1" x14ac:dyDescent="0.25">
      <c r="A532" s="98" t="s">
        <v>1014</v>
      </c>
    </row>
    <row r="533" spans="1:1" x14ac:dyDescent="0.25">
      <c r="A533" s="98" t="s">
        <v>1015</v>
      </c>
    </row>
    <row r="534" spans="1:1" x14ac:dyDescent="0.25">
      <c r="A534" s="98" t="s">
        <v>1016</v>
      </c>
    </row>
    <row r="535" spans="1:1" x14ac:dyDescent="0.25">
      <c r="A535" s="98" t="s">
        <v>1017</v>
      </c>
    </row>
    <row r="536" spans="1:1" x14ac:dyDescent="0.25">
      <c r="A536" s="96" t="s">
        <v>1018</v>
      </c>
    </row>
    <row r="537" spans="1:1" x14ac:dyDescent="0.25">
      <c r="A537" s="96" t="s">
        <v>1019</v>
      </c>
    </row>
    <row r="538" spans="1:1" x14ac:dyDescent="0.25">
      <c r="A538" s="98" t="s">
        <v>1020</v>
      </c>
    </row>
    <row r="539" spans="1:1" x14ac:dyDescent="0.25">
      <c r="A539" s="98" t="s">
        <v>1021</v>
      </c>
    </row>
    <row r="540" spans="1:1" x14ac:dyDescent="0.25">
      <c r="A540" s="98" t="s">
        <v>1022</v>
      </c>
    </row>
    <row r="541" spans="1:1" x14ac:dyDescent="0.25">
      <c r="A541" s="98" t="s">
        <v>1023</v>
      </c>
    </row>
    <row r="542" spans="1:1" x14ac:dyDescent="0.25">
      <c r="A542" s="98" t="s">
        <v>1024</v>
      </c>
    </row>
    <row r="543" spans="1:1" x14ac:dyDescent="0.25">
      <c r="A543" s="98" t="s">
        <v>1025</v>
      </c>
    </row>
    <row r="544" spans="1:1" x14ac:dyDescent="0.25">
      <c r="A544" s="96" t="s">
        <v>1026</v>
      </c>
    </row>
    <row r="545" spans="1:1" x14ac:dyDescent="0.25">
      <c r="A545" s="96" t="s">
        <v>1027</v>
      </c>
    </row>
    <row r="546" spans="1:1" x14ac:dyDescent="0.25">
      <c r="A546" s="98" t="s">
        <v>1028</v>
      </c>
    </row>
    <row r="547" spans="1:1" x14ac:dyDescent="0.25">
      <c r="A547" s="98" t="s">
        <v>1029</v>
      </c>
    </row>
    <row r="548" spans="1:1" x14ac:dyDescent="0.25">
      <c r="A548" s="98" t="s">
        <v>1030</v>
      </c>
    </row>
    <row r="549" spans="1:1" x14ac:dyDescent="0.25">
      <c r="A549" s="98" t="s">
        <v>1031</v>
      </c>
    </row>
    <row r="550" spans="1:1" x14ac:dyDescent="0.25">
      <c r="A550" s="98" t="s">
        <v>1032</v>
      </c>
    </row>
    <row r="551" spans="1:1" x14ac:dyDescent="0.25">
      <c r="A551" s="98" t="s">
        <v>1033</v>
      </c>
    </row>
    <row r="552" spans="1:1" x14ac:dyDescent="0.25">
      <c r="A552" s="96" t="s">
        <v>1034</v>
      </c>
    </row>
    <row r="553" spans="1:1" x14ac:dyDescent="0.25">
      <c r="A553" s="96" t="s">
        <v>1035</v>
      </c>
    </row>
    <row r="554" spans="1:1" x14ac:dyDescent="0.25">
      <c r="A554" s="98" t="s">
        <v>1036</v>
      </c>
    </row>
    <row r="555" spans="1:1" x14ac:dyDescent="0.25">
      <c r="A555" s="98" t="s">
        <v>1037</v>
      </c>
    </row>
    <row r="556" spans="1:1" x14ac:dyDescent="0.25">
      <c r="A556" s="98" t="s">
        <v>1038</v>
      </c>
    </row>
    <row r="557" spans="1:1" x14ac:dyDescent="0.25">
      <c r="A557" s="98" t="s">
        <v>1039</v>
      </c>
    </row>
    <row r="558" spans="1:1" x14ac:dyDescent="0.25">
      <c r="A558" s="98" t="s">
        <v>1040</v>
      </c>
    </row>
    <row r="559" spans="1:1" x14ac:dyDescent="0.25">
      <c r="A559" s="98" t="s">
        <v>1041</v>
      </c>
    </row>
    <row r="560" spans="1:1" x14ac:dyDescent="0.25">
      <c r="A560" s="96" t="s">
        <v>1042</v>
      </c>
    </row>
    <row r="561" spans="1:1" x14ac:dyDescent="0.25">
      <c r="A561" s="96" t="s">
        <v>1043</v>
      </c>
    </row>
    <row r="562" spans="1:1" x14ac:dyDescent="0.25">
      <c r="A562" s="98" t="s">
        <v>1044</v>
      </c>
    </row>
    <row r="563" spans="1:1" x14ac:dyDescent="0.25">
      <c r="A563" s="98" t="s">
        <v>1045</v>
      </c>
    </row>
    <row r="564" spans="1:1" x14ac:dyDescent="0.25">
      <c r="A564" s="98" t="s">
        <v>1046</v>
      </c>
    </row>
    <row r="565" spans="1:1" x14ac:dyDescent="0.25">
      <c r="A565" s="98" t="s">
        <v>1047</v>
      </c>
    </row>
    <row r="566" spans="1:1" x14ac:dyDescent="0.25">
      <c r="A566" s="98" t="s">
        <v>1048</v>
      </c>
    </row>
    <row r="567" spans="1:1" x14ac:dyDescent="0.25">
      <c r="A567" s="98" t="s">
        <v>1049</v>
      </c>
    </row>
    <row r="568" spans="1:1" x14ac:dyDescent="0.25">
      <c r="A568" s="96" t="s">
        <v>1050</v>
      </c>
    </row>
    <row r="569" spans="1:1" x14ac:dyDescent="0.25">
      <c r="A569" s="96" t="s">
        <v>1051</v>
      </c>
    </row>
    <row r="570" spans="1:1" x14ac:dyDescent="0.25">
      <c r="A570" s="98" t="s">
        <v>1052</v>
      </c>
    </row>
    <row r="571" spans="1:1" x14ac:dyDescent="0.25">
      <c r="A571" s="98" t="s">
        <v>1053</v>
      </c>
    </row>
    <row r="572" spans="1:1" x14ac:dyDescent="0.25">
      <c r="A572" s="98" t="s">
        <v>1054</v>
      </c>
    </row>
    <row r="573" spans="1:1" x14ac:dyDescent="0.25">
      <c r="A573" s="98" t="s">
        <v>1055</v>
      </c>
    </row>
    <row r="574" spans="1:1" x14ac:dyDescent="0.25">
      <c r="A574" s="98" t="s">
        <v>1056</v>
      </c>
    </row>
    <row r="575" spans="1:1" x14ac:dyDescent="0.25">
      <c r="A575" s="98" t="s">
        <v>1057</v>
      </c>
    </row>
    <row r="576" spans="1:1" x14ac:dyDescent="0.25">
      <c r="A576" s="96" t="s">
        <v>1058</v>
      </c>
    </row>
    <row r="577" spans="1:1" x14ac:dyDescent="0.25">
      <c r="A577" s="96" t="s">
        <v>1059</v>
      </c>
    </row>
    <row r="578" spans="1:1" x14ac:dyDescent="0.25">
      <c r="A578" s="98" t="s">
        <v>1060</v>
      </c>
    </row>
    <row r="579" spans="1:1" x14ac:dyDescent="0.25">
      <c r="A579" s="98" t="s">
        <v>1061</v>
      </c>
    </row>
    <row r="580" spans="1:1" x14ac:dyDescent="0.25">
      <c r="A580" s="98" t="s">
        <v>1062</v>
      </c>
    </row>
    <row r="581" spans="1:1" x14ac:dyDescent="0.25">
      <c r="A581" s="98" t="s">
        <v>1063</v>
      </c>
    </row>
    <row r="582" spans="1:1" x14ac:dyDescent="0.25">
      <c r="A582" s="98" t="s">
        <v>1064</v>
      </c>
    </row>
    <row r="583" spans="1:1" x14ac:dyDescent="0.25">
      <c r="A583" s="98" t="s">
        <v>1065</v>
      </c>
    </row>
    <row r="584" spans="1:1" x14ac:dyDescent="0.25">
      <c r="A584" s="98" t="s">
        <v>1066</v>
      </c>
    </row>
    <row r="585" spans="1:1" x14ac:dyDescent="0.25">
      <c r="A585" s="98" t="s">
        <v>1067</v>
      </c>
    </row>
    <row r="586" spans="1:1" x14ac:dyDescent="0.25">
      <c r="A586" s="98" t="s">
        <v>1068</v>
      </c>
    </row>
    <row r="587" spans="1:1" x14ac:dyDescent="0.25">
      <c r="A587" s="98" t="s">
        <v>1069</v>
      </c>
    </row>
    <row r="588" spans="1:1" x14ac:dyDescent="0.25">
      <c r="A588" s="98" t="s">
        <v>1070</v>
      </c>
    </row>
    <row r="589" spans="1:1" x14ac:dyDescent="0.25">
      <c r="A589" s="98" t="s">
        <v>1071</v>
      </c>
    </row>
    <row r="590" spans="1:1" x14ac:dyDescent="0.25">
      <c r="A590" s="98" t="s">
        <v>1072</v>
      </c>
    </row>
    <row r="591" spans="1:1" x14ac:dyDescent="0.25">
      <c r="A591" s="98" t="s">
        <v>1073</v>
      </c>
    </row>
    <row r="592" spans="1:1" x14ac:dyDescent="0.25">
      <c r="A592" s="98" t="s">
        <v>1074</v>
      </c>
    </row>
    <row r="593" spans="1:1" x14ac:dyDescent="0.25">
      <c r="A593" s="98" t="s">
        <v>1075</v>
      </c>
    </row>
    <row r="594" spans="1:1" x14ac:dyDescent="0.25">
      <c r="A594" s="98" t="s">
        <v>1076</v>
      </c>
    </row>
    <row r="595" spans="1:1" x14ac:dyDescent="0.25">
      <c r="A595" s="98" t="s">
        <v>1077</v>
      </c>
    </row>
    <row r="596" spans="1:1" x14ac:dyDescent="0.25">
      <c r="A596" s="98" t="s">
        <v>1078</v>
      </c>
    </row>
    <row r="597" spans="1:1" x14ac:dyDescent="0.25">
      <c r="A597" s="98" t="s">
        <v>1079</v>
      </c>
    </row>
    <row r="598" spans="1:1" x14ac:dyDescent="0.25">
      <c r="A598" s="98" t="s">
        <v>1080</v>
      </c>
    </row>
    <row r="599" spans="1:1" x14ac:dyDescent="0.25">
      <c r="A599" s="98" t="s">
        <v>1081</v>
      </c>
    </row>
    <row r="600" spans="1:1" x14ac:dyDescent="0.25">
      <c r="A600" s="98" t="s">
        <v>1082</v>
      </c>
    </row>
    <row r="601" spans="1:1" x14ac:dyDescent="0.25">
      <c r="A601" s="98" t="s">
        <v>1083</v>
      </c>
    </row>
    <row r="602" spans="1:1" x14ac:dyDescent="0.25">
      <c r="A602" s="98" t="s">
        <v>1084</v>
      </c>
    </row>
    <row r="603" spans="1:1" x14ac:dyDescent="0.25">
      <c r="A603" s="98" t="s">
        <v>1085</v>
      </c>
    </row>
    <row r="604" spans="1:1" x14ac:dyDescent="0.25">
      <c r="A604" s="98" t="s">
        <v>1086</v>
      </c>
    </row>
    <row r="605" spans="1:1" x14ac:dyDescent="0.25">
      <c r="A605" s="98" t="s">
        <v>1087</v>
      </c>
    </row>
    <row r="606" spans="1:1" x14ac:dyDescent="0.25">
      <c r="A606" s="98" t="s">
        <v>1088</v>
      </c>
    </row>
    <row r="607" spans="1:1" x14ac:dyDescent="0.25">
      <c r="A607" s="98" t="s">
        <v>1089</v>
      </c>
    </row>
    <row r="608" spans="1:1" x14ac:dyDescent="0.25">
      <c r="A608" s="98" t="s">
        <v>1090</v>
      </c>
    </row>
    <row r="609" spans="1:1" x14ac:dyDescent="0.25">
      <c r="A609" s="98" t="s">
        <v>1091</v>
      </c>
    </row>
    <row r="610" spans="1:1" x14ac:dyDescent="0.25">
      <c r="A610" s="98" t="s">
        <v>1092</v>
      </c>
    </row>
    <row r="611" spans="1:1" x14ac:dyDescent="0.25">
      <c r="A611" s="98" t="s">
        <v>1093</v>
      </c>
    </row>
    <row r="612" spans="1:1" x14ac:dyDescent="0.25">
      <c r="A612" s="98" t="s">
        <v>1094</v>
      </c>
    </row>
    <row r="613" spans="1:1" x14ac:dyDescent="0.25">
      <c r="A613" s="98" t="s">
        <v>1095</v>
      </c>
    </row>
    <row r="614" spans="1:1" x14ac:dyDescent="0.25">
      <c r="A614" s="98" t="s">
        <v>1096</v>
      </c>
    </row>
    <row r="615" spans="1:1" x14ac:dyDescent="0.25">
      <c r="A615" s="98" t="s">
        <v>1097</v>
      </c>
    </row>
    <row r="616" spans="1:1" x14ac:dyDescent="0.25">
      <c r="A616" s="98" t="s">
        <v>1098</v>
      </c>
    </row>
    <row r="617" spans="1:1" x14ac:dyDescent="0.25">
      <c r="A617" s="98" t="s">
        <v>1099</v>
      </c>
    </row>
    <row r="618" spans="1:1" x14ac:dyDescent="0.25">
      <c r="A618" s="98" t="s">
        <v>1100</v>
      </c>
    </row>
    <row r="619" spans="1:1" x14ac:dyDescent="0.25">
      <c r="A619" s="98" t="s">
        <v>1101</v>
      </c>
    </row>
    <row r="620" spans="1:1" x14ac:dyDescent="0.25">
      <c r="A620" s="98" t="s">
        <v>1102</v>
      </c>
    </row>
    <row r="621" spans="1:1" x14ac:dyDescent="0.25">
      <c r="A621" s="98" t="s">
        <v>1103</v>
      </c>
    </row>
    <row r="622" spans="1:1" x14ac:dyDescent="0.25">
      <c r="A622" s="98" t="s">
        <v>1104</v>
      </c>
    </row>
    <row r="623" spans="1:1" x14ac:dyDescent="0.25">
      <c r="A623" s="98" t="s">
        <v>1105</v>
      </c>
    </row>
    <row r="624" spans="1:1" x14ac:dyDescent="0.25">
      <c r="A624" s="98" t="s">
        <v>1106</v>
      </c>
    </row>
    <row r="625" spans="1:1" x14ac:dyDescent="0.25">
      <c r="A625" s="98" t="s">
        <v>1107</v>
      </c>
    </row>
    <row r="626" spans="1:1" x14ac:dyDescent="0.25">
      <c r="A626" s="98" t="s">
        <v>1108</v>
      </c>
    </row>
    <row r="627" spans="1:1" x14ac:dyDescent="0.25">
      <c r="A627" s="98" t="s">
        <v>1109</v>
      </c>
    </row>
    <row r="628" spans="1:1" x14ac:dyDescent="0.25">
      <c r="A628" s="98" t="s">
        <v>1110</v>
      </c>
    </row>
    <row r="629" spans="1:1" x14ac:dyDescent="0.25">
      <c r="A629" s="98" t="s">
        <v>1111</v>
      </c>
    </row>
    <row r="630" spans="1:1" x14ac:dyDescent="0.25">
      <c r="A630" s="98" t="s">
        <v>1112</v>
      </c>
    </row>
    <row r="631" spans="1:1" x14ac:dyDescent="0.25">
      <c r="A631" s="98" t="s">
        <v>1113</v>
      </c>
    </row>
    <row r="632" spans="1:1" x14ac:dyDescent="0.25">
      <c r="A632" s="98" t="s">
        <v>1114</v>
      </c>
    </row>
    <row r="633" spans="1:1" x14ac:dyDescent="0.25">
      <c r="A633" s="98" t="s">
        <v>1115</v>
      </c>
    </row>
    <row r="634" spans="1:1" x14ac:dyDescent="0.25">
      <c r="A634" s="98" t="s">
        <v>1116</v>
      </c>
    </row>
    <row r="635" spans="1:1" x14ac:dyDescent="0.25">
      <c r="A635" s="98" t="s">
        <v>1117</v>
      </c>
    </row>
    <row r="636" spans="1:1" x14ac:dyDescent="0.25">
      <c r="A636" s="98" t="s">
        <v>1118</v>
      </c>
    </row>
    <row r="637" spans="1:1" x14ac:dyDescent="0.25">
      <c r="A637" s="98" t="s">
        <v>1119</v>
      </c>
    </row>
    <row r="638" spans="1:1" x14ac:dyDescent="0.25">
      <c r="A638" s="98" t="s">
        <v>1120</v>
      </c>
    </row>
    <row r="639" spans="1:1" x14ac:dyDescent="0.25">
      <c r="A639" s="98" t="s">
        <v>1121</v>
      </c>
    </row>
    <row r="640" spans="1:1" x14ac:dyDescent="0.25">
      <c r="A640" s="98" t="s">
        <v>1122</v>
      </c>
    </row>
    <row r="641" spans="1:1" x14ac:dyDescent="0.25">
      <c r="A641" s="98" t="s">
        <v>1123</v>
      </c>
    </row>
    <row r="642" spans="1:1" x14ac:dyDescent="0.25">
      <c r="A642" s="98" t="s">
        <v>1124</v>
      </c>
    </row>
    <row r="643" spans="1:1" x14ac:dyDescent="0.25">
      <c r="A643" s="98" t="s">
        <v>1125</v>
      </c>
    </row>
    <row r="644" spans="1:1" x14ac:dyDescent="0.25">
      <c r="A644" s="98" t="s">
        <v>1126</v>
      </c>
    </row>
    <row r="645" spans="1:1" x14ac:dyDescent="0.25">
      <c r="A645" s="98" t="s">
        <v>1127</v>
      </c>
    </row>
    <row r="646" spans="1:1" x14ac:dyDescent="0.25">
      <c r="A646" s="98" t="s">
        <v>1128</v>
      </c>
    </row>
    <row r="647" spans="1:1" x14ac:dyDescent="0.25">
      <c r="A647" s="98" t="s">
        <v>1129</v>
      </c>
    </row>
    <row r="648" spans="1:1" x14ac:dyDescent="0.25">
      <c r="A648" s="98" t="s">
        <v>1130</v>
      </c>
    </row>
    <row r="649" spans="1:1" x14ac:dyDescent="0.25">
      <c r="A649" s="98" t="s">
        <v>1131</v>
      </c>
    </row>
    <row r="650" spans="1:1" x14ac:dyDescent="0.25">
      <c r="A650" s="98" t="s">
        <v>1132</v>
      </c>
    </row>
    <row r="651" spans="1:1" x14ac:dyDescent="0.25">
      <c r="A651" s="98" t="s">
        <v>1133</v>
      </c>
    </row>
    <row r="652" spans="1:1" x14ac:dyDescent="0.25">
      <c r="A652" s="98" t="s">
        <v>1134</v>
      </c>
    </row>
    <row r="653" spans="1:1" x14ac:dyDescent="0.25">
      <c r="A653" s="98" t="s">
        <v>1135</v>
      </c>
    </row>
    <row r="654" spans="1:1" x14ac:dyDescent="0.25">
      <c r="A654" s="98" t="s">
        <v>1136</v>
      </c>
    </row>
    <row r="655" spans="1:1" x14ac:dyDescent="0.25">
      <c r="A655" s="98" t="s">
        <v>1137</v>
      </c>
    </row>
    <row r="656" spans="1:1" x14ac:dyDescent="0.25">
      <c r="A656" s="98" t="s">
        <v>1138</v>
      </c>
    </row>
    <row r="657" spans="1:1" x14ac:dyDescent="0.25">
      <c r="A657" s="98" t="s">
        <v>1139</v>
      </c>
    </row>
    <row r="658" spans="1:1" x14ac:dyDescent="0.25">
      <c r="A658" s="98" t="s">
        <v>1140</v>
      </c>
    </row>
    <row r="659" spans="1:1" x14ac:dyDescent="0.25">
      <c r="A659" s="98" t="s">
        <v>1141</v>
      </c>
    </row>
    <row r="660" spans="1:1" x14ac:dyDescent="0.25">
      <c r="A660" s="98" t="s">
        <v>1142</v>
      </c>
    </row>
    <row r="661" spans="1:1" x14ac:dyDescent="0.25">
      <c r="A661" s="98" t="s">
        <v>1143</v>
      </c>
    </row>
    <row r="662" spans="1:1" x14ac:dyDescent="0.25">
      <c r="A662" s="98" t="s">
        <v>1144</v>
      </c>
    </row>
    <row r="663" spans="1:1" x14ac:dyDescent="0.25">
      <c r="A663" s="98" t="s">
        <v>1145</v>
      </c>
    </row>
    <row r="664" spans="1:1" x14ac:dyDescent="0.25">
      <c r="A664" s="98" t="s">
        <v>1146</v>
      </c>
    </row>
    <row r="665" spans="1:1" x14ac:dyDescent="0.25">
      <c r="A665" s="98" t="s">
        <v>1147</v>
      </c>
    </row>
    <row r="666" spans="1:1" x14ac:dyDescent="0.25">
      <c r="A666" s="98" t="s">
        <v>1148</v>
      </c>
    </row>
    <row r="667" spans="1:1" x14ac:dyDescent="0.25">
      <c r="A667" s="98" t="s">
        <v>1149</v>
      </c>
    </row>
    <row r="668" spans="1:1" x14ac:dyDescent="0.25">
      <c r="A668" s="98" t="s">
        <v>1150</v>
      </c>
    </row>
    <row r="669" spans="1:1" x14ac:dyDescent="0.25">
      <c r="A669" s="98" t="s">
        <v>1151</v>
      </c>
    </row>
    <row r="670" spans="1:1" x14ac:dyDescent="0.25">
      <c r="A670" s="98" t="s">
        <v>1152</v>
      </c>
    </row>
    <row r="671" spans="1:1" x14ac:dyDescent="0.25">
      <c r="A671" s="98" t="s">
        <v>1153</v>
      </c>
    </row>
    <row r="672" spans="1:1" x14ac:dyDescent="0.25">
      <c r="A672" s="98" t="s">
        <v>1154</v>
      </c>
    </row>
    <row r="673" spans="1:1" x14ac:dyDescent="0.25">
      <c r="A673" s="98" t="s">
        <v>1155</v>
      </c>
    </row>
    <row r="674" spans="1:1" x14ac:dyDescent="0.25">
      <c r="A674" s="98" t="s">
        <v>1156</v>
      </c>
    </row>
    <row r="675" spans="1:1" x14ac:dyDescent="0.25">
      <c r="A675" s="98" t="s">
        <v>1157</v>
      </c>
    </row>
    <row r="676" spans="1:1" x14ac:dyDescent="0.25">
      <c r="A676" s="98" t="s">
        <v>1158</v>
      </c>
    </row>
    <row r="677" spans="1:1" x14ac:dyDescent="0.25">
      <c r="A677" s="98" t="s">
        <v>1159</v>
      </c>
    </row>
    <row r="678" spans="1:1" x14ac:dyDescent="0.25">
      <c r="A678" s="98" t="s">
        <v>1160</v>
      </c>
    </row>
    <row r="679" spans="1:1" x14ac:dyDescent="0.25">
      <c r="A679" s="98" t="s">
        <v>1161</v>
      </c>
    </row>
    <row r="680" spans="1:1" x14ac:dyDescent="0.25">
      <c r="A680" s="98" t="s">
        <v>1162</v>
      </c>
    </row>
    <row r="681" spans="1:1" x14ac:dyDescent="0.25">
      <c r="A681" s="98" t="s">
        <v>1163</v>
      </c>
    </row>
    <row r="682" spans="1:1" x14ac:dyDescent="0.25">
      <c r="A682" s="96" t="s">
        <v>1164</v>
      </c>
    </row>
    <row r="683" spans="1:1" x14ac:dyDescent="0.25">
      <c r="A683" s="96" t="s">
        <v>1165</v>
      </c>
    </row>
    <row r="684" spans="1:1" x14ac:dyDescent="0.25">
      <c r="A684" s="98" t="s">
        <v>1166</v>
      </c>
    </row>
    <row r="685" spans="1:1" x14ac:dyDescent="0.25">
      <c r="A685" s="98" t="s">
        <v>1167</v>
      </c>
    </row>
    <row r="686" spans="1:1" x14ac:dyDescent="0.25">
      <c r="A686" s="98" t="s">
        <v>1168</v>
      </c>
    </row>
    <row r="687" spans="1:1" x14ac:dyDescent="0.25">
      <c r="A687" s="98" t="s">
        <v>1169</v>
      </c>
    </row>
    <row r="688" spans="1:1" x14ac:dyDescent="0.25">
      <c r="A688" s="98" t="s">
        <v>1170</v>
      </c>
    </row>
    <row r="689" spans="1:1" x14ac:dyDescent="0.25">
      <c r="A689" s="98" t="s">
        <v>1171</v>
      </c>
    </row>
    <row r="690" spans="1:1" x14ac:dyDescent="0.25">
      <c r="A690" s="96" t="s">
        <v>1172</v>
      </c>
    </row>
    <row r="691" spans="1:1" x14ac:dyDescent="0.25">
      <c r="A691" s="96" t="s">
        <v>1173</v>
      </c>
    </row>
    <row r="692" spans="1:1" x14ac:dyDescent="0.25">
      <c r="A692" s="98" t="s">
        <v>1174</v>
      </c>
    </row>
    <row r="693" spans="1:1" x14ac:dyDescent="0.25">
      <c r="A693" s="98" t="s">
        <v>1175</v>
      </c>
    </row>
    <row r="694" spans="1:1" x14ac:dyDescent="0.25">
      <c r="A694" s="98" t="s">
        <v>1176</v>
      </c>
    </row>
    <row r="695" spans="1:1" x14ac:dyDescent="0.25">
      <c r="A695" s="98" t="s">
        <v>1177</v>
      </c>
    </row>
    <row r="696" spans="1:1" x14ac:dyDescent="0.25">
      <c r="A696" s="98" t="s">
        <v>1178</v>
      </c>
    </row>
    <row r="697" spans="1:1" x14ac:dyDescent="0.25">
      <c r="A697" s="98" t="s">
        <v>1179</v>
      </c>
    </row>
    <row r="698" spans="1:1" x14ac:dyDescent="0.25">
      <c r="A698" s="96" t="s">
        <v>1180</v>
      </c>
    </row>
    <row r="699" spans="1:1" x14ac:dyDescent="0.25">
      <c r="A699" s="96" t="s">
        <v>1181</v>
      </c>
    </row>
    <row r="700" spans="1:1" x14ac:dyDescent="0.25">
      <c r="A700" s="98" t="s">
        <v>1182</v>
      </c>
    </row>
    <row r="701" spans="1:1" x14ac:dyDescent="0.25">
      <c r="A701" s="98" t="s">
        <v>1183</v>
      </c>
    </row>
    <row r="702" spans="1:1" x14ac:dyDescent="0.25">
      <c r="A702" s="98" t="s">
        <v>1184</v>
      </c>
    </row>
    <row r="703" spans="1:1" x14ac:dyDescent="0.25">
      <c r="A703" s="98" t="s">
        <v>1185</v>
      </c>
    </row>
    <row r="704" spans="1:1" x14ac:dyDescent="0.25">
      <c r="A704" s="98" t="s">
        <v>1186</v>
      </c>
    </row>
    <row r="705" spans="1:1" x14ac:dyDescent="0.25">
      <c r="A705" s="98" t="s">
        <v>1187</v>
      </c>
    </row>
    <row r="706" spans="1:1" x14ac:dyDescent="0.25">
      <c r="A706" s="96" t="s">
        <v>1188</v>
      </c>
    </row>
    <row r="707" spans="1:1" x14ac:dyDescent="0.25">
      <c r="A707" s="96" t="s">
        <v>1189</v>
      </c>
    </row>
    <row r="708" spans="1:1" x14ac:dyDescent="0.25">
      <c r="A708" s="98" t="s">
        <v>1190</v>
      </c>
    </row>
    <row r="709" spans="1:1" x14ac:dyDescent="0.25">
      <c r="A709" s="98" t="s">
        <v>1191</v>
      </c>
    </row>
    <row r="710" spans="1:1" x14ac:dyDescent="0.25">
      <c r="A710" s="98" t="s">
        <v>1192</v>
      </c>
    </row>
    <row r="711" spans="1:1" x14ac:dyDescent="0.25">
      <c r="A711" s="98" t="s">
        <v>1193</v>
      </c>
    </row>
    <row r="712" spans="1:1" x14ac:dyDescent="0.25">
      <c r="A712" s="98" t="s">
        <v>1194</v>
      </c>
    </row>
    <row r="713" spans="1:1" x14ac:dyDescent="0.25">
      <c r="A713" s="98" t="s">
        <v>1195</v>
      </c>
    </row>
    <row r="714" spans="1:1" x14ac:dyDescent="0.25">
      <c r="A714" s="96" t="s">
        <v>1196</v>
      </c>
    </row>
    <row r="715" spans="1:1" x14ac:dyDescent="0.25">
      <c r="A715" s="96" t="s">
        <v>1197</v>
      </c>
    </row>
    <row r="716" spans="1:1" x14ac:dyDescent="0.25">
      <c r="A716" s="98" t="s">
        <v>1198</v>
      </c>
    </row>
    <row r="717" spans="1:1" x14ac:dyDescent="0.25">
      <c r="A717" s="98" t="s">
        <v>1199</v>
      </c>
    </row>
    <row r="718" spans="1:1" x14ac:dyDescent="0.25">
      <c r="A718" s="98" t="s">
        <v>1200</v>
      </c>
    </row>
    <row r="719" spans="1:1" x14ac:dyDescent="0.25">
      <c r="A719" s="98" t="s">
        <v>1201</v>
      </c>
    </row>
    <row r="720" spans="1:1" x14ac:dyDescent="0.25">
      <c r="A720" s="98" t="s">
        <v>1202</v>
      </c>
    </row>
    <row r="721" spans="1:1" x14ac:dyDescent="0.25">
      <c r="A721" s="98" t="s">
        <v>1203</v>
      </c>
    </row>
    <row r="722" spans="1:1" x14ac:dyDescent="0.25">
      <c r="A722" s="96" t="s">
        <v>1204</v>
      </c>
    </row>
    <row r="723" spans="1:1" x14ac:dyDescent="0.25">
      <c r="A723" s="96" t="s">
        <v>1205</v>
      </c>
    </row>
    <row r="724" spans="1:1" x14ac:dyDescent="0.25">
      <c r="A724" s="98" t="s">
        <v>1206</v>
      </c>
    </row>
    <row r="725" spans="1:1" x14ac:dyDescent="0.25">
      <c r="A725" s="98" t="s">
        <v>1207</v>
      </c>
    </row>
    <row r="726" spans="1:1" x14ac:dyDescent="0.25">
      <c r="A726" s="98" t="s">
        <v>1208</v>
      </c>
    </row>
    <row r="727" spans="1:1" x14ac:dyDescent="0.25">
      <c r="A727" s="98" t="s">
        <v>1209</v>
      </c>
    </row>
    <row r="728" spans="1:1" x14ac:dyDescent="0.25">
      <c r="A728" s="98" t="s">
        <v>1210</v>
      </c>
    </row>
    <row r="729" spans="1:1" x14ac:dyDescent="0.25">
      <c r="A729" s="98" t="s">
        <v>1211</v>
      </c>
    </row>
    <row r="730" spans="1:1" x14ac:dyDescent="0.25">
      <c r="A730" s="96" t="s">
        <v>1212</v>
      </c>
    </row>
    <row r="731" spans="1:1" x14ac:dyDescent="0.25">
      <c r="A731" s="96" t="s">
        <v>1213</v>
      </c>
    </row>
    <row r="732" spans="1:1" x14ac:dyDescent="0.25">
      <c r="A732" s="98" t="s">
        <v>1214</v>
      </c>
    </row>
    <row r="733" spans="1:1" x14ac:dyDescent="0.25">
      <c r="A733" s="98" t="s">
        <v>1215</v>
      </c>
    </row>
    <row r="734" spans="1:1" x14ac:dyDescent="0.25">
      <c r="A734" s="98" t="s">
        <v>1216</v>
      </c>
    </row>
    <row r="735" spans="1:1" x14ac:dyDescent="0.25">
      <c r="A735" s="98" t="s">
        <v>1217</v>
      </c>
    </row>
    <row r="736" spans="1:1" x14ac:dyDescent="0.25">
      <c r="A736" s="98" t="s">
        <v>1218</v>
      </c>
    </row>
    <row r="737" spans="1:1" x14ac:dyDescent="0.25">
      <c r="A737" s="98" t="s">
        <v>1219</v>
      </c>
    </row>
    <row r="738" spans="1:1" x14ac:dyDescent="0.25">
      <c r="A738" s="96" t="s">
        <v>1220</v>
      </c>
    </row>
    <row r="739" spans="1:1" x14ac:dyDescent="0.25">
      <c r="A739" s="96" t="s">
        <v>1221</v>
      </c>
    </row>
    <row r="740" spans="1:1" x14ac:dyDescent="0.25">
      <c r="A740" s="98" t="s">
        <v>1222</v>
      </c>
    </row>
    <row r="741" spans="1:1" x14ac:dyDescent="0.25">
      <c r="A741" s="98" t="s">
        <v>1223</v>
      </c>
    </row>
    <row r="742" spans="1:1" x14ac:dyDescent="0.25">
      <c r="A742" s="98" t="s">
        <v>1224</v>
      </c>
    </row>
    <row r="743" spans="1:1" x14ac:dyDescent="0.25">
      <c r="A743" s="98" t="s">
        <v>1225</v>
      </c>
    </row>
    <row r="744" spans="1:1" x14ac:dyDescent="0.25">
      <c r="A744" s="98" t="s">
        <v>1226</v>
      </c>
    </row>
    <row r="745" spans="1:1" x14ac:dyDescent="0.25">
      <c r="A745" s="98" t="s">
        <v>1227</v>
      </c>
    </row>
    <row r="746" spans="1:1" x14ac:dyDescent="0.25">
      <c r="A746" s="96" t="s">
        <v>1228</v>
      </c>
    </row>
    <row r="747" spans="1:1" x14ac:dyDescent="0.25">
      <c r="A747" s="96" t="s">
        <v>1229</v>
      </c>
    </row>
    <row r="748" spans="1:1" x14ac:dyDescent="0.25">
      <c r="A748" s="98" t="s">
        <v>1230</v>
      </c>
    </row>
    <row r="749" spans="1:1" x14ac:dyDescent="0.25">
      <c r="A749" s="98" t="s">
        <v>1231</v>
      </c>
    </row>
    <row r="750" spans="1:1" x14ac:dyDescent="0.25">
      <c r="A750" s="98" t="s">
        <v>1232</v>
      </c>
    </row>
    <row r="751" spans="1:1" x14ac:dyDescent="0.25">
      <c r="A751" s="98" t="s">
        <v>1233</v>
      </c>
    </row>
    <row r="752" spans="1:1" x14ac:dyDescent="0.25">
      <c r="A752" s="98" t="s">
        <v>1234</v>
      </c>
    </row>
    <row r="753" spans="1:1" x14ac:dyDescent="0.25">
      <c r="A753" s="98" t="s">
        <v>1235</v>
      </c>
    </row>
    <row r="754" spans="1:1" x14ac:dyDescent="0.25">
      <c r="A754" s="96" t="s">
        <v>1236</v>
      </c>
    </row>
    <row r="755" spans="1:1" x14ac:dyDescent="0.25">
      <c r="A755" s="96" t="s">
        <v>1237</v>
      </c>
    </row>
    <row r="756" spans="1:1" x14ac:dyDescent="0.25">
      <c r="A756" s="98" t="s">
        <v>1238</v>
      </c>
    </row>
    <row r="757" spans="1:1" x14ac:dyDescent="0.25">
      <c r="A757" s="98" t="s">
        <v>1239</v>
      </c>
    </row>
    <row r="758" spans="1:1" x14ac:dyDescent="0.25">
      <c r="A758" s="98" t="s">
        <v>1240</v>
      </c>
    </row>
    <row r="759" spans="1:1" x14ac:dyDescent="0.25">
      <c r="A759" s="98" t="s">
        <v>1241</v>
      </c>
    </row>
    <row r="760" spans="1:1" x14ac:dyDescent="0.25">
      <c r="A760" s="98" t="s">
        <v>1242</v>
      </c>
    </row>
    <row r="761" spans="1:1" x14ac:dyDescent="0.25">
      <c r="A761" s="98" t="s">
        <v>1243</v>
      </c>
    </row>
    <row r="762" spans="1:1" x14ac:dyDescent="0.25">
      <c r="A762" s="98" t="s">
        <v>1244</v>
      </c>
    </row>
    <row r="763" spans="1:1" x14ac:dyDescent="0.25">
      <c r="A763" s="98" t="s">
        <v>1245</v>
      </c>
    </row>
    <row r="764" spans="1:1" x14ac:dyDescent="0.25">
      <c r="A764" s="98" t="s">
        <v>1246</v>
      </c>
    </row>
    <row r="765" spans="1:1" x14ac:dyDescent="0.25">
      <c r="A765" s="98" t="s">
        <v>1247</v>
      </c>
    </row>
    <row r="766" spans="1:1" x14ac:dyDescent="0.25">
      <c r="A766" s="98" t="s">
        <v>1248</v>
      </c>
    </row>
    <row r="767" spans="1:1" x14ac:dyDescent="0.25">
      <c r="A767" s="98" t="s">
        <v>1249</v>
      </c>
    </row>
    <row r="768" spans="1:1" x14ac:dyDescent="0.25">
      <c r="A768" s="98" t="s">
        <v>1250</v>
      </c>
    </row>
    <row r="769" spans="1:1" x14ac:dyDescent="0.25">
      <c r="A769" s="98" t="s">
        <v>1251</v>
      </c>
    </row>
    <row r="770" spans="1:1" x14ac:dyDescent="0.25">
      <c r="A770" s="98" t="s">
        <v>1252</v>
      </c>
    </row>
    <row r="771" spans="1:1" x14ac:dyDescent="0.25">
      <c r="A771" s="98" t="s">
        <v>1253</v>
      </c>
    </row>
    <row r="772" spans="1:1" x14ac:dyDescent="0.25">
      <c r="A772" s="98" t="s">
        <v>1254</v>
      </c>
    </row>
    <row r="773" spans="1:1" x14ac:dyDescent="0.25">
      <c r="A773" s="98" t="s">
        <v>1255</v>
      </c>
    </row>
    <row r="774" spans="1:1" x14ac:dyDescent="0.25">
      <c r="A774" s="98" t="s">
        <v>1256</v>
      </c>
    </row>
    <row r="775" spans="1:1" x14ac:dyDescent="0.25">
      <c r="A775" s="98" t="s">
        <v>1257</v>
      </c>
    </row>
    <row r="776" spans="1:1" x14ac:dyDescent="0.25">
      <c r="A776" s="98" t="s">
        <v>1258</v>
      </c>
    </row>
    <row r="777" spans="1:1" x14ac:dyDescent="0.25">
      <c r="A777" s="98" t="s">
        <v>1259</v>
      </c>
    </row>
    <row r="778" spans="1:1" x14ac:dyDescent="0.25">
      <c r="A778" s="98" t="s">
        <v>1260</v>
      </c>
    </row>
    <row r="779" spans="1:1" x14ac:dyDescent="0.25">
      <c r="A779" s="98" t="s">
        <v>1261</v>
      </c>
    </row>
    <row r="780" spans="1:1" x14ac:dyDescent="0.25">
      <c r="A780" s="98" t="s">
        <v>1262</v>
      </c>
    </row>
    <row r="781" spans="1:1" x14ac:dyDescent="0.25">
      <c r="A781" s="98" t="s">
        <v>1263</v>
      </c>
    </row>
    <row r="782" spans="1:1" x14ac:dyDescent="0.25">
      <c r="A782" s="98" t="s">
        <v>1264</v>
      </c>
    </row>
    <row r="783" spans="1:1" x14ac:dyDescent="0.25">
      <c r="A783" s="98" t="s">
        <v>1265</v>
      </c>
    </row>
    <row r="784" spans="1:1" x14ac:dyDescent="0.25">
      <c r="A784" s="98" t="s">
        <v>1266</v>
      </c>
    </row>
    <row r="785" spans="1:1" x14ac:dyDescent="0.25">
      <c r="A785" s="98" t="s">
        <v>1267</v>
      </c>
    </row>
    <row r="786" spans="1:1" x14ac:dyDescent="0.25">
      <c r="A786" s="98" t="s">
        <v>1268</v>
      </c>
    </row>
    <row r="787" spans="1:1" x14ac:dyDescent="0.25">
      <c r="A787" s="98" t="s">
        <v>1269</v>
      </c>
    </row>
    <row r="788" spans="1:1" x14ac:dyDescent="0.25">
      <c r="A788" s="98" t="s">
        <v>1270</v>
      </c>
    </row>
    <row r="789" spans="1:1" x14ac:dyDescent="0.25">
      <c r="A789" s="98" t="s">
        <v>1271</v>
      </c>
    </row>
    <row r="790" spans="1:1" x14ac:dyDescent="0.25">
      <c r="A790" s="98" t="s">
        <v>1272</v>
      </c>
    </row>
    <row r="791" spans="1:1" x14ac:dyDescent="0.25">
      <c r="A791" s="98" t="s">
        <v>1273</v>
      </c>
    </row>
    <row r="792" spans="1:1" x14ac:dyDescent="0.25">
      <c r="A792" s="98" t="s">
        <v>1274</v>
      </c>
    </row>
    <row r="793" spans="1:1" x14ac:dyDescent="0.25">
      <c r="A793" s="98" t="s">
        <v>1275</v>
      </c>
    </row>
    <row r="794" spans="1:1" x14ac:dyDescent="0.25">
      <c r="A794" s="98" t="s">
        <v>1276</v>
      </c>
    </row>
    <row r="795" spans="1:1" x14ac:dyDescent="0.25">
      <c r="A795" s="98" t="s">
        <v>1277</v>
      </c>
    </row>
    <row r="796" spans="1:1" x14ac:dyDescent="0.25">
      <c r="A796" s="98" t="s">
        <v>1278</v>
      </c>
    </row>
    <row r="797" spans="1:1" x14ac:dyDescent="0.25">
      <c r="A797" s="98" t="s">
        <v>1279</v>
      </c>
    </row>
    <row r="798" spans="1:1" x14ac:dyDescent="0.25">
      <c r="A798" s="98" t="s">
        <v>1280</v>
      </c>
    </row>
    <row r="799" spans="1:1" x14ac:dyDescent="0.25">
      <c r="A799" s="98" t="s">
        <v>1281</v>
      </c>
    </row>
    <row r="800" spans="1:1" x14ac:dyDescent="0.25">
      <c r="A800" s="98" t="s">
        <v>1282</v>
      </c>
    </row>
    <row r="801" spans="1:1" x14ac:dyDescent="0.25">
      <c r="A801" s="98" t="s">
        <v>1283</v>
      </c>
    </row>
    <row r="802" spans="1:1" x14ac:dyDescent="0.25">
      <c r="A802" s="98" t="s">
        <v>1284</v>
      </c>
    </row>
    <row r="803" spans="1:1" x14ac:dyDescent="0.25">
      <c r="A803" s="98" t="s">
        <v>1285</v>
      </c>
    </row>
    <row r="804" spans="1:1" x14ac:dyDescent="0.25">
      <c r="A804" s="98" t="s">
        <v>1286</v>
      </c>
    </row>
    <row r="805" spans="1:1" x14ac:dyDescent="0.25">
      <c r="A805" s="98" t="s">
        <v>1287</v>
      </c>
    </row>
    <row r="806" spans="1:1" x14ac:dyDescent="0.25">
      <c r="A806" s="98" t="s">
        <v>1288</v>
      </c>
    </row>
    <row r="807" spans="1:1" x14ac:dyDescent="0.25">
      <c r="A807" s="98" t="s">
        <v>1289</v>
      </c>
    </row>
    <row r="808" spans="1:1" x14ac:dyDescent="0.25">
      <c r="A808" s="98" t="s">
        <v>1290</v>
      </c>
    </row>
    <row r="809" spans="1:1" x14ac:dyDescent="0.25">
      <c r="A809" s="98" t="s">
        <v>1291</v>
      </c>
    </row>
    <row r="810" spans="1:1" x14ac:dyDescent="0.25">
      <c r="A810" s="98" t="s">
        <v>1292</v>
      </c>
    </row>
    <row r="811" spans="1:1" x14ac:dyDescent="0.25">
      <c r="A811" s="98" t="s">
        <v>1293</v>
      </c>
    </row>
    <row r="812" spans="1:1" x14ac:dyDescent="0.25">
      <c r="A812" s="98" t="s">
        <v>1294</v>
      </c>
    </row>
    <row r="813" spans="1:1" x14ac:dyDescent="0.25">
      <c r="A813" s="98" t="s">
        <v>1295</v>
      </c>
    </row>
    <row r="814" spans="1:1" x14ac:dyDescent="0.25">
      <c r="A814" s="98" t="s">
        <v>1296</v>
      </c>
    </row>
    <row r="815" spans="1:1" x14ac:dyDescent="0.25">
      <c r="A815" s="98" t="s">
        <v>1297</v>
      </c>
    </row>
    <row r="816" spans="1:1" x14ac:dyDescent="0.25">
      <c r="A816" s="98" t="s">
        <v>1298</v>
      </c>
    </row>
    <row r="817" spans="1:1" x14ac:dyDescent="0.25">
      <c r="A817" s="98" t="s">
        <v>1299</v>
      </c>
    </row>
    <row r="818" spans="1:1" x14ac:dyDescent="0.25">
      <c r="A818" s="98" t="s">
        <v>1300</v>
      </c>
    </row>
    <row r="819" spans="1:1" x14ac:dyDescent="0.25">
      <c r="A819" s="98" t="s">
        <v>1301</v>
      </c>
    </row>
    <row r="820" spans="1:1" x14ac:dyDescent="0.25">
      <c r="A820" s="98" t="s">
        <v>1302</v>
      </c>
    </row>
    <row r="821" spans="1:1" x14ac:dyDescent="0.25">
      <c r="A821" s="98" t="s">
        <v>1303</v>
      </c>
    </row>
    <row r="822" spans="1:1" x14ac:dyDescent="0.25">
      <c r="A822" s="98" t="s">
        <v>1304</v>
      </c>
    </row>
    <row r="823" spans="1:1" x14ac:dyDescent="0.25">
      <c r="A823" s="98" t="s">
        <v>1305</v>
      </c>
    </row>
    <row r="824" spans="1:1" x14ac:dyDescent="0.25">
      <c r="A824" s="98" t="s">
        <v>1306</v>
      </c>
    </row>
    <row r="825" spans="1:1" x14ac:dyDescent="0.25">
      <c r="A825" s="98" t="s">
        <v>1307</v>
      </c>
    </row>
    <row r="826" spans="1:1" x14ac:dyDescent="0.25">
      <c r="A826" s="98" t="s">
        <v>1308</v>
      </c>
    </row>
    <row r="827" spans="1:1" x14ac:dyDescent="0.25">
      <c r="A827" s="98" t="s">
        <v>1309</v>
      </c>
    </row>
    <row r="828" spans="1:1" x14ac:dyDescent="0.25">
      <c r="A828" s="98" t="s">
        <v>1310</v>
      </c>
    </row>
    <row r="829" spans="1:1" x14ac:dyDescent="0.25">
      <c r="A829" s="98" t="s">
        <v>1311</v>
      </c>
    </row>
    <row r="830" spans="1:1" x14ac:dyDescent="0.25">
      <c r="A830" s="98" t="s">
        <v>1312</v>
      </c>
    </row>
    <row r="831" spans="1:1" x14ac:dyDescent="0.25">
      <c r="A831" s="98" t="s">
        <v>1313</v>
      </c>
    </row>
    <row r="832" spans="1:1" x14ac:dyDescent="0.25">
      <c r="A832" s="98" t="s">
        <v>1314</v>
      </c>
    </row>
    <row r="833" spans="1:1" x14ac:dyDescent="0.25">
      <c r="A833" s="98" t="s">
        <v>1315</v>
      </c>
    </row>
    <row r="834" spans="1:1" x14ac:dyDescent="0.25">
      <c r="A834" s="98" t="s">
        <v>1316</v>
      </c>
    </row>
    <row r="835" spans="1:1" x14ac:dyDescent="0.25">
      <c r="A835" s="98" t="s">
        <v>1317</v>
      </c>
    </row>
    <row r="836" spans="1:1" x14ac:dyDescent="0.25">
      <c r="A836" s="98" t="s">
        <v>1318</v>
      </c>
    </row>
    <row r="837" spans="1:1" x14ac:dyDescent="0.25">
      <c r="A837" s="98" t="s">
        <v>1319</v>
      </c>
    </row>
    <row r="838" spans="1:1" x14ac:dyDescent="0.25">
      <c r="A838" s="98" t="s">
        <v>1320</v>
      </c>
    </row>
    <row r="839" spans="1:1" x14ac:dyDescent="0.25">
      <c r="A839" s="98" t="s">
        <v>1321</v>
      </c>
    </row>
    <row r="840" spans="1:1" x14ac:dyDescent="0.25">
      <c r="A840" s="98" t="s">
        <v>1322</v>
      </c>
    </row>
    <row r="841" spans="1:1" x14ac:dyDescent="0.25">
      <c r="A841" s="98" t="s">
        <v>1323</v>
      </c>
    </row>
    <row r="842" spans="1:1" x14ac:dyDescent="0.25">
      <c r="A842" s="98" t="s">
        <v>1324</v>
      </c>
    </row>
    <row r="843" spans="1:1" x14ac:dyDescent="0.25">
      <c r="A843" s="98" t="s">
        <v>1325</v>
      </c>
    </row>
    <row r="844" spans="1:1" x14ac:dyDescent="0.25">
      <c r="A844" s="98" t="s">
        <v>1326</v>
      </c>
    </row>
    <row r="845" spans="1:1" x14ac:dyDescent="0.25">
      <c r="A845" s="98" t="s">
        <v>1327</v>
      </c>
    </row>
    <row r="846" spans="1:1" x14ac:dyDescent="0.25">
      <c r="A846" s="98" t="s">
        <v>1328</v>
      </c>
    </row>
    <row r="847" spans="1:1" x14ac:dyDescent="0.25">
      <c r="A847" s="98" t="s">
        <v>1329</v>
      </c>
    </row>
    <row r="848" spans="1:1" x14ac:dyDescent="0.25">
      <c r="A848" s="98" t="s">
        <v>1330</v>
      </c>
    </row>
    <row r="849" spans="1:1" x14ac:dyDescent="0.25">
      <c r="A849" s="98" t="s">
        <v>1331</v>
      </c>
    </row>
    <row r="850" spans="1:1" x14ac:dyDescent="0.25">
      <c r="A850" s="98" t="s">
        <v>1332</v>
      </c>
    </row>
    <row r="851" spans="1:1" x14ac:dyDescent="0.25">
      <c r="A851" s="98" t="s">
        <v>1333</v>
      </c>
    </row>
    <row r="852" spans="1:1" x14ac:dyDescent="0.25">
      <c r="A852" s="98" t="s">
        <v>1334</v>
      </c>
    </row>
    <row r="853" spans="1:1" x14ac:dyDescent="0.25">
      <c r="A853" s="98" t="s">
        <v>1335</v>
      </c>
    </row>
    <row r="854" spans="1:1" x14ac:dyDescent="0.25">
      <c r="A854" s="98" t="s">
        <v>1336</v>
      </c>
    </row>
    <row r="855" spans="1:1" x14ac:dyDescent="0.25">
      <c r="A855" s="98" t="s">
        <v>1337</v>
      </c>
    </row>
    <row r="856" spans="1:1" x14ac:dyDescent="0.25">
      <c r="A856" s="98" t="s">
        <v>1338</v>
      </c>
    </row>
    <row r="857" spans="1:1" x14ac:dyDescent="0.25">
      <c r="A857" s="98" t="s">
        <v>1339</v>
      </c>
    </row>
    <row r="858" spans="1:1" x14ac:dyDescent="0.25">
      <c r="A858" s="98" t="s">
        <v>1340</v>
      </c>
    </row>
    <row r="859" spans="1:1" x14ac:dyDescent="0.25">
      <c r="A859" s="98" t="s">
        <v>1341</v>
      </c>
    </row>
    <row r="860" spans="1:1" x14ac:dyDescent="0.25">
      <c r="A860" s="98" t="s">
        <v>1342</v>
      </c>
    </row>
    <row r="861" spans="1:1" x14ac:dyDescent="0.25">
      <c r="A861" s="98" t="s">
        <v>1343</v>
      </c>
    </row>
    <row r="862" spans="1:1" x14ac:dyDescent="0.25">
      <c r="A862" s="98" t="s">
        <v>1344</v>
      </c>
    </row>
    <row r="863" spans="1:1" x14ac:dyDescent="0.25">
      <c r="A863" s="98" t="s">
        <v>1345</v>
      </c>
    </row>
    <row r="864" spans="1:1" x14ac:dyDescent="0.25">
      <c r="A864" s="98" t="s">
        <v>1346</v>
      </c>
    </row>
    <row r="865" spans="1:1" x14ac:dyDescent="0.25">
      <c r="A865" s="98" t="s">
        <v>1347</v>
      </c>
    </row>
    <row r="866" spans="1:1" x14ac:dyDescent="0.25">
      <c r="A866" s="98" t="s">
        <v>1348</v>
      </c>
    </row>
    <row r="867" spans="1:1" x14ac:dyDescent="0.25">
      <c r="A867" s="98" t="s">
        <v>1349</v>
      </c>
    </row>
    <row r="868" spans="1:1" x14ac:dyDescent="0.25">
      <c r="A868" s="98" t="s">
        <v>1350</v>
      </c>
    </row>
    <row r="869" spans="1:1" x14ac:dyDescent="0.25">
      <c r="A869" s="98" t="s">
        <v>1351</v>
      </c>
    </row>
    <row r="870" spans="1:1" x14ac:dyDescent="0.25">
      <c r="A870" s="98" t="s">
        <v>1352</v>
      </c>
    </row>
    <row r="871" spans="1:1" x14ac:dyDescent="0.25">
      <c r="A871" s="98" t="s">
        <v>1353</v>
      </c>
    </row>
    <row r="872" spans="1:1" x14ac:dyDescent="0.25">
      <c r="A872" s="98" t="s">
        <v>1354</v>
      </c>
    </row>
    <row r="873" spans="1:1" x14ac:dyDescent="0.25">
      <c r="A873" s="98" t="s">
        <v>1355</v>
      </c>
    </row>
    <row r="874" spans="1:1" x14ac:dyDescent="0.25">
      <c r="A874" s="98" t="s">
        <v>1356</v>
      </c>
    </row>
    <row r="875" spans="1:1" x14ac:dyDescent="0.25">
      <c r="A875" s="98" t="s">
        <v>1357</v>
      </c>
    </row>
    <row r="876" spans="1:1" x14ac:dyDescent="0.25">
      <c r="A876" s="98" t="s">
        <v>1358</v>
      </c>
    </row>
    <row r="877" spans="1:1" x14ac:dyDescent="0.25">
      <c r="A877" s="98" t="s">
        <v>1359</v>
      </c>
    </row>
    <row r="878" spans="1:1" x14ac:dyDescent="0.25">
      <c r="A878" s="96" t="s">
        <v>1360</v>
      </c>
    </row>
    <row r="879" spans="1:1" x14ac:dyDescent="0.25">
      <c r="A879" s="96" t="s">
        <v>1361</v>
      </c>
    </row>
    <row r="880" spans="1:1" x14ac:dyDescent="0.25">
      <c r="A880" s="98" t="s">
        <v>1362</v>
      </c>
    </row>
    <row r="881" spans="1:1" x14ac:dyDescent="0.25">
      <c r="A881" s="98" t="s">
        <v>1363</v>
      </c>
    </row>
    <row r="882" spans="1:1" x14ac:dyDescent="0.25">
      <c r="A882" s="98" t="s">
        <v>1364</v>
      </c>
    </row>
    <row r="883" spans="1:1" x14ac:dyDescent="0.25">
      <c r="A883" s="98" t="s">
        <v>1365</v>
      </c>
    </row>
    <row r="884" spans="1:1" x14ac:dyDescent="0.25">
      <c r="A884" s="98" t="s">
        <v>1366</v>
      </c>
    </row>
    <row r="885" spans="1:1" x14ac:dyDescent="0.25">
      <c r="A885" s="98" t="s">
        <v>1367</v>
      </c>
    </row>
    <row r="886" spans="1:1" x14ac:dyDescent="0.25">
      <c r="A886" s="96" t="s">
        <v>1368</v>
      </c>
    </row>
    <row r="887" spans="1:1" x14ac:dyDescent="0.25">
      <c r="A887" s="96" t="s">
        <v>1369</v>
      </c>
    </row>
    <row r="888" spans="1:1" x14ac:dyDescent="0.25">
      <c r="A888" s="98" t="s">
        <v>1370</v>
      </c>
    </row>
    <row r="889" spans="1:1" x14ac:dyDescent="0.25">
      <c r="A889" s="98" t="s">
        <v>1371</v>
      </c>
    </row>
    <row r="890" spans="1:1" x14ac:dyDescent="0.25">
      <c r="A890" s="98" t="s">
        <v>1372</v>
      </c>
    </row>
    <row r="891" spans="1:1" x14ac:dyDescent="0.25">
      <c r="A891" s="98" t="s">
        <v>1373</v>
      </c>
    </row>
    <row r="892" spans="1:1" x14ac:dyDescent="0.25">
      <c r="A892" s="98" t="s">
        <v>1374</v>
      </c>
    </row>
    <row r="893" spans="1:1" x14ac:dyDescent="0.25">
      <c r="A893" s="98" t="s">
        <v>1375</v>
      </c>
    </row>
    <row r="894" spans="1:1" x14ac:dyDescent="0.25">
      <c r="A894" s="96" t="s">
        <v>1376</v>
      </c>
    </row>
    <row r="895" spans="1:1" x14ac:dyDescent="0.25">
      <c r="A895" s="96" t="s">
        <v>1377</v>
      </c>
    </row>
    <row r="896" spans="1:1" x14ac:dyDescent="0.25">
      <c r="A896" s="98" t="s">
        <v>1378</v>
      </c>
    </row>
    <row r="897" spans="1:1" x14ac:dyDescent="0.25">
      <c r="A897" s="98" t="s">
        <v>1379</v>
      </c>
    </row>
    <row r="898" spans="1:1" x14ac:dyDescent="0.25">
      <c r="A898" s="98" t="s">
        <v>1380</v>
      </c>
    </row>
    <row r="899" spans="1:1" x14ac:dyDescent="0.25">
      <c r="A899" s="98" t="s">
        <v>1381</v>
      </c>
    </row>
    <row r="900" spans="1:1" x14ac:dyDescent="0.25">
      <c r="A900" s="98" t="s">
        <v>1382</v>
      </c>
    </row>
    <row r="901" spans="1:1" x14ac:dyDescent="0.25">
      <c r="A901" s="98" t="s">
        <v>1383</v>
      </c>
    </row>
    <row r="902" spans="1:1" x14ac:dyDescent="0.25">
      <c r="A902" s="96" t="s">
        <v>1384</v>
      </c>
    </row>
    <row r="903" spans="1:1" x14ac:dyDescent="0.25">
      <c r="A903" s="96" t="s">
        <v>1385</v>
      </c>
    </row>
    <row r="904" spans="1:1" x14ac:dyDescent="0.25">
      <c r="A904" s="98" t="s">
        <v>1386</v>
      </c>
    </row>
    <row r="905" spans="1:1" x14ac:dyDescent="0.25">
      <c r="A905" s="98" t="s">
        <v>1387</v>
      </c>
    </row>
    <row r="906" spans="1:1" x14ac:dyDescent="0.25">
      <c r="A906" s="98" t="s">
        <v>1388</v>
      </c>
    </row>
    <row r="907" spans="1:1" x14ac:dyDescent="0.25">
      <c r="A907" s="98" t="s">
        <v>1389</v>
      </c>
    </row>
    <row r="908" spans="1:1" x14ac:dyDescent="0.25">
      <c r="A908" s="98" t="s">
        <v>1390</v>
      </c>
    </row>
    <row r="909" spans="1:1" x14ac:dyDescent="0.25">
      <c r="A909" s="98" t="s">
        <v>1391</v>
      </c>
    </row>
    <row r="910" spans="1:1" x14ac:dyDescent="0.25">
      <c r="A910" s="96" t="s">
        <v>1392</v>
      </c>
    </row>
    <row r="911" spans="1:1" x14ac:dyDescent="0.25">
      <c r="A911" s="96" t="s">
        <v>1393</v>
      </c>
    </row>
    <row r="912" spans="1:1" x14ac:dyDescent="0.25">
      <c r="A912" s="98" t="s">
        <v>1394</v>
      </c>
    </row>
    <row r="913" spans="1:1" x14ac:dyDescent="0.25">
      <c r="A913" s="98" t="s">
        <v>1395</v>
      </c>
    </row>
    <row r="914" spans="1:1" x14ac:dyDescent="0.25">
      <c r="A914" s="98" t="s">
        <v>1396</v>
      </c>
    </row>
    <row r="915" spans="1:1" x14ac:dyDescent="0.25">
      <c r="A915" s="98" t="s">
        <v>1397</v>
      </c>
    </row>
    <row r="916" spans="1:1" x14ac:dyDescent="0.25">
      <c r="A916" s="98" t="s">
        <v>1398</v>
      </c>
    </row>
    <row r="917" spans="1:1" x14ac:dyDescent="0.25">
      <c r="A917" s="98" t="s">
        <v>1399</v>
      </c>
    </row>
    <row r="918" spans="1:1" x14ac:dyDescent="0.25">
      <c r="A918" s="96" t="s">
        <v>1400</v>
      </c>
    </row>
    <row r="919" spans="1:1" x14ac:dyDescent="0.25">
      <c r="A919" s="96" t="s">
        <v>1401</v>
      </c>
    </row>
    <row r="920" spans="1:1" x14ac:dyDescent="0.25">
      <c r="A920" s="98" t="s">
        <v>1402</v>
      </c>
    </row>
    <row r="921" spans="1:1" x14ac:dyDescent="0.25">
      <c r="A921" s="98" t="s">
        <v>1403</v>
      </c>
    </row>
    <row r="922" spans="1:1" x14ac:dyDescent="0.25">
      <c r="A922" s="98" t="s">
        <v>1404</v>
      </c>
    </row>
    <row r="923" spans="1:1" x14ac:dyDescent="0.25">
      <c r="A923" s="98" t="s">
        <v>1405</v>
      </c>
    </row>
    <row r="924" spans="1:1" x14ac:dyDescent="0.25">
      <c r="A924" s="98" t="s">
        <v>1406</v>
      </c>
    </row>
    <row r="925" spans="1:1" x14ac:dyDescent="0.25">
      <c r="A925" s="98" t="s">
        <v>1407</v>
      </c>
    </row>
    <row r="926" spans="1:1" x14ac:dyDescent="0.25">
      <c r="A926" s="96" t="s">
        <v>1408</v>
      </c>
    </row>
    <row r="927" spans="1:1" x14ac:dyDescent="0.25">
      <c r="A927" s="96" t="s">
        <v>1409</v>
      </c>
    </row>
    <row r="928" spans="1:1" x14ac:dyDescent="0.25">
      <c r="A928" s="98" t="s">
        <v>1410</v>
      </c>
    </row>
    <row r="929" spans="1:1" x14ac:dyDescent="0.25">
      <c r="A929" s="98" t="s">
        <v>1411</v>
      </c>
    </row>
    <row r="930" spans="1:1" x14ac:dyDescent="0.25">
      <c r="A930" s="98" t="s">
        <v>1412</v>
      </c>
    </row>
    <row r="931" spans="1:1" x14ac:dyDescent="0.25">
      <c r="A931" s="98" t="s">
        <v>1413</v>
      </c>
    </row>
    <row r="932" spans="1:1" x14ac:dyDescent="0.25">
      <c r="A932" s="98" t="s">
        <v>1414</v>
      </c>
    </row>
    <row r="933" spans="1:1" x14ac:dyDescent="0.25">
      <c r="A933" s="98" t="s">
        <v>1415</v>
      </c>
    </row>
    <row r="934" spans="1:1" x14ac:dyDescent="0.25">
      <c r="A934" s="96" t="s">
        <v>1416</v>
      </c>
    </row>
    <row r="935" spans="1:1" x14ac:dyDescent="0.25">
      <c r="A935" s="96" t="s">
        <v>1417</v>
      </c>
    </row>
    <row r="936" spans="1:1" x14ac:dyDescent="0.25">
      <c r="A936" s="98" t="s">
        <v>1418</v>
      </c>
    </row>
    <row r="937" spans="1:1" x14ac:dyDescent="0.25">
      <c r="A937" s="98" t="s">
        <v>1419</v>
      </c>
    </row>
    <row r="938" spans="1:1" x14ac:dyDescent="0.25">
      <c r="A938" s="98" t="s">
        <v>1420</v>
      </c>
    </row>
    <row r="939" spans="1:1" x14ac:dyDescent="0.25">
      <c r="A939" s="98" t="s">
        <v>1421</v>
      </c>
    </row>
    <row r="940" spans="1:1" x14ac:dyDescent="0.25">
      <c r="A940" s="98" t="s">
        <v>1422</v>
      </c>
    </row>
    <row r="941" spans="1:1" x14ac:dyDescent="0.25">
      <c r="A941" s="98" t="s">
        <v>1423</v>
      </c>
    </row>
    <row r="942" spans="1:1" x14ac:dyDescent="0.25">
      <c r="A942" s="98" t="s">
        <v>1424</v>
      </c>
    </row>
    <row r="943" spans="1:1" x14ac:dyDescent="0.25">
      <c r="A943" s="98" t="s">
        <v>1425</v>
      </c>
    </row>
    <row r="944" spans="1:1" x14ac:dyDescent="0.25">
      <c r="A944" s="98" t="s">
        <v>1426</v>
      </c>
    </row>
    <row r="945" spans="1:1" x14ac:dyDescent="0.25">
      <c r="A945" s="98" t="s">
        <v>1427</v>
      </c>
    </row>
    <row r="946" spans="1:1" x14ac:dyDescent="0.25">
      <c r="A946" s="98" t="s">
        <v>1428</v>
      </c>
    </row>
    <row r="947" spans="1:1" x14ac:dyDescent="0.25">
      <c r="A947" s="98" t="s">
        <v>1429</v>
      </c>
    </row>
    <row r="948" spans="1:1" x14ac:dyDescent="0.25">
      <c r="A948" s="98" t="s">
        <v>1430</v>
      </c>
    </row>
    <row r="949" spans="1:1" x14ac:dyDescent="0.25">
      <c r="A949" s="98" t="s">
        <v>1431</v>
      </c>
    </row>
    <row r="950" spans="1:1" x14ac:dyDescent="0.25">
      <c r="A950" s="98" t="s">
        <v>1432</v>
      </c>
    </row>
    <row r="951" spans="1:1" x14ac:dyDescent="0.25">
      <c r="A951" s="98" t="s">
        <v>1433</v>
      </c>
    </row>
    <row r="952" spans="1:1" x14ac:dyDescent="0.25">
      <c r="A952" s="98" t="s">
        <v>1434</v>
      </c>
    </row>
    <row r="953" spans="1:1" x14ac:dyDescent="0.25">
      <c r="A953" s="98" t="s">
        <v>1435</v>
      </c>
    </row>
    <row r="954" spans="1:1" x14ac:dyDescent="0.25">
      <c r="A954" s="98" t="s">
        <v>1436</v>
      </c>
    </row>
    <row r="955" spans="1:1" x14ac:dyDescent="0.25">
      <c r="A955" s="98" t="s">
        <v>1437</v>
      </c>
    </row>
    <row r="956" spans="1:1" x14ac:dyDescent="0.25">
      <c r="A956" s="98" t="s">
        <v>1438</v>
      </c>
    </row>
    <row r="957" spans="1:1" x14ac:dyDescent="0.25">
      <c r="A957" s="98" t="s">
        <v>1439</v>
      </c>
    </row>
    <row r="958" spans="1:1" x14ac:dyDescent="0.25">
      <c r="A958" s="98" t="s">
        <v>1440</v>
      </c>
    </row>
    <row r="959" spans="1:1" x14ac:dyDescent="0.25">
      <c r="A959" s="98" t="s">
        <v>1441</v>
      </c>
    </row>
    <row r="960" spans="1:1" x14ac:dyDescent="0.25">
      <c r="A960" s="98" t="s">
        <v>1442</v>
      </c>
    </row>
    <row r="961" spans="1:1" x14ac:dyDescent="0.25">
      <c r="A961" s="98" t="s">
        <v>1443</v>
      </c>
    </row>
    <row r="962" spans="1:1" x14ac:dyDescent="0.25">
      <c r="A962" s="98" t="s">
        <v>1444</v>
      </c>
    </row>
    <row r="963" spans="1:1" x14ac:dyDescent="0.25">
      <c r="A963" s="98" t="s">
        <v>1445</v>
      </c>
    </row>
    <row r="964" spans="1:1" x14ac:dyDescent="0.25">
      <c r="A964" s="98" t="s">
        <v>1446</v>
      </c>
    </row>
    <row r="965" spans="1:1" x14ac:dyDescent="0.25">
      <c r="A965" s="98" t="s">
        <v>1447</v>
      </c>
    </row>
    <row r="966" spans="1:1" x14ac:dyDescent="0.25">
      <c r="A966" s="98" t="s">
        <v>1448</v>
      </c>
    </row>
    <row r="967" spans="1:1" x14ac:dyDescent="0.25">
      <c r="A967" s="98" t="s">
        <v>1449</v>
      </c>
    </row>
    <row r="968" spans="1:1" x14ac:dyDescent="0.25">
      <c r="A968" s="98" t="s">
        <v>1450</v>
      </c>
    </row>
    <row r="969" spans="1:1" x14ac:dyDescent="0.25">
      <c r="A969" s="98" t="s">
        <v>1451</v>
      </c>
    </row>
    <row r="970" spans="1:1" x14ac:dyDescent="0.25">
      <c r="A970" s="98" t="s">
        <v>1452</v>
      </c>
    </row>
    <row r="971" spans="1:1" x14ac:dyDescent="0.25">
      <c r="A971" s="98" t="s">
        <v>1453</v>
      </c>
    </row>
    <row r="972" spans="1:1" x14ac:dyDescent="0.25">
      <c r="A972" s="98" t="s">
        <v>1454</v>
      </c>
    </row>
    <row r="973" spans="1:1" x14ac:dyDescent="0.25">
      <c r="A973" s="98" t="s">
        <v>1455</v>
      </c>
    </row>
    <row r="974" spans="1:1" x14ac:dyDescent="0.25">
      <c r="A974" s="98" t="s">
        <v>1456</v>
      </c>
    </row>
    <row r="975" spans="1:1" x14ac:dyDescent="0.25">
      <c r="A975" s="98" t="s">
        <v>1457</v>
      </c>
    </row>
    <row r="976" spans="1:1" x14ac:dyDescent="0.25">
      <c r="A976" s="98" t="s">
        <v>1458</v>
      </c>
    </row>
    <row r="977" spans="1:1" x14ac:dyDescent="0.25">
      <c r="A977" s="98" t="s">
        <v>1459</v>
      </c>
    </row>
    <row r="978" spans="1:1" x14ac:dyDescent="0.25">
      <c r="A978" s="98" t="s">
        <v>1460</v>
      </c>
    </row>
    <row r="979" spans="1:1" x14ac:dyDescent="0.25">
      <c r="A979" s="98" t="s">
        <v>1461</v>
      </c>
    </row>
    <row r="980" spans="1:1" x14ac:dyDescent="0.25">
      <c r="A980" s="98" t="s">
        <v>1462</v>
      </c>
    </row>
    <row r="981" spans="1:1" x14ac:dyDescent="0.25">
      <c r="A981" s="98" t="s">
        <v>1463</v>
      </c>
    </row>
    <row r="982" spans="1:1" x14ac:dyDescent="0.25">
      <c r="A982" s="98" t="s">
        <v>1464</v>
      </c>
    </row>
    <row r="983" spans="1:1" x14ac:dyDescent="0.25">
      <c r="A983" s="98" t="s">
        <v>1465</v>
      </c>
    </row>
    <row r="984" spans="1:1" x14ac:dyDescent="0.25">
      <c r="A984" s="98" t="s">
        <v>1466</v>
      </c>
    </row>
    <row r="985" spans="1:1" x14ac:dyDescent="0.25">
      <c r="A985" s="98" t="s">
        <v>1467</v>
      </c>
    </row>
    <row r="986" spans="1:1" x14ac:dyDescent="0.25">
      <c r="A986" s="98" t="s">
        <v>1468</v>
      </c>
    </row>
    <row r="987" spans="1:1" x14ac:dyDescent="0.25">
      <c r="A987" s="98" t="s">
        <v>1469</v>
      </c>
    </row>
    <row r="988" spans="1:1" x14ac:dyDescent="0.25">
      <c r="A988" s="98" t="s">
        <v>1470</v>
      </c>
    </row>
    <row r="989" spans="1:1" x14ac:dyDescent="0.25">
      <c r="A989" s="98" t="s">
        <v>1471</v>
      </c>
    </row>
    <row r="990" spans="1:1" x14ac:dyDescent="0.25">
      <c r="A990" s="98" t="s">
        <v>1472</v>
      </c>
    </row>
    <row r="991" spans="1:1" x14ac:dyDescent="0.25">
      <c r="A991" s="98" t="s">
        <v>1473</v>
      </c>
    </row>
    <row r="992" spans="1:1" x14ac:dyDescent="0.25">
      <c r="A992" s="98" t="s">
        <v>1474</v>
      </c>
    </row>
    <row r="993" spans="1:1" x14ac:dyDescent="0.25">
      <c r="A993" s="98" t="s">
        <v>1475</v>
      </c>
    </row>
    <row r="994" spans="1:1" x14ac:dyDescent="0.25">
      <c r="A994" s="98" t="s">
        <v>1476</v>
      </c>
    </row>
    <row r="995" spans="1:1" x14ac:dyDescent="0.25">
      <c r="A995" s="98" t="s">
        <v>1477</v>
      </c>
    </row>
    <row r="996" spans="1:1" x14ac:dyDescent="0.25">
      <c r="A996" s="98" t="s">
        <v>1478</v>
      </c>
    </row>
    <row r="997" spans="1:1" x14ac:dyDescent="0.25">
      <c r="A997" s="98" t="s">
        <v>1479</v>
      </c>
    </row>
    <row r="998" spans="1:1" x14ac:dyDescent="0.25">
      <c r="A998" s="98" t="s">
        <v>1480</v>
      </c>
    </row>
    <row r="999" spans="1:1" x14ac:dyDescent="0.25">
      <c r="A999" s="98" t="s">
        <v>1481</v>
      </c>
    </row>
    <row r="1000" spans="1:1" x14ac:dyDescent="0.25">
      <c r="A1000" s="98" t="s">
        <v>1482</v>
      </c>
    </row>
    <row r="1001" spans="1:1" x14ac:dyDescent="0.25">
      <c r="A1001" s="96" t="s">
        <v>1483</v>
      </c>
    </row>
    <row r="1002" spans="1:1" x14ac:dyDescent="0.25">
      <c r="A1002" s="98" t="s">
        <v>1484</v>
      </c>
    </row>
    <row r="1003" spans="1:1" x14ac:dyDescent="0.25">
      <c r="A1003" s="98" t="s">
        <v>1485</v>
      </c>
    </row>
    <row r="1004" spans="1:1" x14ac:dyDescent="0.25">
      <c r="A1004" s="98" t="s">
        <v>1486</v>
      </c>
    </row>
    <row r="1005" spans="1:1" x14ac:dyDescent="0.25">
      <c r="A1005" s="96" t="s">
        <v>1487</v>
      </c>
    </row>
    <row r="1006" spans="1:1" x14ac:dyDescent="0.25">
      <c r="A1006" s="96" t="s">
        <v>1488</v>
      </c>
    </row>
    <row r="1007" spans="1:1" x14ac:dyDescent="0.25">
      <c r="A1007" s="96" t="s">
        <v>1489</v>
      </c>
    </row>
    <row r="1008" spans="1:1" x14ac:dyDescent="0.25">
      <c r="A1008" t="s">
        <v>1492</v>
      </c>
    </row>
    <row r="1009" spans="1:1" x14ac:dyDescent="0.25">
      <c r="A1009" t="s">
        <v>1493</v>
      </c>
    </row>
    <row r="1010" spans="1:1" x14ac:dyDescent="0.25">
      <c r="A1010" s="96" t="s">
        <v>1494</v>
      </c>
    </row>
    <row r="1011" spans="1:1" x14ac:dyDescent="0.25">
      <c r="A1011" s="96" t="s">
        <v>1495</v>
      </c>
    </row>
    <row r="1012" spans="1:1" x14ac:dyDescent="0.25">
      <c r="A1012" s="96" t="s">
        <v>1496</v>
      </c>
    </row>
    <row r="1013" spans="1:1" x14ac:dyDescent="0.25">
      <c r="A1013" s="98" t="s">
        <v>1497</v>
      </c>
    </row>
    <row r="1014" spans="1:1" x14ac:dyDescent="0.25">
      <c r="A1014" s="96" t="s">
        <v>1498</v>
      </c>
    </row>
    <row r="1015" spans="1:1" x14ac:dyDescent="0.25">
      <c r="A1015" s="98" t="s">
        <v>1499</v>
      </c>
    </row>
    <row r="1016" spans="1:1" x14ac:dyDescent="0.25">
      <c r="A1016" s="98" t="s">
        <v>1500</v>
      </c>
    </row>
    <row r="1017" spans="1:1" x14ac:dyDescent="0.25">
      <c r="A1017" s="96" t="s">
        <v>1501</v>
      </c>
    </row>
    <row r="1018" spans="1:1" x14ac:dyDescent="0.25">
      <c r="A1018" s="98" t="s">
        <v>1502</v>
      </c>
    </row>
    <row r="1019" spans="1:1" x14ac:dyDescent="0.25">
      <c r="A1019" s="96" t="s">
        <v>1503</v>
      </c>
    </row>
    <row r="1020" spans="1:1" x14ac:dyDescent="0.25">
      <c r="A1020" s="98" t="s">
        <v>1504</v>
      </c>
    </row>
    <row r="1021" spans="1:1" x14ac:dyDescent="0.25">
      <c r="A1021" s="98" t="s">
        <v>1505</v>
      </c>
    </row>
    <row r="1022" spans="1:1" x14ac:dyDescent="0.25">
      <c r="A1022" s="98" t="s">
        <v>1506</v>
      </c>
    </row>
    <row r="1023" spans="1:1" x14ac:dyDescent="0.25">
      <c r="A1023" s="98" t="s">
        <v>1507</v>
      </c>
    </row>
    <row r="1024" spans="1:1" x14ac:dyDescent="0.25">
      <c r="A1024" s="98" t="s">
        <v>1508</v>
      </c>
    </row>
    <row r="1025" spans="1:1" x14ac:dyDescent="0.25">
      <c r="A1025" s="96" t="s">
        <v>1509</v>
      </c>
    </row>
    <row r="1026" spans="1:1" x14ac:dyDescent="0.25">
      <c r="A1026" s="96" t="s">
        <v>1510</v>
      </c>
    </row>
    <row r="1027" spans="1:1" x14ac:dyDescent="0.25">
      <c r="A1027" s="98" t="s">
        <v>1511</v>
      </c>
    </row>
    <row r="1028" spans="1:1" x14ac:dyDescent="0.25">
      <c r="A1028" s="98" t="s">
        <v>1512</v>
      </c>
    </row>
    <row r="1029" spans="1:1" x14ac:dyDescent="0.25">
      <c r="A1029" s="98" t="s">
        <v>1513</v>
      </c>
    </row>
    <row r="1030" spans="1:1" x14ac:dyDescent="0.25">
      <c r="A1030" s="98" t="s">
        <v>1514</v>
      </c>
    </row>
    <row r="1031" spans="1:1" x14ac:dyDescent="0.25">
      <c r="A1031" s="98" t="s">
        <v>1515</v>
      </c>
    </row>
    <row r="1032" spans="1:1" x14ac:dyDescent="0.25">
      <c r="A1032" s="98" t="s">
        <v>1516</v>
      </c>
    </row>
    <row r="1033" spans="1:1" x14ac:dyDescent="0.25">
      <c r="A1033" s="96" t="s">
        <v>1517</v>
      </c>
    </row>
    <row r="1034" spans="1:1" x14ac:dyDescent="0.25">
      <c r="A1034" s="96" t="s">
        <v>1518</v>
      </c>
    </row>
    <row r="1035" spans="1:1" x14ac:dyDescent="0.25">
      <c r="A1035" s="98" t="s">
        <v>1519</v>
      </c>
    </row>
    <row r="1036" spans="1:1" x14ac:dyDescent="0.25">
      <c r="A1036" s="98" t="s">
        <v>1520</v>
      </c>
    </row>
    <row r="1037" spans="1:1" x14ac:dyDescent="0.25">
      <c r="A1037" s="98" t="s">
        <v>1521</v>
      </c>
    </row>
    <row r="1038" spans="1:1" x14ac:dyDescent="0.25">
      <c r="A1038" s="98" t="s">
        <v>1522</v>
      </c>
    </row>
    <row r="1039" spans="1:1" x14ac:dyDescent="0.25">
      <c r="A1039" s="98" t="s">
        <v>1523</v>
      </c>
    </row>
    <row r="1040" spans="1:1" x14ac:dyDescent="0.25">
      <c r="A1040" s="98" t="s">
        <v>1524</v>
      </c>
    </row>
    <row r="1041" spans="1:1" x14ac:dyDescent="0.25">
      <c r="A1041" s="96" t="s">
        <v>1525</v>
      </c>
    </row>
    <row r="1042" spans="1:1" x14ac:dyDescent="0.25">
      <c r="A1042" s="96" t="s">
        <v>1526</v>
      </c>
    </row>
    <row r="1043" spans="1:1" x14ac:dyDescent="0.25">
      <c r="A1043" s="98" t="s">
        <v>1527</v>
      </c>
    </row>
    <row r="1044" spans="1:1" x14ac:dyDescent="0.25">
      <c r="A1044" s="98" t="s">
        <v>1528</v>
      </c>
    </row>
    <row r="1045" spans="1:1" x14ac:dyDescent="0.25">
      <c r="A1045" s="98" t="s">
        <v>1529</v>
      </c>
    </row>
    <row r="1046" spans="1:1" x14ac:dyDescent="0.25">
      <c r="A1046" s="98" t="s">
        <v>1530</v>
      </c>
    </row>
    <row r="1047" spans="1:1" x14ac:dyDescent="0.25">
      <c r="A1047" s="98" t="s">
        <v>1531</v>
      </c>
    </row>
    <row r="1048" spans="1:1" x14ac:dyDescent="0.25">
      <c r="A1048" s="98" t="s">
        <v>1532</v>
      </c>
    </row>
    <row r="1049" spans="1:1" x14ac:dyDescent="0.25">
      <c r="A1049" s="96" t="s">
        <v>1533</v>
      </c>
    </row>
    <row r="1050" spans="1:1" x14ac:dyDescent="0.25">
      <c r="A1050" s="96" t="s">
        <v>1534</v>
      </c>
    </row>
    <row r="1051" spans="1:1" x14ac:dyDescent="0.25">
      <c r="A1051" s="98" t="s">
        <v>1535</v>
      </c>
    </row>
    <row r="1052" spans="1:1" x14ac:dyDescent="0.25">
      <c r="A1052" s="98" t="s">
        <v>1536</v>
      </c>
    </row>
    <row r="1053" spans="1:1" x14ac:dyDescent="0.25">
      <c r="A1053" s="98" t="s">
        <v>1537</v>
      </c>
    </row>
    <row r="1054" spans="1:1" x14ac:dyDescent="0.25">
      <c r="A1054" s="98" t="s">
        <v>1538</v>
      </c>
    </row>
    <row r="1055" spans="1:1" x14ac:dyDescent="0.25">
      <c r="A1055" s="98" t="s">
        <v>1539</v>
      </c>
    </row>
    <row r="1056" spans="1:1" x14ac:dyDescent="0.25">
      <c r="A1056" s="98" t="s">
        <v>1540</v>
      </c>
    </row>
    <row r="1057" spans="1:1" x14ac:dyDescent="0.25">
      <c r="A1057" s="96" t="s">
        <v>1541</v>
      </c>
    </row>
    <row r="1058" spans="1:1" x14ac:dyDescent="0.25">
      <c r="A1058" s="96" t="s">
        <v>1542</v>
      </c>
    </row>
    <row r="1059" spans="1:1" x14ac:dyDescent="0.25">
      <c r="A1059" s="98" t="s">
        <v>1543</v>
      </c>
    </row>
    <row r="1060" spans="1:1" x14ac:dyDescent="0.25">
      <c r="A1060" s="98" t="s">
        <v>1544</v>
      </c>
    </row>
    <row r="1061" spans="1:1" x14ac:dyDescent="0.25">
      <c r="A1061" s="98" t="s">
        <v>1545</v>
      </c>
    </row>
    <row r="1062" spans="1:1" x14ac:dyDescent="0.25">
      <c r="A1062" s="98" t="s">
        <v>1546</v>
      </c>
    </row>
    <row r="1063" spans="1:1" x14ac:dyDescent="0.25">
      <c r="A1063" s="98" t="s">
        <v>1547</v>
      </c>
    </row>
    <row r="1064" spans="1:1" x14ac:dyDescent="0.25">
      <c r="A1064" s="98" t="s">
        <v>1548</v>
      </c>
    </row>
    <row r="1065" spans="1:1" x14ac:dyDescent="0.25">
      <c r="A1065" s="96" t="s">
        <v>1549</v>
      </c>
    </row>
    <row r="1066" spans="1:1" x14ac:dyDescent="0.25">
      <c r="A1066" s="96" t="s">
        <v>1550</v>
      </c>
    </row>
    <row r="1067" spans="1:1" x14ac:dyDescent="0.25">
      <c r="A1067" s="98" t="s">
        <v>1551</v>
      </c>
    </row>
    <row r="1068" spans="1:1" x14ac:dyDescent="0.25">
      <c r="A1068" s="98" t="s">
        <v>1552</v>
      </c>
    </row>
    <row r="1069" spans="1:1" x14ac:dyDescent="0.25">
      <c r="A1069" s="98" t="s">
        <v>1553</v>
      </c>
    </row>
    <row r="1070" spans="1:1" x14ac:dyDescent="0.25">
      <c r="A1070" s="98" t="s">
        <v>1554</v>
      </c>
    </row>
    <row r="1071" spans="1:1" x14ac:dyDescent="0.25">
      <c r="A1071" s="98" t="s">
        <v>1555</v>
      </c>
    </row>
    <row r="1072" spans="1:1" x14ac:dyDescent="0.25">
      <c r="A1072" s="98" t="s">
        <v>1556</v>
      </c>
    </row>
    <row r="1073" spans="1:1" x14ac:dyDescent="0.25">
      <c r="A1073" s="96" t="s">
        <v>1557</v>
      </c>
    </row>
    <row r="1074" spans="1:1" x14ac:dyDescent="0.25">
      <c r="A1074" s="96" t="s">
        <v>1558</v>
      </c>
    </row>
    <row r="1075" spans="1:1" x14ac:dyDescent="0.25">
      <c r="A1075" s="98" t="s">
        <v>1559</v>
      </c>
    </row>
    <row r="1076" spans="1:1" x14ac:dyDescent="0.25">
      <c r="A1076" s="98" t="s">
        <v>1560</v>
      </c>
    </row>
    <row r="1077" spans="1:1" x14ac:dyDescent="0.25">
      <c r="A1077" s="98" t="s">
        <v>1561</v>
      </c>
    </row>
    <row r="1078" spans="1:1" x14ac:dyDescent="0.25">
      <c r="A1078" s="98" t="s">
        <v>1562</v>
      </c>
    </row>
    <row r="1079" spans="1:1" x14ac:dyDescent="0.25">
      <c r="A1079" s="98" t="s">
        <v>1563</v>
      </c>
    </row>
    <row r="1080" spans="1:1" x14ac:dyDescent="0.25">
      <c r="A1080" s="98" t="s">
        <v>1564</v>
      </c>
    </row>
    <row r="1081" spans="1:1" x14ac:dyDescent="0.25">
      <c r="A1081" s="96" t="s">
        <v>1565</v>
      </c>
    </row>
    <row r="1082" spans="1:1" x14ac:dyDescent="0.25">
      <c r="A1082" s="96" t="s">
        <v>1566</v>
      </c>
    </row>
    <row r="1083" spans="1:1" x14ac:dyDescent="0.25">
      <c r="A1083" s="98" t="s">
        <v>1567</v>
      </c>
    </row>
    <row r="1084" spans="1:1" x14ac:dyDescent="0.25">
      <c r="A1084" s="98" t="s">
        <v>1568</v>
      </c>
    </row>
    <row r="1085" spans="1:1" x14ac:dyDescent="0.25">
      <c r="A1085" s="98" t="s">
        <v>1569</v>
      </c>
    </row>
    <row r="1086" spans="1:1" x14ac:dyDescent="0.25">
      <c r="A1086" s="98" t="s">
        <v>1570</v>
      </c>
    </row>
    <row r="1087" spans="1:1" x14ac:dyDescent="0.25">
      <c r="A1087" s="98" t="s">
        <v>1571</v>
      </c>
    </row>
    <row r="1088" spans="1:1" x14ac:dyDescent="0.25">
      <c r="A1088" s="98" t="s">
        <v>1572</v>
      </c>
    </row>
    <row r="1089" spans="1:1" x14ac:dyDescent="0.25">
      <c r="A1089" s="96" t="s">
        <v>1573</v>
      </c>
    </row>
    <row r="1090" spans="1:1" x14ac:dyDescent="0.25">
      <c r="A1090" s="96" t="s">
        <v>1574</v>
      </c>
    </row>
    <row r="1091" spans="1:1" x14ac:dyDescent="0.25">
      <c r="A1091" s="98" t="s">
        <v>1575</v>
      </c>
    </row>
    <row r="1092" spans="1:1" x14ac:dyDescent="0.25">
      <c r="A1092" s="98" t="s">
        <v>1576</v>
      </c>
    </row>
    <row r="1093" spans="1:1" x14ac:dyDescent="0.25">
      <c r="A1093" s="98" t="s">
        <v>1577</v>
      </c>
    </row>
    <row r="1094" spans="1:1" x14ac:dyDescent="0.25">
      <c r="A1094" s="98" t="s">
        <v>1578</v>
      </c>
    </row>
    <row r="1095" spans="1:1" x14ac:dyDescent="0.25">
      <c r="A1095" s="98" t="s">
        <v>1579</v>
      </c>
    </row>
    <row r="1096" spans="1:1" x14ac:dyDescent="0.25">
      <c r="A1096" s="98" t="s">
        <v>1580</v>
      </c>
    </row>
    <row r="1097" spans="1:1" x14ac:dyDescent="0.25">
      <c r="A1097" s="96" t="s">
        <v>1581</v>
      </c>
    </row>
    <row r="1098" spans="1:1" x14ac:dyDescent="0.25">
      <c r="A1098" s="96" t="s">
        <v>1582</v>
      </c>
    </row>
    <row r="1099" spans="1:1" x14ac:dyDescent="0.25">
      <c r="A1099" s="98" t="s">
        <v>1583</v>
      </c>
    </row>
    <row r="1100" spans="1:1" x14ac:dyDescent="0.25">
      <c r="A1100" s="98" t="s">
        <v>1584</v>
      </c>
    </row>
    <row r="1101" spans="1:1" x14ac:dyDescent="0.25">
      <c r="A1101" s="98" t="s">
        <v>1585</v>
      </c>
    </row>
    <row r="1102" spans="1:1" x14ac:dyDescent="0.25">
      <c r="A1102" s="96" t="s">
        <v>1586</v>
      </c>
    </row>
    <row r="1103" spans="1:1" x14ac:dyDescent="0.25">
      <c r="A1103" s="98" t="s">
        <v>1587</v>
      </c>
    </row>
    <row r="1104" spans="1:1" x14ac:dyDescent="0.25">
      <c r="A1104" s="98" t="s">
        <v>1588</v>
      </c>
    </row>
    <row r="1105" spans="1:1" x14ac:dyDescent="0.25">
      <c r="A1105" s="98" t="s">
        <v>1589</v>
      </c>
    </row>
    <row r="1106" spans="1:1" x14ac:dyDescent="0.25">
      <c r="A1106" s="96" t="s">
        <v>1590</v>
      </c>
    </row>
    <row r="1107" spans="1:1" x14ac:dyDescent="0.25">
      <c r="A1107" s="96" t="s">
        <v>1591</v>
      </c>
    </row>
    <row r="1108" spans="1:1" x14ac:dyDescent="0.25">
      <c r="A1108" s="96" t="s">
        <v>1592</v>
      </c>
    </row>
    <row r="1109" spans="1:1" x14ac:dyDescent="0.25">
      <c r="A1109" t="s">
        <v>1595</v>
      </c>
    </row>
    <row r="1110" spans="1:1" x14ac:dyDescent="0.25">
      <c r="A1110" t="s">
        <v>1596</v>
      </c>
    </row>
    <row r="1111" spans="1:1" x14ac:dyDescent="0.25">
      <c r="A1111" s="96" t="s">
        <v>1597</v>
      </c>
    </row>
    <row r="1112" spans="1:1" x14ac:dyDescent="0.25">
      <c r="A1112" s="96" t="s">
        <v>1598</v>
      </c>
    </row>
    <row r="1113" spans="1:1" x14ac:dyDescent="0.25">
      <c r="A1113" s="96" t="s">
        <v>1599</v>
      </c>
    </row>
    <row r="1114" spans="1:1" x14ac:dyDescent="0.25">
      <c r="A1114" s="98" t="s">
        <v>1600</v>
      </c>
    </row>
    <row r="1115" spans="1:1" x14ac:dyDescent="0.25">
      <c r="A1115" s="96" t="s">
        <v>1601</v>
      </c>
    </row>
    <row r="1116" spans="1:1" x14ac:dyDescent="0.25">
      <c r="A1116" s="26" t="s">
        <v>1602</v>
      </c>
    </row>
    <row r="1117" spans="1:1" x14ac:dyDescent="0.25">
      <c r="A1117" s="98" t="s">
        <v>1603</v>
      </c>
    </row>
    <row r="1118" spans="1:1" x14ac:dyDescent="0.25">
      <c r="A1118" s="98" t="s">
        <v>1604</v>
      </c>
    </row>
    <row r="1119" spans="1:1" x14ac:dyDescent="0.25">
      <c r="A1119" s="98" t="s">
        <v>1605</v>
      </c>
    </row>
    <row r="1120" spans="1:1" x14ac:dyDescent="0.25">
      <c r="A1120" s="96" t="s">
        <v>1606</v>
      </c>
    </row>
    <row r="1121" spans="1:1" x14ac:dyDescent="0.25">
      <c r="A1121" s="98" t="s">
        <v>1607</v>
      </c>
    </row>
    <row r="1122" spans="1:1" x14ac:dyDescent="0.25">
      <c r="A1122" s="96" t="s">
        <v>1608</v>
      </c>
    </row>
    <row r="1123" spans="1:1" x14ac:dyDescent="0.25">
      <c r="A1123" s="98" t="s">
        <v>1609</v>
      </c>
    </row>
    <row r="1124" spans="1:1" x14ac:dyDescent="0.25">
      <c r="A1124" s="96" t="s">
        <v>1610</v>
      </c>
    </row>
    <row r="1125" spans="1:1" x14ac:dyDescent="0.25">
      <c r="A1125" s="26" t="s">
        <v>1611</v>
      </c>
    </row>
    <row r="1126" spans="1:1" x14ac:dyDescent="0.25">
      <c r="A1126" s="98" t="s">
        <v>1612</v>
      </c>
    </row>
    <row r="1127" spans="1:1" x14ac:dyDescent="0.25">
      <c r="A1127" s="98" t="s">
        <v>1613</v>
      </c>
    </row>
    <row r="1128" spans="1:1" x14ac:dyDescent="0.25">
      <c r="A1128" s="98" t="s">
        <v>1614</v>
      </c>
    </row>
    <row r="1129" spans="1:1" x14ac:dyDescent="0.25">
      <c r="A1129" s="98" t="s">
        <v>1615</v>
      </c>
    </row>
    <row r="1130" spans="1:1" x14ac:dyDescent="0.25">
      <c r="A1130" s="98" t="s">
        <v>1616</v>
      </c>
    </row>
    <row r="1131" spans="1:1" x14ac:dyDescent="0.25">
      <c r="A1131" s="96" t="s">
        <v>1617</v>
      </c>
    </row>
    <row r="1132" spans="1:1" x14ac:dyDescent="0.25">
      <c r="A1132" s="96" t="s">
        <v>1618</v>
      </c>
    </row>
    <row r="1133" spans="1:1" x14ac:dyDescent="0.25">
      <c r="A1133" s="98" t="s">
        <v>1619</v>
      </c>
    </row>
    <row r="1134" spans="1:1" x14ac:dyDescent="0.25">
      <c r="A1134" s="96" t="s">
        <v>1620</v>
      </c>
    </row>
    <row r="1135" spans="1:1" x14ac:dyDescent="0.25">
      <c r="A1135" s="98" t="s">
        <v>1621</v>
      </c>
    </row>
    <row r="1136" spans="1:1" x14ac:dyDescent="0.25">
      <c r="A1136" s="98" t="s">
        <v>1622</v>
      </c>
    </row>
    <row r="1137" spans="1:1" x14ac:dyDescent="0.25">
      <c r="A1137" s="98" t="s">
        <v>1623</v>
      </c>
    </row>
    <row r="1138" spans="1:1" x14ac:dyDescent="0.25">
      <c r="A1138" s="98" t="s">
        <v>1624</v>
      </c>
    </row>
    <row r="1139" spans="1:1" x14ac:dyDescent="0.25">
      <c r="A1139" s="98" t="s">
        <v>1625</v>
      </c>
    </row>
    <row r="1140" spans="1:1" x14ac:dyDescent="0.25">
      <c r="A1140" s="96" t="s">
        <v>1626</v>
      </c>
    </row>
    <row r="1141" spans="1:1" x14ac:dyDescent="0.25">
      <c r="A1141" s="96" t="s">
        <v>1627</v>
      </c>
    </row>
    <row r="1142" spans="1:1" x14ac:dyDescent="0.25">
      <c r="A1142" s="98" t="s">
        <v>1628</v>
      </c>
    </row>
    <row r="1143" spans="1:1" x14ac:dyDescent="0.25">
      <c r="A1143" s="96" t="s">
        <v>1629</v>
      </c>
    </row>
    <row r="1144" spans="1:1" x14ac:dyDescent="0.25">
      <c r="A1144" s="98" t="s">
        <v>1630</v>
      </c>
    </row>
    <row r="1145" spans="1:1" x14ac:dyDescent="0.25">
      <c r="A1145" s="98" t="s">
        <v>1631</v>
      </c>
    </row>
    <row r="1146" spans="1:1" x14ac:dyDescent="0.25">
      <c r="A1146" s="98" t="s">
        <v>1632</v>
      </c>
    </row>
    <row r="1147" spans="1:1" x14ac:dyDescent="0.25">
      <c r="A1147" s="98" t="s">
        <v>1633</v>
      </c>
    </row>
    <row r="1148" spans="1:1" x14ac:dyDescent="0.25">
      <c r="A1148" s="98" t="s">
        <v>1634</v>
      </c>
    </row>
    <row r="1149" spans="1:1" x14ac:dyDescent="0.25">
      <c r="A1149" s="96" t="s">
        <v>1635</v>
      </c>
    </row>
    <row r="1150" spans="1:1" x14ac:dyDescent="0.25">
      <c r="A1150" s="96" t="s">
        <v>1636</v>
      </c>
    </row>
    <row r="1151" spans="1:1" x14ac:dyDescent="0.25">
      <c r="A1151" s="98" t="s">
        <v>1637</v>
      </c>
    </row>
    <row r="1152" spans="1:1" x14ac:dyDescent="0.25">
      <c r="A1152" s="96" t="s">
        <v>1638</v>
      </c>
    </row>
    <row r="1153" spans="1:1" x14ac:dyDescent="0.25">
      <c r="A1153" s="98" t="s">
        <v>1639</v>
      </c>
    </row>
    <row r="1154" spans="1:1" x14ac:dyDescent="0.25">
      <c r="A1154" s="98" t="s">
        <v>1640</v>
      </c>
    </row>
    <row r="1155" spans="1:1" x14ac:dyDescent="0.25">
      <c r="A1155" s="98" t="s">
        <v>1641</v>
      </c>
    </row>
    <row r="1156" spans="1:1" x14ac:dyDescent="0.25">
      <c r="A1156" s="98" t="s">
        <v>1642</v>
      </c>
    </row>
    <row r="1157" spans="1:1" x14ac:dyDescent="0.25">
      <c r="A1157" s="98" t="s">
        <v>1643</v>
      </c>
    </row>
    <row r="1158" spans="1:1" x14ac:dyDescent="0.25">
      <c r="A1158" s="96" t="s">
        <v>1644</v>
      </c>
    </row>
    <row r="1159" spans="1:1" x14ac:dyDescent="0.25">
      <c r="A1159" s="96" t="s">
        <v>1645</v>
      </c>
    </row>
    <row r="1160" spans="1:1" x14ac:dyDescent="0.25">
      <c r="A1160" s="98" t="s">
        <v>1646</v>
      </c>
    </row>
    <row r="1161" spans="1:1" x14ac:dyDescent="0.25">
      <c r="A1161" s="96" t="s">
        <v>1647</v>
      </c>
    </row>
    <row r="1162" spans="1:1" x14ac:dyDescent="0.25">
      <c r="A1162" s="98" t="s">
        <v>1648</v>
      </c>
    </row>
    <row r="1163" spans="1:1" x14ac:dyDescent="0.25">
      <c r="A1163" s="98" t="s">
        <v>1649</v>
      </c>
    </row>
    <row r="1164" spans="1:1" x14ac:dyDescent="0.25">
      <c r="A1164" s="98" t="s">
        <v>1650</v>
      </c>
    </row>
    <row r="1165" spans="1:1" x14ac:dyDescent="0.25">
      <c r="A1165" s="98" t="s">
        <v>1651</v>
      </c>
    </row>
    <row r="1166" spans="1:1" x14ac:dyDescent="0.25">
      <c r="A1166" s="98" t="s">
        <v>1652</v>
      </c>
    </row>
    <row r="1167" spans="1:1" x14ac:dyDescent="0.25">
      <c r="A1167" s="96" t="s">
        <v>1653</v>
      </c>
    </row>
    <row r="1168" spans="1:1" x14ac:dyDescent="0.25">
      <c r="A1168" s="96" t="s">
        <v>1654</v>
      </c>
    </row>
    <row r="1169" spans="1:1" x14ac:dyDescent="0.25">
      <c r="A1169" s="98" t="s">
        <v>1655</v>
      </c>
    </row>
    <row r="1170" spans="1:1" x14ac:dyDescent="0.25">
      <c r="A1170" s="96" t="s">
        <v>1656</v>
      </c>
    </row>
    <row r="1171" spans="1:1" x14ac:dyDescent="0.25">
      <c r="A1171" s="98" t="s">
        <v>1657</v>
      </c>
    </row>
    <row r="1172" spans="1:1" x14ac:dyDescent="0.25">
      <c r="A1172" s="98" t="s">
        <v>1658</v>
      </c>
    </row>
    <row r="1173" spans="1:1" x14ac:dyDescent="0.25">
      <c r="A1173" s="98" t="s">
        <v>1659</v>
      </c>
    </row>
    <row r="1174" spans="1:1" x14ac:dyDescent="0.25">
      <c r="A1174" s="98" t="s">
        <v>1660</v>
      </c>
    </row>
    <row r="1175" spans="1:1" x14ac:dyDescent="0.25">
      <c r="A1175" s="98" t="s">
        <v>1661</v>
      </c>
    </row>
    <row r="1176" spans="1:1" x14ac:dyDescent="0.25">
      <c r="A1176" s="96" t="s">
        <v>1662</v>
      </c>
    </row>
    <row r="1177" spans="1:1" x14ac:dyDescent="0.25">
      <c r="A1177" s="96" t="s">
        <v>1663</v>
      </c>
    </row>
    <row r="1178" spans="1:1" x14ac:dyDescent="0.25">
      <c r="A1178" s="98" t="s">
        <v>1664</v>
      </c>
    </row>
    <row r="1179" spans="1:1" x14ac:dyDescent="0.25">
      <c r="A1179" s="96" t="s">
        <v>1665</v>
      </c>
    </row>
    <row r="1180" spans="1:1" x14ac:dyDescent="0.25">
      <c r="A1180" s="98" t="s">
        <v>1666</v>
      </c>
    </row>
    <row r="1181" spans="1:1" x14ac:dyDescent="0.25">
      <c r="A1181" s="98" t="s">
        <v>1667</v>
      </c>
    </row>
    <row r="1182" spans="1:1" x14ac:dyDescent="0.25">
      <c r="A1182" s="98" t="s">
        <v>1668</v>
      </c>
    </row>
    <row r="1183" spans="1:1" x14ac:dyDescent="0.25">
      <c r="A1183" s="98" t="s">
        <v>1669</v>
      </c>
    </row>
    <row r="1184" spans="1:1" x14ac:dyDescent="0.25">
      <c r="A1184" s="98" t="s">
        <v>1670</v>
      </c>
    </row>
    <row r="1185" spans="1:1" x14ac:dyDescent="0.25">
      <c r="A1185" s="96" t="s">
        <v>1671</v>
      </c>
    </row>
    <row r="1186" spans="1:1" x14ac:dyDescent="0.25">
      <c r="A1186" s="96" t="s">
        <v>1672</v>
      </c>
    </row>
    <row r="1187" spans="1:1" x14ac:dyDescent="0.25">
      <c r="A1187" s="98" t="s">
        <v>1673</v>
      </c>
    </row>
    <row r="1188" spans="1:1" x14ac:dyDescent="0.25">
      <c r="A1188" s="96" t="s">
        <v>1674</v>
      </c>
    </row>
    <row r="1189" spans="1:1" x14ac:dyDescent="0.25">
      <c r="A1189" s="98" t="s">
        <v>1675</v>
      </c>
    </row>
    <row r="1190" spans="1:1" x14ac:dyDescent="0.25">
      <c r="A1190" s="98" t="s">
        <v>1676</v>
      </c>
    </row>
    <row r="1191" spans="1:1" x14ac:dyDescent="0.25">
      <c r="A1191" s="98" t="s">
        <v>1677</v>
      </c>
    </row>
    <row r="1192" spans="1:1" x14ac:dyDescent="0.25">
      <c r="A1192" s="98" t="s">
        <v>1678</v>
      </c>
    </row>
    <row r="1193" spans="1:1" x14ac:dyDescent="0.25">
      <c r="A1193" s="98" t="s">
        <v>1679</v>
      </c>
    </row>
    <row r="1194" spans="1:1" x14ac:dyDescent="0.25">
      <c r="A1194" s="96" t="s">
        <v>1680</v>
      </c>
    </row>
    <row r="1195" spans="1:1" x14ac:dyDescent="0.25">
      <c r="A1195" s="96" t="s">
        <v>1681</v>
      </c>
    </row>
    <row r="1196" spans="1:1" x14ac:dyDescent="0.25">
      <c r="A1196" s="98" t="s">
        <v>1682</v>
      </c>
    </row>
    <row r="1197" spans="1:1" x14ac:dyDescent="0.25">
      <c r="A1197" s="96" t="s">
        <v>1683</v>
      </c>
    </row>
    <row r="1198" spans="1:1" x14ac:dyDescent="0.25">
      <c r="A1198" s="98" t="s">
        <v>1684</v>
      </c>
    </row>
    <row r="1199" spans="1:1" x14ac:dyDescent="0.25">
      <c r="A1199" s="98" t="s">
        <v>1685</v>
      </c>
    </row>
    <row r="1200" spans="1:1" x14ac:dyDescent="0.25">
      <c r="A1200" s="98" t="s">
        <v>1686</v>
      </c>
    </row>
    <row r="1201" spans="1:1" x14ac:dyDescent="0.25">
      <c r="A1201" s="98" t="s">
        <v>1687</v>
      </c>
    </row>
    <row r="1202" spans="1:1" x14ac:dyDescent="0.25">
      <c r="A1202" s="98" t="s">
        <v>1688</v>
      </c>
    </row>
    <row r="1203" spans="1:1" x14ac:dyDescent="0.25">
      <c r="A1203" s="96" t="s">
        <v>1689</v>
      </c>
    </row>
    <row r="1204" spans="1:1" x14ac:dyDescent="0.25">
      <c r="A1204" s="96" t="s">
        <v>1690</v>
      </c>
    </row>
    <row r="1205" spans="1:1" x14ac:dyDescent="0.25">
      <c r="A1205" s="98" t="s">
        <v>1691</v>
      </c>
    </row>
    <row r="1206" spans="1:1" x14ac:dyDescent="0.25">
      <c r="A1206" s="96" t="s">
        <v>1692</v>
      </c>
    </row>
    <row r="1207" spans="1:1" x14ac:dyDescent="0.25">
      <c r="A1207" s="98" t="s">
        <v>1693</v>
      </c>
    </row>
    <row r="1208" spans="1:1" x14ac:dyDescent="0.25">
      <c r="A1208" s="98" t="s">
        <v>1694</v>
      </c>
    </row>
    <row r="1209" spans="1:1" x14ac:dyDescent="0.25">
      <c r="A1209" s="98" t="s">
        <v>1695</v>
      </c>
    </row>
    <row r="1210" spans="1:1" x14ac:dyDescent="0.25">
      <c r="A1210" s="98" t="s">
        <v>1696</v>
      </c>
    </row>
    <row r="1211" spans="1:1" x14ac:dyDescent="0.25">
      <c r="A1211" s="98" t="s">
        <v>1697</v>
      </c>
    </row>
    <row r="1212" spans="1:1" x14ac:dyDescent="0.25">
      <c r="A1212" s="96" t="s">
        <v>1698</v>
      </c>
    </row>
    <row r="1213" spans="1:1" x14ac:dyDescent="0.25">
      <c r="A1213" s="96" t="s">
        <v>1699</v>
      </c>
    </row>
    <row r="1214" spans="1:1" x14ac:dyDescent="0.25">
      <c r="A1214" s="98" t="s">
        <v>1700</v>
      </c>
    </row>
    <row r="1215" spans="1:1" x14ac:dyDescent="0.25">
      <c r="A1215" s="96" t="s">
        <v>1701</v>
      </c>
    </row>
    <row r="1216" spans="1:1" x14ac:dyDescent="0.25">
      <c r="A1216" s="98" t="s">
        <v>1702</v>
      </c>
    </row>
    <row r="1217" spans="1:1" x14ac:dyDescent="0.25">
      <c r="A1217" s="98" t="s">
        <v>1703</v>
      </c>
    </row>
    <row r="1218" spans="1:1" x14ac:dyDescent="0.25">
      <c r="A1218" s="98" t="s">
        <v>1704</v>
      </c>
    </row>
    <row r="1219" spans="1:1" x14ac:dyDescent="0.25">
      <c r="A1219" s="96" t="s">
        <v>1705</v>
      </c>
    </row>
    <row r="1220" spans="1:1" x14ac:dyDescent="0.25">
      <c r="A1220" s="98" t="s">
        <v>1706</v>
      </c>
    </row>
    <row r="1221" spans="1:1" x14ac:dyDescent="0.25">
      <c r="A1221" s="98" t="s">
        <v>1707</v>
      </c>
    </row>
    <row r="1222" spans="1:1" x14ac:dyDescent="0.25">
      <c r="A1222" s="96" t="s">
        <v>1708</v>
      </c>
    </row>
    <row r="1223" spans="1:1" x14ac:dyDescent="0.25">
      <c r="A1223" s="98" t="s">
        <v>1709</v>
      </c>
    </row>
    <row r="1224" spans="1:1" x14ac:dyDescent="0.25">
      <c r="A1224" s="98" t="s">
        <v>1710</v>
      </c>
    </row>
    <row r="1225" spans="1:1" x14ac:dyDescent="0.25">
      <c r="A1225" s="96" t="s">
        <v>1711</v>
      </c>
    </row>
    <row r="1226" spans="1:1" x14ac:dyDescent="0.25">
      <c r="A1226" s="98" t="s">
        <v>1712</v>
      </c>
    </row>
    <row r="1227" spans="1:1" x14ac:dyDescent="0.25">
      <c r="A1227" s="98" t="s">
        <v>1713</v>
      </c>
    </row>
    <row r="1228" spans="1:1" x14ac:dyDescent="0.25">
      <c r="A1228" s="96" t="s">
        <v>1714</v>
      </c>
    </row>
    <row r="1229" spans="1:1" x14ac:dyDescent="0.25">
      <c r="A1229" s="98" t="s">
        <v>1715</v>
      </c>
    </row>
    <row r="1230" spans="1:1" x14ac:dyDescent="0.25">
      <c r="A1230" s="98" t="s">
        <v>1716</v>
      </c>
    </row>
    <row r="1231" spans="1:1" x14ac:dyDescent="0.25">
      <c r="A1231" s="96" t="s">
        <v>1717</v>
      </c>
    </row>
    <row r="1232" spans="1:1" x14ac:dyDescent="0.25">
      <c r="A1232" s="98" t="s">
        <v>1718</v>
      </c>
    </row>
    <row r="1233" spans="1:1" x14ac:dyDescent="0.25">
      <c r="A1233" s="98" t="s">
        <v>1719</v>
      </c>
    </row>
    <row r="1234" spans="1:1" x14ac:dyDescent="0.25">
      <c r="A1234" s="96" t="s">
        <v>1720</v>
      </c>
    </row>
    <row r="1235" spans="1:1" x14ac:dyDescent="0.25">
      <c r="A1235" s="98" t="s">
        <v>1721</v>
      </c>
    </row>
    <row r="1236" spans="1:1" x14ac:dyDescent="0.25">
      <c r="A1236" s="98" t="s">
        <v>1722</v>
      </c>
    </row>
    <row r="1237" spans="1:1" x14ac:dyDescent="0.25">
      <c r="A1237" s="96" t="s">
        <v>1723</v>
      </c>
    </row>
    <row r="1238" spans="1:1" x14ac:dyDescent="0.25">
      <c r="A1238" s="98" t="s">
        <v>1724</v>
      </c>
    </row>
    <row r="1239" spans="1:1" x14ac:dyDescent="0.25">
      <c r="A1239" s="98" t="s">
        <v>1725</v>
      </c>
    </row>
    <row r="1240" spans="1:1" x14ac:dyDescent="0.25">
      <c r="A1240" s="96" t="s">
        <v>1726</v>
      </c>
    </row>
    <row r="1241" spans="1:1" x14ac:dyDescent="0.25">
      <c r="A1241" s="98" t="s">
        <v>1727</v>
      </c>
    </row>
    <row r="1242" spans="1:1" x14ac:dyDescent="0.25">
      <c r="A1242" s="98" t="s">
        <v>1728</v>
      </c>
    </row>
    <row r="1243" spans="1:1" x14ac:dyDescent="0.25">
      <c r="A1243" s="96" t="s">
        <v>1729</v>
      </c>
    </row>
    <row r="1244" spans="1:1" x14ac:dyDescent="0.25">
      <c r="A1244" s="98" t="s">
        <v>1730</v>
      </c>
    </row>
    <row r="1245" spans="1:1" x14ac:dyDescent="0.25">
      <c r="A1245" s="98" t="s">
        <v>1731</v>
      </c>
    </row>
    <row r="1246" spans="1:1" x14ac:dyDescent="0.25">
      <c r="A1246" s="96" t="s">
        <v>1732</v>
      </c>
    </row>
    <row r="1247" spans="1:1" x14ac:dyDescent="0.25">
      <c r="A1247" s="98" t="s">
        <v>1733</v>
      </c>
    </row>
    <row r="1248" spans="1:1" x14ac:dyDescent="0.25">
      <c r="A1248" s="98" t="s">
        <v>1734</v>
      </c>
    </row>
    <row r="1249" spans="1:1" x14ac:dyDescent="0.25">
      <c r="A1249" s="96" t="s">
        <v>1735</v>
      </c>
    </row>
    <row r="1250" spans="1:1" x14ac:dyDescent="0.25">
      <c r="A1250" s="98" t="s">
        <v>1736</v>
      </c>
    </row>
    <row r="1251" spans="1:1" x14ac:dyDescent="0.25">
      <c r="A1251" s="98" t="s">
        <v>1737</v>
      </c>
    </row>
    <row r="1252" spans="1:1" x14ac:dyDescent="0.25">
      <c r="A1252" s="98" t="s">
        <v>1738</v>
      </c>
    </row>
    <row r="1253" spans="1:1" x14ac:dyDescent="0.25">
      <c r="A1253" s="98" t="s">
        <v>1739</v>
      </c>
    </row>
    <row r="1254" spans="1:1" x14ac:dyDescent="0.25">
      <c r="A1254" s="96" t="s">
        <v>1740</v>
      </c>
    </row>
    <row r="1255" spans="1:1" x14ac:dyDescent="0.25">
      <c r="A1255" s="96" t="s">
        <v>1741</v>
      </c>
    </row>
    <row r="1256" spans="1:1" x14ac:dyDescent="0.25">
      <c r="A1256" s="98" t="s">
        <v>1742</v>
      </c>
    </row>
    <row r="1257" spans="1:1" x14ac:dyDescent="0.25">
      <c r="A1257" s="96" t="s">
        <v>1743</v>
      </c>
    </row>
    <row r="1258" spans="1:1" x14ac:dyDescent="0.25">
      <c r="A1258" s="98" t="s">
        <v>1744</v>
      </c>
    </row>
    <row r="1259" spans="1:1" x14ac:dyDescent="0.25">
      <c r="A1259" s="98" t="s">
        <v>1745</v>
      </c>
    </row>
    <row r="1260" spans="1:1" x14ac:dyDescent="0.25">
      <c r="A1260" s="98" t="s">
        <v>1746</v>
      </c>
    </row>
    <row r="1261" spans="1:1" x14ac:dyDescent="0.25">
      <c r="A1261" s="98" t="s">
        <v>1747</v>
      </c>
    </row>
    <row r="1262" spans="1:1" x14ac:dyDescent="0.25">
      <c r="A1262" s="98" t="s">
        <v>1748</v>
      </c>
    </row>
    <row r="1263" spans="1:1" x14ac:dyDescent="0.25">
      <c r="A1263" s="96" t="s">
        <v>1749</v>
      </c>
    </row>
    <row r="1264" spans="1:1" x14ac:dyDescent="0.25">
      <c r="A1264" s="96" t="s">
        <v>1750</v>
      </c>
    </row>
    <row r="1265" spans="1:1" x14ac:dyDescent="0.25">
      <c r="A1265" s="98" t="s">
        <v>1751</v>
      </c>
    </row>
    <row r="1266" spans="1:1" x14ac:dyDescent="0.25">
      <c r="A1266" s="96" t="s">
        <v>1752</v>
      </c>
    </row>
    <row r="1267" spans="1:1" x14ac:dyDescent="0.25">
      <c r="A1267" s="98" t="s">
        <v>1753</v>
      </c>
    </row>
    <row r="1268" spans="1:1" x14ac:dyDescent="0.25">
      <c r="A1268" s="98" t="s">
        <v>1754</v>
      </c>
    </row>
    <row r="1269" spans="1:1" x14ac:dyDescent="0.25">
      <c r="A1269" s="98" t="s">
        <v>1755</v>
      </c>
    </row>
    <row r="1270" spans="1:1" x14ac:dyDescent="0.25">
      <c r="A1270" s="98" t="s">
        <v>1756</v>
      </c>
    </row>
    <row r="1271" spans="1:1" x14ac:dyDescent="0.25">
      <c r="A1271" s="98" t="s">
        <v>1757</v>
      </c>
    </row>
    <row r="1272" spans="1:1" x14ac:dyDescent="0.25">
      <c r="A1272" s="96" t="s">
        <v>1758</v>
      </c>
    </row>
    <row r="1273" spans="1:1" x14ac:dyDescent="0.25">
      <c r="A1273" s="96" t="s">
        <v>1759</v>
      </c>
    </row>
    <row r="1274" spans="1:1" x14ac:dyDescent="0.25">
      <c r="A1274" s="98" t="s">
        <v>1760</v>
      </c>
    </row>
    <row r="1275" spans="1:1" x14ac:dyDescent="0.25">
      <c r="A1275" s="96" t="s">
        <v>1761</v>
      </c>
    </row>
    <row r="1276" spans="1:1" x14ac:dyDescent="0.25">
      <c r="A1276" s="98" t="s">
        <v>1762</v>
      </c>
    </row>
    <row r="1277" spans="1:1" x14ac:dyDescent="0.25">
      <c r="A1277" s="98" t="s">
        <v>1763</v>
      </c>
    </row>
    <row r="1278" spans="1:1" x14ac:dyDescent="0.25">
      <c r="A1278" s="98" t="s">
        <v>1764</v>
      </c>
    </row>
    <row r="1279" spans="1:1" x14ac:dyDescent="0.25">
      <c r="A1279" s="98" t="s">
        <v>1765</v>
      </c>
    </row>
    <row r="1280" spans="1:1" x14ac:dyDescent="0.25">
      <c r="A1280" s="98" t="s">
        <v>1766</v>
      </c>
    </row>
    <row r="1281" spans="1:1" x14ac:dyDescent="0.25">
      <c r="A1281" s="96" t="s">
        <v>1767</v>
      </c>
    </row>
    <row r="1282" spans="1:1" x14ac:dyDescent="0.25">
      <c r="A1282" s="96" t="s">
        <v>1768</v>
      </c>
    </row>
    <row r="1283" spans="1:1" x14ac:dyDescent="0.25">
      <c r="A1283" s="98" t="s">
        <v>1769</v>
      </c>
    </row>
    <row r="1284" spans="1:1" x14ac:dyDescent="0.25">
      <c r="A1284" s="96" t="s">
        <v>1770</v>
      </c>
    </row>
    <row r="1285" spans="1:1" x14ac:dyDescent="0.25">
      <c r="A1285" s="98" t="s">
        <v>1771</v>
      </c>
    </row>
    <row r="1286" spans="1:1" x14ac:dyDescent="0.25">
      <c r="A1286" s="98" t="s">
        <v>1772</v>
      </c>
    </row>
    <row r="1287" spans="1:1" x14ac:dyDescent="0.25">
      <c r="A1287" s="98" t="s">
        <v>1773</v>
      </c>
    </row>
    <row r="1288" spans="1:1" x14ac:dyDescent="0.25">
      <c r="A1288" s="98" t="s">
        <v>1774</v>
      </c>
    </row>
    <row r="1289" spans="1:1" x14ac:dyDescent="0.25">
      <c r="A1289" s="98" t="s">
        <v>1775</v>
      </c>
    </row>
    <row r="1290" spans="1:1" x14ac:dyDescent="0.25">
      <c r="A1290" s="96" t="s">
        <v>1776</v>
      </c>
    </row>
    <row r="1291" spans="1:1" x14ac:dyDescent="0.25">
      <c r="A1291" s="96" t="s">
        <v>1777</v>
      </c>
    </row>
    <row r="1292" spans="1:1" x14ac:dyDescent="0.25">
      <c r="A1292" s="98" t="s">
        <v>1778</v>
      </c>
    </row>
    <row r="1293" spans="1:1" x14ac:dyDescent="0.25">
      <c r="A1293" s="96" t="s">
        <v>1779</v>
      </c>
    </row>
    <row r="1294" spans="1:1" x14ac:dyDescent="0.25">
      <c r="A1294" s="98" t="s">
        <v>1780</v>
      </c>
    </row>
    <row r="1295" spans="1:1" x14ac:dyDescent="0.25">
      <c r="A1295" s="98" t="s">
        <v>1781</v>
      </c>
    </row>
    <row r="1296" spans="1:1" x14ac:dyDescent="0.25">
      <c r="A1296" s="98" t="s">
        <v>1782</v>
      </c>
    </row>
    <row r="1297" spans="1:1" x14ac:dyDescent="0.25">
      <c r="A1297" s="96" t="s">
        <v>1783</v>
      </c>
    </row>
    <row r="1298" spans="1:1" x14ac:dyDescent="0.25">
      <c r="A1298" s="98" t="s">
        <v>1784</v>
      </c>
    </row>
    <row r="1299" spans="1:1" x14ac:dyDescent="0.25">
      <c r="A1299" s="98" t="s">
        <v>1785</v>
      </c>
    </row>
    <row r="1300" spans="1:1" x14ac:dyDescent="0.25">
      <c r="A1300" s="96" t="s">
        <v>1786</v>
      </c>
    </row>
    <row r="1301" spans="1:1" x14ac:dyDescent="0.25">
      <c r="A1301" s="98" t="s">
        <v>1787</v>
      </c>
    </row>
    <row r="1302" spans="1:1" x14ac:dyDescent="0.25">
      <c r="A1302" s="98" t="s">
        <v>1788</v>
      </c>
    </row>
    <row r="1303" spans="1:1" x14ac:dyDescent="0.25">
      <c r="A1303" s="96" t="s">
        <v>1789</v>
      </c>
    </row>
    <row r="1304" spans="1:1" x14ac:dyDescent="0.25">
      <c r="A1304" s="98" t="s">
        <v>1790</v>
      </c>
    </row>
    <row r="1305" spans="1:1" x14ac:dyDescent="0.25">
      <c r="A1305" s="98" t="s">
        <v>1791</v>
      </c>
    </row>
    <row r="1306" spans="1:1" x14ac:dyDescent="0.25">
      <c r="A1306" s="96" t="s">
        <v>1792</v>
      </c>
    </row>
    <row r="1307" spans="1:1" x14ac:dyDescent="0.25">
      <c r="A1307" s="98" t="s">
        <v>1793</v>
      </c>
    </row>
    <row r="1308" spans="1:1" x14ac:dyDescent="0.25">
      <c r="A1308" s="98" t="s">
        <v>1794</v>
      </c>
    </row>
    <row r="1309" spans="1:1" x14ac:dyDescent="0.25">
      <c r="A1309" s="96" t="s">
        <v>1795</v>
      </c>
    </row>
    <row r="1310" spans="1:1" x14ac:dyDescent="0.25">
      <c r="A1310" s="98" t="s">
        <v>1796</v>
      </c>
    </row>
    <row r="1311" spans="1:1" x14ac:dyDescent="0.25">
      <c r="A1311" s="98" t="s">
        <v>1797</v>
      </c>
    </row>
    <row r="1312" spans="1:1" x14ac:dyDescent="0.25">
      <c r="A1312" s="96" t="s">
        <v>1798</v>
      </c>
    </row>
    <row r="1313" spans="1:1" x14ac:dyDescent="0.25">
      <c r="A1313" s="98" t="s">
        <v>1799</v>
      </c>
    </row>
    <row r="1314" spans="1:1" x14ac:dyDescent="0.25">
      <c r="A1314" s="98" t="s">
        <v>1800</v>
      </c>
    </row>
    <row r="1315" spans="1:1" x14ac:dyDescent="0.25">
      <c r="A1315" s="96" t="s">
        <v>1801</v>
      </c>
    </row>
    <row r="1316" spans="1:1" x14ac:dyDescent="0.25">
      <c r="A1316" s="98" t="s">
        <v>1802</v>
      </c>
    </row>
    <row r="1317" spans="1:1" x14ac:dyDescent="0.25">
      <c r="A1317" s="98" t="s">
        <v>1803</v>
      </c>
    </row>
    <row r="1318" spans="1:1" x14ac:dyDescent="0.25">
      <c r="A1318" s="96" t="s">
        <v>1804</v>
      </c>
    </row>
    <row r="1319" spans="1:1" x14ac:dyDescent="0.25">
      <c r="A1319" s="98" t="s">
        <v>1805</v>
      </c>
    </row>
    <row r="1320" spans="1:1" x14ac:dyDescent="0.25">
      <c r="A1320" s="98" t="s">
        <v>1806</v>
      </c>
    </row>
    <row r="1321" spans="1:1" x14ac:dyDescent="0.25">
      <c r="A1321" s="96" t="s">
        <v>1807</v>
      </c>
    </row>
    <row r="1322" spans="1:1" x14ac:dyDescent="0.25">
      <c r="A1322" s="98" t="s">
        <v>1808</v>
      </c>
    </row>
    <row r="1323" spans="1:1" x14ac:dyDescent="0.25">
      <c r="A1323" s="98" t="s">
        <v>1809</v>
      </c>
    </row>
    <row r="1324" spans="1:1" x14ac:dyDescent="0.25">
      <c r="A1324" s="96" t="s">
        <v>1810</v>
      </c>
    </row>
    <row r="1325" spans="1:1" x14ac:dyDescent="0.25">
      <c r="A1325" s="98" t="s">
        <v>1811</v>
      </c>
    </row>
    <row r="1326" spans="1:1" x14ac:dyDescent="0.25">
      <c r="A1326" s="98" t="s">
        <v>1812</v>
      </c>
    </row>
    <row r="1327" spans="1:1" x14ac:dyDescent="0.25">
      <c r="A1327" s="96" t="s">
        <v>1813</v>
      </c>
    </row>
    <row r="1328" spans="1:1" x14ac:dyDescent="0.25">
      <c r="A1328" s="98" t="s">
        <v>1814</v>
      </c>
    </row>
    <row r="1329" spans="1:1" x14ac:dyDescent="0.25">
      <c r="A1329" s="98" t="s">
        <v>1815</v>
      </c>
    </row>
    <row r="1330" spans="1:1" x14ac:dyDescent="0.25">
      <c r="A1330" s="96" t="s">
        <v>1816</v>
      </c>
    </row>
    <row r="1331" spans="1:1" x14ac:dyDescent="0.25">
      <c r="A1331" s="98" t="s">
        <v>1817</v>
      </c>
    </row>
    <row r="1332" spans="1:1" x14ac:dyDescent="0.25">
      <c r="A1332" s="98" t="s">
        <v>1818</v>
      </c>
    </row>
    <row r="1333" spans="1:1" x14ac:dyDescent="0.25">
      <c r="A1333" s="96" t="s">
        <v>1819</v>
      </c>
    </row>
    <row r="1334" spans="1:1" x14ac:dyDescent="0.25">
      <c r="A1334" s="98" t="s">
        <v>1820</v>
      </c>
    </row>
    <row r="1335" spans="1:1" x14ac:dyDescent="0.25">
      <c r="A1335" s="98" t="s">
        <v>1821</v>
      </c>
    </row>
    <row r="1336" spans="1:1" x14ac:dyDescent="0.25">
      <c r="A1336" s="96" t="s">
        <v>1822</v>
      </c>
    </row>
    <row r="1337" spans="1:1" x14ac:dyDescent="0.25">
      <c r="A1337" s="98" t="s">
        <v>1823</v>
      </c>
    </row>
    <row r="1338" spans="1:1" x14ac:dyDescent="0.25">
      <c r="A1338" s="98" t="s">
        <v>1824</v>
      </c>
    </row>
    <row r="1339" spans="1:1" x14ac:dyDescent="0.25">
      <c r="A1339" s="96" t="s">
        <v>1825</v>
      </c>
    </row>
    <row r="1340" spans="1:1" x14ac:dyDescent="0.25">
      <c r="A1340" s="98" t="s">
        <v>1826</v>
      </c>
    </row>
    <row r="1341" spans="1:1" x14ac:dyDescent="0.25">
      <c r="A1341" s="98" t="s">
        <v>1827</v>
      </c>
    </row>
    <row r="1342" spans="1:1" x14ac:dyDescent="0.25">
      <c r="A1342" s="96" t="s">
        <v>1828</v>
      </c>
    </row>
    <row r="1343" spans="1:1" x14ac:dyDescent="0.25">
      <c r="A1343" s="98" t="s">
        <v>1829</v>
      </c>
    </row>
    <row r="1344" spans="1:1" x14ac:dyDescent="0.25">
      <c r="A1344" s="98" t="s">
        <v>1830</v>
      </c>
    </row>
    <row r="1345" spans="1:1" x14ac:dyDescent="0.25">
      <c r="A1345" s="96" t="s">
        <v>1831</v>
      </c>
    </row>
    <row r="1346" spans="1:1" x14ac:dyDescent="0.25">
      <c r="A1346" s="98" t="s">
        <v>1832</v>
      </c>
    </row>
    <row r="1347" spans="1:1" x14ac:dyDescent="0.25">
      <c r="A1347" s="98" t="s">
        <v>1833</v>
      </c>
    </row>
    <row r="1348" spans="1:1" x14ac:dyDescent="0.25">
      <c r="A1348" s="96" t="s">
        <v>1834</v>
      </c>
    </row>
    <row r="1349" spans="1:1" x14ac:dyDescent="0.25">
      <c r="A1349" s="98" t="s">
        <v>1835</v>
      </c>
    </row>
    <row r="1350" spans="1:1" x14ac:dyDescent="0.25">
      <c r="A1350" s="98" t="s">
        <v>1836</v>
      </c>
    </row>
    <row r="1351" spans="1:1" x14ac:dyDescent="0.25">
      <c r="A1351" s="96" t="s">
        <v>1837</v>
      </c>
    </row>
    <row r="1352" spans="1:1" x14ac:dyDescent="0.25">
      <c r="A1352" s="98" t="s">
        <v>1838</v>
      </c>
    </row>
    <row r="1353" spans="1:1" x14ac:dyDescent="0.25">
      <c r="A1353" s="98" t="s">
        <v>1839</v>
      </c>
    </row>
    <row r="1354" spans="1:1" x14ac:dyDescent="0.25">
      <c r="A1354" s="96" t="s">
        <v>1840</v>
      </c>
    </row>
    <row r="1355" spans="1:1" x14ac:dyDescent="0.25">
      <c r="A1355" s="98" t="s">
        <v>1841</v>
      </c>
    </row>
    <row r="1356" spans="1:1" x14ac:dyDescent="0.25">
      <c r="A1356" s="98" t="s">
        <v>1842</v>
      </c>
    </row>
    <row r="1357" spans="1:1" x14ac:dyDescent="0.25">
      <c r="A1357" s="96" t="s">
        <v>1843</v>
      </c>
    </row>
    <row r="1358" spans="1:1" x14ac:dyDescent="0.25">
      <c r="A1358" s="98" t="s">
        <v>1844</v>
      </c>
    </row>
    <row r="1359" spans="1:1" x14ac:dyDescent="0.25">
      <c r="A1359" s="98" t="s">
        <v>1845</v>
      </c>
    </row>
    <row r="1360" spans="1:1" x14ac:dyDescent="0.25">
      <c r="A1360" s="96" t="s">
        <v>1846</v>
      </c>
    </row>
    <row r="1361" spans="1:1" x14ac:dyDescent="0.25">
      <c r="A1361" s="96" t="s">
        <v>1847</v>
      </c>
    </row>
    <row r="1362" spans="1:1" x14ac:dyDescent="0.25">
      <c r="A1362" s="96" t="s">
        <v>1848</v>
      </c>
    </row>
    <row r="1363" spans="1:1" x14ac:dyDescent="0.25">
      <c r="A1363" s="98" t="s">
        <v>1849</v>
      </c>
    </row>
    <row r="1364" spans="1:1" x14ac:dyDescent="0.25">
      <c r="A1364" s="26" t="s">
        <v>1850</v>
      </c>
    </row>
    <row r="1365" spans="1:1" x14ac:dyDescent="0.25">
      <c r="A1365" s="96" t="s">
        <v>1851</v>
      </c>
    </row>
    <row r="1366" spans="1:1" x14ac:dyDescent="0.25">
      <c r="A1366" s="98" t="s">
        <v>1852</v>
      </c>
    </row>
    <row r="1367" spans="1:1" x14ac:dyDescent="0.25">
      <c r="A1367" s="96" t="s">
        <v>1853</v>
      </c>
    </row>
    <row r="1368" spans="1:1" x14ac:dyDescent="0.25">
      <c r="A1368" s="98" t="s">
        <v>1854</v>
      </c>
    </row>
    <row r="1369" spans="1:1" x14ac:dyDescent="0.25">
      <c r="A1369" s="98" t="s">
        <v>1855</v>
      </c>
    </row>
    <row r="1370" spans="1:1" x14ac:dyDescent="0.25">
      <c r="A1370" s="98" t="s">
        <v>1856</v>
      </c>
    </row>
    <row r="1371" spans="1:1" x14ac:dyDescent="0.25">
      <c r="A1371" s="98" t="s">
        <v>1857</v>
      </c>
    </row>
    <row r="1372" spans="1:1" x14ac:dyDescent="0.25">
      <c r="A1372" s="96" t="s">
        <v>1858</v>
      </c>
    </row>
    <row r="1373" spans="1:1" x14ac:dyDescent="0.25">
      <c r="A1373" s="98" t="s">
        <v>1859</v>
      </c>
    </row>
    <row r="1374" spans="1:1" x14ac:dyDescent="0.25">
      <c r="A1374" s="98" t="s">
        <v>1860</v>
      </c>
    </row>
    <row r="1375" spans="1:1" x14ac:dyDescent="0.25">
      <c r="A1375" s="98" t="s">
        <v>1861</v>
      </c>
    </row>
    <row r="1376" spans="1:1" x14ac:dyDescent="0.25">
      <c r="A1376" s="96" t="s">
        <v>1862</v>
      </c>
    </row>
    <row r="1377" spans="1:1" x14ac:dyDescent="0.25">
      <c r="A1377" s="96" t="s">
        <v>1863</v>
      </c>
    </row>
    <row r="1378" spans="1:1" x14ac:dyDescent="0.25">
      <c r="A1378" s="96" t="s">
        <v>1864</v>
      </c>
    </row>
    <row r="1379" spans="1:1" x14ac:dyDescent="0.25">
      <c r="A1379" t="s">
        <v>1867</v>
      </c>
    </row>
    <row r="1380" spans="1:1" x14ac:dyDescent="0.25">
      <c r="A1380" t="s">
        <v>1868</v>
      </c>
    </row>
    <row r="1381" spans="1:1" x14ac:dyDescent="0.25">
      <c r="A1381" s="96" t="s">
        <v>1869</v>
      </c>
    </row>
    <row r="1382" spans="1:1" x14ac:dyDescent="0.25">
      <c r="A1382" s="96" t="s">
        <v>1870</v>
      </c>
    </row>
    <row r="1383" spans="1:1" x14ac:dyDescent="0.25">
      <c r="A1383" s="96" t="s">
        <v>1871</v>
      </c>
    </row>
    <row r="1384" spans="1:1" x14ac:dyDescent="0.25">
      <c r="A1384" s="98" t="s">
        <v>1872</v>
      </c>
    </row>
    <row r="1385" spans="1:1" x14ac:dyDescent="0.25">
      <c r="A1385" s="96" t="s">
        <v>1873</v>
      </c>
    </row>
    <row r="1386" spans="1:1" x14ac:dyDescent="0.25">
      <c r="A1386" s="98" t="s">
        <v>1874</v>
      </c>
    </row>
    <row r="1387" spans="1:1" x14ac:dyDescent="0.25">
      <c r="A1387" s="98" t="s">
        <v>1875</v>
      </c>
    </row>
    <row r="1388" spans="1:1" x14ac:dyDescent="0.25">
      <c r="A1388" s="98" t="s">
        <v>1876</v>
      </c>
    </row>
    <row r="1389" spans="1:1" x14ac:dyDescent="0.25">
      <c r="A1389" s="98" t="s">
        <v>1877</v>
      </c>
    </row>
    <row r="1390" spans="1:1" x14ac:dyDescent="0.25">
      <c r="A1390" s="98" t="s">
        <v>1878</v>
      </c>
    </row>
    <row r="1391" spans="1:1" x14ac:dyDescent="0.25">
      <c r="A1391" s="98" t="s">
        <v>1879</v>
      </c>
    </row>
    <row r="1392" spans="1:1" x14ac:dyDescent="0.25">
      <c r="A1392" s="96" t="s">
        <v>1880</v>
      </c>
    </row>
    <row r="1393" spans="1:1" x14ac:dyDescent="0.25">
      <c r="A1393" s="98" t="s">
        <v>1881</v>
      </c>
    </row>
    <row r="1394" spans="1:1" x14ac:dyDescent="0.25">
      <c r="A1394" s="98" t="s">
        <v>1882</v>
      </c>
    </row>
    <row r="1395" spans="1:1" x14ac:dyDescent="0.25">
      <c r="A1395" s="98" t="s">
        <v>1883</v>
      </c>
    </row>
    <row r="1396" spans="1:1" x14ac:dyDescent="0.25">
      <c r="A1396" s="96" t="s">
        <v>1884</v>
      </c>
    </row>
    <row r="1397" spans="1:1" x14ac:dyDescent="0.25">
      <c r="A1397" s="96" t="s">
        <v>1885</v>
      </c>
    </row>
    <row r="1398" spans="1:1" x14ac:dyDescent="0.25">
      <c r="A1398" s="96" t="s">
        <v>1886</v>
      </c>
    </row>
    <row r="1399" spans="1:1" x14ac:dyDescent="0.25">
      <c r="A1399" t="s">
        <v>1888</v>
      </c>
    </row>
    <row r="1400" spans="1:1" x14ac:dyDescent="0.25">
      <c r="A1400" t="s">
        <v>1889</v>
      </c>
    </row>
    <row r="1401" spans="1:1" x14ac:dyDescent="0.25">
      <c r="A1401" s="96" t="s">
        <v>1890</v>
      </c>
    </row>
    <row r="1402" spans="1:1" x14ac:dyDescent="0.25">
      <c r="A1402" s="96" t="s">
        <v>1891</v>
      </c>
    </row>
    <row r="1403" spans="1:1" x14ac:dyDescent="0.25">
      <c r="A1403" s="96" t="s">
        <v>1892</v>
      </c>
    </row>
    <row r="1404" spans="1:1" x14ac:dyDescent="0.25">
      <c r="A1404" s="98" t="s">
        <v>1893</v>
      </c>
    </row>
    <row r="1405" spans="1:1" x14ac:dyDescent="0.25">
      <c r="A1405" s="96" t="s">
        <v>1894</v>
      </c>
    </row>
    <row r="1406" spans="1:1" x14ac:dyDescent="0.25">
      <c r="A1406" s="26" t="s">
        <v>1895</v>
      </c>
    </row>
    <row r="1407" spans="1:1" x14ac:dyDescent="0.25">
      <c r="A1407" s="98" t="s">
        <v>1896</v>
      </c>
    </row>
    <row r="1408" spans="1:1" x14ac:dyDescent="0.25">
      <c r="A1408" s="98" t="s">
        <v>1897</v>
      </c>
    </row>
    <row r="1409" spans="1:1" x14ac:dyDescent="0.25">
      <c r="A1409" s="96" t="s">
        <v>1898</v>
      </c>
    </row>
    <row r="1410" spans="1:1" x14ac:dyDescent="0.25">
      <c r="A1410" s="98" t="s">
        <v>1899</v>
      </c>
    </row>
    <row r="1411" spans="1:1" x14ac:dyDescent="0.25">
      <c r="A1411" s="96" t="s">
        <v>1900</v>
      </c>
    </row>
    <row r="1412" spans="1:1" x14ac:dyDescent="0.25">
      <c r="A1412" s="26" t="s">
        <v>1901</v>
      </c>
    </row>
    <row r="1413" spans="1:1" x14ac:dyDescent="0.25">
      <c r="A1413" s="98" t="s">
        <v>1902</v>
      </c>
    </row>
    <row r="1414" spans="1:1" x14ac:dyDescent="0.25">
      <c r="A1414" s="98" t="s">
        <v>1903</v>
      </c>
    </row>
    <row r="1415" spans="1:1" x14ac:dyDescent="0.25">
      <c r="A1415" s="96" t="s">
        <v>1904</v>
      </c>
    </row>
    <row r="1416" spans="1:1" x14ac:dyDescent="0.25">
      <c r="A1416" s="98" t="s">
        <v>1905</v>
      </c>
    </row>
    <row r="1417" spans="1:1" x14ac:dyDescent="0.25">
      <c r="A1417" s="96" t="s">
        <v>1906</v>
      </c>
    </row>
    <row r="1418" spans="1:1" x14ac:dyDescent="0.25">
      <c r="A1418" s="26" t="s">
        <v>1907</v>
      </c>
    </row>
    <row r="1419" spans="1:1" x14ac:dyDescent="0.25">
      <c r="A1419" s="98" t="s">
        <v>1908</v>
      </c>
    </row>
    <row r="1420" spans="1:1" x14ac:dyDescent="0.25">
      <c r="A1420" s="98" t="s">
        <v>1909</v>
      </c>
    </row>
    <row r="1421" spans="1:1" x14ac:dyDescent="0.25">
      <c r="A1421" s="98" t="s">
        <v>1910</v>
      </c>
    </row>
    <row r="1422" spans="1:1" x14ac:dyDescent="0.25">
      <c r="A1422" s="98" t="s">
        <v>1911</v>
      </c>
    </row>
    <row r="1423" spans="1:1" x14ac:dyDescent="0.25">
      <c r="A1423" s="98" t="s">
        <v>1912</v>
      </c>
    </row>
    <row r="1424" spans="1:1" x14ac:dyDescent="0.25">
      <c r="A1424" s="96" t="s">
        <v>1913</v>
      </c>
    </row>
    <row r="1425" spans="1:1" x14ac:dyDescent="0.25">
      <c r="A1425" s="96" t="s">
        <v>1914</v>
      </c>
    </row>
    <row r="1426" spans="1:1" x14ac:dyDescent="0.25">
      <c r="A1426" s="98" t="s">
        <v>1915</v>
      </c>
    </row>
    <row r="1427" spans="1:1" x14ac:dyDescent="0.25">
      <c r="A1427" s="96" t="s">
        <v>1916</v>
      </c>
    </row>
    <row r="1428" spans="1:1" x14ac:dyDescent="0.25">
      <c r="A1428" s="96" t="s">
        <v>1917</v>
      </c>
    </row>
    <row r="1429" spans="1:1" x14ac:dyDescent="0.25">
      <c r="A1429" s="96" t="s">
        <v>1918</v>
      </c>
    </row>
    <row r="1430" spans="1:1" x14ac:dyDescent="0.25">
      <c r="A1430" s="98" t="s">
        <v>1919</v>
      </c>
    </row>
    <row r="1431" spans="1:1" x14ac:dyDescent="0.25">
      <c r="A1431" s="98" t="s">
        <v>1920</v>
      </c>
    </row>
    <row r="1432" spans="1:1" x14ac:dyDescent="0.25">
      <c r="A1432" s="98" t="s">
        <v>1921</v>
      </c>
    </row>
    <row r="1433" spans="1:1" x14ac:dyDescent="0.25">
      <c r="A1433" s="98" t="s">
        <v>1922</v>
      </c>
    </row>
    <row r="1434" spans="1:1" x14ac:dyDescent="0.25">
      <c r="A1434" s="98" t="s">
        <v>1923</v>
      </c>
    </row>
    <row r="1435" spans="1:1" x14ac:dyDescent="0.25">
      <c r="A1435" s="96" t="s">
        <v>1924</v>
      </c>
    </row>
    <row r="1436" spans="1:1" x14ac:dyDescent="0.25">
      <c r="A1436" s="96" t="s">
        <v>1925</v>
      </c>
    </row>
    <row r="1437" spans="1:1" x14ac:dyDescent="0.25">
      <c r="A1437" s="98" t="s">
        <v>1926</v>
      </c>
    </row>
    <row r="1438" spans="1:1" x14ac:dyDescent="0.25">
      <c r="A1438" s="98" t="s">
        <v>1927</v>
      </c>
    </row>
    <row r="1439" spans="1:1" x14ac:dyDescent="0.25">
      <c r="A1439" s="98" t="s">
        <v>1928</v>
      </c>
    </row>
    <row r="1440" spans="1:1" x14ac:dyDescent="0.25">
      <c r="A1440" s="98" t="s">
        <v>1929</v>
      </c>
    </row>
    <row r="1441" spans="1:1" x14ac:dyDescent="0.25">
      <c r="A1441" s="98" t="s">
        <v>1930</v>
      </c>
    </row>
    <row r="1442" spans="1:1" x14ac:dyDescent="0.25">
      <c r="A1442" s="98" t="s">
        <v>1931</v>
      </c>
    </row>
    <row r="1443" spans="1:1" x14ac:dyDescent="0.25">
      <c r="A1443" s="96" t="s">
        <v>1932</v>
      </c>
    </row>
    <row r="1444" spans="1:1" x14ac:dyDescent="0.25">
      <c r="A1444" s="96" t="s">
        <v>1933</v>
      </c>
    </row>
    <row r="1445" spans="1:1" x14ac:dyDescent="0.25">
      <c r="A1445" s="98" t="s">
        <v>1934</v>
      </c>
    </row>
    <row r="1446" spans="1:1" x14ac:dyDescent="0.25">
      <c r="A1446" s="98" t="s">
        <v>1935</v>
      </c>
    </row>
    <row r="1447" spans="1:1" x14ac:dyDescent="0.25">
      <c r="A1447" s="98" t="s">
        <v>1936</v>
      </c>
    </row>
    <row r="1448" spans="1:1" x14ac:dyDescent="0.25">
      <c r="A1448" s="98" t="s">
        <v>1937</v>
      </c>
    </row>
    <row r="1449" spans="1:1" x14ac:dyDescent="0.25">
      <c r="A1449" s="98" t="s">
        <v>1938</v>
      </c>
    </row>
    <row r="1450" spans="1:1" x14ac:dyDescent="0.25">
      <c r="A1450" s="98" t="s">
        <v>1939</v>
      </c>
    </row>
    <row r="1451" spans="1:1" x14ac:dyDescent="0.25">
      <c r="A1451" s="96" t="s">
        <v>1940</v>
      </c>
    </row>
    <row r="1452" spans="1:1" x14ac:dyDescent="0.25">
      <c r="A1452" s="96" t="s">
        <v>1941</v>
      </c>
    </row>
    <row r="1453" spans="1:1" x14ac:dyDescent="0.25">
      <c r="A1453" s="98" t="s">
        <v>1942</v>
      </c>
    </row>
    <row r="1454" spans="1:1" x14ac:dyDescent="0.25">
      <c r="A1454" s="98" t="s">
        <v>1943</v>
      </c>
    </row>
    <row r="1455" spans="1:1" x14ac:dyDescent="0.25">
      <c r="A1455" s="98" t="s">
        <v>1944</v>
      </c>
    </row>
    <row r="1456" spans="1:1" x14ac:dyDescent="0.25">
      <c r="A1456" s="98" t="s">
        <v>1945</v>
      </c>
    </row>
    <row r="1457" spans="1:1" x14ac:dyDescent="0.25">
      <c r="A1457" s="98" t="s">
        <v>1946</v>
      </c>
    </row>
    <row r="1458" spans="1:1" x14ac:dyDescent="0.25">
      <c r="A1458" s="98" t="s">
        <v>1947</v>
      </c>
    </row>
    <row r="1459" spans="1:1" x14ac:dyDescent="0.25">
      <c r="A1459" s="96" t="s">
        <v>1948</v>
      </c>
    </row>
    <row r="1460" spans="1:1" x14ac:dyDescent="0.25">
      <c r="A1460" s="96" t="s">
        <v>1949</v>
      </c>
    </row>
    <row r="1461" spans="1:1" x14ac:dyDescent="0.25">
      <c r="A1461" s="98" t="s">
        <v>1950</v>
      </c>
    </row>
    <row r="1462" spans="1:1" x14ac:dyDescent="0.25">
      <c r="A1462" s="98" t="s">
        <v>1951</v>
      </c>
    </row>
    <row r="1463" spans="1:1" x14ac:dyDescent="0.25">
      <c r="A1463" s="98" t="s">
        <v>1952</v>
      </c>
    </row>
    <row r="1464" spans="1:1" x14ac:dyDescent="0.25">
      <c r="A1464" s="98" t="s">
        <v>1953</v>
      </c>
    </row>
    <row r="1465" spans="1:1" x14ac:dyDescent="0.25">
      <c r="A1465" s="98" t="s">
        <v>1954</v>
      </c>
    </row>
    <row r="1466" spans="1:1" x14ac:dyDescent="0.25">
      <c r="A1466" s="98" t="s">
        <v>1955</v>
      </c>
    </row>
    <row r="1467" spans="1:1" x14ac:dyDescent="0.25">
      <c r="A1467" s="96" t="s">
        <v>1956</v>
      </c>
    </row>
    <row r="1468" spans="1:1" x14ac:dyDescent="0.25">
      <c r="A1468" s="96" t="s">
        <v>1957</v>
      </c>
    </row>
    <row r="1469" spans="1:1" x14ac:dyDescent="0.25">
      <c r="A1469" s="98" t="s">
        <v>1958</v>
      </c>
    </row>
    <row r="1470" spans="1:1" x14ac:dyDescent="0.25">
      <c r="A1470" s="98" t="s">
        <v>1959</v>
      </c>
    </row>
    <row r="1471" spans="1:1" x14ac:dyDescent="0.25">
      <c r="A1471" s="98" t="s">
        <v>1960</v>
      </c>
    </row>
    <row r="1472" spans="1:1" x14ac:dyDescent="0.25">
      <c r="A1472" s="98" t="s">
        <v>1961</v>
      </c>
    </row>
    <row r="1473" spans="1:1" x14ac:dyDescent="0.25">
      <c r="A1473" s="98" t="s">
        <v>1962</v>
      </c>
    </row>
    <row r="1474" spans="1:1" x14ac:dyDescent="0.25">
      <c r="A1474" s="98" t="s">
        <v>1963</v>
      </c>
    </row>
    <row r="1475" spans="1:1" x14ac:dyDescent="0.25">
      <c r="A1475" s="96" t="s">
        <v>1964</v>
      </c>
    </row>
    <row r="1476" spans="1:1" x14ac:dyDescent="0.25">
      <c r="A1476" s="96" t="s">
        <v>1965</v>
      </c>
    </row>
    <row r="1477" spans="1:1" x14ac:dyDescent="0.25">
      <c r="A1477" s="98" t="s">
        <v>1966</v>
      </c>
    </row>
    <row r="1478" spans="1:1" x14ac:dyDescent="0.25">
      <c r="A1478" s="98" t="s">
        <v>1967</v>
      </c>
    </row>
    <row r="1479" spans="1:1" x14ac:dyDescent="0.25">
      <c r="A1479" s="98" t="s">
        <v>1968</v>
      </c>
    </row>
    <row r="1480" spans="1:1" x14ac:dyDescent="0.25">
      <c r="A1480" s="98" t="s">
        <v>1969</v>
      </c>
    </row>
    <row r="1481" spans="1:1" x14ac:dyDescent="0.25">
      <c r="A1481" s="98" t="s">
        <v>1970</v>
      </c>
    </row>
    <row r="1482" spans="1:1" x14ac:dyDescent="0.25">
      <c r="A1482" s="98" t="s">
        <v>1971</v>
      </c>
    </row>
    <row r="1483" spans="1:1" x14ac:dyDescent="0.25">
      <c r="A1483" s="96" t="s">
        <v>1972</v>
      </c>
    </row>
    <row r="1484" spans="1:1" x14ac:dyDescent="0.25">
      <c r="A1484" s="96" t="s">
        <v>1973</v>
      </c>
    </row>
    <row r="1485" spans="1:1" x14ac:dyDescent="0.25">
      <c r="A1485" s="98" t="s">
        <v>1974</v>
      </c>
    </row>
    <row r="1486" spans="1:1" x14ac:dyDescent="0.25">
      <c r="A1486" s="98" t="s">
        <v>1975</v>
      </c>
    </row>
    <row r="1487" spans="1:1" x14ac:dyDescent="0.25">
      <c r="A1487" s="98" t="s">
        <v>1976</v>
      </c>
    </row>
    <row r="1488" spans="1:1" x14ac:dyDescent="0.25">
      <c r="A1488" s="98" t="s">
        <v>1977</v>
      </c>
    </row>
    <row r="1489" spans="1:1" x14ac:dyDescent="0.25">
      <c r="A1489" s="98" t="s">
        <v>1978</v>
      </c>
    </row>
    <row r="1490" spans="1:1" x14ac:dyDescent="0.25">
      <c r="A1490" s="98" t="s">
        <v>1979</v>
      </c>
    </row>
    <row r="1491" spans="1:1" x14ac:dyDescent="0.25">
      <c r="A1491" s="96" t="s">
        <v>1980</v>
      </c>
    </row>
    <row r="1492" spans="1:1" x14ac:dyDescent="0.25">
      <c r="A1492" s="96" t="s">
        <v>1981</v>
      </c>
    </row>
    <row r="1493" spans="1:1" x14ac:dyDescent="0.25">
      <c r="A1493" s="98" t="s">
        <v>1982</v>
      </c>
    </row>
    <row r="1494" spans="1:1" x14ac:dyDescent="0.25">
      <c r="A1494" s="98" t="s">
        <v>1983</v>
      </c>
    </row>
    <row r="1495" spans="1:1" x14ac:dyDescent="0.25">
      <c r="A1495" s="98" t="s">
        <v>1984</v>
      </c>
    </row>
    <row r="1496" spans="1:1" x14ac:dyDescent="0.25">
      <c r="A1496" s="98" t="s">
        <v>1985</v>
      </c>
    </row>
    <row r="1497" spans="1:1" x14ac:dyDescent="0.25">
      <c r="A1497" s="98" t="s">
        <v>1986</v>
      </c>
    </row>
    <row r="1498" spans="1:1" x14ac:dyDescent="0.25">
      <c r="A1498" s="98" t="s">
        <v>1987</v>
      </c>
    </row>
    <row r="1499" spans="1:1" x14ac:dyDescent="0.25">
      <c r="A1499" s="96" t="s">
        <v>1988</v>
      </c>
    </row>
    <row r="1500" spans="1:1" x14ac:dyDescent="0.25">
      <c r="A1500" s="96" t="s">
        <v>1989</v>
      </c>
    </row>
    <row r="1501" spans="1:1" x14ac:dyDescent="0.25">
      <c r="A1501" s="98" t="s">
        <v>1990</v>
      </c>
    </row>
    <row r="1502" spans="1:1" x14ac:dyDescent="0.25">
      <c r="A1502" s="98" t="s">
        <v>1991</v>
      </c>
    </row>
    <row r="1503" spans="1:1" x14ac:dyDescent="0.25">
      <c r="A1503" s="98" t="s">
        <v>1992</v>
      </c>
    </row>
    <row r="1504" spans="1:1" x14ac:dyDescent="0.25">
      <c r="A1504" s="26" t="s">
        <v>1993</v>
      </c>
    </row>
    <row r="1505" spans="1:1" x14ac:dyDescent="0.25">
      <c r="A1505" s="96" t="s">
        <v>1994</v>
      </c>
    </row>
    <row r="1506" spans="1:1" x14ac:dyDescent="0.25">
      <c r="A1506" s="98" t="s">
        <v>1995</v>
      </c>
    </row>
    <row r="1507" spans="1:1" x14ac:dyDescent="0.25">
      <c r="A1507" s="96" t="s">
        <v>1996</v>
      </c>
    </row>
    <row r="1508" spans="1:1" x14ac:dyDescent="0.25">
      <c r="A1508" s="98" t="s">
        <v>1997</v>
      </c>
    </row>
    <row r="1509" spans="1:1" x14ac:dyDescent="0.25">
      <c r="A1509" s="98" t="s">
        <v>1998</v>
      </c>
    </row>
    <row r="1510" spans="1:1" x14ac:dyDescent="0.25">
      <c r="A1510" s="98" t="s">
        <v>1999</v>
      </c>
    </row>
    <row r="1511" spans="1:1" x14ac:dyDescent="0.25">
      <c r="A1511" s="98" t="s">
        <v>2000</v>
      </c>
    </row>
    <row r="1512" spans="1:1" x14ac:dyDescent="0.25">
      <c r="A1512" s="96" t="s">
        <v>2001</v>
      </c>
    </row>
    <row r="1513" spans="1:1" x14ac:dyDescent="0.25">
      <c r="A1513" s="98" t="s">
        <v>2002</v>
      </c>
    </row>
    <row r="1514" spans="1:1" x14ac:dyDescent="0.25">
      <c r="A1514" s="98" t="s">
        <v>2003</v>
      </c>
    </row>
    <row r="1515" spans="1:1" x14ac:dyDescent="0.25">
      <c r="A1515" s="98" t="s">
        <v>2004</v>
      </c>
    </row>
    <row r="1516" spans="1:1" x14ac:dyDescent="0.25">
      <c r="A1516" s="96" t="s">
        <v>2005</v>
      </c>
    </row>
    <row r="1517" spans="1:1" x14ac:dyDescent="0.25">
      <c r="A1517" s="96" t="s">
        <v>2006</v>
      </c>
    </row>
    <row r="1518" spans="1:1" x14ac:dyDescent="0.25">
      <c r="A1518" s="96" t="s">
        <v>2007</v>
      </c>
    </row>
    <row r="1519" spans="1:1" x14ac:dyDescent="0.25">
      <c r="A1519" s="98" t="s">
        <v>2008</v>
      </c>
    </row>
    <row r="1520" spans="1:1" x14ac:dyDescent="0.25">
      <c r="A1520" s="98" t="s">
        <v>2009</v>
      </c>
    </row>
    <row r="1521" spans="1:1" x14ac:dyDescent="0.25">
      <c r="A1521" s="26" t="s">
        <v>2010</v>
      </c>
    </row>
    <row r="1522" spans="1:1" x14ac:dyDescent="0.25">
      <c r="A1522" s="98" t="s">
        <v>2011</v>
      </c>
    </row>
    <row r="1523" spans="1:1" x14ac:dyDescent="0.25">
      <c r="A1523" s="96" t="s">
        <v>2012</v>
      </c>
    </row>
    <row r="1524" spans="1:1" x14ac:dyDescent="0.25">
      <c r="A1524" s="98" t="s">
        <v>2013</v>
      </c>
    </row>
    <row r="1525" spans="1:1" x14ac:dyDescent="0.25">
      <c r="A1525" s="98" t="s">
        <v>2014</v>
      </c>
    </row>
    <row r="1526" spans="1:1" x14ac:dyDescent="0.25">
      <c r="A1526" s="26" t="s">
        <v>2015</v>
      </c>
    </row>
    <row r="1527" spans="1:1" x14ac:dyDescent="0.25">
      <c r="A1527" s="26" t="s">
        <v>2016</v>
      </c>
    </row>
    <row r="1528" spans="1:1" x14ac:dyDescent="0.25">
      <c r="A1528" s="26" t="s">
        <v>2017</v>
      </c>
    </row>
    <row r="1529" spans="1:1" x14ac:dyDescent="0.25">
      <c r="A1529" s="98" t="s">
        <v>2018</v>
      </c>
    </row>
    <row r="1530" spans="1:1" x14ac:dyDescent="0.25">
      <c r="A1530" s="96" t="s">
        <v>2019</v>
      </c>
    </row>
    <row r="1531" spans="1:1" x14ac:dyDescent="0.25">
      <c r="A1531" s="98" t="s">
        <v>2020</v>
      </c>
    </row>
    <row r="1532" spans="1:1" x14ac:dyDescent="0.25">
      <c r="A1532" s="98" t="s">
        <v>2021</v>
      </c>
    </row>
    <row r="1533" spans="1:1" x14ac:dyDescent="0.25">
      <c r="A1533" s="26" t="s">
        <v>2022</v>
      </c>
    </row>
    <row r="1534" spans="1:1" x14ac:dyDescent="0.25">
      <c r="A1534" s="26" t="s">
        <v>2023</v>
      </c>
    </row>
    <row r="1535" spans="1:1" x14ac:dyDescent="0.25">
      <c r="A1535" s="26" t="s">
        <v>2024</v>
      </c>
    </row>
    <row r="1536" spans="1:1" x14ac:dyDescent="0.25">
      <c r="A1536" s="96" t="s">
        <v>2025</v>
      </c>
    </row>
    <row r="1537" spans="1:1" x14ac:dyDescent="0.25">
      <c r="A1537" s="98" t="s">
        <v>2026</v>
      </c>
    </row>
    <row r="1538" spans="1:1" x14ac:dyDescent="0.25">
      <c r="A1538" s="96" t="s">
        <v>2027</v>
      </c>
    </row>
    <row r="1539" spans="1:1" x14ac:dyDescent="0.25">
      <c r="A1539" s="98" t="s">
        <v>2028</v>
      </c>
    </row>
    <row r="1540" spans="1:1" x14ac:dyDescent="0.25">
      <c r="A1540" s="98" t="s">
        <v>2029</v>
      </c>
    </row>
    <row r="1541" spans="1:1" x14ac:dyDescent="0.25">
      <c r="A1541" s="98" t="s">
        <v>2030</v>
      </c>
    </row>
    <row r="1542" spans="1:1" x14ac:dyDescent="0.25">
      <c r="A1542" s="98" t="s">
        <v>2031</v>
      </c>
    </row>
    <row r="1543" spans="1:1" x14ac:dyDescent="0.25">
      <c r="A1543" s="98" t="s">
        <v>2032</v>
      </c>
    </row>
    <row r="1544" spans="1:1" x14ac:dyDescent="0.25">
      <c r="A1544" s="96" t="s">
        <v>2033</v>
      </c>
    </row>
    <row r="1545" spans="1:1" x14ac:dyDescent="0.25">
      <c r="A1545" s="96" t="s">
        <v>2034</v>
      </c>
    </row>
    <row r="1546" spans="1:1" x14ac:dyDescent="0.25">
      <c r="A1546" s="98" t="s">
        <v>2035</v>
      </c>
    </row>
    <row r="1547" spans="1:1" x14ac:dyDescent="0.25">
      <c r="A1547" s="96" t="s">
        <v>2036</v>
      </c>
    </row>
    <row r="1548" spans="1:1" x14ac:dyDescent="0.25">
      <c r="A1548" s="96" t="s">
        <v>2037</v>
      </c>
    </row>
    <row r="1549" spans="1:1" x14ac:dyDescent="0.25">
      <c r="A1549" s="96" t="s">
        <v>2038</v>
      </c>
    </row>
    <row r="1550" spans="1:1" x14ac:dyDescent="0.25">
      <c r="A1550" s="98" t="s">
        <v>2039</v>
      </c>
    </row>
    <row r="1551" spans="1:1" x14ac:dyDescent="0.25">
      <c r="A1551" s="98" t="s">
        <v>2040</v>
      </c>
    </row>
    <row r="1552" spans="1:1" x14ac:dyDescent="0.25">
      <c r="A1552" s="98" t="s">
        <v>2041</v>
      </c>
    </row>
    <row r="1553" spans="1:1" x14ac:dyDescent="0.25">
      <c r="A1553" s="98" t="s">
        <v>2042</v>
      </c>
    </row>
    <row r="1554" spans="1:1" x14ac:dyDescent="0.25">
      <c r="A1554" s="98" t="s">
        <v>2043</v>
      </c>
    </row>
    <row r="1555" spans="1:1" x14ac:dyDescent="0.25">
      <c r="A1555" s="96" t="s">
        <v>2044</v>
      </c>
    </row>
    <row r="1556" spans="1:1" x14ac:dyDescent="0.25">
      <c r="A1556" s="96" t="s">
        <v>2045</v>
      </c>
    </row>
    <row r="1557" spans="1:1" x14ac:dyDescent="0.25">
      <c r="A1557" s="98" t="s">
        <v>2046</v>
      </c>
    </row>
    <row r="1558" spans="1:1" x14ac:dyDescent="0.25">
      <c r="A1558" s="98" t="s">
        <v>2047</v>
      </c>
    </row>
    <row r="1559" spans="1:1" x14ac:dyDescent="0.25">
      <c r="A1559" s="98" t="s">
        <v>2048</v>
      </c>
    </row>
    <row r="1560" spans="1:1" x14ac:dyDescent="0.25">
      <c r="A1560" s="98" t="s">
        <v>2049</v>
      </c>
    </row>
    <row r="1561" spans="1:1" x14ac:dyDescent="0.25">
      <c r="A1561" s="98" t="s">
        <v>2050</v>
      </c>
    </row>
    <row r="1562" spans="1:1" x14ac:dyDescent="0.25">
      <c r="A1562" s="98" t="s">
        <v>2051</v>
      </c>
    </row>
    <row r="1563" spans="1:1" x14ac:dyDescent="0.25">
      <c r="A1563" s="96" t="s">
        <v>2052</v>
      </c>
    </row>
    <row r="1564" spans="1:1" x14ac:dyDescent="0.25">
      <c r="A1564" s="96" t="s">
        <v>2053</v>
      </c>
    </row>
    <row r="1565" spans="1:1" x14ac:dyDescent="0.25">
      <c r="A1565" s="98" t="s">
        <v>2054</v>
      </c>
    </row>
    <row r="1566" spans="1:1" x14ac:dyDescent="0.25">
      <c r="A1566" s="98" t="s">
        <v>2055</v>
      </c>
    </row>
    <row r="1567" spans="1:1" x14ac:dyDescent="0.25">
      <c r="A1567" s="98" t="s">
        <v>2056</v>
      </c>
    </row>
    <row r="1568" spans="1:1" x14ac:dyDescent="0.25">
      <c r="A1568" s="98" t="s">
        <v>2057</v>
      </c>
    </row>
    <row r="1569" spans="1:1" x14ac:dyDescent="0.25">
      <c r="A1569" s="98" t="s">
        <v>2058</v>
      </c>
    </row>
    <row r="1570" spans="1:1" x14ac:dyDescent="0.25">
      <c r="A1570" s="98" t="s">
        <v>2059</v>
      </c>
    </row>
    <row r="1571" spans="1:1" x14ac:dyDescent="0.25">
      <c r="A1571" s="96" t="s">
        <v>2060</v>
      </c>
    </row>
    <row r="1572" spans="1:1" x14ac:dyDescent="0.25">
      <c r="A1572" s="96" t="s">
        <v>2061</v>
      </c>
    </row>
    <row r="1573" spans="1:1" x14ac:dyDescent="0.25">
      <c r="A1573" s="98" t="s">
        <v>2062</v>
      </c>
    </row>
    <row r="1574" spans="1:1" x14ac:dyDescent="0.25">
      <c r="A1574" s="98" t="s">
        <v>2063</v>
      </c>
    </row>
    <row r="1575" spans="1:1" x14ac:dyDescent="0.25">
      <c r="A1575" s="98" t="s">
        <v>2064</v>
      </c>
    </row>
    <row r="1576" spans="1:1" x14ac:dyDescent="0.25">
      <c r="A1576" s="98" t="s">
        <v>2065</v>
      </c>
    </row>
    <row r="1577" spans="1:1" x14ac:dyDescent="0.25">
      <c r="A1577" s="98" t="s">
        <v>2066</v>
      </c>
    </row>
    <row r="1578" spans="1:1" x14ac:dyDescent="0.25">
      <c r="A1578" s="98" t="s">
        <v>2067</v>
      </c>
    </row>
    <row r="1579" spans="1:1" x14ac:dyDescent="0.25">
      <c r="A1579" s="96" t="s">
        <v>2068</v>
      </c>
    </row>
    <row r="1580" spans="1:1" x14ac:dyDescent="0.25">
      <c r="A1580" s="96" t="s">
        <v>2069</v>
      </c>
    </row>
    <row r="1581" spans="1:1" x14ac:dyDescent="0.25">
      <c r="A1581" s="98" t="s">
        <v>2070</v>
      </c>
    </row>
    <row r="1582" spans="1:1" x14ac:dyDescent="0.25">
      <c r="A1582" s="98" t="s">
        <v>2071</v>
      </c>
    </row>
    <row r="1583" spans="1:1" x14ac:dyDescent="0.25">
      <c r="A1583" s="98" t="s">
        <v>2072</v>
      </c>
    </row>
    <row r="1584" spans="1:1" x14ac:dyDescent="0.25">
      <c r="A1584" s="98" t="s">
        <v>2073</v>
      </c>
    </row>
    <row r="1585" spans="1:1" x14ac:dyDescent="0.25">
      <c r="A1585" s="98" t="s">
        <v>2074</v>
      </c>
    </row>
    <row r="1586" spans="1:1" x14ac:dyDescent="0.25">
      <c r="A1586" s="98" t="s">
        <v>2075</v>
      </c>
    </row>
    <row r="1587" spans="1:1" x14ac:dyDescent="0.25">
      <c r="A1587" s="96" t="s">
        <v>2076</v>
      </c>
    </row>
    <row r="1588" spans="1:1" x14ac:dyDescent="0.25">
      <c r="A1588" s="96" t="s">
        <v>2077</v>
      </c>
    </row>
    <row r="1589" spans="1:1" x14ac:dyDescent="0.25">
      <c r="A1589" s="98" t="s">
        <v>2078</v>
      </c>
    </row>
    <row r="1590" spans="1:1" x14ac:dyDescent="0.25">
      <c r="A1590" s="98" t="s">
        <v>2079</v>
      </c>
    </row>
    <row r="1591" spans="1:1" x14ac:dyDescent="0.25">
      <c r="A1591" s="98" t="s">
        <v>2080</v>
      </c>
    </row>
    <row r="1592" spans="1:1" x14ac:dyDescent="0.25">
      <c r="A1592" s="98" t="s">
        <v>2081</v>
      </c>
    </row>
    <row r="1593" spans="1:1" x14ac:dyDescent="0.25">
      <c r="A1593" s="98" t="s">
        <v>2082</v>
      </c>
    </row>
    <row r="1594" spans="1:1" x14ac:dyDescent="0.25">
      <c r="A1594" s="98" t="s">
        <v>2083</v>
      </c>
    </row>
    <row r="1595" spans="1:1" x14ac:dyDescent="0.25">
      <c r="A1595" s="96" t="s">
        <v>2084</v>
      </c>
    </row>
    <row r="1596" spans="1:1" x14ac:dyDescent="0.25">
      <c r="A1596" s="96" t="s">
        <v>2085</v>
      </c>
    </row>
    <row r="1597" spans="1:1" x14ac:dyDescent="0.25">
      <c r="A1597" s="98" t="s">
        <v>2086</v>
      </c>
    </row>
    <row r="1598" spans="1:1" x14ac:dyDescent="0.25">
      <c r="A1598" s="98" t="s">
        <v>2087</v>
      </c>
    </row>
    <row r="1599" spans="1:1" x14ac:dyDescent="0.25">
      <c r="A1599" s="98" t="s">
        <v>2088</v>
      </c>
    </row>
    <row r="1600" spans="1:1" x14ac:dyDescent="0.25">
      <c r="A1600" s="98" t="s">
        <v>2089</v>
      </c>
    </row>
    <row r="1601" spans="1:1" x14ac:dyDescent="0.25">
      <c r="A1601" s="98" t="s">
        <v>2090</v>
      </c>
    </row>
    <row r="1602" spans="1:1" x14ac:dyDescent="0.25">
      <c r="A1602" s="98" t="s">
        <v>2091</v>
      </c>
    </row>
    <row r="1603" spans="1:1" x14ac:dyDescent="0.25">
      <c r="A1603" s="96" t="s">
        <v>2092</v>
      </c>
    </row>
    <row r="1604" spans="1:1" x14ac:dyDescent="0.25">
      <c r="A1604" s="96" t="s">
        <v>2093</v>
      </c>
    </row>
    <row r="1605" spans="1:1" x14ac:dyDescent="0.25">
      <c r="A1605" s="98" t="s">
        <v>2094</v>
      </c>
    </row>
    <row r="1606" spans="1:1" x14ac:dyDescent="0.25">
      <c r="A1606" s="98" t="s">
        <v>2095</v>
      </c>
    </row>
    <row r="1607" spans="1:1" x14ac:dyDescent="0.25">
      <c r="A1607" s="98" t="s">
        <v>2096</v>
      </c>
    </row>
    <row r="1608" spans="1:1" x14ac:dyDescent="0.25">
      <c r="A1608" s="98" t="s">
        <v>2097</v>
      </c>
    </row>
    <row r="1609" spans="1:1" x14ac:dyDescent="0.25">
      <c r="A1609" s="98" t="s">
        <v>2098</v>
      </c>
    </row>
    <row r="1610" spans="1:1" x14ac:dyDescent="0.25">
      <c r="A1610" s="98" t="s">
        <v>2099</v>
      </c>
    </row>
    <row r="1611" spans="1:1" x14ac:dyDescent="0.25">
      <c r="A1611" s="96" t="s">
        <v>2100</v>
      </c>
    </row>
    <row r="1612" spans="1:1" x14ac:dyDescent="0.25">
      <c r="A1612" s="96" t="s">
        <v>2101</v>
      </c>
    </row>
    <row r="1613" spans="1:1" x14ac:dyDescent="0.25">
      <c r="A1613" s="98" t="s">
        <v>2102</v>
      </c>
    </row>
    <row r="1614" spans="1:1" x14ac:dyDescent="0.25">
      <c r="A1614" s="98" t="s">
        <v>2103</v>
      </c>
    </row>
    <row r="1615" spans="1:1" x14ac:dyDescent="0.25">
      <c r="A1615" s="98" t="s">
        <v>2104</v>
      </c>
    </row>
    <row r="1616" spans="1:1" x14ac:dyDescent="0.25">
      <c r="A1616" s="98" t="s">
        <v>2105</v>
      </c>
    </row>
    <row r="1617" spans="1:1" x14ac:dyDescent="0.25">
      <c r="A1617" s="98" t="s">
        <v>2106</v>
      </c>
    </row>
    <row r="1618" spans="1:1" x14ac:dyDescent="0.25">
      <c r="A1618" s="98" t="s">
        <v>2107</v>
      </c>
    </row>
    <row r="1619" spans="1:1" x14ac:dyDescent="0.25">
      <c r="A1619" s="96" t="s">
        <v>2108</v>
      </c>
    </row>
    <row r="1620" spans="1:1" x14ac:dyDescent="0.25">
      <c r="A1620" s="96" t="s">
        <v>2109</v>
      </c>
    </row>
    <row r="1621" spans="1:1" x14ac:dyDescent="0.25">
      <c r="A1621" s="98" t="s">
        <v>2110</v>
      </c>
    </row>
    <row r="1622" spans="1:1" x14ac:dyDescent="0.25">
      <c r="A1622" s="98" t="s">
        <v>2111</v>
      </c>
    </row>
    <row r="1623" spans="1:1" x14ac:dyDescent="0.25">
      <c r="A1623" s="98" t="s">
        <v>2112</v>
      </c>
    </row>
    <row r="1624" spans="1:1" x14ac:dyDescent="0.25">
      <c r="A1624" s="98" t="s">
        <v>2113</v>
      </c>
    </row>
    <row r="1625" spans="1:1" x14ac:dyDescent="0.25">
      <c r="A1625" s="98" t="s">
        <v>2114</v>
      </c>
    </row>
    <row r="1626" spans="1:1" x14ac:dyDescent="0.25">
      <c r="A1626" s="96" t="s">
        <v>2115</v>
      </c>
    </row>
    <row r="1627" spans="1:1" x14ac:dyDescent="0.25">
      <c r="A1627" s="96" t="s">
        <v>2116</v>
      </c>
    </row>
    <row r="1628" spans="1:1" x14ac:dyDescent="0.25">
      <c r="A1628" s="98" t="s">
        <v>2117</v>
      </c>
    </row>
    <row r="1629" spans="1:1" x14ac:dyDescent="0.25">
      <c r="A1629" s="98" t="s">
        <v>2118</v>
      </c>
    </row>
    <row r="1630" spans="1:1" x14ac:dyDescent="0.25">
      <c r="A1630" s="96" t="s">
        <v>2119</v>
      </c>
    </row>
    <row r="1631" spans="1:1" x14ac:dyDescent="0.25">
      <c r="A1631" s="98" t="s">
        <v>2120</v>
      </c>
    </row>
    <row r="1632" spans="1:1" x14ac:dyDescent="0.25">
      <c r="A1632" s="98" t="s">
        <v>2121</v>
      </c>
    </row>
    <row r="1633" spans="1:1" x14ac:dyDescent="0.25">
      <c r="A1633" s="96" t="s">
        <v>2122</v>
      </c>
    </row>
    <row r="1634" spans="1:1" x14ac:dyDescent="0.25">
      <c r="A1634" s="98" t="s">
        <v>2123</v>
      </c>
    </row>
    <row r="1635" spans="1:1" x14ac:dyDescent="0.25">
      <c r="A1635" s="98" t="s">
        <v>2124</v>
      </c>
    </row>
    <row r="1636" spans="1:1" x14ac:dyDescent="0.25">
      <c r="A1636" s="96" t="s">
        <v>2125</v>
      </c>
    </row>
    <row r="1637" spans="1:1" x14ac:dyDescent="0.25">
      <c r="A1637" s="26" t="s">
        <v>2126</v>
      </c>
    </row>
    <row r="1638" spans="1:1" x14ac:dyDescent="0.25">
      <c r="A1638" s="98" t="s">
        <v>2127</v>
      </c>
    </row>
    <row r="1639" spans="1:1" x14ac:dyDescent="0.25">
      <c r="A1639" s="98" t="s">
        <v>2128</v>
      </c>
    </row>
    <row r="1640" spans="1:1" x14ac:dyDescent="0.25">
      <c r="A1640" s="96" t="s">
        <v>2129</v>
      </c>
    </row>
    <row r="1641" spans="1:1" x14ac:dyDescent="0.25">
      <c r="A1641" s="26" t="s">
        <v>2130</v>
      </c>
    </row>
    <row r="1642" spans="1:1" x14ac:dyDescent="0.25">
      <c r="A1642" s="96" t="s">
        <v>2131</v>
      </c>
    </row>
    <row r="1643" spans="1:1" x14ac:dyDescent="0.25">
      <c r="A1643" s="96" t="s">
        <v>2132</v>
      </c>
    </row>
    <row r="1644" spans="1:1" x14ac:dyDescent="0.25">
      <c r="A1644" s="98" t="s">
        <v>2133</v>
      </c>
    </row>
    <row r="1645" spans="1:1" x14ac:dyDescent="0.25">
      <c r="A1645" s="96" t="s">
        <v>2134</v>
      </c>
    </row>
    <row r="1646" spans="1:1" x14ac:dyDescent="0.25">
      <c r="A1646" s="98" t="s">
        <v>2135</v>
      </c>
    </row>
    <row r="1647" spans="1:1" x14ac:dyDescent="0.25">
      <c r="A1647" s="98" t="s">
        <v>2136</v>
      </c>
    </row>
    <row r="1648" spans="1:1" x14ac:dyDescent="0.25">
      <c r="A1648" s="98" t="s">
        <v>2137</v>
      </c>
    </row>
    <row r="1649" spans="1:1" x14ac:dyDescent="0.25">
      <c r="A1649" s="96" t="s">
        <v>2138</v>
      </c>
    </row>
    <row r="1650" spans="1:1" x14ac:dyDescent="0.25">
      <c r="A1650" s="98" t="s">
        <v>2139</v>
      </c>
    </row>
    <row r="1651" spans="1:1" x14ac:dyDescent="0.25">
      <c r="A1651" s="98" t="s">
        <v>2140</v>
      </c>
    </row>
    <row r="1652" spans="1:1" x14ac:dyDescent="0.25">
      <c r="A1652" s="26" t="s">
        <v>2141</v>
      </c>
    </row>
    <row r="1653" spans="1:1" x14ac:dyDescent="0.25">
      <c r="A1653" s="26" t="s">
        <v>2142</v>
      </c>
    </row>
    <row r="1654" spans="1:1" x14ac:dyDescent="0.25">
      <c r="A1654" s="26" t="s">
        <v>2143</v>
      </c>
    </row>
    <row r="1655" spans="1:1" x14ac:dyDescent="0.25">
      <c r="A1655" s="26" t="s">
        <v>2144</v>
      </c>
    </row>
    <row r="1656" spans="1:1" x14ac:dyDescent="0.25">
      <c r="A1656" s="96" t="s">
        <v>2145</v>
      </c>
    </row>
    <row r="1657" spans="1:1" x14ac:dyDescent="0.25">
      <c r="A1657" s="98" t="s">
        <v>2146</v>
      </c>
    </row>
    <row r="1658" spans="1:1" x14ac:dyDescent="0.25">
      <c r="A1658" s="96" t="s">
        <v>2147</v>
      </c>
    </row>
    <row r="1659" spans="1:1" x14ac:dyDescent="0.25">
      <c r="A1659" s="98" t="s">
        <v>2148</v>
      </c>
    </row>
    <row r="1660" spans="1:1" x14ac:dyDescent="0.25">
      <c r="A1660" s="98" t="s">
        <v>2149</v>
      </c>
    </row>
    <row r="1661" spans="1:1" x14ac:dyDescent="0.25">
      <c r="A1661" s="96" t="s">
        <v>2150</v>
      </c>
    </row>
    <row r="1662" spans="1:1" x14ac:dyDescent="0.25">
      <c r="A1662" s="98" t="s">
        <v>2151</v>
      </c>
    </row>
    <row r="1663" spans="1:1" x14ac:dyDescent="0.25">
      <c r="A1663" s="98" t="s">
        <v>2152</v>
      </c>
    </row>
    <row r="1664" spans="1:1" x14ac:dyDescent="0.25">
      <c r="A1664" s="98" t="s">
        <v>2153</v>
      </c>
    </row>
    <row r="1665" spans="1:1" x14ac:dyDescent="0.25">
      <c r="A1665" s="96" t="s">
        <v>2154</v>
      </c>
    </row>
    <row r="1666" spans="1:1" x14ac:dyDescent="0.25">
      <c r="A1666" s="96" t="s">
        <v>2155</v>
      </c>
    </row>
    <row r="1667" spans="1:1" x14ac:dyDescent="0.25">
      <c r="A1667" s="96" t="s">
        <v>2156</v>
      </c>
    </row>
    <row r="1668" spans="1:1" x14ac:dyDescent="0.25">
      <c r="A1668" t="s">
        <v>2159</v>
      </c>
    </row>
    <row r="1669" spans="1:1" x14ac:dyDescent="0.25">
      <c r="A1669" t="s">
        <v>2160</v>
      </c>
    </row>
    <row r="1670" spans="1:1" x14ac:dyDescent="0.25">
      <c r="A1670" s="96" t="s">
        <v>2161</v>
      </c>
    </row>
    <row r="1671" spans="1:1" x14ac:dyDescent="0.25">
      <c r="A1671" s="96" t="s">
        <v>2162</v>
      </c>
    </row>
    <row r="1672" spans="1:1" x14ac:dyDescent="0.25">
      <c r="A1672" s="96" t="s">
        <v>2163</v>
      </c>
    </row>
    <row r="1673" spans="1:1" x14ac:dyDescent="0.25">
      <c r="A1673" s="98" t="s">
        <v>2164</v>
      </c>
    </row>
    <row r="1674" spans="1:1" x14ac:dyDescent="0.25">
      <c r="A1674" s="96" t="s">
        <v>2165</v>
      </c>
    </row>
    <row r="1675" spans="1:1" x14ac:dyDescent="0.25">
      <c r="A1675" s="98" t="s">
        <v>2166</v>
      </c>
    </row>
    <row r="1676" spans="1:1" x14ac:dyDescent="0.25">
      <c r="A1676" s="98" t="s">
        <v>2167</v>
      </c>
    </row>
    <row r="1677" spans="1:1" x14ac:dyDescent="0.25">
      <c r="A1677" s="96" t="s">
        <v>2168</v>
      </c>
    </row>
    <row r="1678" spans="1:1" x14ac:dyDescent="0.25">
      <c r="A1678" s="98" t="s">
        <v>2169</v>
      </c>
    </row>
    <row r="1679" spans="1:1" x14ac:dyDescent="0.25">
      <c r="A1679" s="96" t="s">
        <v>2170</v>
      </c>
    </row>
    <row r="1680" spans="1:1" x14ac:dyDescent="0.25">
      <c r="A1680" s="98" t="s">
        <v>2171</v>
      </c>
    </row>
    <row r="1681" spans="1:1" x14ac:dyDescent="0.25">
      <c r="A1681" s="98" t="s">
        <v>2172</v>
      </c>
    </row>
    <row r="1682" spans="1:1" x14ac:dyDescent="0.25">
      <c r="A1682" s="98" t="s">
        <v>2173</v>
      </c>
    </row>
    <row r="1683" spans="1:1" x14ac:dyDescent="0.25">
      <c r="A1683" s="98" t="s">
        <v>2174</v>
      </c>
    </row>
    <row r="1684" spans="1:1" x14ac:dyDescent="0.25">
      <c r="A1684" s="98" t="s">
        <v>2175</v>
      </c>
    </row>
    <row r="1685" spans="1:1" x14ac:dyDescent="0.25">
      <c r="A1685" s="96" t="s">
        <v>2176</v>
      </c>
    </row>
    <row r="1686" spans="1:1" x14ac:dyDescent="0.25">
      <c r="A1686" s="96" t="s">
        <v>2177</v>
      </c>
    </row>
    <row r="1687" spans="1:1" x14ac:dyDescent="0.25">
      <c r="A1687" s="98" t="s">
        <v>2178</v>
      </c>
    </row>
    <row r="1688" spans="1:1" x14ac:dyDescent="0.25">
      <c r="A1688" s="98" t="s">
        <v>2179</v>
      </c>
    </row>
    <row r="1689" spans="1:1" x14ac:dyDescent="0.25">
      <c r="A1689" s="98" t="s">
        <v>2180</v>
      </c>
    </row>
    <row r="1690" spans="1:1" x14ac:dyDescent="0.25">
      <c r="A1690" s="98" t="s">
        <v>2181</v>
      </c>
    </row>
    <row r="1691" spans="1:1" x14ac:dyDescent="0.25">
      <c r="A1691" s="98" t="s">
        <v>2182</v>
      </c>
    </row>
    <row r="1692" spans="1:1" x14ac:dyDescent="0.25">
      <c r="A1692" s="98" t="s">
        <v>2183</v>
      </c>
    </row>
    <row r="1693" spans="1:1" x14ac:dyDescent="0.25">
      <c r="A1693" s="96" t="s">
        <v>2184</v>
      </c>
    </row>
    <row r="1694" spans="1:1" x14ac:dyDescent="0.25">
      <c r="A1694" s="96" t="s">
        <v>2185</v>
      </c>
    </row>
    <row r="1695" spans="1:1" x14ac:dyDescent="0.25">
      <c r="A1695" s="98" t="s">
        <v>2186</v>
      </c>
    </row>
    <row r="1696" spans="1:1" x14ac:dyDescent="0.25">
      <c r="A1696" s="98" t="s">
        <v>2187</v>
      </c>
    </row>
    <row r="1697" spans="1:1" x14ac:dyDescent="0.25">
      <c r="A1697" s="98" t="s">
        <v>2188</v>
      </c>
    </row>
    <row r="1698" spans="1:1" x14ac:dyDescent="0.25">
      <c r="A1698" s="98" t="s">
        <v>2189</v>
      </c>
    </row>
    <row r="1699" spans="1:1" x14ac:dyDescent="0.25">
      <c r="A1699" s="98" t="s">
        <v>2190</v>
      </c>
    </row>
    <row r="1700" spans="1:1" x14ac:dyDescent="0.25">
      <c r="A1700" s="98" t="s">
        <v>2191</v>
      </c>
    </row>
    <row r="1701" spans="1:1" x14ac:dyDescent="0.25">
      <c r="A1701" s="96" t="s">
        <v>2192</v>
      </c>
    </row>
    <row r="1702" spans="1:1" x14ac:dyDescent="0.25">
      <c r="A1702" s="96" t="s">
        <v>2193</v>
      </c>
    </row>
    <row r="1703" spans="1:1" x14ac:dyDescent="0.25">
      <c r="A1703" s="98" t="s">
        <v>2194</v>
      </c>
    </row>
    <row r="1704" spans="1:1" x14ac:dyDescent="0.25">
      <c r="A1704" s="98" t="s">
        <v>2195</v>
      </c>
    </row>
    <row r="1705" spans="1:1" x14ac:dyDescent="0.25">
      <c r="A1705" s="98" t="s">
        <v>2196</v>
      </c>
    </row>
    <row r="1706" spans="1:1" x14ac:dyDescent="0.25">
      <c r="A1706" s="98" t="s">
        <v>2197</v>
      </c>
    </row>
    <row r="1707" spans="1:1" x14ac:dyDescent="0.25">
      <c r="A1707" s="98" t="s">
        <v>2198</v>
      </c>
    </row>
    <row r="1708" spans="1:1" x14ac:dyDescent="0.25">
      <c r="A1708" s="98" t="s">
        <v>2199</v>
      </c>
    </row>
    <row r="1709" spans="1:1" x14ac:dyDescent="0.25">
      <c r="A1709" s="96" t="s">
        <v>2200</v>
      </c>
    </row>
    <row r="1710" spans="1:1" x14ac:dyDescent="0.25">
      <c r="A1710" s="96" t="s">
        <v>2201</v>
      </c>
    </row>
    <row r="1711" spans="1:1" x14ac:dyDescent="0.25">
      <c r="A1711" s="98" t="s">
        <v>2202</v>
      </c>
    </row>
    <row r="1712" spans="1:1" x14ac:dyDescent="0.25">
      <c r="A1712" s="98" t="s">
        <v>2203</v>
      </c>
    </row>
    <row r="1713" spans="1:1" x14ac:dyDescent="0.25">
      <c r="A1713" s="98" t="s">
        <v>2204</v>
      </c>
    </row>
    <row r="1714" spans="1:1" x14ac:dyDescent="0.25">
      <c r="A1714" s="98" t="s">
        <v>2205</v>
      </c>
    </row>
    <row r="1715" spans="1:1" x14ac:dyDescent="0.25">
      <c r="A1715" s="98" t="s">
        <v>2206</v>
      </c>
    </row>
    <row r="1716" spans="1:1" x14ac:dyDescent="0.25">
      <c r="A1716" s="98" t="s">
        <v>2207</v>
      </c>
    </row>
    <row r="1717" spans="1:1" x14ac:dyDescent="0.25">
      <c r="A1717" s="96" t="s">
        <v>2208</v>
      </c>
    </row>
    <row r="1718" spans="1:1" x14ac:dyDescent="0.25">
      <c r="A1718" s="96" t="s">
        <v>2209</v>
      </c>
    </row>
    <row r="1719" spans="1:1" x14ac:dyDescent="0.25">
      <c r="A1719" s="98" t="s">
        <v>2210</v>
      </c>
    </row>
    <row r="1720" spans="1:1" x14ac:dyDescent="0.25">
      <c r="A1720" s="98" t="s">
        <v>2211</v>
      </c>
    </row>
    <row r="1721" spans="1:1" x14ac:dyDescent="0.25">
      <c r="A1721" s="98" t="s">
        <v>2212</v>
      </c>
    </row>
    <row r="1722" spans="1:1" x14ac:dyDescent="0.25">
      <c r="A1722" s="98" t="s">
        <v>2213</v>
      </c>
    </row>
    <row r="1723" spans="1:1" x14ac:dyDescent="0.25">
      <c r="A1723" s="98" t="s">
        <v>2214</v>
      </c>
    </row>
    <row r="1724" spans="1:1" x14ac:dyDescent="0.25">
      <c r="A1724" s="98" t="s">
        <v>2215</v>
      </c>
    </row>
    <row r="1725" spans="1:1" x14ac:dyDescent="0.25">
      <c r="A1725" s="96" t="s">
        <v>2216</v>
      </c>
    </row>
    <row r="1726" spans="1:1" x14ac:dyDescent="0.25">
      <c r="A1726" s="96" t="s">
        <v>2217</v>
      </c>
    </row>
    <row r="1727" spans="1:1" x14ac:dyDescent="0.25">
      <c r="A1727" s="98" t="s">
        <v>2218</v>
      </c>
    </row>
    <row r="1728" spans="1:1" x14ac:dyDescent="0.25">
      <c r="A1728" s="98" t="s">
        <v>2219</v>
      </c>
    </row>
    <row r="1729" spans="1:1" x14ac:dyDescent="0.25">
      <c r="A1729" s="98" t="s">
        <v>2220</v>
      </c>
    </row>
    <row r="1730" spans="1:1" x14ac:dyDescent="0.25">
      <c r="A1730" s="98" t="s">
        <v>2221</v>
      </c>
    </row>
    <row r="1731" spans="1:1" x14ac:dyDescent="0.25">
      <c r="A1731" s="98" t="s">
        <v>2222</v>
      </c>
    </row>
    <row r="1732" spans="1:1" x14ac:dyDescent="0.25">
      <c r="A1732" s="98" t="s">
        <v>2223</v>
      </c>
    </row>
    <row r="1733" spans="1:1" x14ac:dyDescent="0.25">
      <c r="A1733" s="96" t="s">
        <v>2224</v>
      </c>
    </row>
    <row r="1734" spans="1:1" x14ac:dyDescent="0.25">
      <c r="A1734" s="96" t="s">
        <v>2225</v>
      </c>
    </row>
    <row r="1735" spans="1:1" x14ac:dyDescent="0.25">
      <c r="A1735" s="98" t="s">
        <v>2226</v>
      </c>
    </row>
    <row r="1736" spans="1:1" x14ac:dyDescent="0.25">
      <c r="A1736" s="98" t="s">
        <v>2227</v>
      </c>
    </row>
    <row r="1737" spans="1:1" x14ac:dyDescent="0.25">
      <c r="A1737" s="98" t="s">
        <v>2228</v>
      </c>
    </row>
    <row r="1738" spans="1:1" x14ac:dyDescent="0.25">
      <c r="A1738" s="98" t="s">
        <v>2229</v>
      </c>
    </row>
    <row r="1739" spans="1:1" x14ac:dyDescent="0.25">
      <c r="A1739" s="98" t="s">
        <v>2230</v>
      </c>
    </row>
    <row r="1740" spans="1:1" x14ac:dyDescent="0.25">
      <c r="A1740" s="98" t="s">
        <v>2231</v>
      </c>
    </row>
    <row r="1741" spans="1:1" x14ac:dyDescent="0.25">
      <c r="A1741" s="96" t="s">
        <v>2232</v>
      </c>
    </row>
    <row r="1742" spans="1:1" x14ac:dyDescent="0.25">
      <c r="A1742" s="96" t="s">
        <v>2233</v>
      </c>
    </row>
    <row r="1743" spans="1:1" x14ac:dyDescent="0.25">
      <c r="A1743" s="98" t="s">
        <v>2234</v>
      </c>
    </row>
    <row r="1744" spans="1:1" x14ac:dyDescent="0.25">
      <c r="A1744" s="98" t="s">
        <v>2235</v>
      </c>
    </row>
    <row r="1745" spans="1:1" x14ac:dyDescent="0.25">
      <c r="A1745" s="98" t="s">
        <v>2236</v>
      </c>
    </row>
    <row r="1746" spans="1:1" x14ac:dyDescent="0.25">
      <c r="A1746" s="98" t="s">
        <v>2237</v>
      </c>
    </row>
    <row r="1747" spans="1:1" x14ac:dyDescent="0.25">
      <c r="A1747" s="98" t="s">
        <v>2238</v>
      </c>
    </row>
    <row r="1748" spans="1:1" x14ac:dyDescent="0.25">
      <c r="A1748" s="98" t="s">
        <v>2239</v>
      </c>
    </row>
    <row r="1749" spans="1:1" x14ac:dyDescent="0.25">
      <c r="A1749" s="96" t="s">
        <v>2240</v>
      </c>
    </row>
    <row r="1750" spans="1:1" x14ac:dyDescent="0.25">
      <c r="A1750" s="96" t="s">
        <v>2241</v>
      </c>
    </row>
    <row r="1751" spans="1:1" x14ac:dyDescent="0.25">
      <c r="A1751" s="98" t="s">
        <v>2242</v>
      </c>
    </row>
    <row r="1752" spans="1:1" x14ac:dyDescent="0.25">
      <c r="A1752" s="98" t="s">
        <v>2243</v>
      </c>
    </row>
    <row r="1753" spans="1:1" x14ac:dyDescent="0.25">
      <c r="A1753" s="98" t="s">
        <v>2244</v>
      </c>
    </row>
    <row r="1754" spans="1:1" x14ac:dyDescent="0.25">
      <c r="A1754" s="98" t="s">
        <v>2245</v>
      </c>
    </row>
    <row r="1755" spans="1:1" x14ac:dyDescent="0.25">
      <c r="A1755" s="98" t="s">
        <v>2246</v>
      </c>
    </row>
    <row r="1756" spans="1:1" x14ac:dyDescent="0.25">
      <c r="A1756" s="98" t="s">
        <v>2247</v>
      </c>
    </row>
    <row r="1757" spans="1:1" x14ac:dyDescent="0.25">
      <c r="A1757" s="96" t="s">
        <v>2248</v>
      </c>
    </row>
    <row r="1758" spans="1:1" x14ac:dyDescent="0.25">
      <c r="A1758" s="96" t="s">
        <v>2249</v>
      </c>
    </row>
    <row r="1759" spans="1:1" x14ac:dyDescent="0.25">
      <c r="A1759" s="98" t="s">
        <v>2250</v>
      </c>
    </row>
    <row r="1760" spans="1:1" x14ac:dyDescent="0.25">
      <c r="A1760" s="98" t="s">
        <v>2251</v>
      </c>
    </row>
    <row r="1761" spans="1:1" x14ac:dyDescent="0.25">
      <c r="A1761" s="98" t="s">
        <v>2252</v>
      </c>
    </row>
    <row r="1762" spans="1:1" x14ac:dyDescent="0.25">
      <c r="A1762" s="98" t="s">
        <v>2253</v>
      </c>
    </row>
    <row r="1763" spans="1:1" x14ac:dyDescent="0.25">
      <c r="A1763" s="98" t="s">
        <v>2254</v>
      </c>
    </row>
    <row r="1764" spans="1:1" x14ac:dyDescent="0.25">
      <c r="A1764" s="98" t="s">
        <v>2255</v>
      </c>
    </row>
    <row r="1765" spans="1:1" x14ac:dyDescent="0.25">
      <c r="A1765" s="96" t="s">
        <v>2256</v>
      </c>
    </row>
    <row r="1766" spans="1:1" x14ac:dyDescent="0.25">
      <c r="A1766" s="96" t="s">
        <v>2257</v>
      </c>
    </row>
    <row r="1767" spans="1:1" x14ac:dyDescent="0.25">
      <c r="A1767" s="98" t="s">
        <v>2258</v>
      </c>
    </row>
    <row r="1768" spans="1:1" x14ac:dyDescent="0.25">
      <c r="A1768" s="98" t="s">
        <v>2259</v>
      </c>
    </row>
    <row r="1769" spans="1:1" x14ac:dyDescent="0.25">
      <c r="A1769" s="98" t="s">
        <v>2260</v>
      </c>
    </row>
    <row r="1770" spans="1:1" x14ac:dyDescent="0.25">
      <c r="A1770" s="98" t="s">
        <v>2261</v>
      </c>
    </row>
    <row r="1771" spans="1:1" x14ac:dyDescent="0.25">
      <c r="A1771" s="98" t="s">
        <v>2262</v>
      </c>
    </row>
    <row r="1772" spans="1:1" x14ac:dyDescent="0.25">
      <c r="A1772" s="98" t="s">
        <v>2263</v>
      </c>
    </row>
    <row r="1773" spans="1:1" x14ac:dyDescent="0.25">
      <c r="A1773" s="96" t="s">
        <v>2264</v>
      </c>
    </row>
    <row r="1774" spans="1:1" x14ac:dyDescent="0.25">
      <c r="A1774" s="96" t="s">
        <v>2265</v>
      </c>
    </row>
    <row r="1775" spans="1:1" x14ac:dyDescent="0.25">
      <c r="A1775" s="98" t="s">
        <v>2266</v>
      </c>
    </row>
    <row r="1776" spans="1:1" x14ac:dyDescent="0.25">
      <c r="A1776" s="98" t="s">
        <v>2267</v>
      </c>
    </row>
    <row r="1777" spans="1:1" x14ac:dyDescent="0.25">
      <c r="A1777" s="98" t="s">
        <v>2268</v>
      </c>
    </row>
    <row r="1778" spans="1:1" x14ac:dyDescent="0.25">
      <c r="A1778" s="98" t="s">
        <v>2269</v>
      </c>
    </row>
    <row r="1779" spans="1:1" x14ac:dyDescent="0.25">
      <c r="A1779" s="98" t="s">
        <v>2270</v>
      </c>
    </row>
    <row r="1780" spans="1:1" x14ac:dyDescent="0.25">
      <c r="A1780" s="98" t="s">
        <v>2271</v>
      </c>
    </row>
    <row r="1781" spans="1:1" x14ac:dyDescent="0.25">
      <c r="A1781" s="96" t="s">
        <v>2272</v>
      </c>
    </row>
    <row r="1782" spans="1:1" x14ac:dyDescent="0.25">
      <c r="A1782" s="96" t="s">
        <v>2273</v>
      </c>
    </row>
    <row r="1783" spans="1:1" x14ac:dyDescent="0.25">
      <c r="A1783" s="98" t="s">
        <v>2274</v>
      </c>
    </row>
    <row r="1784" spans="1:1" x14ac:dyDescent="0.25">
      <c r="A1784" s="98" t="s">
        <v>2275</v>
      </c>
    </row>
    <row r="1785" spans="1:1" x14ac:dyDescent="0.25">
      <c r="A1785" s="98" t="s">
        <v>2276</v>
      </c>
    </row>
    <row r="1786" spans="1:1" x14ac:dyDescent="0.25">
      <c r="A1786" s="96" t="s">
        <v>2277</v>
      </c>
    </row>
    <row r="1787" spans="1:1" x14ac:dyDescent="0.25">
      <c r="A1787" s="98" t="s">
        <v>2278</v>
      </c>
    </row>
    <row r="1788" spans="1:1" x14ac:dyDescent="0.25">
      <c r="A1788" s="98" t="s">
        <v>2279</v>
      </c>
    </row>
    <row r="1789" spans="1:1" x14ac:dyDescent="0.25">
      <c r="A1789" s="98" t="s">
        <v>2280</v>
      </c>
    </row>
    <row r="1790" spans="1:1" x14ac:dyDescent="0.25">
      <c r="A1790" s="96" t="s">
        <v>2281</v>
      </c>
    </row>
    <row r="1791" spans="1:1" x14ac:dyDescent="0.25">
      <c r="A1791" s="96" t="s">
        <v>2282</v>
      </c>
    </row>
    <row r="1792" spans="1:1" x14ac:dyDescent="0.25">
      <c r="A1792" s="96" t="s">
        <v>2283</v>
      </c>
    </row>
    <row r="1793" spans="1:1" x14ac:dyDescent="0.25">
      <c r="A1793" t="s">
        <v>2286</v>
      </c>
    </row>
    <row r="1794" spans="1:1" x14ac:dyDescent="0.25">
      <c r="A1794" t="s">
        <v>2287</v>
      </c>
    </row>
    <row r="1795" spans="1:1" x14ac:dyDescent="0.25">
      <c r="A1795" s="96" t="s">
        <v>2288</v>
      </c>
    </row>
    <row r="1796" spans="1:1" x14ac:dyDescent="0.25">
      <c r="A1796" s="96" t="s">
        <v>2289</v>
      </c>
    </row>
    <row r="1797" spans="1:1" x14ac:dyDescent="0.25">
      <c r="A1797" s="96" t="s">
        <v>2290</v>
      </c>
    </row>
    <row r="1798" spans="1:1" x14ac:dyDescent="0.25">
      <c r="A1798" s="98" t="s">
        <v>2291</v>
      </c>
    </row>
    <row r="1799" spans="1:1" x14ac:dyDescent="0.25">
      <c r="A1799" s="96" t="s">
        <v>2292</v>
      </c>
    </row>
    <row r="1800" spans="1:1" x14ac:dyDescent="0.25">
      <c r="A1800" s="26" t="s">
        <v>2293</v>
      </c>
    </row>
    <row r="1801" spans="1:1" x14ac:dyDescent="0.25">
      <c r="A1801" s="98" t="s">
        <v>2294</v>
      </c>
    </row>
    <row r="1802" spans="1:1" x14ac:dyDescent="0.25">
      <c r="A1802" s="98" t="s">
        <v>2295</v>
      </c>
    </row>
    <row r="1803" spans="1:1" x14ac:dyDescent="0.25">
      <c r="A1803" s="98" t="s">
        <v>2296</v>
      </c>
    </row>
    <row r="1804" spans="1:1" x14ac:dyDescent="0.25">
      <c r="A1804" s="96" t="s">
        <v>2297</v>
      </c>
    </row>
    <row r="1805" spans="1:1" x14ac:dyDescent="0.25">
      <c r="A1805" s="96" t="s">
        <v>2298</v>
      </c>
    </row>
    <row r="1806" spans="1:1" x14ac:dyDescent="0.25">
      <c r="A1806" s="96" t="s">
        <v>2299</v>
      </c>
    </row>
    <row r="1807" spans="1:1" x14ac:dyDescent="0.25">
      <c r="A1807" s="98" t="s">
        <v>2300</v>
      </c>
    </row>
    <row r="1808" spans="1:1" x14ac:dyDescent="0.25">
      <c r="A1808" s="98" t="s">
        <v>2301</v>
      </c>
    </row>
    <row r="1809" spans="1:1" x14ac:dyDescent="0.25">
      <c r="A1809" s="98" t="s">
        <v>2302</v>
      </c>
    </row>
    <row r="1810" spans="1:1" x14ac:dyDescent="0.25">
      <c r="A1810" s="96" t="s">
        <v>2303</v>
      </c>
    </row>
    <row r="1811" spans="1:1" x14ac:dyDescent="0.25">
      <c r="A1811" s="98" t="s">
        <v>2304</v>
      </c>
    </row>
    <row r="1812" spans="1:1" x14ac:dyDescent="0.25">
      <c r="A1812" s="96" t="s">
        <v>2305</v>
      </c>
    </row>
    <row r="1813" spans="1:1" x14ac:dyDescent="0.25">
      <c r="A1813" s="26" t="s">
        <v>2306</v>
      </c>
    </row>
    <row r="1814" spans="1:1" x14ac:dyDescent="0.25">
      <c r="A1814" s="98" t="s">
        <v>2307</v>
      </c>
    </row>
    <row r="1815" spans="1:1" x14ac:dyDescent="0.25">
      <c r="A1815" s="98" t="s">
        <v>2308</v>
      </c>
    </row>
    <row r="1816" spans="1:1" x14ac:dyDescent="0.25">
      <c r="A1816" s="26" t="s">
        <v>2309</v>
      </c>
    </row>
    <row r="1817" spans="1:1" x14ac:dyDescent="0.25">
      <c r="A1817" s="98" t="s">
        <v>2310</v>
      </c>
    </row>
    <row r="1818" spans="1:1" x14ac:dyDescent="0.25">
      <c r="A1818" s="98" t="s">
        <v>2311</v>
      </c>
    </row>
    <row r="1819" spans="1:1" x14ac:dyDescent="0.25">
      <c r="A1819" s="96" t="s">
        <v>2312</v>
      </c>
    </row>
    <row r="1820" spans="1:1" x14ac:dyDescent="0.25">
      <c r="A1820" s="98" t="s">
        <v>2313</v>
      </c>
    </row>
    <row r="1821" spans="1:1" x14ac:dyDescent="0.25">
      <c r="A1821" s="98" t="s">
        <v>2314</v>
      </c>
    </row>
    <row r="1822" spans="1:1" x14ac:dyDescent="0.25">
      <c r="A1822" s="98" t="s">
        <v>2315</v>
      </c>
    </row>
    <row r="1823" spans="1:1" x14ac:dyDescent="0.25">
      <c r="A1823" s="96" t="s">
        <v>2316</v>
      </c>
    </row>
    <row r="1824" spans="1:1" x14ac:dyDescent="0.25">
      <c r="A1824" s="96" t="s">
        <v>2317</v>
      </c>
    </row>
    <row r="1825" spans="1:1" x14ac:dyDescent="0.25">
      <c r="A1825" s="96" t="s">
        <v>2318</v>
      </c>
    </row>
    <row r="1826" spans="1:1" x14ac:dyDescent="0.25">
      <c r="A1826" t="s">
        <v>2320</v>
      </c>
    </row>
    <row r="1827" spans="1:1" x14ac:dyDescent="0.25">
      <c r="A1827" t="s">
        <v>2321</v>
      </c>
    </row>
    <row r="1828" spans="1:1" x14ac:dyDescent="0.25">
      <c r="A1828" s="96" t="s">
        <v>2322</v>
      </c>
    </row>
    <row r="1829" spans="1:1" x14ac:dyDescent="0.25">
      <c r="A1829" s="96" t="s">
        <v>2323</v>
      </c>
    </row>
    <row r="1830" spans="1:1" x14ac:dyDescent="0.25">
      <c r="A1830" s="96" t="s">
        <v>2324</v>
      </c>
    </row>
    <row r="1831" spans="1:1" x14ac:dyDescent="0.25">
      <c r="A1831" s="98" t="s">
        <v>2325</v>
      </c>
    </row>
    <row r="1832" spans="1:1" x14ac:dyDescent="0.25">
      <c r="A1832" s="96" t="s">
        <v>2326</v>
      </c>
    </row>
    <row r="1833" spans="1:1" x14ac:dyDescent="0.25">
      <c r="A1833" s="98" t="s">
        <v>2327</v>
      </c>
    </row>
    <row r="1834" spans="1:1" x14ac:dyDescent="0.25">
      <c r="A1834" s="98" t="s">
        <v>2328</v>
      </c>
    </row>
    <row r="1835" spans="1:1" x14ac:dyDescent="0.25">
      <c r="A1835" s="96" t="s">
        <v>2329</v>
      </c>
    </row>
    <row r="1836" spans="1:1" x14ac:dyDescent="0.25">
      <c r="A1836" s="98" t="s">
        <v>2330</v>
      </c>
    </row>
    <row r="1837" spans="1:1" x14ac:dyDescent="0.25">
      <c r="A1837" s="96" t="s">
        <v>2331</v>
      </c>
    </row>
    <row r="1838" spans="1:1" x14ac:dyDescent="0.25">
      <c r="A1838" s="98" t="s">
        <v>2332</v>
      </c>
    </row>
    <row r="1839" spans="1:1" x14ac:dyDescent="0.25">
      <c r="A1839" s="98" t="s">
        <v>2333</v>
      </c>
    </row>
    <row r="1840" spans="1:1" x14ac:dyDescent="0.25">
      <c r="A1840" s="96" t="s">
        <v>2334</v>
      </c>
    </row>
    <row r="1841" spans="1:1" x14ac:dyDescent="0.25">
      <c r="A1841" s="98" t="s">
        <v>2335</v>
      </c>
    </row>
    <row r="1842" spans="1:1" x14ac:dyDescent="0.25">
      <c r="A1842" s="96" t="s">
        <v>2336</v>
      </c>
    </row>
    <row r="1843" spans="1:1" x14ac:dyDescent="0.25">
      <c r="A1843" s="98" t="s">
        <v>2337</v>
      </c>
    </row>
    <row r="1844" spans="1:1" x14ac:dyDescent="0.25">
      <c r="A1844" s="98" t="s">
        <v>2338</v>
      </c>
    </row>
    <row r="1845" spans="1:1" x14ac:dyDescent="0.25">
      <c r="A1845" s="98" t="s">
        <v>2339</v>
      </c>
    </row>
    <row r="1846" spans="1:1" x14ac:dyDescent="0.25">
      <c r="A1846" s="98" t="s">
        <v>2340</v>
      </c>
    </row>
    <row r="1847" spans="1:1" x14ac:dyDescent="0.25">
      <c r="A1847" s="96" t="s">
        <v>2341</v>
      </c>
    </row>
    <row r="1848" spans="1:1" x14ac:dyDescent="0.25">
      <c r="A1848" s="98" t="s">
        <v>2342</v>
      </c>
    </row>
    <row r="1849" spans="1:1" x14ac:dyDescent="0.25">
      <c r="A1849" s="98" t="s">
        <v>2343</v>
      </c>
    </row>
    <row r="1850" spans="1:1" x14ac:dyDescent="0.25">
      <c r="A1850" s="98" t="s">
        <v>2344</v>
      </c>
    </row>
    <row r="1851" spans="1:1" x14ac:dyDescent="0.25">
      <c r="A1851" s="96" t="s">
        <v>2345</v>
      </c>
    </row>
    <row r="1852" spans="1:1" x14ac:dyDescent="0.25">
      <c r="A1852" s="96" t="s">
        <v>2346</v>
      </c>
    </row>
    <row r="1853" spans="1:1" x14ac:dyDescent="0.25">
      <c r="A1853" s="96" t="s">
        <v>2347</v>
      </c>
    </row>
    <row r="1854" spans="1:1" x14ac:dyDescent="0.25">
      <c r="A1854" t="s">
        <v>2350</v>
      </c>
    </row>
    <row r="1855" spans="1:1" x14ac:dyDescent="0.25">
      <c r="A1855" t="s">
        <v>2351</v>
      </c>
    </row>
    <row r="1856" spans="1:1" x14ac:dyDescent="0.25">
      <c r="A1856" s="96" t="s">
        <v>2352</v>
      </c>
    </row>
    <row r="1857" spans="1:1" x14ac:dyDescent="0.25">
      <c r="A1857" s="96" t="s">
        <v>2353</v>
      </c>
    </row>
    <row r="1858" spans="1:1" x14ac:dyDescent="0.25">
      <c r="A1858" s="96" t="s">
        <v>2354</v>
      </c>
    </row>
    <row r="1859" spans="1:1" x14ac:dyDescent="0.25">
      <c r="A1859" s="98" t="s">
        <v>2355</v>
      </c>
    </row>
    <row r="1860" spans="1:1" x14ac:dyDescent="0.25">
      <c r="A1860" s="96" t="s">
        <v>2356</v>
      </c>
    </row>
    <row r="1861" spans="1:1" x14ac:dyDescent="0.25">
      <c r="A1861" s="26" t="s">
        <v>2357</v>
      </c>
    </row>
    <row r="1862" spans="1:1" x14ac:dyDescent="0.25">
      <c r="A1862" s="98" t="s">
        <v>2358</v>
      </c>
    </row>
    <row r="1863" spans="1:1" x14ac:dyDescent="0.25">
      <c r="A1863" s="98" t="s">
        <v>2359</v>
      </c>
    </row>
    <row r="1864" spans="1:1" x14ac:dyDescent="0.25">
      <c r="A1864" s="96" t="s">
        <v>2360</v>
      </c>
    </row>
    <row r="1865" spans="1:1" x14ac:dyDescent="0.25">
      <c r="A1865" s="98" t="s">
        <v>2361</v>
      </c>
    </row>
    <row r="1866" spans="1:1" x14ac:dyDescent="0.25">
      <c r="A1866" s="96" t="s">
        <v>2362</v>
      </c>
    </row>
    <row r="1867" spans="1:1" x14ac:dyDescent="0.25">
      <c r="A1867" s="26" t="s">
        <v>2363</v>
      </c>
    </row>
    <row r="1868" spans="1:1" x14ac:dyDescent="0.25">
      <c r="A1868" s="98" t="s">
        <v>2364</v>
      </c>
    </row>
    <row r="1869" spans="1:1" x14ac:dyDescent="0.25">
      <c r="A1869" s="98" t="s">
        <v>2365</v>
      </c>
    </row>
    <row r="1870" spans="1:1" x14ac:dyDescent="0.25">
      <c r="A1870" s="98" t="s">
        <v>2366</v>
      </c>
    </row>
    <row r="1871" spans="1:1" x14ac:dyDescent="0.25">
      <c r="A1871" s="98" t="s">
        <v>2367</v>
      </c>
    </row>
    <row r="1872" spans="1:1" x14ac:dyDescent="0.25">
      <c r="A1872" s="98" t="s">
        <v>2368</v>
      </c>
    </row>
    <row r="1873" spans="1:1" x14ac:dyDescent="0.25">
      <c r="A1873" s="96" t="s">
        <v>2369</v>
      </c>
    </row>
    <row r="1874" spans="1:1" x14ac:dyDescent="0.25">
      <c r="A1874" s="96" t="s">
        <v>2370</v>
      </c>
    </row>
    <row r="1875" spans="1:1" x14ac:dyDescent="0.25">
      <c r="A1875" s="98" t="s">
        <v>2371</v>
      </c>
    </row>
    <row r="1876" spans="1:1" x14ac:dyDescent="0.25">
      <c r="A1876" s="96" t="s">
        <v>2372</v>
      </c>
    </row>
    <row r="1877" spans="1:1" x14ac:dyDescent="0.25">
      <c r="A1877" s="96" t="s">
        <v>2373</v>
      </c>
    </row>
    <row r="1878" spans="1:1" x14ac:dyDescent="0.25">
      <c r="A1878" s="96" t="s">
        <v>2374</v>
      </c>
    </row>
    <row r="1879" spans="1:1" x14ac:dyDescent="0.25">
      <c r="A1879" s="98" t="s">
        <v>2375</v>
      </c>
    </row>
    <row r="1880" spans="1:1" x14ac:dyDescent="0.25">
      <c r="A1880" s="98" t="s">
        <v>2376</v>
      </c>
    </row>
    <row r="1881" spans="1:1" x14ac:dyDescent="0.25">
      <c r="A1881" s="26" t="s">
        <v>2377</v>
      </c>
    </row>
    <row r="1882" spans="1:1" x14ac:dyDescent="0.25">
      <c r="A1882" s="96" t="s">
        <v>2378</v>
      </c>
    </row>
    <row r="1883" spans="1:1" x14ac:dyDescent="0.25">
      <c r="A1883" s="98" t="s">
        <v>2379</v>
      </c>
    </row>
    <row r="1884" spans="1:1" x14ac:dyDescent="0.25">
      <c r="A1884" s="96" t="s">
        <v>2380</v>
      </c>
    </row>
    <row r="1885" spans="1:1" x14ac:dyDescent="0.25">
      <c r="A1885" s="98" t="s">
        <v>2381</v>
      </c>
    </row>
    <row r="1886" spans="1:1" x14ac:dyDescent="0.25">
      <c r="A1886" s="98" t="s">
        <v>2382</v>
      </c>
    </row>
    <row r="1887" spans="1:1" x14ac:dyDescent="0.25">
      <c r="A1887" s="98" t="s">
        <v>2383</v>
      </c>
    </row>
    <row r="1888" spans="1:1" x14ac:dyDescent="0.25">
      <c r="A1888" s="98" t="s">
        <v>2384</v>
      </c>
    </row>
    <row r="1889" spans="1:1" x14ac:dyDescent="0.25">
      <c r="A1889" s="96" t="s">
        <v>2385</v>
      </c>
    </row>
    <row r="1890" spans="1:1" x14ac:dyDescent="0.25">
      <c r="A1890" s="96" t="s">
        <v>2386</v>
      </c>
    </row>
    <row r="1891" spans="1:1" x14ac:dyDescent="0.25">
      <c r="A1891" s="26" t="s">
        <v>2387</v>
      </c>
    </row>
    <row r="1892" spans="1:1" x14ac:dyDescent="0.25">
      <c r="A1892" s="96" t="s">
        <v>2388</v>
      </c>
    </row>
    <row r="1893" spans="1:1" x14ac:dyDescent="0.25">
      <c r="A1893" s="96" t="s">
        <v>2389</v>
      </c>
    </row>
    <row r="1894" spans="1:1" x14ac:dyDescent="0.25">
      <c r="A1894" s="96" t="s">
        <v>2390</v>
      </c>
    </row>
    <row r="1895" spans="1:1" x14ac:dyDescent="0.25">
      <c r="A1895" s="96" t="s">
        <v>2391</v>
      </c>
    </row>
    <row r="1896" spans="1:1" x14ac:dyDescent="0.25">
      <c r="A1896" s="98" t="s">
        <v>2392</v>
      </c>
    </row>
    <row r="1897" spans="1:1" x14ac:dyDescent="0.25">
      <c r="A1897" s="98" t="s">
        <v>2393</v>
      </c>
    </row>
    <row r="1898" spans="1:1" x14ac:dyDescent="0.25">
      <c r="A1898" s="98" t="s">
        <v>2394</v>
      </c>
    </row>
    <row r="1899" spans="1:1" x14ac:dyDescent="0.25">
      <c r="A1899" s="96" t="s">
        <v>2395</v>
      </c>
    </row>
    <row r="1900" spans="1:1" x14ac:dyDescent="0.25">
      <c r="A1900" s="26" t="s">
        <v>2396</v>
      </c>
    </row>
    <row r="1901" spans="1:1" x14ac:dyDescent="0.25">
      <c r="A1901" s="98" t="s">
        <v>2397</v>
      </c>
    </row>
    <row r="1902" spans="1:1" x14ac:dyDescent="0.25">
      <c r="A1902" s="96" t="s">
        <v>2398</v>
      </c>
    </row>
    <row r="1903" spans="1:1" x14ac:dyDescent="0.25">
      <c r="A1903" s="98" t="s">
        <v>2399</v>
      </c>
    </row>
    <row r="1904" spans="1:1" x14ac:dyDescent="0.25">
      <c r="A1904" s="98" t="s">
        <v>2400</v>
      </c>
    </row>
    <row r="1905" spans="1:1" x14ac:dyDescent="0.25">
      <c r="A1905" s="26" t="s">
        <v>2401</v>
      </c>
    </row>
    <row r="1906" spans="1:1" x14ac:dyDescent="0.25">
      <c r="A1906" s="26" t="s">
        <v>2402</v>
      </c>
    </row>
    <row r="1907" spans="1:1" x14ac:dyDescent="0.25">
      <c r="A1907" s="26" t="s">
        <v>2403</v>
      </c>
    </row>
    <row r="1908" spans="1:1" x14ac:dyDescent="0.25">
      <c r="A1908" s="98" t="s">
        <v>2404</v>
      </c>
    </row>
    <row r="1909" spans="1:1" x14ac:dyDescent="0.25">
      <c r="A1909" s="96" t="s">
        <v>2405</v>
      </c>
    </row>
    <row r="1910" spans="1:1" x14ac:dyDescent="0.25">
      <c r="A1910" s="98" t="s">
        <v>2406</v>
      </c>
    </row>
    <row r="1911" spans="1:1" x14ac:dyDescent="0.25">
      <c r="A1911" s="98" t="s">
        <v>2407</v>
      </c>
    </row>
    <row r="1912" spans="1:1" x14ac:dyDescent="0.25">
      <c r="A1912" s="26" t="s">
        <v>2408</v>
      </c>
    </row>
    <row r="1913" spans="1:1" x14ac:dyDescent="0.25">
      <c r="A1913" s="26" t="s">
        <v>2409</v>
      </c>
    </row>
    <row r="1914" spans="1:1" x14ac:dyDescent="0.25">
      <c r="A1914" s="26" t="s">
        <v>2410</v>
      </c>
    </row>
    <row r="1915" spans="1:1" x14ac:dyDescent="0.25">
      <c r="A1915" s="96" t="s">
        <v>2411</v>
      </c>
    </row>
    <row r="1916" spans="1:1" x14ac:dyDescent="0.25">
      <c r="A1916" s="98" t="s">
        <v>2412</v>
      </c>
    </row>
    <row r="1917" spans="1:1" x14ac:dyDescent="0.25">
      <c r="A1917" s="96" t="s">
        <v>2413</v>
      </c>
    </row>
    <row r="1918" spans="1:1" x14ac:dyDescent="0.25">
      <c r="A1918" s="98" t="s">
        <v>2414</v>
      </c>
    </row>
    <row r="1919" spans="1:1" x14ac:dyDescent="0.25">
      <c r="A1919" s="98" t="s">
        <v>2415</v>
      </c>
    </row>
    <row r="1920" spans="1:1" x14ac:dyDescent="0.25">
      <c r="A1920" s="98" t="s">
        <v>2416</v>
      </c>
    </row>
    <row r="1921" spans="1:1" x14ac:dyDescent="0.25">
      <c r="A1921" s="96" t="s">
        <v>2417</v>
      </c>
    </row>
    <row r="1922" spans="1:1" x14ac:dyDescent="0.25">
      <c r="A1922" s="98" t="s">
        <v>2418</v>
      </c>
    </row>
    <row r="1923" spans="1:1" x14ac:dyDescent="0.25">
      <c r="A1923" s="98" t="s">
        <v>2419</v>
      </c>
    </row>
    <row r="1924" spans="1:1" x14ac:dyDescent="0.25">
      <c r="A1924" s="26" t="s">
        <v>2420</v>
      </c>
    </row>
    <row r="1925" spans="1:1" x14ac:dyDescent="0.25">
      <c r="A1925" s="26" t="s">
        <v>2421</v>
      </c>
    </row>
    <row r="1926" spans="1:1" x14ac:dyDescent="0.25">
      <c r="A1926" s="26" t="s">
        <v>2422</v>
      </c>
    </row>
    <row r="1927" spans="1:1" x14ac:dyDescent="0.25">
      <c r="A1927" s="98" t="s">
        <v>2423</v>
      </c>
    </row>
    <row r="1928" spans="1:1" x14ac:dyDescent="0.25">
      <c r="A1928" s="96" t="s">
        <v>2424</v>
      </c>
    </row>
    <row r="1929" spans="1:1" x14ac:dyDescent="0.25">
      <c r="A1929" s="96" t="s">
        <v>2425</v>
      </c>
    </row>
    <row r="1930" spans="1:1" x14ac:dyDescent="0.25">
      <c r="A1930" s="96" t="s">
        <v>2426</v>
      </c>
    </row>
    <row r="1931" spans="1:1" x14ac:dyDescent="0.25">
      <c r="A1931" s="98" t="s">
        <v>2427</v>
      </c>
    </row>
    <row r="1932" spans="1:1" x14ac:dyDescent="0.25">
      <c r="A1932" s="96" t="s">
        <v>2428</v>
      </c>
    </row>
    <row r="1933" spans="1:1" x14ac:dyDescent="0.25">
      <c r="A1933" s="26" t="s">
        <v>2429</v>
      </c>
    </row>
    <row r="1934" spans="1:1" x14ac:dyDescent="0.25">
      <c r="A1934" s="98" t="s">
        <v>2430</v>
      </c>
    </row>
    <row r="1935" spans="1:1" x14ac:dyDescent="0.25">
      <c r="A1935" s="98" t="s">
        <v>2431</v>
      </c>
    </row>
    <row r="1936" spans="1:1" x14ac:dyDescent="0.25">
      <c r="A1936" s="96" t="s">
        <v>2432</v>
      </c>
    </row>
    <row r="1937" spans="1:1" x14ac:dyDescent="0.25">
      <c r="A1937" s="96" t="s">
        <v>2433</v>
      </c>
    </row>
    <row r="1938" spans="1:1" x14ac:dyDescent="0.25">
      <c r="A1938" s="96" t="s">
        <v>2434</v>
      </c>
    </row>
    <row r="1939" spans="1:1" x14ac:dyDescent="0.25">
      <c r="A1939" s="98" t="s">
        <v>2435</v>
      </c>
    </row>
    <row r="1940" spans="1:1" x14ac:dyDescent="0.25">
      <c r="A1940" s="96" t="s">
        <v>2436</v>
      </c>
    </row>
    <row r="1941" spans="1:1" x14ac:dyDescent="0.25">
      <c r="A1941" s="98" t="s">
        <v>2437</v>
      </c>
    </row>
    <row r="1942" spans="1:1" x14ac:dyDescent="0.25">
      <c r="A1942" s="98" t="s">
        <v>2438</v>
      </c>
    </row>
    <row r="1943" spans="1:1" x14ac:dyDescent="0.25">
      <c r="A1943" s="26" t="s">
        <v>2439</v>
      </c>
    </row>
    <row r="1944" spans="1:1" x14ac:dyDescent="0.25">
      <c r="A1944" s="96" t="s">
        <v>2440</v>
      </c>
    </row>
    <row r="1945" spans="1:1" x14ac:dyDescent="0.25">
      <c r="A1945" s="98" t="s">
        <v>2441</v>
      </c>
    </row>
    <row r="1946" spans="1:1" x14ac:dyDescent="0.25">
      <c r="A1946" s="96" t="s">
        <v>2442</v>
      </c>
    </row>
    <row r="1947" spans="1:1" x14ac:dyDescent="0.25">
      <c r="A1947" s="98" t="s">
        <v>2443</v>
      </c>
    </row>
    <row r="1948" spans="1:1" x14ac:dyDescent="0.25">
      <c r="A1948" s="98" t="s">
        <v>2444</v>
      </c>
    </row>
    <row r="1949" spans="1:1" x14ac:dyDescent="0.25">
      <c r="A1949" s="96" t="s">
        <v>2445</v>
      </c>
    </row>
    <row r="1950" spans="1:1" x14ac:dyDescent="0.25">
      <c r="A1950" s="98" t="s">
        <v>2446</v>
      </c>
    </row>
    <row r="1951" spans="1:1" x14ac:dyDescent="0.25">
      <c r="A1951" s="98" t="s">
        <v>2447</v>
      </c>
    </row>
    <row r="1952" spans="1:1" x14ac:dyDescent="0.25">
      <c r="A1952" s="98" t="s">
        <v>2448</v>
      </c>
    </row>
    <row r="1953" spans="1:1" x14ac:dyDescent="0.25">
      <c r="A1953" s="96" t="s">
        <v>2449</v>
      </c>
    </row>
    <row r="1954" spans="1:1" x14ac:dyDescent="0.25">
      <c r="A1954" s="96" t="s">
        <v>2450</v>
      </c>
    </row>
    <row r="1955" spans="1:1" x14ac:dyDescent="0.25">
      <c r="A1955" s="96" t="s">
        <v>2451</v>
      </c>
    </row>
    <row r="1956" spans="1:1" x14ac:dyDescent="0.25">
      <c r="A1956" t="s">
        <v>2454</v>
      </c>
    </row>
    <row r="1957" spans="1:1" x14ac:dyDescent="0.25">
      <c r="A1957" t="s">
        <v>2455</v>
      </c>
    </row>
    <row r="1958" spans="1:1" x14ac:dyDescent="0.25">
      <c r="A1958" s="96" t="s">
        <v>2456</v>
      </c>
    </row>
    <row r="1959" spans="1:1" x14ac:dyDescent="0.25">
      <c r="A1959" s="96" t="s">
        <v>2457</v>
      </c>
    </row>
    <row r="1960" spans="1:1" x14ac:dyDescent="0.25">
      <c r="A1960" s="96" t="s">
        <v>2458</v>
      </c>
    </row>
    <row r="1961" spans="1:1" x14ac:dyDescent="0.25">
      <c r="A1961" s="98" t="s">
        <v>2459</v>
      </c>
    </row>
    <row r="1962" spans="1:1" x14ac:dyDescent="0.25">
      <c r="A1962" s="96" t="s">
        <v>2460</v>
      </c>
    </row>
    <row r="1963" spans="1:1" x14ac:dyDescent="0.25">
      <c r="A1963" s="98" t="s">
        <v>2461</v>
      </c>
    </row>
    <row r="1964" spans="1:1" x14ac:dyDescent="0.25">
      <c r="A1964" s="98" t="s">
        <v>2462</v>
      </c>
    </row>
    <row r="1965" spans="1:1" x14ac:dyDescent="0.25">
      <c r="A1965" s="96" t="s">
        <v>2463</v>
      </c>
    </row>
    <row r="1966" spans="1:1" x14ac:dyDescent="0.25">
      <c r="A1966" s="98" t="s">
        <v>2464</v>
      </c>
    </row>
    <row r="1967" spans="1:1" x14ac:dyDescent="0.25">
      <c r="A1967" s="96" t="s">
        <v>2465</v>
      </c>
    </row>
    <row r="1968" spans="1:1" x14ac:dyDescent="0.25">
      <c r="A1968" s="98" t="s">
        <v>2466</v>
      </c>
    </row>
    <row r="1969" spans="1:1" x14ac:dyDescent="0.25">
      <c r="A1969" s="98" t="s">
        <v>2467</v>
      </c>
    </row>
    <row r="1970" spans="1:1" x14ac:dyDescent="0.25">
      <c r="A1970" s="98" t="s">
        <v>2468</v>
      </c>
    </row>
    <row r="1971" spans="1:1" x14ac:dyDescent="0.25">
      <c r="A1971" s="98" t="s">
        <v>2469</v>
      </c>
    </row>
    <row r="1972" spans="1:1" x14ac:dyDescent="0.25">
      <c r="A1972" s="98" t="s">
        <v>2470</v>
      </c>
    </row>
    <row r="1973" spans="1:1" x14ac:dyDescent="0.25">
      <c r="A1973" s="96" t="s">
        <v>2471</v>
      </c>
    </row>
    <row r="1974" spans="1:1" x14ac:dyDescent="0.25">
      <c r="A1974" s="96" t="s">
        <v>2472</v>
      </c>
    </row>
    <row r="1975" spans="1:1" x14ac:dyDescent="0.25">
      <c r="A1975" s="98" t="s">
        <v>2473</v>
      </c>
    </row>
    <row r="1976" spans="1:1" x14ac:dyDescent="0.25">
      <c r="A1976" s="98" t="s">
        <v>2474</v>
      </c>
    </row>
    <row r="1977" spans="1:1" x14ac:dyDescent="0.25">
      <c r="A1977" s="98" t="s">
        <v>2475</v>
      </c>
    </row>
    <row r="1978" spans="1:1" x14ac:dyDescent="0.25">
      <c r="A1978" s="98" t="s">
        <v>2476</v>
      </c>
    </row>
    <row r="1979" spans="1:1" x14ac:dyDescent="0.25">
      <c r="A1979" s="98" t="s">
        <v>2477</v>
      </c>
    </row>
    <row r="1980" spans="1:1" x14ac:dyDescent="0.25">
      <c r="A1980" s="98" t="s">
        <v>2478</v>
      </c>
    </row>
    <row r="1981" spans="1:1" x14ac:dyDescent="0.25">
      <c r="A1981" s="96" t="s">
        <v>2479</v>
      </c>
    </row>
    <row r="1982" spans="1:1" x14ac:dyDescent="0.25">
      <c r="A1982" s="96" t="s">
        <v>2480</v>
      </c>
    </row>
    <row r="1983" spans="1:1" x14ac:dyDescent="0.25">
      <c r="A1983" s="98" t="s">
        <v>2481</v>
      </c>
    </row>
    <row r="1984" spans="1:1" x14ac:dyDescent="0.25">
      <c r="A1984" s="98" t="s">
        <v>2482</v>
      </c>
    </row>
    <row r="1985" spans="1:1" x14ac:dyDescent="0.25">
      <c r="A1985" s="98" t="s">
        <v>2483</v>
      </c>
    </row>
    <row r="1986" spans="1:1" x14ac:dyDescent="0.25">
      <c r="A1986" s="96" t="s">
        <v>2484</v>
      </c>
    </row>
    <row r="1987" spans="1:1" x14ac:dyDescent="0.25">
      <c r="A1987" s="98" t="s">
        <v>2485</v>
      </c>
    </row>
    <row r="1988" spans="1:1" x14ac:dyDescent="0.25">
      <c r="A1988" s="98" t="s">
        <v>2486</v>
      </c>
    </row>
    <row r="1989" spans="1:1" x14ac:dyDescent="0.25">
      <c r="A1989" s="98" t="s">
        <v>2487</v>
      </c>
    </row>
    <row r="1990" spans="1:1" x14ac:dyDescent="0.25">
      <c r="A1990" s="96" t="s">
        <v>2488</v>
      </c>
    </row>
    <row r="1991" spans="1:1" x14ac:dyDescent="0.25">
      <c r="A1991" s="96" t="s">
        <v>2489</v>
      </c>
    </row>
    <row r="1992" spans="1:1" x14ac:dyDescent="0.25">
      <c r="A1992" s="96" t="s">
        <v>2490</v>
      </c>
    </row>
    <row r="1993" spans="1:1" x14ac:dyDescent="0.25">
      <c r="A1993" t="s">
        <v>2493</v>
      </c>
    </row>
    <row r="1994" spans="1:1" x14ac:dyDescent="0.25">
      <c r="A1994" t="s">
        <v>2494</v>
      </c>
    </row>
    <row r="1995" spans="1:1" x14ac:dyDescent="0.25">
      <c r="A1995" s="96" t="s">
        <v>2495</v>
      </c>
    </row>
    <row r="1996" spans="1:1" x14ac:dyDescent="0.25">
      <c r="A1996" s="96" t="s">
        <v>2496</v>
      </c>
    </row>
    <row r="1997" spans="1:1" x14ac:dyDescent="0.25">
      <c r="A1997" s="96" t="s">
        <v>2497</v>
      </c>
    </row>
    <row r="1998" spans="1:1" x14ac:dyDescent="0.25">
      <c r="A1998" s="98" t="s">
        <v>2498</v>
      </c>
    </row>
    <row r="1999" spans="1:1" x14ac:dyDescent="0.25">
      <c r="A1999" s="96" t="s">
        <v>2499</v>
      </c>
    </row>
    <row r="2000" spans="1:1" x14ac:dyDescent="0.25">
      <c r="A2000" s="98" t="s">
        <v>2500</v>
      </c>
    </row>
    <row r="2001" spans="1:1" x14ac:dyDescent="0.25">
      <c r="A2001" s="98" t="s">
        <v>2501</v>
      </c>
    </row>
    <row r="2002" spans="1:1" x14ac:dyDescent="0.25">
      <c r="A2002" s="98" t="s">
        <v>2502</v>
      </c>
    </row>
    <row r="2003" spans="1:1" x14ac:dyDescent="0.25">
      <c r="A2003" s="98" t="s">
        <v>2503</v>
      </c>
    </row>
    <row r="2004" spans="1:1" x14ac:dyDescent="0.25">
      <c r="A2004" s="98" t="s">
        <v>2504</v>
      </c>
    </row>
    <row r="2005" spans="1:1" x14ac:dyDescent="0.25">
      <c r="A2005" s="98" t="s">
        <v>2505</v>
      </c>
    </row>
    <row r="2006" spans="1:1" x14ac:dyDescent="0.25">
      <c r="A2006" s="96" t="s">
        <v>2506</v>
      </c>
    </row>
    <row r="2007" spans="1:1" x14ac:dyDescent="0.25">
      <c r="A2007" s="98" t="s">
        <v>2507</v>
      </c>
    </row>
    <row r="2008" spans="1:1" x14ac:dyDescent="0.25">
      <c r="A2008" s="98" t="s">
        <v>2508</v>
      </c>
    </row>
    <row r="2009" spans="1:1" x14ac:dyDescent="0.25">
      <c r="A2009" s="98" t="s">
        <v>2509</v>
      </c>
    </row>
    <row r="2010" spans="1:1" x14ac:dyDescent="0.25">
      <c r="A2010" s="96" t="s">
        <v>2510</v>
      </c>
    </row>
    <row r="2011" spans="1:1" x14ac:dyDescent="0.25">
      <c r="A2011" s="96" t="s">
        <v>2511</v>
      </c>
    </row>
    <row r="2012" spans="1:1" x14ac:dyDescent="0.25">
      <c r="A2012" s="96" t="s">
        <v>2512</v>
      </c>
    </row>
    <row r="2013" spans="1:1" x14ac:dyDescent="0.25">
      <c r="A2013" t="s">
        <v>2514</v>
      </c>
    </row>
    <row r="2014" spans="1:1" x14ac:dyDescent="0.25">
      <c r="A2014" t="s">
        <v>2515</v>
      </c>
    </row>
    <row r="2015" spans="1:1" x14ac:dyDescent="0.25">
      <c r="A2015" s="96" t="s">
        <v>2516</v>
      </c>
    </row>
    <row r="2016" spans="1:1" x14ac:dyDescent="0.25">
      <c r="A2016" s="96" t="s">
        <v>2517</v>
      </c>
    </row>
    <row r="2017" spans="1:1" x14ac:dyDescent="0.25">
      <c r="A2017" s="96" t="s">
        <v>2518</v>
      </c>
    </row>
    <row r="2018" spans="1:1" x14ac:dyDescent="0.25">
      <c r="A2018" s="98" t="s">
        <v>2519</v>
      </c>
    </row>
    <row r="2019" spans="1:1" x14ac:dyDescent="0.25">
      <c r="A2019" s="96" t="s">
        <v>2520</v>
      </c>
    </row>
    <row r="2020" spans="1:1" x14ac:dyDescent="0.25">
      <c r="A2020" s="26" t="s">
        <v>2521</v>
      </c>
    </row>
    <row r="2021" spans="1:1" x14ac:dyDescent="0.25">
      <c r="A2021" s="98" t="s">
        <v>2522</v>
      </c>
    </row>
    <row r="2022" spans="1:1" x14ac:dyDescent="0.25">
      <c r="A2022" s="98" t="s">
        <v>2523</v>
      </c>
    </row>
    <row r="2023" spans="1:1" x14ac:dyDescent="0.25">
      <c r="A2023" s="96" t="s">
        <v>2524</v>
      </c>
    </row>
    <row r="2024" spans="1:1" x14ac:dyDescent="0.25">
      <c r="A2024" s="98" t="s">
        <v>2525</v>
      </c>
    </row>
    <row r="2025" spans="1:1" x14ac:dyDescent="0.25">
      <c r="A2025" s="96" t="s">
        <v>2526</v>
      </c>
    </row>
    <row r="2026" spans="1:1" x14ac:dyDescent="0.25">
      <c r="A2026" s="26" t="s">
        <v>2527</v>
      </c>
    </row>
    <row r="2027" spans="1:1" x14ac:dyDescent="0.25">
      <c r="A2027" s="98" t="s">
        <v>2528</v>
      </c>
    </row>
    <row r="2028" spans="1:1" x14ac:dyDescent="0.25">
      <c r="A2028" s="98" t="s">
        <v>2529</v>
      </c>
    </row>
    <row r="2029" spans="1:1" x14ac:dyDescent="0.25">
      <c r="A2029" s="96" t="s">
        <v>2530</v>
      </c>
    </row>
    <row r="2030" spans="1:1" x14ac:dyDescent="0.25">
      <c r="A2030" s="98" t="s">
        <v>2531</v>
      </c>
    </row>
    <row r="2031" spans="1:1" x14ac:dyDescent="0.25">
      <c r="A2031" s="96" t="s">
        <v>2532</v>
      </c>
    </row>
    <row r="2032" spans="1:1" x14ac:dyDescent="0.25">
      <c r="A2032" s="26" t="s">
        <v>2533</v>
      </c>
    </row>
    <row r="2033" spans="1:1" x14ac:dyDescent="0.25">
      <c r="A2033" s="98" t="s">
        <v>2534</v>
      </c>
    </row>
    <row r="2034" spans="1:1" x14ac:dyDescent="0.25">
      <c r="A2034" s="98" t="s">
        <v>2535</v>
      </c>
    </row>
    <row r="2035" spans="1:1" x14ac:dyDescent="0.25">
      <c r="A2035" s="98" t="s">
        <v>2536</v>
      </c>
    </row>
    <row r="2036" spans="1:1" x14ac:dyDescent="0.25">
      <c r="A2036" s="98" t="s">
        <v>2537</v>
      </c>
    </row>
    <row r="2037" spans="1:1" x14ac:dyDescent="0.25">
      <c r="A2037" s="98" t="s">
        <v>2538</v>
      </c>
    </row>
    <row r="2038" spans="1:1" x14ac:dyDescent="0.25">
      <c r="A2038" s="96" t="s">
        <v>2539</v>
      </c>
    </row>
    <row r="2039" spans="1:1" x14ac:dyDescent="0.25">
      <c r="A2039" s="96" t="s">
        <v>2540</v>
      </c>
    </row>
    <row r="2040" spans="1:1" x14ac:dyDescent="0.25">
      <c r="A2040" s="98" t="s">
        <v>2541</v>
      </c>
    </row>
    <row r="2041" spans="1:1" x14ac:dyDescent="0.25">
      <c r="A2041" s="96" t="s">
        <v>2542</v>
      </c>
    </row>
    <row r="2042" spans="1:1" x14ac:dyDescent="0.25">
      <c r="A2042" s="96" t="s">
        <v>2543</v>
      </c>
    </row>
    <row r="2043" spans="1:1" x14ac:dyDescent="0.25">
      <c r="A2043" s="96" t="s">
        <v>2544</v>
      </c>
    </row>
    <row r="2044" spans="1:1" x14ac:dyDescent="0.25">
      <c r="A2044" s="98" t="s">
        <v>2545</v>
      </c>
    </row>
    <row r="2045" spans="1:1" x14ac:dyDescent="0.25">
      <c r="A2045" s="98" t="s">
        <v>2546</v>
      </c>
    </row>
    <row r="2046" spans="1:1" x14ac:dyDescent="0.25">
      <c r="A2046" s="98" t="s">
        <v>2547</v>
      </c>
    </row>
    <row r="2047" spans="1:1" x14ac:dyDescent="0.25">
      <c r="A2047" s="98" t="s">
        <v>2548</v>
      </c>
    </row>
    <row r="2048" spans="1:1" x14ac:dyDescent="0.25">
      <c r="A2048" s="98" t="s">
        <v>2549</v>
      </c>
    </row>
    <row r="2049" spans="1:1" x14ac:dyDescent="0.25">
      <c r="A2049" s="96" t="s">
        <v>2550</v>
      </c>
    </row>
    <row r="2050" spans="1:1" x14ac:dyDescent="0.25">
      <c r="A2050" s="96" t="s">
        <v>2551</v>
      </c>
    </row>
    <row r="2051" spans="1:1" x14ac:dyDescent="0.25">
      <c r="A2051" s="98" t="s">
        <v>2552</v>
      </c>
    </row>
    <row r="2052" spans="1:1" x14ac:dyDescent="0.25">
      <c r="A2052" s="98" t="s">
        <v>2553</v>
      </c>
    </row>
    <row r="2053" spans="1:1" x14ac:dyDescent="0.25">
      <c r="A2053" s="98" t="s">
        <v>2554</v>
      </c>
    </row>
    <row r="2054" spans="1:1" x14ac:dyDescent="0.25">
      <c r="A2054" s="98" t="s">
        <v>2555</v>
      </c>
    </row>
    <row r="2055" spans="1:1" x14ac:dyDescent="0.25">
      <c r="A2055" s="98" t="s">
        <v>2556</v>
      </c>
    </row>
    <row r="2056" spans="1:1" x14ac:dyDescent="0.25">
      <c r="A2056" s="96" t="s">
        <v>2557</v>
      </c>
    </row>
    <row r="2057" spans="1:1" x14ac:dyDescent="0.25">
      <c r="A2057" s="96" t="s">
        <v>2558</v>
      </c>
    </row>
    <row r="2058" spans="1:1" x14ac:dyDescent="0.25">
      <c r="A2058" s="26" t="s">
        <v>2559</v>
      </c>
    </row>
    <row r="2059" spans="1:1" x14ac:dyDescent="0.25">
      <c r="A2059" s="96" t="s">
        <v>2560</v>
      </c>
    </row>
    <row r="2060" spans="1:1" x14ac:dyDescent="0.25">
      <c r="A2060" s="98" t="s">
        <v>2561</v>
      </c>
    </row>
    <row r="2061" spans="1:1" x14ac:dyDescent="0.25">
      <c r="A2061" s="96" t="s">
        <v>2562</v>
      </c>
    </row>
    <row r="2062" spans="1:1" x14ac:dyDescent="0.25">
      <c r="A2062" s="98" t="s">
        <v>2563</v>
      </c>
    </row>
    <row r="2063" spans="1:1" x14ac:dyDescent="0.25">
      <c r="A2063" s="98" t="s">
        <v>2564</v>
      </c>
    </row>
    <row r="2064" spans="1:1" x14ac:dyDescent="0.25">
      <c r="A2064" s="98" t="s">
        <v>2565</v>
      </c>
    </row>
    <row r="2065" spans="1:1" x14ac:dyDescent="0.25">
      <c r="A2065" s="96" t="s">
        <v>2566</v>
      </c>
    </row>
    <row r="2066" spans="1:1" x14ac:dyDescent="0.25">
      <c r="A2066" s="98" t="s">
        <v>2567</v>
      </c>
    </row>
    <row r="2067" spans="1:1" x14ac:dyDescent="0.25">
      <c r="A2067" s="98" t="s">
        <v>2568</v>
      </c>
    </row>
    <row r="2068" spans="1:1" x14ac:dyDescent="0.25">
      <c r="A2068" s="26" t="s">
        <v>2569</v>
      </c>
    </row>
    <row r="2069" spans="1:1" x14ac:dyDescent="0.25">
      <c r="A2069" s="26" t="s">
        <v>2570</v>
      </c>
    </row>
    <row r="2070" spans="1:1" x14ac:dyDescent="0.25">
      <c r="A2070" s="26" t="s">
        <v>2571</v>
      </c>
    </row>
    <row r="2071" spans="1:1" x14ac:dyDescent="0.25">
      <c r="A2071" s="98" t="s">
        <v>2572</v>
      </c>
    </row>
    <row r="2072" spans="1:1" x14ac:dyDescent="0.25">
      <c r="A2072" s="98" t="s">
        <v>2573</v>
      </c>
    </row>
    <row r="2073" spans="1:1" x14ac:dyDescent="0.25">
      <c r="A2073" s="96" t="s">
        <v>2574</v>
      </c>
    </row>
    <row r="2074" spans="1:1" x14ac:dyDescent="0.25">
      <c r="A2074" s="96" t="s">
        <v>2575</v>
      </c>
    </row>
    <row r="2075" spans="1:1" x14ac:dyDescent="0.25">
      <c r="A2075" s="96" t="s">
        <v>2576</v>
      </c>
    </row>
    <row r="2076" spans="1:1" x14ac:dyDescent="0.25">
      <c r="A2076" s="96" t="s">
        <v>2577</v>
      </c>
    </row>
    <row r="2077" spans="1:1" x14ac:dyDescent="0.25">
      <c r="A2077" s="26" t="s">
        <v>2578</v>
      </c>
    </row>
    <row r="2078" spans="1:1" x14ac:dyDescent="0.25">
      <c r="A2078" s="96" t="s">
        <v>2579</v>
      </c>
    </row>
    <row r="2079" spans="1:1" x14ac:dyDescent="0.25">
      <c r="A2079" s="98" t="s">
        <v>2580</v>
      </c>
    </row>
    <row r="2080" spans="1:1" x14ac:dyDescent="0.25">
      <c r="A2080" s="96" t="s">
        <v>2581</v>
      </c>
    </row>
    <row r="2081" spans="1:1" x14ac:dyDescent="0.25">
      <c r="A2081" s="98" t="s">
        <v>2582</v>
      </c>
    </row>
    <row r="2082" spans="1:1" x14ac:dyDescent="0.25">
      <c r="A2082" s="98" t="s">
        <v>2583</v>
      </c>
    </row>
    <row r="2083" spans="1:1" x14ac:dyDescent="0.25">
      <c r="A2083" s="98" t="s">
        <v>2584</v>
      </c>
    </row>
    <row r="2084" spans="1:1" x14ac:dyDescent="0.25">
      <c r="A2084" s="96" t="s">
        <v>2585</v>
      </c>
    </row>
    <row r="2085" spans="1:1" x14ac:dyDescent="0.25">
      <c r="A2085" s="98" t="s">
        <v>2586</v>
      </c>
    </row>
    <row r="2086" spans="1:1" x14ac:dyDescent="0.25">
      <c r="A2086" s="98" t="s">
        <v>2587</v>
      </c>
    </row>
    <row r="2087" spans="1:1" x14ac:dyDescent="0.25">
      <c r="A2087" s="26" t="s">
        <v>2588</v>
      </c>
    </row>
    <row r="2088" spans="1:1" x14ac:dyDescent="0.25">
      <c r="A2088" s="26" t="s">
        <v>2589</v>
      </c>
    </row>
    <row r="2089" spans="1:1" x14ac:dyDescent="0.25">
      <c r="A2089" s="26" t="s">
        <v>2590</v>
      </c>
    </row>
    <row r="2090" spans="1:1" x14ac:dyDescent="0.25">
      <c r="A2090" s="96" t="s">
        <v>2591</v>
      </c>
    </row>
    <row r="2091" spans="1:1" x14ac:dyDescent="0.25">
      <c r="A2091" s="98" t="s">
        <v>2592</v>
      </c>
    </row>
    <row r="2092" spans="1:1" x14ac:dyDescent="0.25">
      <c r="A2092" s="98" t="s">
        <v>2593</v>
      </c>
    </row>
    <row r="2093" spans="1:1" x14ac:dyDescent="0.25">
      <c r="A2093" s="98" t="s">
        <v>2594</v>
      </c>
    </row>
    <row r="2094" spans="1:1" x14ac:dyDescent="0.25">
      <c r="A2094" s="96" t="s">
        <v>2595</v>
      </c>
    </row>
    <row r="2095" spans="1:1" x14ac:dyDescent="0.25">
      <c r="A2095" s="96" t="s">
        <v>2596</v>
      </c>
    </row>
    <row r="2096" spans="1:1" x14ac:dyDescent="0.25">
      <c r="A2096" s="96" t="s">
        <v>2597</v>
      </c>
    </row>
    <row r="2097" spans="1:1" x14ac:dyDescent="0.25">
      <c r="A2097" t="s">
        <v>2600</v>
      </c>
    </row>
    <row r="2098" spans="1:1" x14ac:dyDescent="0.25">
      <c r="A2098" t="s">
        <v>2601</v>
      </c>
    </row>
    <row r="2099" spans="1:1" x14ac:dyDescent="0.25">
      <c r="A2099" s="96" t="s">
        <v>2602</v>
      </c>
    </row>
    <row r="2100" spans="1:1" x14ac:dyDescent="0.25">
      <c r="A2100" s="96" t="s">
        <v>2603</v>
      </c>
    </row>
    <row r="2101" spans="1:1" x14ac:dyDescent="0.25">
      <c r="A2101" s="96" t="s">
        <v>2604</v>
      </c>
    </row>
    <row r="2102" spans="1:1" x14ac:dyDescent="0.25">
      <c r="A2102" s="98" t="s">
        <v>2605</v>
      </c>
    </row>
    <row r="2103" spans="1:1" x14ac:dyDescent="0.25">
      <c r="A2103" s="96" t="s">
        <v>2606</v>
      </c>
    </row>
    <row r="2104" spans="1:1" x14ac:dyDescent="0.25">
      <c r="A2104" s="26" t="s">
        <v>2607</v>
      </c>
    </row>
    <row r="2105" spans="1:1" x14ac:dyDescent="0.25">
      <c r="A2105" s="98" t="s">
        <v>2608</v>
      </c>
    </row>
    <row r="2106" spans="1:1" x14ac:dyDescent="0.25">
      <c r="A2106" s="98" t="s">
        <v>2609</v>
      </c>
    </row>
    <row r="2107" spans="1:1" x14ac:dyDescent="0.25">
      <c r="A2107" s="98" t="s">
        <v>2610</v>
      </c>
    </row>
    <row r="2108" spans="1:1" x14ac:dyDescent="0.25">
      <c r="A2108" s="96" t="s">
        <v>2611</v>
      </c>
    </row>
    <row r="2109" spans="1:1" x14ac:dyDescent="0.25">
      <c r="A2109" s="98" t="s">
        <v>2612</v>
      </c>
    </row>
    <row r="2110" spans="1:1" x14ac:dyDescent="0.25">
      <c r="A2110" s="96" t="s">
        <v>2613</v>
      </c>
    </row>
    <row r="2111" spans="1:1" x14ac:dyDescent="0.25">
      <c r="A2111" s="96" t="s">
        <v>2614</v>
      </c>
    </row>
    <row r="2112" spans="1:1" x14ac:dyDescent="0.25">
      <c r="A2112" s="98" t="s">
        <v>2615</v>
      </c>
    </row>
    <row r="2113" spans="1:1" x14ac:dyDescent="0.25">
      <c r="A2113" s="96" t="s">
        <v>2616</v>
      </c>
    </row>
    <row r="2114" spans="1:1" x14ac:dyDescent="0.25">
      <c r="A2114" s="98" t="s">
        <v>2617</v>
      </c>
    </row>
    <row r="2115" spans="1:1" x14ac:dyDescent="0.25">
      <c r="A2115" s="96" t="s">
        <v>2618</v>
      </c>
    </row>
    <row r="2116" spans="1:1" x14ac:dyDescent="0.25">
      <c r="A2116" s="98" t="s">
        <v>2619</v>
      </c>
    </row>
    <row r="2117" spans="1:1" x14ac:dyDescent="0.25">
      <c r="A2117" s="96" t="s">
        <v>2620</v>
      </c>
    </row>
    <row r="2118" spans="1:1" x14ac:dyDescent="0.25">
      <c r="A2118" s="26" t="s">
        <v>2621</v>
      </c>
    </row>
    <row r="2119" spans="1:1" x14ac:dyDescent="0.25">
      <c r="A2119" s="98" t="s">
        <v>2622</v>
      </c>
    </row>
    <row r="2120" spans="1:1" x14ac:dyDescent="0.25">
      <c r="A2120" s="98" t="s">
        <v>2623</v>
      </c>
    </row>
    <row r="2121" spans="1:1" x14ac:dyDescent="0.25">
      <c r="A2121" s="98" t="s">
        <v>2624</v>
      </c>
    </row>
    <row r="2122" spans="1:1" x14ac:dyDescent="0.25">
      <c r="A2122" s="96" t="s">
        <v>2625</v>
      </c>
    </row>
    <row r="2123" spans="1:1" x14ac:dyDescent="0.25">
      <c r="A2123" s="98" t="s">
        <v>2626</v>
      </c>
    </row>
    <row r="2124" spans="1:1" x14ac:dyDescent="0.25">
      <c r="A2124" s="26" t="s">
        <v>2627</v>
      </c>
    </row>
    <row r="2125" spans="1:1" x14ac:dyDescent="0.25">
      <c r="A2125" s="96" t="s">
        <v>2628</v>
      </c>
    </row>
    <row r="2126" spans="1:1" x14ac:dyDescent="0.25">
      <c r="A2126" s="98" t="s">
        <v>2629</v>
      </c>
    </row>
    <row r="2127" spans="1:1" x14ac:dyDescent="0.25">
      <c r="A2127" s="96" t="s">
        <v>2630</v>
      </c>
    </row>
    <row r="2128" spans="1:1" x14ac:dyDescent="0.25">
      <c r="A2128" s="98" t="s">
        <v>2631</v>
      </c>
    </row>
    <row r="2129" spans="1:1" x14ac:dyDescent="0.25">
      <c r="A2129" s="98" t="s">
        <v>2632</v>
      </c>
    </row>
    <row r="2130" spans="1:1" x14ac:dyDescent="0.25">
      <c r="A2130" s="98" t="s">
        <v>2633</v>
      </c>
    </row>
    <row r="2131" spans="1:1" x14ac:dyDescent="0.25">
      <c r="A2131" s="98" t="s">
        <v>2634</v>
      </c>
    </row>
    <row r="2132" spans="1:1" x14ac:dyDescent="0.25">
      <c r="A2132" s="98" t="s">
        <v>2635</v>
      </c>
    </row>
    <row r="2133" spans="1:1" x14ac:dyDescent="0.25">
      <c r="A2133" s="96" t="s">
        <v>2636</v>
      </c>
    </row>
    <row r="2134" spans="1:1" x14ac:dyDescent="0.25">
      <c r="A2134" s="96" t="s">
        <v>2637</v>
      </c>
    </row>
    <row r="2135" spans="1:1" x14ac:dyDescent="0.25">
      <c r="A2135" s="98" t="s">
        <v>2638</v>
      </c>
    </row>
    <row r="2136" spans="1:1" x14ac:dyDescent="0.25">
      <c r="A2136" s="96" t="s">
        <v>2639</v>
      </c>
    </row>
    <row r="2137" spans="1:1" x14ac:dyDescent="0.25">
      <c r="A2137" s="98" t="s">
        <v>2640</v>
      </c>
    </row>
    <row r="2138" spans="1:1" x14ac:dyDescent="0.25">
      <c r="A2138" s="98" t="s">
        <v>2641</v>
      </c>
    </row>
    <row r="2139" spans="1:1" x14ac:dyDescent="0.25">
      <c r="A2139" s="98" t="s">
        <v>2642</v>
      </c>
    </row>
    <row r="2140" spans="1:1" x14ac:dyDescent="0.25">
      <c r="A2140" s="98" t="s">
        <v>2643</v>
      </c>
    </row>
    <row r="2141" spans="1:1" x14ac:dyDescent="0.25">
      <c r="A2141" s="98" t="s">
        <v>2644</v>
      </c>
    </row>
    <row r="2142" spans="1:1" x14ac:dyDescent="0.25">
      <c r="A2142" s="96" t="s">
        <v>2645</v>
      </c>
    </row>
    <row r="2143" spans="1:1" x14ac:dyDescent="0.25">
      <c r="A2143" s="96" t="s">
        <v>2646</v>
      </c>
    </row>
    <row r="2144" spans="1:1" x14ac:dyDescent="0.25">
      <c r="A2144" s="98" t="s">
        <v>2647</v>
      </c>
    </row>
    <row r="2145" spans="1:1" x14ac:dyDescent="0.25">
      <c r="A2145" s="96" t="s">
        <v>2648</v>
      </c>
    </row>
    <row r="2146" spans="1:1" x14ac:dyDescent="0.25">
      <c r="A2146" s="98" t="s">
        <v>2649</v>
      </c>
    </row>
    <row r="2147" spans="1:1" x14ac:dyDescent="0.25">
      <c r="A2147" s="98" t="s">
        <v>2650</v>
      </c>
    </row>
    <row r="2148" spans="1:1" x14ac:dyDescent="0.25">
      <c r="A2148" s="98" t="s">
        <v>2651</v>
      </c>
    </row>
    <row r="2149" spans="1:1" x14ac:dyDescent="0.25">
      <c r="A2149" s="98" t="s">
        <v>2652</v>
      </c>
    </row>
    <row r="2150" spans="1:1" x14ac:dyDescent="0.25">
      <c r="A2150" s="98" t="s">
        <v>2653</v>
      </c>
    </row>
    <row r="2151" spans="1:1" x14ac:dyDescent="0.25">
      <c r="A2151" s="96" t="s">
        <v>2654</v>
      </c>
    </row>
    <row r="2152" spans="1:1" x14ac:dyDescent="0.25">
      <c r="A2152" s="96" t="s">
        <v>2655</v>
      </c>
    </row>
    <row r="2153" spans="1:1" x14ac:dyDescent="0.25">
      <c r="A2153" s="98" t="s">
        <v>2656</v>
      </c>
    </row>
    <row r="2154" spans="1:1" x14ac:dyDescent="0.25">
      <c r="A2154" s="96" t="s">
        <v>2657</v>
      </c>
    </row>
    <row r="2155" spans="1:1" x14ac:dyDescent="0.25">
      <c r="A2155" s="98" t="s">
        <v>2658</v>
      </c>
    </row>
    <row r="2156" spans="1:1" x14ac:dyDescent="0.25">
      <c r="A2156" s="98" t="s">
        <v>2659</v>
      </c>
    </row>
    <row r="2157" spans="1:1" x14ac:dyDescent="0.25">
      <c r="A2157" s="98" t="s">
        <v>2660</v>
      </c>
    </row>
    <row r="2158" spans="1:1" x14ac:dyDescent="0.25">
      <c r="A2158" s="98" t="s">
        <v>2661</v>
      </c>
    </row>
    <row r="2159" spans="1:1" x14ac:dyDescent="0.25">
      <c r="A2159" s="98" t="s">
        <v>2662</v>
      </c>
    </row>
    <row r="2160" spans="1:1" x14ac:dyDescent="0.25">
      <c r="A2160" s="96" t="s">
        <v>2663</v>
      </c>
    </row>
    <row r="2161" spans="1:1" x14ac:dyDescent="0.25">
      <c r="A2161" s="96" t="s">
        <v>2664</v>
      </c>
    </row>
    <row r="2162" spans="1:1" x14ac:dyDescent="0.25">
      <c r="A2162" s="98" t="s">
        <v>2665</v>
      </c>
    </row>
    <row r="2163" spans="1:1" x14ac:dyDescent="0.25">
      <c r="A2163" s="96" t="s">
        <v>2666</v>
      </c>
    </row>
    <row r="2164" spans="1:1" x14ac:dyDescent="0.25">
      <c r="A2164" s="98" t="s">
        <v>2667</v>
      </c>
    </row>
    <row r="2165" spans="1:1" x14ac:dyDescent="0.25">
      <c r="A2165" s="98" t="s">
        <v>2668</v>
      </c>
    </row>
    <row r="2166" spans="1:1" x14ac:dyDescent="0.25">
      <c r="A2166" s="98" t="s">
        <v>2669</v>
      </c>
    </row>
    <row r="2167" spans="1:1" x14ac:dyDescent="0.25">
      <c r="A2167" s="98" t="s">
        <v>2670</v>
      </c>
    </row>
    <row r="2168" spans="1:1" x14ac:dyDescent="0.25">
      <c r="A2168" s="98" t="s">
        <v>2671</v>
      </c>
    </row>
    <row r="2169" spans="1:1" x14ac:dyDescent="0.25">
      <c r="A2169" s="96" t="s">
        <v>2672</v>
      </c>
    </row>
    <row r="2170" spans="1:1" x14ac:dyDescent="0.25">
      <c r="A2170" s="96" t="s">
        <v>2673</v>
      </c>
    </row>
    <row r="2171" spans="1:1" x14ac:dyDescent="0.25">
      <c r="A2171" s="98" t="s">
        <v>2674</v>
      </c>
    </row>
    <row r="2172" spans="1:1" x14ac:dyDescent="0.25">
      <c r="A2172" s="96" t="s">
        <v>2675</v>
      </c>
    </row>
    <row r="2173" spans="1:1" x14ac:dyDescent="0.25">
      <c r="A2173" s="98" t="s">
        <v>2676</v>
      </c>
    </row>
    <row r="2174" spans="1:1" x14ac:dyDescent="0.25">
      <c r="A2174" s="98" t="s">
        <v>2677</v>
      </c>
    </row>
    <row r="2175" spans="1:1" x14ac:dyDescent="0.25">
      <c r="A2175" s="98" t="s">
        <v>2678</v>
      </c>
    </row>
    <row r="2176" spans="1:1" x14ac:dyDescent="0.25">
      <c r="A2176" s="98" t="s">
        <v>2679</v>
      </c>
    </row>
    <row r="2177" spans="1:1" x14ac:dyDescent="0.25">
      <c r="A2177" s="98" t="s">
        <v>2680</v>
      </c>
    </row>
    <row r="2178" spans="1:1" x14ac:dyDescent="0.25">
      <c r="A2178" s="96" t="s">
        <v>2681</v>
      </c>
    </row>
    <row r="2179" spans="1:1" x14ac:dyDescent="0.25">
      <c r="A2179" s="96" t="s">
        <v>2682</v>
      </c>
    </row>
    <row r="2180" spans="1:1" x14ac:dyDescent="0.25">
      <c r="A2180" s="98" t="s">
        <v>2683</v>
      </c>
    </row>
    <row r="2181" spans="1:1" x14ac:dyDescent="0.25">
      <c r="A2181" s="96" t="s">
        <v>2684</v>
      </c>
    </row>
    <row r="2182" spans="1:1" x14ac:dyDescent="0.25">
      <c r="A2182" s="98" t="s">
        <v>2685</v>
      </c>
    </row>
    <row r="2183" spans="1:1" x14ac:dyDescent="0.25">
      <c r="A2183" s="98" t="s">
        <v>2686</v>
      </c>
    </row>
    <row r="2184" spans="1:1" x14ac:dyDescent="0.25">
      <c r="A2184" s="98" t="s">
        <v>2687</v>
      </c>
    </row>
    <row r="2185" spans="1:1" x14ac:dyDescent="0.25">
      <c r="A2185" s="98" t="s">
        <v>2688</v>
      </c>
    </row>
    <row r="2186" spans="1:1" x14ac:dyDescent="0.25">
      <c r="A2186" s="98" t="s">
        <v>2689</v>
      </c>
    </row>
    <row r="2187" spans="1:1" x14ac:dyDescent="0.25">
      <c r="A2187" s="96" t="s">
        <v>2690</v>
      </c>
    </row>
    <row r="2188" spans="1:1" x14ac:dyDescent="0.25">
      <c r="A2188" s="96" t="s">
        <v>2691</v>
      </c>
    </row>
    <row r="2189" spans="1:1" x14ac:dyDescent="0.25">
      <c r="A2189" s="98" t="s">
        <v>2692</v>
      </c>
    </row>
    <row r="2190" spans="1:1" x14ac:dyDescent="0.25">
      <c r="A2190" s="96" t="s">
        <v>2693</v>
      </c>
    </row>
    <row r="2191" spans="1:1" x14ac:dyDescent="0.25">
      <c r="A2191" s="98" t="s">
        <v>2694</v>
      </c>
    </row>
    <row r="2192" spans="1:1" x14ac:dyDescent="0.25">
      <c r="A2192" s="98" t="s">
        <v>2695</v>
      </c>
    </row>
    <row r="2193" spans="1:1" x14ac:dyDescent="0.25">
      <c r="A2193" s="98" t="s">
        <v>2696</v>
      </c>
    </row>
    <row r="2194" spans="1:1" x14ac:dyDescent="0.25">
      <c r="A2194" s="98" t="s">
        <v>2697</v>
      </c>
    </row>
    <row r="2195" spans="1:1" x14ac:dyDescent="0.25">
      <c r="A2195" s="98" t="s">
        <v>2698</v>
      </c>
    </row>
    <row r="2196" spans="1:1" x14ac:dyDescent="0.25">
      <c r="A2196" s="96" t="s">
        <v>2699</v>
      </c>
    </row>
    <row r="2197" spans="1:1" x14ac:dyDescent="0.25">
      <c r="A2197" s="96" t="s">
        <v>2700</v>
      </c>
    </row>
    <row r="2198" spans="1:1" x14ac:dyDescent="0.25">
      <c r="A2198" s="98" t="s">
        <v>2701</v>
      </c>
    </row>
    <row r="2199" spans="1:1" x14ac:dyDescent="0.25">
      <c r="A2199" s="96" t="s">
        <v>2702</v>
      </c>
    </row>
    <row r="2200" spans="1:1" x14ac:dyDescent="0.25">
      <c r="A2200" s="98" t="s">
        <v>2703</v>
      </c>
    </row>
    <row r="2201" spans="1:1" x14ac:dyDescent="0.25">
      <c r="A2201" s="98" t="s">
        <v>2704</v>
      </c>
    </row>
    <row r="2202" spans="1:1" x14ac:dyDescent="0.25">
      <c r="A2202" s="98" t="s">
        <v>2705</v>
      </c>
    </row>
    <row r="2203" spans="1:1" x14ac:dyDescent="0.25">
      <c r="A2203" s="98" t="s">
        <v>2706</v>
      </c>
    </row>
    <row r="2204" spans="1:1" x14ac:dyDescent="0.25">
      <c r="A2204" s="98" t="s">
        <v>2707</v>
      </c>
    </row>
    <row r="2205" spans="1:1" x14ac:dyDescent="0.25">
      <c r="A2205" s="96" t="s">
        <v>2708</v>
      </c>
    </row>
    <row r="2206" spans="1:1" x14ac:dyDescent="0.25">
      <c r="A2206" s="96" t="s">
        <v>2709</v>
      </c>
    </row>
    <row r="2207" spans="1:1" x14ac:dyDescent="0.25">
      <c r="A2207" s="98" t="s">
        <v>2710</v>
      </c>
    </row>
    <row r="2208" spans="1:1" x14ac:dyDescent="0.25">
      <c r="A2208" s="96" t="s">
        <v>2711</v>
      </c>
    </row>
    <row r="2209" spans="1:1" x14ac:dyDescent="0.25">
      <c r="A2209" s="98" t="s">
        <v>2712</v>
      </c>
    </row>
    <row r="2210" spans="1:1" x14ac:dyDescent="0.25">
      <c r="A2210" s="98" t="s">
        <v>2713</v>
      </c>
    </row>
    <row r="2211" spans="1:1" x14ac:dyDescent="0.25">
      <c r="A2211" s="98" t="s">
        <v>2714</v>
      </c>
    </row>
    <row r="2212" spans="1:1" x14ac:dyDescent="0.25">
      <c r="A2212" s="98" t="s">
        <v>2715</v>
      </c>
    </row>
    <row r="2213" spans="1:1" x14ac:dyDescent="0.25">
      <c r="A2213" s="98" t="s">
        <v>2716</v>
      </c>
    </row>
    <row r="2214" spans="1:1" x14ac:dyDescent="0.25">
      <c r="A2214" s="96" t="s">
        <v>2717</v>
      </c>
    </row>
    <row r="2215" spans="1:1" x14ac:dyDescent="0.25">
      <c r="A2215" s="96" t="s">
        <v>2718</v>
      </c>
    </row>
    <row r="2216" spans="1:1" x14ac:dyDescent="0.25">
      <c r="A2216" s="98" t="s">
        <v>2719</v>
      </c>
    </row>
    <row r="2217" spans="1:1" x14ac:dyDescent="0.25">
      <c r="A2217" s="96" t="s">
        <v>2720</v>
      </c>
    </row>
    <row r="2218" spans="1:1" x14ac:dyDescent="0.25">
      <c r="A2218" s="98" t="s">
        <v>2721</v>
      </c>
    </row>
    <row r="2219" spans="1:1" x14ac:dyDescent="0.25">
      <c r="A2219" s="98" t="s">
        <v>2722</v>
      </c>
    </row>
    <row r="2220" spans="1:1" x14ac:dyDescent="0.25">
      <c r="A2220" s="98" t="s">
        <v>2723</v>
      </c>
    </row>
    <row r="2221" spans="1:1" x14ac:dyDescent="0.25">
      <c r="A2221" s="96" t="s">
        <v>2724</v>
      </c>
    </row>
    <row r="2222" spans="1:1" x14ac:dyDescent="0.25">
      <c r="A2222" s="98" t="s">
        <v>2725</v>
      </c>
    </row>
    <row r="2223" spans="1:1" x14ac:dyDescent="0.25">
      <c r="A2223" s="96" t="s">
        <v>2726</v>
      </c>
    </row>
    <row r="2224" spans="1:1" x14ac:dyDescent="0.25">
      <c r="A2224" s="96" t="s">
        <v>2727</v>
      </c>
    </row>
    <row r="2225" spans="1:1" x14ac:dyDescent="0.25">
      <c r="A2225" s="96" t="s">
        <v>2728</v>
      </c>
    </row>
    <row r="2226" spans="1:1" x14ac:dyDescent="0.25">
      <c r="A2226" s="98" t="s">
        <v>2729</v>
      </c>
    </row>
    <row r="2227" spans="1:1" x14ac:dyDescent="0.25">
      <c r="A2227" s="96" t="s">
        <v>2730</v>
      </c>
    </row>
    <row r="2228" spans="1:1" x14ac:dyDescent="0.25">
      <c r="A2228" s="98" t="s">
        <v>2731</v>
      </c>
    </row>
    <row r="2229" spans="1:1" x14ac:dyDescent="0.25">
      <c r="A2229" s="96" t="s">
        <v>2732</v>
      </c>
    </row>
    <row r="2230" spans="1:1" x14ac:dyDescent="0.25">
      <c r="A2230" s="96" t="s">
        <v>2733</v>
      </c>
    </row>
    <row r="2231" spans="1:1" x14ac:dyDescent="0.25">
      <c r="A2231" s="98" t="s">
        <v>2734</v>
      </c>
    </row>
    <row r="2232" spans="1:1" x14ac:dyDescent="0.25">
      <c r="A2232" s="96" t="s">
        <v>2735</v>
      </c>
    </row>
    <row r="2233" spans="1:1" x14ac:dyDescent="0.25">
      <c r="A2233" s="98" t="s">
        <v>2736</v>
      </c>
    </row>
    <row r="2234" spans="1:1" x14ac:dyDescent="0.25">
      <c r="A2234" s="96" t="s">
        <v>2737</v>
      </c>
    </row>
    <row r="2235" spans="1:1" x14ac:dyDescent="0.25">
      <c r="A2235" s="26" t="s">
        <v>2738</v>
      </c>
    </row>
    <row r="2236" spans="1:1" x14ac:dyDescent="0.25">
      <c r="A2236" s="98" t="s">
        <v>2739</v>
      </c>
    </row>
    <row r="2237" spans="1:1" x14ac:dyDescent="0.25">
      <c r="A2237" s="96" t="s">
        <v>2740</v>
      </c>
    </row>
    <row r="2238" spans="1:1" x14ac:dyDescent="0.25">
      <c r="A2238" s="98" t="s">
        <v>2741</v>
      </c>
    </row>
    <row r="2239" spans="1:1" x14ac:dyDescent="0.25">
      <c r="A2239" s="98" t="s">
        <v>2742</v>
      </c>
    </row>
    <row r="2240" spans="1:1" x14ac:dyDescent="0.25">
      <c r="A2240" s="26" t="s">
        <v>2743</v>
      </c>
    </row>
    <row r="2241" spans="1:1" x14ac:dyDescent="0.25">
      <c r="A2241" s="26" t="s">
        <v>2744</v>
      </c>
    </row>
    <row r="2242" spans="1:1" x14ac:dyDescent="0.25">
      <c r="A2242" s="26" t="s">
        <v>2745</v>
      </c>
    </row>
    <row r="2243" spans="1:1" x14ac:dyDescent="0.25">
      <c r="A2243" s="96" t="s">
        <v>2746</v>
      </c>
    </row>
    <row r="2244" spans="1:1" x14ac:dyDescent="0.25">
      <c r="A2244" s="98" t="s">
        <v>2747</v>
      </c>
    </row>
    <row r="2245" spans="1:1" x14ac:dyDescent="0.25">
      <c r="A2245" s="96" t="s">
        <v>2748</v>
      </c>
    </row>
    <row r="2246" spans="1:1" x14ac:dyDescent="0.25">
      <c r="A2246" s="98" t="s">
        <v>2749</v>
      </c>
    </row>
    <row r="2247" spans="1:1" x14ac:dyDescent="0.25">
      <c r="A2247" s="98" t="s">
        <v>2750</v>
      </c>
    </row>
    <row r="2248" spans="1:1" x14ac:dyDescent="0.25">
      <c r="A2248" s="98" t="s">
        <v>2751</v>
      </c>
    </row>
    <row r="2249" spans="1:1" x14ac:dyDescent="0.25">
      <c r="A2249" s="96" t="s">
        <v>2752</v>
      </c>
    </row>
    <row r="2250" spans="1:1" x14ac:dyDescent="0.25">
      <c r="A2250" s="98" t="s">
        <v>2753</v>
      </c>
    </row>
    <row r="2251" spans="1:1" x14ac:dyDescent="0.25">
      <c r="A2251" s="96" t="s">
        <v>2754</v>
      </c>
    </row>
    <row r="2252" spans="1:1" x14ac:dyDescent="0.25">
      <c r="A2252" s="96" t="s">
        <v>2755</v>
      </c>
    </row>
    <row r="2253" spans="1:1" x14ac:dyDescent="0.25">
      <c r="A2253" s="96" t="s">
        <v>2756</v>
      </c>
    </row>
    <row r="2254" spans="1:1" x14ac:dyDescent="0.25">
      <c r="A2254" s="96" t="s">
        <v>2757</v>
      </c>
    </row>
    <row r="2255" spans="1:1" x14ac:dyDescent="0.25">
      <c r="A2255" s="98" t="s">
        <v>2758</v>
      </c>
    </row>
    <row r="2256" spans="1:1" x14ac:dyDescent="0.25">
      <c r="A2256" s="96" t="s">
        <v>2759</v>
      </c>
    </row>
    <row r="2257" spans="1:1" x14ac:dyDescent="0.25">
      <c r="A2257" s="98" t="s">
        <v>2760</v>
      </c>
    </row>
    <row r="2258" spans="1:1" x14ac:dyDescent="0.25">
      <c r="A2258" s="98" t="s">
        <v>2761</v>
      </c>
    </row>
    <row r="2259" spans="1:1" x14ac:dyDescent="0.25">
      <c r="A2259" s="26" t="s">
        <v>2762</v>
      </c>
    </row>
    <row r="2260" spans="1:1" x14ac:dyDescent="0.25">
      <c r="A2260" s="26" t="s">
        <v>2763</v>
      </c>
    </row>
    <row r="2261" spans="1:1" x14ac:dyDescent="0.25">
      <c r="A2261" s="26" t="s">
        <v>2764</v>
      </c>
    </row>
    <row r="2262" spans="1:1" x14ac:dyDescent="0.25">
      <c r="A2262" s="26" t="s">
        <v>2765</v>
      </c>
    </row>
    <row r="2263" spans="1:1" x14ac:dyDescent="0.25">
      <c r="A2263" s="96" t="s">
        <v>2766</v>
      </c>
    </row>
    <row r="2264" spans="1:1" x14ac:dyDescent="0.25">
      <c r="A2264" s="98" t="s">
        <v>2767</v>
      </c>
    </row>
    <row r="2265" spans="1:1" x14ac:dyDescent="0.25">
      <c r="A2265" s="96" t="s">
        <v>2768</v>
      </c>
    </row>
    <row r="2266" spans="1:1" x14ac:dyDescent="0.25">
      <c r="A2266" s="98" t="s">
        <v>2769</v>
      </c>
    </row>
    <row r="2267" spans="1:1" x14ac:dyDescent="0.25">
      <c r="A2267" s="98" t="s">
        <v>2770</v>
      </c>
    </row>
    <row r="2268" spans="1:1" x14ac:dyDescent="0.25">
      <c r="A2268" s="98" t="s">
        <v>2771</v>
      </c>
    </row>
    <row r="2269" spans="1:1" x14ac:dyDescent="0.25">
      <c r="A2269" s="96" t="s">
        <v>2772</v>
      </c>
    </row>
    <row r="2270" spans="1:1" x14ac:dyDescent="0.25">
      <c r="A2270" s="98" t="s">
        <v>2773</v>
      </c>
    </row>
    <row r="2271" spans="1:1" x14ac:dyDescent="0.25">
      <c r="A2271" s="98" t="s">
        <v>2774</v>
      </c>
    </row>
    <row r="2272" spans="1:1" x14ac:dyDescent="0.25">
      <c r="A2272" s="26" t="s">
        <v>2775</v>
      </c>
    </row>
    <row r="2273" spans="1:1" x14ac:dyDescent="0.25">
      <c r="A2273" s="26" t="s">
        <v>2776</v>
      </c>
    </row>
    <row r="2274" spans="1:1" x14ac:dyDescent="0.25">
      <c r="A2274" s="26" t="s">
        <v>2777</v>
      </c>
    </row>
    <row r="2275" spans="1:1" x14ac:dyDescent="0.25">
      <c r="A2275" s="98" t="s">
        <v>2778</v>
      </c>
    </row>
    <row r="2276" spans="1:1" x14ac:dyDescent="0.25">
      <c r="A2276" s="96" t="s">
        <v>2779</v>
      </c>
    </row>
    <row r="2277" spans="1:1" x14ac:dyDescent="0.25">
      <c r="A2277" s="98" t="s">
        <v>2780</v>
      </c>
    </row>
    <row r="2278" spans="1:1" x14ac:dyDescent="0.25">
      <c r="A2278" s="96" t="s">
        <v>2781</v>
      </c>
    </row>
    <row r="2279" spans="1:1" x14ac:dyDescent="0.25">
      <c r="A2279" s="26" t="s">
        <v>2782</v>
      </c>
    </row>
    <row r="2280" spans="1:1" x14ac:dyDescent="0.25">
      <c r="A2280" s="96" t="s">
        <v>2783</v>
      </c>
    </row>
    <row r="2281" spans="1:1" x14ac:dyDescent="0.25">
      <c r="A2281" s="26" t="s">
        <v>2784</v>
      </c>
    </row>
    <row r="2282" spans="1:1" x14ac:dyDescent="0.25">
      <c r="A2282" s="96" t="s">
        <v>2785</v>
      </c>
    </row>
    <row r="2283" spans="1:1" x14ac:dyDescent="0.25">
      <c r="A2283" s="98" t="s">
        <v>2786</v>
      </c>
    </row>
    <row r="2284" spans="1:1" x14ac:dyDescent="0.25">
      <c r="A2284" s="96" t="s">
        <v>2787</v>
      </c>
    </row>
    <row r="2285" spans="1:1" x14ac:dyDescent="0.25">
      <c r="A2285" s="98" t="s">
        <v>2788</v>
      </c>
    </row>
    <row r="2286" spans="1:1" x14ac:dyDescent="0.25">
      <c r="A2286" s="98" t="s">
        <v>2789</v>
      </c>
    </row>
    <row r="2287" spans="1:1" x14ac:dyDescent="0.25">
      <c r="A2287" s="98" t="s">
        <v>2790</v>
      </c>
    </row>
    <row r="2288" spans="1:1" x14ac:dyDescent="0.25">
      <c r="A2288" s="96" t="s">
        <v>2791</v>
      </c>
    </row>
    <row r="2289" spans="1:1" x14ac:dyDescent="0.25">
      <c r="A2289" s="98" t="s">
        <v>2792</v>
      </c>
    </row>
    <row r="2290" spans="1:1" x14ac:dyDescent="0.25">
      <c r="A2290" s="98" t="s">
        <v>2793</v>
      </c>
    </row>
    <row r="2291" spans="1:1" x14ac:dyDescent="0.25">
      <c r="A2291" s="96" t="s">
        <v>2794</v>
      </c>
    </row>
    <row r="2292" spans="1:1" x14ac:dyDescent="0.25">
      <c r="A2292" s="96" t="s">
        <v>2795</v>
      </c>
    </row>
    <row r="2293" spans="1:1" x14ac:dyDescent="0.25">
      <c r="A2293" s="96" t="s">
        <v>2796</v>
      </c>
    </row>
    <row r="2294" spans="1:1" x14ac:dyDescent="0.25">
      <c r="A2294" s="98" t="s">
        <v>2797</v>
      </c>
    </row>
    <row r="2295" spans="1:1" x14ac:dyDescent="0.25">
      <c r="A2295" s="98" t="s">
        <v>2798</v>
      </c>
    </row>
    <row r="2296" spans="1:1" x14ac:dyDescent="0.25">
      <c r="A2296" s="98" t="s">
        <v>2799</v>
      </c>
    </row>
    <row r="2297" spans="1:1" x14ac:dyDescent="0.25">
      <c r="A2297" s="26" t="s">
        <v>2800</v>
      </c>
    </row>
    <row r="2298" spans="1:1" x14ac:dyDescent="0.25">
      <c r="A2298" s="98" t="s">
        <v>2801</v>
      </c>
    </row>
    <row r="2299" spans="1:1" x14ac:dyDescent="0.25">
      <c r="A2299" s="98" t="s">
        <v>2802</v>
      </c>
    </row>
    <row r="2300" spans="1:1" x14ac:dyDescent="0.25">
      <c r="A2300" s="96" t="s">
        <v>2803</v>
      </c>
    </row>
    <row r="2301" spans="1:1" x14ac:dyDescent="0.25">
      <c r="A2301" s="98" t="s">
        <v>2804</v>
      </c>
    </row>
    <row r="2302" spans="1:1" x14ac:dyDescent="0.25">
      <c r="A2302" s="96" t="s">
        <v>2805</v>
      </c>
    </row>
    <row r="2303" spans="1:1" x14ac:dyDescent="0.25">
      <c r="A2303" s="98" t="s">
        <v>2806</v>
      </c>
    </row>
    <row r="2304" spans="1:1" x14ac:dyDescent="0.25">
      <c r="A2304" s="98" t="s">
        <v>2807</v>
      </c>
    </row>
    <row r="2305" spans="1:1" x14ac:dyDescent="0.25">
      <c r="A2305" s="96" t="s">
        <v>2808</v>
      </c>
    </row>
    <row r="2306" spans="1:1" x14ac:dyDescent="0.25">
      <c r="A2306" s="98" t="s">
        <v>2809</v>
      </c>
    </row>
    <row r="2307" spans="1:1" x14ac:dyDescent="0.25">
      <c r="A2307" s="98" t="s">
        <v>2810</v>
      </c>
    </row>
    <row r="2308" spans="1:1" x14ac:dyDescent="0.25">
      <c r="A2308" s="98" t="s">
        <v>2811</v>
      </c>
    </row>
    <row r="2309" spans="1:1" x14ac:dyDescent="0.25">
      <c r="A2309" s="96" t="s">
        <v>2812</v>
      </c>
    </row>
    <row r="2310" spans="1:1" x14ac:dyDescent="0.25">
      <c r="A2310" s="96" t="s">
        <v>2813</v>
      </c>
    </row>
    <row r="2311" spans="1:1" x14ac:dyDescent="0.25">
      <c r="A2311" s="96" t="s">
        <v>2814</v>
      </c>
    </row>
    <row r="2312" spans="1:1" x14ac:dyDescent="0.25">
      <c r="A2312" t="s">
        <v>2817</v>
      </c>
    </row>
    <row r="2313" spans="1:1" x14ac:dyDescent="0.25">
      <c r="A2313" t="s">
        <v>2818</v>
      </c>
    </row>
    <row r="2314" spans="1:1" x14ac:dyDescent="0.25">
      <c r="A2314" s="96" t="s">
        <v>2819</v>
      </c>
    </row>
    <row r="2315" spans="1:1" x14ac:dyDescent="0.25">
      <c r="A2315" s="96" t="s">
        <v>2820</v>
      </c>
    </row>
    <row r="2316" spans="1:1" x14ac:dyDescent="0.25">
      <c r="A2316" s="96" t="s">
        <v>2821</v>
      </c>
    </row>
    <row r="2317" spans="1:1" x14ac:dyDescent="0.25">
      <c r="A2317" s="98" t="s">
        <v>2822</v>
      </c>
    </row>
    <row r="2318" spans="1:1" x14ac:dyDescent="0.25">
      <c r="A2318" s="96" t="s">
        <v>2823</v>
      </c>
    </row>
    <row r="2319" spans="1:1" x14ac:dyDescent="0.25">
      <c r="A2319" s="98" t="s">
        <v>2824</v>
      </c>
    </row>
    <row r="2320" spans="1:1" x14ac:dyDescent="0.25">
      <c r="A2320" s="98" t="s">
        <v>2825</v>
      </c>
    </row>
    <row r="2321" spans="1:1" x14ac:dyDescent="0.25">
      <c r="A2321" s="98" t="s">
        <v>2826</v>
      </c>
    </row>
    <row r="2322" spans="1:1" x14ac:dyDescent="0.25">
      <c r="A2322" s="98" t="s">
        <v>2827</v>
      </c>
    </row>
    <row r="2323" spans="1:1" x14ac:dyDescent="0.25">
      <c r="A2323" s="98" t="s">
        <v>2828</v>
      </c>
    </row>
    <row r="2324" spans="1:1" x14ac:dyDescent="0.25">
      <c r="A2324" s="98" t="s">
        <v>2829</v>
      </c>
    </row>
    <row r="2325" spans="1:1" x14ac:dyDescent="0.25">
      <c r="A2325" s="96" t="s">
        <v>2830</v>
      </c>
    </row>
    <row r="2326" spans="1:1" x14ac:dyDescent="0.25">
      <c r="A2326" s="98" t="s">
        <v>2831</v>
      </c>
    </row>
    <row r="2327" spans="1:1" x14ac:dyDescent="0.25">
      <c r="A2327" s="98" t="s">
        <v>2832</v>
      </c>
    </row>
    <row r="2328" spans="1:1" x14ac:dyDescent="0.25">
      <c r="A2328" s="98" t="s">
        <v>2833</v>
      </c>
    </row>
    <row r="2329" spans="1:1" x14ac:dyDescent="0.25">
      <c r="A2329" s="96" t="s">
        <v>2834</v>
      </c>
    </row>
    <row r="2330" spans="1:1" x14ac:dyDescent="0.25">
      <c r="A2330" s="96" t="s">
        <v>2835</v>
      </c>
    </row>
    <row r="2331" spans="1:1" x14ac:dyDescent="0.25">
      <c r="A2331" s="96" t="s">
        <v>2836</v>
      </c>
    </row>
    <row r="2332" spans="1:1" x14ac:dyDescent="0.25">
      <c r="A2332" t="s">
        <v>2838</v>
      </c>
    </row>
    <row r="2333" spans="1:1" x14ac:dyDescent="0.25">
      <c r="A2333" t="s">
        <v>2839</v>
      </c>
    </row>
    <row r="2334" spans="1:1" x14ac:dyDescent="0.25">
      <c r="A2334" s="96" t="s">
        <v>2840</v>
      </c>
    </row>
    <row r="2335" spans="1:1" x14ac:dyDescent="0.25">
      <c r="A2335" s="96" t="s">
        <v>2841</v>
      </c>
    </row>
    <row r="2336" spans="1:1" x14ac:dyDescent="0.25">
      <c r="A2336" s="96" t="s">
        <v>2842</v>
      </c>
    </row>
    <row r="2337" spans="1:1" x14ac:dyDescent="0.25">
      <c r="A2337" s="98" t="s">
        <v>2843</v>
      </c>
    </row>
    <row r="2338" spans="1:1" x14ac:dyDescent="0.25">
      <c r="A2338" s="96" t="s">
        <v>2844</v>
      </c>
    </row>
    <row r="2339" spans="1:1" x14ac:dyDescent="0.25">
      <c r="A2339" s="26" t="s">
        <v>2845</v>
      </c>
    </row>
    <row r="2340" spans="1:1" x14ac:dyDescent="0.25">
      <c r="A2340" s="98" t="s">
        <v>2846</v>
      </c>
    </row>
    <row r="2341" spans="1:1" x14ac:dyDescent="0.25">
      <c r="A2341" s="98" t="s">
        <v>2847</v>
      </c>
    </row>
    <row r="2342" spans="1:1" x14ac:dyDescent="0.25">
      <c r="A2342" s="96" t="s">
        <v>2848</v>
      </c>
    </row>
    <row r="2343" spans="1:1" x14ac:dyDescent="0.25">
      <c r="A2343" s="98" t="s">
        <v>2849</v>
      </c>
    </row>
    <row r="2344" spans="1:1" x14ac:dyDescent="0.25">
      <c r="A2344" s="96" t="s">
        <v>2850</v>
      </c>
    </row>
    <row r="2345" spans="1:1" x14ac:dyDescent="0.25">
      <c r="A2345" s="26" t="s">
        <v>2851</v>
      </c>
    </row>
    <row r="2346" spans="1:1" x14ac:dyDescent="0.25">
      <c r="A2346" s="98" t="s">
        <v>2852</v>
      </c>
    </row>
    <row r="2347" spans="1:1" x14ac:dyDescent="0.25">
      <c r="A2347" s="98" t="s">
        <v>2853</v>
      </c>
    </row>
    <row r="2348" spans="1:1" x14ac:dyDescent="0.25">
      <c r="A2348" s="96" t="s">
        <v>2854</v>
      </c>
    </row>
    <row r="2349" spans="1:1" x14ac:dyDescent="0.25">
      <c r="A2349" s="98" t="s">
        <v>2855</v>
      </c>
    </row>
    <row r="2350" spans="1:1" x14ac:dyDescent="0.25">
      <c r="A2350" s="96" t="s">
        <v>2856</v>
      </c>
    </row>
    <row r="2351" spans="1:1" x14ac:dyDescent="0.25">
      <c r="A2351" s="26" t="s">
        <v>2857</v>
      </c>
    </row>
    <row r="2352" spans="1:1" x14ac:dyDescent="0.25">
      <c r="A2352" s="98" t="s">
        <v>2858</v>
      </c>
    </row>
    <row r="2353" spans="1:1" x14ac:dyDescent="0.25">
      <c r="A2353" s="98" t="s">
        <v>2859</v>
      </c>
    </row>
    <row r="2354" spans="1:1" x14ac:dyDescent="0.25">
      <c r="A2354" s="98" t="s">
        <v>2860</v>
      </c>
    </row>
    <row r="2355" spans="1:1" x14ac:dyDescent="0.25">
      <c r="A2355" s="96" t="s">
        <v>2861</v>
      </c>
    </row>
    <row r="2356" spans="1:1" x14ac:dyDescent="0.25">
      <c r="A2356" s="96" t="s">
        <v>2862</v>
      </c>
    </row>
    <row r="2357" spans="1:1" x14ac:dyDescent="0.25">
      <c r="A2357" s="96" t="s">
        <v>2863</v>
      </c>
    </row>
    <row r="2358" spans="1:1" x14ac:dyDescent="0.25">
      <c r="A2358" s="98" t="s">
        <v>2864</v>
      </c>
    </row>
    <row r="2359" spans="1:1" x14ac:dyDescent="0.25">
      <c r="A2359" s="98" t="s">
        <v>2865</v>
      </c>
    </row>
    <row r="2360" spans="1:1" x14ac:dyDescent="0.25">
      <c r="A2360" s="98" t="s">
        <v>2866</v>
      </c>
    </row>
    <row r="2361" spans="1:1" x14ac:dyDescent="0.25">
      <c r="A2361" s="26" t="s">
        <v>2867</v>
      </c>
    </row>
    <row r="2362" spans="1:1" x14ac:dyDescent="0.25">
      <c r="A2362" s="96" t="s">
        <v>2868</v>
      </c>
    </row>
    <row r="2363" spans="1:1" x14ac:dyDescent="0.25">
      <c r="A2363" s="98" t="s">
        <v>2869</v>
      </c>
    </row>
    <row r="2364" spans="1:1" x14ac:dyDescent="0.25">
      <c r="A2364" s="96" t="s">
        <v>2870</v>
      </c>
    </row>
    <row r="2365" spans="1:1" x14ac:dyDescent="0.25">
      <c r="A2365" s="98" t="s">
        <v>2871</v>
      </c>
    </row>
    <row r="2366" spans="1:1" x14ac:dyDescent="0.25">
      <c r="A2366" s="98" t="s">
        <v>2872</v>
      </c>
    </row>
    <row r="2367" spans="1:1" x14ac:dyDescent="0.25">
      <c r="A2367" s="98" t="s">
        <v>2873</v>
      </c>
    </row>
    <row r="2368" spans="1:1" x14ac:dyDescent="0.25">
      <c r="A2368" s="98" t="s">
        <v>2874</v>
      </c>
    </row>
    <row r="2369" spans="1:1" x14ac:dyDescent="0.25">
      <c r="A2369" s="98" t="s">
        <v>2875</v>
      </c>
    </row>
    <row r="2370" spans="1:1" x14ac:dyDescent="0.25">
      <c r="A2370" s="96" t="s">
        <v>2876</v>
      </c>
    </row>
    <row r="2371" spans="1:1" x14ac:dyDescent="0.25">
      <c r="A2371" s="96" t="s">
        <v>2877</v>
      </c>
    </row>
    <row r="2372" spans="1:1" x14ac:dyDescent="0.25">
      <c r="A2372" s="98" t="s">
        <v>2878</v>
      </c>
    </row>
    <row r="2373" spans="1:1" x14ac:dyDescent="0.25">
      <c r="A2373" s="98" t="s">
        <v>2879</v>
      </c>
    </row>
    <row r="2374" spans="1:1" x14ac:dyDescent="0.25">
      <c r="A2374" s="98" t="s">
        <v>2880</v>
      </c>
    </row>
    <row r="2375" spans="1:1" x14ac:dyDescent="0.25">
      <c r="A2375" s="98" t="s">
        <v>2881</v>
      </c>
    </row>
    <row r="2376" spans="1:1" x14ac:dyDescent="0.25">
      <c r="A2376" s="98" t="s">
        <v>2882</v>
      </c>
    </row>
    <row r="2377" spans="1:1" x14ac:dyDescent="0.25">
      <c r="A2377" s="98" t="s">
        <v>2883</v>
      </c>
    </row>
    <row r="2378" spans="1:1" x14ac:dyDescent="0.25">
      <c r="A2378" s="96" t="s">
        <v>2884</v>
      </c>
    </row>
    <row r="2379" spans="1:1" x14ac:dyDescent="0.25">
      <c r="A2379" s="96" t="s">
        <v>2885</v>
      </c>
    </row>
    <row r="2380" spans="1:1" x14ac:dyDescent="0.25">
      <c r="A2380" s="98" t="s">
        <v>2886</v>
      </c>
    </row>
    <row r="2381" spans="1:1" x14ac:dyDescent="0.25">
      <c r="A2381" s="98" t="s">
        <v>2887</v>
      </c>
    </row>
    <row r="2382" spans="1:1" x14ac:dyDescent="0.25">
      <c r="A2382" s="98" t="s">
        <v>2888</v>
      </c>
    </row>
    <row r="2383" spans="1:1" x14ac:dyDescent="0.25">
      <c r="A2383" s="98" t="s">
        <v>2889</v>
      </c>
    </row>
    <row r="2384" spans="1:1" x14ac:dyDescent="0.25">
      <c r="A2384" s="98" t="s">
        <v>2890</v>
      </c>
    </row>
    <row r="2385" spans="1:1" x14ac:dyDescent="0.25">
      <c r="A2385" s="98" t="s">
        <v>2891</v>
      </c>
    </row>
    <row r="2386" spans="1:1" x14ac:dyDescent="0.25">
      <c r="A2386" s="96" t="s">
        <v>2892</v>
      </c>
    </row>
    <row r="2387" spans="1:1" x14ac:dyDescent="0.25">
      <c r="A2387" s="96" t="s">
        <v>2893</v>
      </c>
    </row>
    <row r="2388" spans="1:1" x14ac:dyDescent="0.25">
      <c r="A2388" s="98" t="s">
        <v>2894</v>
      </c>
    </row>
    <row r="2389" spans="1:1" x14ac:dyDescent="0.25">
      <c r="A2389" s="98" t="s">
        <v>2895</v>
      </c>
    </row>
    <row r="2390" spans="1:1" x14ac:dyDescent="0.25">
      <c r="A2390" s="98" t="s">
        <v>2896</v>
      </c>
    </row>
    <row r="2391" spans="1:1" x14ac:dyDescent="0.25">
      <c r="A2391" s="98" t="s">
        <v>2897</v>
      </c>
    </row>
    <row r="2392" spans="1:1" x14ac:dyDescent="0.25">
      <c r="A2392" s="98" t="s">
        <v>2898</v>
      </c>
    </row>
    <row r="2393" spans="1:1" x14ac:dyDescent="0.25">
      <c r="A2393" s="98" t="s">
        <v>2899</v>
      </c>
    </row>
    <row r="2394" spans="1:1" x14ac:dyDescent="0.25">
      <c r="A2394" s="96" t="s">
        <v>2900</v>
      </c>
    </row>
    <row r="2395" spans="1:1" x14ac:dyDescent="0.25">
      <c r="A2395" s="96" t="s">
        <v>2901</v>
      </c>
    </row>
    <row r="2396" spans="1:1" x14ac:dyDescent="0.25">
      <c r="A2396" s="98" t="s">
        <v>2902</v>
      </c>
    </row>
    <row r="2397" spans="1:1" x14ac:dyDescent="0.25">
      <c r="A2397" s="98" t="s">
        <v>2903</v>
      </c>
    </row>
    <row r="2398" spans="1:1" x14ac:dyDescent="0.25">
      <c r="A2398" s="98" t="s">
        <v>2904</v>
      </c>
    </row>
    <row r="2399" spans="1:1" x14ac:dyDescent="0.25">
      <c r="A2399" s="98" t="s">
        <v>2905</v>
      </c>
    </row>
    <row r="2400" spans="1:1" x14ac:dyDescent="0.25">
      <c r="A2400" s="98" t="s">
        <v>2906</v>
      </c>
    </row>
    <row r="2401" spans="1:1" x14ac:dyDescent="0.25">
      <c r="A2401" s="98" t="s">
        <v>2907</v>
      </c>
    </row>
    <row r="2402" spans="1:1" x14ac:dyDescent="0.25">
      <c r="A2402" s="96" t="s">
        <v>2908</v>
      </c>
    </row>
    <row r="2403" spans="1:1" x14ac:dyDescent="0.25">
      <c r="A2403" s="96" t="s">
        <v>2909</v>
      </c>
    </row>
    <row r="2404" spans="1:1" x14ac:dyDescent="0.25">
      <c r="A2404" s="98" t="s">
        <v>2910</v>
      </c>
    </row>
    <row r="2405" spans="1:1" x14ac:dyDescent="0.25">
      <c r="A2405" s="98" t="s">
        <v>2911</v>
      </c>
    </row>
    <row r="2406" spans="1:1" x14ac:dyDescent="0.25">
      <c r="A2406" s="98" t="s">
        <v>2912</v>
      </c>
    </row>
    <row r="2407" spans="1:1" x14ac:dyDescent="0.25">
      <c r="A2407" s="98" t="s">
        <v>2913</v>
      </c>
    </row>
    <row r="2408" spans="1:1" x14ac:dyDescent="0.25">
      <c r="A2408" s="98" t="s">
        <v>2914</v>
      </c>
    </row>
    <row r="2409" spans="1:1" x14ac:dyDescent="0.25">
      <c r="A2409" s="98" t="s">
        <v>2915</v>
      </c>
    </row>
    <row r="2410" spans="1:1" x14ac:dyDescent="0.25">
      <c r="A2410" s="96" t="s">
        <v>2916</v>
      </c>
    </row>
    <row r="2411" spans="1:1" x14ac:dyDescent="0.25">
      <c r="A2411" s="96" t="s">
        <v>2917</v>
      </c>
    </row>
    <row r="2412" spans="1:1" x14ac:dyDescent="0.25">
      <c r="A2412" s="98" t="s">
        <v>2918</v>
      </c>
    </row>
    <row r="2413" spans="1:1" x14ac:dyDescent="0.25">
      <c r="A2413" s="98" t="s">
        <v>2919</v>
      </c>
    </row>
    <row r="2414" spans="1:1" x14ac:dyDescent="0.25">
      <c r="A2414" s="98" t="s">
        <v>2920</v>
      </c>
    </row>
    <row r="2415" spans="1:1" x14ac:dyDescent="0.25">
      <c r="A2415" s="98" t="s">
        <v>2921</v>
      </c>
    </row>
    <row r="2416" spans="1:1" x14ac:dyDescent="0.25">
      <c r="A2416" s="98" t="s">
        <v>2922</v>
      </c>
    </row>
    <row r="2417" spans="1:1" x14ac:dyDescent="0.25">
      <c r="A2417" s="98" t="s">
        <v>2923</v>
      </c>
    </row>
    <row r="2418" spans="1:1" x14ac:dyDescent="0.25">
      <c r="A2418" s="96" t="s">
        <v>2924</v>
      </c>
    </row>
    <row r="2419" spans="1:1" x14ac:dyDescent="0.25">
      <c r="A2419" s="96" t="s">
        <v>2925</v>
      </c>
    </row>
    <row r="2420" spans="1:1" x14ac:dyDescent="0.25">
      <c r="A2420" s="98" t="s">
        <v>2926</v>
      </c>
    </row>
    <row r="2421" spans="1:1" x14ac:dyDescent="0.25">
      <c r="A2421" s="98" t="s">
        <v>2927</v>
      </c>
    </row>
    <row r="2422" spans="1:1" x14ac:dyDescent="0.25">
      <c r="A2422" s="98" t="s">
        <v>2928</v>
      </c>
    </row>
    <row r="2423" spans="1:1" x14ac:dyDescent="0.25">
      <c r="A2423" s="98" t="s">
        <v>2929</v>
      </c>
    </row>
    <row r="2424" spans="1:1" x14ac:dyDescent="0.25">
      <c r="A2424" s="98" t="s">
        <v>2930</v>
      </c>
    </row>
    <row r="2425" spans="1:1" x14ac:dyDescent="0.25">
      <c r="A2425" s="98" t="s">
        <v>2931</v>
      </c>
    </row>
    <row r="2426" spans="1:1" x14ac:dyDescent="0.25">
      <c r="A2426" s="96" t="s">
        <v>2932</v>
      </c>
    </row>
    <row r="2427" spans="1:1" x14ac:dyDescent="0.25">
      <c r="A2427" s="96" t="s">
        <v>2933</v>
      </c>
    </row>
    <row r="2428" spans="1:1" x14ac:dyDescent="0.25">
      <c r="A2428" s="98" t="s">
        <v>2934</v>
      </c>
    </row>
    <row r="2429" spans="1:1" x14ac:dyDescent="0.25">
      <c r="A2429" s="98" t="s">
        <v>2935</v>
      </c>
    </row>
    <row r="2430" spans="1:1" x14ac:dyDescent="0.25">
      <c r="A2430" s="98" t="s">
        <v>2936</v>
      </c>
    </row>
    <row r="2431" spans="1:1" x14ac:dyDescent="0.25">
      <c r="A2431" s="98" t="s">
        <v>2937</v>
      </c>
    </row>
    <row r="2432" spans="1:1" x14ac:dyDescent="0.25">
      <c r="A2432" s="98" t="s">
        <v>2938</v>
      </c>
    </row>
    <row r="2433" spans="1:1" x14ac:dyDescent="0.25">
      <c r="A2433" s="98" t="s">
        <v>2939</v>
      </c>
    </row>
    <row r="2434" spans="1:1" x14ac:dyDescent="0.25">
      <c r="A2434" s="96" t="s">
        <v>2940</v>
      </c>
    </row>
    <row r="2435" spans="1:1" x14ac:dyDescent="0.25">
      <c r="A2435" s="96" t="s">
        <v>2941</v>
      </c>
    </row>
    <row r="2436" spans="1:1" x14ac:dyDescent="0.25">
      <c r="A2436" s="98" t="s">
        <v>2942</v>
      </c>
    </row>
    <row r="2437" spans="1:1" x14ac:dyDescent="0.25">
      <c r="A2437" s="98" t="s">
        <v>2943</v>
      </c>
    </row>
    <row r="2438" spans="1:1" x14ac:dyDescent="0.25">
      <c r="A2438" s="98" t="s">
        <v>2944</v>
      </c>
    </row>
    <row r="2439" spans="1:1" x14ac:dyDescent="0.25">
      <c r="A2439" s="98" t="s">
        <v>2945</v>
      </c>
    </row>
    <row r="2440" spans="1:1" x14ac:dyDescent="0.25">
      <c r="A2440" s="98" t="s">
        <v>2946</v>
      </c>
    </row>
    <row r="2441" spans="1:1" x14ac:dyDescent="0.25">
      <c r="A2441" s="98" t="s">
        <v>2947</v>
      </c>
    </row>
    <row r="2442" spans="1:1" x14ac:dyDescent="0.25">
      <c r="A2442" s="96" t="s">
        <v>2948</v>
      </c>
    </row>
    <row r="2443" spans="1:1" x14ac:dyDescent="0.25">
      <c r="A2443" s="96" t="s">
        <v>2949</v>
      </c>
    </row>
    <row r="2444" spans="1:1" x14ac:dyDescent="0.25">
      <c r="A2444" s="98" t="s">
        <v>2950</v>
      </c>
    </row>
    <row r="2445" spans="1:1" x14ac:dyDescent="0.25">
      <c r="A2445" s="98" t="s">
        <v>2951</v>
      </c>
    </row>
    <row r="2446" spans="1:1" x14ac:dyDescent="0.25">
      <c r="A2446" s="98" t="s">
        <v>2952</v>
      </c>
    </row>
    <row r="2447" spans="1:1" x14ac:dyDescent="0.25">
      <c r="A2447" s="98" t="s">
        <v>2953</v>
      </c>
    </row>
    <row r="2448" spans="1:1" x14ac:dyDescent="0.25">
      <c r="A2448" s="98" t="s">
        <v>2954</v>
      </c>
    </row>
    <row r="2449" spans="1:1" x14ac:dyDescent="0.25">
      <c r="A2449" s="98" t="s">
        <v>2955</v>
      </c>
    </row>
    <row r="2450" spans="1:1" x14ac:dyDescent="0.25">
      <c r="A2450" s="96" t="s">
        <v>2956</v>
      </c>
    </row>
    <row r="2451" spans="1:1" x14ac:dyDescent="0.25">
      <c r="A2451" s="96" t="s">
        <v>2957</v>
      </c>
    </row>
    <row r="2452" spans="1:1" x14ac:dyDescent="0.25">
      <c r="A2452" s="98" t="s">
        <v>2958</v>
      </c>
    </row>
    <row r="2453" spans="1:1" x14ac:dyDescent="0.25">
      <c r="A2453" s="98" t="s">
        <v>2959</v>
      </c>
    </row>
    <row r="2454" spans="1:1" x14ac:dyDescent="0.25">
      <c r="A2454" s="98" t="s">
        <v>2960</v>
      </c>
    </row>
    <row r="2455" spans="1:1" x14ac:dyDescent="0.25">
      <c r="A2455" s="98" t="s">
        <v>2961</v>
      </c>
    </row>
    <row r="2456" spans="1:1" x14ac:dyDescent="0.25">
      <c r="A2456" s="98" t="s">
        <v>2962</v>
      </c>
    </row>
    <row r="2457" spans="1:1" x14ac:dyDescent="0.25">
      <c r="A2457" s="98" t="s">
        <v>2963</v>
      </c>
    </row>
    <row r="2458" spans="1:1" x14ac:dyDescent="0.25">
      <c r="A2458" s="96" t="s">
        <v>2964</v>
      </c>
    </row>
    <row r="2459" spans="1:1" x14ac:dyDescent="0.25">
      <c r="A2459" s="96" t="s">
        <v>2965</v>
      </c>
    </row>
    <row r="2460" spans="1:1" x14ac:dyDescent="0.25">
      <c r="A2460" s="98" t="s">
        <v>2966</v>
      </c>
    </row>
    <row r="2461" spans="1:1" x14ac:dyDescent="0.25">
      <c r="A2461" s="98" t="s">
        <v>2967</v>
      </c>
    </row>
    <row r="2462" spans="1:1" x14ac:dyDescent="0.25">
      <c r="A2462" s="98" t="s">
        <v>2968</v>
      </c>
    </row>
    <row r="2463" spans="1:1" x14ac:dyDescent="0.25">
      <c r="A2463" s="98" t="s">
        <v>2969</v>
      </c>
    </row>
    <row r="2464" spans="1:1" x14ac:dyDescent="0.25">
      <c r="A2464" s="98" t="s">
        <v>2970</v>
      </c>
    </row>
    <row r="2465" spans="1:1" x14ac:dyDescent="0.25">
      <c r="A2465" s="98" t="s">
        <v>2971</v>
      </c>
    </row>
    <row r="2466" spans="1:1" x14ac:dyDescent="0.25">
      <c r="A2466" s="96" t="s">
        <v>2972</v>
      </c>
    </row>
    <row r="2467" spans="1:1" x14ac:dyDescent="0.25">
      <c r="A2467" s="96" t="s">
        <v>2973</v>
      </c>
    </row>
    <row r="2468" spans="1:1" x14ac:dyDescent="0.25">
      <c r="A2468" s="98" t="s">
        <v>2974</v>
      </c>
    </row>
    <row r="2469" spans="1:1" x14ac:dyDescent="0.25">
      <c r="A2469" s="98" t="s">
        <v>2975</v>
      </c>
    </row>
    <row r="2470" spans="1:1" x14ac:dyDescent="0.25">
      <c r="A2470" s="98" t="s">
        <v>2976</v>
      </c>
    </row>
    <row r="2471" spans="1:1" x14ac:dyDescent="0.25">
      <c r="A2471" s="98" t="s">
        <v>2977</v>
      </c>
    </row>
    <row r="2472" spans="1:1" x14ac:dyDescent="0.25">
      <c r="A2472" s="98" t="s">
        <v>2978</v>
      </c>
    </row>
    <row r="2473" spans="1:1" x14ac:dyDescent="0.25">
      <c r="A2473" s="98" t="s">
        <v>2979</v>
      </c>
    </row>
    <row r="2474" spans="1:1" x14ac:dyDescent="0.25">
      <c r="A2474" s="96" t="s">
        <v>2980</v>
      </c>
    </row>
    <row r="2475" spans="1:1" x14ac:dyDescent="0.25">
      <c r="A2475" s="96" t="s">
        <v>2981</v>
      </c>
    </row>
    <row r="2476" spans="1:1" x14ac:dyDescent="0.25">
      <c r="A2476" s="98" t="s">
        <v>2982</v>
      </c>
    </row>
    <row r="2477" spans="1:1" x14ac:dyDescent="0.25">
      <c r="A2477" s="98" t="s">
        <v>2983</v>
      </c>
    </row>
    <row r="2478" spans="1:1" x14ac:dyDescent="0.25">
      <c r="A2478" s="98" t="s">
        <v>2984</v>
      </c>
    </row>
    <row r="2479" spans="1:1" x14ac:dyDescent="0.25">
      <c r="A2479" s="98" t="s">
        <v>2985</v>
      </c>
    </row>
    <row r="2480" spans="1:1" x14ac:dyDescent="0.25">
      <c r="A2480" s="98" t="s">
        <v>2986</v>
      </c>
    </row>
    <row r="2481" spans="1:1" x14ac:dyDescent="0.25">
      <c r="A2481" s="98" t="s">
        <v>2987</v>
      </c>
    </row>
    <row r="2482" spans="1:1" x14ac:dyDescent="0.25">
      <c r="A2482" s="96" t="s">
        <v>2988</v>
      </c>
    </row>
    <row r="2483" spans="1:1" x14ac:dyDescent="0.25">
      <c r="A2483" s="96" t="s">
        <v>2989</v>
      </c>
    </row>
    <row r="2484" spans="1:1" x14ac:dyDescent="0.25">
      <c r="A2484" s="98" t="s">
        <v>2990</v>
      </c>
    </row>
    <row r="2485" spans="1:1" x14ac:dyDescent="0.25">
      <c r="A2485" s="98" t="s">
        <v>2991</v>
      </c>
    </row>
    <row r="2486" spans="1:1" x14ac:dyDescent="0.25">
      <c r="A2486" s="98" t="s">
        <v>2992</v>
      </c>
    </row>
    <row r="2487" spans="1:1" x14ac:dyDescent="0.25">
      <c r="A2487" s="98" t="s">
        <v>2993</v>
      </c>
    </row>
    <row r="2488" spans="1:1" x14ac:dyDescent="0.25">
      <c r="A2488" s="98" t="s">
        <v>2994</v>
      </c>
    </row>
    <row r="2489" spans="1:1" x14ac:dyDescent="0.25">
      <c r="A2489" s="98" t="s">
        <v>2995</v>
      </c>
    </row>
    <row r="2490" spans="1:1" x14ac:dyDescent="0.25">
      <c r="A2490" s="96" t="s">
        <v>2996</v>
      </c>
    </row>
    <row r="2491" spans="1:1" x14ac:dyDescent="0.25">
      <c r="A2491" s="96" t="s">
        <v>2997</v>
      </c>
    </row>
    <row r="2492" spans="1:1" x14ac:dyDescent="0.25">
      <c r="A2492" s="98" t="s">
        <v>2998</v>
      </c>
    </row>
    <row r="2493" spans="1:1" x14ac:dyDescent="0.25">
      <c r="A2493" s="98" t="s">
        <v>2999</v>
      </c>
    </row>
    <row r="2494" spans="1:1" x14ac:dyDescent="0.25">
      <c r="A2494" s="98" t="s">
        <v>3000</v>
      </c>
    </row>
    <row r="2495" spans="1:1" x14ac:dyDescent="0.25">
      <c r="A2495" s="98" t="s">
        <v>3001</v>
      </c>
    </row>
    <row r="2496" spans="1:1" x14ac:dyDescent="0.25">
      <c r="A2496" s="98" t="s">
        <v>3002</v>
      </c>
    </row>
    <row r="2497" spans="1:1" x14ac:dyDescent="0.25">
      <c r="A2497" s="98" t="s">
        <v>3003</v>
      </c>
    </row>
    <row r="2498" spans="1:1" x14ac:dyDescent="0.25">
      <c r="A2498" s="96" t="s">
        <v>3004</v>
      </c>
    </row>
    <row r="2499" spans="1:1" x14ac:dyDescent="0.25">
      <c r="A2499" s="96" t="s">
        <v>3005</v>
      </c>
    </row>
    <row r="2500" spans="1:1" x14ac:dyDescent="0.25">
      <c r="A2500" s="98" t="s">
        <v>3006</v>
      </c>
    </row>
    <row r="2501" spans="1:1" x14ac:dyDescent="0.25">
      <c r="A2501" s="98" t="s">
        <v>3007</v>
      </c>
    </row>
    <row r="2502" spans="1:1" x14ac:dyDescent="0.25">
      <c r="A2502" s="98" t="s">
        <v>3008</v>
      </c>
    </row>
    <row r="2503" spans="1:1" x14ac:dyDescent="0.25">
      <c r="A2503" s="98" t="s">
        <v>3009</v>
      </c>
    </row>
    <row r="2504" spans="1:1" x14ac:dyDescent="0.25">
      <c r="A2504" s="98" t="s">
        <v>3010</v>
      </c>
    </row>
    <row r="2505" spans="1:1" x14ac:dyDescent="0.25">
      <c r="A2505" s="98" t="s">
        <v>3011</v>
      </c>
    </row>
    <row r="2506" spans="1:1" x14ac:dyDescent="0.25">
      <c r="A2506" s="96" t="s">
        <v>3012</v>
      </c>
    </row>
    <row r="2507" spans="1:1" x14ac:dyDescent="0.25">
      <c r="A2507" s="96" t="s">
        <v>3013</v>
      </c>
    </row>
    <row r="2508" spans="1:1" x14ac:dyDescent="0.25">
      <c r="A2508" s="98" t="s">
        <v>3014</v>
      </c>
    </row>
    <row r="2509" spans="1:1" x14ac:dyDescent="0.25">
      <c r="A2509" s="98" t="s">
        <v>3015</v>
      </c>
    </row>
    <row r="2510" spans="1:1" x14ac:dyDescent="0.25">
      <c r="A2510" s="98" t="s">
        <v>3016</v>
      </c>
    </row>
    <row r="2511" spans="1:1" x14ac:dyDescent="0.25">
      <c r="A2511" s="98" t="s">
        <v>3017</v>
      </c>
    </row>
    <row r="2512" spans="1:1" x14ac:dyDescent="0.25">
      <c r="A2512" s="98" t="s">
        <v>3018</v>
      </c>
    </row>
    <row r="2513" spans="1:1" x14ac:dyDescent="0.25">
      <c r="A2513" s="98" t="s">
        <v>3019</v>
      </c>
    </row>
    <row r="2514" spans="1:1" x14ac:dyDescent="0.25">
      <c r="A2514" s="96" t="s">
        <v>3020</v>
      </c>
    </row>
    <row r="2515" spans="1:1" x14ac:dyDescent="0.25">
      <c r="A2515" s="96" t="s">
        <v>3021</v>
      </c>
    </row>
    <row r="2516" spans="1:1" x14ac:dyDescent="0.25">
      <c r="A2516" s="98" t="s">
        <v>3022</v>
      </c>
    </row>
    <row r="2517" spans="1:1" x14ac:dyDescent="0.25">
      <c r="A2517" s="98" t="s">
        <v>3023</v>
      </c>
    </row>
    <row r="2518" spans="1:1" x14ac:dyDescent="0.25">
      <c r="A2518" s="98" t="s">
        <v>3024</v>
      </c>
    </row>
    <row r="2519" spans="1:1" x14ac:dyDescent="0.25">
      <c r="A2519" s="98" t="s">
        <v>3025</v>
      </c>
    </row>
    <row r="2520" spans="1:1" x14ac:dyDescent="0.25">
      <c r="A2520" s="98" t="s">
        <v>3026</v>
      </c>
    </row>
    <row r="2521" spans="1:1" x14ac:dyDescent="0.25">
      <c r="A2521" s="98" t="s">
        <v>3027</v>
      </c>
    </row>
    <row r="2522" spans="1:1" x14ac:dyDescent="0.25">
      <c r="A2522" s="96" t="s">
        <v>3028</v>
      </c>
    </row>
    <row r="2523" spans="1:1" x14ac:dyDescent="0.25">
      <c r="A2523" s="96" t="s">
        <v>3029</v>
      </c>
    </row>
    <row r="2524" spans="1:1" x14ac:dyDescent="0.25">
      <c r="A2524" s="98" t="s">
        <v>3030</v>
      </c>
    </row>
    <row r="2525" spans="1:1" x14ac:dyDescent="0.25">
      <c r="A2525" s="98" t="s">
        <v>3031</v>
      </c>
    </row>
    <row r="2526" spans="1:1" x14ac:dyDescent="0.25">
      <c r="A2526" s="98" t="s">
        <v>3032</v>
      </c>
    </row>
    <row r="2527" spans="1:1" x14ac:dyDescent="0.25">
      <c r="A2527" s="98" t="s">
        <v>3033</v>
      </c>
    </row>
    <row r="2528" spans="1:1" x14ac:dyDescent="0.25">
      <c r="A2528" s="98" t="s">
        <v>3034</v>
      </c>
    </row>
    <row r="2529" spans="1:1" x14ac:dyDescent="0.25">
      <c r="A2529" s="96" t="s">
        <v>3035</v>
      </c>
    </row>
    <row r="2530" spans="1:1" x14ac:dyDescent="0.25">
      <c r="A2530" s="98" t="s">
        <v>3036</v>
      </c>
    </row>
    <row r="2531" spans="1:1" x14ac:dyDescent="0.25">
      <c r="A2531" s="98" t="s">
        <v>3037</v>
      </c>
    </row>
    <row r="2532" spans="1:1" x14ac:dyDescent="0.25">
      <c r="A2532" s="98" t="s">
        <v>3038</v>
      </c>
    </row>
    <row r="2533" spans="1:1" x14ac:dyDescent="0.25">
      <c r="A2533" s="98" t="s">
        <v>3039</v>
      </c>
    </row>
    <row r="2534" spans="1:1" x14ac:dyDescent="0.25">
      <c r="A2534" s="96" t="s">
        <v>3040</v>
      </c>
    </row>
    <row r="2535" spans="1:1" x14ac:dyDescent="0.25">
      <c r="A2535" s="98" t="s">
        <v>3041</v>
      </c>
    </row>
    <row r="2536" spans="1:1" x14ac:dyDescent="0.25">
      <c r="A2536" s="98" t="s">
        <v>3042</v>
      </c>
    </row>
    <row r="2537" spans="1:1" x14ac:dyDescent="0.25">
      <c r="A2537" s="26" t="s">
        <v>3043</v>
      </c>
    </row>
    <row r="2538" spans="1:1" x14ac:dyDescent="0.25">
      <c r="A2538" s="26" t="s">
        <v>3044</v>
      </c>
    </row>
    <row r="2539" spans="1:1" x14ac:dyDescent="0.25">
      <c r="A2539" s="26" t="s">
        <v>3045</v>
      </c>
    </row>
    <row r="2540" spans="1:1" x14ac:dyDescent="0.25">
      <c r="A2540" s="98" t="s">
        <v>3046</v>
      </c>
    </row>
    <row r="2541" spans="1:1" x14ac:dyDescent="0.25">
      <c r="A2541" s="96" t="s">
        <v>3047</v>
      </c>
    </row>
    <row r="2542" spans="1:1" x14ac:dyDescent="0.25">
      <c r="A2542" s="96" t="s">
        <v>3048</v>
      </c>
    </row>
    <row r="2543" spans="1:1" x14ac:dyDescent="0.25">
      <c r="A2543" s="96" t="s">
        <v>3049</v>
      </c>
    </row>
    <row r="2544" spans="1:1" x14ac:dyDescent="0.25">
      <c r="A2544" s="98" t="s">
        <v>3050</v>
      </c>
    </row>
    <row r="2545" spans="1:1" x14ac:dyDescent="0.25">
      <c r="A2545" s="96" t="s">
        <v>3051</v>
      </c>
    </row>
    <row r="2546" spans="1:1" x14ac:dyDescent="0.25">
      <c r="A2546" s="96" t="s">
        <v>3052</v>
      </c>
    </row>
    <row r="2547" spans="1:1" x14ac:dyDescent="0.25">
      <c r="A2547" s="96" t="s">
        <v>3053</v>
      </c>
    </row>
    <row r="2548" spans="1:1" x14ac:dyDescent="0.25">
      <c r="A2548" s="96" t="s">
        <v>3052</v>
      </c>
    </row>
    <row r="2549" spans="1:1" x14ac:dyDescent="0.25">
      <c r="A2549" s="98" t="s">
        <v>3054</v>
      </c>
    </row>
    <row r="2550" spans="1:1" x14ac:dyDescent="0.25">
      <c r="A2550" s="98" t="s">
        <v>3055</v>
      </c>
    </row>
    <row r="2551" spans="1:1" x14ac:dyDescent="0.25">
      <c r="A2551" s="96" t="s">
        <v>3056</v>
      </c>
    </row>
    <row r="2552" spans="1:1" x14ac:dyDescent="0.25">
      <c r="A2552" s="96" t="s">
        <v>3056</v>
      </c>
    </row>
    <row r="2553" spans="1:1" x14ac:dyDescent="0.25">
      <c r="A2553" s="98" t="s">
        <v>3057</v>
      </c>
    </row>
    <row r="2554" spans="1:1" x14ac:dyDescent="0.25">
      <c r="A2554" s="98" t="s">
        <v>3058</v>
      </c>
    </row>
    <row r="2555" spans="1:1" x14ac:dyDescent="0.25">
      <c r="A2555" s="96" t="s">
        <v>3059</v>
      </c>
    </row>
    <row r="2556" spans="1:1" x14ac:dyDescent="0.25">
      <c r="A2556" s="96" t="s">
        <v>3059</v>
      </c>
    </row>
    <row r="2557" spans="1:1" x14ac:dyDescent="0.25">
      <c r="A2557" s="26" t="s">
        <v>3060</v>
      </c>
    </row>
    <row r="2558" spans="1:1" x14ac:dyDescent="0.25">
      <c r="A2558" s="96" t="s">
        <v>3061</v>
      </c>
    </row>
    <row r="2559" spans="1:1" x14ac:dyDescent="0.25">
      <c r="A2559" s="98" t="s">
        <v>3062</v>
      </c>
    </row>
    <row r="2560" spans="1:1" x14ac:dyDescent="0.25">
      <c r="A2560" s="96" t="s">
        <v>3063</v>
      </c>
    </row>
    <row r="2561" spans="1:1" x14ac:dyDescent="0.25">
      <c r="A2561" s="98" t="s">
        <v>3064</v>
      </c>
    </row>
    <row r="2562" spans="1:1" x14ac:dyDescent="0.25">
      <c r="A2562" s="98" t="s">
        <v>3065</v>
      </c>
    </row>
    <row r="2563" spans="1:1" x14ac:dyDescent="0.25">
      <c r="A2563" s="98" t="s">
        <v>3066</v>
      </c>
    </row>
    <row r="2564" spans="1:1" x14ac:dyDescent="0.25">
      <c r="A2564" s="96" t="s">
        <v>3067</v>
      </c>
    </row>
    <row r="2565" spans="1:1" x14ac:dyDescent="0.25">
      <c r="A2565" s="98" t="s">
        <v>3068</v>
      </c>
    </row>
    <row r="2566" spans="1:1" x14ac:dyDescent="0.25">
      <c r="A2566" s="98" t="s">
        <v>3069</v>
      </c>
    </row>
    <row r="2567" spans="1:1" x14ac:dyDescent="0.25">
      <c r="A2567" s="26" t="s">
        <v>3070</v>
      </c>
    </row>
    <row r="2568" spans="1:1" x14ac:dyDescent="0.25">
      <c r="A2568" s="26" t="s">
        <v>3071</v>
      </c>
    </row>
    <row r="2569" spans="1:1" x14ac:dyDescent="0.25">
      <c r="A2569" s="26" t="s">
        <v>3072</v>
      </c>
    </row>
    <row r="2570" spans="1:1" x14ac:dyDescent="0.25">
      <c r="A2570" s="98" t="s">
        <v>3073</v>
      </c>
    </row>
    <row r="2571" spans="1:1" x14ac:dyDescent="0.25">
      <c r="A2571" s="96" t="s">
        <v>3074</v>
      </c>
    </row>
    <row r="2572" spans="1:1" x14ac:dyDescent="0.25">
      <c r="A2572" s="98" t="s">
        <v>3075</v>
      </c>
    </row>
    <row r="2573" spans="1:1" x14ac:dyDescent="0.25">
      <c r="A2573" s="98" t="s">
        <v>3076</v>
      </c>
    </row>
    <row r="2574" spans="1:1" x14ac:dyDescent="0.25">
      <c r="A2574" s="26" t="s">
        <v>3077</v>
      </c>
    </row>
    <row r="2575" spans="1:1" x14ac:dyDescent="0.25">
      <c r="A2575" s="26" t="s">
        <v>3078</v>
      </c>
    </row>
    <row r="2576" spans="1:1" x14ac:dyDescent="0.25">
      <c r="A2576" s="26" t="s">
        <v>3079</v>
      </c>
    </row>
    <row r="2577" spans="1:1" x14ac:dyDescent="0.25">
      <c r="A2577" s="98" t="s">
        <v>3080</v>
      </c>
    </row>
    <row r="2578" spans="1:1" x14ac:dyDescent="0.25">
      <c r="A2578" s="98" t="s">
        <v>3081</v>
      </c>
    </row>
    <row r="2579" spans="1:1" x14ac:dyDescent="0.25">
      <c r="A2579" s="96" t="s">
        <v>3082</v>
      </c>
    </row>
    <row r="2580" spans="1:1" x14ac:dyDescent="0.25">
      <c r="A2580" s="96" t="s">
        <v>3083</v>
      </c>
    </row>
    <row r="2581" spans="1:1" x14ac:dyDescent="0.25">
      <c r="A2581" s="96" t="s">
        <v>3084</v>
      </c>
    </row>
    <row r="2582" spans="1:1" x14ac:dyDescent="0.25">
      <c r="A2582" s="26" t="s">
        <v>3085</v>
      </c>
    </row>
    <row r="2583" spans="1:1" x14ac:dyDescent="0.25">
      <c r="A2583" s="96" t="s">
        <v>3086</v>
      </c>
    </row>
    <row r="2584" spans="1:1" x14ac:dyDescent="0.25">
      <c r="A2584" s="98" t="s">
        <v>3087</v>
      </c>
    </row>
    <row r="2585" spans="1:1" x14ac:dyDescent="0.25">
      <c r="A2585" s="96" t="s">
        <v>3088</v>
      </c>
    </row>
    <row r="2586" spans="1:1" x14ac:dyDescent="0.25">
      <c r="A2586" s="98" t="s">
        <v>3089</v>
      </c>
    </row>
    <row r="2587" spans="1:1" x14ac:dyDescent="0.25">
      <c r="A2587" s="98" t="s">
        <v>3090</v>
      </c>
    </row>
    <row r="2588" spans="1:1" x14ac:dyDescent="0.25">
      <c r="A2588" s="98" t="s">
        <v>3091</v>
      </c>
    </row>
    <row r="2589" spans="1:1" x14ac:dyDescent="0.25">
      <c r="A2589" s="98" t="s">
        <v>3092</v>
      </c>
    </row>
    <row r="2590" spans="1:1" x14ac:dyDescent="0.25">
      <c r="A2590" s="96" t="s">
        <v>3093</v>
      </c>
    </row>
    <row r="2591" spans="1:1" x14ac:dyDescent="0.25">
      <c r="A2591" s="96" t="s">
        <v>3094</v>
      </c>
    </row>
    <row r="2592" spans="1:1" x14ac:dyDescent="0.25">
      <c r="A2592" s="26" t="s">
        <v>3095</v>
      </c>
    </row>
    <row r="2593" spans="1:1" x14ac:dyDescent="0.25">
      <c r="A2593" s="96" t="s">
        <v>3096</v>
      </c>
    </row>
    <row r="2594" spans="1:1" x14ac:dyDescent="0.25">
      <c r="A2594" s="98" t="s">
        <v>3097</v>
      </c>
    </row>
    <row r="2595" spans="1:1" x14ac:dyDescent="0.25">
      <c r="A2595" s="96" t="s">
        <v>3098</v>
      </c>
    </row>
    <row r="2596" spans="1:1" x14ac:dyDescent="0.25">
      <c r="A2596" s="98" t="s">
        <v>3099</v>
      </c>
    </row>
    <row r="2597" spans="1:1" x14ac:dyDescent="0.25">
      <c r="A2597" s="98" t="s">
        <v>3100</v>
      </c>
    </row>
    <row r="2598" spans="1:1" x14ac:dyDescent="0.25">
      <c r="A2598" s="96" t="s">
        <v>3101</v>
      </c>
    </row>
    <row r="2599" spans="1:1" x14ac:dyDescent="0.25">
      <c r="A2599" s="98" t="s">
        <v>3102</v>
      </c>
    </row>
    <row r="2600" spans="1:1" x14ac:dyDescent="0.25">
      <c r="A2600" s="98" t="s">
        <v>3103</v>
      </c>
    </row>
    <row r="2601" spans="1:1" x14ac:dyDescent="0.25">
      <c r="A2601" s="98" t="s">
        <v>3104</v>
      </c>
    </row>
    <row r="2602" spans="1:1" x14ac:dyDescent="0.25">
      <c r="A2602" s="98" t="s">
        <v>3105</v>
      </c>
    </row>
    <row r="2603" spans="1:1" x14ac:dyDescent="0.25">
      <c r="A2603" s="96" t="s">
        <v>3106</v>
      </c>
    </row>
    <row r="2604" spans="1:1" x14ac:dyDescent="0.25">
      <c r="A2604" s="98" t="s">
        <v>3107</v>
      </c>
    </row>
    <row r="2605" spans="1:1" x14ac:dyDescent="0.25">
      <c r="A2605" s="98" t="s">
        <v>3108</v>
      </c>
    </row>
    <row r="2606" spans="1:1" x14ac:dyDescent="0.25">
      <c r="A2606" s="26" t="s">
        <v>3109</v>
      </c>
    </row>
    <row r="2607" spans="1:1" x14ac:dyDescent="0.25">
      <c r="A2607" s="26" t="s">
        <v>3110</v>
      </c>
    </row>
    <row r="2608" spans="1:1" x14ac:dyDescent="0.25">
      <c r="A2608" s="26" t="s">
        <v>3111</v>
      </c>
    </row>
    <row r="2609" spans="1:1" x14ac:dyDescent="0.25">
      <c r="A2609" s="98" t="s">
        <v>3112</v>
      </c>
    </row>
    <row r="2610" spans="1:1" x14ac:dyDescent="0.25">
      <c r="A2610" s="96" t="s">
        <v>3113</v>
      </c>
    </row>
    <row r="2611" spans="1:1" x14ac:dyDescent="0.25">
      <c r="A2611" s="96" t="s">
        <v>3114</v>
      </c>
    </row>
    <row r="2612" spans="1:1" x14ac:dyDescent="0.25">
      <c r="A2612" s="96" t="s">
        <v>3115</v>
      </c>
    </row>
    <row r="2613" spans="1:1" x14ac:dyDescent="0.25">
      <c r="A2613" s="98" t="s">
        <v>3116</v>
      </c>
    </row>
    <row r="2614" spans="1:1" x14ac:dyDescent="0.25">
      <c r="A2614" s="26" t="s">
        <v>3117</v>
      </c>
    </row>
    <row r="2615" spans="1:1" x14ac:dyDescent="0.25">
      <c r="A2615" s="98" t="s">
        <v>3118</v>
      </c>
    </row>
    <row r="2616" spans="1:1" x14ac:dyDescent="0.25">
      <c r="A2616" s="98" t="s">
        <v>3119</v>
      </c>
    </row>
    <row r="2617" spans="1:1" x14ac:dyDescent="0.25">
      <c r="A2617" s="96" t="s">
        <v>3120</v>
      </c>
    </row>
    <row r="2618" spans="1:1" x14ac:dyDescent="0.25">
      <c r="A2618" s="98" t="s">
        <v>3121</v>
      </c>
    </row>
    <row r="2619" spans="1:1" x14ac:dyDescent="0.25">
      <c r="A2619" s="96" t="s">
        <v>3122</v>
      </c>
    </row>
    <row r="2620" spans="1:1" x14ac:dyDescent="0.25">
      <c r="A2620" s="98" t="s">
        <v>3123</v>
      </c>
    </row>
    <row r="2621" spans="1:1" x14ac:dyDescent="0.25">
      <c r="A2621" s="98" t="s">
        <v>3124</v>
      </c>
    </row>
    <row r="2622" spans="1:1" x14ac:dyDescent="0.25">
      <c r="A2622" s="96" t="s">
        <v>3125</v>
      </c>
    </row>
    <row r="2623" spans="1:1" x14ac:dyDescent="0.25">
      <c r="A2623" s="98" t="s">
        <v>3126</v>
      </c>
    </row>
    <row r="2624" spans="1:1" x14ac:dyDescent="0.25">
      <c r="A2624" s="98" t="s">
        <v>3127</v>
      </c>
    </row>
    <row r="2625" spans="1:1" x14ac:dyDescent="0.25">
      <c r="A2625" s="98" t="s">
        <v>3128</v>
      </c>
    </row>
    <row r="2626" spans="1:1" x14ac:dyDescent="0.25">
      <c r="A2626" s="96" t="s">
        <v>3129</v>
      </c>
    </row>
    <row r="2627" spans="1:1" x14ac:dyDescent="0.25">
      <c r="A2627" s="96" t="s">
        <v>3130</v>
      </c>
    </row>
    <row r="2628" spans="1:1" x14ac:dyDescent="0.25">
      <c r="A2628" s="96" t="s">
        <v>3131</v>
      </c>
    </row>
    <row r="2629" spans="1:1" x14ac:dyDescent="0.25">
      <c r="A2629" t="s">
        <v>3134</v>
      </c>
    </row>
    <row r="2630" spans="1:1" x14ac:dyDescent="0.25">
      <c r="A2630" t="s">
        <v>3135</v>
      </c>
    </row>
    <row r="2631" spans="1:1" x14ac:dyDescent="0.25">
      <c r="A2631" s="96" t="s">
        <v>3136</v>
      </c>
    </row>
    <row r="2632" spans="1:1" x14ac:dyDescent="0.25">
      <c r="A2632" s="96" t="s">
        <v>3137</v>
      </c>
    </row>
    <row r="2633" spans="1:1" x14ac:dyDescent="0.25">
      <c r="A2633" s="96" t="s">
        <v>3138</v>
      </c>
    </row>
    <row r="2634" spans="1:1" x14ac:dyDescent="0.25">
      <c r="A2634" s="98" t="s">
        <v>3139</v>
      </c>
    </row>
    <row r="2635" spans="1:1" x14ac:dyDescent="0.25">
      <c r="A2635" s="96" t="s">
        <v>3140</v>
      </c>
    </row>
    <row r="2636" spans="1:1" x14ac:dyDescent="0.25">
      <c r="A2636" s="98" t="s">
        <v>3141</v>
      </c>
    </row>
    <row r="2637" spans="1:1" x14ac:dyDescent="0.25">
      <c r="A2637" s="98" t="s">
        <v>3142</v>
      </c>
    </row>
    <row r="2638" spans="1:1" x14ac:dyDescent="0.25">
      <c r="A2638" s="96" t="s">
        <v>3143</v>
      </c>
    </row>
    <row r="2639" spans="1:1" x14ac:dyDescent="0.25">
      <c r="A2639" s="98" t="s">
        <v>3144</v>
      </c>
    </row>
    <row r="2640" spans="1:1" x14ac:dyDescent="0.25">
      <c r="A2640" s="96" t="s">
        <v>3145</v>
      </c>
    </row>
    <row r="2641" spans="1:1" x14ac:dyDescent="0.25">
      <c r="A2641" s="98" t="s">
        <v>3146</v>
      </c>
    </row>
    <row r="2642" spans="1:1" x14ac:dyDescent="0.25">
      <c r="A2642" s="98" t="s">
        <v>3147</v>
      </c>
    </row>
    <row r="2643" spans="1:1" x14ac:dyDescent="0.25">
      <c r="A2643" s="98" t="s">
        <v>3148</v>
      </c>
    </row>
    <row r="2644" spans="1:1" x14ac:dyDescent="0.25">
      <c r="A2644" s="98" t="s">
        <v>3149</v>
      </c>
    </row>
    <row r="2645" spans="1:1" x14ac:dyDescent="0.25">
      <c r="A2645" s="96" t="s">
        <v>3150</v>
      </c>
    </row>
    <row r="2646" spans="1:1" x14ac:dyDescent="0.25">
      <c r="A2646" s="98" t="s">
        <v>3151</v>
      </c>
    </row>
    <row r="2647" spans="1:1" x14ac:dyDescent="0.25">
      <c r="A2647" s="98" t="s">
        <v>3152</v>
      </c>
    </row>
    <row r="2648" spans="1:1" x14ac:dyDescent="0.25">
      <c r="A2648" s="98" t="s">
        <v>3153</v>
      </c>
    </row>
    <row r="2649" spans="1:1" x14ac:dyDescent="0.25">
      <c r="A2649" s="96" t="s">
        <v>3154</v>
      </c>
    </row>
    <row r="2650" spans="1:1" x14ac:dyDescent="0.25">
      <c r="A2650" s="96" t="s">
        <v>3155</v>
      </c>
    </row>
    <row r="2651" spans="1:1" x14ac:dyDescent="0.25">
      <c r="A2651" s="96" t="s">
        <v>3156</v>
      </c>
    </row>
    <row r="2652" spans="1:1" x14ac:dyDescent="0.25">
      <c r="A2652" t="s">
        <v>3159</v>
      </c>
    </row>
    <row r="2653" spans="1:1" x14ac:dyDescent="0.25">
      <c r="A2653" t="s">
        <v>3160</v>
      </c>
    </row>
    <row r="2654" spans="1:1" x14ac:dyDescent="0.25">
      <c r="A2654" s="96" t="s">
        <v>3161</v>
      </c>
    </row>
    <row r="2655" spans="1:1" x14ac:dyDescent="0.25">
      <c r="A2655" s="96" t="s">
        <v>3162</v>
      </c>
    </row>
    <row r="2656" spans="1:1" x14ac:dyDescent="0.25">
      <c r="A2656" s="96" t="s">
        <v>3163</v>
      </c>
    </row>
    <row r="2657" spans="1:1" x14ac:dyDescent="0.25">
      <c r="A2657" s="98" t="s">
        <v>3164</v>
      </c>
    </row>
    <row r="2658" spans="1:1" x14ac:dyDescent="0.25">
      <c r="A2658" s="96" t="s">
        <v>3165</v>
      </c>
    </row>
    <row r="2659" spans="1:1" x14ac:dyDescent="0.25">
      <c r="A2659" s="26" t="s">
        <v>3166</v>
      </c>
    </row>
    <row r="2660" spans="1:1" x14ac:dyDescent="0.25">
      <c r="A2660" s="98" t="s">
        <v>3167</v>
      </c>
    </row>
    <row r="2661" spans="1:1" x14ac:dyDescent="0.25">
      <c r="A2661" s="98" t="s">
        <v>3168</v>
      </c>
    </row>
    <row r="2662" spans="1:1" x14ac:dyDescent="0.25">
      <c r="A2662" s="98" t="s">
        <v>3169</v>
      </c>
    </row>
    <row r="2663" spans="1:1" x14ac:dyDescent="0.25">
      <c r="A2663" s="96" t="s">
        <v>3170</v>
      </c>
    </row>
    <row r="2664" spans="1:1" x14ac:dyDescent="0.25">
      <c r="A2664" s="96" t="s">
        <v>3171</v>
      </c>
    </row>
    <row r="2665" spans="1:1" x14ac:dyDescent="0.25">
      <c r="A2665" s="96" t="s">
        <v>3172</v>
      </c>
    </row>
    <row r="2666" spans="1:1" x14ac:dyDescent="0.25">
      <c r="A2666" s="98" t="s">
        <v>3173</v>
      </c>
    </row>
    <row r="2667" spans="1:1" x14ac:dyDescent="0.25">
      <c r="A2667" s="96" t="s">
        <v>3174</v>
      </c>
    </row>
    <row r="2668" spans="1:1" x14ac:dyDescent="0.25">
      <c r="A2668" s="98" t="s">
        <v>3175</v>
      </c>
    </row>
    <row r="2669" spans="1:1" x14ac:dyDescent="0.25">
      <c r="A2669" s="96" t="s">
        <v>3176</v>
      </c>
    </row>
    <row r="2670" spans="1:1" x14ac:dyDescent="0.25">
      <c r="A2670" s="26" t="s">
        <v>3177</v>
      </c>
    </row>
    <row r="2671" spans="1:1" x14ac:dyDescent="0.25">
      <c r="A2671" s="98" t="s">
        <v>3178</v>
      </c>
    </row>
    <row r="2672" spans="1:1" x14ac:dyDescent="0.25">
      <c r="A2672" s="98" t="s">
        <v>3179</v>
      </c>
    </row>
    <row r="2673" spans="1:1" x14ac:dyDescent="0.25">
      <c r="A2673" s="98" t="s">
        <v>3180</v>
      </c>
    </row>
    <row r="2674" spans="1:1" x14ac:dyDescent="0.25">
      <c r="A2674" s="98" t="s">
        <v>3181</v>
      </c>
    </row>
    <row r="2675" spans="1:1" x14ac:dyDescent="0.25">
      <c r="A2675" s="98" t="s">
        <v>3182</v>
      </c>
    </row>
    <row r="2676" spans="1:1" x14ac:dyDescent="0.25">
      <c r="A2676" s="96" t="s">
        <v>3183</v>
      </c>
    </row>
    <row r="2677" spans="1:1" x14ac:dyDescent="0.25">
      <c r="A2677" s="96" t="s">
        <v>3184</v>
      </c>
    </row>
    <row r="2678" spans="1:1" x14ac:dyDescent="0.25">
      <c r="A2678" s="98" t="s">
        <v>3185</v>
      </c>
    </row>
    <row r="2679" spans="1:1" x14ac:dyDescent="0.25">
      <c r="A2679" s="98" t="s">
        <v>3186</v>
      </c>
    </row>
    <row r="2680" spans="1:1" x14ac:dyDescent="0.25">
      <c r="A2680" s="98" t="s">
        <v>3187</v>
      </c>
    </row>
    <row r="2681" spans="1:1" x14ac:dyDescent="0.25">
      <c r="A2681" s="98" t="s">
        <v>3188</v>
      </c>
    </row>
    <row r="2682" spans="1:1" x14ac:dyDescent="0.25">
      <c r="A2682" s="98" t="s">
        <v>3189</v>
      </c>
    </row>
    <row r="2683" spans="1:1" x14ac:dyDescent="0.25">
      <c r="A2683" s="98" t="s">
        <v>3190</v>
      </c>
    </row>
    <row r="2684" spans="1:1" x14ac:dyDescent="0.25">
      <c r="A2684" s="96" t="s">
        <v>3191</v>
      </c>
    </row>
    <row r="2685" spans="1:1" x14ac:dyDescent="0.25">
      <c r="A2685" s="96" t="s">
        <v>3192</v>
      </c>
    </row>
    <row r="2686" spans="1:1" x14ac:dyDescent="0.25">
      <c r="A2686" s="98" t="s">
        <v>3193</v>
      </c>
    </row>
    <row r="2687" spans="1:1" x14ac:dyDescent="0.25">
      <c r="A2687" s="98" t="s">
        <v>3194</v>
      </c>
    </row>
    <row r="2688" spans="1:1" x14ac:dyDescent="0.25">
      <c r="A2688" s="98" t="s">
        <v>3195</v>
      </c>
    </row>
    <row r="2689" spans="1:1" x14ac:dyDescent="0.25">
      <c r="A2689" s="98" t="s">
        <v>3196</v>
      </c>
    </row>
    <row r="2690" spans="1:1" x14ac:dyDescent="0.25">
      <c r="A2690" s="98" t="s">
        <v>3197</v>
      </c>
    </row>
    <row r="2691" spans="1:1" x14ac:dyDescent="0.25">
      <c r="A2691" s="98" t="s">
        <v>3198</v>
      </c>
    </row>
    <row r="2692" spans="1:1" x14ac:dyDescent="0.25">
      <c r="A2692" s="96" t="s">
        <v>3199</v>
      </c>
    </row>
    <row r="2693" spans="1:1" x14ac:dyDescent="0.25">
      <c r="A2693" s="96" t="s">
        <v>3200</v>
      </c>
    </row>
    <row r="2694" spans="1:1" x14ac:dyDescent="0.25">
      <c r="A2694" s="98" t="s">
        <v>3201</v>
      </c>
    </row>
    <row r="2695" spans="1:1" x14ac:dyDescent="0.25">
      <c r="A2695" s="98" t="s">
        <v>3202</v>
      </c>
    </row>
    <row r="2696" spans="1:1" x14ac:dyDescent="0.25">
      <c r="A2696" s="98" t="s">
        <v>3203</v>
      </c>
    </row>
    <row r="2697" spans="1:1" x14ac:dyDescent="0.25">
      <c r="A2697" s="98" t="s">
        <v>3204</v>
      </c>
    </row>
    <row r="2698" spans="1:1" x14ac:dyDescent="0.25">
      <c r="A2698" s="98" t="s">
        <v>3205</v>
      </c>
    </row>
    <row r="2699" spans="1:1" x14ac:dyDescent="0.25">
      <c r="A2699" s="98" t="s">
        <v>3206</v>
      </c>
    </row>
    <row r="2700" spans="1:1" x14ac:dyDescent="0.25">
      <c r="A2700" s="96" t="s">
        <v>3207</v>
      </c>
    </row>
    <row r="2701" spans="1:1" x14ac:dyDescent="0.25">
      <c r="A2701" s="96" t="s">
        <v>3208</v>
      </c>
    </row>
    <row r="2702" spans="1:1" x14ac:dyDescent="0.25">
      <c r="A2702" s="98" t="s">
        <v>3209</v>
      </c>
    </row>
    <row r="2703" spans="1:1" x14ac:dyDescent="0.25">
      <c r="A2703" s="98" t="s">
        <v>3210</v>
      </c>
    </row>
    <row r="2704" spans="1:1" x14ac:dyDescent="0.25">
      <c r="A2704" s="98" t="s">
        <v>3211</v>
      </c>
    </row>
    <row r="2705" spans="1:1" x14ac:dyDescent="0.25">
      <c r="A2705" s="98" t="s">
        <v>3212</v>
      </c>
    </row>
    <row r="2706" spans="1:1" x14ac:dyDescent="0.25">
      <c r="A2706" s="98" t="s">
        <v>3213</v>
      </c>
    </row>
    <row r="2707" spans="1:1" x14ac:dyDescent="0.25">
      <c r="A2707" s="98" t="s">
        <v>3214</v>
      </c>
    </row>
    <row r="2708" spans="1:1" x14ac:dyDescent="0.25">
      <c r="A2708" s="96" t="s">
        <v>3215</v>
      </c>
    </row>
    <row r="2709" spans="1:1" x14ac:dyDescent="0.25">
      <c r="A2709" s="96" t="s">
        <v>3216</v>
      </c>
    </row>
    <row r="2710" spans="1:1" x14ac:dyDescent="0.25">
      <c r="A2710" s="98" t="s">
        <v>3217</v>
      </c>
    </row>
    <row r="2711" spans="1:1" x14ac:dyDescent="0.25">
      <c r="A2711" s="98" t="s">
        <v>3218</v>
      </c>
    </row>
    <row r="2712" spans="1:1" x14ac:dyDescent="0.25">
      <c r="A2712" s="98" t="s">
        <v>3219</v>
      </c>
    </row>
    <row r="2713" spans="1:1" x14ac:dyDescent="0.25">
      <c r="A2713" s="98" t="s">
        <v>3220</v>
      </c>
    </row>
    <row r="2714" spans="1:1" x14ac:dyDescent="0.25">
      <c r="A2714" s="98" t="s">
        <v>3221</v>
      </c>
    </row>
    <row r="2715" spans="1:1" x14ac:dyDescent="0.25">
      <c r="A2715" s="98" t="s">
        <v>3222</v>
      </c>
    </row>
    <row r="2716" spans="1:1" x14ac:dyDescent="0.25">
      <c r="A2716" s="96" t="s">
        <v>3223</v>
      </c>
    </row>
    <row r="2717" spans="1:1" x14ac:dyDescent="0.25">
      <c r="A2717" s="96" t="s">
        <v>3224</v>
      </c>
    </row>
    <row r="2718" spans="1:1" x14ac:dyDescent="0.25">
      <c r="A2718" s="98" t="s">
        <v>3225</v>
      </c>
    </row>
    <row r="2719" spans="1:1" x14ac:dyDescent="0.25">
      <c r="A2719" s="98" t="s">
        <v>3226</v>
      </c>
    </row>
    <row r="2720" spans="1:1" x14ac:dyDescent="0.25">
      <c r="A2720" s="98" t="s">
        <v>3227</v>
      </c>
    </row>
    <row r="2721" spans="1:1" x14ac:dyDescent="0.25">
      <c r="A2721" s="98" t="s">
        <v>3228</v>
      </c>
    </row>
    <row r="2722" spans="1:1" x14ac:dyDescent="0.25">
      <c r="A2722" s="98" t="s">
        <v>3229</v>
      </c>
    </row>
    <row r="2723" spans="1:1" x14ac:dyDescent="0.25">
      <c r="A2723" s="98" t="s">
        <v>3230</v>
      </c>
    </row>
    <row r="2724" spans="1:1" x14ac:dyDescent="0.25">
      <c r="A2724" s="96" t="s">
        <v>3231</v>
      </c>
    </row>
    <row r="2725" spans="1:1" x14ac:dyDescent="0.25">
      <c r="A2725" s="96" t="s">
        <v>3232</v>
      </c>
    </row>
    <row r="2726" spans="1:1" x14ac:dyDescent="0.25">
      <c r="A2726" s="98" t="s">
        <v>3233</v>
      </c>
    </row>
    <row r="2727" spans="1:1" x14ac:dyDescent="0.25">
      <c r="A2727" s="98" t="s">
        <v>3234</v>
      </c>
    </row>
    <row r="2728" spans="1:1" x14ac:dyDescent="0.25">
      <c r="A2728" s="98" t="s">
        <v>3235</v>
      </c>
    </row>
    <row r="2729" spans="1:1" x14ac:dyDescent="0.25">
      <c r="A2729" s="98" t="s">
        <v>3236</v>
      </c>
    </row>
    <row r="2730" spans="1:1" x14ac:dyDescent="0.25">
      <c r="A2730" s="98" t="s">
        <v>3237</v>
      </c>
    </row>
    <row r="2731" spans="1:1" x14ac:dyDescent="0.25">
      <c r="A2731" s="98" t="s">
        <v>3238</v>
      </c>
    </row>
    <row r="2732" spans="1:1" x14ac:dyDescent="0.25">
      <c r="A2732" s="96" t="s">
        <v>3239</v>
      </c>
    </row>
    <row r="2733" spans="1:1" x14ac:dyDescent="0.25">
      <c r="A2733" s="96" t="s">
        <v>3240</v>
      </c>
    </row>
    <row r="2734" spans="1:1" x14ac:dyDescent="0.25">
      <c r="A2734" s="98" t="s">
        <v>3241</v>
      </c>
    </row>
    <row r="2735" spans="1:1" x14ac:dyDescent="0.25">
      <c r="A2735" s="98" t="s">
        <v>3242</v>
      </c>
    </row>
    <row r="2736" spans="1:1" x14ac:dyDescent="0.25">
      <c r="A2736" s="98" t="s">
        <v>3243</v>
      </c>
    </row>
    <row r="2737" spans="1:1" x14ac:dyDescent="0.25">
      <c r="A2737" s="98" t="s">
        <v>3244</v>
      </c>
    </row>
    <row r="2738" spans="1:1" x14ac:dyDescent="0.25">
      <c r="A2738" s="98" t="s">
        <v>3245</v>
      </c>
    </row>
    <row r="2739" spans="1:1" x14ac:dyDescent="0.25">
      <c r="A2739" s="98" t="s">
        <v>3246</v>
      </c>
    </row>
    <row r="2740" spans="1:1" x14ac:dyDescent="0.25">
      <c r="A2740" s="96" t="s">
        <v>3247</v>
      </c>
    </row>
    <row r="2741" spans="1:1" x14ac:dyDescent="0.25">
      <c r="A2741" s="96" t="s">
        <v>3248</v>
      </c>
    </row>
    <row r="2742" spans="1:1" x14ac:dyDescent="0.25">
      <c r="A2742" s="98" t="s">
        <v>3249</v>
      </c>
    </row>
    <row r="2743" spans="1:1" x14ac:dyDescent="0.25">
      <c r="A2743" s="98" t="s">
        <v>3250</v>
      </c>
    </row>
    <row r="2744" spans="1:1" x14ac:dyDescent="0.25">
      <c r="A2744" s="98" t="s">
        <v>3251</v>
      </c>
    </row>
    <row r="2745" spans="1:1" x14ac:dyDescent="0.25">
      <c r="A2745" s="98" t="s">
        <v>3252</v>
      </c>
    </row>
    <row r="2746" spans="1:1" x14ac:dyDescent="0.25">
      <c r="A2746" s="98" t="s">
        <v>3253</v>
      </c>
    </row>
    <row r="2747" spans="1:1" x14ac:dyDescent="0.25">
      <c r="A2747" s="98" t="s">
        <v>3254</v>
      </c>
    </row>
    <row r="2748" spans="1:1" x14ac:dyDescent="0.25">
      <c r="A2748" s="96" t="s">
        <v>3255</v>
      </c>
    </row>
    <row r="2749" spans="1:1" x14ac:dyDescent="0.25">
      <c r="A2749" s="96" t="s">
        <v>3256</v>
      </c>
    </row>
    <row r="2750" spans="1:1" x14ac:dyDescent="0.25">
      <c r="A2750" s="98" t="s">
        <v>3257</v>
      </c>
    </row>
    <row r="2751" spans="1:1" x14ac:dyDescent="0.25">
      <c r="A2751" s="98" t="s">
        <v>3258</v>
      </c>
    </row>
    <row r="2752" spans="1:1" x14ac:dyDescent="0.25">
      <c r="A2752" s="98" t="s">
        <v>3259</v>
      </c>
    </row>
    <row r="2753" spans="1:1" x14ac:dyDescent="0.25">
      <c r="A2753" s="26" t="s">
        <v>3260</v>
      </c>
    </row>
    <row r="2754" spans="1:1" x14ac:dyDescent="0.25">
      <c r="A2754" s="96" t="s">
        <v>3261</v>
      </c>
    </row>
    <row r="2755" spans="1:1" x14ac:dyDescent="0.25">
      <c r="A2755" s="98" t="s">
        <v>3262</v>
      </c>
    </row>
    <row r="2756" spans="1:1" x14ac:dyDescent="0.25">
      <c r="A2756" s="96" t="s">
        <v>3263</v>
      </c>
    </row>
    <row r="2757" spans="1:1" x14ac:dyDescent="0.25">
      <c r="A2757" s="98" t="s">
        <v>3264</v>
      </c>
    </row>
    <row r="2758" spans="1:1" x14ac:dyDescent="0.25">
      <c r="A2758" s="98" t="s">
        <v>3265</v>
      </c>
    </row>
    <row r="2759" spans="1:1" x14ac:dyDescent="0.25">
      <c r="A2759" s="98" t="s">
        <v>3266</v>
      </c>
    </row>
    <row r="2760" spans="1:1" x14ac:dyDescent="0.25">
      <c r="A2760" s="98" t="s">
        <v>3267</v>
      </c>
    </row>
    <row r="2761" spans="1:1" x14ac:dyDescent="0.25">
      <c r="A2761" s="96" t="s">
        <v>3268</v>
      </c>
    </row>
    <row r="2762" spans="1:1" x14ac:dyDescent="0.25">
      <c r="A2762" s="96" t="s">
        <v>3269</v>
      </c>
    </row>
    <row r="2763" spans="1:1" x14ac:dyDescent="0.25">
      <c r="A2763" s="26" t="s">
        <v>3270</v>
      </c>
    </row>
    <row r="2764" spans="1:1" x14ac:dyDescent="0.25">
      <c r="A2764" s="96" t="s">
        <v>3271</v>
      </c>
    </row>
    <row r="2765" spans="1:1" x14ac:dyDescent="0.25">
      <c r="A2765" s="96" t="s">
        <v>3272</v>
      </c>
    </row>
    <row r="2766" spans="1:1" x14ac:dyDescent="0.25">
      <c r="A2766" s="96" t="s">
        <v>3273</v>
      </c>
    </row>
    <row r="2767" spans="1:1" x14ac:dyDescent="0.25">
      <c r="A2767" s="96" t="s">
        <v>3274</v>
      </c>
    </row>
    <row r="2768" spans="1:1" x14ac:dyDescent="0.25">
      <c r="A2768" s="98" t="s">
        <v>3275</v>
      </c>
    </row>
    <row r="2769" spans="1:1" x14ac:dyDescent="0.25">
      <c r="A2769" s="98" t="s">
        <v>3276</v>
      </c>
    </row>
    <row r="2770" spans="1:1" x14ac:dyDescent="0.25">
      <c r="A2770" s="98" t="s">
        <v>3277</v>
      </c>
    </row>
    <row r="2771" spans="1:1" x14ac:dyDescent="0.25">
      <c r="A2771" s="96" t="s">
        <v>3278</v>
      </c>
    </row>
    <row r="2772" spans="1:1" x14ac:dyDescent="0.25">
      <c r="A2772" s="98" t="s">
        <v>3279</v>
      </c>
    </row>
    <row r="2773" spans="1:1" x14ac:dyDescent="0.25">
      <c r="A2773" s="98" t="s">
        <v>3280</v>
      </c>
    </row>
    <row r="2774" spans="1:1" x14ac:dyDescent="0.25">
      <c r="A2774" s="96" t="s">
        <v>3281</v>
      </c>
    </row>
    <row r="2775" spans="1:1" x14ac:dyDescent="0.25">
      <c r="A2775" s="96" t="s">
        <v>3282</v>
      </c>
    </row>
    <row r="2776" spans="1:1" x14ac:dyDescent="0.25">
      <c r="A2776" s="98" t="s">
        <v>3283</v>
      </c>
    </row>
    <row r="2777" spans="1:1" x14ac:dyDescent="0.25">
      <c r="A2777" s="98" t="s">
        <v>3284</v>
      </c>
    </row>
    <row r="2778" spans="1:1" x14ac:dyDescent="0.25">
      <c r="A2778" s="98" t="s">
        <v>3285</v>
      </c>
    </row>
    <row r="2779" spans="1:1" x14ac:dyDescent="0.25">
      <c r="A2779" s="96" t="s">
        <v>3286</v>
      </c>
    </row>
    <row r="2780" spans="1:1" x14ac:dyDescent="0.25">
      <c r="A2780" s="26" t="s">
        <v>3287</v>
      </c>
    </row>
    <row r="2781" spans="1:1" x14ac:dyDescent="0.25">
      <c r="A2781" s="98" t="s">
        <v>3288</v>
      </c>
    </row>
    <row r="2782" spans="1:1" x14ac:dyDescent="0.25">
      <c r="A2782" s="96" t="s">
        <v>3289</v>
      </c>
    </row>
    <row r="2783" spans="1:1" x14ac:dyDescent="0.25">
      <c r="A2783" s="98" t="s">
        <v>3290</v>
      </c>
    </row>
    <row r="2784" spans="1:1" x14ac:dyDescent="0.25">
      <c r="A2784" s="98" t="s">
        <v>3291</v>
      </c>
    </row>
    <row r="2785" spans="1:1" x14ac:dyDescent="0.25">
      <c r="A2785" s="26" t="s">
        <v>3292</v>
      </c>
    </row>
    <row r="2786" spans="1:1" x14ac:dyDescent="0.25">
      <c r="A2786" s="26" t="s">
        <v>3293</v>
      </c>
    </row>
    <row r="2787" spans="1:1" x14ac:dyDescent="0.25">
      <c r="A2787" s="26" t="s">
        <v>3294</v>
      </c>
    </row>
    <row r="2788" spans="1:1" x14ac:dyDescent="0.25">
      <c r="A2788" s="98" t="s">
        <v>3295</v>
      </c>
    </row>
    <row r="2789" spans="1:1" x14ac:dyDescent="0.25">
      <c r="A2789" s="96" t="s">
        <v>3296</v>
      </c>
    </row>
    <row r="2790" spans="1:1" x14ac:dyDescent="0.25">
      <c r="A2790" s="98" t="s">
        <v>3297</v>
      </c>
    </row>
    <row r="2791" spans="1:1" x14ac:dyDescent="0.25">
      <c r="A2791" s="98" t="s">
        <v>3298</v>
      </c>
    </row>
    <row r="2792" spans="1:1" x14ac:dyDescent="0.25">
      <c r="A2792" s="26" t="s">
        <v>3299</v>
      </c>
    </row>
    <row r="2793" spans="1:1" x14ac:dyDescent="0.25">
      <c r="A2793" s="26" t="s">
        <v>3300</v>
      </c>
    </row>
    <row r="2794" spans="1:1" x14ac:dyDescent="0.25">
      <c r="A2794" s="26" t="s">
        <v>3301</v>
      </c>
    </row>
    <row r="2795" spans="1:1" x14ac:dyDescent="0.25">
      <c r="A2795" s="96" t="s">
        <v>3302</v>
      </c>
    </row>
    <row r="2796" spans="1:1" x14ac:dyDescent="0.25">
      <c r="A2796" s="98" t="s">
        <v>3303</v>
      </c>
    </row>
    <row r="2797" spans="1:1" x14ac:dyDescent="0.25">
      <c r="A2797" s="96" t="s">
        <v>3304</v>
      </c>
    </row>
    <row r="2798" spans="1:1" x14ac:dyDescent="0.25">
      <c r="A2798" s="98" t="s">
        <v>3305</v>
      </c>
    </row>
    <row r="2799" spans="1:1" x14ac:dyDescent="0.25">
      <c r="A2799" s="98" t="s">
        <v>3306</v>
      </c>
    </row>
    <row r="2800" spans="1:1" x14ac:dyDescent="0.25">
      <c r="A2800" s="98" t="s">
        <v>3307</v>
      </c>
    </row>
    <row r="2801" spans="1:1" x14ac:dyDescent="0.25">
      <c r="A2801" s="96" t="s">
        <v>3308</v>
      </c>
    </row>
    <row r="2802" spans="1:1" x14ac:dyDescent="0.25">
      <c r="A2802" s="98" t="s">
        <v>3309</v>
      </c>
    </row>
    <row r="2803" spans="1:1" x14ac:dyDescent="0.25">
      <c r="A2803" s="98" t="s">
        <v>3310</v>
      </c>
    </row>
    <row r="2804" spans="1:1" x14ac:dyDescent="0.25">
      <c r="A2804" s="26" t="s">
        <v>3311</v>
      </c>
    </row>
    <row r="2805" spans="1:1" x14ac:dyDescent="0.25">
      <c r="A2805" s="26" t="s">
        <v>3312</v>
      </c>
    </row>
    <row r="2806" spans="1:1" x14ac:dyDescent="0.25">
      <c r="A2806" s="26" t="s">
        <v>3313</v>
      </c>
    </row>
    <row r="2807" spans="1:1" x14ac:dyDescent="0.25">
      <c r="A2807" s="98" t="s">
        <v>3314</v>
      </c>
    </row>
    <row r="2808" spans="1:1" x14ac:dyDescent="0.25">
      <c r="A2808" s="96" t="s">
        <v>3315</v>
      </c>
    </row>
    <row r="2809" spans="1:1" x14ac:dyDescent="0.25">
      <c r="A2809" s="96" t="s">
        <v>3316</v>
      </c>
    </row>
    <row r="2810" spans="1:1" x14ac:dyDescent="0.25">
      <c r="A2810" s="96" t="s">
        <v>3317</v>
      </c>
    </row>
    <row r="2811" spans="1:1" x14ac:dyDescent="0.25">
      <c r="A2811" s="98" t="s">
        <v>3318</v>
      </c>
    </row>
    <row r="2812" spans="1:1" x14ac:dyDescent="0.25">
      <c r="A2812" s="96" t="s">
        <v>3319</v>
      </c>
    </row>
    <row r="2813" spans="1:1" x14ac:dyDescent="0.25">
      <c r="A2813" s="98" t="s">
        <v>3320</v>
      </c>
    </row>
    <row r="2814" spans="1:1" x14ac:dyDescent="0.25">
      <c r="A2814" s="98" t="s">
        <v>3321</v>
      </c>
    </row>
    <row r="2815" spans="1:1" x14ac:dyDescent="0.25">
      <c r="A2815" s="96" t="s">
        <v>3322</v>
      </c>
    </row>
    <row r="2816" spans="1:1" x14ac:dyDescent="0.25">
      <c r="A2816" s="26" t="s">
        <v>3323</v>
      </c>
    </row>
    <row r="2817" spans="1:1" x14ac:dyDescent="0.25">
      <c r="A2817" s="26" t="s">
        <v>3324</v>
      </c>
    </row>
    <row r="2818" spans="1:1" x14ac:dyDescent="0.25">
      <c r="A2818" s="96" t="s">
        <v>3325</v>
      </c>
    </row>
    <row r="2819" spans="1:1" x14ac:dyDescent="0.25">
      <c r="A2819" s="98" t="s">
        <v>3326</v>
      </c>
    </row>
    <row r="2820" spans="1:1" x14ac:dyDescent="0.25">
      <c r="A2820" s="98" t="s">
        <v>3327</v>
      </c>
    </row>
    <row r="2821" spans="1:1" x14ac:dyDescent="0.25">
      <c r="A2821" s="98" t="s">
        <v>3328</v>
      </c>
    </row>
    <row r="2822" spans="1:1" x14ac:dyDescent="0.25">
      <c r="A2822" s="96" t="s">
        <v>3329</v>
      </c>
    </row>
    <row r="2823" spans="1:1" x14ac:dyDescent="0.25">
      <c r="A2823" s="96" t="s">
        <v>3330</v>
      </c>
    </row>
    <row r="2824" spans="1:1" x14ac:dyDescent="0.25">
      <c r="A2824" s="96" t="s">
        <v>3331</v>
      </c>
    </row>
    <row r="2825" spans="1:1" x14ac:dyDescent="0.25">
      <c r="A2825" t="s">
        <v>3334</v>
      </c>
    </row>
    <row r="2826" spans="1:1" x14ac:dyDescent="0.25">
      <c r="A2826" t="s">
        <v>3335</v>
      </c>
    </row>
    <row r="2827" spans="1:1" x14ac:dyDescent="0.25">
      <c r="A2827" s="96" t="s">
        <v>3336</v>
      </c>
    </row>
    <row r="2828" spans="1:1" x14ac:dyDescent="0.25">
      <c r="A2828" s="96" t="s">
        <v>3337</v>
      </c>
    </row>
    <row r="2829" spans="1:1" x14ac:dyDescent="0.25">
      <c r="A2829" s="96" t="s">
        <v>3338</v>
      </c>
    </row>
    <row r="2830" spans="1:1" x14ac:dyDescent="0.25">
      <c r="A2830" s="98" t="s">
        <v>3339</v>
      </c>
    </row>
    <row r="2831" spans="1:1" x14ac:dyDescent="0.25">
      <c r="A2831" s="96" t="s">
        <v>3340</v>
      </c>
    </row>
    <row r="2832" spans="1:1" x14ac:dyDescent="0.25">
      <c r="A2832" s="26" t="s">
        <v>3341</v>
      </c>
    </row>
    <row r="2833" spans="1:1" x14ac:dyDescent="0.25">
      <c r="A2833" s="98" t="s">
        <v>3342</v>
      </c>
    </row>
    <row r="2834" spans="1:1" x14ac:dyDescent="0.25">
      <c r="A2834" s="98" t="s">
        <v>3343</v>
      </c>
    </row>
    <row r="2835" spans="1:1" x14ac:dyDescent="0.25">
      <c r="A2835" s="96" t="s">
        <v>3344</v>
      </c>
    </row>
    <row r="2836" spans="1:1" x14ac:dyDescent="0.25">
      <c r="A2836" s="98" t="s">
        <v>3345</v>
      </c>
    </row>
    <row r="2837" spans="1:1" x14ac:dyDescent="0.25">
      <c r="A2837" s="96" t="s">
        <v>3346</v>
      </c>
    </row>
    <row r="2838" spans="1:1" x14ac:dyDescent="0.25">
      <c r="A2838" s="26" t="s">
        <v>3347</v>
      </c>
    </row>
    <row r="2839" spans="1:1" x14ac:dyDescent="0.25">
      <c r="A2839" s="98" t="s">
        <v>3348</v>
      </c>
    </row>
    <row r="2840" spans="1:1" x14ac:dyDescent="0.25">
      <c r="A2840" s="98" t="s">
        <v>3349</v>
      </c>
    </row>
    <row r="2841" spans="1:1" x14ac:dyDescent="0.25">
      <c r="A2841" s="96" t="s">
        <v>3350</v>
      </c>
    </row>
    <row r="2842" spans="1:1" x14ac:dyDescent="0.25">
      <c r="A2842" s="98" t="s">
        <v>3351</v>
      </c>
    </row>
    <row r="2843" spans="1:1" x14ac:dyDescent="0.25">
      <c r="A2843" s="96" t="s">
        <v>3352</v>
      </c>
    </row>
    <row r="2844" spans="1:1" x14ac:dyDescent="0.25">
      <c r="A2844" s="26" t="s">
        <v>3353</v>
      </c>
    </row>
    <row r="2845" spans="1:1" x14ac:dyDescent="0.25">
      <c r="A2845" s="98" t="s">
        <v>3354</v>
      </c>
    </row>
    <row r="2846" spans="1:1" x14ac:dyDescent="0.25">
      <c r="A2846" s="98" t="s">
        <v>3355</v>
      </c>
    </row>
    <row r="2847" spans="1:1" x14ac:dyDescent="0.25">
      <c r="A2847" s="98" t="s">
        <v>3356</v>
      </c>
    </row>
    <row r="2848" spans="1:1" x14ac:dyDescent="0.25">
      <c r="A2848" s="98" t="s">
        <v>3357</v>
      </c>
    </row>
    <row r="2849" spans="1:1" x14ac:dyDescent="0.25">
      <c r="A2849" s="98" t="s">
        <v>3358</v>
      </c>
    </row>
    <row r="2850" spans="1:1" x14ac:dyDescent="0.25">
      <c r="A2850" s="96" t="s">
        <v>3359</v>
      </c>
    </row>
    <row r="2851" spans="1:1" x14ac:dyDescent="0.25">
      <c r="A2851" s="96" t="s">
        <v>3360</v>
      </c>
    </row>
    <row r="2852" spans="1:1" x14ac:dyDescent="0.25">
      <c r="A2852" s="98" t="s">
        <v>3361</v>
      </c>
    </row>
    <row r="2853" spans="1:1" x14ac:dyDescent="0.25">
      <c r="A2853" s="98" t="s">
        <v>3362</v>
      </c>
    </row>
    <row r="2854" spans="1:1" x14ac:dyDescent="0.25">
      <c r="A2854" s="98" t="s">
        <v>3363</v>
      </c>
    </row>
    <row r="2855" spans="1:1" x14ac:dyDescent="0.25">
      <c r="A2855" s="98" t="s">
        <v>3364</v>
      </c>
    </row>
    <row r="2856" spans="1:1" x14ac:dyDescent="0.25">
      <c r="A2856" s="96" t="s">
        <v>3365</v>
      </c>
    </row>
    <row r="2857" spans="1:1" x14ac:dyDescent="0.25">
      <c r="A2857" s="96" t="s">
        <v>3366</v>
      </c>
    </row>
    <row r="2858" spans="1:1" x14ac:dyDescent="0.25">
      <c r="A2858" s="98" t="s">
        <v>3367</v>
      </c>
    </row>
    <row r="2859" spans="1:1" x14ac:dyDescent="0.25">
      <c r="A2859" s="98" t="s">
        <v>3368</v>
      </c>
    </row>
    <row r="2860" spans="1:1" x14ac:dyDescent="0.25">
      <c r="A2860" s="98" t="s">
        <v>3369</v>
      </c>
    </row>
    <row r="2861" spans="1:1" x14ac:dyDescent="0.25">
      <c r="A2861" s="98" t="s">
        <v>3370</v>
      </c>
    </row>
    <row r="2862" spans="1:1" x14ac:dyDescent="0.25">
      <c r="A2862" s="96" t="s">
        <v>3371</v>
      </c>
    </row>
    <row r="2863" spans="1:1" x14ac:dyDescent="0.25">
      <c r="A2863" s="96" t="s">
        <v>3372</v>
      </c>
    </row>
    <row r="2864" spans="1:1" x14ac:dyDescent="0.25">
      <c r="A2864" s="98" t="s">
        <v>3373</v>
      </c>
    </row>
    <row r="2865" spans="1:1" x14ac:dyDescent="0.25">
      <c r="A2865" s="98" t="s">
        <v>3374</v>
      </c>
    </row>
    <row r="2866" spans="1:1" x14ac:dyDescent="0.25">
      <c r="A2866" s="98" t="s">
        <v>3375</v>
      </c>
    </row>
    <row r="2867" spans="1:1" x14ac:dyDescent="0.25">
      <c r="A2867" s="98" t="s">
        <v>3376</v>
      </c>
    </row>
    <row r="2868" spans="1:1" x14ac:dyDescent="0.25">
      <c r="A2868" s="96" t="s">
        <v>3377</v>
      </c>
    </row>
    <row r="2869" spans="1:1" x14ac:dyDescent="0.25">
      <c r="A2869" s="96" t="s">
        <v>3378</v>
      </c>
    </row>
    <row r="2870" spans="1:1" x14ac:dyDescent="0.25">
      <c r="A2870" s="98" t="s">
        <v>3379</v>
      </c>
    </row>
    <row r="2871" spans="1:1" x14ac:dyDescent="0.25">
      <c r="A2871" s="98" t="s">
        <v>3380</v>
      </c>
    </row>
    <row r="2872" spans="1:1" x14ac:dyDescent="0.25">
      <c r="A2872" s="98" t="s">
        <v>3381</v>
      </c>
    </row>
    <row r="2873" spans="1:1" x14ac:dyDescent="0.25">
      <c r="A2873" s="98" t="s">
        <v>3382</v>
      </c>
    </row>
    <row r="2874" spans="1:1" x14ac:dyDescent="0.25">
      <c r="A2874" s="96" t="s">
        <v>3383</v>
      </c>
    </row>
    <row r="2875" spans="1:1" x14ac:dyDescent="0.25">
      <c r="A2875" s="96" t="s">
        <v>3384</v>
      </c>
    </row>
    <row r="2876" spans="1:1" x14ac:dyDescent="0.25">
      <c r="A2876" s="98" t="s">
        <v>3385</v>
      </c>
    </row>
    <row r="2877" spans="1:1" x14ac:dyDescent="0.25">
      <c r="A2877" s="98" t="s">
        <v>3386</v>
      </c>
    </row>
    <row r="2878" spans="1:1" x14ac:dyDescent="0.25">
      <c r="A2878" s="98" t="s">
        <v>3387</v>
      </c>
    </row>
    <row r="2879" spans="1:1" x14ac:dyDescent="0.25">
      <c r="A2879" s="98" t="s">
        <v>3388</v>
      </c>
    </row>
    <row r="2880" spans="1:1" x14ac:dyDescent="0.25">
      <c r="A2880" s="96" t="s">
        <v>3389</v>
      </c>
    </row>
    <row r="2881" spans="1:1" x14ac:dyDescent="0.25">
      <c r="A2881" s="96" t="s">
        <v>3390</v>
      </c>
    </row>
    <row r="2882" spans="1:1" x14ac:dyDescent="0.25">
      <c r="A2882" s="98" t="s">
        <v>3391</v>
      </c>
    </row>
    <row r="2883" spans="1:1" x14ac:dyDescent="0.25">
      <c r="A2883" s="98" t="s">
        <v>3392</v>
      </c>
    </row>
    <row r="2884" spans="1:1" x14ac:dyDescent="0.25">
      <c r="A2884" s="98" t="s">
        <v>3393</v>
      </c>
    </row>
    <row r="2885" spans="1:1" x14ac:dyDescent="0.25">
      <c r="A2885" s="98" t="s">
        <v>3394</v>
      </c>
    </row>
    <row r="2886" spans="1:1" x14ac:dyDescent="0.25">
      <c r="A2886" s="96" t="s">
        <v>3395</v>
      </c>
    </row>
    <row r="2887" spans="1:1" x14ac:dyDescent="0.25">
      <c r="A2887" s="96" t="s">
        <v>3396</v>
      </c>
    </row>
    <row r="2888" spans="1:1" x14ac:dyDescent="0.25">
      <c r="A2888" s="98" t="s">
        <v>3397</v>
      </c>
    </row>
    <row r="2889" spans="1:1" x14ac:dyDescent="0.25">
      <c r="A2889" s="98" t="s">
        <v>3398</v>
      </c>
    </row>
    <row r="2890" spans="1:1" x14ac:dyDescent="0.25">
      <c r="A2890" s="98" t="s">
        <v>3399</v>
      </c>
    </row>
    <row r="2891" spans="1:1" x14ac:dyDescent="0.25">
      <c r="A2891" s="98" t="s">
        <v>3400</v>
      </c>
    </row>
    <row r="2892" spans="1:1" x14ac:dyDescent="0.25">
      <c r="A2892" s="96" t="s">
        <v>3401</v>
      </c>
    </row>
    <row r="2893" spans="1:1" x14ac:dyDescent="0.25">
      <c r="A2893" s="96" t="s">
        <v>3402</v>
      </c>
    </row>
    <row r="2894" spans="1:1" x14ac:dyDescent="0.25">
      <c r="A2894" s="98" t="s">
        <v>3403</v>
      </c>
    </row>
    <row r="2895" spans="1:1" x14ac:dyDescent="0.25">
      <c r="A2895" s="98" t="s">
        <v>3404</v>
      </c>
    </row>
    <row r="2896" spans="1:1" x14ac:dyDescent="0.25">
      <c r="A2896" s="98" t="s">
        <v>3405</v>
      </c>
    </row>
    <row r="2897" spans="1:1" x14ac:dyDescent="0.25">
      <c r="A2897" s="98" t="s">
        <v>3406</v>
      </c>
    </row>
    <row r="2898" spans="1:1" x14ac:dyDescent="0.25">
      <c r="A2898" s="96" t="s">
        <v>3407</v>
      </c>
    </row>
    <row r="2899" spans="1:1" x14ac:dyDescent="0.25">
      <c r="A2899" s="96" t="s">
        <v>3408</v>
      </c>
    </row>
    <row r="2900" spans="1:1" x14ac:dyDescent="0.25">
      <c r="A2900" s="98" t="s">
        <v>3409</v>
      </c>
    </row>
    <row r="2901" spans="1:1" x14ac:dyDescent="0.25">
      <c r="A2901" s="98" t="s">
        <v>3410</v>
      </c>
    </row>
    <row r="2902" spans="1:1" x14ac:dyDescent="0.25">
      <c r="A2902" s="98" t="s">
        <v>3411</v>
      </c>
    </row>
    <row r="2903" spans="1:1" x14ac:dyDescent="0.25">
      <c r="A2903" s="98" t="s">
        <v>3412</v>
      </c>
    </row>
    <row r="2904" spans="1:1" x14ac:dyDescent="0.25">
      <c r="A2904" s="96" t="s">
        <v>3413</v>
      </c>
    </row>
    <row r="2905" spans="1:1" x14ac:dyDescent="0.25">
      <c r="A2905" s="96" t="s">
        <v>3414</v>
      </c>
    </row>
    <row r="2906" spans="1:1" x14ac:dyDescent="0.25">
      <c r="A2906" s="98" t="s">
        <v>3415</v>
      </c>
    </row>
    <row r="2907" spans="1:1" x14ac:dyDescent="0.25">
      <c r="A2907" s="96" t="s">
        <v>3416</v>
      </c>
    </row>
    <row r="2908" spans="1:1" x14ac:dyDescent="0.25">
      <c r="A2908" s="96" t="s">
        <v>3417</v>
      </c>
    </row>
    <row r="2909" spans="1:1" x14ac:dyDescent="0.25">
      <c r="A2909" s="96" t="s">
        <v>3418</v>
      </c>
    </row>
    <row r="2910" spans="1:1" x14ac:dyDescent="0.25">
      <c r="A2910" s="96" t="s">
        <v>3419</v>
      </c>
    </row>
    <row r="2911" spans="1:1" x14ac:dyDescent="0.25">
      <c r="A2911" s="26" t="s">
        <v>3420</v>
      </c>
    </row>
    <row r="2912" spans="1:1" x14ac:dyDescent="0.25">
      <c r="A2912" s="98" t="s">
        <v>3421</v>
      </c>
    </row>
    <row r="2913" spans="1:1" x14ac:dyDescent="0.25">
      <c r="A2913" s="96" t="s">
        <v>3422</v>
      </c>
    </row>
    <row r="2914" spans="1:1" x14ac:dyDescent="0.25">
      <c r="A2914" s="98" t="s">
        <v>3423</v>
      </c>
    </row>
    <row r="2915" spans="1:1" x14ac:dyDescent="0.25">
      <c r="A2915" s="98" t="s">
        <v>3424</v>
      </c>
    </row>
    <row r="2916" spans="1:1" x14ac:dyDescent="0.25">
      <c r="A2916" s="26" t="s">
        <v>3425</v>
      </c>
    </row>
    <row r="2917" spans="1:1" x14ac:dyDescent="0.25">
      <c r="A2917" s="26" t="s">
        <v>3426</v>
      </c>
    </row>
    <row r="2918" spans="1:1" x14ac:dyDescent="0.25">
      <c r="A2918" s="26" t="s">
        <v>3427</v>
      </c>
    </row>
    <row r="2919" spans="1:1" x14ac:dyDescent="0.25">
      <c r="A2919" s="96" t="s">
        <v>3428</v>
      </c>
    </row>
    <row r="2920" spans="1:1" x14ac:dyDescent="0.25">
      <c r="A2920" s="98" t="s">
        <v>3429</v>
      </c>
    </row>
    <row r="2921" spans="1:1" x14ac:dyDescent="0.25">
      <c r="A2921" s="96" t="s">
        <v>3430</v>
      </c>
    </row>
    <row r="2922" spans="1:1" x14ac:dyDescent="0.25">
      <c r="A2922" s="98" t="s">
        <v>3431</v>
      </c>
    </row>
    <row r="2923" spans="1:1" x14ac:dyDescent="0.25">
      <c r="A2923" s="98" t="s">
        <v>3432</v>
      </c>
    </row>
    <row r="2924" spans="1:1" x14ac:dyDescent="0.25">
      <c r="A2924" s="96" t="s">
        <v>3433</v>
      </c>
    </row>
    <row r="2925" spans="1:1" x14ac:dyDescent="0.25">
      <c r="A2925" s="96" t="s">
        <v>3434</v>
      </c>
    </row>
    <row r="2926" spans="1:1" x14ac:dyDescent="0.25">
      <c r="A2926" s="26" t="s">
        <v>3435</v>
      </c>
    </row>
    <row r="2927" spans="1:1" x14ac:dyDescent="0.25">
      <c r="A2927" s="96" t="s">
        <v>3436</v>
      </c>
    </row>
    <row r="2928" spans="1:1" x14ac:dyDescent="0.25">
      <c r="A2928" s="98" t="s">
        <v>3437</v>
      </c>
    </row>
    <row r="2929" spans="1:1" x14ac:dyDescent="0.25">
      <c r="A2929" s="96" t="s">
        <v>3438</v>
      </c>
    </row>
    <row r="2930" spans="1:1" x14ac:dyDescent="0.25">
      <c r="A2930" s="98" t="s">
        <v>3439</v>
      </c>
    </row>
    <row r="2931" spans="1:1" x14ac:dyDescent="0.25">
      <c r="A2931" s="98" t="s">
        <v>3440</v>
      </c>
    </row>
    <row r="2932" spans="1:1" x14ac:dyDescent="0.25">
      <c r="A2932" s="98" t="s">
        <v>3441</v>
      </c>
    </row>
    <row r="2933" spans="1:1" x14ac:dyDescent="0.25">
      <c r="A2933" s="98" t="s">
        <v>3442</v>
      </c>
    </row>
    <row r="2934" spans="1:1" x14ac:dyDescent="0.25">
      <c r="A2934" s="98" t="s">
        <v>3443</v>
      </c>
    </row>
    <row r="2935" spans="1:1" x14ac:dyDescent="0.25">
      <c r="A2935" s="96" t="s">
        <v>3444</v>
      </c>
    </row>
    <row r="2936" spans="1:1" x14ac:dyDescent="0.25">
      <c r="A2936" s="96" t="s">
        <v>3445</v>
      </c>
    </row>
    <row r="2937" spans="1:1" x14ac:dyDescent="0.25">
      <c r="A2937" s="98" t="s">
        <v>3446</v>
      </c>
    </row>
    <row r="2938" spans="1:1" x14ac:dyDescent="0.25">
      <c r="A2938" s="98" t="s">
        <v>3447</v>
      </c>
    </row>
    <row r="2939" spans="1:1" x14ac:dyDescent="0.25">
      <c r="A2939" s="98" t="s">
        <v>3448</v>
      </c>
    </row>
    <row r="2940" spans="1:1" x14ac:dyDescent="0.25">
      <c r="A2940" s="98" t="s">
        <v>3449</v>
      </c>
    </row>
    <row r="2941" spans="1:1" x14ac:dyDescent="0.25">
      <c r="A2941" s="96" t="s">
        <v>3450</v>
      </c>
    </row>
    <row r="2942" spans="1:1" x14ac:dyDescent="0.25">
      <c r="A2942" s="96" t="s">
        <v>3451</v>
      </c>
    </row>
    <row r="2943" spans="1:1" x14ac:dyDescent="0.25">
      <c r="A2943" s="98" t="s">
        <v>3452</v>
      </c>
    </row>
    <row r="2944" spans="1:1" x14ac:dyDescent="0.25">
      <c r="A2944" s="98" t="s">
        <v>3453</v>
      </c>
    </row>
    <row r="2945" spans="1:1" x14ac:dyDescent="0.25">
      <c r="A2945" s="98" t="s">
        <v>3454</v>
      </c>
    </row>
    <row r="2946" spans="1:1" x14ac:dyDescent="0.25">
      <c r="A2946" s="98" t="s">
        <v>3455</v>
      </c>
    </row>
    <row r="2947" spans="1:1" x14ac:dyDescent="0.25">
      <c r="A2947" s="96" t="s">
        <v>3456</v>
      </c>
    </row>
    <row r="2948" spans="1:1" x14ac:dyDescent="0.25">
      <c r="A2948" s="96" t="s">
        <v>3457</v>
      </c>
    </row>
    <row r="2949" spans="1:1" x14ac:dyDescent="0.25">
      <c r="A2949" s="98" t="s">
        <v>3458</v>
      </c>
    </row>
    <row r="2950" spans="1:1" x14ac:dyDescent="0.25">
      <c r="A2950" s="98" t="s">
        <v>3459</v>
      </c>
    </row>
    <row r="2951" spans="1:1" x14ac:dyDescent="0.25">
      <c r="A2951" s="98" t="s">
        <v>3460</v>
      </c>
    </row>
    <row r="2952" spans="1:1" x14ac:dyDescent="0.25">
      <c r="A2952" s="98" t="s">
        <v>3461</v>
      </c>
    </row>
    <row r="2953" spans="1:1" x14ac:dyDescent="0.25">
      <c r="A2953" s="96" t="s">
        <v>3462</v>
      </c>
    </row>
    <row r="2954" spans="1:1" x14ac:dyDescent="0.25">
      <c r="A2954" s="96" t="s">
        <v>3463</v>
      </c>
    </row>
    <row r="2955" spans="1:1" x14ac:dyDescent="0.25">
      <c r="A2955" s="98" t="s">
        <v>3464</v>
      </c>
    </row>
    <row r="2956" spans="1:1" x14ac:dyDescent="0.25">
      <c r="A2956" s="98" t="s">
        <v>3465</v>
      </c>
    </row>
    <row r="2957" spans="1:1" x14ac:dyDescent="0.25">
      <c r="A2957" s="98" t="s">
        <v>3466</v>
      </c>
    </row>
    <row r="2958" spans="1:1" x14ac:dyDescent="0.25">
      <c r="A2958" s="98" t="s">
        <v>3467</v>
      </c>
    </row>
    <row r="2959" spans="1:1" x14ac:dyDescent="0.25">
      <c r="A2959" s="96" t="s">
        <v>3468</v>
      </c>
    </row>
    <row r="2960" spans="1:1" x14ac:dyDescent="0.25">
      <c r="A2960" s="96" t="s">
        <v>3469</v>
      </c>
    </row>
    <row r="2961" spans="1:1" x14ac:dyDescent="0.25">
      <c r="A2961" s="98" t="s">
        <v>3470</v>
      </c>
    </row>
    <row r="2962" spans="1:1" x14ac:dyDescent="0.25">
      <c r="A2962" s="98" t="s">
        <v>3471</v>
      </c>
    </row>
    <row r="2963" spans="1:1" x14ac:dyDescent="0.25">
      <c r="A2963" s="98" t="s">
        <v>3472</v>
      </c>
    </row>
    <row r="2964" spans="1:1" x14ac:dyDescent="0.25">
      <c r="A2964" s="98" t="s">
        <v>3473</v>
      </c>
    </row>
    <row r="2965" spans="1:1" x14ac:dyDescent="0.25">
      <c r="A2965" s="96" t="s">
        <v>3474</v>
      </c>
    </row>
    <row r="2966" spans="1:1" x14ac:dyDescent="0.25">
      <c r="A2966" s="96" t="s">
        <v>3475</v>
      </c>
    </row>
    <row r="2967" spans="1:1" x14ac:dyDescent="0.25">
      <c r="A2967" s="98" t="s">
        <v>3476</v>
      </c>
    </row>
    <row r="2968" spans="1:1" x14ac:dyDescent="0.25">
      <c r="A2968" s="98" t="s">
        <v>3477</v>
      </c>
    </row>
    <row r="2969" spans="1:1" x14ac:dyDescent="0.25">
      <c r="A2969" s="98" t="s">
        <v>3478</v>
      </c>
    </row>
    <row r="2970" spans="1:1" x14ac:dyDescent="0.25">
      <c r="A2970" s="98" t="s">
        <v>3479</v>
      </c>
    </row>
    <row r="2971" spans="1:1" x14ac:dyDescent="0.25">
      <c r="A2971" s="96" t="s">
        <v>3480</v>
      </c>
    </row>
    <row r="2972" spans="1:1" x14ac:dyDescent="0.25">
      <c r="A2972" s="96" t="s">
        <v>3481</v>
      </c>
    </row>
    <row r="2973" spans="1:1" x14ac:dyDescent="0.25">
      <c r="A2973" s="98" t="s">
        <v>3482</v>
      </c>
    </row>
    <row r="2974" spans="1:1" x14ac:dyDescent="0.25">
      <c r="A2974" s="98" t="s">
        <v>3483</v>
      </c>
    </row>
    <row r="2975" spans="1:1" x14ac:dyDescent="0.25">
      <c r="A2975" s="98" t="s">
        <v>3484</v>
      </c>
    </row>
    <row r="2976" spans="1:1" x14ac:dyDescent="0.25">
      <c r="A2976" s="98" t="s">
        <v>3485</v>
      </c>
    </row>
    <row r="2977" spans="1:1" x14ac:dyDescent="0.25">
      <c r="A2977" s="96" t="s">
        <v>3486</v>
      </c>
    </row>
    <row r="2978" spans="1:1" x14ac:dyDescent="0.25">
      <c r="A2978" s="96" t="s">
        <v>3487</v>
      </c>
    </row>
    <row r="2979" spans="1:1" x14ac:dyDescent="0.25">
      <c r="A2979" s="98" t="s">
        <v>3488</v>
      </c>
    </row>
    <row r="2980" spans="1:1" x14ac:dyDescent="0.25">
      <c r="A2980" s="98" t="s">
        <v>3489</v>
      </c>
    </row>
    <row r="2981" spans="1:1" x14ac:dyDescent="0.25">
      <c r="A2981" s="98" t="s">
        <v>3490</v>
      </c>
    </row>
    <row r="2982" spans="1:1" x14ac:dyDescent="0.25">
      <c r="A2982" s="98" t="s">
        <v>3491</v>
      </c>
    </row>
    <row r="2983" spans="1:1" x14ac:dyDescent="0.25">
      <c r="A2983" s="96" t="s">
        <v>3492</v>
      </c>
    </row>
    <row r="2984" spans="1:1" x14ac:dyDescent="0.25">
      <c r="A2984" s="96" t="s">
        <v>3493</v>
      </c>
    </row>
    <row r="2985" spans="1:1" x14ac:dyDescent="0.25">
      <c r="A2985" s="98" t="s">
        <v>3494</v>
      </c>
    </row>
    <row r="2986" spans="1:1" x14ac:dyDescent="0.25">
      <c r="A2986" s="98" t="s">
        <v>3495</v>
      </c>
    </row>
    <row r="2987" spans="1:1" x14ac:dyDescent="0.25">
      <c r="A2987" s="98" t="s">
        <v>3496</v>
      </c>
    </row>
    <row r="2988" spans="1:1" x14ac:dyDescent="0.25">
      <c r="A2988" s="98" t="s">
        <v>3497</v>
      </c>
    </row>
    <row r="2989" spans="1:1" x14ac:dyDescent="0.25">
      <c r="A2989" s="96" t="s">
        <v>3498</v>
      </c>
    </row>
    <row r="2990" spans="1:1" x14ac:dyDescent="0.25">
      <c r="A2990" s="96" t="s">
        <v>3499</v>
      </c>
    </row>
    <row r="2991" spans="1:1" x14ac:dyDescent="0.25">
      <c r="A2991" s="98" t="s">
        <v>3500</v>
      </c>
    </row>
    <row r="3012" spans="1:1" x14ac:dyDescent="0.25">
      <c r="A3012" s="96" t="s">
        <v>3501</v>
      </c>
    </row>
    <row r="3013" spans="1:1" x14ac:dyDescent="0.25">
      <c r="A3013" s="98" t="s">
        <v>3502</v>
      </c>
    </row>
    <row r="3014" spans="1:1" x14ac:dyDescent="0.25">
      <c r="A3014" s="96" t="s">
        <v>3503</v>
      </c>
    </row>
    <row r="3015" spans="1:1" x14ac:dyDescent="0.25">
      <c r="A3015" s="98" t="s">
        <v>3504</v>
      </c>
    </row>
    <row r="3016" spans="1:1" x14ac:dyDescent="0.25">
      <c r="A3016" s="98" t="s">
        <v>3505</v>
      </c>
    </row>
    <row r="3017" spans="1:1" x14ac:dyDescent="0.25">
      <c r="A3017" s="96" t="s">
        <v>3506</v>
      </c>
    </row>
    <row r="3018" spans="1:1" x14ac:dyDescent="0.25">
      <c r="A3018" s="26" t="s">
        <v>3507</v>
      </c>
    </row>
    <row r="3019" spans="1:1" x14ac:dyDescent="0.25">
      <c r="A3019" s="96" t="s">
        <v>3508</v>
      </c>
    </row>
    <row r="3020" spans="1:1" x14ac:dyDescent="0.25">
      <c r="A3020" t="s">
        <v>3511</v>
      </c>
    </row>
    <row r="3021" spans="1:1" x14ac:dyDescent="0.25">
      <c r="A3021" t="s">
        <v>3512</v>
      </c>
    </row>
    <row r="3022" spans="1:1" x14ac:dyDescent="0.25">
      <c r="A3022" s="96" t="s">
        <v>3513</v>
      </c>
    </row>
    <row r="3023" spans="1:1" x14ac:dyDescent="0.25">
      <c r="A3023" s="96" t="s">
        <v>3514</v>
      </c>
    </row>
    <row r="3024" spans="1:1" x14ac:dyDescent="0.25">
      <c r="A3024" s="96" t="s">
        <v>3515</v>
      </c>
    </row>
    <row r="3025" spans="1:1" x14ac:dyDescent="0.25">
      <c r="A3025" s="98" t="s">
        <v>3516</v>
      </c>
    </row>
    <row r="3026" spans="1:1" x14ac:dyDescent="0.25">
      <c r="A3026" s="96" t="s">
        <v>3517</v>
      </c>
    </row>
    <row r="3027" spans="1:1" x14ac:dyDescent="0.25">
      <c r="A3027" s="98" t="s">
        <v>3518</v>
      </c>
    </row>
    <row r="3028" spans="1:1" x14ac:dyDescent="0.25">
      <c r="A3028" s="98" t="s">
        <v>3519</v>
      </c>
    </row>
    <row r="3029" spans="1:1" x14ac:dyDescent="0.25">
      <c r="A3029" s="96" t="s">
        <v>3520</v>
      </c>
    </row>
    <row r="3030" spans="1:1" x14ac:dyDescent="0.25">
      <c r="A3030" s="98" t="s">
        <v>3521</v>
      </c>
    </row>
    <row r="3031" spans="1:1" x14ac:dyDescent="0.25">
      <c r="A3031" s="96" t="s">
        <v>3522</v>
      </c>
    </row>
    <row r="3032" spans="1:1" x14ac:dyDescent="0.25">
      <c r="A3032" s="98" t="s">
        <v>3523</v>
      </c>
    </row>
    <row r="3033" spans="1:1" x14ac:dyDescent="0.25">
      <c r="A3033" s="98" t="s">
        <v>3524</v>
      </c>
    </row>
    <row r="3034" spans="1:1" x14ac:dyDescent="0.25">
      <c r="A3034" s="96" t="s">
        <v>3525</v>
      </c>
    </row>
    <row r="3035" spans="1:1" x14ac:dyDescent="0.25">
      <c r="A3035" s="98" t="s">
        <v>3526</v>
      </c>
    </row>
    <row r="3036" spans="1:1" x14ac:dyDescent="0.25">
      <c r="A3036" s="96" t="s">
        <v>3527</v>
      </c>
    </row>
    <row r="3037" spans="1:1" x14ac:dyDescent="0.25">
      <c r="A3037" s="98" t="s">
        <v>3528</v>
      </c>
    </row>
    <row r="3038" spans="1:1" x14ac:dyDescent="0.25">
      <c r="A3038" s="98" t="s">
        <v>3529</v>
      </c>
    </row>
    <row r="3039" spans="1:1" x14ac:dyDescent="0.25">
      <c r="A3039" s="96" t="s">
        <v>3530</v>
      </c>
    </row>
    <row r="3040" spans="1:1" x14ac:dyDescent="0.25">
      <c r="A3040" s="98" t="s">
        <v>3531</v>
      </c>
    </row>
    <row r="3041" spans="1:1" x14ac:dyDescent="0.25">
      <c r="A3041" s="96" t="s">
        <v>3532</v>
      </c>
    </row>
    <row r="3042" spans="1:1" x14ac:dyDescent="0.25">
      <c r="A3042" s="26" t="s">
        <v>3533</v>
      </c>
    </row>
    <row r="3043" spans="1:1" x14ac:dyDescent="0.25">
      <c r="A3043" s="96" t="s">
        <v>3534</v>
      </c>
    </row>
    <row r="3044" spans="1:1" x14ac:dyDescent="0.25">
      <c r="A3044" t="s">
        <v>3536</v>
      </c>
    </row>
    <row r="3045" spans="1:1" x14ac:dyDescent="0.25">
      <c r="A3045" t="s">
        <v>3537</v>
      </c>
    </row>
    <row r="3046" spans="1:1" x14ac:dyDescent="0.25">
      <c r="A3046" s="96" t="s">
        <v>3538</v>
      </c>
    </row>
    <row r="3047" spans="1:1" x14ac:dyDescent="0.25">
      <c r="A3047" s="96" t="s">
        <v>3539</v>
      </c>
    </row>
    <row r="3048" spans="1:1" x14ac:dyDescent="0.25">
      <c r="A3048" s="96" t="s">
        <v>3540</v>
      </c>
    </row>
    <row r="3049" spans="1:1" x14ac:dyDescent="0.25">
      <c r="A3049" s="98" t="s">
        <v>3541</v>
      </c>
    </row>
    <row r="3050" spans="1:1" x14ac:dyDescent="0.25">
      <c r="A3050" s="96" t="s">
        <v>3542</v>
      </c>
    </row>
    <row r="3051" spans="1:1" x14ac:dyDescent="0.25">
      <c r="A3051" s="98" t="s">
        <v>3543</v>
      </c>
    </row>
    <row r="3052" spans="1:1" x14ac:dyDescent="0.25">
      <c r="A3052" s="98" t="s">
        <v>3544</v>
      </c>
    </row>
    <row r="3053" spans="1:1" x14ac:dyDescent="0.25">
      <c r="A3053" s="96" t="s">
        <v>3545</v>
      </c>
    </row>
    <row r="3054" spans="1:1" x14ac:dyDescent="0.25">
      <c r="A3054" s="26" t="s">
        <v>3546</v>
      </c>
    </row>
    <row r="3055" spans="1:1" x14ac:dyDescent="0.25">
      <c r="A3055" s="96" t="s">
        <v>3547</v>
      </c>
    </row>
    <row r="3056" spans="1:1" x14ac:dyDescent="0.25">
      <c r="A3056" t="s">
        <v>3549</v>
      </c>
    </row>
    <row r="3057" spans="1:1" x14ac:dyDescent="0.25">
      <c r="A3057" t="s">
        <v>3550</v>
      </c>
    </row>
    <row r="3058" spans="1:1" x14ac:dyDescent="0.25">
      <c r="A3058" s="96" t="s">
        <v>3551</v>
      </c>
    </row>
    <row r="3059" spans="1:1" x14ac:dyDescent="0.25">
      <c r="A3059" s="96" t="s">
        <v>3552</v>
      </c>
    </row>
    <row r="3060" spans="1:1" x14ac:dyDescent="0.25">
      <c r="A3060" s="96" t="s">
        <v>3553</v>
      </c>
    </row>
    <row r="3061" spans="1:1" x14ac:dyDescent="0.25">
      <c r="A3061" s="98" t="s">
        <v>3554</v>
      </c>
    </row>
    <row r="3062" spans="1:1" x14ac:dyDescent="0.25">
      <c r="A3062" s="96" t="s">
        <v>3555</v>
      </c>
    </row>
    <row r="3063" spans="1:1" x14ac:dyDescent="0.25">
      <c r="A3063" s="98" t="s">
        <v>3556</v>
      </c>
    </row>
    <row r="3064" spans="1:1" x14ac:dyDescent="0.25">
      <c r="A3064" s="98" t="s">
        <v>3557</v>
      </c>
    </row>
    <row r="3065" spans="1:1" x14ac:dyDescent="0.25">
      <c r="A3065" s="96" t="s">
        <v>3558</v>
      </c>
    </row>
    <row r="3066" spans="1:1" x14ac:dyDescent="0.25">
      <c r="A3066" s="26" t="s">
        <v>3559</v>
      </c>
    </row>
    <row r="3067" spans="1:1" x14ac:dyDescent="0.25">
      <c r="A3067" s="96" t="s">
        <v>3560</v>
      </c>
    </row>
    <row r="3068" spans="1:1" x14ac:dyDescent="0.25">
      <c r="A3068" t="s">
        <v>3562</v>
      </c>
    </row>
    <row r="3069" spans="1:1" x14ac:dyDescent="0.25">
      <c r="A3069" t="s">
        <v>3563</v>
      </c>
    </row>
    <row r="3070" spans="1:1" x14ac:dyDescent="0.25">
      <c r="A3070" s="96" t="s">
        <v>3564</v>
      </c>
    </row>
    <row r="3071" spans="1:1" x14ac:dyDescent="0.25">
      <c r="A3071" s="96" t="s">
        <v>3565</v>
      </c>
    </row>
    <row r="3072" spans="1:1" x14ac:dyDescent="0.25">
      <c r="A3072" s="96" t="s">
        <v>3566</v>
      </c>
    </row>
    <row r="3073" spans="1:1" x14ac:dyDescent="0.25">
      <c r="A3073" s="98" t="s">
        <v>3567</v>
      </c>
    </row>
    <row r="3074" spans="1:1" x14ac:dyDescent="0.25">
      <c r="A3074" s="96" t="s">
        <v>3568</v>
      </c>
    </row>
    <row r="3075" spans="1:1" x14ac:dyDescent="0.25">
      <c r="A3075" s="26" t="s">
        <v>3569</v>
      </c>
    </row>
    <row r="3076" spans="1:1" x14ac:dyDescent="0.25">
      <c r="A3076" s="98" t="s">
        <v>3570</v>
      </c>
    </row>
    <row r="3077" spans="1:1" x14ac:dyDescent="0.25">
      <c r="A3077" s="98" t="s">
        <v>3571</v>
      </c>
    </row>
    <row r="3078" spans="1:1" x14ac:dyDescent="0.25">
      <c r="A3078" s="96" t="s">
        <v>3572</v>
      </c>
    </row>
    <row r="3079" spans="1:1" x14ac:dyDescent="0.25">
      <c r="A3079" s="98" t="s">
        <v>3573</v>
      </c>
    </row>
    <row r="3080" spans="1:1" x14ac:dyDescent="0.25">
      <c r="A3080" s="96" t="s">
        <v>3574</v>
      </c>
    </row>
    <row r="3081" spans="1:1" x14ac:dyDescent="0.25">
      <c r="A3081" s="26" t="s">
        <v>3575</v>
      </c>
    </row>
    <row r="3082" spans="1:1" x14ac:dyDescent="0.25">
      <c r="A3082" s="98" t="s">
        <v>3576</v>
      </c>
    </row>
    <row r="3083" spans="1:1" x14ac:dyDescent="0.25">
      <c r="A3083" s="98" t="s">
        <v>3577</v>
      </c>
    </row>
    <row r="3084" spans="1:1" x14ac:dyDescent="0.25">
      <c r="A3084" s="96" t="s">
        <v>3578</v>
      </c>
    </row>
    <row r="3085" spans="1:1" x14ac:dyDescent="0.25">
      <c r="A3085" s="98" t="s">
        <v>3579</v>
      </c>
    </row>
    <row r="3086" spans="1:1" x14ac:dyDescent="0.25">
      <c r="A3086" s="96" t="s">
        <v>3580</v>
      </c>
    </row>
    <row r="3087" spans="1:1" x14ac:dyDescent="0.25">
      <c r="A3087" s="26" t="s">
        <v>3581</v>
      </c>
    </row>
    <row r="3088" spans="1:1" x14ac:dyDescent="0.25">
      <c r="A3088" s="98" t="s">
        <v>3582</v>
      </c>
    </row>
    <row r="3089" spans="1:1" x14ac:dyDescent="0.25">
      <c r="A3089" s="98" t="s">
        <v>3583</v>
      </c>
    </row>
    <row r="3090" spans="1:1" x14ac:dyDescent="0.25">
      <c r="A3090" s="96" t="s">
        <v>3584</v>
      </c>
    </row>
    <row r="3091" spans="1:1" x14ac:dyDescent="0.25">
      <c r="A3091" s="98" t="s">
        <v>3585</v>
      </c>
    </row>
    <row r="3092" spans="1:1" x14ac:dyDescent="0.25">
      <c r="A3092" s="96" t="s">
        <v>3586</v>
      </c>
    </row>
    <row r="3093" spans="1:1" x14ac:dyDescent="0.25">
      <c r="A3093" s="26" t="s">
        <v>3587</v>
      </c>
    </row>
    <row r="3094" spans="1:1" x14ac:dyDescent="0.25">
      <c r="A3094" s="98" t="s">
        <v>3588</v>
      </c>
    </row>
    <row r="3095" spans="1:1" x14ac:dyDescent="0.25">
      <c r="A3095" s="98" t="s">
        <v>3589</v>
      </c>
    </row>
    <row r="3096" spans="1:1" x14ac:dyDescent="0.25">
      <c r="A3096" s="96" t="s">
        <v>3590</v>
      </c>
    </row>
    <row r="3097" spans="1:1" x14ac:dyDescent="0.25">
      <c r="A3097" s="96" t="s">
        <v>3591</v>
      </c>
    </row>
    <row r="3098" spans="1:1" x14ac:dyDescent="0.25">
      <c r="A3098" s="98" t="s">
        <v>3592</v>
      </c>
    </row>
    <row r="3099" spans="1:1" x14ac:dyDescent="0.25">
      <c r="A3099" s="98" t="s">
        <v>3593</v>
      </c>
    </row>
    <row r="3100" spans="1:1" x14ac:dyDescent="0.25">
      <c r="A3100" s="98" t="s">
        <v>3594</v>
      </c>
    </row>
    <row r="3101" spans="1:1" x14ac:dyDescent="0.25">
      <c r="A3101" s="96" t="s">
        <v>3595</v>
      </c>
    </row>
    <row r="3102" spans="1:1" x14ac:dyDescent="0.25">
      <c r="A3102" s="96" t="s">
        <v>3596</v>
      </c>
    </row>
    <row r="3103" spans="1:1" x14ac:dyDescent="0.25">
      <c r="A3103" s="98" t="s">
        <v>3597</v>
      </c>
    </row>
    <row r="3104" spans="1:1" x14ac:dyDescent="0.25">
      <c r="A3104" s="96" t="s">
        <v>3598</v>
      </c>
    </row>
    <row r="3105" spans="1:1" x14ac:dyDescent="0.25">
      <c r="A3105" s="98" t="s">
        <v>3599</v>
      </c>
    </row>
    <row r="3106" spans="1:1" x14ac:dyDescent="0.25">
      <c r="A3106" s="98" t="s">
        <v>3600</v>
      </c>
    </row>
    <row r="3107" spans="1:1" x14ac:dyDescent="0.25">
      <c r="A3107" s="98" t="s">
        <v>3601</v>
      </c>
    </row>
    <row r="3108" spans="1:1" x14ac:dyDescent="0.25">
      <c r="A3108" s="98" t="s">
        <v>3602</v>
      </c>
    </row>
    <row r="3109" spans="1:1" x14ac:dyDescent="0.25">
      <c r="A3109" s="98" t="s">
        <v>3603</v>
      </c>
    </row>
    <row r="3110" spans="1:1" x14ac:dyDescent="0.25">
      <c r="A3110" s="96" t="s">
        <v>3604</v>
      </c>
    </row>
    <row r="3111" spans="1:1" x14ac:dyDescent="0.25">
      <c r="A3111" s="96" t="s">
        <v>3605</v>
      </c>
    </row>
    <row r="3112" spans="1:1" x14ac:dyDescent="0.25">
      <c r="A3112" s="98" t="s">
        <v>3606</v>
      </c>
    </row>
    <row r="3113" spans="1:1" x14ac:dyDescent="0.25">
      <c r="A3113" s="96" t="s">
        <v>3607</v>
      </c>
    </row>
    <row r="3114" spans="1:1" x14ac:dyDescent="0.25">
      <c r="A3114" s="98" t="s">
        <v>3608</v>
      </c>
    </row>
    <row r="3115" spans="1:1" x14ac:dyDescent="0.25">
      <c r="A3115" s="98" t="s">
        <v>3609</v>
      </c>
    </row>
    <row r="3116" spans="1:1" x14ac:dyDescent="0.25">
      <c r="A3116" s="98" t="s">
        <v>3610</v>
      </c>
    </row>
    <row r="3117" spans="1:1" x14ac:dyDescent="0.25">
      <c r="A3117" s="98" t="s">
        <v>3611</v>
      </c>
    </row>
    <row r="3118" spans="1:1" x14ac:dyDescent="0.25">
      <c r="A3118" s="98" t="s">
        <v>3612</v>
      </c>
    </row>
    <row r="3119" spans="1:1" x14ac:dyDescent="0.25">
      <c r="A3119" s="96" t="s">
        <v>3613</v>
      </c>
    </row>
    <row r="3120" spans="1:1" x14ac:dyDescent="0.25">
      <c r="A3120" s="96" t="s">
        <v>3614</v>
      </c>
    </row>
    <row r="3121" spans="1:1" x14ac:dyDescent="0.25">
      <c r="A3121" s="98" t="s">
        <v>3615</v>
      </c>
    </row>
    <row r="3122" spans="1:1" x14ac:dyDescent="0.25">
      <c r="A3122" s="96" t="s">
        <v>3616</v>
      </c>
    </row>
    <row r="3123" spans="1:1" x14ac:dyDescent="0.25">
      <c r="A3123" s="98" t="s">
        <v>3617</v>
      </c>
    </row>
    <row r="3124" spans="1:1" x14ac:dyDescent="0.25">
      <c r="A3124" s="98" t="s">
        <v>3618</v>
      </c>
    </row>
    <row r="3125" spans="1:1" x14ac:dyDescent="0.25">
      <c r="A3125" s="98" t="s">
        <v>3619</v>
      </c>
    </row>
    <row r="3126" spans="1:1" x14ac:dyDescent="0.25">
      <c r="A3126" s="98" t="s">
        <v>3620</v>
      </c>
    </row>
    <row r="3127" spans="1:1" x14ac:dyDescent="0.25">
      <c r="A3127" s="98" t="s">
        <v>3621</v>
      </c>
    </row>
    <row r="3128" spans="1:1" x14ac:dyDescent="0.25">
      <c r="A3128" s="96" t="s">
        <v>3622</v>
      </c>
    </row>
    <row r="3129" spans="1:1" x14ac:dyDescent="0.25">
      <c r="A3129" s="96" t="s">
        <v>3623</v>
      </c>
    </row>
    <row r="3130" spans="1:1" x14ac:dyDescent="0.25">
      <c r="A3130" s="98" t="s">
        <v>3624</v>
      </c>
    </row>
    <row r="3131" spans="1:1" x14ac:dyDescent="0.25">
      <c r="A3131" s="96" t="s">
        <v>3625</v>
      </c>
    </row>
    <row r="3132" spans="1:1" x14ac:dyDescent="0.25">
      <c r="A3132" s="98" t="s">
        <v>3626</v>
      </c>
    </row>
    <row r="3133" spans="1:1" x14ac:dyDescent="0.25">
      <c r="A3133" s="98" t="s">
        <v>3627</v>
      </c>
    </row>
    <row r="3134" spans="1:1" x14ac:dyDescent="0.25">
      <c r="A3134" s="98" t="s">
        <v>3628</v>
      </c>
    </row>
    <row r="3135" spans="1:1" x14ac:dyDescent="0.25">
      <c r="A3135" s="98" t="s">
        <v>3629</v>
      </c>
    </row>
    <row r="3136" spans="1:1" x14ac:dyDescent="0.25">
      <c r="A3136" s="98" t="s">
        <v>3630</v>
      </c>
    </row>
    <row r="3137" spans="1:1" x14ac:dyDescent="0.25">
      <c r="A3137" s="96" t="s">
        <v>3631</v>
      </c>
    </row>
    <row r="3138" spans="1:1" x14ac:dyDescent="0.25">
      <c r="A3138" s="96" t="s">
        <v>3632</v>
      </c>
    </row>
    <row r="3139" spans="1:1" x14ac:dyDescent="0.25">
      <c r="A3139" s="98" t="s">
        <v>3633</v>
      </c>
    </row>
    <row r="3140" spans="1:1" x14ac:dyDescent="0.25">
      <c r="A3140" s="96" t="s">
        <v>3634</v>
      </c>
    </row>
    <row r="3141" spans="1:1" x14ac:dyDescent="0.25">
      <c r="A3141" s="98" t="s">
        <v>3635</v>
      </c>
    </row>
    <row r="3142" spans="1:1" x14ac:dyDescent="0.25">
      <c r="A3142" s="98" t="s">
        <v>3636</v>
      </c>
    </row>
    <row r="3143" spans="1:1" x14ac:dyDescent="0.25">
      <c r="A3143" s="98" t="s">
        <v>3637</v>
      </c>
    </row>
    <row r="3144" spans="1:1" x14ac:dyDescent="0.25">
      <c r="A3144" s="98" t="s">
        <v>3638</v>
      </c>
    </row>
    <row r="3145" spans="1:1" x14ac:dyDescent="0.25">
      <c r="A3145" s="98" t="s">
        <v>3639</v>
      </c>
    </row>
    <row r="3146" spans="1:1" x14ac:dyDescent="0.25">
      <c r="A3146" s="96" t="s">
        <v>3640</v>
      </c>
    </row>
    <row r="3147" spans="1:1" x14ac:dyDescent="0.25">
      <c r="A3147" s="96" t="s">
        <v>3641</v>
      </c>
    </row>
    <row r="3148" spans="1:1" x14ac:dyDescent="0.25">
      <c r="A3148" s="98" t="s">
        <v>3642</v>
      </c>
    </row>
    <row r="3149" spans="1:1" x14ac:dyDescent="0.25">
      <c r="A3149" s="96" t="s">
        <v>3643</v>
      </c>
    </row>
    <row r="3150" spans="1:1" x14ac:dyDescent="0.25">
      <c r="A3150" s="98" t="s">
        <v>3644</v>
      </c>
    </row>
    <row r="3151" spans="1:1" x14ac:dyDescent="0.25">
      <c r="A3151" s="98" t="s">
        <v>3645</v>
      </c>
    </row>
    <row r="3152" spans="1:1" x14ac:dyDescent="0.25">
      <c r="A3152" s="98" t="s">
        <v>3646</v>
      </c>
    </row>
    <row r="3153" spans="1:1" x14ac:dyDescent="0.25">
      <c r="A3153" s="98" t="s">
        <v>3647</v>
      </c>
    </row>
    <row r="3154" spans="1:1" x14ac:dyDescent="0.25">
      <c r="A3154" s="98" t="s">
        <v>3648</v>
      </c>
    </row>
    <row r="3155" spans="1:1" x14ac:dyDescent="0.25">
      <c r="A3155" s="96" t="s">
        <v>3649</v>
      </c>
    </row>
    <row r="3156" spans="1:1" x14ac:dyDescent="0.25">
      <c r="A3156" s="96" t="s">
        <v>3650</v>
      </c>
    </row>
    <row r="3157" spans="1:1" x14ac:dyDescent="0.25">
      <c r="A3157" s="98" t="s">
        <v>3651</v>
      </c>
    </row>
    <row r="3158" spans="1:1" x14ac:dyDescent="0.25">
      <c r="A3158" s="96" t="s">
        <v>3652</v>
      </c>
    </row>
    <row r="3159" spans="1:1" x14ac:dyDescent="0.25">
      <c r="A3159" s="98" t="s">
        <v>3653</v>
      </c>
    </row>
    <row r="3160" spans="1:1" x14ac:dyDescent="0.25">
      <c r="A3160" s="98" t="s">
        <v>3654</v>
      </c>
    </row>
    <row r="3161" spans="1:1" x14ac:dyDescent="0.25">
      <c r="A3161" s="98" t="s">
        <v>3655</v>
      </c>
    </row>
    <row r="3162" spans="1:1" x14ac:dyDescent="0.25">
      <c r="A3162" s="98" t="s">
        <v>3656</v>
      </c>
    </row>
    <row r="3163" spans="1:1" x14ac:dyDescent="0.25">
      <c r="A3163" s="98" t="s">
        <v>3657</v>
      </c>
    </row>
    <row r="3164" spans="1:1" x14ac:dyDescent="0.25">
      <c r="A3164" s="96" t="s">
        <v>3658</v>
      </c>
    </row>
    <row r="3165" spans="1:1" x14ac:dyDescent="0.25">
      <c r="A3165" s="96" t="s">
        <v>3659</v>
      </c>
    </row>
    <row r="3166" spans="1:1" x14ac:dyDescent="0.25">
      <c r="A3166" s="98" t="s">
        <v>3660</v>
      </c>
    </row>
    <row r="3167" spans="1:1" x14ac:dyDescent="0.25">
      <c r="A3167" s="96" t="s">
        <v>3661</v>
      </c>
    </row>
    <row r="3168" spans="1:1" x14ac:dyDescent="0.25">
      <c r="A3168" s="98" t="s">
        <v>3662</v>
      </c>
    </row>
    <row r="3169" spans="1:1" x14ac:dyDescent="0.25">
      <c r="A3169" s="98" t="s">
        <v>3663</v>
      </c>
    </row>
    <row r="3170" spans="1:1" x14ac:dyDescent="0.25">
      <c r="A3170" s="98" t="s">
        <v>3664</v>
      </c>
    </row>
    <row r="3171" spans="1:1" x14ac:dyDescent="0.25">
      <c r="A3171" s="98" t="s">
        <v>3665</v>
      </c>
    </row>
    <row r="3172" spans="1:1" x14ac:dyDescent="0.25">
      <c r="A3172" s="98" t="s">
        <v>3666</v>
      </c>
    </row>
    <row r="3173" spans="1:1" x14ac:dyDescent="0.25">
      <c r="A3173" s="96" t="s">
        <v>3667</v>
      </c>
    </row>
    <row r="3174" spans="1:1" x14ac:dyDescent="0.25">
      <c r="A3174" s="96" t="s">
        <v>3668</v>
      </c>
    </row>
    <row r="3175" spans="1:1" x14ac:dyDescent="0.25">
      <c r="A3175" s="98" t="s">
        <v>3669</v>
      </c>
    </row>
    <row r="3176" spans="1:1" x14ac:dyDescent="0.25">
      <c r="A3176" s="96" t="s">
        <v>3670</v>
      </c>
    </row>
    <row r="3177" spans="1:1" x14ac:dyDescent="0.25">
      <c r="A3177" s="98" t="s">
        <v>3671</v>
      </c>
    </row>
    <row r="3178" spans="1:1" x14ac:dyDescent="0.25">
      <c r="A3178" s="98" t="s">
        <v>3672</v>
      </c>
    </row>
    <row r="3179" spans="1:1" x14ac:dyDescent="0.25">
      <c r="A3179" s="98" t="s">
        <v>3673</v>
      </c>
    </row>
    <row r="3180" spans="1:1" x14ac:dyDescent="0.25">
      <c r="A3180" s="98" t="s">
        <v>3674</v>
      </c>
    </row>
    <row r="3181" spans="1:1" x14ac:dyDescent="0.25">
      <c r="A3181" s="98" t="s">
        <v>3675</v>
      </c>
    </row>
    <row r="3182" spans="1:1" x14ac:dyDescent="0.25">
      <c r="A3182" s="96" t="s">
        <v>3676</v>
      </c>
    </row>
    <row r="3183" spans="1:1" x14ac:dyDescent="0.25">
      <c r="A3183" s="96" t="s">
        <v>3677</v>
      </c>
    </row>
    <row r="3184" spans="1:1" x14ac:dyDescent="0.25">
      <c r="A3184" s="98" t="s">
        <v>3678</v>
      </c>
    </row>
    <row r="3185" spans="1:1" x14ac:dyDescent="0.25">
      <c r="A3185" s="96" t="s">
        <v>3679</v>
      </c>
    </row>
    <row r="3186" spans="1:1" x14ac:dyDescent="0.25">
      <c r="A3186" s="98" t="s">
        <v>3680</v>
      </c>
    </row>
    <row r="3187" spans="1:1" x14ac:dyDescent="0.25">
      <c r="A3187" s="98" t="s">
        <v>3681</v>
      </c>
    </row>
    <row r="3188" spans="1:1" x14ac:dyDescent="0.25">
      <c r="A3188" s="26" t="s">
        <v>3682</v>
      </c>
    </row>
    <row r="3189" spans="1:1" x14ac:dyDescent="0.25">
      <c r="A3189" s="26" t="s">
        <v>3683</v>
      </c>
    </row>
    <row r="3190" spans="1:1" x14ac:dyDescent="0.25">
      <c r="A3190" s="96" t="s">
        <v>3684</v>
      </c>
    </row>
    <row r="3191" spans="1:1" x14ac:dyDescent="0.25">
      <c r="A3191" s="98" t="s">
        <v>3685</v>
      </c>
    </row>
    <row r="3192" spans="1:1" x14ac:dyDescent="0.25">
      <c r="A3192" s="96" t="s">
        <v>3686</v>
      </c>
    </row>
    <row r="3193" spans="1:1" x14ac:dyDescent="0.25">
      <c r="A3193" s="98" t="s">
        <v>3687</v>
      </c>
    </row>
    <row r="3194" spans="1:1" x14ac:dyDescent="0.25">
      <c r="A3194" s="98" t="s">
        <v>3688</v>
      </c>
    </row>
    <row r="3195" spans="1:1" x14ac:dyDescent="0.25">
      <c r="A3195" s="98" t="s">
        <v>3689</v>
      </c>
    </row>
    <row r="3196" spans="1:1" x14ac:dyDescent="0.25">
      <c r="A3196" s="96" t="s">
        <v>3690</v>
      </c>
    </row>
    <row r="3197" spans="1:1" x14ac:dyDescent="0.25">
      <c r="A3197" s="98" t="s">
        <v>3691</v>
      </c>
    </row>
    <row r="3198" spans="1:1" x14ac:dyDescent="0.25">
      <c r="A3198" s="96" t="s">
        <v>3692</v>
      </c>
    </row>
    <row r="3199" spans="1:1" x14ac:dyDescent="0.25">
      <c r="A3199" s="96" t="s">
        <v>3693</v>
      </c>
    </row>
    <row r="3200" spans="1:1" x14ac:dyDescent="0.25">
      <c r="A3200" s="96" t="s">
        <v>3694</v>
      </c>
    </row>
    <row r="3201" spans="1:1" x14ac:dyDescent="0.25">
      <c r="A3201" s="96" t="s">
        <v>3695</v>
      </c>
    </row>
    <row r="3202" spans="1:1" x14ac:dyDescent="0.25">
      <c r="A3202" s="96" t="s">
        <v>3696</v>
      </c>
    </row>
    <row r="3203" spans="1:1" x14ac:dyDescent="0.25">
      <c r="A3203" s="98" t="s">
        <v>3697</v>
      </c>
    </row>
    <row r="3204" spans="1:1" x14ac:dyDescent="0.25">
      <c r="A3204" s="96" t="s">
        <v>3698</v>
      </c>
    </row>
    <row r="3205" spans="1:1" x14ac:dyDescent="0.25">
      <c r="A3205" s="98" t="s">
        <v>3699</v>
      </c>
    </row>
    <row r="3206" spans="1:1" x14ac:dyDescent="0.25">
      <c r="A3206" s="96" t="s">
        <v>3700</v>
      </c>
    </row>
    <row r="3207" spans="1:1" x14ac:dyDescent="0.25">
      <c r="A3207" s="26" t="s">
        <v>3701</v>
      </c>
    </row>
    <row r="3208" spans="1:1" x14ac:dyDescent="0.25">
      <c r="A3208" s="98" t="s">
        <v>3702</v>
      </c>
    </row>
    <row r="3209" spans="1:1" x14ac:dyDescent="0.25">
      <c r="A3209" s="96" t="s">
        <v>3703</v>
      </c>
    </row>
    <row r="3210" spans="1:1" x14ac:dyDescent="0.25">
      <c r="A3210" s="98" t="s">
        <v>3704</v>
      </c>
    </row>
    <row r="3211" spans="1:1" x14ac:dyDescent="0.25">
      <c r="A3211" s="98" t="s">
        <v>3705</v>
      </c>
    </row>
    <row r="3212" spans="1:1" x14ac:dyDescent="0.25">
      <c r="A3212" s="26" t="s">
        <v>3706</v>
      </c>
    </row>
    <row r="3213" spans="1:1" x14ac:dyDescent="0.25">
      <c r="A3213" s="26" t="s">
        <v>3707</v>
      </c>
    </row>
    <row r="3214" spans="1:1" x14ac:dyDescent="0.25">
      <c r="A3214" s="26" t="s">
        <v>3708</v>
      </c>
    </row>
    <row r="3215" spans="1:1" x14ac:dyDescent="0.25">
      <c r="A3215" s="98" t="s">
        <v>3709</v>
      </c>
    </row>
    <row r="3216" spans="1:1" x14ac:dyDescent="0.25">
      <c r="A3216" s="96" t="s">
        <v>3710</v>
      </c>
    </row>
    <row r="3217" spans="1:1" x14ac:dyDescent="0.25">
      <c r="A3217" s="98" t="s">
        <v>3711</v>
      </c>
    </row>
    <row r="3218" spans="1:1" x14ac:dyDescent="0.25">
      <c r="A3218" s="98" t="s">
        <v>3712</v>
      </c>
    </row>
    <row r="3219" spans="1:1" x14ac:dyDescent="0.25">
      <c r="A3219" s="26" t="s">
        <v>3713</v>
      </c>
    </row>
    <row r="3220" spans="1:1" x14ac:dyDescent="0.25">
      <c r="A3220" s="26" t="s">
        <v>3714</v>
      </c>
    </row>
    <row r="3221" spans="1:1" x14ac:dyDescent="0.25">
      <c r="A3221" s="26" t="s">
        <v>3715</v>
      </c>
    </row>
    <row r="3222" spans="1:1" x14ac:dyDescent="0.25">
      <c r="A3222" s="96" t="s">
        <v>3716</v>
      </c>
    </row>
    <row r="3223" spans="1:1" x14ac:dyDescent="0.25">
      <c r="A3223" s="98" t="s">
        <v>3717</v>
      </c>
    </row>
    <row r="3224" spans="1:1" x14ac:dyDescent="0.25">
      <c r="A3224" s="96" t="s">
        <v>3718</v>
      </c>
    </row>
    <row r="3225" spans="1:1" x14ac:dyDescent="0.25">
      <c r="A3225" s="98" t="s">
        <v>3719</v>
      </c>
    </row>
    <row r="3226" spans="1:1" x14ac:dyDescent="0.25">
      <c r="A3226" s="98" t="s">
        <v>3720</v>
      </c>
    </row>
    <row r="3227" spans="1:1" x14ac:dyDescent="0.25">
      <c r="A3227" s="98" t="s">
        <v>3721</v>
      </c>
    </row>
    <row r="3228" spans="1:1" x14ac:dyDescent="0.25">
      <c r="A3228" s="96" t="s">
        <v>3722</v>
      </c>
    </row>
    <row r="3229" spans="1:1" x14ac:dyDescent="0.25">
      <c r="A3229" s="98" t="s">
        <v>3723</v>
      </c>
    </row>
    <row r="3230" spans="1:1" x14ac:dyDescent="0.25">
      <c r="A3230" s="96" t="s">
        <v>3724</v>
      </c>
    </row>
    <row r="3231" spans="1:1" x14ac:dyDescent="0.25">
      <c r="A3231" s="96" t="s">
        <v>3725</v>
      </c>
    </row>
    <row r="3232" spans="1:1" x14ac:dyDescent="0.25">
      <c r="A3232" s="26" t="s">
        <v>3726</v>
      </c>
    </row>
    <row r="3233" spans="1:1" x14ac:dyDescent="0.25">
      <c r="A3233" s="96" t="s">
        <v>3727</v>
      </c>
    </row>
    <row r="3234" spans="1:1" x14ac:dyDescent="0.25">
      <c r="A3234" s="98" t="s">
        <v>3728</v>
      </c>
    </row>
    <row r="3235" spans="1:1" x14ac:dyDescent="0.25">
      <c r="A3235" s="96" t="s">
        <v>3729</v>
      </c>
    </row>
    <row r="3236" spans="1:1" x14ac:dyDescent="0.25">
      <c r="A3236" s="98" t="s">
        <v>3730</v>
      </c>
    </row>
    <row r="3237" spans="1:1" x14ac:dyDescent="0.25">
      <c r="A3237" s="98" t="s">
        <v>3731</v>
      </c>
    </row>
    <row r="3238" spans="1:1" x14ac:dyDescent="0.25">
      <c r="A3238" s="98" t="s">
        <v>3732</v>
      </c>
    </row>
    <row r="3239" spans="1:1" x14ac:dyDescent="0.25">
      <c r="A3239" s="96" t="s">
        <v>3733</v>
      </c>
    </row>
    <row r="3240" spans="1:1" x14ac:dyDescent="0.25">
      <c r="A3240" s="98" t="s">
        <v>3734</v>
      </c>
    </row>
    <row r="3241" spans="1:1" x14ac:dyDescent="0.25">
      <c r="A3241" s="98" t="s">
        <v>3735</v>
      </c>
    </row>
    <row r="3242" spans="1:1" x14ac:dyDescent="0.25">
      <c r="A3242" s="98" t="s">
        <v>3736</v>
      </c>
    </row>
    <row r="3243" spans="1:1" x14ac:dyDescent="0.25">
      <c r="A3243" s="98" t="s">
        <v>3737</v>
      </c>
    </row>
    <row r="3244" spans="1:1" x14ac:dyDescent="0.25">
      <c r="A3244" s="96" t="s">
        <v>3738</v>
      </c>
    </row>
    <row r="3245" spans="1:1" x14ac:dyDescent="0.25">
      <c r="A3245" s="96" t="s">
        <v>3739</v>
      </c>
    </row>
    <row r="3246" spans="1:1" x14ac:dyDescent="0.25">
      <c r="A3246" s="98" t="s">
        <v>3740</v>
      </c>
    </row>
    <row r="3247" spans="1:1" x14ac:dyDescent="0.25">
      <c r="A3247" s="96" t="s">
        <v>3741</v>
      </c>
    </row>
    <row r="3248" spans="1:1" x14ac:dyDescent="0.25">
      <c r="A3248" s="98" t="s">
        <v>3742</v>
      </c>
    </row>
    <row r="3249" spans="1:1" x14ac:dyDescent="0.25">
      <c r="A3249" s="98" t="s">
        <v>3743</v>
      </c>
    </row>
    <row r="3250" spans="1:1" x14ac:dyDescent="0.25">
      <c r="A3250" s="98" t="s">
        <v>3744</v>
      </c>
    </row>
    <row r="3251" spans="1:1" x14ac:dyDescent="0.25">
      <c r="A3251" s="98" t="s">
        <v>3745</v>
      </c>
    </row>
    <row r="3252" spans="1:1" x14ac:dyDescent="0.25">
      <c r="A3252" s="98" t="s">
        <v>3746</v>
      </c>
    </row>
    <row r="3253" spans="1:1" x14ac:dyDescent="0.25">
      <c r="A3253" s="96" t="s">
        <v>3747</v>
      </c>
    </row>
    <row r="3254" spans="1:1" x14ac:dyDescent="0.25">
      <c r="A3254" s="96" t="s">
        <v>3748</v>
      </c>
    </row>
    <row r="3255" spans="1:1" x14ac:dyDescent="0.25">
      <c r="A3255" s="98" t="s">
        <v>3749</v>
      </c>
    </row>
    <row r="3256" spans="1:1" x14ac:dyDescent="0.25">
      <c r="A3256" s="96" t="s">
        <v>3750</v>
      </c>
    </row>
    <row r="3257" spans="1:1" x14ac:dyDescent="0.25">
      <c r="A3257" s="98" t="s">
        <v>3751</v>
      </c>
    </row>
    <row r="3258" spans="1:1" x14ac:dyDescent="0.25">
      <c r="A3258" s="98" t="s">
        <v>3752</v>
      </c>
    </row>
    <row r="3259" spans="1:1" x14ac:dyDescent="0.25">
      <c r="A3259" s="98" t="s">
        <v>3753</v>
      </c>
    </row>
    <row r="3260" spans="1:1" x14ac:dyDescent="0.25">
      <c r="A3260" s="98" t="s">
        <v>3754</v>
      </c>
    </row>
    <row r="3261" spans="1:1" x14ac:dyDescent="0.25">
      <c r="A3261" s="98" t="s">
        <v>3755</v>
      </c>
    </row>
    <row r="3262" spans="1:1" x14ac:dyDescent="0.25">
      <c r="A3262" s="96" t="s">
        <v>3756</v>
      </c>
    </row>
    <row r="3263" spans="1:1" x14ac:dyDescent="0.25">
      <c r="A3263" s="96" t="s">
        <v>3757</v>
      </c>
    </row>
    <row r="3264" spans="1:1" x14ac:dyDescent="0.25">
      <c r="A3264" s="98" t="s">
        <v>3758</v>
      </c>
    </row>
    <row r="3265" spans="1:1" x14ac:dyDescent="0.25">
      <c r="A3265" s="96" t="s">
        <v>3759</v>
      </c>
    </row>
    <row r="3266" spans="1:1" x14ac:dyDescent="0.25">
      <c r="A3266" s="98" t="s">
        <v>3760</v>
      </c>
    </row>
    <row r="3267" spans="1:1" x14ac:dyDescent="0.25">
      <c r="A3267" s="98" t="s">
        <v>3761</v>
      </c>
    </row>
    <row r="3268" spans="1:1" x14ac:dyDescent="0.25">
      <c r="A3268" s="98" t="s">
        <v>3762</v>
      </c>
    </row>
    <row r="3269" spans="1:1" x14ac:dyDescent="0.25">
      <c r="A3269" s="98" t="s">
        <v>3763</v>
      </c>
    </row>
    <row r="3270" spans="1:1" x14ac:dyDescent="0.25">
      <c r="A3270" s="98" t="s">
        <v>3764</v>
      </c>
    </row>
    <row r="3271" spans="1:1" x14ac:dyDescent="0.25">
      <c r="A3271" s="96" t="s">
        <v>3765</v>
      </c>
    </row>
    <row r="3272" spans="1:1" x14ac:dyDescent="0.25">
      <c r="A3272" s="96" t="s">
        <v>3766</v>
      </c>
    </row>
    <row r="3273" spans="1:1" x14ac:dyDescent="0.25">
      <c r="A3273" s="98" t="s">
        <v>3767</v>
      </c>
    </row>
    <row r="3274" spans="1:1" x14ac:dyDescent="0.25">
      <c r="A3274" s="96" t="s">
        <v>3768</v>
      </c>
    </row>
    <row r="3275" spans="1:1" x14ac:dyDescent="0.25">
      <c r="A3275" s="98" t="s">
        <v>3769</v>
      </c>
    </row>
    <row r="3276" spans="1:1" x14ac:dyDescent="0.25">
      <c r="A3276" s="98" t="s">
        <v>3770</v>
      </c>
    </row>
    <row r="3277" spans="1:1" x14ac:dyDescent="0.25">
      <c r="A3277" s="98" t="s">
        <v>3771</v>
      </c>
    </row>
    <row r="3278" spans="1:1" x14ac:dyDescent="0.25">
      <c r="A3278" s="98" t="s">
        <v>3772</v>
      </c>
    </row>
    <row r="3279" spans="1:1" x14ac:dyDescent="0.25">
      <c r="A3279" s="98" t="s">
        <v>3773</v>
      </c>
    </row>
    <row r="3280" spans="1:1" x14ac:dyDescent="0.25">
      <c r="A3280" s="96" t="s">
        <v>3774</v>
      </c>
    </row>
    <row r="3281" spans="1:1" x14ac:dyDescent="0.25">
      <c r="A3281" s="96" t="s">
        <v>3775</v>
      </c>
    </row>
    <row r="3282" spans="1:1" x14ac:dyDescent="0.25">
      <c r="A3282" s="98" t="s">
        <v>3776</v>
      </c>
    </row>
    <row r="3283" spans="1:1" x14ac:dyDescent="0.25">
      <c r="A3283" s="96" t="s">
        <v>3777</v>
      </c>
    </row>
    <row r="3284" spans="1:1" x14ac:dyDescent="0.25">
      <c r="A3284" s="98" t="s">
        <v>3778</v>
      </c>
    </row>
    <row r="3285" spans="1:1" x14ac:dyDescent="0.25">
      <c r="A3285" s="98" t="s">
        <v>3779</v>
      </c>
    </row>
    <row r="3286" spans="1:1" x14ac:dyDescent="0.25">
      <c r="A3286" s="98" t="s">
        <v>3780</v>
      </c>
    </row>
    <row r="3287" spans="1:1" x14ac:dyDescent="0.25">
      <c r="A3287" s="98" t="s">
        <v>3781</v>
      </c>
    </row>
    <row r="3288" spans="1:1" x14ac:dyDescent="0.25">
      <c r="A3288" s="98" t="s">
        <v>3782</v>
      </c>
    </row>
    <row r="3289" spans="1:1" x14ac:dyDescent="0.25">
      <c r="A3289" s="96" t="s">
        <v>3783</v>
      </c>
    </row>
    <row r="3290" spans="1:1" x14ac:dyDescent="0.25">
      <c r="A3290" s="96" t="s">
        <v>3784</v>
      </c>
    </row>
    <row r="3291" spans="1:1" x14ac:dyDescent="0.25">
      <c r="A3291" s="98" t="s">
        <v>3785</v>
      </c>
    </row>
    <row r="3292" spans="1:1" x14ac:dyDescent="0.25">
      <c r="A3292" s="96" t="s">
        <v>3786</v>
      </c>
    </row>
    <row r="3293" spans="1:1" x14ac:dyDescent="0.25">
      <c r="A3293" s="98" t="s">
        <v>3787</v>
      </c>
    </row>
    <row r="3294" spans="1:1" x14ac:dyDescent="0.25">
      <c r="A3294" s="98" t="s">
        <v>3788</v>
      </c>
    </row>
    <row r="3295" spans="1:1" x14ac:dyDescent="0.25">
      <c r="A3295" s="98" t="s">
        <v>3789</v>
      </c>
    </row>
    <row r="3296" spans="1:1" x14ac:dyDescent="0.25">
      <c r="A3296" s="98" t="s">
        <v>3790</v>
      </c>
    </row>
    <row r="3297" spans="1:1" x14ac:dyDescent="0.25">
      <c r="A3297" s="98" t="s">
        <v>3791</v>
      </c>
    </row>
    <row r="3298" spans="1:1" x14ac:dyDescent="0.25">
      <c r="A3298" s="96" t="s">
        <v>3792</v>
      </c>
    </row>
    <row r="3299" spans="1:1" x14ac:dyDescent="0.25">
      <c r="A3299" s="96" t="s">
        <v>3793</v>
      </c>
    </row>
    <row r="3300" spans="1:1" x14ac:dyDescent="0.25">
      <c r="A3300" s="98" t="s">
        <v>3794</v>
      </c>
    </row>
    <row r="3301" spans="1:1" x14ac:dyDescent="0.25">
      <c r="A3301" s="96" t="s">
        <v>3795</v>
      </c>
    </row>
    <row r="3302" spans="1:1" x14ac:dyDescent="0.25">
      <c r="A3302" s="98" t="s">
        <v>3796</v>
      </c>
    </row>
    <row r="3303" spans="1:1" x14ac:dyDescent="0.25">
      <c r="A3303" s="98" t="s">
        <v>3797</v>
      </c>
    </row>
    <row r="3304" spans="1:1" x14ac:dyDescent="0.25">
      <c r="A3304" s="98" t="s">
        <v>3798</v>
      </c>
    </row>
    <row r="3305" spans="1:1" x14ac:dyDescent="0.25">
      <c r="A3305" s="98" t="s">
        <v>3799</v>
      </c>
    </row>
    <row r="3306" spans="1:1" x14ac:dyDescent="0.25">
      <c r="A3306" s="98" t="s">
        <v>3800</v>
      </c>
    </row>
    <row r="3307" spans="1:1" x14ac:dyDescent="0.25">
      <c r="A3307" s="96" t="s">
        <v>3801</v>
      </c>
    </row>
    <row r="3308" spans="1:1" x14ac:dyDescent="0.25">
      <c r="A3308" s="96" t="s">
        <v>3802</v>
      </c>
    </row>
    <row r="3309" spans="1:1" x14ac:dyDescent="0.25">
      <c r="A3309" s="98" t="s">
        <v>3803</v>
      </c>
    </row>
    <row r="3310" spans="1:1" x14ac:dyDescent="0.25">
      <c r="A3310" s="96" t="s">
        <v>3804</v>
      </c>
    </row>
    <row r="3311" spans="1:1" x14ac:dyDescent="0.25">
      <c r="A3311" s="98" t="s">
        <v>3805</v>
      </c>
    </row>
    <row r="3312" spans="1:1" x14ac:dyDescent="0.25">
      <c r="A3312" s="98" t="s">
        <v>3806</v>
      </c>
    </row>
    <row r="3313" spans="1:1" x14ac:dyDescent="0.25">
      <c r="A3313" s="98" t="s">
        <v>3807</v>
      </c>
    </row>
    <row r="3314" spans="1:1" x14ac:dyDescent="0.25">
      <c r="A3314" s="98" t="s">
        <v>3808</v>
      </c>
    </row>
    <row r="3315" spans="1:1" x14ac:dyDescent="0.25">
      <c r="A3315" s="98" t="s">
        <v>3809</v>
      </c>
    </row>
    <row r="3316" spans="1:1" x14ac:dyDescent="0.25">
      <c r="A3316" s="96" t="s">
        <v>3810</v>
      </c>
    </row>
    <row r="3317" spans="1:1" x14ac:dyDescent="0.25">
      <c r="A3317" s="96" t="s">
        <v>3811</v>
      </c>
    </row>
    <row r="3318" spans="1:1" x14ac:dyDescent="0.25">
      <c r="A3318" s="98" t="s">
        <v>3812</v>
      </c>
    </row>
    <row r="3319" spans="1:1" x14ac:dyDescent="0.25">
      <c r="A3319" s="96" t="s">
        <v>3813</v>
      </c>
    </row>
    <row r="3320" spans="1:1" x14ac:dyDescent="0.25">
      <c r="A3320" s="98" t="s">
        <v>3814</v>
      </c>
    </row>
    <row r="3321" spans="1:1" x14ac:dyDescent="0.25">
      <c r="A3321" s="98" t="s">
        <v>3815</v>
      </c>
    </row>
    <row r="3322" spans="1:1" x14ac:dyDescent="0.25">
      <c r="A3322" s="98" t="s">
        <v>3816</v>
      </c>
    </row>
    <row r="3323" spans="1:1" x14ac:dyDescent="0.25">
      <c r="A3323" s="98" t="s">
        <v>3817</v>
      </c>
    </row>
    <row r="3324" spans="1:1" x14ac:dyDescent="0.25">
      <c r="A3324" s="98" t="s">
        <v>3818</v>
      </c>
    </row>
    <row r="3325" spans="1:1" x14ac:dyDescent="0.25">
      <c r="A3325" s="96" t="s">
        <v>3819</v>
      </c>
    </row>
    <row r="3326" spans="1:1" x14ac:dyDescent="0.25">
      <c r="A3326" s="96" t="s">
        <v>3820</v>
      </c>
    </row>
    <row r="3327" spans="1:1" x14ac:dyDescent="0.25">
      <c r="A3327" s="98" t="s">
        <v>3821</v>
      </c>
    </row>
    <row r="3328" spans="1:1" x14ac:dyDescent="0.25">
      <c r="A3328" s="96" t="s">
        <v>3822</v>
      </c>
    </row>
    <row r="3329" spans="1:1" x14ac:dyDescent="0.25">
      <c r="A3329" s="98" t="s">
        <v>3823</v>
      </c>
    </row>
    <row r="3330" spans="1:1" x14ac:dyDescent="0.25">
      <c r="A3330" s="98" t="s">
        <v>3824</v>
      </c>
    </row>
    <row r="3331" spans="1:1" x14ac:dyDescent="0.25">
      <c r="A3331" s="98" t="s">
        <v>3825</v>
      </c>
    </row>
    <row r="3332" spans="1:1" x14ac:dyDescent="0.25">
      <c r="A3332" s="96" t="s">
        <v>3826</v>
      </c>
    </row>
    <row r="3333" spans="1:1" x14ac:dyDescent="0.25">
      <c r="A3333" s="98" t="s">
        <v>3827</v>
      </c>
    </row>
    <row r="3334" spans="1:1" x14ac:dyDescent="0.25">
      <c r="A3334" s="98" t="s">
        <v>3828</v>
      </c>
    </row>
    <row r="3335" spans="1:1" x14ac:dyDescent="0.25">
      <c r="A3335" s="96" t="s">
        <v>3829</v>
      </c>
    </row>
    <row r="3336" spans="1:1" x14ac:dyDescent="0.25">
      <c r="A3336" s="98" t="s">
        <v>3830</v>
      </c>
    </row>
    <row r="3337" spans="1:1" x14ac:dyDescent="0.25">
      <c r="A3337" s="98" t="s">
        <v>3831</v>
      </c>
    </row>
    <row r="3338" spans="1:1" x14ac:dyDescent="0.25">
      <c r="A3338" s="96" t="s">
        <v>3832</v>
      </c>
    </row>
    <row r="3339" spans="1:1" x14ac:dyDescent="0.25">
      <c r="A3339" s="98" t="s">
        <v>3833</v>
      </c>
    </row>
    <row r="3340" spans="1:1" x14ac:dyDescent="0.25">
      <c r="A3340" s="98" t="s">
        <v>3834</v>
      </c>
    </row>
    <row r="3341" spans="1:1" x14ac:dyDescent="0.25">
      <c r="A3341" s="96" t="s">
        <v>3835</v>
      </c>
    </row>
    <row r="3342" spans="1:1" x14ac:dyDescent="0.25">
      <c r="A3342" s="98" t="s">
        <v>3836</v>
      </c>
    </row>
    <row r="3343" spans="1:1" x14ac:dyDescent="0.25">
      <c r="A3343" s="98" t="s">
        <v>3837</v>
      </c>
    </row>
    <row r="3344" spans="1:1" x14ac:dyDescent="0.25">
      <c r="A3344" s="96" t="s">
        <v>3838</v>
      </c>
    </row>
    <row r="3345" spans="1:1" x14ac:dyDescent="0.25">
      <c r="A3345" s="96" t="s">
        <v>3839</v>
      </c>
    </row>
    <row r="3346" spans="1:1" x14ac:dyDescent="0.25">
      <c r="A3346" s="96" t="s">
        <v>3840</v>
      </c>
    </row>
    <row r="3347" spans="1:1" x14ac:dyDescent="0.25">
      <c r="A3347" s="98" t="s">
        <v>3841</v>
      </c>
    </row>
    <row r="3348" spans="1:1" x14ac:dyDescent="0.25">
      <c r="A3348" s="26" t="s">
        <v>3842</v>
      </c>
    </row>
    <row r="3349" spans="1:1" x14ac:dyDescent="0.25">
      <c r="A3349" s="96" t="s">
        <v>3843</v>
      </c>
    </row>
    <row r="3350" spans="1:1" x14ac:dyDescent="0.25">
      <c r="A3350" s="98" t="s">
        <v>3844</v>
      </c>
    </row>
    <row r="3351" spans="1:1" x14ac:dyDescent="0.25">
      <c r="A3351" s="96" t="s">
        <v>3845</v>
      </c>
    </row>
    <row r="3352" spans="1:1" x14ac:dyDescent="0.25">
      <c r="A3352" s="98" t="s">
        <v>3846</v>
      </c>
    </row>
    <row r="3353" spans="1:1" x14ac:dyDescent="0.25">
      <c r="A3353" s="98" t="s">
        <v>3847</v>
      </c>
    </row>
    <row r="3354" spans="1:1" x14ac:dyDescent="0.25">
      <c r="A3354" s="98" t="s">
        <v>3848</v>
      </c>
    </row>
    <row r="3355" spans="1:1" x14ac:dyDescent="0.25">
      <c r="A3355" s="98" t="s">
        <v>3849</v>
      </c>
    </row>
    <row r="3356" spans="1:1" x14ac:dyDescent="0.25">
      <c r="A3356" s="96" t="s">
        <v>3850</v>
      </c>
    </row>
    <row r="3357" spans="1:1" x14ac:dyDescent="0.25">
      <c r="A3357" s="98" t="s">
        <v>3851</v>
      </c>
    </row>
    <row r="3358" spans="1:1" x14ac:dyDescent="0.25">
      <c r="A3358" s="98" t="s">
        <v>3852</v>
      </c>
    </row>
    <row r="3359" spans="1:1" x14ac:dyDescent="0.25">
      <c r="A3359" s="98" t="s">
        <v>3853</v>
      </c>
    </row>
    <row r="3360" spans="1:1" x14ac:dyDescent="0.25">
      <c r="A3360" s="98" t="s">
        <v>3854</v>
      </c>
    </row>
    <row r="3361" spans="1:1" x14ac:dyDescent="0.25">
      <c r="A3361" s="98" t="s">
        <v>3855</v>
      </c>
    </row>
    <row r="3362" spans="1:1" x14ac:dyDescent="0.25">
      <c r="A3362" s="98" t="s">
        <v>3856</v>
      </c>
    </row>
    <row r="3363" spans="1:1" x14ac:dyDescent="0.25">
      <c r="A3363" s="96" t="s">
        <v>3857</v>
      </c>
    </row>
    <row r="3364" spans="1:1" x14ac:dyDescent="0.25">
      <c r="A3364" s="98" t="s">
        <v>3858</v>
      </c>
    </row>
    <row r="3365" spans="1:1" x14ac:dyDescent="0.25">
      <c r="A3365" s="98" t="s">
        <v>3859</v>
      </c>
    </row>
    <row r="3366" spans="1:1" x14ac:dyDescent="0.25">
      <c r="A3366" s="26" t="s">
        <v>3860</v>
      </c>
    </row>
    <row r="3367" spans="1:1" x14ac:dyDescent="0.25">
      <c r="A3367" s="26" t="s">
        <v>3861</v>
      </c>
    </row>
    <row r="3368" spans="1:1" x14ac:dyDescent="0.25">
      <c r="A3368" s="26" t="s">
        <v>3862</v>
      </c>
    </row>
    <row r="3369" spans="1:1" x14ac:dyDescent="0.25">
      <c r="A3369" s="98" t="s">
        <v>3863</v>
      </c>
    </row>
    <row r="3370" spans="1:1" x14ac:dyDescent="0.25">
      <c r="A3370" s="96" t="s">
        <v>3864</v>
      </c>
    </row>
    <row r="3371" spans="1:1" x14ac:dyDescent="0.25">
      <c r="A3371" s="96" t="s">
        <v>3865</v>
      </c>
    </row>
    <row r="3372" spans="1:1" x14ac:dyDescent="0.25">
      <c r="A3372" s="96" t="s">
        <v>3866</v>
      </c>
    </row>
    <row r="3373" spans="1:1" x14ac:dyDescent="0.25">
      <c r="A3373" s="98" t="s">
        <v>3867</v>
      </c>
    </row>
    <row r="3374" spans="1:1" x14ac:dyDescent="0.25">
      <c r="A3374" s="26" t="s">
        <v>3868</v>
      </c>
    </row>
    <row r="3375" spans="1:1" x14ac:dyDescent="0.25">
      <c r="A3375" s="96" t="s">
        <v>3869</v>
      </c>
    </row>
    <row r="3376" spans="1:1" x14ac:dyDescent="0.25">
      <c r="A3376" s="98" t="s">
        <v>3870</v>
      </c>
    </row>
    <row r="3377" spans="1:1" x14ac:dyDescent="0.25">
      <c r="A3377" s="96" t="s">
        <v>3871</v>
      </c>
    </row>
    <row r="3378" spans="1:1" x14ac:dyDescent="0.25">
      <c r="A3378" s="98" t="s">
        <v>3872</v>
      </c>
    </row>
    <row r="3379" spans="1:1" x14ac:dyDescent="0.25">
      <c r="A3379" s="98" t="s">
        <v>3873</v>
      </c>
    </row>
    <row r="3380" spans="1:1" x14ac:dyDescent="0.25">
      <c r="A3380" s="98" t="s">
        <v>3874</v>
      </c>
    </row>
    <row r="3381" spans="1:1" x14ac:dyDescent="0.25">
      <c r="A3381" s="98" t="s">
        <v>3875</v>
      </c>
    </row>
    <row r="3382" spans="1:1" x14ac:dyDescent="0.25">
      <c r="A3382" s="96" t="s">
        <v>3876</v>
      </c>
    </row>
    <row r="3383" spans="1:1" x14ac:dyDescent="0.25">
      <c r="A3383" s="98" t="s">
        <v>3877</v>
      </c>
    </row>
    <row r="3384" spans="1:1" x14ac:dyDescent="0.25">
      <c r="A3384" s="98" t="s">
        <v>3878</v>
      </c>
    </row>
    <row r="3385" spans="1:1" x14ac:dyDescent="0.25">
      <c r="A3385" s="98" t="s">
        <v>3879</v>
      </c>
    </row>
    <row r="3386" spans="1:1" x14ac:dyDescent="0.25">
      <c r="A3386" s="98" t="s">
        <v>3880</v>
      </c>
    </row>
    <row r="3387" spans="1:1" x14ac:dyDescent="0.25">
      <c r="A3387" s="96" t="s">
        <v>3881</v>
      </c>
    </row>
    <row r="3388" spans="1:1" x14ac:dyDescent="0.25">
      <c r="A3388" s="98" t="s">
        <v>3882</v>
      </c>
    </row>
    <row r="3389" spans="1:1" x14ac:dyDescent="0.25">
      <c r="A3389" s="98" t="s">
        <v>3883</v>
      </c>
    </row>
    <row r="3390" spans="1:1" x14ac:dyDescent="0.25">
      <c r="A3390" s="26" t="s">
        <v>3884</v>
      </c>
    </row>
    <row r="3391" spans="1:1" x14ac:dyDescent="0.25">
      <c r="A3391" s="26" t="s">
        <v>3885</v>
      </c>
    </row>
    <row r="3392" spans="1:1" x14ac:dyDescent="0.25">
      <c r="A3392" s="26" t="s">
        <v>3886</v>
      </c>
    </row>
    <row r="3393" spans="1:1" x14ac:dyDescent="0.25">
      <c r="A3393" s="98" t="s">
        <v>3887</v>
      </c>
    </row>
    <row r="3394" spans="1:1" x14ac:dyDescent="0.25">
      <c r="A3394" s="96" t="s">
        <v>3888</v>
      </c>
    </row>
    <row r="3395" spans="1:1" x14ac:dyDescent="0.25">
      <c r="A3395" s="96" t="s">
        <v>3889</v>
      </c>
    </row>
    <row r="3396" spans="1:1" x14ac:dyDescent="0.25">
      <c r="A3396" s="96" t="s">
        <v>3890</v>
      </c>
    </row>
    <row r="3397" spans="1:1" x14ac:dyDescent="0.25">
      <c r="A3397" s="98" t="s">
        <v>3891</v>
      </c>
    </row>
    <row r="3398" spans="1:1" x14ac:dyDescent="0.25">
      <c r="A3398" s="98" t="s">
        <v>3892</v>
      </c>
    </row>
    <row r="3399" spans="1:1" x14ac:dyDescent="0.25">
      <c r="A3399" s="98" t="s">
        <v>3893</v>
      </c>
    </row>
    <row r="3400" spans="1:1" x14ac:dyDescent="0.25">
      <c r="A3400" s="26" t="s">
        <v>3894</v>
      </c>
    </row>
    <row r="3401" spans="1:1" x14ac:dyDescent="0.25">
      <c r="A3401" s="96" t="s">
        <v>3895</v>
      </c>
    </row>
    <row r="3402" spans="1:1" x14ac:dyDescent="0.25">
      <c r="A3402" s="98" t="s">
        <v>3896</v>
      </c>
    </row>
    <row r="3403" spans="1:1" x14ac:dyDescent="0.25">
      <c r="A3403" s="98" t="s">
        <v>3897</v>
      </c>
    </row>
    <row r="3404" spans="1:1" x14ac:dyDescent="0.25">
      <c r="A3404" s="98" t="s">
        <v>3898</v>
      </c>
    </row>
    <row r="3405" spans="1:1" x14ac:dyDescent="0.25">
      <c r="A3405" s="96" t="s">
        <v>3899</v>
      </c>
    </row>
    <row r="3406" spans="1:1" x14ac:dyDescent="0.25">
      <c r="A3406" s="96" t="s">
        <v>3900</v>
      </c>
    </row>
    <row r="3407" spans="1:1" x14ac:dyDescent="0.25">
      <c r="A3407" s="96" t="s">
        <v>3901</v>
      </c>
    </row>
    <row r="3408" spans="1:1" x14ac:dyDescent="0.25">
      <c r="A3408" t="s">
        <v>3904</v>
      </c>
    </row>
    <row r="3409" spans="1:1" x14ac:dyDescent="0.25">
      <c r="A3409" t="s">
        <v>3905</v>
      </c>
    </row>
    <row r="3410" spans="1:1" x14ac:dyDescent="0.25">
      <c r="A3410" s="96" t="s">
        <v>3906</v>
      </c>
    </row>
    <row r="3411" spans="1:1" x14ac:dyDescent="0.25">
      <c r="A3411" s="96" t="s">
        <v>3907</v>
      </c>
    </row>
    <row r="3412" spans="1:1" x14ac:dyDescent="0.25">
      <c r="A3412" s="96" t="s">
        <v>3908</v>
      </c>
    </row>
    <row r="3413" spans="1:1" x14ac:dyDescent="0.25">
      <c r="A3413" s="98" t="s">
        <v>3909</v>
      </c>
    </row>
    <row r="3414" spans="1:1" x14ac:dyDescent="0.25">
      <c r="A3414" s="96" t="s">
        <v>3910</v>
      </c>
    </row>
    <row r="3415" spans="1:1" x14ac:dyDescent="0.25">
      <c r="A3415" s="26" t="s">
        <v>3911</v>
      </c>
    </row>
    <row r="3416" spans="1:1" x14ac:dyDescent="0.25">
      <c r="A3416" s="98" t="s">
        <v>3912</v>
      </c>
    </row>
    <row r="3417" spans="1:1" x14ac:dyDescent="0.25">
      <c r="A3417" s="98" t="s">
        <v>3913</v>
      </c>
    </row>
    <row r="3418" spans="1:1" x14ac:dyDescent="0.25">
      <c r="A3418" s="96" t="s">
        <v>3914</v>
      </c>
    </row>
    <row r="3419" spans="1:1" x14ac:dyDescent="0.25">
      <c r="A3419" s="98" t="s">
        <v>3915</v>
      </c>
    </row>
    <row r="3420" spans="1:1" x14ac:dyDescent="0.25">
      <c r="A3420" s="96" t="s">
        <v>3916</v>
      </c>
    </row>
    <row r="3421" spans="1:1" x14ac:dyDescent="0.25">
      <c r="A3421" s="26" t="s">
        <v>3917</v>
      </c>
    </row>
    <row r="3422" spans="1:1" x14ac:dyDescent="0.25">
      <c r="A3422" s="98" t="s">
        <v>3918</v>
      </c>
    </row>
    <row r="3423" spans="1:1" x14ac:dyDescent="0.25">
      <c r="A3423" s="98" t="s">
        <v>3919</v>
      </c>
    </row>
    <row r="3424" spans="1:1" x14ac:dyDescent="0.25">
      <c r="A3424" s="96" t="s">
        <v>3920</v>
      </c>
    </row>
    <row r="3425" spans="1:1" x14ac:dyDescent="0.25">
      <c r="A3425" s="98" t="s">
        <v>3921</v>
      </c>
    </row>
    <row r="3426" spans="1:1" x14ac:dyDescent="0.25">
      <c r="A3426" s="96" t="s">
        <v>3922</v>
      </c>
    </row>
    <row r="3427" spans="1:1" x14ac:dyDescent="0.25">
      <c r="A3427" s="26" t="s">
        <v>3923</v>
      </c>
    </row>
    <row r="3428" spans="1:1" x14ac:dyDescent="0.25">
      <c r="A3428" s="98" t="s">
        <v>3924</v>
      </c>
    </row>
    <row r="3429" spans="1:1" x14ac:dyDescent="0.25">
      <c r="A3429" s="98" t="s">
        <v>3925</v>
      </c>
    </row>
    <row r="3430" spans="1:1" x14ac:dyDescent="0.25">
      <c r="A3430" s="98" t="s">
        <v>3926</v>
      </c>
    </row>
    <row r="3431" spans="1:1" x14ac:dyDescent="0.25">
      <c r="A3431" s="96" t="s">
        <v>3927</v>
      </c>
    </row>
    <row r="3432" spans="1:1" x14ac:dyDescent="0.25">
      <c r="A3432" s="96" t="s">
        <v>3928</v>
      </c>
    </row>
    <row r="3433" spans="1:1" x14ac:dyDescent="0.25">
      <c r="A3433" s="96" t="s">
        <v>3929</v>
      </c>
    </row>
    <row r="3434" spans="1:1" x14ac:dyDescent="0.25">
      <c r="A3434" s="98" t="s">
        <v>3930</v>
      </c>
    </row>
    <row r="3435" spans="1:1" x14ac:dyDescent="0.25">
      <c r="A3435" s="26" t="s">
        <v>3931</v>
      </c>
    </row>
    <row r="3436" spans="1:1" x14ac:dyDescent="0.25">
      <c r="A3436" s="98" t="s">
        <v>3932</v>
      </c>
    </row>
    <row r="3437" spans="1:1" x14ac:dyDescent="0.25">
      <c r="A3437" s="98" t="s">
        <v>3933</v>
      </c>
    </row>
    <row r="3438" spans="1:1" x14ac:dyDescent="0.25">
      <c r="A3438" s="96" t="s">
        <v>3934</v>
      </c>
    </row>
    <row r="3439" spans="1:1" x14ac:dyDescent="0.25">
      <c r="A3439" s="98" t="s">
        <v>3935</v>
      </c>
    </row>
    <row r="3440" spans="1:1" x14ac:dyDescent="0.25">
      <c r="A3440" s="96" t="s">
        <v>3936</v>
      </c>
    </row>
    <row r="3441" spans="1:1" x14ac:dyDescent="0.25">
      <c r="A3441" s="98" t="s">
        <v>3937</v>
      </c>
    </row>
    <row r="3442" spans="1:1" x14ac:dyDescent="0.25">
      <c r="A3442" s="98" t="s">
        <v>3938</v>
      </c>
    </row>
    <row r="3443" spans="1:1" x14ac:dyDescent="0.25">
      <c r="A3443" s="98" t="s">
        <v>3939</v>
      </c>
    </row>
    <row r="3444" spans="1:1" x14ac:dyDescent="0.25">
      <c r="A3444" s="98" t="s">
        <v>3940</v>
      </c>
    </row>
    <row r="3445" spans="1:1" x14ac:dyDescent="0.25">
      <c r="A3445" s="98" t="s">
        <v>3941</v>
      </c>
    </row>
    <row r="3446" spans="1:1" x14ac:dyDescent="0.25">
      <c r="A3446" s="96" t="s">
        <v>3942</v>
      </c>
    </row>
    <row r="3447" spans="1:1" x14ac:dyDescent="0.25">
      <c r="A3447" s="96" t="s">
        <v>3943</v>
      </c>
    </row>
    <row r="3448" spans="1:1" x14ac:dyDescent="0.25">
      <c r="A3448" s="98" t="s">
        <v>3944</v>
      </c>
    </row>
    <row r="3449" spans="1:1" x14ac:dyDescent="0.25">
      <c r="A3449" s="98" t="s">
        <v>3945</v>
      </c>
    </row>
    <row r="3450" spans="1:1" x14ac:dyDescent="0.25">
      <c r="A3450" s="98" t="s">
        <v>3946</v>
      </c>
    </row>
    <row r="3451" spans="1:1" x14ac:dyDescent="0.25">
      <c r="A3451" s="98" t="s">
        <v>3947</v>
      </c>
    </row>
    <row r="3452" spans="1:1" x14ac:dyDescent="0.25">
      <c r="A3452" s="98" t="s">
        <v>3948</v>
      </c>
    </row>
    <row r="3453" spans="1:1" x14ac:dyDescent="0.25">
      <c r="A3453" s="98" t="s">
        <v>3949</v>
      </c>
    </row>
    <row r="3454" spans="1:1" x14ac:dyDescent="0.25">
      <c r="A3454" s="96" t="s">
        <v>3950</v>
      </c>
    </row>
    <row r="3455" spans="1:1" x14ac:dyDescent="0.25">
      <c r="A3455" s="96" t="s">
        <v>3951</v>
      </c>
    </row>
    <row r="3456" spans="1:1" x14ac:dyDescent="0.25">
      <c r="A3456" s="98" t="s">
        <v>3952</v>
      </c>
    </row>
    <row r="3457" spans="1:1" x14ac:dyDescent="0.25">
      <c r="A3457" s="98" t="s">
        <v>3953</v>
      </c>
    </row>
    <row r="3458" spans="1:1" x14ac:dyDescent="0.25">
      <c r="A3458" s="98" t="s">
        <v>3954</v>
      </c>
    </row>
    <row r="3459" spans="1:1" x14ac:dyDescent="0.25">
      <c r="A3459" s="98" t="s">
        <v>3955</v>
      </c>
    </row>
    <row r="3460" spans="1:1" x14ac:dyDescent="0.25">
      <c r="A3460" s="98" t="s">
        <v>3956</v>
      </c>
    </row>
    <row r="3461" spans="1:1" x14ac:dyDescent="0.25">
      <c r="A3461" s="98" t="s">
        <v>3957</v>
      </c>
    </row>
    <row r="3462" spans="1:1" x14ac:dyDescent="0.25">
      <c r="A3462" s="96" t="s">
        <v>3958</v>
      </c>
    </row>
    <row r="3463" spans="1:1" x14ac:dyDescent="0.25">
      <c r="A3463" s="96" t="s">
        <v>3959</v>
      </c>
    </row>
    <row r="3464" spans="1:1" x14ac:dyDescent="0.25">
      <c r="A3464" s="98" t="s">
        <v>3960</v>
      </c>
    </row>
    <row r="3465" spans="1:1" x14ac:dyDescent="0.25">
      <c r="A3465" s="98" t="s">
        <v>3961</v>
      </c>
    </row>
    <row r="3466" spans="1:1" x14ac:dyDescent="0.25">
      <c r="A3466" s="98" t="s">
        <v>3962</v>
      </c>
    </row>
    <row r="3467" spans="1:1" x14ac:dyDescent="0.25">
      <c r="A3467" s="98" t="s">
        <v>3963</v>
      </c>
    </row>
    <row r="3468" spans="1:1" x14ac:dyDescent="0.25">
      <c r="A3468" s="98" t="s">
        <v>3964</v>
      </c>
    </row>
    <row r="3469" spans="1:1" x14ac:dyDescent="0.25">
      <c r="A3469" s="98" t="s">
        <v>3965</v>
      </c>
    </row>
    <row r="3470" spans="1:1" x14ac:dyDescent="0.25">
      <c r="A3470" s="96" t="s">
        <v>3966</v>
      </c>
    </row>
    <row r="3471" spans="1:1" x14ac:dyDescent="0.25">
      <c r="A3471" s="96" t="s">
        <v>3967</v>
      </c>
    </row>
    <row r="3472" spans="1:1" x14ac:dyDescent="0.25">
      <c r="A3472" s="98" t="s">
        <v>3968</v>
      </c>
    </row>
    <row r="3473" spans="1:1" x14ac:dyDescent="0.25">
      <c r="A3473" s="98" t="s">
        <v>3969</v>
      </c>
    </row>
    <row r="3474" spans="1:1" x14ac:dyDescent="0.25">
      <c r="A3474" s="98" t="s">
        <v>3970</v>
      </c>
    </row>
    <row r="3475" spans="1:1" x14ac:dyDescent="0.25">
      <c r="A3475" s="98" t="s">
        <v>3971</v>
      </c>
    </row>
    <row r="3476" spans="1:1" x14ac:dyDescent="0.25">
      <c r="A3476" s="98" t="s">
        <v>3972</v>
      </c>
    </row>
    <row r="3477" spans="1:1" x14ac:dyDescent="0.25">
      <c r="A3477" s="98" t="s">
        <v>3973</v>
      </c>
    </row>
    <row r="3478" spans="1:1" x14ac:dyDescent="0.25">
      <c r="A3478" s="96" t="s">
        <v>3974</v>
      </c>
    </row>
    <row r="3479" spans="1:1" x14ac:dyDescent="0.25">
      <c r="A3479" s="96" t="s">
        <v>3975</v>
      </c>
    </row>
    <row r="3480" spans="1:1" x14ac:dyDescent="0.25">
      <c r="A3480" s="98" t="s">
        <v>3976</v>
      </c>
    </row>
    <row r="3481" spans="1:1" x14ac:dyDescent="0.25">
      <c r="A3481" s="98" t="s">
        <v>3977</v>
      </c>
    </row>
    <row r="3482" spans="1:1" x14ac:dyDescent="0.25">
      <c r="A3482" s="98" t="s">
        <v>3978</v>
      </c>
    </row>
    <row r="3483" spans="1:1" x14ac:dyDescent="0.25">
      <c r="A3483" s="98" t="s">
        <v>3979</v>
      </c>
    </row>
    <row r="3484" spans="1:1" x14ac:dyDescent="0.25">
      <c r="A3484" s="98" t="s">
        <v>3980</v>
      </c>
    </row>
    <row r="3485" spans="1:1" x14ac:dyDescent="0.25">
      <c r="A3485" s="98" t="s">
        <v>3981</v>
      </c>
    </row>
    <row r="3486" spans="1:1" x14ac:dyDescent="0.25">
      <c r="A3486" s="96" t="s">
        <v>3982</v>
      </c>
    </row>
    <row r="3487" spans="1:1" x14ac:dyDescent="0.25">
      <c r="A3487" s="96" t="s">
        <v>3983</v>
      </c>
    </row>
    <row r="3488" spans="1:1" x14ac:dyDescent="0.25">
      <c r="A3488" s="98" t="s">
        <v>3984</v>
      </c>
    </row>
    <row r="3489" spans="1:1" x14ac:dyDescent="0.25">
      <c r="A3489" s="98" t="s">
        <v>3985</v>
      </c>
    </row>
    <row r="3490" spans="1:1" x14ac:dyDescent="0.25">
      <c r="A3490" s="98" t="s">
        <v>3986</v>
      </c>
    </row>
    <row r="3491" spans="1:1" x14ac:dyDescent="0.25">
      <c r="A3491" s="98" t="s">
        <v>3987</v>
      </c>
    </row>
    <row r="3492" spans="1:1" x14ac:dyDescent="0.25">
      <c r="A3492" s="98" t="s">
        <v>3988</v>
      </c>
    </row>
    <row r="3493" spans="1:1" x14ac:dyDescent="0.25">
      <c r="A3493" s="98" t="s">
        <v>3989</v>
      </c>
    </row>
    <row r="3494" spans="1:1" x14ac:dyDescent="0.25">
      <c r="A3494" s="96" t="s">
        <v>3990</v>
      </c>
    </row>
    <row r="3495" spans="1:1" x14ac:dyDescent="0.25">
      <c r="A3495" s="96" t="s">
        <v>3991</v>
      </c>
    </row>
    <row r="3496" spans="1:1" x14ac:dyDescent="0.25">
      <c r="A3496" s="98" t="s">
        <v>3992</v>
      </c>
    </row>
    <row r="3497" spans="1:1" x14ac:dyDescent="0.25">
      <c r="A3497" s="98" t="s">
        <v>3993</v>
      </c>
    </row>
    <row r="3498" spans="1:1" x14ac:dyDescent="0.25">
      <c r="A3498" s="98" t="s">
        <v>3994</v>
      </c>
    </row>
    <row r="3499" spans="1:1" x14ac:dyDescent="0.25">
      <c r="A3499" s="98" t="s">
        <v>3995</v>
      </c>
    </row>
    <row r="3500" spans="1:1" x14ac:dyDescent="0.25">
      <c r="A3500" s="98" t="s">
        <v>3996</v>
      </c>
    </row>
    <row r="3501" spans="1:1" x14ac:dyDescent="0.25">
      <c r="A3501" s="98" t="s">
        <v>3997</v>
      </c>
    </row>
    <row r="3502" spans="1:1" x14ac:dyDescent="0.25">
      <c r="A3502" s="96" t="s">
        <v>3998</v>
      </c>
    </row>
    <row r="3503" spans="1:1" x14ac:dyDescent="0.25">
      <c r="A3503" s="96" t="s">
        <v>3999</v>
      </c>
    </row>
    <row r="3504" spans="1:1" x14ac:dyDescent="0.25">
      <c r="A3504" s="98" t="s">
        <v>4000</v>
      </c>
    </row>
    <row r="3505" spans="1:1" x14ac:dyDescent="0.25">
      <c r="A3505" s="98" t="s">
        <v>4001</v>
      </c>
    </row>
    <row r="3506" spans="1:1" x14ac:dyDescent="0.25">
      <c r="A3506" s="98" t="s">
        <v>4002</v>
      </c>
    </row>
    <row r="3507" spans="1:1" x14ac:dyDescent="0.25">
      <c r="A3507" s="98" t="s">
        <v>4003</v>
      </c>
    </row>
    <row r="3508" spans="1:1" x14ac:dyDescent="0.25">
      <c r="A3508" s="98" t="s">
        <v>4004</v>
      </c>
    </row>
    <row r="3509" spans="1:1" x14ac:dyDescent="0.25">
      <c r="A3509" s="98" t="s">
        <v>4005</v>
      </c>
    </row>
    <row r="3510" spans="1:1" x14ac:dyDescent="0.25">
      <c r="A3510" s="96" t="s">
        <v>4006</v>
      </c>
    </row>
    <row r="3511" spans="1:1" x14ac:dyDescent="0.25">
      <c r="A3511" s="96" t="s">
        <v>4007</v>
      </c>
    </row>
    <row r="3512" spans="1:1" x14ac:dyDescent="0.25">
      <c r="A3512" s="98" t="s">
        <v>4008</v>
      </c>
    </row>
    <row r="3513" spans="1:1" x14ac:dyDescent="0.25">
      <c r="A3513" s="98" t="s">
        <v>4009</v>
      </c>
    </row>
    <row r="3514" spans="1:1" x14ac:dyDescent="0.25">
      <c r="A3514" s="98" t="s">
        <v>4010</v>
      </c>
    </row>
    <row r="3515" spans="1:1" x14ac:dyDescent="0.25">
      <c r="A3515" s="98" t="s">
        <v>4011</v>
      </c>
    </row>
    <row r="3516" spans="1:1" x14ac:dyDescent="0.25">
      <c r="A3516" s="98" t="s">
        <v>4012</v>
      </c>
    </row>
    <row r="3517" spans="1:1" x14ac:dyDescent="0.25">
      <c r="A3517" s="98" t="s">
        <v>4013</v>
      </c>
    </row>
    <row r="3518" spans="1:1" x14ac:dyDescent="0.25">
      <c r="A3518" s="96" t="s">
        <v>4014</v>
      </c>
    </row>
    <row r="3519" spans="1:1" x14ac:dyDescent="0.25">
      <c r="A3519" s="96" t="s">
        <v>4015</v>
      </c>
    </row>
    <row r="3520" spans="1:1" x14ac:dyDescent="0.25">
      <c r="A3520" s="98" t="s">
        <v>4016</v>
      </c>
    </row>
    <row r="3521" spans="1:1" x14ac:dyDescent="0.25">
      <c r="A3521" s="98" t="s">
        <v>4017</v>
      </c>
    </row>
    <row r="3522" spans="1:1" x14ac:dyDescent="0.25">
      <c r="A3522" s="98" t="s">
        <v>4018</v>
      </c>
    </row>
    <row r="3523" spans="1:1" x14ac:dyDescent="0.25">
      <c r="A3523" s="96" t="s">
        <v>4019</v>
      </c>
    </row>
    <row r="3524" spans="1:1" x14ac:dyDescent="0.25">
      <c r="A3524" s="98" t="s">
        <v>4020</v>
      </c>
    </row>
    <row r="3525" spans="1:1" x14ac:dyDescent="0.25">
      <c r="A3525" s="98" t="s">
        <v>4021</v>
      </c>
    </row>
    <row r="3526" spans="1:1" x14ac:dyDescent="0.25">
      <c r="A3526" s="98" t="s">
        <v>4022</v>
      </c>
    </row>
    <row r="3527" spans="1:1" x14ac:dyDescent="0.25">
      <c r="A3527" s="96" t="s">
        <v>4023</v>
      </c>
    </row>
    <row r="3528" spans="1:1" x14ac:dyDescent="0.25">
      <c r="A3528" s="96" t="s">
        <v>4024</v>
      </c>
    </row>
    <row r="3529" spans="1:1" x14ac:dyDescent="0.25">
      <c r="A3529" s="96" t="s">
        <v>4025</v>
      </c>
    </row>
    <row r="3530" spans="1:1" x14ac:dyDescent="0.25">
      <c r="A3530" t="s">
        <v>4028</v>
      </c>
    </row>
    <row r="3531" spans="1:1" x14ac:dyDescent="0.25">
      <c r="A3531" t="s">
        <v>4029</v>
      </c>
    </row>
    <row r="3532" spans="1:1" x14ac:dyDescent="0.25">
      <c r="A3532" s="96" t="s">
        <v>4030</v>
      </c>
    </row>
    <row r="3533" spans="1:1" x14ac:dyDescent="0.25">
      <c r="A3533" s="96" t="s">
        <v>4031</v>
      </c>
    </row>
    <row r="3534" spans="1:1" x14ac:dyDescent="0.25">
      <c r="A3534" s="96" t="s">
        <v>4032</v>
      </c>
    </row>
    <row r="3535" spans="1:1" x14ac:dyDescent="0.25">
      <c r="A3535" s="98" t="s">
        <v>4033</v>
      </c>
    </row>
    <row r="3536" spans="1:1" x14ac:dyDescent="0.25">
      <c r="A3536" s="96" t="s">
        <v>4034</v>
      </c>
    </row>
    <row r="3537" spans="1:1" x14ac:dyDescent="0.25">
      <c r="A3537" s="98" t="s">
        <v>4035</v>
      </c>
    </row>
    <row r="3538" spans="1:1" x14ac:dyDescent="0.25">
      <c r="A3538" s="98" t="s">
        <v>4036</v>
      </c>
    </row>
    <row r="3539" spans="1:1" x14ac:dyDescent="0.25">
      <c r="A3539" s="98" t="s">
        <v>4037</v>
      </c>
    </row>
    <row r="3540" spans="1:1" x14ac:dyDescent="0.25">
      <c r="A3540" s="98" t="s">
        <v>4038</v>
      </c>
    </row>
    <row r="3541" spans="1:1" x14ac:dyDescent="0.25">
      <c r="A3541" s="96" t="s">
        <v>4039</v>
      </c>
    </row>
    <row r="3542" spans="1:1" x14ac:dyDescent="0.25">
      <c r="A3542" s="98" t="s">
        <v>4040</v>
      </c>
    </row>
    <row r="3543" spans="1:1" x14ac:dyDescent="0.25">
      <c r="A3543" s="96" t="s">
        <v>4041</v>
      </c>
    </row>
    <row r="3544" spans="1:1" x14ac:dyDescent="0.25">
      <c r="A3544" s="98" t="s">
        <v>4042</v>
      </c>
    </row>
    <row r="3545" spans="1:1" x14ac:dyDescent="0.25">
      <c r="A3545" s="98" t="s">
        <v>4043</v>
      </c>
    </row>
    <row r="3546" spans="1:1" x14ac:dyDescent="0.25">
      <c r="A3546" s="98" t="s">
        <v>4044</v>
      </c>
    </row>
    <row r="3547" spans="1:1" x14ac:dyDescent="0.25">
      <c r="A3547" s="98" t="s">
        <v>4045</v>
      </c>
    </row>
    <row r="3548" spans="1:1" x14ac:dyDescent="0.25">
      <c r="A3548" s="96" t="s">
        <v>4046</v>
      </c>
    </row>
    <row r="3549" spans="1:1" x14ac:dyDescent="0.25">
      <c r="A3549" s="98" t="s">
        <v>4047</v>
      </c>
    </row>
    <row r="3550" spans="1:1" x14ac:dyDescent="0.25">
      <c r="A3550" s="98" t="s">
        <v>4048</v>
      </c>
    </row>
    <row r="3551" spans="1:1" x14ac:dyDescent="0.25">
      <c r="A3551" s="98" t="s">
        <v>4049</v>
      </c>
    </row>
    <row r="3552" spans="1:1" x14ac:dyDescent="0.25">
      <c r="A3552" s="96" t="s">
        <v>4050</v>
      </c>
    </row>
    <row r="3553" spans="1:1" x14ac:dyDescent="0.25">
      <c r="A3553" s="96" t="s">
        <v>4051</v>
      </c>
    </row>
    <row r="3554" spans="1:1" x14ac:dyDescent="0.25">
      <c r="A3554" s="96" t="s">
        <v>4052</v>
      </c>
    </row>
    <row r="3555" spans="1:1" x14ac:dyDescent="0.25">
      <c r="A3555" t="s">
        <v>4054</v>
      </c>
    </row>
    <row r="3556" spans="1:1" x14ac:dyDescent="0.25">
      <c r="A3556" t="s">
        <v>4055</v>
      </c>
    </row>
    <row r="3557" spans="1:1" x14ac:dyDescent="0.25">
      <c r="A3557" s="96" t="s">
        <v>4056</v>
      </c>
    </row>
    <row r="3558" spans="1:1" x14ac:dyDescent="0.25">
      <c r="A3558" s="96" t="s">
        <v>4057</v>
      </c>
    </row>
    <row r="3559" spans="1:1" x14ac:dyDescent="0.25">
      <c r="A3559" s="96" t="s">
        <v>4058</v>
      </c>
    </row>
    <row r="3560" spans="1:1" x14ac:dyDescent="0.25">
      <c r="A3560" s="98" t="s">
        <v>4059</v>
      </c>
    </row>
    <row r="3561" spans="1:1" x14ac:dyDescent="0.25">
      <c r="A3561" s="96" t="s">
        <v>4060</v>
      </c>
    </row>
    <row r="3562" spans="1:1" x14ac:dyDescent="0.25">
      <c r="A3562" s="26" t="s">
        <v>4061</v>
      </c>
    </row>
    <row r="3563" spans="1:1" x14ac:dyDescent="0.25">
      <c r="A3563" s="98" t="s">
        <v>4062</v>
      </c>
    </row>
    <row r="3564" spans="1:1" x14ac:dyDescent="0.25">
      <c r="A3564" s="98" t="s">
        <v>4063</v>
      </c>
    </row>
    <row r="3565" spans="1:1" x14ac:dyDescent="0.25">
      <c r="A3565" s="96" t="s">
        <v>4064</v>
      </c>
    </row>
    <row r="3566" spans="1:1" x14ac:dyDescent="0.25">
      <c r="A3566" s="98" t="s">
        <v>4065</v>
      </c>
    </row>
    <row r="3567" spans="1:1" x14ac:dyDescent="0.25">
      <c r="A3567" s="96" t="s">
        <v>4066</v>
      </c>
    </row>
    <row r="3568" spans="1:1" x14ac:dyDescent="0.25">
      <c r="A3568" s="26" t="s">
        <v>4067</v>
      </c>
    </row>
    <row r="3569" spans="1:1" x14ac:dyDescent="0.25">
      <c r="A3569" s="98" t="s">
        <v>4068</v>
      </c>
    </row>
    <row r="3570" spans="1:1" x14ac:dyDescent="0.25">
      <c r="A3570" s="98" t="s">
        <v>4069</v>
      </c>
    </row>
    <row r="3571" spans="1:1" x14ac:dyDescent="0.25">
      <c r="A3571" s="98" t="s">
        <v>4070</v>
      </c>
    </row>
    <row r="3572" spans="1:1" x14ac:dyDescent="0.25">
      <c r="A3572" s="98" t="s">
        <v>4071</v>
      </c>
    </row>
    <row r="3573" spans="1:1" x14ac:dyDescent="0.25">
      <c r="A3573" s="98" t="s">
        <v>4072</v>
      </c>
    </row>
    <row r="3574" spans="1:1" x14ac:dyDescent="0.25">
      <c r="A3574" s="96" t="s">
        <v>4073</v>
      </c>
    </row>
    <row r="3575" spans="1:1" x14ac:dyDescent="0.25">
      <c r="A3575" s="96" t="s">
        <v>4074</v>
      </c>
    </row>
    <row r="3576" spans="1:1" x14ac:dyDescent="0.25">
      <c r="A3576" s="98" t="s">
        <v>4075</v>
      </c>
    </row>
    <row r="3577" spans="1:1" x14ac:dyDescent="0.25">
      <c r="A3577" s="96" t="s">
        <v>4076</v>
      </c>
    </row>
    <row r="3578" spans="1:1" x14ac:dyDescent="0.25">
      <c r="A3578" s="96" t="s">
        <v>4077</v>
      </c>
    </row>
    <row r="3579" spans="1:1" x14ac:dyDescent="0.25">
      <c r="A3579" s="96" t="s">
        <v>4078</v>
      </c>
    </row>
    <row r="3580" spans="1:1" x14ac:dyDescent="0.25">
      <c r="A3580" s="98" t="s">
        <v>4079</v>
      </c>
    </row>
    <row r="3581" spans="1:1" x14ac:dyDescent="0.25">
      <c r="A3581" s="98" t="s">
        <v>4080</v>
      </c>
    </row>
    <row r="3582" spans="1:1" x14ac:dyDescent="0.25">
      <c r="A3582" s="98" t="s">
        <v>4081</v>
      </c>
    </row>
    <row r="3583" spans="1:1" x14ac:dyDescent="0.25">
      <c r="A3583" s="98" t="s">
        <v>4082</v>
      </c>
    </row>
    <row r="3584" spans="1:1" x14ac:dyDescent="0.25">
      <c r="A3584" s="98" t="s">
        <v>4083</v>
      </c>
    </row>
    <row r="3585" spans="1:1" x14ac:dyDescent="0.25">
      <c r="A3585" s="96" t="s">
        <v>4084</v>
      </c>
    </row>
    <row r="3586" spans="1:1" x14ac:dyDescent="0.25">
      <c r="A3586" s="96" t="s">
        <v>4085</v>
      </c>
    </row>
    <row r="3587" spans="1:1" x14ac:dyDescent="0.25">
      <c r="A3587" s="98" t="s">
        <v>4086</v>
      </c>
    </row>
    <row r="3588" spans="1:1" x14ac:dyDescent="0.25">
      <c r="A3588" s="98" t="s">
        <v>4087</v>
      </c>
    </row>
    <row r="3589" spans="1:1" x14ac:dyDescent="0.25">
      <c r="A3589" s="98" t="s">
        <v>4088</v>
      </c>
    </row>
    <row r="3590" spans="1:1" x14ac:dyDescent="0.25">
      <c r="A3590" s="98" t="s">
        <v>4089</v>
      </c>
    </row>
    <row r="3591" spans="1:1" x14ac:dyDescent="0.25">
      <c r="A3591" s="98" t="s">
        <v>4090</v>
      </c>
    </row>
    <row r="3592" spans="1:1" x14ac:dyDescent="0.25">
      <c r="A3592" s="98" t="s">
        <v>4091</v>
      </c>
    </row>
    <row r="3593" spans="1:1" x14ac:dyDescent="0.25">
      <c r="A3593" s="96" t="s">
        <v>4092</v>
      </c>
    </row>
    <row r="3594" spans="1:1" x14ac:dyDescent="0.25">
      <c r="A3594" s="96" t="s">
        <v>4093</v>
      </c>
    </row>
    <row r="3595" spans="1:1" x14ac:dyDescent="0.25">
      <c r="A3595" s="98" t="s">
        <v>4094</v>
      </c>
    </row>
    <row r="3596" spans="1:1" x14ac:dyDescent="0.25">
      <c r="A3596" s="98" t="s">
        <v>4095</v>
      </c>
    </row>
    <row r="3597" spans="1:1" x14ac:dyDescent="0.25">
      <c r="A3597" s="98" t="s">
        <v>4096</v>
      </c>
    </row>
    <row r="3598" spans="1:1" x14ac:dyDescent="0.25">
      <c r="A3598" s="98" t="s">
        <v>4097</v>
      </c>
    </row>
    <row r="3599" spans="1:1" x14ac:dyDescent="0.25">
      <c r="A3599" s="98" t="s">
        <v>4098</v>
      </c>
    </row>
    <row r="3600" spans="1:1" x14ac:dyDescent="0.25">
      <c r="A3600" s="98" t="s">
        <v>4099</v>
      </c>
    </row>
    <row r="3601" spans="1:1" x14ac:dyDescent="0.25">
      <c r="A3601" s="96" t="s">
        <v>4100</v>
      </c>
    </row>
    <row r="3602" spans="1:1" x14ac:dyDescent="0.25">
      <c r="A3602" s="96" t="s">
        <v>4101</v>
      </c>
    </row>
    <row r="3603" spans="1:1" x14ac:dyDescent="0.25">
      <c r="A3603" s="98" t="s">
        <v>4102</v>
      </c>
    </row>
    <row r="3604" spans="1:1" x14ac:dyDescent="0.25">
      <c r="A3604" s="98" t="s">
        <v>4103</v>
      </c>
    </row>
    <row r="3605" spans="1:1" x14ac:dyDescent="0.25">
      <c r="A3605" s="98" t="s">
        <v>4104</v>
      </c>
    </row>
    <row r="3606" spans="1:1" x14ac:dyDescent="0.25">
      <c r="A3606" s="98" t="s">
        <v>4105</v>
      </c>
    </row>
    <row r="3607" spans="1:1" x14ac:dyDescent="0.25">
      <c r="A3607" s="98" t="s">
        <v>4106</v>
      </c>
    </row>
    <row r="3608" spans="1:1" x14ac:dyDescent="0.25">
      <c r="A3608" s="98" t="s">
        <v>4107</v>
      </c>
    </row>
    <row r="3609" spans="1:1" x14ac:dyDescent="0.25">
      <c r="A3609" s="96" t="s">
        <v>4108</v>
      </c>
    </row>
    <row r="3610" spans="1:1" x14ac:dyDescent="0.25">
      <c r="A3610" s="96" t="s">
        <v>4109</v>
      </c>
    </row>
    <row r="3611" spans="1:1" x14ac:dyDescent="0.25">
      <c r="A3611" s="98" t="s">
        <v>4110</v>
      </c>
    </row>
    <row r="3612" spans="1:1" x14ac:dyDescent="0.25">
      <c r="A3612" s="98" t="s">
        <v>4111</v>
      </c>
    </row>
    <row r="3613" spans="1:1" x14ac:dyDescent="0.25">
      <c r="A3613" s="98" t="s">
        <v>4112</v>
      </c>
    </row>
    <row r="3614" spans="1:1" x14ac:dyDescent="0.25">
      <c r="A3614" s="98" t="s">
        <v>4113</v>
      </c>
    </row>
    <row r="3615" spans="1:1" x14ac:dyDescent="0.25">
      <c r="A3615" s="98" t="s">
        <v>4114</v>
      </c>
    </row>
    <row r="3616" spans="1:1" x14ac:dyDescent="0.25">
      <c r="A3616" s="98" t="s">
        <v>4115</v>
      </c>
    </row>
    <row r="3617" spans="1:1" x14ac:dyDescent="0.25">
      <c r="A3617" s="96" t="s">
        <v>4116</v>
      </c>
    </row>
    <row r="3618" spans="1:1" x14ac:dyDescent="0.25">
      <c r="A3618" s="96" t="s">
        <v>4117</v>
      </c>
    </row>
    <row r="3619" spans="1:1" x14ac:dyDescent="0.25">
      <c r="A3619" s="98" t="s">
        <v>4118</v>
      </c>
    </row>
    <row r="3620" spans="1:1" x14ac:dyDescent="0.25">
      <c r="A3620" s="98" t="s">
        <v>4119</v>
      </c>
    </row>
    <row r="3621" spans="1:1" x14ac:dyDescent="0.25">
      <c r="A3621" s="98" t="s">
        <v>4120</v>
      </c>
    </row>
    <row r="3622" spans="1:1" x14ac:dyDescent="0.25">
      <c r="A3622" s="98" t="s">
        <v>4121</v>
      </c>
    </row>
    <row r="3623" spans="1:1" x14ac:dyDescent="0.25">
      <c r="A3623" s="98" t="s">
        <v>4122</v>
      </c>
    </row>
    <row r="3624" spans="1:1" x14ac:dyDescent="0.25">
      <c r="A3624" s="98" t="s">
        <v>4123</v>
      </c>
    </row>
    <row r="3625" spans="1:1" x14ac:dyDescent="0.25">
      <c r="A3625" s="96" t="s">
        <v>4124</v>
      </c>
    </row>
    <row r="3626" spans="1:1" x14ac:dyDescent="0.25">
      <c r="A3626" s="96" t="s">
        <v>4125</v>
      </c>
    </row>
    <row r="3627" spans="1:1" x14ac:dyDescent="0.25">
      <c r="A3627" s="98" t="s">
        <v>4126</v>
      </c>
    </row>
    <row r="3628" spans="1:1" x14ac:dyDescent="0.25">
      <c r="A3628" s="98" t="s">
        <v>4127</v>
      </c>
    </row>
    <row r="3629" spans="1:1" x14ac:dyDescent="0.25">
      <c r="A3629" s="98" t="s">
        <v>4128</v>
      </c>
    </row>
    <row r="3630" spans="1:1" x14ac:dyDescent="0.25">
      <c r="A3630" s="98" t="s">
        <v>4129</v>
      </c>
    </row>
    <row r="3631" spans="1:1" x14ac:dyDescent="0.25">
      <c r="A3631" s="98" t="s">
        <v>4130</v>
      </c>
    </row>
    <row r="3632" spans="1:1" x14ac:dyDescent="0.25">
      <c r="A3632" s="98" t="s">
        <v>4131</v>
      </c>
    </row>
    <row r="3633" spans="1:1" x14ac:dyDescent="0.25">
      <c r="A3633" s="96" t="s">
        <v>4132</v>
      </c>
    </row>
    <row r="3634" spans="1:1" x14ac:dyDescent="0.25">
      <c r="A3634" s="96" t="s">
        <v>4133</v>
      </c>
    </row>
    <row r="3635" spans="1:1" x14ac:dyDescent="0.25">
      <c r="A3635" s="98" t="s">
        <v>4134</v>
      </c>
    </row>
    <row r="3636" spans="1:1" x14ac:dyDescent="0.25">
      <c r="A3636" s="98" t="s">
        <v>4135</v>
      </c>
    </row>
    <row r="3637" spans="1:1" x14ac:dyDescent="0.25">
      <c r="A3637" s="98" t="s">
        <v>4136</v>
      </c>
    </row>
    <row r="3638" spans="1:1" x14ac:dyDescent="0.25">
      <c r="A3638" s="98" t="s">
        <v>4137</v>
      </c>
    </row>
    <row r="3639" spans="1:1" x14ac:dyDescent="0.25">
      <c r="A3639" s="98" t="s">
        <v>4138</v>
      </c>
    </row>
    <row r="3640" spans="1:1" x14ac:dyDescent="0.25">
      <c r="A3640" s="98" t="s">
        <v>4139</v>
      </c>
    </row>
    <row r="3641" spans="1:1" x14ac:dyDescent="0.25">
      <c r="A3641" s="96" t="s">
        <v>4140</v>
      </c>
    </row>
    <row r="3642" spans="1:1" x14ac:dyDescent="0.25">
      <c r="A3642" s="96" t="s">
        <v>4141</v>
      </c>
    </row>
    <row r="3643" spans="1:1" x14ac:dyDescent="0.25">
      <c r="A3643" s="98" t="s">
        <v>4142</v>
      </c>
    </row>
    <row r="3644" spans="1:1" x14ac:dyDescent="0.25">
      <c r="A3644" s="98" t="s">
        <v>4143</v>
      </c>
    </row>
    <row r="3645" spans="1:1" x14ac:dyDescent="0.25">
      <c r="A3645" s="98" t="s">
        <v>4144</v>
      </c>
    </row>
    <row r="3646" spans="1:1" x14ac:dyDescent="0.25">
      <c r="A3646" s="98" t="s">
        <v>4145</v>
      </c>
    </row>
    <row r="3647" spans="1:1" x14ac:dyDescent="0.25">
      <c r="A3647" s="98" t="s">
        <v>4146</v>
      </c>
    </row>
    <row r="3648" spans="1:1" x14ac:dyDescent="0.25">
      <c r="A3648" s="98" t="s">
        <v>4147</v>
      </c>
    </row>
    <row r="3649" spans="1:1" x14ac:dyDescent="0.25">
      <c r="A3649" s="96" t="s">
        <v>4148</v>
      </c>
    </row>
    <row r="3650" spans="1:1" x14ac:dyDescent="0.25">
      <c r="A3650" s="96" t="s">
        <v>4149</v>
      </c>
    </row>
    <row r="3651" spans="1:1" x14ac:dyDescent="0.25">
      <c r="A3651" s="98" t="s">
        <v>4150</v>
      </c>
    </row>
    <row r="3652" spans="1:1" x14ac:dyDescent="0.25">
      <c r="A3652" s="98" t="s">
        <v>4151</v>
      </c>
    </row>
    <row r="3653" spans="1:1" x14ac:dyDescent="0.25">
      <c r="A3653" s="98" t="s">
        <v>4152</v>
      </c>
    </row>
    <row r="3654" spans="1:1" x14ac:dyDescent="0.25">
      <c r="A3654" s="98" t="s">
        <v>4153</v>
      </c>
    </row>
    <row r="3655" spans="1:1" x14ac:dyDescent="0.25">
      <c r="A3655" s="98" t="s">
        <v>4154</v>
      </c>
    </row>
    <row r="3656" spans="1:1" x14ac:dyDescent="0.25">
      <c r="A3656" s="98" t="s">
        <v>4155</v>
      </c>
    </row>
    <row r="3657" spans="1:1" x14ac:dyDescent="0.25">
      <c r="A3657" s="98" t="s">
        <v>4156</v>
      </c>
    </row>
    <row r="3658" spans="1:1" x14ac:dyDescent="0.25">
      <c r="A3658" s="98" t="s">
        <v>4157</v>
      </c>
    </row>
    <row r="3659" spans="1:1" x14ac:dyDescent="0.25">
      <c r="A3659" s="98" t="s">
        <v>4158</v>
      </c>
    </row>
    <row r="3660" spans="1:1" x14ac:dyDescent="0.25">
      <c r="A3660" s="98" t="s">
        <v>4159</v>
      </c>
    </row>
    <row r="3661" spans="1:1" x14ac:dyDescent="0.25">
      <c r="A3661" s="98" t="s">
        <v>4160</v>
      </c>
    </row>
    <row r="3662" spans="1:1" x14ac:dyDescent="0.25">
      <c r="A3662" s="98" t="s">
        <v>4161</v>
      </c>
    </row>
    <row r="3663" spans="1:1" x14ac:dyDescent="0.25">
      <c r="A3663" s="96" t="s">
        <v>4162</v>
      </c>
    </row>
    <row r="3664" spans="1:1" x14ac:dyDescent="0.25">
      <c r="A3664" s="96" t="s">
        <v>4163</v>
      </c>
    </row>
    <row r="3665" spans="1:1" x14ac:dyDescent="0.25">
      <c r="A3665" s="98" t="s">
        <v>4164</v>
      </c>
    </row>
    <row r="3666" spans="1:1" x14ac:dyDescent="0.25">
      <c r="A3666" s="98" t="s">
        <v>4165</v>
      </c>
    </row>
    <row r="3667" spans="1:1" x14ac:dyDescent="0.25">
      <c r="A3667" s="98" t="s">
        <v>4166</v>
      </c>
    </row>
    <row r="3668" spans="1:1" x14ac:dyDescent="0.25">
      <c r="A3668" s="26" t="s">
        <v>4167</v>
      </c>
    </row>
    <row r="3669" spans="1:1" x14ac:dyDescent="0.25">
      <c r="A3669" s="98" t="s">
        <v>4168</v>
      </c>
    </row>
    <row r="3670" spans="1:1" x14ac:dyDescent="0.25">
      <c r="A3670" s="98" t="s">
        <v>4169</v>
      </c>
    </row>
    <row r="3671" spans="1:1" x14ac:dyDescent="0.25">
      <c r="A3671" s="96" t="s">
        <v>4170</v>
      </c>
    </row>
    <row r="3672" spans="1:1" x14ac:dyDescent="0.25">
      <c r="A3672" s="98" t="s">
        <v>4171</v>
      </c>
    </row>
    <row r="3673" spans="1:1" x14ac:dyDescent="0.25">
      <c r="A3673" s="96" t="s">
        <v>4172</v>
      </c>
    </row>
    <row r="3674" spans="1:1" x14ac:dyDescent="0.25">
      <c r="A3674" s="98" t="s">
        <v>4173</v>
      </c>
    </row>
    <row r="3675" spans="1:1" x14ac:dyDescent="0.25">
      <c r="A3675" s="98" t="s">
        <v>4174</v>
      </c>
    </row>
    <row r="3676" spans="1:1" x14ac:dyDescent="0.25">
      <c r="A3676" s="98" t="s">
        <v>4175</v>
      </c>
    </row>
    <row r="3677" spans="1:1" x14ac:dyDescent="0.25">
      <c r="A3677" s="98" t="s">
        <v>4176</v>
      </c>
    </row>
    <row r="3678" spans="1:1" x14ac:dyDescent="0.25">
      <c r="A3678" s="98" t="s">
        <v>4177</v>
      </c>
    </row>
    <row r="3679" spans="1:1" x14ac:dyDescent="0.25">
      <c r="A3679" s="98" t="s">
        <v>4178</v>
      </c>
    </row>
    <row r="3680" spans="1:1" x14ac:dyDescent="0.25">
      <c r="A3680" s="98" t="s">
        <v>4179</v>
      </c>
    </row>
    <row r="3681" spans="1:1" x14ac:dyDescent="0.25">
      <c r="A3681" s="98" t="s">
        <v>4180</v>
      </c>
    </row>
    <row r="3682" spans="1:1" x14ac:dyDescent="0.25">
      <c r="A3682" s="96" t="s">
        <v>4181</v>
      </c>
    </row>
    <row r="3683" spans="1:1" x14ac:dyDescent="0.25">
      <c r="A3683" s="98" t="s">
        <v>4182</v>
      </c>
    </row>
    <row r="3684" spans="1:1" x14ac:dyDescent="0.25">
      <c r="A3684" s="98" t="s">
        <v>4183</v>
      </c>
    </row>
    <row r="3685" spans="1:1" x14ac:dyDescent="0.25">
      <c r="A3685" s="98" t="s">
        <v>4184</v>
      </c>
    </row>
    <row r="3686" spans="1:1" x14ac:dyDescent="0.25">
      <c r="A3686" s="98" t="s">
        <v>4185</v>
      </c>
    </row>
    <row r="3687" spans="1:1" x14ac:dyDescent="0.25">
      <c r="A3687" s="96" t="s">
        <v>4186</v>
      </c>
    </row>
    <row r="3688" spans="1:1" x14ac:dyDescent="0.25">
      <c r="A3688" s="98" t="s">
        <v>4187</v>
      </c>
    </row>
    <row r="3689" spans="1:1" x14ac:dyDescent="0.25">
      <c r="A3689" s="98" t="s">
        <v>4188</v>
      </c>
    </row>
    <row r="3690" spans="1:1" x14ac:dyDescent="0.25">
      <c r="A3690" s="26" t="s">
        <v>4189</v>
      </c>
    </row>
    <row r="3691" spans="1:1" x14ac:dyDescent="0.25">
      <c r="A3691" s="26" t="s">
        <v>4190</v>
      </c>
    </row>
    <row r="3692" spans="1:1" x14ac:dyDescent="0.25">
      <c r="A3692" s="26" t="s">
        <v>4191</v>
      </c>
    </row>
    <row r="3693" spans="1:1" x14ac:dyDescent="0.25">
      <c r="A3693" s="98" t="s">
        <v>4192</v>
      </c>
    </row>
    <row r="3694" spans="1:1" x14ac:dyDescent="0.25">
      <c r="A3694" s="96" t="s">
        <v>4193</v>
      </c>
    </row>
    <row r="3695" spans="1:1" x14ac:dyDescent="0.25">
      <c r="A3695" s="98" t="s">
        <v>4194</v>
      </c>
    </row>
    <row r="3696" spans="1:1" x14ac:dyDescent="0.25">
      <c r="A3696" s="98" t="s">
        <v>4195</v>
      </c>
    </row>
    <row r="3697" spans="1:1" x14ac:dyDescent="0.25">
      <c r="A3697" s="96" t="s">
        <v>4196</v>
      </c>
    </row>
    <row r="3698" spans="1:1" x14ac:dyDescent="0.25">
      <c r="A3698" s="98" t="s">
        <v>4197</v>
      </c>
    </row>
    <row r="3699" spans="1:1" x14ac:dyDescent="0.25">
      <c r="A3699" s="96" t="s">
        <v>4198</v>
      </c>
    </row>
    <row r="3700" spans="1:1" x14ac:dyDescent="0.25">
      <c r="A3700" s="96" t="s">
        <v>4199</v>
      </c>
    </row>
    <row r="3701" spans="1:1" x14ac:dyDescent="0.25">
      <c r="A3701" s="96" t="s">
        <v>4200</v>
      </c>
    </row>
    <row r="3702" spans="1:1" x14ac:dyDescent="0.25">
      <c r="A3702" s="96" t="s">
        <v>4201</v>
      </c>
    </row>
    <row r="3703" spans="1:1" x14ac:dyDescent="0.25">
      <c r="A3703" s="96" t="s">
        <v>4202</v>
      </c>
    </row>
    <row r="3704" spans="1:1" x14ac:dyDescent="0.25">
      <c r="A3704" s="26" t="s">
        <v>4203</v>
      </c>
    </row>
    <row r="3705" spans="1:1" x14ac:dyDescent="0.25">
      <c r="A3705" s="98" t="s">
        <v>4204</v>
      </c>
    </row>
    <row r="3706" spans="1:1" x14ac:dyDescent="0.25">
      <c r="A3706" s="96" t="s">
        <v>4205</v>
      </c>
    </row>
    <row r="3707" spans="1:1" x14ac:dyDescent="0.25">
      <c r="A3707" s="98" t="s">
        <v>4206</v>
      </c>
    </row>
    <row r="3708" spans="1:1" x14ac:dyDescent="0.25">
      <c r="A3708" s="98" t="s">
        <v>4207</v>
      </c>
    </row>
    <row r="3709" spans="1:1" x14ac:dyDescent="0.25">
      <c r="A3709" s="26" t="s">
        <v>4208</v>
      </c>
    </row>
    <row r="3710" spans="1:1" x14ac:dyDescent="0.25">
      <c r="A3710" s="26" t="s">
        <v>4209</v>
      </c>
    </row>
    <row r="3711" spans="1:1" x14ac:dyDescent="0.25">
      <c r="A3711" s="26" t="s">
        <v>4210</v>
      </c>
    </row>
    <row r="3712" spans="1:1" x14ac:dyDescent="0.25">
      <c r="A3712" s="98" t="s">
        <v>4211</v>
      </c>
    </row>
    <row r="3713" spans="1:1" x14ac:dyDescent="0.25">
      <c r="A3713" s="96" t="s">
        <v>4212</v>
      </c>
    </row>
    <row r="3714" spans="1:1" x14ac:dyDescent="0.25">
      <c r="A3714" s="98" t="s">
        <v>4213</v>
      </c>
    </row>
    <row r="3715" spans="1:1" x14ac:dyDescent="0.25">
      <c r="A3715" s="98" t="s">
        <v>4214</v>
      </c>
    </row>
    <row r="3716" spans="1:1" x14ac:dyDescent="0.25">
      <c r="A3716" s="26" t="s">
        <v>4215</v>
      </c>
    </row>
    <row r="3717" spans="1:1" x14ac:dyDescent="0.25">
      <c r="A3717" s="26" t="s">
        <v>4216</v>
      </c>
    </row>
    <row r="3718" spans="1:1" x14ac:dyDescent="0.25">
      <c r="A3718" s="26" t="s">
        <v>4217</v>
      </c>
    </row>
    <row r="3719" spans="1:1" x14ac:dyDescent="0.25">
      <c r="A3719" s="96" t="s">
        <v>4218</v>
      </c>
    </row>
    <row r="3720" spans="1:1" x14ac:dyDescent="0.25">
      <c r="A3720" s="98" t="s">
        <v>4219</v>
      </c>
    </row>
    <row r="3721" spans="1:1" x14ac:dyDescent="0.25">
      <c r="A3721" s="96" t="s">
        <v>4220</v>
      </c>
    </row>
    <row r="3722" spans="1:1" x14ac:dyDescent="0.25">
      <c r="A3722" s="98" t="s">
        <v>4221</v>
      </c>
    </row>
    <row r="3723" spans="1:1" x14ac:dyDescent="0.25">
      <c r="A3723" s="98" t="s">
        <v>4222</v>
      </c>
    </row>
    <row r="3724" spans="1:1" x14ac:dyDescent="0.25">
      <c r="A3724" s="98" t="s">
        <v>4223</v>
      </c>
    </row>
    <row r="3725" spans="1:1" x14ac:dyDescent="0.25">
      <c r="A3725" s="96" t="s">
        <v>4224</v>
      </c>
    </row>
    <row r="3726" spans="1:1" x14ac:dyDescent="0.25">
      <c r="A3726" s="98" t="s">
        <v>4225</v>
      </c>
    </row>
    <row r="3727" spans="1:1" x14ac:dyDescent="0.25">
      <c r="A3727" s="96" t="s">
        <v>4226</v>
      </c>
    </row>
    <row r="3728" spans="1:1" x14ac:dyDescent="0.25">
      <c r="A3728" s="96" t="s">
        <v>4227</v>
      </c>
    </row>
    <row r="3729" spans="1:1" x14ac:dyDescent="0.25">
      <c r="A3729" s="98" t="s">
        <v>4228</v>
      </c>
    </row>
    <row r="3730" spans="1:1" x14ac:dyDescent="0.25">
      <c r="A3730" s="96" t="s">
        <v>4229</v>
      </c>
    </row>
    <row r="3731" spans="1:1" x14ac:dyDescent="0.25">
      <c r="A3731" s="98" t="s">
        <v>4230</v>
      </c>
    </row>
    <row r="3732" spans="1:1" x14ac:dyDescent="0.25">
      <c r="A3732" s="26" t="s">
        <v>4231</v>
      </c>
    </row>
    <row r="3733" spans="1:1" x14ac:dyDescent="0.25">
      <c r="A3733" s="96" t="s">
        <v>4232</v>
      </c>
    </row>
    <row r="3734" spans="1:1" x14ac:dyDescent="0.25">
      <c r="A3734" s="98" t="s">
        <v>4233</v>
      </c>
    </row>
    <row r="3735" spans="1:1" x14ac:dyDescent="0.25">
      <c r="A3735" s="96" t="s">
        <v>4234</v>
      </c>
    </row>
    <row r="3736" spans="1:1" x14ac:dyDescent="0.25">
      <c r="A3736" s="98" t="s">
        <v>4235</v>
      </c>
    </row>
    <row r="3737" spans="1:1" x14ac:dyDescent="0.25">
      <c r="A3737" s="98" t="s">
        <v>4236</v>
      </c>
    </row>
    <row r="3738" spans="1:1" x14ac:dyDescent="0.25">
      <c r="A3738" s="98" t="s">
        <v>4237</v>
      </c>
    </row>
    <row r="3739" spans="1:1" x14ac:dyDescent="0.25">
      <c r="A3739" s="96" t="s">
        <v>4238</v>
      </c>
    </row>
    <row r="3740" spans="1:1" x14ac:dyDescent="0.25">
      <c r="A3740" s="96" t="s">
        <v>4239</v>
      </c>
    </row>
    <row r="3741" spans="1:1" x14ac:dyDescent="0.25">
      <c r="A3741" s="96" t="s">
        <v>4240</v>
      </c>
    </row>
    <row r="3742" spans="1:1" x14ac:dyDescent="0.25">
      <c r="A3742" s="98" t="s">
        <v>4241</v>
      </c>
    </row>
    <row r="3743" spans="1:1" x14ac:dyDescent="0.25">
      <c r="A3743" s="26" t="s">
        <v>4242</v>
      </c>
    </row>
    <row r="3744" spans="1:1" x14ac:dyDescent="0.25">
      <c r="A3744" s="96" t="s">
        <v>4243</v>
      </c>
    </row>
    <row r="3745" spans="1:1" x14ac:dyDescent="0.25">
      <c r="A3745" s="98" t="s">
        <v>4244</v>
      </c>
    </row>
    <row r="3746" spans="1:1" x14ac:dyDescent="0.25">
      <c r="A3746" s="96" t="s">
        <v>4245</v>
      </c>
    </row>
    <row r="3747" spans="1:1" x14ac:dyDescent="0.25">
      <c r="A3747" s="98" t="s">
        <v>4246</v>
      </c>
    </row>
    <row r="3748" spans="1:1" x14ac:dyDescent="0.25">
      <c r="A3748" s="98" t="s">
        <v>4247</v>
      </c>
    </row>
    <row r="3749" spans="1:1" x14ac:dyDescent="0.25">
      <c r="A3749" s="96" t="s">
        <v>4248</v>
      </c>
    </row>
    <row r="3750" spans="1:1" x14ac:dyDescent="0.25">
      <c r="A3750" s="98" t="s">
        <v>4249</v>
      </c>
    </row>
    <row r="3751" spans="1:1" x14ac:dyDescent="0.25">
      <c r="A3751" s="98" t="s">
        <v>4250</v>
      </c>
    </row>
    <row r="3752" spans="1:1" x14ac:dyDescent="0.25">
      <c r="A3752" s="98" t="s">
        <v>4251</v>
      </c>
    </row>
    <row r="3753" spans="1:1" x14ac:dyDescent="0.25">
      <c r="A3753" s="98" t="s">
        <v>4252</v>
      </c>
    </row>
    <row r="3754" spans="1:1" x14ac:dyDescent="0.25">
      <c r="A3754" s="96" t="s">
        <v>4253</v>
      </c>
    </row>
    <row r="3755" spans="1:1" x14ac:dyDescent="0.25">
      <c r="A3755" s="98" t="s">
        <v>4254</v>
      </c>
    </row>
    <row r="3756" spans="1:1" x14ac:dyDescent="0.25">
      <c r="A3756" s="98" t="s">
        <v>4255</v>
      </c>
    </row>
    <row r="3757" spans="1:1" x14ac:dyDescent="0.25">
      <c r="A3757" s="26" t="s">
        <v>4256</v>
      </c>
    </row>
    <row r="3758" spans="1:1" x14ac:dyDescent="0.25">
      <c r="A3758" s="26" t="s">
        <v>4257</v>
      </c>
    </row>
    <row r="3759" spans="1:1" x14ac:dyDescent="0.25">
      <c r="A3759" s="26" t="s">
        <v>4258</v>
      </c>
    </row>
    <row r="3760" spans="1:1" x14ac:dyDescent="0.25">
      <c r="A3760" s="98" t="s">
        <v>4259</v>
      </c>
    </row>
    <row r="3761" spans="1:1" x14ac:dyDescent="0.25">
      <c r="A3761" s="96" t="s">
        <v>4260</v>
      </c>
    </row>
    <row r="3762" spans="1:1" x14ac:dyDescent="0.25">
      <c r="A3762" s="96" t="s">
        <v>4261</v>
      </c>
    </row>
    <row r="3763" spans="1:1" x14ac:dyDescent="0.25">
      <c r="A3763" s="96" t="s">
        <v>4262</v>
      </c>
    </row>
    <row r="3764" spans="1:1" x14ac:dyDescent="0.25">
      <c r="A3764" s="98" t="s">
        <v>4263</v>
      </c>
    </row>
    <row r="3765" spans="1:1" x14ac:dyDescent="0.25">
      <c r="A3765" s="98" t="s">
        <v>4264</v>
      </c>
    </row>
    <row r="3766" spans="1:1" x14ac:dyDescent="0.25">
      <c r="A3766" s="98" t="s">
        <v>4265</v>
      </c>
    </row>
    <row r="3767" spans="1:1" x14ac:dyDescent="0.25">
      <c r="A3767" s="26" t="s">
        <v>4266</v>
      </c>
    </row>
    <row r="3768" spans="1:1" x14ac:dyDescent="0.25">
      <c r="A3768" s="96" t="s">
        <v>4267</v>
      </c>
    </row>
    <row r="3769" spans="1:1" x14ac:dyDescent="0.25">
      <c r="A3769" s="98" t="s">
        <v>4268</v>
      </c>
    </row>
    <row r="3770" spans="1:1" x14ac:dyDescent="0.25">
      <c r="A3770" s="96" t="s">
        <v>4269</v>
      </c>
    </row>
    <row r="3771" spans="1:1" x14ac:dyDescent="0.25">
      <c r="A3771" s="98" t="s">
        <v>4270</v>
      </c>
    </row>
    <row r="3772" spans="1:1" x14ac:dyDescent="0.25">
      <c r="A3772" s="98" t="s">
        <v>4271</v>
      </c>
    </row>
    <row r="3773" spans="1:1" x14ac:dyDescent="0.25">
      <c r="A3773" s="96" t="s">
        <v>4272</v>
      </c>
    </row>
    <row r="3774" spans="1:1" x14ac:dyDescent="0.25">
      <c r="A3774" s="98" t="s">
        <v>4273</v>
      </c>
    </row>
    <row r="3775" spans="1:1" x14ac:dyDescent="0.25">
      <c r="A3775" s="98" t="s">
        <v>4274</v>
      </c>
    </row>
    <row r="3776" spans="1:1" x14ac:dyDescent="0.25">
      <c r="A3776" s="98" t="s">
        <v>4275</v>
      </c>
    </row>
    <row r="3777" spans="1:1" x14ac:dyDescent="0.25">
      <c r="A3777" s="98" t="s">
        <v>4276</v>
      </c>
    </row>
    <row r="3778" spans="1:1" x14ac:dyDescent="0.25">
      <c r="A3778" s="96" t="s">
        <v>4277</v>
      </c>
    </row>
    <row r="3779" spans="1:1" x14ac:dyDescent="0.25">
      <c r="A3779" s="98" t="s">
        <v>4278</v>
      </c>
    </row>
    <row r="3780" spans="1:1" x14ac:dyDescent="0.25">
      <c r="A3780" s="98" t="s">
        <v>4279</v>
      </c>
    </row>
    <row r="3781" spans="1:1" x14ac:dyDescent="0.25">
      <c r="A3781" s="26" t="s">
        <v>4280</v>
      </c>
    </row>
    <row r="3782" spans="1:1" x14ac:dyDescent="0.25">
      <c r="A3782" s="26" t="s">
        <v>4281</v>
      </c>
    </row>
    <row r="3783" spans="1:1" x14ac:dyDescent="0.25">
      <c r="A3783" s="26" t="s">
        <v>4282</v>
      </c>
    </row>
    <row r="3784" spans="1:1" x14ac:dyDescent="0.25">
      <c r="A3784" s="98" t="s">
        <v>4283</v>
      </c>
    </row>
    <row r="3785" spans="1:1" x14ac:dyDescent="0.25">
      <c r="A3785" s="96" t="s">
        <v>4284</v>
      </c>
    </row>
    <row r="3786" spans="1:1" x14ac:dyDescent="0.25">
      <c r="A3786" s="96" t="s">
        <v>4285</v>
      </c>
    </row>
    <row r="3787" spans="1:1" x14ac:dyDescent="0.25">
      <c r="A3787" s="96" t="s">
        <v>4286</v>
      </c>
    </row>
    <row r="3788" spans="1:1" x14ac:dyDescent="0.25">
      <c r="A3788" s="98" t="s">
        <v>4287</v>
      </c>
    </row>
    <row r="3789" spans="1:1" x14ac:dyDescent="0.25">
      <c r="A3789" s="26" t="s">
        <v>4288</v>
      </c>
    </row>
    <row r="3790" spans="1:1" x14ac:dyDescent="0.25">
      <c r="A3790" s="98" t="s">
        <v>4289</v>
      </c>
    </row>
    <row r="3791" spans="1:1" x14ac:dyDescent="0.25">
      <c r="A3791" s="98" t="s">
        <v>4290</v>
      </c>
    </row>
    <row r="3792" spans="1:1" x14ac:dyDescent="0.25">
      <c r="A3792" s="96" t="s">
        <v>4291</v>
      </c>
    </row>
    <row r="3793" spans="1:1" x14ac:dyDescent="0.25">
      <c r="A3793" s="98" t="s">
        <v>4292</v>
      </c>
    </row>
    <row r="3794" spans="1:1" x14ac:dyDescent="0.25">
      <c r="A3794" s="98" t="s">
        <v>4293</v>
      </c>
    </row>
    <row r="3795" spans="1:1" x14ac:dyDescent="0.25">
      <c r="A3795" s="98" t="s">
        <v>4294</v>
      </c>
    </row>
    <row r="3796" spans="1:1" x14ac:dyDescent="0.25">
      <c r="A3796" s="96" t="s">
        <v>4295</v>
      </c>
    </row>
    <row r="3797" spans="1:1" x14ac:dyDescent="0.25">
      <c r="A3797" s="96" t="s">
        <v>4296</v>
      </c>
    </row>
    <row r="3798" spans="1:1" x14ac:dyDescent="0.25">
      <c r="A3798" s="96" t="s">
        <v>4297</v>
      </c>
    </row>
    <row r="3799" spans="1:1" x14ac:dyDescent="0.25">
      <c r="A3799" t="s">
        <v>4300</v>
      </c>
    </row>
    <row r="3800" spans="1:1" x14ac:dyDescent="0.25">
      <c r="A3800" t="s">
        <v>4301</v>
      </c>
    </row>
    <row r="3801" spans="1:1" x14ac:dyDescent="0.25">
      <c r="A3801" s="96" t="s">
        <v>4302</v>
      </c>
    </row>
    <row r="3802" spans="1:1" x14ac:dyDescent="0.25">
      <c r="A3802" s="96" t="s">
        <v>4303</v>
      </c>
    </row>
    <row r="3803" spans="1:1" x14ac:dyDescent="0.25">
      <c r="A3803" s="96" t="s">
        <v>4304</v>
      </c>
    </row>
    <row r="3804" spans="1:1" x14ac:dyDescent="0.25">
      <c r="A3804" s="98" t="s">
        <v>4305</v>
      </c>
    </row>
    <row r="3805" spans="1:1" x14ac:dyDescent="0.25">
      <c r="A3805" s="96" t="s">
        <v>4306</v>
      </c>
    </row>
    <row r="3806" spans="1:1" x14ac:dyDescent="0.25">
      <c r="A3806" s="98" t="s">
        <v>4307</v>
      </c>
    </row>
    <row r="3807" spans="1:1" x14ac:dyDescent="0.25">
      <c r="A3807" s="98" t="s">
        <v>4308</v>
      </c>
    </row>
    <row r="3808" spans="1:1" x14ac:dyDescent="0.25">
      <c r="A3808" s="96" t="s">
        <v>4309</v>
      </c>
    </row>
    <row r="3809" spans="1:1" x14ac:dyDescent="0.25">
      <c r="A3809" s="98" t="s">
        <v>4310</v>
      </c>
    </row>
    <row r="3810" spans="1:1" x14ac:dyDescent="0.25">
      <c r="A3810" s="96" t="s">
        <v>4311</v>
      </c>
    </row>
    <row r="3811" spans="1:1" x14ac:dyDescent="0.25">
      <c r="A3811" s="98" t="s">
        <v>4312</v>
      </c>
    </row>
    <row r="3812" spans="1:1" x14ac:dyDescent="0.25">
      <c r="A3812" s="98" t="s">
        <v>4313</v>
      </c>
    </row>
    <row r="3813" spans="1:1" x14ac:dyDescent="0.25">
      <c r="A3813" s="96" t="s">
        <v>4314</v>
      </c>
    </row>
    <row r="3814" spans="1:1" x14ac:dyDescent="0.25">
      <c r="A3814" s="98" t="s">
        <v>4315</v>
      </c>
    </row>
    <row r="3815" spans="1:1" x14ac:dyDescent="0.25">
      <c r="A3815" s="96" t="s">
        <v>4316</v>
      </c>
    </row>
    <row r="3816" spans="1:1" x14ac:dyDescent="0.25">
      <c r="A3816" s="98" t="s">
        <v>4317</v>
      </c>
    </row>
    <row r="3817" spans="1:1" x14ac:dyDescent="0.25">
      <c r="A3817" s="98" t="s">
        <v>4318</v>
      </c>
    </row>
    <row r="3818" spans="1:1" x14ac:dyDescent="0.25">
      <c r="A3818" s="96" t="s">
        <v>4319</v>
      </c>
    </row>
    <row r="3819" spans="1:1" x14ac:dyDescent="0.25">
      <c r="A3819" s="98" t="s">
        <v>4320</v>
      </c>
    </row>
    <row r="3820" spans="1:1" x14ac:dyDescent="0.25">
      <c r="A3820" s="98" t="s">
        <v>4321</v>
      </c>
    </row>
    <row r="3821" spans="1:1" x14ac:dyDescent="0.25">
      <c r="A3821" s="98" t="s">
        <v>4322</v>
      </c>
    </row>
    <row r="3822" spans="1:1" x14ac:dyDescent="0.25">
      <c r="A3822" s="96" t="s">
        <v>4323</v>
      </c>
    </row>
    <row r="3823" spans="1:1" x14ac:dyDescent="0.25">
      <c r="A3823" s="96" t="s">
        <v>4324</v>
      </c>
    </row>
    <row r="3824" spans="1:1" x14ac:dyDescent="0.25">
      <c r="A3824" s="96" t="s">
        <v>4325</v>
      </c>
    </row>
    <row r="3825" spans="1:1" x14ac:dyDescent="0.25">
      <c r="A3825" t="s">
        <v>4327</v>
      </c>
    </row>
    <row r="3826" spans="1:1" x14ac:dyDescent="0.25">
      <c r="A3826" t="s">
        <v>4328</v>
      </c>
    </row>
    <row r="3827" spans="1:1" x14ac:dyDescent="0.25">
      <c r="A3827" s="96" t="s">
        <v>4329</v>
      </c>
    </row>
    <row r="3828" spans="1:1" x14ac:dyDescent="0.25">
      <c r="A3828" s="96" t="s">
        <v>4330</v>
      </c>
    </row>
    <row r="3829" spans="1:1" x14ac:dyDescent="0.25">
      <c r="A3829" s="96" t="s">
        <v>4331</v>
      </c>
    </row>
    <row r="3830" spans="1:1" x14ac:dyDescent="0.25">
      <c r="A3830" s="98" t="s">
        <v>4332</v>
      </c>
    </row>
    <row r="3831" spans="1:1" x14ac:dyDescent="0.25">
      <c r="A3831" s="96" t="s">
        <v>4333</v>
      </c>
    </row>
    <row r="3832" spans="1:1" x14ac:dyDescent="0.25">
      <c r="A3832" s="98" t="s">
        <v>4334</v>
      </c>
    </row>
    <row r="3833" spans="1:1" x14ac:dyDescent="0.25">
      <c r="A3833" s="98" t="s">
        <v>4335</v>
      </c>
    </row>
    <row r="3834" spans="1:1" x14ac:dyDescent="0.25">
      <c r="A3834" s="98" t="s">
        <v>4336</v>
      </c>
    </row>
    <row r="3835" spans="1:1" x14ac:dyDescent="0.25">
      <c r="A3835" s="98" t="s">
        <v>4337</v>
      </c>
    </row>
    <row r="3836" spans="1:1" x14ac:dyDescent="0.25">
      <c r="A3836" s="96" t="s">
        <v>4338</v>
      </c>
    </row>
    <row r="3837" spans="1:1" x14ac:dyDescent="0.25">
      <c r="A3837" s="98" t="s">
        <v>4339</v>
      </c>
    </row>
    <row r="3838" spans="1:1" x14ac:dyDescent="0.25">
      <c r="A3838" s="96" t="s">
        <v>4340</v>
      </c>
    </row>
    <row r="3839" spans="1:1" x14ac:dyDescent="0.25">
      <c r="A3839" s="98" t="s">
        <v>4341</v>
      </c>
    </row>
    <row r="3840" spans="1:1" x14ac:dyDescent="0.25">
      <c r="A3840" s="98" t="s">
        <v>4342</v>
      </c>
    </row>
    <row r="3841" spans="1:1" x14ac:dyDescent="0.25">
      <c r="A3841" s="98" t="s">
        <v>4343</v>
      </c>
    </row>
    <row r="3842" spans="1:1" x14ac:dyDescent="0.25">
      <c r="A3842" s="98" t="s">
        <v>4344</v>
      </c>
    </row>
    <row r="3843" spans="1:1" x14ac:dyDescent="0.25">
      <c r="A3843" s="98" t="s">
        <v>4345</v>
      </c>
    </row>
    <row r="3844" spans="1:1" x14ac:dyDescent="0.25">
      <c r="A3844" s="96" t="s">
        <v>4346</v>
      </c>
    </row>
    <row r="3845" spans="1:1" x14ac:dyDescent="0.25">
      <c r="A3845" s="96" t="s">
        <v>4347</v>
      </c>
    </row>
    <row r="3846" spans="1:1" x14ac:dyDescent="0.25">
      <c r="A3846" s="98" t="s">
        <v>4348</v>
      </c>
    </row>
    <row r="3847" spans="1:1" x14ac:dyDescent="0.25">
      <c r="A3847" s="98" t="s">
        <v>4349</v>
      </c>
    </row>
    <row r="3848" spans="1:1" x14ac:dyDescent="0.25">
      <c r="A3848" s="98" t="s">
        <v>4350</v>
      </c>
    </row>
    <row r="3849" spans="1:1" x14ac:dyDescent="0.25">
      <c r="A3849" s="98" t="s">
        <v>4351</v>
      </c>
    </row>
    <row r="3850" spans="1:1" x14ac:dyDescent="0.25">
      <c r="A3850" s="98" t="s">
        <v>4352</v>
      </c>
    </row>
    <row r="3851" spans="1:1" x14ac:dyDescent="0.25">
      <c r="A3851" s="98" t="s">
        <v>4353</v>
      </c>
    </row>
    <row r="3852" spans="1:1" x14ac:dyDescent="0.25">
      <c r="A3852" s="96" t="s">
        <v>4354</v>
      </c>
    </row>
    <row r="3853" spans="1:1" x14ac:dyDescent="0.25">
      <c r="A3853" s="96" t="s">
        <v>4355</v>
      </c>
    </row>
    <row r="3854" spans="1:1" x14ac:dyDescent="0.25">
      <c r="A3854" s="98" t="s">
        <v>4356</v>
      </c>
    </row>
    <row r="3855" spans="1:1" x14ac:dyDescent="0.25">
      <c r="A3855" s="98" t="s">
        <v>4357</v>
      </c>
    </row>
    <row r="3856" spans="1:1" x14ac:dyDescent="0.25">
      <c r="A3856" s="98" t="s">
        <v>4358</v>
      </c>
    </row>
    <row r="3857" spans="1:1" x14ac:dyDescent="0.25">
      <c r="A3857" s="98" t="s">
        <v>4359</v>
      </c>
    </row>
    <row r="3858" spans="1:1" x14ac:dyDescent="0.25">
      <c r="A3858" s="98" t="s">
        <v>4360</v>
      </c>
    </row>
    <row r="3859" spans="1:1" x14ac:dyDescent="0.25">
      <c r="A3859" s="98" t="s">
        <v>4361</v>
      </c>
    </row>
    <row r="3860" spans="1:1" x14ac:dyDescent="0.25">
      <c r="A3860" s="96" t="s">
        <v>4362</v>
      </c>
    </row>
    <row r="3861" spans="1:1" x14ac:dyDescent="0.25">
      <c r="A3861" s="96" t="s">
        <v>4363</v>
      </c>
    </row>
    <row r="3862" spans="1:1" x14ac:dyDescent="0.25">
      <c r="A3862" s="98" t="s">
        <v>4364</v>
      </c>
    </row>
    <row r="3863" spans="1:1" x14ac:dyDescent="0.25">
      <c r="A3863" s="98" t="s">
        <v>4365</v>
      </c>
    </row>
    <row r="3864" spans="1:1" x14ac:dyDescent="0.25">
      <c r="A3864" s="98" t="s">
        <v>4366</v>
      </c>
    </row>
    <row r="3865" spans="1:1" x14ac:dyDescent="0.25">
      <c r="A3865" s="98" t="s">
        <v>4367</v>
      </c>
    </row>
    <row r="3866" spans="1:1" x14ac:dyDescent="0.25">
      <c r="A3866" s="98" t="s">
        <v>4368</v>
      </c>
    </row>
    <row r="3867" spans="1:1" x14ac:dyDescent="0.25">
      <c r="A3867" s="98" t="s">
        <v>4369</v>
      </c>
    </row>
    <row r="3868" spans="1:1" x14ac:dyDescent="0.25">
      <c r="A3868" s="96" t="s">
        <v>4370</v>
      </c>
    </row>
    <row r="3869" spans="1:1" x14ac:dyDescent="0.25">
      <c r="A3869" s="96" t="s">
        <v>4371</v>
      </c>
    </row>
    <row r="3870" spans="1:1" x14ac:dyDescent="0.25">
      <c r="A3870" s="98" t="s">
        <v>4372</v>
      </c>
    </row>
    <row r="3871" spans="1:1" x14ac:dyDescent="0.25">
      <c r="A3871" s="98" t="s">
        <v>4373</v>
      </c>
    </row>
    <row r="3872" spans="1:1" x14ac:dyDescent="0.25">
      <c r="A3872" s="98" t="s">
        <v>4374</v>
      </c>
    </row>
    <row r="3873" spans="1:1" x14ac:dyDescent="0.25">
      <c r="A3873" s="98" t="s">
        <v>4375</v>
      </c>
    </row>
    <row r="3874" spans="1:1" x14ac:dyDescent="0.25">
      <c r="A3874" s="98" t="s">
        <v>4376</v>
      </c>
    </row>
    <row r="3875" spans="1:1" x14ac:dyDescent="0.25">
      <c r="A3875" s="98" t="s">
        <v>4377</v>
      </c>
    </row>
    <row r="3876" spans="1:1" x14ac:dyDescent="0.25">
      <c r="A3876" s="96" t="s">
        <v>4378</v>
      </c>
    </row>
    <row r="3877" spans="1:1" x14ac:dyDescent="0.25">
      <c r="A3877" s="96" t="s">
        <v>4379</v>
      </c>
    </row>
    <row r="3878" spans="1:1" x14ac:dyDescent="0.25">
      <c r="A3878" s="98" t="s">
        <v>4380</v>
      </c>
    </row>
    <row r="3879" spans="1:1" x14ac:dyDescent="0.25">
      <c r="A3879" s="98" t="s">
        <v>4381</v>
      </c>
    </row>
    <row r="3880" spans="1:1" x14ac:dyDescent="0.25">
      <c r="A3880" s="98" t="s">
        <v>4382</v>
      </c>
    </row>
    <row r="3881" spans="1:1" x14ac:dyDescent="0.25">
      <c r="A3881" s="98" t="s">
        <v>4383</v>
      </c>
    </row>
    <row r="3882" spans="1:1" x14ac:dyDescent="0.25">
      <c r="A3882" s="98" t="s">
        <v>4384</v>
      </c>
    </row>
    <row r="3883" spans="1:1" x14ac:dyDescent="0.25">
      <c r="A3883" s="98" t="s">
        <v>4385</v>
      </c>
    </row>
    <row r="3884" spans="1:1" x14ac:dyDescent="0.25">
      <c r="A3884" s="96" t="s">
        <v>4386</v>
      </c>
    </row>
    <row r="3885" spans="1:1" x14ac:dyDescent="0.25">
      <c r="A3885" s="96" t="s">
        <v>4387</v>
      </c>
    </row>
    <row r="3886" spans="1:1" x14ac:dyDescent="0.25">
      <c r="A3886" s="98" t="s">
        <v>4388</v>
      </c>
    </row>
    <row r="3887" spans="1:1" x14ac:dyDescent="0.25">
      <c r="A3887" s="98" t="s">
        <v>4389</v>
      </c>
    </row>
    <row r="3888" spans="1:1" x14ac:dyDescent="0.25">
      <c r="A3888" s="98" t="s">
        <v>4390</v>
      </c>
    </row>
    <row r="3889" spans="1:1" x14ac:dyDescent="0.25">
      <c r="A3889" s="98" t="s">
        <v>4391</v>
      </c>
    </row>
    <row r="3890" spans="1:1" x14ac:dyDescent="0.25">
      <c r="A3890" s="98" t="s">
        <v>4392</v>
      </c>
    </row>
    <row r="3891" spans="1:1" x14ac:dyDescent="0.25">
      <c r="A3891" s="98" t="s">
        <v>4393</v>
      </c>
    </row>
    <row r="3892" spans="1:1" x14ac:dyDescent="0.25">
      <c r="A3892" s="96" t="s">
        <v>4394</v>
      </c>
    </row>
    <row r="3893" spans="1:1" x14ac:dyDescent="0.25">
      <c r="A3893" s="96" t="s">
        <v>4395</v>
      </c>
    </row>
    <row r="3894" spans="1:1" x14ac:dyDescent="0.25">
      <c r="A3894" s="98" t="s">
        <v>4396</v>
      </c>
    </row>
    <row r="3895" spans="1:1" x14ac:dyDescent="0.25">
      <c r="A3895" s="98" t="s">
        <v>4397</v>
      </c>
    </row>
    <row r="3896" spans="1:1" x14ac:dyDescent="0.25">
      <c r="A3896" s="98" t="s">
        <v>4398</v>
      </c>
    </row>
    <row r="3897" spans="1:1" x14ac:dyDescent="0.25">
      <c r="A3897" s="98" t="s">
        <v>4399</v>
      </c>
    </row>
    <row r="3898" spans="1:1" x14ac:dyDescent="0.25">
      <c r="A3898" s="98" t="s">
        <v>4400</v>
      </c>
    </row>
    <row r="3899" spans="1:1" x14ac:dyDescent="0.25">
      <c r="A3899" s="98" t="s">
        <v>4401</v>
      </c>
    </row>
    <row r="3900" spans="1:1" x14ac:dyDescent="0.25">
      <c r="A3900" s="96" t="s">
        <v>4402</v>
      </c>
    </row>
    <row r="3901" spans="1:1" x14ac:dyDescent="0.25">
      <c r="A3901" s="96" t="s">
        <v>4403</v>
      </c>
    </row>
    <row r="3902" spans="1:1" x14ac:dyDescent="0.25">
      <c r="A3902" s="98" t="s">
        <v>4404</v>
      </c>
    </row>
    <row r="3903" spans="1:1" x14ac:dyDescent="0.25">
      <c r="A3903" s="98" t="s">
        <v>4405</v>
      </c>
    </row>
    <row r="3904" spans="1:1" x14ac:dyDescent="0.25">
      <c r="A3904" s="98" t="s">
        <v>4406</v>
      </c>
    </row>
    <row r="3905" spans="1:1" x14ac:dyDescent="0.25">
      <c r="A3905" s="98" t="s">
        <v>4407</v>
      </c>
    </row>
    <row r="3906" spans="1:1" x14ac:dyDescent="0.25">
      <c r="A3906" s="98" t="s">
        <v>4408</v>
      </c>
    </row>
    <row r="3907" spans="1:1" x14ac:dyDescent="0.25">
      <c r="A3907" s="98" t="s">
        <v>4409</v>
      </c>
    </row>
    <row r="3908" spans="1:1" x14ac:dyDescent="0.25">
      <c r="A3908" s="96" t="s">
        <v>4410</v>
      </c>
    </row>
    <row r="3909" spans="1:1" x14ac:dyDescent="0.25">
      <c r="A3909" s="96" t="s">
        <v>4411</v>
      </c>
    </row>
    <row r="3910" spans="1:1" x14ac:dyDescent="0.25">
      <c r="A3910" s="98" t="s">
        <v>4412</v>
      </c>
    </row>
    <row r="3911" spans="1:1" x14ac:dyDescent="0.25">
      <c r="A3911" s="98" t="s">
        <v>4413</v>
      </c>
    </row>
    <row r="3912" spans="1:1" x14ac:dyDescent="0.25">
      <c r="A3912" s="98" t="s">
        <v>4414</v>
      </c>
    </row>
    <row r="3913" spans="1:1" x14ac:dyDescent="0.25">
      <c r="A3913" s="98" t="s">
        <v>4415</v>
      </c>
    </row>
    <row r="3914" spans="1:1" x14ac:dyDescent="0.25">
      <c r="A3914" s="98" t="s">
        <v>4416</v>
      </c>
    </row>
    <row r="3915" spans="1:1" x14ac:dyDescent="0.25">
      <c r="A3915" s="98" t="s">
        <v>4417</v>
      </c>
    </row>
    <row r="3916" spans="1:1" x14ac:dyDescent="0.25">
      <c r="A3916" s="96" t="s">
        <v>4418</v>
      </c>
    </row>
    <row r="3917" spans="1:1" x14ac:dyDescent="0.25">
      <c r="A3917" s="96" t="s">
        <v>4419</v>
      </c>
    </row>
    <row r="3918" spans="1:1" x14ac:dyDescent="0.25">
      <c r="A3918" s="98" t="s">
        <v>4420</v>
      </c>
    </row>
    <row r="3919" spans="1:1" x14ac:dyDescent="0.25">
      <c r="A3919" s="98" t="s">
        <v>4421</v>
      </c>
    </row>
    <row r="3920" spans="1:1" x14ac:dyDescent="0.25">
      <c r="A3920" s="98" t="s">
        <v>4422</v>
      </c>
    </row>
    <row r="3921" spans="1:1" x14ac:dyDescent="0.25">
      <c r="A3921" s="98" t="s">
        <v>4423</v>
      </c>
    </row>
    <row r="3922" spans="1:1" x14ac:dyDescent="0.25">
      <c r="A3922" s="98" t="s">
        <v>4424</v>
      </c>
    </row>
    <row r="3923" spans="1:1" x14ac:dyDescent="0.25">
      <c r="A3923" s="96" t="s">
        <v>4425</v>
      </c>
    </row>
    <row r="3924" spans="1:1" x14ac:dyDescent="0.25">
      <c r="A3924" s="98" t="s">
        <v>4426</v>
      </c>
    </row>
    <row r="3925" spans="1:1" x14ac:dyDescent="0.25">
      <c r="A3925" s="98" t="s">
        <v>4427</v>
      </c>
    </row>
    <row r="3926" spans="1:1" x14ac:dyDescent="0.25">
      <c r="A3926" s="98" t="s">
        <v>4428</v>
      </c>
    </row>
    <row r="3927" spans="1:1" x14ac:dyDescent="0.25">
      <c r="A3927" s="96" t="s">
        <v>4429</v>
      </c>
    </row>
    <row r="3928" spans="1:1" x14ac:dyDescent="0.25">
      <c r="A3928" s="96" t="s">
        <v>4430</v>
      </c>
    </row>
    <row r="3929" spans="1:1" x14ac:dyDescent="0.25">
      <c r="A3929" s="96" t="s">
        <v>4431</v>
      </c>
    </row>
    <row r="3930" spans="1:1" x14ac:dyDescent="0.25">
      <c r="A3930" t="s">
        <v>4434</v>
      </c>
    </row>
    <row r="3931" spans="1:1" x14ac:dyDescent="0.25">
      <c r="A3931" t="s">
        <v>4435</v>
      </c>
    </row>
    <row r="3932" spans="1:1" x14ac:dyDescent="0.25">
      <c r="A3932" s="96" t="s">
        <v>4436</v>
      </c>
    </row>
    <row r="3933" spans="1:1" x14ac:dyDescent="0.25">
      <c r="A3933" s="96" t="s">
        <v>4437</v>
      </c>
    </row>
    <row r="3934" spans="1:1" x14ac:dyDescent="0.25">
      <c r="A3934" s="96" t="s">
        <v>4438</v>
      </c>
    </row>
    <row r="3935" spans="1:1" x14ac:dyDescent="0.25">
      <c r="A3935" s="98" t="s">
        <v>4439</v>
      </c>
    </row>
    <row r="3936" spans="1:1" x14ac:dyDescent="0.25">
      <c r="A3936" s="96" t="s">
        <v>4440</v>
      </c>
    </row>
    <row r="3937" spans="1:1" x14ac:dyDescent="0.25">
      <c r="A3937" s="26" t="s">
        <v>4441</v>
      </c>
    </row>
    <row r="3938" spans="1:1" x14ac:dyDescent="0.25">
      <c r="A3938" s="98" t="s">
        <v>4442</v>
      </c>
    </row>
    <row r="3939" spans="1:1" x14ac:dyDescent="0.25">
      <c r="A3939" s="98" t="s">
        <v>4443</v>
      </c>
    </row>
    <row r="3940" spans="1:1" x14ac:dyDescent="0.25">
      <c r="A3940" s="98" t="s">
        <v>4444</v>
      </c>
    </row>
    <row r="3941" spans="1:1" x14ac:dyDescent="0.25">
      <c r="A3941" s="96" t="s">
        <v>4445</v>
      </c>
    </row>
    <row r="3942" spans="1:1" x14ac:dyDescent="0.25">
      <c r="A3942" s="96" t="s">
        <v>4446</v>
      </c>
    </row>
    <row r="3943" spans="1:1" x14ac:dyDescent="0.25">
      <c r="A3943" s="96" t="s">
        <v>4447</v>
      </c>
    </row>
    <row r="3944" spans="1:1" x14ac:dyDescent="0.25">
      <c r="A3944" s="98" t="s">
        <v>4448</v>
      </c>
    </row>
    <row r="3945" spans="1:1" x14ac:dyDescent="0.25">
      <c r="A3945" s="96" t="s">
        <v>4449</v>
      </c>
    </row>
    <row r="3946" spans="1:1" x14ac:dyDescent="0.25">
      <c r="A3946" s="98" t="s">
        <v>4450</v>
      </c>
    </row>
    <row r="3947" spans="1:1" x14ac:dyDescent="0.25">
      <c r="A3947" s="96" t="s">
        <v>4451</v>
      </c>
    </row>
    <row r="3948" spans="1:1" x14ac:dyDescent="0.25">
      <c r="A3948" s="26" t="s">
        <v>4452</v>
      </c>
    </row>
    <row r="3949" spans="1:1" x14ac:dyDescent="0.25">
      <c r="A3949" s="98" t="s">
        <v>4453</v>
      </c>
    </row>
    <row r="3950" spans="1:1" x14ac:dyDescent="0.25">
      <c r="A3950" s="98" t="s">
        <v>4454</v>
      </c>
    </row>
    <row r="3951" spans="1:1" x14ac:dyDescent="0.25">
      <c r="A3951" s="26" t="s">
        <v>4455</v>
      </c>
    </row>
    <row r="3952" spans="1:1" x14ac:dyDescent="0.25">
      <c r="A3952" s="96" t="s">
        <v>4456</v>
      </c>
    </row>
    <row r="3953" spans="1:1" x14ac:dyDescent="0.25">
      <c r="A3953" s="98" t="s">
        <v>4457</v>
      </c>
    </row>
    <row r="3954" spans="1:1" x14ac:dyDescent="0.25">
      <c r="A3954" s="98" t="s">
        <v>4458</v>
      </c>
    </row>
    <row r="3955" spans="1:1" x14ac:dyDescent="0.25">
      <c r="A3955" s="98" t="s">
        <v>4459</v>
      </c>
    </row>
    <row r="3956" spans="1:1" x14ac:dyDescent="0.25">
      <c r="A3956" s="96" t="s">
        <v>4460</v>
      </c>
    </row>
    <row r="3957" spans="1:1" x14ac:dyDescent="0.25">
      <c r="A3957" s="96" t="s">
        <v>4461</v>
      </c>
    </row>
    <row r="3958" spans="1:1" x14ac:dyDescent="0.25">
      <c r="A3958" s="96" t="s">
        <v>4462</v>
      </c>
    </row>
    <row r="3959" spans="1:1" x14ac:dyDescent="0.25">
      <c r="A3959" t="s">
        <v>4465</v>
      </c>
    </row>
    <row r="3960" spans="1:1" x14ac:dyDescent="0.25">
      <c r="A3960" t="s">
        <v>4466</v>
      </c>
    </row>
    <row r="3961" spans="1:1" x14ac:dyDescent="0.25">
      <c r="A3961" s="96" t="s">
        <v>4467</v>
      </c>
    </row>
    <row r="3962" spans="1:1" x14ac:dyDescent="0.25">
      <c r="A3962" s="96" t="s">
        <v>4468</v>
      </c>
    </row>
    <row r="3963" spans="1:1" x14ac:dyDescent="0.25">
      <c r="A3963" s="96" t="s">
        <v>4469</v>
      </c>
    </row>
    <row r="3964" spans="1:1" x14ac:dyDescent="0.25">
      <c r="A3964" s="98" t="s">
        <v>4470</v>
      </c>
    </row>
    <row r="3965" spans="1:1" x14ac:dyDescent="0.25">
      <c r="A3965" s="96" t="s">
        <v>4471</v>
      </c>
    </row>
    <row r="3966" spans="1:1" x14ac:dyDescent="0.25">
      <c r="A3966" s="26" t="s">
        <v>4472</v>
      </c>
    </row>
    <row r="3967" spans="1:1" x14ac:dyDescent="0.25">
      <c r="A3967" s="98" t="s">
        <v>4473</v>
      </c>
    </row>
    <row r="3968" spans="1:1" x14ac:dyDescent="0.25">
      <c r="A3968" s="98" t="s">
        <v>4474</v>
      </c>
    </row>
    <row r="3969" spans="1:1" x14ac:dyDescent="0.25">
      <c r="A3969" s="96" t="s">
        <v>4475</v>
      </c>
    </row>
    <row r="3970" spans="1:1" x14ac:dyDescent="0.25">
      <c r="A3970" s="98" t="s">
        <v>4476</v>
      </c>
    </row>
    <row r="3971" spans="1:1" x14ac:dyDescent="0.25">
      <c r="A3971" s="96" t="s">
        <v>4477</v>
      </c>
    </row>
    <row r="3972" spans="1:1" x14ac:dyDescent="0.25">
      <c r="A3972" s="26" t="s">
        <v>4478</v>
      </c>
    </row>
    <row r="3973" spans="1:1" x14ac:dyDescent="0.25">
      <c r="A3973" s="98" t="s">
        <v>4479</v>
      </c>
    </row>
    <row r="3974" spans="1:1" x14ac:dyDescent="0.25">
      <c r="A3974" s="98" t="s">
        <v>4480</v>
      </c>
    </row>
    <row r="3975" spans="1:1" x14ac:dyDescent="0.25">
      <c r="A3975" s="96" t="s">
        <v>4481</v>
      </c>
    </row>
    <row r="3976" spans="1:1" x14ac:dyDescent="0.25">
      <c r="A3976" s="98" t="s">
        <v>4482</v>
      </c>
    </row>
    <row r="3977" spans="1:1" x14ac:dyDescent="0.25">
      <c r="A3977" s="96" t="s">
        <v>4483</v>
      </c>
    </row>
    <row r="3978" spans="1:1" x14ac:dyDescent="0.25">
      <c r="A3978" s="26" t="s">
        <v>4484</v>
      </c>
    </row>
    <row r="3979" spans="1:1" x14ac:dyDescent="0.25">
      <c r="A3979" s="98" t="s">
        <v>4485</v>
      </c>
    </row>
    <row r="3980" spans="1:1" x14ac:dyDescent="0.25">
      <c r="A3980" s="98" t="s">
        <v>4486</v>
      </c>
    </row>
    <row r="3981" spans="1:1" x14ac:dyDescent="0.25">
      <c r="A3981" s="98" t="s">
        <v>4487</v>
      </c>
    </row>
    <row r="3982" spans="1:1" x14ac:dyDescent="0.25">
      <c r="A3982" s="98" t="s">
        <v>4488</v>
      </c>
    </row>
    <row r="3983" spans="1:1" x14ac:dyDescent="0.25">
      <c r="A3983" s="98" t="s">
        <v>4489</v>
      </c>
    </row>
    <row r="3984" spans="1:1" x14ac:dyDescent="0.25">
      <c r="A3984" s="96" t="s">
        <v>4490</v>
      </c>
    </row>
    <row r="3985" spans="1:1" x14ac:dyDescent="0.25">
      <c r="A3985" s="96" t="s">
        <v>4491</v>
      </c>
    </row>
    <row r="3986" spans="1:1" x14ac:dyDescent="0.25">
      <c r="A3986" s="98" t="s">
        <v>4492</v>
      </c>
    </row>
    <row r="3987" spans="1:1" x14ac:dyDescent="0.25">
      <c r="A3987" s="96" t="s">
        <v>4493</v>
      </c>
    </row>
    <row r="3988" spans="1:1" x14ac:dyDescent="0.25">
      <c r="A3988" s="96" t="s">
        <v>4494</v>
      </c>
    </row>
    <row r="3989" spans="1:1" x14ac:dyDescent="0.25">
      <c r="A3989" s="96" t="s">
        <v>4495</v>
      </c>
    </row>
    <row r="3990" spans="1:1" x14ac:dyDescent="0.25">
      <c r="A3990" s="98" t="s">
        <v>4496</v>
      </c>
    </row>
    <row r="3991" spans="1:1" x14ac:dyDescent="0.25">
      <c r="A3991" s="98" t="s">
        <v>4497</v>
      </c>
    </row>
    <row r="3992" spans="1:1" x14ac:dyDescent="0.25">
      <c r="A3992" s="98" t="s">
        <v>4498</v>
      </c>
    </row>
    <row r="3993" spans="1:1" x14ac:dyDescent="0.25">
      <c r="A3993" s="98" t="s">
        <v>4499</v>
      </c>
    </row>
    <row r="3994" spans="1:1" x14ac:dyDescent="0.25">
      <c r="A3994" s="98" t="s">
        <v>4500</v>
      </c>
    </row>
    <row r="3995" spans="1:1" x14ac:dyDescent="0.25">
      <c r="A3995" s="96" t="s">
        <v>4501</v>
      </c>
    </row>
    <row r="3996" spans="1:1" x14ac:dyDescent="0.25">
      <c r="A3996" s="96" t="s">
        <v>4502</v>
      </c>
    </row>
    <row r="3997" spans="1:1" x14ac:dyDescent="0.25">
      <c r="A3997" s="98" t="s">
        <v>4503</v>
      </c>
    </row>
    <row r="3998" spans="1:1" x14ac:dyDescent="0.25">
      <c r="A3998" s="98" t="s">
        <v>4504</v>
      </c>
    </row>
    <row r="3999" spans="1:1" x14ac:dyDescent="0.25">
      <c r="A3999" s="98" t="s">
        <v>4505</v>
      </c>
    </row>
    <row r="4000" spans="1:1" x14ac:dyDescent="0.25">
      <c r="A4000" s="98" t="s">
        <v>4506</v>
      </c>
    </row>
    <row r="4001" spans="1:1" x14ac:dyDescent="0.25">
      <c r="A4001" s="98" t="s">
        <v>4507</v>
      </c>
    </row>
    <row r="4002" spans="1:1" x14ac:dyDescent="0.25">
      <c r="A4002" s="98" t="s">
        <v>4508</v>
      </c>
    </row>
    <row r="4003" spans="1:1" x14ac:dyDescent="0.25">
      <c r="A4003" s="98" t="s">
        <v>4509</v>
      </c>
    </row>
    <row r="4004" spans="1:1" x14ac:dyDescent="0.25">
      <c r="A4004" s="98" t="s">
        <v>4510</v>
      </c>
    </row>
    <row r="4005" spans="1:1" x14ac:dyDescent="0.25">
      <c r="A4005" s="98" t="s">
        <v>4511</v>
      </c>
    </row>
    <row r="4006" spans="1:1" x14ac:dyDescent="0.25">
      <c r="A4006" s="98" t="s">
        <v>4512</v>
      </c>
    </row>
    <row r="4007" spans="1:1" x14ac:dyDescent="0.25">
      <c r="A4007" s="96" t="s">
        <v>4513</v>
      </c>
    </row>
    <row r="4008" spans="1:1" x14ac:dyDescent="0.25">
      <c r="A4008" s="96" t="s">
        <v>4514</v>
      </c>
    </row>
    <row r="4009" spans="1:1" x14ac:dyDescent="0.25">
      <c r="A4009" s="98" t="s">
        <v>4515</v>
      </c>
    </row>
    <row r="4010" spans="1:1" x14ac:dyDescent="0.25">
      <c r="A4010" s="98" t="s">
        <v>4516</v>
      </c>
    </row>
    <row r="4011" spans="1:1" x14ac:dyDescent="0.25">
      <c r="A4011" s="98" t="s">
        <v>4517</v>
      </c>
    </row>
    <row r="4012" spans="1:1" x14ac:dyDescent="0.25">
      <c r="A4012" s="26" t="s">
        <v>4518</v>
      </c>
    </row>
    <row r="4013" spans="1:1" x14ac:dyDescent="0.25">
      <c r="A4013" s="98" t="s">
        <v>4519</v>
      </c>
    </row>
    <row r="4014" spans="1:1" x14ac:dyDescent="0.25">
      <c r="A4014" s="98" t="s">
        <v>4520</v>
      </c>
    </row>
    <row r="4015" spans="1:1" x14ac:dyDescent="0.25">
      <c r="A4015" s="96" t="s">
        <v>4521</v>
      </c>
    </row>
    <row r="4016" spans="1:1" x14ac:dyDescent="0.25">
      <c r="A4016" s="96" t="s">
        <v>4522</v>
      </c>
    </row>
    <row r="4017" spans="1:1" x14ac:dyDescent="0.25">
      <c r="A4017" s="26" t="s">
        <v>4523</v>
      </c>
    </row>
    <row r="4018" spans="1:1" x14ac:dyDescent="0.25">
      <c r="A4018" s="96" t="s">
        <v>4524</v>
      </c>
    </row>
    <row r="4019" spans="1:1" x14ac:dyDescent="0.25">
      <c r="A4019" s="96" t="s">
        <v>4525</v>
      </c>
    </row>
    <row r="4020" spans="1:1" x14ac:dyDescent="0.25">
      <c r="A4020" s="96" t="s">
        <v>4526</v>
      </c>
    </row>
    <row r="4021" spans="1:1" x14ac:dyDescent="0.25">
      <c r="A4021" s="96" t="s">
        <v>4527</v>
      </c>
    </row>
    <row r="4022" spans="1:1" x14ac:dyDescent="0.25">
      <c r="A4022" s="98" t="s">
        <v>4528</v>
      </c>
    </row>
    <row r="4023" spans="1:1" x14ac:dyDescent="0.25">
      <c r="A4023" s="98" t="s">
        <v>4529</v>
      </c>
    </row>
    <row r="4024" spans="1:1" x14ac:dyDescent="0.25">
      <c r="A4024" s="98" t="s">
        <v>4530</v>
      </c>
    </row>
    <row r="4025" spans="1:1" x14ac:dyDescent="0.25">
      <c r="A4025" s="96" t="s">
        <v>4531</v>
      </c>
    </row>
    <row r="4026" spans="1:1" x14ac:dyDescent="0.25">
      <c r="A4026" s="96" t="s">
        <v>4532</v>
      </c>
    </row>
    <row r="4027" spans="1:1" x14ac:dyDescent="0.25">
      <c r="A4027" s="96" t="s">
        <v>4533</v>
      </c>
    </row>
    <row r="4028" spans="1:1" x14ac:dyDescent="0.25">
      <c r="A4028" t="s">
        <v>4536</v>
      </c>
    </row>
    <row r="4029" spans="1:1" x14ac:dyDescent="0.25">
      <c r="A4029" t="s">
        <v>4537</v>
      </c>
    </row>
    <row r="4030" spans="1:1" x14ac:dyDescent="0.25">
      <c r="A4030" s="96" t="s">
        <v>4538</v>
      </c>
    </row>
    <row r="4031" spans="1:1" x14ac:dyDescent="0.25">
      <c r="A4031" s="96" t="s">
        <v>4539</v>
      </c>
    </row>
    <row r="4032" spans="1:1" x14ac:dyDescent="0.25">
      <c r="A4032" s="96" t="s">
        <v>4540</v>
      </c>
    </row>
    <row r="4033" spans="1:1" x14ac:dyDescent="0.25">
      <c r="A4033" s="98" t="s">
        <v>4541</v>
      </c>
    </row>
    <row r="4034" spans="1:1" x14ac:dyDescent="0.25">
      <c r="A4034" s="96" t="s">
        <v>4542</v>
      </c>
    </row>
    <row r="4035" spans="1:1" x14ac:dyDescent="0.25">
      <c r="A4035" s="98" t="s">
        <v>4543</v>
      </c>
    </row>
    <row r="4036" spans="1:1" x14ac:dyDescent="0.25">
      <c r="A4036" s="98" t="s">
        <v>4544</v>
      </c>
    </row>
    <row r="4037" spans="1:1" x14ac:dyDescent="0.25">
      <c r="A4037" s="96" t="s">
        <v>4545</v>
      </c>
    </row>
    <row r="4038" spans="1:1" x14ac:dyDescent="0.25">
      <c r="A4038" s="98" t="s">
        <v>4546</v>
      </c>
    </row>
    <row r="4039" spans="1:1" x14ac:dyDescent="0.25">
      <c r="A4039" s="96" t="s">
        <v>4547</v>
      </c>
    </row>
    <row r="4040" spans="1:1" x14ac:dyDescent="0.25">
      <c r="A4040" s="98" t="s">
        <v>4548</v>
      </c>
    </row>
    <row r="4041" spans="1:1" x14ac:dyDescent="0.25">
      <c r="A4041" s="98" t="s">
        <v>4549</v>
      </c>
    </row>
    <row r="4042" spans="1:1" x14ac:dyDescent="0.25">
      <c r="A4042" s="96" t="s">
        <v>4550</v>
      </c>
    </row>
    <row r="4043" spans="1:1" x14ac:dyDescent="0.25">
      <c r="A4043" s="98" t="s">
        <v>4551</v>
      </c>
    </row>
    <row r="4044" spans="1:1" x14ac:dyDescent="0.25">
      <c r="A4044" s="96" t="s">
        <v>4552</v>
      </c>
    </row>
    <row r="4045" spans="1:1" x14ac:dyDescent="0.25">
      <c r="A4045" s="98" t="s">
        <v>4553</v>
      </c>
    </row>
    <row r="4046" spans="1:1" x14ac:dyDescent="0.25">
      <c r="A4046" s="98" t="s">
        <v>4554</v>
      </c>
    </row>
    <row r="4047" spans="1:1" x14ac:dyDescent="0.25">
      <c r="A4047" s="98" t="s">
        <v>4555</v>
      </c>
    </row>
    <row r="4048" spans="1:1" x14ac:dyDescent="0.25">
      <c r="A4048" s="98" t="s">
        <v>4556</v>
      </c>
    </row>
    <row r="4049" spans="1:1" x14ac:dyDescent="0.25">
      <c r="A4049" s="98" t="s">
        <v>4557</v>
      </c>
    </row>
    <row r="4050" spans="1:1" x14ac:dyDescent="0.25">
      <c r="A4050" s="96" t="s">
        <v>4558</v>
      </c>
    </row>
    <row r="4051" spans="1:1" x14ac:dyDescent="0.25">
      <c r="A4051" s="96" t="s">
        <v>4559</v>
      </c>
    </row>
    <row r="4052" spans="1:1" x14ac:dyDescent="0.25">
      <c r="A4052" s="98" t="s">
        <v>4560</v>
      </c>
    </row>
    <row r="4053" spans="1:1" x14ac:dyDescent="0.25">
      <c r="A4053" s="98" t="s">
        <v>4561</v>
      </c>
    </row>
    <row r="4054" spans="1:1" x14ac:dyDescent="0.25">
      <c r="A4054" s="98" t="s">
        <v>4562</v>
      </c>
    </row>
    <row r="4055" spans="1:1" x14ac:dyDescent="0.25">
      <c r="A4055" s="98" t="s">
        <v>4563</v>
      </c>
    </row>
    <row r="4056" spans="1:1" x14ac:dyDescent="0.25">
      <c r="A4056" s="98" t="s">
        <v>4564</v>
      </c>
    </row>
    <row r="4057" spans="1:1" x14ac:dyDescent="0.25">
      <c r="A4057" s="98" t="s">
        <v>4565</v>
      </c>
    </row>
    <row r="4058" spans="1:1" x14ac:dyDescent="0.25">
      <c r="A4058" s="96" t="s">
        <v>4566</v>
      </c>
    </row>
    <row r="4059" spans="1:1" x14ac:dyDescent="0.25">
      <c r="A4059" s="96" t="s">
        <v>4567</v>
      </c>
    </row>
    <row r="4060" spans="1:1" x14ac:dyDescent="0.25">
      <c r="A4060" s="98" t="s">
        <v>4568</v>
      </c>
    </row>
    <row r="4061" spans="1:1" x14ac:dyDescent="0.25">
      <c r="A4061" s="98" t="s">
        <v>4569</v>
      </c>
    </row>
    <row r="4062" spans="1:1" x14ac:dyDescent="0.25">
      <c r="A4062" s="98" t="s">
        <v>4570</v>
      </c>
    </row>
    <row r="4063" spans="1:1" x14ac:dyDescent="0.25">
      <c r="A4063" s="98" t="s">
        <v>4571</v>
      </c>
    </row>
    <row r="4064" spans="1:1" x14ac:dyDescent="0.25">
      <c r="A4064" s="98" t="s">
        <v>4572</v>
      </c>
    </row>
    <row r="4065" spans="1:1" x14ac:dyDescent="0.25">
      <c r="A4065" s="98" t="s">
        <v>4573</v>
      </c>
    </row>
    <row r="4066" spans="1:1" x14ac:dyDescent="0.25">
      <c r="A4066" s="96" t="s">
        <v>4574</v>
      </c>
    </row>
    <row r="4067" spans="1:1" x14ac:dyDescent="0.25">
      <c r="A4067" s="96" t="s">
        <v>4575</v>
      </c>
    </row>
    <row r="4068" spans="1:1" x14ac:dyDescent="0.25">
      <c r="A4068" s="98" t="s">
        <v>4576</v>
      </c>
    </row>
    <row r="4069" spans="1:1" x14ac:dyDescent="0.25">
      <c r="A4069" s="98" t="s">
        <v>4577</v>
      </c>
    </row>
    <row r="4070" spans="1:1" x14ac:dyDescent="0.25">
      <c r="A4070" s="98" t="s">
        <v>4578</v>
      </c>
    </row>
    <row r="4071" spans="1:1" x14ac:dyDescent="0.25">
      <c r="A4071" s="26" t="s">
        <v>4579</v>
      </c>
    </row>
    <row r="4072" spans="1:1" x14ac:dyDescent="0.25">
      <c r="A4072" s="98" t="s">
        <v>4580</v>
      </c>
    </row>
    <row r="4073" spans="1:1" x14ac:dyDescent="0.25">
      <c r="A4073" s="96" t="s">
        <v>4581</v>
      </c>
    </row>
    <row r="4074" spans="1:1" x14ac:dyDescent="0.25">
      <c r="A4074" s="98" t="s">
        <v>4582</v>
      </c>
    </row>
    <row r="4075" spans="1:1" x14ac:dyDescent="0.25">
      <c r="A4075" s="98" t="s">
        <v>4583</v>
      </c>
    </row>
    <row r="4076" spans="1:1" x14ac:dyDescent="0.25">
      <c r="A4076" s="26" t="s">
        <v>4584</v>
      </c>
    </row>
    <row r="4077" spans="1:1" x14ac:dyDescent="0.25">
      <c r="A4077" s="26" t="s">
        <v>4585</v>
      </c>
    </row>
    <row r="4078" spans="1:1" x14ac:dyDescent="0.25">
      <c r="A4078" s="26" t="s">
        <v>4586</v>
      </c>
    </row>
    <row r="4079" spans="1:1" x14ac:dyDescent="0.25">
      <c r="A4079" s="98" t="s">
        <v>4587</v>
      </c>
    </row>
    <row r="4080" spans="1:1" x14ac:dyDescent="0.25">
      <c r="A4080" s="96" t="s">
        <v>4588</v>
      </c>
    </row>
    <row r="4081" spans="1:1" x14ac:dyDescent="0.25">
      <c r="A4081" s="98" t="s">
        <v>4589</v>
      </c>
    </row>
    <row r="4082" spans="1:1" x14ac:dyDescent="0.25">
      <c r="A4082" s="98" t="s">
        <v>4590</v>
      </c>
    </row>
    <row r="4083" spans="1:1" x14ac:dyDescent="0.25">
      <c r="A4083" s="26" t="s">
        <v>4591</v>
      </c>
    </row>
    <row r="4084" spans="1:1" x14ac:dyDescent="0.25">
      <c r="A4084" s="26" t="s">
        <v>4592</v>
      </c>
    </row>
    <row r="4085" spans="1:1" x14ac:dyDescent="0.25">
      <c r="A4085" s="26" t="s">
        <v>4593</v>
      </c>
    </row>
    <row r="4086" spans="1:1" x14ac:dyDescent="0.25">
      <c r="A4086" s="96" t="s">
        <v>4594</v>
      </c>
    </row>
    <row r="4087" spans="1:1" x14ac:dyDescent="0.25">
      <c r="A4087" s="98" t="s">
        <v>4595</v>
      </c>
    </row>
    <row r="4088" spans="1:1" x14ac:dyDescent="0.25">
      <c r="A4088" s="96" t="s">
        <v>4596</v>
      </c>
    </row>
    <row r="4089" spans="1:1" x14ac:dyDescent="0.25">
      <c r="A4089" s="98" t="s">
        <v>4597</v>
      </c>
    </row>
    <row r="4090" spans="1:1" x14ac:dyDescent="0.25">
      <c r="A4090" s="98" t="s">
        <v>4598</v>
      </c>
    </row>
    <row r="4091" spans="1:1" x14ac:dyDescent="0.25">
      <c r="A4091" s="98" t="s">
        <v>4599</v>
      </c>
    </row>
    <row r="4092" spans="1:1" x14ac:dyDescent="0.25">
      <c r="A4092" s="98" t="s">
        <v>4600</v>
      </c>
    </row>
    <row r="4093" spans="1:1" x14ac:dyDescent="0.25">
      <c r="A4093" s="96" t="s">
        <v>4601</v>
      </c>
    </row>
    <row r="4094" spans="1:1" x14ac:dyDescent="0.25">
      <c r="A4094" s="96" t="s">
        <v>4602</v>
      </c>
    </row>
    <row r="4095" spans="1:1" x14ac:dyDescent="0.25">
      <c r="A4095" s="96" t="s">
        <v>4603</v>
      </c>
    </row>
    <row r="4096" spans="1:1" x14ac:dyDescent="0.25">
      <c r="A4096" s="96" t="s">
        <v>4604</v>
      </c>
    </row>
    <row r="4097" spans="1:1" x14ac:dyDescent="0.25">
      <c r="A4097" s="98" t="s">
        <v>4605</v>
      </c>
    </row>
    <row r="4098" spans="1:1" x14ac:dyDescent="0.25">
      <c r="A4098" s="98" t="s">
        <v>4606</v>
      </c>
    </row>
    <row r="4099" spans="1:1" x14ac:dyDescent="0.25">
      <c r="A4099" s="96" t="s">
        <v>4607</v>
      </c>
    </row>
    <row r="4100" spans="1:1" x14ac:dyDescent="0.25">
      <c r="A4100" s="96" t="s">
        <v>4608</v>
      </c>
    </row>
    <row r="4101" spans="1:1" x14ac:dyDescent="0.25">
      <c r="A4101" s="98" t="s">
        <v>4609</v>
      </c>
    </row>
    <row r="4102" spans="1:1" x14ac:dyDescent="0.25">
      <c r="A4102" s="98" t="s">
        <v>4610</v>
      </c>
    </row>
    <row r="4103" spans="1:1" x14ac:dyDescent="0.25">
      <c r="A4103" s="98" t="s">
        <v>4611</v>
      </c>
    </row>
    <row r="4104" spans="1:1" x14ac:dyDescent="0.25">
      <c r="A4104" s="96" t="s">
        <v>4612</v>
      </c>
    </row>
    <row r="4105" spans="1:1" x14ac:dyDescent="0.25">
      <c r="A4105" s="96" t="s">
        <v>4613</v>
      </c>
    </row>
    <row r="4106" spans="1:1" x14ac:dyDescent="0.25">
      <c r="A4106" s="96" t="s">
        <v>4614</v>
      </c>
    </row>
    <row r="4107" spans="1:1" x14ac:dyDescent="0.25">
      <c r="A4107" t="s">
        <v>4617</v>
      </c>
    </row>
    <row r="4108" spans="1:1" x14ac:dyDescent="0.25">
      <c r="A4108" t="s">
        <v>4618</v>
      </c>
    </row>
    <row r="4109" spans="1:1" x14ac:dyDescent="0.25">
      <c r="A4109" s="96" t="s">
        <v>4619</v>
      </c>
    </row>
    <row r="4110" spans="1:1" x14ac:dyDescent="0.25">
      <c r="A4110" s="96" t="s">
        <v>4620</v>
      </c>
    </row>
    <row r="4111" spans="1:1" x14ac:dyDescent="0.25">
      <c r="A4111" s="96" t="s">
        <v>4621</v>
      </c>
    </row>
    <row r="4112" spans="1:1" x14ac:dyDescent="0.25">
      <c r="A4112" s="98" t="s">
        <v>4622</v>
      </c>
    </row>
    <row r="4113" spans="1:1" x14ac:dyDescent="0.25">
      <c r="A4113" s="96" t="s">
        <v>4623</v>
      </c>
    </row>
    <row r="4114" spans="1:1" x14ac:dyDescent="0.25">
      <c r="A4114" s="26" t="s">
        <v>4624</v>
      </c>
    </row>
    <row r="4115" spans="1:1" x14ac:dyDescent="0.25">
      <c r="A4115" s="98" t="s">
        <v>4625</v>
      </c>
    </row>
    <row r="4116" spans="1:1" x14ac:dyDescent="0.25">
      <c r="A4116" s="98" t="s">
        <v>4626</v>
      </c>
    </row>
    <row r="4117" spans="1:1" x14ac:dyDescent="0.25">
      <c r="A4117" s="98" t="s">
        <v>4627</v>
      </c>
    </row>
    <row r="4118" spans="1:1" x14ac:dyDescent="0.25">
      <c r="A4118" s="96" t="s">
        <v>4628</v>
      </c>
    </row>
    <row r="4119" spans="1:1" x14ac:dyDescent="0.25">
      <c r="A4119" s="96" t="s">
        <v>4629</v>
      </c>
    </row>
    <row r="4120" spans="1:1" x14ac:dyDescent="0.25">
      <c r="A4120" s="26" t="s">
        <v>4630</v>
      </c>
    </row>
    <row r="4121" spans="1:1" x14ac:dyDescent="0.25">
      <c r="A4121" s="98" t="s">
        <v>4631</v>
      </c>
    </row>
    <row r="4122" spans="1:1" x14ac:dyDescent="0.25">
      <c r="A4122" s="96" t="s">
        <v>4629</v>
      </c>
    </row>
    <row r="4123" spans="1:1" x14ac:dyDescent="0.25">
      <c r="A4123" s="96" t="s">
        <v>4632</v>
      </c>
    </row>
    <row r="4124" spans="1:1" x14ac:dyDescent="0.25">
      <c r="A4124" s="98" t="s">
        <v>4633</v>
      </c>
    </row>
    <row r="4125" spans="1:1" x14ac:dyDescent="0.25">
      <c r="A4125" s="96" t="s">
        <v>4634</v>
      </c>
    </row>
    <row r="4126" spans="1:1" x14ac:dyDescent="0.25">
      <c r="A4126" s="26" t="s">
        <v>4635</v>
      </c>
    </row>
    <row r="4127" spans="1:1" x14ac:dyDescent="0.25">
      <c r="A4127" s="98" t="s">
        <v>4636</v>
      </c>
    </row>
    <row r="4128" spans="1:1" x14ac:dyDescent="0.25">
      <c r="A4128" s="98" t="s">
        <v>4637</v>
      </c>
    </row>
    <row r="4129" spans="1:1" x14ac:dyDescent="0.25">
      <c r="A4129" s="26" t="s">
        <v>4638</v>
      </c>
    </row>
    <row r="4130" spans="1:1" x14ac:dyDescent="0.25">
      <c r="A4130" s="98" t="s">
        <v>4639</v>
      </c>
    </row>
    <row r="4131" spans="1:1" x14ac:dyDescent="0.25">
      <c r="A4131" s="96" t="s">
        <v>4640</v>
      </c>
    </row>
    <row r="4132" spans="1:1" x14ac:dyDescent="0.25">
      <c r="A4132" s="98" t="s">
        <v>4641</v>
      </c>
    </row>
    <row r="4133" spans="1:1" x14ac:dyDescent="0.25">
      <c r="A4133" s="98" t="s">
        <v>4642</v>
      </c>
    </row>
    <row r="4134" spans="1:1" x14ac:dyDescent="0.25">
      <c r="A4134" s="26" t="s">
        <v>4643</v>
      </c>
    </row>
    <row r="4135" spans="1:1" x14ac:dyDescent="0.25">
      <c r="A4135" s="26" t="s">
        <v>4644</v>
      </c>
    </row>
    <row r="4136" spans="1:1" x14ac:dyDescent="0.25">
      <c r="A4136" s="26" t="s">
        <v>4645</v>
      </c>
    </row>
    <row r="4137" spans="1:1" x14ac:dyDescent="0.25">
      <c r="A4137" s="96" t="s">
        <v>4646</v>
      </c>
    </row>
    <row r="4138" spans="1:1" x14ac:dyDescent="0.25">
      <c r="A4138" s="98" t="s">
        <v>4647</v>
      </c>
    </row>
    <row r="4139" spans="1:1" x14ac:dyDescent="0.25">
      <c r="A4139" s="96" t="s">
        <v>4648</v>
      </c>
    </row>
    <row r="4140" spans="1:1" x14ac:dyDescent="0.25">
      <c r="A4140" s="98" t="s">
        <v>4649</v>
      </c>
    </row>
    <row r="4141" spans="1:1" x14ac:dyDescent="0.25">
      <c r="A4141" s="98" t="s">
        <v>4650</v>
      </c>
    </row>
    <row r="4142" spans="1:1" x14ac:dyDescent="0.25">
      <c r="A4142" s="98" t="s">
        <v>4651</v>
      </c>
    </row>
    <row r="4143" spans="1:1" x14ac:dyDescent="0.25">
      <c r="A4143" s="98" t="s">
        <v>4652</v>
      </c>
    </row>
    <row r="4144" spans="1:1" x14ac:dyDescent="0.25">
      <c r="A4144" s="98" t="s">
        <v>4653</v>
      </c>
    </row>
    <row r="4145" spans="1:1" x14ac:dyDescent="0.25">
      <c r="A4145" s="96" t="s">
        <v>4654</v>
      </c>
    </row>
    <row r="4146" spans="1:1" x14ac:dyDescent="0.25">
      <c r="A4146" s="96" t="s">
        <v>4655</v>
      </c>
    </row>
    <row r="4147" spans="1:1" x14ac:dyDescent="0.25">
      <c r="A4147" s="98" t="s">
        <v>4656</v>
      </c>
    </row>
    <row r="4148" spans="1:1" x14ac:dyDescent="0.25">
      <c r="A4148" s="96" t="s">
        <v>4657</v>
      </c>
    </row>
    <row r="4149" spans="1:1" x14ac:dyDescent="0.25">
      <c r="A4149" s="96" t="s">
        <v>4658</v>
      </c>
    </row>
    <row r="4150" spans="1:1" x14ac:dyDescent="0.25">
      <c r="A4150" s="96" t="s">
        <v>4659</v>
      </c>
    </row>
    <row r="4151" spans="1:1" x14ac:dyDescent="0.25">
      <c r="A4151" s="98" t="s">
        <v>4660</v>
      </c>
    </row>
    <row r="4152" spans="1:1" x14ac:dyDescent="0.25">
      <c r="A4152" s="98" t="s">
        <v>4661</v>
      </c>
    </row>
    <row r="4153" spans="1:1" x14ac:dyDescent="0.25">
      <c r="A4153" s="26" t="s">
        <v>4662</v>
      </c>
    </row>
    <row r="4154" spans="1:1" x14ac:dyDescent="0.25">
      <c r="A4154" s="96" t="s">
        <v>4663</v>
      </c>
    </row>
    <row r="4155" spans="1:1" x14ac:dyDescent="0.25">
      <c r="A4155" s="98" t="s">
        <v>4664</v>
      </c>
    </row>
    <row r="4156" spans="1:1" x14ac:dyDescent="0.25">
      <c r="A4156" s="96" t="s">
        <v>4665</v>
      </c>
    </row>
    <row r="4157" spans="1:1" x14ac:dyDescent="0.25">
      <c r="A4157" s="98" t="s">
        <v>4666</v>
      </c>
    </row>
    <row r="4158" spans="1:1" x14ac:dyDescent="0.25">
      <c r="A4158" s="98" t="s">
        <v>4667</v>
      </c>
    </row>
    <row r="4159" spans="1:1" x14ac:dyDescent="0.25">
      <c r="A4159" s="98" t="s">
        <v>4668</v>
      </c>
    </row>
    <row r="4160" spans="1:1" x14ac:dyDescent="0.25">
      <c r="A4160" s="98" t="s">
        <v>4669</v>
      </c>
    </row>
    <row r="4161" spans="1:1" x14ac:dyDescent="0.25">
      <c r="A4161" s="98" t="s">
        <v>4670</v>
      </c>
    </row>
    <row r="4162" spans="1:1" x14ac:dyDescent="0.25">
      <c r="A4162" s="96" t="s">
        <v>4671</v>
      </c>
    </row>
    <row r="4163" spans="1:1" x14ac:dyDescent="0.25">
      <c r="A4163" s="96" t="s">
        <v>4672</v>
      </c>
    </row>
    <row r="4164" spans="1:1" x14ac:dyDescent="0.25">
      <c r="A4164" s="98" t="s">
        <v>4673</v>
      </c>
    </row>
    <row r="4165" spans="1:1" x14ac:dyDescent="0.25">
      <c r="A4165" s="98" t="s">
        <v>4674</v>
      </c>
    </row>
    <row r="4166" spans="1:1" x14ac:dyDescent="0.25">
      <c r="A4166" s="98" t="s">
        <v>4675</v>
      </c>
    </row>
    <row r="4167" spans="1:1" x14ac:dyDescent="0.25">
      <c r="A4167" s="98" t="s">
        <v>4676</v>
      </c>
    </row>
    <row r="4168" spans="1:1" x14ac:dyDescent="0.25">
      <c r="A4168" s="98" t="s">
        <v>4677</v>
      </c>
    </row>
    <row r="4169" spans="1:1" x14ac:dyDescent="0.25">
      <c r="A4169" s="98" t="s">
        <v>4678</v>
      </c>
    </row>
    <row r="4170" spans="1:1" x14ac:dyDescent="0.25">
      <c r="A4170" s="96" t="s">
        <v>4679</v>
      </c>
    </row>
    <row r="4171" spans="1:1" x14ac:dyDescent="0.25">
      <c r="A4171" s="96" t="s">
        <v>4680</v>
      </c>
    </row>
    <row r="4172" spans="1:1" x14ac:dyDescent="0.25">
      <c r="A4172" s="98" t="s">
        <v>4681</v>
      </c>
    </row>
    <row r="4173" spans="1:1" x14ac:dyDescent="0.25">
      <c r="A4173" s="98" t="s">
        <v>4682</v>
      </c>
    </row>
    <row r="4174" spans="1:1" x14ac:dyDescent="0.25">
      <c r="A4174" s="98" t="s">
        <v>4683</v>
      </c>
    </row>
    <row r="4175" spans="1:1" x14ac:dyDescent="0.25">
      <c r="A4175" s="98" t="s">
        <v>4684</v>
      </c>
    </row>
    <row r="4176" spans="1:1" x14ac:dyDescent="0.25">
      <c r="A4176" s="98" t="s">
        <v>4685</v>
      </c>
    </row>
    <row r="4177" spans="1:1" x14ac:dyDescent="0.25">
      <c r="A4177" s="98" t="s">
        <v>4686</v>
      </c>
    </row>
    <row r="4178" spans="1:1" x14ac:dyDescent="0.25">
      <c r="A4178" s="96" t="s">
        <v>4687</v>
      </c>
    </row>
    <row r="4179" spans="1:1" x14ac:dyDescent="0.25">
      <c r="A4179" s="96" t="s">
        <v>4688</v>
      </c>
    </row>
    <row r="4180" spans="1:1" x14ac:dyDescent="0.25">
      <c r="A4180" s="98" t="s">
        <v>4689</v>
      </c>
    </row>
    <row r="4181" spans="1:1" x14ac:dyDescent="0.25">
      <c r="A4181" s="98" t="s">
        <v>4690</v>
      </c>
    </row>
    <row r="4182" spans="1:1" x14ac:dyDescent="0.25">
      <c r="A4182" s="98" t="s">
        <v>4691</v>
      </c>
    </row>
    <row r="4183" spans="1:1" x14ac:dyDescent="0.25">
      <c r="A4183" s="98" t="s">
        <v>4692</v>
      </c>
    </row>
    <row r="4184" spans="1:1" x14ac:dyDescent="0.25">
      <c r="A4184" s="98" t="s">
        <v>4693</v>
      </c>
    </row>
    <row r="4185" spans="1:1" x14ac:dyDescent="0.25">
      <c r="A4185" s="98" t="s">
        <v>4694</v>
      </c>
    </row>
    <row r="4186" spans="1:1" x14ac:dyDescent="0.25">
      <c r="A4186" s="96" t="s">
        <v>4695</v>
      </c>
    </row>
    <row r="4187" spans="1:1" x14ac:dyDescent="0.25">
      <c r="A4187" s="96" t="s">
        <v>4696</v>
      </c>
    </row>
    <row r="4188" spans="1:1" x14ac:dyDescent="0.25">
      <c r="A4188" s="98" t="s">
        <v>4697</v>
      </c>
    </row>
    <row r="4189" spans="1:1" x14ac:dyDescent="0.25">
      <c r="A4189" s="98" t="s">
        <v>4698</v>
      </c>
    </row>
    <row r="4190" spans="1:1" x14ac:dyDescent="0.25">
      <c r="A4190" s="98" t="s">
        <v>4699</v>
      </c>
    </row>
    <row r="4191" spans="1:1" x14ac:dyDescent="0.25">
      <c r="A4191" s="98" t="s">
        <v>4700</v>
      </c>
    </row>
    <row r="4192" spans="1:1" x14ac:dyDescent="0.25">
      <c r="A4192" s="98" t="s">
        <v>4701</v>
      </c>
    </row>
    <row r="4193" spans="1:1" x14ac:dyDescent="0.25">
      <c r="A4193" s="98" t="s">
        <v>4702</v>
      </c>
    </row>
    <row r="4194" spans="1:1" x14ac:dyDescent="0.25">
      <c r="A4194" s="96" t="s">
        <v>4703</v>
      </c>
    </row>
    <row r="4195" spans="1:1" x14ac:dyDescent="0.25">
      <c r="A4195" s="96" t="s">
        <v>4704</v>
      </c>
    </row>
    <row r="4196" spans="1:1" x14ac:dyDescent="0.25">
      <c r="A4196" s="98" t="s">
        <v>4705</v>
      </c>
    </row>
    <row r="4197" spans="1:1" x14ac:dyDescent="0.25">
      <c r="A4197" s="98" t="s">
        <v>4706</v>
      </c>
    </row>
    <row r="4198" spans="1:1" x14ac:dyDescent="0.25">
      <c r="A4198" s="98" t="s">
        <v>4707</v>
      </c>
    </row>
    <row r="4199" spans="1:1" x14ac:dyDescent="0.25">
      <c r="A4199" s="98" t="s">
        <v>4708</v>
      </c>
    </row>
    <row r="4200" spans="1:1" x14ac:dyDescent="0.25">
      <c r="A4200" s="98" t="s">
        <v>4709</v>
      </c>
    </row>
    <row r="4201" spans="1:1" x14ac:dyDescent="0.25">
      <c r="A4201" s="98" t="s">
        <v>4710</v>
      </c>
    </row>
    <row r="4202" spans="1:1" x14ac:dyDescent="0.25">
      <c r="A4202" s="96" t="s">
        <v>4711</v>
      </c>
    </row>
    <row r="4203" spans="1:1" x14ac:dyDescent="0.25">
      <c r="A4203" s="96" t="s">
        <v>4712</v>
      </c>
    </row>
    <row r="4204" spans="1:1" x14ac:dyDescent="0.25">
      <c r="A4204" s="98" t="s">
        <v>4713</v>
      </c>
    </row>
    <row r="4205" spans="1:1" x14ac:dyDescent="0.25">
      <c r="A4205" s="98" t="s">
        <v>4714</v>
      </c>
    </row>
    <row r="4206" spans="1:1" x14ac:dyDescent="0.25">
      <c r="A4206" s="98" t="s">
        <v>4715</v>
      </c>
    </row>
    <row r="4207" spans="1:1" x14ac:dyDescent="0.25">
      <c r="A4207" s="98" t="s">
        <v>4716</v>
      </c>
    </row>
    <row r="4208" spans="1:1" x14ac:dyDescent="0.25">
      <c r="A4208" s="98" t="s">
        <v>4717</v>
      </c>
    </row>
    <row r="4209" spans="1:1" x14ac:dyDescent="0.25">
      <c r="A4209" s="98" t="s">
        <v>4718</v>
      </c>
    </row>
    <row r="4210" spans="1:1" x14ac:dyDescent="0.25">
      <c r="A4210" s="96" t="s">
        <v>4719</v>
      </c>
    </row>
    <row r="4211" spans="1:1" x14ac:dyDescent="0.25">
      <c r="A4211" s="96" t="s">
        <v>4720</v>
      </c>
    </row>
    <row r="4212" spans="1:1" x14ac:dyDescent="0.25">
      <c r="A4212" s="98" t="s">
        <v>4721</v>
      </c>
    </row>
    <row r="4213" spans="1:1" x14ac:dyDescent="0.25">
      <c r="A4213" s="98" t="s">
        <v>4722</v>
      </c>
    </row>
    <row r="4214" spans="1:1" x14ac:dyDescent="0.25">
      <c r="A4214" s="98" t="s">
        <v>4723</v>
      </c>
    </row>
    <row r="4215" spans="1:1" x14ac:dyDescent="0.25">
      <c r="A4215" s="98" t="s">
        <v>4724</v>
      </c>
    </row>
    <row r="4216" spans="1:1" x14ac:dyDescent="0.25">
      <c r="A4216" s="98" t="s">
        <v>4725</v>
      </c>
    </row>
    <row r="4217" spans="1:1" x14ac:dyDescent="0.25">
      <c r="A4217" s="98" t="s">
        <v>4726</v>
      </c>
    </row>
    <row r="4218" spans="1:1" x14ac:dyDescent="0.25">
      <c r="A4218" s="96" t="s">
        <v>4727</v>
      </c>
    </row>
    <row r="4219" spans="1:1" x14ac:dyDescent="0.25">
      <c r="A4219" s="96" t="s">
        <v>4728</v>
      </c>
    </row>
    <row r="4220" spans="1:1" x14ac:dyDescent="0.25">
      <c r="A4220" s="98" t="s">
        <v>4729</v>
      </c>
    </row>
    <row r="4221" spans="1:1" x14ac:dyDescent="0.25">
      <c r="A4221" s="98" t="s">
        <v>4730</v>
      </c>
    </row>
    <row r="4222" spans="1:1" x14ac:dyDescent="0.25">
      <c r="A4222" s="98" t="s">
        <v>4731</v>
      </c>
    </row>
    <row r="4223" spans="1:1" x14ac:dyDescent="0.25">
      <c r="A4223" s="98" t="s">
        <v>4732</v>
      </c>
    </row>
    <row r="4224" spans="1:1" x14ac:dyDescent="0.25">
      <c r="A4224" s="98" t="s">
        <v>4733</v>
      </c>
    </row>
    <row r="4225" spans="1:1" x14ac:dyDescent="0.25">
      <c r="A4225" s="98" t="s">
        <v>4734</v>
      </c>
    </row>
    <row r="4226" spans="1:1" x14ac:dyDescent="0.25">
      <c r="A4226" s="96" t="s">
        <v>4735</v>
      </c>
    </row>
    <row r="4227" spans="1:1" x14ac:dyDescent="0.25">
      <c r="A4227" s="96" t="s">
        <v>4736</v>
      </c>
    </row>
    <row r="4228" spans="1:1" x14ac:dyDescent="0.25">
      <c r="A4228" s="98" t="s">
        <v>4737</v>
      </c>
    </row>
    <row r="4229" spans="1:1" x14ac:dyDescent="0.25">
      <c r="A4229" s="98" t="s">
        <v>4738</v>
      </c>
    </row>
    <row r="4230" spans="1:1" x14ac:dyDescent="0.25">
      <c r="A4230" s="98" t="s">
        <v>4739</v>
      </c>
    </row>
    <row r="4231" spans="1:1" x14ac:dyDescent="0.25">
      <c r="A4231" s="98" t="s">
        <v>4740</v>
      </c>
    </row>
    <row r="4232" spans="1:1" x14ac:dyDescent="0.25">
      <c r="A4232" s="98" t="s">
        <v>4741</v>
      </c>
    </row>
    <row r="4233" spans="1:1" x14ac:dyDescent="0.25">
      <c r="A4233" s="96" t="s">
        <v>4742</v>
      </c>
    </row>
    <row r="4234" spans="1:1" x14ac:dyDescent="0.25">
      <c r="A4234" s="96" t="s">
        <v>4743</v>
      </c>
    </row>
    <row r="4235" spans="1:1" x14ac:dyDescent="0.25">
      <c r="A4235" s="96" t="s">
        <v>4744</v>
      </c>
    </row>
    <row r="4236" spans="1:1" x14ac:dyDescent="0.25">
      <c r="A4236" s="98" t="s">
        <v>4745</v>
      </c>
    </row>
    <row r="4237" spans="1:1" x14ac:dyDescent="0.25">
      <c r="A4237" s="98" t="s">
        <v>4746</v>
      </c>
    </row>
    <row r="4238" spans="1:1" x14ac:dyDescent="0.25">
      <c r="A4238" s="98" t="s">
        <v>4747</v>
      </c>
    </row>
    <row r="4239" spans="1:1" x14ac:dyDescent="0.25">
      <c r="A4239" s="26" t="s">
        <v>4748</v>
      </c>
    </row>
    <row r="4240" spans="1:1" x14ac:dyDescent="0.25">
      <c r="A4240" s="96" t="s">
        <v>4749</v>
      </c>
    </row>
    <row r="4241" spans="1:1" x14ac:dyDescent="0.25">
      <c r="A4241" s="98" t="s">
        <v>4750</v>
      </c>
    </row>
    <row r="4242" spans="1:1" x14ac:dyDescent="0.25">
      <c r="A4242" s="96" t="s">
        <v>4751</v>
      </c>
    </row>
    <row r="4243" spans="1:1" x14ac:dyDescent="0.25">
      <c r="A4243" s="98" t="s">
        <v>4752</v>
      </c>
    </row>
    <row r="4244" spans="1:1" x14ac:dyDescent="0.25">
      <c r="A4244" s="98" t="s">
        <v>4753</v>
      </c>
    </row>
    <row r="4245" spans="1:1" x14ac:dyDescent="0.25">
      <c r="A4245" s="98" t="s">
        <v>4754</v>
      </c>
    </row>
    <row r="4246" spans="1:1" x14ac:dyDescent="0.25">
      <c r="A4246" s="96" t="s">
        <v>4755</v>
      </c>
    </row>
    <row r="4247" spans="1:1" x14ac:dyDescent="0.25">
      <c r="A4247" s="98" t="s">
        <v>4756</v>
      </c>
    </row>
    <row r="4248" spans="1:1" x14ac:dyDescent="0.25">
      <c r="A4248" s="98" t="s">
        <v>4757</v>
      </c>
    </row>
    <row r="4249" spans="1:1" x14ac:dyDescent="0.25">
      <c r="A4249" s="26" t="s">
        <v>4758</v>
      </c>
    </row>
    <row r="4250" spans="1:1" x14ac:dyDescent="0.25">
      <c r="A4250" s="26" t="s">
        <v>4759</v>
      </c>
    </row>
    <row r="4251" spans="1:1" x14ac:dyDescent="0.25">
      <c r="A4251" s="26" t="s">
        <v>4760</v>
      </c>
    </row>
    <row r="4252" spans="1:1" x14ac:dyDescent="0.25">
      <c r="A4252" s="98" t="s">
        <v>4761</v>
      </c>
    </row>
    <row r="4253" spans="1:1" x14ac:dyDescent="0.25">
      <c r="A4253" s="96" t="s">
        <v>4762</v>
      </c>
    </row>
    <row r="4254" spans="1:1" x14ac:dyDescent="0.25">
      <c r="A4254" s="96" t="s">
        <v>4763</v>
      </c>
    </row>
    <row r="4255" spans="1:1" x14ac:dyDescent="0.25">
      <c r="A4255" s="96" t="s">
        <v>4764</v>
      </c>
    </row>
    <row r="4256" spans="1:1" x14ac:dyDescent="0.25">
      <c r="A4256" s="98" t="s">
        <v>4765</v>
      </c>
    </row>
    <row r="4257" spans="1:1" x14ac:dyDescent="0.25">
      <c r="A4257" s="26" t="s">
        <v>4766</v>
      </c>
    </row>
    <row r="4258" spans="1:1" x14ac:dyDescent="0.25">
      <c r="A4258" s="98" t="s">
        <v>4767</v>
      </c>
    </row>
    <row r="4259" spans="1:1" x14ac:dyDescent="0.25">
      <c r="A4259" s="98" t="s">
        <v>4768</v>
      </c>
    </row>
    <row r="4260" spans="1:1" x14ac:dyDescent="0.25">
      <c r="A4260" s="96" t="s">
        <v>4769</v>
      </c>
    </row>
    <row r="4261" spans="1:1" x14ac:dyDescent="0.25">
      <c r="A4261" s="98" t="s">
        <v>4770</v>
      </c>
    </row>
    <row r="4262" spans="1:1" x14ac:dyDescent="0.25">
      <c r="A4262" s="96" t="s">
        <v>4771</v>
      </c>
    </row>
    <row r="4263" spans="1:1" x14ac:dyDescent="0.25">
      <c r="A4263" s="98" t="s">
        <v>4772</v>
      </c>
    </row>
    <row r="4264" spans="1:1" x14ac:dyDescent="0.25">
      <c r="A4264" s="98" t="s">
        <v>4773</v>
      </c>
    </row>
    <row r="4265" spans="1:1" x14ac:dyDescent="0.25">
      <c r="A4265" s="98" t="s">
        <v>4774</v>
      </c>
    </row>
    <row r="4266" spans="1:1" x14ac:dyDescent="0.25">
      <c r="A4266" s="98" t="s">
        <v>4775</v>
      </c>
    </row>
    <row r="4267" spans="1:1" x14ac:dyDescent="0.25">
      <c r="A4267" s="96" t="s">
        <v>4776</v>
      </c>
    </row>
    <row r="4268" spans="1:1" x14ac:dyDescent="0.25">
      <c r="A4268" s="98" t="s">
        <v>4777</v>
      </c>
    </row>
    <row r="4269" spans="1:1" x14ac:dyDescent="0.25">
      <c r="A4269" s="98" t="s">
        <v>4778</v>
      </c>
    </row>
    <row r="4270" spans="1:1" x14ac:dyDescent="0.25">
      <c r="A4270" s="98" t="s">
        <v>4779</v>
      </c>
    </row>
    <row r="4271" spans="1:1" x14ac:dyDescent="0.25">
      <c r="A4271" s="96" t="s">
        <v>4780</v>
      </c>
    </row>
    <row r="4272" spans="1:1" x14ac:dyDescent="0.25">
      <c r="A4272" s="96" t="s">
        <v>4781</v>
      </c>
    </row>
    <row r="4273" spans="1:1" x14ac:dyDescent="0.25">
      <c r="A4273" s="96" t="s">
        <v>4782</v>
      </c>
    </row>
    <row r="4274" spans="1:1" x14ac:dyDescent="0.25">
      <c r="A4274" t="s">
        <v>4785</v>
      </c>
    </row>
    <row r="4275" spans="1:1" x14ac:dyDescent="0.25">
      <c r="A4275" t="s">
        <v>4786</v>
      </c>
    </row>
    <row r="4276" spans="1:1" x14ac:dyDescent="0.25">
      <c r="A4276" s="96" t="s">
        <v>4787</v>
      </c>
    </row>
    <row r="4277" spans="1:1" x14ac:dyDescent="0.25">
      <c r="A4277" s="96" t="s">
        <v>4788</v>
      </c>
    </row>
    <row r="4278" spans="1:1" x14ac:dyDescent="0.25">
      <c r="A4278" s="96" t="s">
        <v>4789</v>
      </c>
    </row>
    <row r="4279" spans="1:1" x14ac:dyDescent="0.25">
      <c r="A4279" s="98" t="s">
        <v>4790</v>
      </c>
    </row>
    <row r="4280" spans="1:1" x14ac:dyDescent="0.25">
      <c r="A4280" s="96" t="s">
        <v>4791</v>
      </c>
    </row>
    <row r="4281" spans="1:1" x14ac:dyDescent="0.25">
      <c r="A4281" s="26" t="s">
        <v>4792</v>
      </c>
    </row>
    <row r="4282" spans="1:1" x14ac:dyDescent="0.25">
      <c r="A4282" s="98" t="s">
        <v>4793</v>
      </c>
    </row>
    <row r="4283" spans="1:1" x14ac:dyDescent="0.25">
      <c r="A4283" s="98" t="s">
        <v>4794</v>
      </c>
    </row>
    <row r="4284" spans="1:1" x14ac:dyDescent="0.25">
      <c r="A4284" s="98" t="s">
        <v>4795</v>
      </c>
    </row>
    <row r="4285" spans="1:1" x14ac:dyDescent="0.25">
      <c r="A4285" s="96" t="s">
        <v>4796</v>
      </c>
    </row>
    <row r="4286" spans="1:1" x14ac:dyDescent="0.25">
      <c r="A4286" s="96" t="s">
        <v>4797</v>
      </c>
    </row>
    <row r="4287" spans="1:1" x14ac:dyDescent="0.25">
      <c r="A4287" s="96" t="s">
        <v>4798</v>
      </c>
    </row>
    <row r="4288" spans="1:1" x14ac:dyDescent="0.25">
      <c r="A4288" s="98" t="s">
        <v>4799</v>
      </c>
    </row>
    <row r="4289" spans="1:1" x14ac:dyDescent="0.25">
      <c r="A4289" s="98" t="s">
        <v>4800</v>
      </c>
    </row>
    <row r="4290" spans="1:1" x14ac:dyDescent="0.25">
      <c r="A4290" s="98" t="s">
        <v>4801</v>
      </c>
    </row>
    <row r="4291" spans="1:1" x14ac:dyDescent="0.25">
      <c r="A4291" s="96" t="s">
        <v>4802</v>
      </c>
    </row>
    <row r="4292" spans="1:1" x14ac:dyDescent="0.25">
      <c r="A4292" s="98" t="s">
        <v>4803</v>
      </c>
    </row>
    <row r="4293" spans="1:1" x14ac:dyDescent="0.25">
      <c r="A4293" s="96" t="s">
        <v>4804</v>
      </c>
    </row>
    <row r="4294" spans="1:1" x14ac:dyDescent="0.25">
      <c r="A4294" s="26" t="s">
        <v>4805</v>
      </c>
    </row>
    <row r="4295" spans="1:1" x14ac:dyDescent="0.25">
      <c r="A4295" s="98" t="s">
        <v>4806</v>
      </c>
    </row>
    <row r="4296" spans="1:1" x14ac:dyDescent="0.25">
      <c r="A4296" s="98" t="s">
        <v>4807</v>
      </c>
    </row>
    <row r="4297" spans="1:1" x14ac:dyDescent="0.25">
      <c r="A4297" s="98" t="s">
        <v>4808</v>
      </c>
    </row>
    <row r="4298" spans="1:1" x14ac:dyDescent="0.25">
      <c r="A4298" s="98" t="s">
        <v>4809</v>
      </c>
    </row>
    <row r="4299" spans="1:1" x14ac:dyDescent="0.25">
      <c r="A4299" s="26" t="s">
        <v>4810</v>
      </c>
    </row>
    <row r="4300" spans="1:1" x14ac:dyDescent="0.25">
      <c r="A4300" s="98" t="s">
        <v>4811</v>
      </c>
    </row>
    <row r="4301" spans="1:1" x14ac:dyDescent="0.25">
      <c r="A4301" s="98" t="s">
        <v>4812</v>
      </c>
    </row>
    <row r="4302" spans="1:1" x14ac:dyDescent="0.25">
      <c r="A4302" s="96" t="s">
        <v>4813</v>
      </c>
    </row>
    <row r="4303" spans="1:1" x14ac:dyDescent="0.25">
      <c r="A4303" s="98" t="s">
        <v>4814</v>
      </c>
    </row>
    <row r="4304" spans="1:1" x14ac:dyDescent="0.25">
      <c r="A4304" s="98" t="s">
        <v>4815</v>
      </c>
    </row>
    <row r="4305" spans="1:1" x14ac:dyDescent="0.25">
      <c r="A4305" s="98" t="s">
        <v>4816</v>
      </c>
    </row>
    <row r="4306" spans="1:1" x14ac:dyDescent="0.25">
      <c r="A4306" s="96" t="s">
        <v>4817</v>
      </c>
    </row>
    <row r="4307" spans="1:1" x14ac:dyDescent="0.25">
      <c r="A4307" s="96" t="s">
        <v>4818</v>
      </c>
    </row>
    <row r="4308" spans="1:1" x14ac:dyDescent="0.25">
      <c r="A4308" s="96" t="s">
        <v>4819</v>
      </c>
    </row>
    <row r="4309" spans="1:1" x14ac:dyDescent="0.25">
      <c r="A4309" t="s">
        <v>4822</v>
      </c>
    </row>
    <row r="4310" spans="1:1" x14ac:dyDescent="0.25">
      <c r="A4310" t="s">
        <v>4823</v>
      </c>
    </row>
    <row r="4311" spans="1:1" x14ac:dyDescent="0.25">
      <c r="A4311" s="96" t="s">
        <v>4824</v>
      </c>
    </row>
    <row r="4312" spans="1:1" x14ac:dyDescent="0.25">
      <c r="A4312" s="96" t="s">
        <v>4825</v>
      </c>
    </row>
    <row r="4313" spans="1:1" x14ac:dyDescent="0.25">
      <c r="A4313" s="96" t="s">
        <v>4826</v>
      </c>
    </row>
    <row r="4314" spans="1:1" x14ac:dyDescent="0.25">
      <c r="A4314" s="98" t="s">
        <v>4827</v>
      </c>
    </row>
    <row r="4315" spans="1:1" x14ac:dyDescent="0.25">
      <c r="A4315" s="96" t="s">
        <v>4828</v>
      </c>
    </row>
    <row r="4316" spans="1:1" x14ac:dyDescent="0.25">
      <c r="A4316" s="98" t="s">
        <v>4829</v>
      </c>
    </row>
    <row r="4317" spans="1:1" x14ac:dyDescent="0.25">
      <c r="A4317" s="98" t="s">
        <v>4830</v>
      </c>
    </row>
    <row r="4318" spans="1:1" x14ac:dyDescent="0.25">
      <c r="A4318" s="98" t="s">
        <v>4831</v>
      </c>
    </row>
    <row r="4319" spans="1:1" x14ac:dyDescent="0.25">
      <c r="A4319" s="98" t="s">
        <v>4832</v>
      </c>
    </row>
    <row r="4320" spans="1:1" x14ac:dyDescent="0.25">
      <c r="A4320" s="96" t="s">
        <v>4833</v>
      </c>
    </row>
    <row r="4321" spans="1:1" x14ac:dyDescent="0.25">
      <c r="A4321" s="98" t="s">
        <v>4834</v>
      </c>
    </row>
    <row r="4322" spans="1:1" x14ac:dyDescent="0.25">
      <c r="A4322" s="96" t="s">
        <v>4835</v>
      </c>
    </row>
    <row r="4323" spans="1:1" x14ac:dyDescent="0.25">
      <c r="A4323" s="98" t="s">
        <v>4836</v>
      </c>
    </row>
    <row r="4324" spans="1:1" x14ac:dyDescent="0.25">
      <c r="A4324" s="98" t="s">
        <v>4837</v>
      </c>
    </row>
    <row r="4325" spans="1:1" x14ac:dyDescent="0.25">
      <c r="A4325" s="96" t="s">
        <v>4838</v>
      </c>
    </row>
    <row r="4326" spans="1:1" x14ac:dyDescent="0.25">
      <c r="A4326" s="98" t="s">
        <v>4839</v>
      </c>
    </row>
    <row r="4327" spans="1:1" x14ac:dyDescent="0.25">
      <c r="A4327" s="96" t="s">
        <v>4840</v>
      </c>
    </row>
    <row r="4328" spans="1:1" x14ac:dyDescent="0.25">
      <c r="A4328" s="98" t="s">
        <v>4841</v>
      </c>
    </row>
    <row r="4329" spans="1:1" x14ac:dyDescent="0.25">
      <c r="A4329" s="98" t="s">
        <v>4842</v>
      </c>
    </row>
    <row r="4330" spans="1:1" x14ac:dyDescent="0.25">
      <c r="A4330" s="96" t="s">
        <v>4843</v>
      </c>
    </row>
    <row r="4331" spans="1:1" x14ac:dyDescent="0.25">
      <c r="A4331" s="98" t="s">
        <v>4844</v>
      </c>
    </row>
    <row r="4332" spans="1:1" x14ac:dyDescent="0.25">
      <c r="A4332" s="98" t="s">
        <v>4845</v>
      </c>
    </row>
    <row r="4333" spans="1:1" x14ac:dyDescent="0.25">
      <c r="A4333" s="98" t="s">
        <v>4846</v>
      </c>
    </row>
    <row r="4334" spans="1:1" x14ac:dyDescent="0.25">
      <c r="A4334" s="96" t="s">
        <v>4847</v>
      </c>
    </row>
    <row r="4335" spans="1:1" x14ac:dyDescent="0.25">
      <c r="A4335" s="96" t="s">
        <v>4848</v>
      </c>
    </row>
    <row r="4336" spans="1:1" x14ac:dyDescent="0.25">
      <c r="A4336" s="96" t="s">
        <v>4849</v>
      </c>
    </row>
    <row r="4337" spans="1:1" x14ac:dyDescent="0.25">
      <c r="A4337" t="s">
        <v>4851</v>
      </c>
    </row>
    <row r="4338" spans="1:1" x14ac:dyDescent="0.25">
      <c r="A4338" t="s">
        <v>4852</v>
      </c>
    </row>
    <row r="4339" spans="1:1" x14ac:dyDescent="0.25">
      <c r="A4339" s="96" t="s">
        <v>4853</v>
      </c>
    </row>
    <row r="4340" spans="1:1" x14ac:dyDescent="0.25">
      <c r="A4340" s="96" t="s">
        <v>4854</v>
      </c>
    </row>
    <row r="4341" spans="1:1" x14ac:dyDescent="0.25">
      <c r="A4341" s="96" t="s">
        <v>4855</v>
      </c>
    </row>
    <row r="4342" spans="1:1" x14ac:dyDescent="0.25">
      <c r="A4342" s="98" t="s">
        <v>4856</v>
      </c>
    </row>
    <row r="4343" spans="1:1" x14ac:dyDescent="0.25">
      <c r="A4343" s="96" t="s">
        <v>4857</v>
      </c>
    </row>
    <row r="4344" spans="1:1" x14ac:dyDescent="0.25">
      <c r="A4344" s="26" t="s">
        <v>4858</v>
      </c>
    </row>
    <row r="4345" spans="1:1" x14ac:dyDescent="0.25">
      <c r="A4345" s="98" t="s">
        <v>4859</v>
      </c>
    </row>
    <row r="4346" spans="1:1" x14ac:dyDescent="0.25">
      <c r="A4346" s="98" t="s">
        <v>4860</v>
      </c>
    </row>
    <row r="4347" spans="1:1" x14ac:dyDescent="0.25">
      <c r="A4347" s="96" t="s">
        <v>4861</v>
      </c>
    </row>
    <row r="4348" spans="1:1" x14ac:dyDescent="0.25">
      <c r="A4348" s="98" t="s">
        <v>4862</v>
      </c>
    </row>
    <row r="4349" spans="1:1" x14ac:dyDescent="0.25">
      <c r="A4349" s="96" t="s">
        <v>4863</v>
      </c>
    </row>
    <row r="4350" spans="1:1" x14ac:dyDescent="0.25">
      <c r="A4350" s="26" t="s">
        <v>4864</v>
      </c>
    </row>
    <row r="4351" spans="1:1" x14ac:dyDescent="0.25">
      <c r="A4351" s="98" t="s">
        <v>4865</v>
      </c>
    </row>
    <row r="4352" spans="1:1" x14ac:dyDescent="0.25">
      <c r="A4352" s="98" t="s">
        <v>4866</v>
      </c>
    </row>
    <row r="4353" spans="1:1" x14ac:dyDescent="0.25">
      <c r="A4353" s="98" t="s">
        <v>4867</v>
      </c>
    </row>
    <row r="4354" spans="1:1" x14ac:dyDescent="0.25">
      <c r="A4354" s="98" t="s">
        <v>4868</v>
      </c>
    </row>
    <row r="4355" spans="1:1" x14ac:dyDescent="0.25">
      <c r="A4355" s="98" t="s">
        <v>4869</v>
      </c>
    </row>
    <row r="4356" spans="1:1" x14ac:dyDescent="0.25">
      <c r="A4356" s="96" t="s">
        <v>4870</v>
      </c>
    </row>
    <row r="4357" spans="1:1" x14ac:dyDescent="0.25">
      <c r="A4357" s="96" t="s">
        <v>4871</v>
      </c>
    </row>
    <row r="4358" spans="1:1" x14ac:dyDescent="0.25">
      <c r="A4358" s="98" t="s">
        <v>4872</v>
      </c>
    </row>
    <row r="4359" spans="1:1" x14ac:dyDescent="0.25">
      <c r="A4359" s="96" t="s">
        <v>4873</v>
      </c>
    </row>
    <row r="4360" spans="1:1" x14ac:dyDescent="0.25">
      <c r="A4360" s="98" t="s">
        <v>4874</v>
      </c>
    </row>
    <row r="4361" spans="1:1" x14ac:dyDescent="0.25">
      <c r="A4361" s="98" t="s">
        <v>4875</v>
      </c>
    </row>
    <row r="4362" spans="1:1" x14ac:dyDescent="0.25">
      <c r="A4362" s="98" t="s">
        <v>4876</v>
      </c>
    </row>
    <row r="4363" spans="1:1" x14ac:dyDescent="0.25">
      <c r="A4363" s="98" t="s">
        <v>4877</v>
      </c>
    </row>
    <row r="4364" spans="1:1" x14ac:dyDescent="0.25">
      <c r="A4364" s="98" t="s">
        <v>4878</v>
      </c>
    </row>
    <row r="4365" spans="1:1" x14ac:dyDescent="0.25">
      <c r="A4365" s="96" t="s">
        <v>4879</v>
      </c>
    </row>
    <row r="4366" spans="1:1" x14ac:dyDescent="0.25">
      <c r="A4366" s="96" t="s">
        <v>4880</v>
      </c>
    </row>
    <row r="4367" spans="1:1" x14ac:dyDescent="0.25">
      <c r="A4367" s="98" t="s">
        <v>4881</v>
      </c>
    </row>
    <row r="4368" spans="1:1" x14ac:dyDescent="0.25">
      <c r="A4368" s="96" t="s">
        <v>4882</v>
      </c>
    </row>
    <row r="4369" spans="1:1" x14ac:dyDescent="0.25">
      <c r="A4369" s="98" t="s">
        <v>4883</v>
      </c>
    </row>
    <row r="4370" spans="1:1" x14ac:dyDescent="0.25">
      <c r="A4370" s="98" t="s">
        <v>4884</v>
      </c>
    </row>
    <row r="4371" spans="1:1" x14ac:dyDescent="0.25">
      <c r="A4371" s="98" t="s">
        <v>4885</v>
      </c>
    </row>
    <row r="4372" spans="1:1" x14ac:dyDescent="0.25">
      <c r="A4372" s="98" t="s">
        <v>4886</v>
      </c>
    </row>
    <row r="4373" spans="1:1" x14ac:dyDescent="0.25">
      <c r="A4373" s="98" t="s">
        <v>4887</v>
      </c>
    </row>
    <row r="4374" spans="1:1" x14ac:dyDescent="0.25">
      <c r="A4374" s="96" t="s">
        <v>4888</v>
      </c>
    </row>
    <row r="4375" spans="1:1" x14ac:dyDescent="0.25">
      <c r="A4375" s="96" t="s">
        <v>4889</v>
      </c>
    </row>
    <row r="4376" spans="1:1" x14ac:dyDescent="0.25">
      <c r="A4376" s="98" t="s">
        <v>4890</v>
      </c>
    </row>
    <row r="4377" spans="1:1" x14ac:dyDescent="0.25">
      <c r="A4377" s="96" t="s">
        <v>4891</v>
      </c>
    </row>
    <row r="4378" spans="1:1" x14ac:dyDescent="0.25">
      <c r="A4378" s="98" t="s">
        <v>4892</v>
      </c>
    </row>
    <row r="4379" spans="1:1" x14ac:dyDescent="0.25">
      <c r="A4379" s="98" t="s">
        <v>4893</v>
      </c>
    </row>
    <row r="4380" spans="1:1" x14ac:dyDescent="0.25">
      <c r="A4380" s="98" t="s">
        <v>4894</v>
      </c>
    </row>
    <row r="4381" spans="1:1" x14ac:dyDescent="0.25">
      <c r="A4381" s="98" t="s">
        <v>4895</v>
      </c>
    </row>
    <row r="4382" spans="1:1" x14ac:dyDescent="0.25">
      <c r="A4382" s="98" t="s">
        <v>4896</v>
      </c>
    </row>
    <row r="4383" spans="1:1" x14ac:dyDescent="0.25">
      <c r="A4383" s="96" t="s">
        <v>4897</v>
      </c>
    </row>
    <row r="4384" spans="1:1" x14ac:dyDescent="0.25">
      <c r="A4384" s="96" t="s">
        <v>4898</v>
      </c>
    </row>
    <row r="4385" spans="1:1" x14ac:dyDescent="0.25">
      <c r="A4385" s="98" t="s">
        <v>4899</v>
      </c>
    </row>
    <row r="4386" spans="1:1" x14ac:dyDescent="0.25">
      <c r="A4386" s="96" t="s">
        <v>4900</v>
      </c>
    </row>
    <row r="4387" spans="1:1" x14ac:dyDescent="0.25">
      <c r="A4387" s="98" t="s">
        <v>4901</v>
      </c>
    </row>
    <row r="4388" spans="1:1" x14ac:dyDescent="0.25">
      <c r="A4388" s="98" t="s">
        <v>4902</v>
      </c>
    </row>
    <row r="4389" spans="1:1" x14ac:dyDescent="0.25">
      <c r="A4389" s="98" t="s">
        <v>4903</v>
      </c>
    </row>
    <row r="4390" spans="1:1" x14ac:dyDescent="0.25">
      <c r="A4390" s="96" t="s">
        <v>4904</v>
      </c>
    </row>
    <row r="4391" spans="1:1" x14ac:dyDescent="0.25">
      <c r="A4391" s="98" t="s">
        <v>4905</v>
      </c>
    </row>
    <row r="4392" spans="1:1" x14ac:dyDescent="0.25">
      <c r="A4392" s="96" t="s">
        <v>4906</v>
      </c>
    </row>
    <row r="4393" spans="1:1" x14ac:dyDescent="0.25">
      <c r="A4393" s="96" t="s">
        <v>4907</v>
      </c>
    </row>
    <row r="4394" spans="1:1" x14ac:dyDescent="0.25">
      <c r="A4394" s="96" t="s">
        <v>4908</v>
      </c>
    </row>
    <row r="4395" spans="1:1" x14ac:dyDescent="0.25">
      <c r="A4395" s="96" t="s">
        <v>4909</v>
      </c>
    </row>
    <row r="4396" spans="1:1" x14ac:dyDescent="0.25">
      <c r="A4396" s="96" t="s">
        <v>4910</v>
      </c>
    </row>
    <row r="4397" spans="1:1" x14ac:dyDescent="0.25">
      <c r="A4397" s="26" t="s">
        <v>4911</v>
      </c>
    </row>
    <row r="4398" spans="1:1" x14ac:dyDescent="0.25">
      <c r="A4398" s="98" t="s">
        <v>4912</v>
      </c>
    </row>
    <row r="4399" spans="1:1" x14ac:dyDescent="0.25">
      <c r="A4399" s="96" t="s">
        <v>4913</v>
      </c>
    </row>
    <row r="4400" spans="1:1" x14ac:dyDescent="0.25">
      <c r="A4400" s="98" t="s">
        <v>4914</v>
      </c>
    </row>
    <row r="4401" spans="1:1" x14ac:dyDescent="0.25">
      <c r="A4401" s="98" t="s">
        <v>4915</v>
      </c>
    </row>
    <row r="4402" spans="1:1" x14ac:dyDescent="0.25">
      <c r="A4402" s="26" t="s">
        <v>4916</v>
      </c>
    </row>
    <row r="4403" spans="1:1" x14ac:dyDescent="0.25">
      <c r="A4403" s="26" t="s">
        <v>4917</v>
      </c>
    </row>
    <row r="4404" spans="1:1" x14ac:dyDescent="0.25">
      <c r="A4404" s="26" t="s">
        <v>4918</v>
      </c>
    </row>
    <row r="4405" spans="1:1" x14ac:dyDescent="0.25">
      <c r="A4405" s="98" t="s">
        <v>4919</v>
      </c>
    </row>
    <row r="4406" spans="1:1" x14ac:dyDescent="0.25">
      <c r="A4406" s="96" t="s">
        <v>4920</v>
      </c>
    </row>
    <row r="4407" spans="1:1" x14ac:dyDescent="0.25">
      <c r="A4407" s="98" t="s">
        <v>4921</v>
      </c>
    </row>
    <row r="4408" spans="1:1" x14ac:dyDescent="0.25">
      <c r="A4408" s="96" t="s">
        <v>4922</v>
      </c>
    </row>
    <row r="4409" spans="1:1" x14ac:dyDescent="0.25">
      <c r="A4409" s="96" t="s">
        <v>4923</v>
      </c>
    </row>
    <row r="4410" spans="1:1" x14ac:dyDescent="0.25">
      <c r="A4410" s="98" t="s">
        <v>4924</v>
      </c>
    </row>
    <row r="4411" spans="1:1" x14ac:dyDescent="0.25">
      <c r="A4411" s="96" t="s">
        <v>4925</v>
      </c>
    </row>
    <row r="4412" spans="1:1" x14ac:dyDescent="0.25">
      <c r="A4412" s="98" t="s">
        <v>4926</v>
      </c>
    </row>
    <row r="4413" spans="1:1" x14ac:dyDescent="0.25">
      <c r="A4413" s="98" t="s">
        <v>4927</v>
      </c>
    </row>
    <row r="4414" spans="1:1" x14ac:dyDescent="0.25">
      <c r="A4414" s="26" t="s">
        <v>4928</v>
      </c>
    </row>
    <row r="4415" spans="1:1" x14ac:dyDescent="0.25">
      <c r="A4415" s="26" t="s">
        <v>4929</v>
      </c>
    </row>
    <row r="4416" spans="1:1" x14ac:dyDescent="0.25">
      <c r="A4416" s="26" t="s">
        <v>4930</v>
      </c>
    </row>
    <row r="4417" spans="1:1" x14ac:dyDescent="0.25">
      <c r="A4417" s="96" t="s">
        <v>4931</v>
      </c>
    </row>
    <row r="4418" spans="1:1" x14ac:dyDescent="0.25">
      <c r="A4418" s="98" t="s">
        <v>4932</v>
      </c>
    </row>
    <row r="4419" spans="1:1" x14ac:dyDescent="0.25">
      <c r="A4419" s="96" t="s">
        <v>4933</v>
      </c>
    </row>
    <row r="4420" spans="1:1" x14ac:dyDescent="0.25">
      <c r="A4420" s="98" t="s">
        <v>4934</v>
      </c>
    </row>
    <row r="4421" spans="1:1" x14ac:dyDescent="0.25">
      <c r="A4421" s="98" t="s">
        <v>4935</v>
      </c>
    </row>
    <row r="4422" spans="1:1" x14ac:dyDescent="0.25">
      <c r="A4422" s="98" t="s">
        <v>4936</v>
      </c>
    </row>
    <row r="4423" spans="1:1" x14ac:dyDescent="0.25">
      <c r="A4423" s="96" t="s">
        <v>4937</v>
      </c>
    </row>
    <row r="4424" spans="1:1" x14ac:dyDescent="0.25">
      <c r="A4424" s="98" t="s">
        <v>4938</v>
      </c>
    </row>
    <row r="4425" spans="1:1" x14ac:dyDescent="0.25">
      <c r="A4425" s="26" t="s">
        <v>4939</v>
      </c>
    </row>
    <row r="4426" spans="1:1" x14ac:dyDescent="0.25">
      <c r="A4426" s="96" t="s">
        <v>4940</v>
      </c>
    </row>
    <row r="4427" spans="1:1" x14ac:dyDescent="0.25">
      <c r="A4427" s="98" t="s">
        <v>4941</v>
      </c>
    </row>
    <row r="4428" spans="1:1" x14ac:dyDescent="0.25">
      <c r="A4428" s="96" t="s">
        <v>4942</v>
      </c>
    </row>
    <row r="4429" spans="1:1" x14ac:dyDescent="0.25">
      <c r="A4429" s="98" t="s">
        <v>4943</v>
      </c>
    </row>
    <row r="4430" spans="1:1" x14ac:dyDescent="0.25">
      <c r="A4430" s="98" t="s">
        <v>4944</v>
      </c>
    </row>
    <row r="4431" spans="1:1" x14ac:dyDescent="0.25">
      <c r="A4431" s="98" t="s">
        <v>4945</v>
      </c>
    </row>
    <row r="4432" spans="1:1" x14ac:dyDescent="0.25">
      <c r="A4432" s="96" t="s">
        <v>4946</v>
      </c>
    </row>
    <row r="4433" spans="1:1" x14ac:dyDescent="0.25">
      <c r="A4433" s="98" t="s">
        <v>4947</v>
      </c>
    </row>
    <row r="4434" spans="1:1" x14ac:dyDescent="0.25">
      <c r="A4434" s="96" t="s">
        <v>4948</v>
      </c>
    </row>
    <row r="4435" spans="1:1" x14ac:dyDescent="0.25">
      <c r="A4435" s="96" t="s">
        <v>4949</v>
      </c>
    </row>
    <row r="4436" spans="1:1" x14ac:dyDescent="0.25">
      <c r="A4436" s="96" t="s">
        <v>4950</v>
      </c>
    </row>
    <row r="4437" spans="1:1" x14ac:dyDescent="0.25">
      <c r="A4437" s="26" t="s">
        <v>4951</v>
      </c>
    </row>
    <row r="4438" spans="1:1" x14ac:dyDescent="0.25">
      <c r="A4438" s="98" t="s">
        <v>4952</v>
      </c>
    </row>
    <row r="4439" spans="1:1" x14ac:dyDescent="0.25">
      <c r="A4439" s="96" t="s">
        <v>4953</v>
      </c>
    </row>
    <row r="4440" spans="1:1" x14ac:dyDescent="0.25">
      <c r="A4440" s="98" t="s">
        <v>4954</v>
      </c>
    </row>
    <row r="4441" spans="1:1" x14ac:dyDescent="0.25">
      <c r="A4441" s="98" t="s">
        <v>4955</v>
      </c>
    </row>
    <row r="4442" spans="1:1" x14ac:dyDescent="0.25">
      <c r="A4442" s="26" t="s">
        <v>4956</v>
      </c>
    </row>
    <row r="4443" spans="1:1" x14ac:dyDescent="0.25">
      <c r="A4443" s="26" t="s">
        <v>4957</v>
      </c>
    </row>
    <row r="4444" spans="1:1" x14ac:dyDescent="0.25">
      <c r="A4444" s="26" t="s">
        <v>4958</v>
      </c>
    </row>
    <row r="4445" spans="1:1" x14ac:dyDescent="0.25">
      <c r="A4445" s="96" t="s">
        <v>4959</v>
      </c>
    </row>
    <row r="4446" spans="1:1" x14ac:dyDescent="0.25">
      <c r="A4446" s="98" t="s">
        <v>4960</v>
      </c>
    </row>
    <row r="4447" spans="1:1" x14ac:dyDescent="0.25">
      <c r="A4447" s="96" t="s">
        <v>4961</v>
      </c>
    </row>
    <row r="4448" spans="1:1" x14ac:dyDescent="0.25">
      <c r="A4448" s="98" t="s">
        <v>4962</v>
      </c>
    </row>
    <row r="4449" spans="1:1" x14ac:dyDescent="0.25">
      <c r="A4449" s="98" t="s">
        <v>4963</v>
      </c>
    </row>
    <row r="4450" spans="1:1" x14ac:dyDescent="0.25">
      <c r="A4450" s="98" t="s">
        <v>4964</v>
      </c>
    </row>
    <row r="4451" spans="1:1" x14ac:dyDescent="0.25">
      <c r="A4451" s="96" t="s">
        <v>4965</v>
      </c>
    </row>
    <row r="4452" spans="1:1" x14ac:dyDescent="0.25">
      <c r="A4452" s="98" t="s">
        <v>4966</v>
      </c>
    </row>
    <row r="4453" spans="1:1" x14ac:dyDescent="0.25">
      <c r="A4453" s="96" t="s">
        <v>4967</v>
      </c>
    </row>
    <row r="4454" spans="1:1" x14ac:dyDescent="0.25">
      <c r="A4454" s="96" t="s">
        <v>4968</v>
      </c>
    </row>
    <row r="4455" spans="1:1" x14ac:dyDescent="0.25">
      <c r="A4455" s="96" t="s">
        <v>4969</v>
      </c>
    </row>
    <row r="4456" spans="1:1" x14ac:dyDescent="0.25">
      <c r="A4456" s="26" t="s">
        <v>4970</v>
      </c>
    </row>
    <row r="4457" spans="1:1" x14ac:dyDescent="0.25">
      <c r="A4457" s="98" t="s">
        <v>4971</v>
      </c>
    </row>
    <row r="4458" spans="1:1" x14ac:dyDescent="0.25">
      <c r="A4458" s="96" t="s">
        <v>4972</v>
      </c>
    </row>
    <row r="4459" spans="1:1" x14ac:dyDescent="0.25">
      <c r="A4459" s="98" t="s">
        <v>4973</v>
      </c>
    </row>
    <row r="4460" spans="1:1" x14ac:dyDescent="0.25">
      <c r="A4460" s="98" t="s">
        <v>4974</v>
      </c>
    </row>
    <row r="4461" spans="1:1" x14ac:dyDescent="0.25">
      <c r="A4461" s="26" t="s">
        <v>4975</v>
      </c>
    </row>
    <row r="4462" spans="1:1" x14ac:dyDescent="0.25">
      <c r="A4462" s="26" t="s">
        <v>4976</v>
      </c>
    </row>
    <row r="4463" spans="1:1" x14ac:dyDescent="0.25">
      <c r="A4463" s="26" t="s">
        <v>4977</v>
      </c>
    </row>
    <row r="4464" spans="1:1" x14ac:dyDescent="0.25">
      <c r="A4464" s="96" t="s">
        <v>4978</v>
      </c>
    </row>
    <row r="4465" spans="1:1" x14ac:dyDescent="0.25">
      <c r="A4465" s="98" t="s">
        <v>4979</v>
      </c>
    </row>
    <row r="4466" spans="1:1" x14ac:dyDescent="0.25">
      <c r="A4466" s="96" t="s">
        <v>4980</v>
      </c>
    </row>
    <row r="4467" spans="1:1" x14ac:dyDescent="0.25">
      <c r="A4467" s="98" t="s">
        <v>4981</v>
      </c>
    </row>
    <row r="4468" spans="1:1" x14ac:dyDescent="0.25">
      <c r="A4468" s="98" t="s">
        <v>4982</v>
      </c>
    </row>
    <row r="4469" spans="1:1" x14ac:dyDescent="0.25">
      <c r="A4469" s="98" t="s">
        <v>4983</v>
      </c>
    </row>
    <row r="4470" spans="1:1" x14ac:dyDescent="0.25">
      <c r="A4470" s="96" t="s">
        <v>4984</v>
      </c>
    </row>
    <row r="4471" spans="1:1" x14ac:dyDescent="0.25">
      <c r="A4471" s="98" t="s">
        <v>4985</v>
      </c>
    </row>
    <row r="4472" spans="1:1" x14ac:dyDescent="0.25">
      <c r="A4472" s="98" t="s">
        <v>4986</v>
      </c>
    </row>
    <row r="4473" spans="1:1" x14ac:dyDescent="0.25">
      <c r="A4473" s="96" t="s">
        <v>4987</v>
      </c>
    </row>
    <row r="4474" spans="1:1" x14ac:dyDescent="0.25">
      <c r="A4474" s="98" t="s">
        <v>4988</v>
      </c>
    </row>
    <row r="4475" spans="1:1" x14ac:dyDescent="0.25">
      <c r="A4475" s="98" t="s">
        <v>4989</v>
      </c>
    </row>
    <row r="4476" spans="1:1" x14ac:dyDescent="0.25">
      <c r="A4476" s="96" t="s">
        <v>4990</v>
      </c>
    </row>
    <row r="4477" spans="1:1" x14ac:dyDescent="0.25">
      <c r="A4477" s="98" t="s">
        <v>4991</v>
      </c>
    </row>
    <row r="4478" spans="1:1" x14ac:dyDescent="0.25">
      <c r="A4478" s="96" t="s">
        <v>4992</v>
      </c>
    </row>
    <row r="4479" spans="1:1" x14ac:dyDescent="0.25">
      <c r="A4479" s="96" t="s">
        <v>4993</v>
      </c>
    </row>
    <row r="4480" spans="1:1" x14ac:dyDescent="0.25">
      <c r="A4480" s="96" t="s">
        <v>4994</v>
      </c>
    </row>
    <row r="4481" spans="1:1" x14ac:dyDescent="0.25">
      <c r="A4481" s="26" t="s">
        <v>4995</v>
      </c>
    </row>
    <row r="4482" spans="1:1" x14ac:dyDescent="0.25">
      <c r="A4482" s="98" t="s">
        <v>4996</v>
      </c>
    </row>
    <row r="4483" spans="1:1" x14ac:dyDescent="0.25">
      <c r="A4483" s="96" t="s">
        <v>4997</v>
      </c>
    </row>
    <row r="4484" spans="1:1" x14ac:dyDescent="0.25">
      <c r="A4484" s="98" t="s">
        <v>4998</v>
      </c>
    </row>
    <row r="4485" spans="1:1" x14ac:dyDescent="0.25">
      <c r="A4485" s="98" t="s">
        <v>4999</v>
      </c>
    </row>
    <row r="4486" spans="1:1" x14ac:dyDescent="0.25">
      <c r="A4486" s="26" t="s">
        <v>5000</v>
      </c>
    </row>
    <row r="4487" spans="1:1" x14ac:dyDescent="0.25">
      <c r="A4487" s="26" t="s">
        <v>5001</v>
      </c>
    </row>
    <row r="4488" spans="1:1" x14ac:dyDescent="0.25">
      <c r="A4488" s="26" t="s">
        <v>5002</v>
      </c>
    </row>
    <row r="4489" spans="1:1" x14ac:dyDescent="0.25">
      <c r="A4489" s="96" t="s">
        <v>5003</v>
      </c>
    </row>
    <row r="4490" spans="1:1" x14ac:dyDescent="0.25">
      <c r="A4490" s="98" t="s">
        <v>5004</v>
      </c>
    </row>
    <row r="4491" spans="1:1" x14ac:dyDescent="0.25">
      <c r="A4491" s="96" t="s">
        <v>5005</v>
      </c>
    </row>
    <row r="4492" spans="1:1" x14ac:dyDescent="0.25">
      <c r="A4492" s="98" t="s">
        <v>5006</v>
      </c>
    </row>
    <row r="4493" spans="1:1" x14ac:dyDescent="0.25">
      <c r="A4493" s="98" t="s">
        <v>5007</v>
      </c>
    </row>
    <row r="4494" spans="1:1" x14ac:dyDescent="0.25">
      <c r="A4494" s="98" t="s">
        <v>5008</v>
      </c>
    </row>
    <row r="4495" spans="1:1" x14ac:dyDescent="0.25">
      <c r="A4495" s="96" t="s">
        <v>5009</v>
      </c>
    </row>
    <row r="4496" spans="1:1" x14ac:dyDescent="0.25">
      <c r="A4496" s="98" t="s">
        <v>5010</v>
      </c>
    </row>
    <row r="4497" spans="1:1" x14ac:dyDescent="0.25">
      <c r="A4497" s="98" t="s">
        <v>5011</v>
      </c>
    </row>
    <row r="4498" spans="1:1" x14ac:dyDescent="0.25">
      <c r="A4498" s="98" t="s">
        <v>5012</v>
      </c>
    </row>
    <row r="4499" spans="1:1" x14ac:dyDescent="0.25">
      <c r="A4499" s="98" t="s">
        <v>5013</v>
      </c>
    </row>
    <row r="4500" spans="1:1" x14ac:dyDescent="0.25">
      <c r="A4500" s="96" t="s">
        <v>5014</v>
      </c>
    </row>
    <row r="4501" spans="1:1" x14ac:dyDescent="0.25">
      <c r="A4501" s="96" t="s">
        <v>5015</v>
      </c>
    </row>
    <row r="4502" spans="1:1" x14ac:dyDescent="0.25">
      <c r="A4502" s="98" t="s">
        <v>5016</v>
      </c>
    </row>
    <row r="4503" spans="1:1" x14ac:dyDescent="0.25">
      <c r="A4503" s="96" t="s">
        <v>5017</v>
      </c>
    </row>
    <row r="4504" spans="1:1" x14ac:dyDescent="0.25">
      <c r="A4504" s="98" t="s">
        <v>5018</v>
      </c>
    </row>
    <row r="4505" spans="1:1" x14ac:dyDescent="0.25">
      <c r="A4505" s="98" t="s">
        <v>5019</v>
      </c>
    </row>
    <row r="4506" spans="1:1" x14ac:dyDescent="0.25">
      <c r="A4506" s="98" t="s">
        <v>5020</v>
      </c>
    </row>
    <row r="4507" spans="1:1" x14ac:dyDescent="0.25">
      <c r="A4507" s="98" t="s">
        <v>5021</v>
      </c>
    </row>
    <row r="4508" spans="1:1" x14ac:dyDescent="0.25">
      <c r="A4508" s="98" t="s">
        <v>5022</v>
      </c>
    </row>
    <row r="4509" spans="1:1" x14ac:dyDescent="0.25">
      <c r="A4509" s="96" t="s">
        <v>5023</v>
      </c>
    </row>
    <row r="4510" spans="1:1" x14ac:dyDescent="0.25">
      <c r="A4510" s="96" t="s">
        <v>5024</v>
      </c>
    </row>
    <row r="4511" spans="1:1" x14ac:dyDescent="0.25">
      <c r="A4511" s="98" t="s">
        <v>5025</v>
      </c>
    </row>
    <row r="4512" spans="1:1" x14ac:dyDescent="0.25">
      <c r="A4512" s="96" t="s">
        <v>5026</v>
      </c>
    </row>
    <row r="4513" spans="1:1" x14ac:dyDescent="0.25">
      <c r="A4513" s="98" t="s">
        <v>5027</v>
      </c>
    </row>
    <row r="4514" spans="1:1" x14ac:dyDescent="0.25">
      <c r="A4514" s="98" t="s">
        <v>5028</v>
      </c>
    </row>
    <row r="4515" spans="1:1" x14ac:dyDescent="0.25">
      <c r="A4515" s="98" t="s">
        <v>5029</v>
      </c>
    </row>
    <row r="4516" spans="1:1" x14ac:dyDescent="0.25">
      <c r="A4516" s="98" t="s">
        <v>5030</v>
      </c>
    </row>
    <row r="4517" spans="1:1" x14ac:dyDescent="0.25">
      <c r="A4517" s="98" t="s">
        <v>5031</v>
      </c>
    </row>
    <row r="4518" spans="1:1" x14ac:dyDescent="0.25">
      <c r="A4518" s="96" t="s">
        <v>5032</v>
      </c>
    </row>
    <row r="4519" spans="1:1" x14ac:dyDescent="0.25">
      <c r="A4519" s="96" t="s">
        <v>5033</v>
      </c>
    </row>
    <row r="4520" spans="1:1" x14ac:dyDescent="0.25">
      <c r="A4520" s="98" t="s">
        <v>5034</v>
      </c>
    </row>
    <row r="4521" spans="1:1" x14ac:dyDescent="0.25">
      <c r="A4521" s="96" t="s">
        <v>5035</v>
      </c>
    </row>
    <row r="4522" spans="1:1" x14ac:dyDescent="0.25">
      <c r="A4522" s="98" t="s">
        <v>5036</v>
      </c>
    </row>
    <row r="4523" spans="1:1" x14ac:dyDescent="0.25">
      <c r="A4523" s="98" t="s">
        <v>5037</v>
      </c>
    </row>
    <row r="4524" spans="1:1" x14ac:dyDescent="0.25">
      <c r="A4524" s="98" t="s">
        <v>5038</v>
      </c>
    </row>
    <row r="4525" spans="1:1" x14ac:dyDescent="0.25">
      <c r="A4525" s="98" t="s">
        <v>5039</v>
      </c>
    </row>
    <row r="4526" spans="1:1" x14ac:dyDescent="0.25">
      <c r="A4526" s="98" t="s">
        <v>5040</v>
      </c>
    </row>
    <row r="4527" spans="1:1" x14ac:dyDescent="0.25">
      <c r="A4527" s="96" t="s">
        <v>5041</v>
      </c>
    </row>
    <row r="4528" spans="1:1" x14ac:dyDescent="0.25">
      <c r="A4528" s="96" t="s">
        <v>5042</v>
      </c>
    </row>
    <row r="4529" spans="1:1" x14ac:dyDescent="0.25">
      <c r="A4529" s="98" t="s">
        <v>5043</v>
      </c>
    </row>
    <row r="4530" spans="1:1" x14ac:dyDescent="0.25">
      <c r="A4530" s="96" t="s">
        <v>5044</v>
      </c>
    </row>
    <row r="4531" spans="1:1" x14ac:dyDescent="0.25">
      <c r="A4531" s="98" t="s">
        <v>5045</v>
      </c>
    </row>
    <row r="4532" spans="1:1" x14ac:dyDescent="0.25">
      <c r="A4532" s="98" t="s">
        <v>5046</v>
      </c>
    </row>
    <row r="4533" spans="1:1" x14ac:dyDescent="0.25">
      <c r="A4533" s="98" t="s">
        <v>5047</v>
      </c>
    </row>
    <row r="4534" spans="1:1" x14ac:dyDescent="0.25">
      <c r="A4534" s="98" t="s">
        <v>5048</v>
      </c>
    </row>
    <row r="4535" spans="1:1" x14ac:dyDescent="0.25">
      <c r="A4535" s="98" t="s">
        <v>5049</v>
      </c>
    </row>
    <row r="4536" spans="1:1" x14ac:dyDescent="0.25">
      <c r="A4536" s="96" t="s">
        <v>5050</v>
      </c>
    </row>
    <row r="4537" spans="1:1" x14ac:dyDescent="0.25">
      <c r="A4537" s="96" t="s">
        <v>5051</v>
      </c>
    </row>
    <row r="4538" spans="1:1" x14ac:dyDescent="0.25">
      <c r="A4538" s="98" t="s">
        <v>5052</v>
      </c>
    </row>
    <row r="4539" spans="1:1" x14ac:dyDescent="0.25">
      <c r="A4539" s="96" t="s">
        <v>5053</v>
      </c>
    </row>
    <row r="4540" spans="1:1" x14ac:dyDescent="0.25">
      <c r="A4540" s="98" t="s">
        <v>5054</v>
      </c>
    </row>
    <row r="4541" spans="1:1" x14ac:dyDescent="0.25">
      <c r="A4541" s="98" t="s">
        <v>5055</v>
      </c>
    </row>
    <row r="4542" spans="1:1" x14ac:dyDescent="0.25">
      <c r="A4542" s="98" t="s">
        <v>5056</v>
      </c>
    </row>
    <row r="4543" spans="1:1" x14ac:dyDescent="0.25">
      <c r="A4543" s="98" t="s">
        <v>5057</v>
      </c>
    </row>
    <row r="4544" spans="1:1" x14ac:dyDescent="0.25">
      <c r="A4544" s="98" t="s">
        <v>5058</v>
      </c>
    </row>
    <row r="4545" spans="1:1" x14ac:dyDescent="0.25">
      <c r="A4545" s="96" t="s">
        <v>5059</v>
      </c>
    </row>
    <row r="4546" spans="1:1" x14ac:dyDescent="0.25">
      <c r="A4546" s="96" t="s">
        <v>5060</v>
      </c>
    </row>
    <row r="4547" spans="1:1" x14ac:dyDescent="0.25">
      <c r="A4547" s="98" t="s">
        <v>5061</v>
      </c>
    </row>
    <row r="4548" spans="1:1" x14ac:dyDescent="0.25">
      <c r="A4548" s="96" t="s">
        <v>5062</v>
      </c>
    </row>
    <row r="4549" spans="1:1" x14ac:dyDescent="0.25">
      <c r="A4549" s="98" t="s">
        <v>5063</v>
      </c>
    </row>
    <row r="4550" spans="1:1" x14ac:dyDescent="0.25">
      <c r="A4550" s="98" t="s">
        <v>5064</v>
      </c>
    </row>
    <row r="4551" spans="1:1" x14ac:dyDescent="0.25">
      <c r="A4551" s="98" t="s">
        <v>5065</v>
      </c>
    </row>
    <row r="4552" spans="1:1" x14ac:dyDescent="0.25">
      <c r="A4552" s="98" t="s">
        <v>5066</v>
      </c>
    </row>
    <row r="4553" spans="1:1" x14ac:dyDescent="0.25">
      <c r="A4553" s="98" t="s">
        <v>5067</v>
      </c>
    </row>
    <row r="4554" spans="1:1" x14ac:dyDescent="0.25">
      <c r="A4554" s="96" t="s">
        <v>5068</v>
      </c>
    </row>
    <row r="4555" spans="1:1" x14ac:dyDescent="0.25">
      <c r="A4555" s="96" t="s">
        <v>5069</v>
      </c>
    </row>
    <row r="4556" spans="1:1" x14ac:dyDescent="0.25">
      <c r="A4556" s="98" t="s">
        <v>5070</v>
      </c>
    </row>
    <row r="4557" spans="1:1" x14ac:dyDescent="0.25">
      <c r="A4557" s="96" t="s">
        <v>5071</v>
      </c>
    </row>
    <row r="4558" spans="1:1" x14ac:dyDescent="0.25">
      <c r="A4558" s="98" t="s">
        <v>5072</v>
      </c>
    </row>
    <row r="4559" spans="1:1" x14ac:dyDescent="0.25">
      <c r="A4559" s="98" t="s">
        <v>5073</v>
      </c>
    </row>
    <row r="4560" spans="1:1" x14ac:dyDescent="0.25">
      <c r="A4560" s="98" t="s">
        <v>5074</v>
      </c>
    </row>
    <row r="4561" spans="1:1" x14ac:dyDescent="0.25">
      <c r="A4561" s="98" t="s">
        <v>5075</v>
      </c>
    </row>
    <row r="4562" spans="1:1" x14ac:dyDescent="0.25">
      <c r="A4562" s="98" t="s">
        <v>5076</v>
      </c>
    </row>
    <row r="4563" spans="1:1" x14ac:dyDescent="0.25">
      <c r="A4563" s="96" t="s">
        <v>5077</v>
      </c>
    </row>
    <row r="4564" spans="1:1" x14ac:dyDescent="0.25">
      <c r="A4564" s="96" t="s">
        <v>5078</v>
      </c>
    </row>
    <row r="4565" spans="1:1" x14ac:dyDescent="0.25">
      <c r="A4565" s="98" t="s">
        <v>5079</v>
      </c>
    </row>
    <row r="4566" spans="1:1" x14ac:dyDescent="0.25">
      <c r="A4566" s="96" t="s">
        <v>5080</v>
      </c>
    </row>
    <row r="4567" spans="1:1" x14ac:dyDescent="0.25">
      <c r="A4567" s="98" t="s">
        <v>5081</v>
      </c>
    </row>
    <row r="4568" spans="1:1" x14ac:dyDescent="0.25">
      <c r="A4568" s="98" t="s">
        <v>5082</v>
      </c>
    </row>
    <row r="4569" spans="1:1" x14ac:dyDescent="0.25">
      <c r="A4569" s="98" t="s">
        <v>5083</v>
      </c>
    </row>
    <row r="4570" spans="1:1" x14ac:dyDescent="0.25">
      <c r="A4570" s="98" t="s">
        <v>5084</v>
      </c>
    </row>
    <row r="4571" spans="1:1" x14ac:dyDescent="0.25">
      <c r="A4571" s="98" t="s">
        <v>5085</v>
      </c>
    </row>
    <row r="4572" spans="1:1" x14ac:dyDescent="0.25">
      <c r="A4572" s="96" t="s">
        <v>5086</v>
      </c>
    </row>
    <row r="4573" spans="1:1" x14ac:dyDescent="0.25">
      <c r="A4573" s="96" t="s">
        <v>5087</v>
      </c>
    </row>
    <row r="4574" spans="1:1" x14ac:dyDescent="0.25">
      <c r="A4574" s="98" t="s">
        <v>5088</v>
      </c>
    </row>
    <row r="4575" spans="1:1" x14ac:dyDescent="0.25">
      <c r="A4575" s="96" t="s">
        <v>5089</v>
      </c>
    </row>
    <row r="4576" spans="1:1" x14ac:dyDescent="0.25">
      <c r="A4576" s="98" t="s">
        <v>5090</v>
      </c>
    </row>
    <row r="4577" spans="1:1" x14ac:dyDescent="0.25">
      <c r="A4577" s="98" t="s">
        <v>5091</v>
      </c>
    </row>
    <row r="4578" spans="1:1" x14ac:dyDescent="0.25">
      <c r="A4578" s="98" t="s">
        <v>5092</v>
      </c>
    </row>
    <row r="4579" spans="1:1" x14ac:dyDescent="0.25">
      <c r="A4579" s="98" t="s">
        <v>5093</v>
      </c>
    </row>
    <row r="4580" spans="1:1" x14ac:dyDescent="0.25">
      <c r="A4580" s="98" t="s">
        <v>5094</v>
      </c>
    </row>
    <row r="4581" spans="1:1" x14ac:dyDescent="0.25">
      <c r="A4581" s="96" t="s">
        <v>5095</v>
      </c>
    </row>
    <row r="4582" spans="1:1" x14ac:dyDescent="0.25">
      <c r="A4582" s="96" t="s">
        <v>5096</v>
      </c>
    </row>
    <row r="4583" spans="1:1" x14ac:dyDescent="0.25">
      <c r="A4583" s="98" t="s">
        <v>5097</v>
      </c>
    </row>
    <row r="4584" spans="1:1" x14ac:dyDescent="0.25">
      <c r="A4584" s="96" t="s">
        <v>5098</v>
      </c>
    </row>
    <row r="4585" spans="1:1" x14ac:dyDescent="0.25">
      <c r="A4585" s="98" t="s">
        <v>5099</v>
      </c>
    </row>
    <row r="4586" spans="1:1" x14ac:dyDescent="0.25">
      <c r="A4586" s="98" t="s">
        <v>5100</v>
      </c>
    </row>
    <row r="4587" spans="1:1" x14ac:dyDescent="0.25">
      <c r="A4587" s="98" t="s">
        <v>5101</v>
      </c>
    </row>
    <row r="4588" spans="1:1" x14ac:dyDescent="0.25">
      <c r="A4588" s="96" t="s">
        <v>5102</v>
      </c>
    </row>
    <row r="4589" spans="1:1" x14ac:dyDescent="0.25">
      <c r="A4589" s="98" t="s">
        <v>5103</v>
      </c>
    </row>
    <row r="4590" spans="1:1" x14ac:dyDescent="0.25">
      <c r="A4590" s="98" t="s">
        <v>5104</v>
      </c>
    </row>
    <row r="4591" spans="1:1" x14ac:dyDescent="0.25">
      <c r="A4591" s="96" t="s">
        <v>5105</v>
      </c>
    </row>
    <row r="4592" spans="1:1" x14ac:dyDescent="0.25">
      <c r="A4592" s="98" t="s">
        <v>5106</v>
      </c>
    </row>
    <row r="4593" spans="1:1" x14ac:dyDescent="0.25">
      <c r="A4593" s="98" t="s">
        <v>5107</v>
      </c>
    </row>
    <row r="4594" spans="1:1" x14ac:dyDescent="0.25">
      <c r="A4594" s="96" t="s">
        <v>5108</v>
      </c>
    </row>
    <row r="4595" spans="1:1" x14ac:dyDescent="0.25">
      <c r="A4595" s="96" t="s">
        <v>5109</v>
      </c>
    </row>
    <row r="4596" spans="1:1" x14ac:dyDescent="0.25">
      <c r="A4596" s="96" t="s">
        <v>5110</v>
      </c>
    </row>
    <row r="4597" spans="1:1" x14ac:dyDescent="0.25">
      <c r="A4597" s="98" t="s">
        <v>5111</v>
      </c>
    </row>
    <row r="4598" spans="1:1" x14ac:dyDescent="0.25">
      <c r="A4598" s="98" t="s">
        <v>5112</v>
      </c>
    </row>
    <row r="4599" spans="1:1" x14ac:dyDescent="0.25">
      <c r="A4599" s="98" t="s">
        <v>5113</v>
      </c>
    </row>
    <row r="4600" spans="1:1" x14ac:dyDescent="0.25">
      <c r="A4600" s="26" t="s">
        <v>5114</v>
      </c>
    </row>
    <row r="4601" spans="1:1" x14ac:dyDescent="0.25">
      <c r="A4601" s="96" t="s">
        <v>5115</v>
      </c>
    </row>
    <row r="4602" spans="1:1" x14ac:dyDescent="0.25">
      <c r="A4602" s="98" t="s">
        <v>5116</v>
      </c>
    </row>
    <row r="4603" spans="1:1" x14ac:dyDescent="0.25">
      <c r="A4603" s="96" t="s">
        <v>5117</v>
      </c>
    </row>
    <row r="4604" spans="1:1" x14ac:dyDescent="0.25">
      <c r="A4604" s="98" t="s">
        <v>5118</v>
      </c>
    </row>
    <row r="4605" spans="1:1" x14ac:dyDescent="0.25">
      <c r="A4605" s="98" t="s">
        <v>5119</v>
      </c>
    </row>
    <row r="4606" spans="1:1" x14ac:dyDescent="0.25">
      <c r="A4606" s="96" t="s">
        <v>5120</v>
      </c>
    </row>
    <row r="4607" spans="1:1" x14ac:dyDescent="0.25">
      <c r="A4607" s="98" t="s">
        <v>5121</v>
      </c>
    </row>
    <row r="4608" spans="1:1" x14ac:dyDescent="0.25">
      <c r="A4608" s="98" t="s">
        <v>5122</v>
      </c>
    </row>
    <row r="4609" spans="1:1" x14ac:dyDescent="0.25">
      <c r="A4609" s="98" t="s">
        <v>5123</v>
      </c>
    </row>
    <row r="4610" spans="1:1" x14ac:dyDescent="0.25">
      <c r="A4610" s="98" t="s">
        <v>5124</v>
      </c>
    </row>
    <row r="4611" spans="1:1" x14ac:dyDescent="0.25">
      <c r="A4611" s="98" t="s">
        <v>5125</v>
      </c>
    </row>
    <row r="4612" spans="1:1" x14ac:dyDescent="0.25">
      <c r="A4612" s="98" t="s">
        <v>5126</v>
      </c>
    </row>
    <row r="4613" spans="1:1" x14ac:dyDescent="0.25">
      <c r="A4613" s="96" t="s">
        <v>5127</v>
      </c>
    </row>
    <row r="4614" spans="1:1" x14ac:dyDescent="0.25">
      <c r="A4614" s="98" t="s">
        <v>5128</v>
      </c>
    </row>
    <row r="4615" spans="1:1" x14ac:dyDescent="0.25">
      <c r="A4615" s="98" t="s">
        <v>5129</v>
      </c>
    </row>
    <row r="4616" spans="1:1" x14ac:dyDescent="0.25">
      <c r="A4616" s="26" t="s">
        <v>5130</v>
      </c>
    </row>
    <row r="4617" spans="1:1" x14ac:dyDescent="0.25">
      <c r="A4617" s="26" t="s">
        <v>5131</v>
      </c>
    </row>
    <row r="4618" spans="1:1" x14ac:dyDescent="0.25">
      <c r="A4618" s="26" t="s">
        <v>5132</v>
      </c>
    </row>
    <row r="4619" spans="1:1" x14ac:dyDescent="0.25">
      <c r="A4619" s="98" t="s">
        <v>5133</v>
      </c>
    </row>
    <row r="4620" spans="1:1" x14ac:dyDescent="0.25">
      <c r="A4620" s="96" t="s">
        <v>5134</v>
      </c>
    </row>
    <row r="4621" spans="1:1" x14ac:dyDescent="0.25">
      <c r="A4621" s="96" t="s">
        <v>5135</v>
      </c>
    </row>
    <row r="4622" spans="1:1" x14ac:dyDescent="0.25">
      <c r="A4622" s="96" t="s">
        <v>5136</v>
      </c>
    </row>
    <row r="4623" spans="1:1" x14ac:dyDescent="0.25">
      <c r="A4623" s="98" t="s">
        <v>5137</v>
      </c>
    </row>
    <row r="4624" spans="1:1" x14ac:dyDescent="0.25">
      <c r="A4624" s="26" t="s">
        <v>5138</v>
      </c>
    </row>
    <row r="4625" spans="1:1" x14ac:dyDescent="0.25">
      <c r="A4625" s="96" t="s">
        <v>5139</v>
      </c>
    </row>
    <row r="4626" spans="1:1" x14ac:dyDescent="0.25">
      <c r="A4626" s="98" t="s">
        <v>5140</v>
      </c>
    </row>
    <row r="4627" spans="1:1" x14ac:dyDescent="0.25">
      <c r="A4627" s="98" t="s">
        <v>5141</v>
      </c>
    </row>
    <row r="4628" spans="1:1" x14ac:dyDescent="0.25">
      <c r="A4628" s="98" t="s">
        <v>5142</v>
      </c>
    </row>
    <row r="4629" spans="1:1" x14ac:dyDescent="0.25">
      <c r="A4629" s="96" t="s">
        <v>5143</v>
      </c>
    </row>
    <row r="4630" spans="1:1" x14ac:dyDescent="0.25">
      <c r="A4630" s="96" t="s">
        <v>5144</v>
      </c>
    </row>
    <row r="4631" spans="1:1" x14ac:dyDescent="0.25">
      <c r="A4631" s="96" t="s">
        <v>5145</v>
      </c>
    </row>
    <row r="4632" spans="1:1" x14ac:dyDescent="0.25">
      <c r="A4632" t="s">
        <v>5148</v>
      </c>
    </row>
    <row r="4633" spans="1:1" x14ac:dyDescent="0.25">
      <c r="A4633" t="s">
        <v>5149</v>
      </c>
    </row>
    <row r="4634" spans="1:1" x14ac:dyDescent="0.25">
      <c r="A4634" s="96" t="s">
        <v>5150</v>
      </c>
    </row>
    <row r="4635" spans="1:1" x14ac:dyDescent="0.25">
      <c r="A4635" s="96" t="s">
        <v>5151</v>
      </c>
    </row>
    <row r="4636" spans="1:1" x14ac:dyDescent="0.25">
      <c r="A4636" s="96" t="s">
        <v>5152</v>
      </c>
    </row>
    <row r="4637" spans="1:1" x14ac:dyDescent="0.25">
      <c r="A4637" s="98" t="s">
        <v>5153</v>
      </c>
    </row>
    <row r="4638" spans="1:1" x14ac:dyDescent="0.25">
      <c r="A4638" s="96" t="s">
        <v>5154</v>
      </c>
    </row>
    <row r="4639" spans="1:1" x14ac:dyDescent="0.25">
      <c r="A4639" s="26" t="s">
        <v>5155</v>
      </c>
    </row>
    <row r="4640" spans="1:1" x14ac:dyDescent="0.25">
      <c r="A4640" s="98" t="s">
        <v>5156</v>
      </c>
    </row>
    <row r="4641" spans="1:1" x14ac:dyDescent="0.25">
      <c r="A4641" s="98" t="s">
        <v>5157</v>
      </c>
    </row>
    <row r="4642" spans="1:1" x14ac:dyDescent="0.25">
      <c r="A4642" s="96" t="s">
        <v>5158</v>
      </c>
    </row>
    <row r="4643" spans="1:1" x14ac:dyDescent="0.25">
      <c r="A4643" s="98" t="s">
        <v>5159</v>
      </c>
    </row>
    <row r="4644" spans="1:1" x14ac:dyDescent="0.25">
      <c r="A4644" s="96" t="s">
        <v>5160</v>
      </c>
    </row>
    <row r="4645" spans="1:1" x14ac:dyDescent="0.25">
      <c r="A4645" s="26" t="s">
        <v>5161</v>
      </c>
    </row>
    <row r="4646" spans="1:1" x14ac:dyDescent="0.25">
      <c r="A4646" s="98" t="s">
        <v>5162</v>
      </c>
    </row>
    <row r="4647" spans="1:1" x14ac:dyDescent="0.25">
      <c r="A4647" s="98" t="s">
        <v>5163</v>
      </c>
    </row>
    <row r="4648" spans="1:1" x14ac:dyDescent="0.25">
      <c r="A4648" s="96" t="s">
        <v>5164</v>
      </c>
    </row>
    <row r="4649" spans="1:1" x14ac:dyDescent="0.25">
      <c r="A4649" s="98" t="s">
        <v>5165</v>
      </c>
    </row>
    <row r="4650" spans="1:1" x14ac:dyDescent="0.25">
      <c r="A4650" s="96" t="s">
        <v>5166</v>
      </c>
    </row>
    <row r="4651" spans="1:1" x14ac:dyDescent="0.25">
      <c r="A4651" s="26" t="s">
        <v>5167</v>
      </c>
    </row>
    <row r="4652" spans="1:1" x14ac:dyDescent="0.25">
      <c r="A4652" s="98" t="s">
        <v>5168</v>
      </c>
    </row>
    <row r="4653" spans="1:1" x14ac:dyDescent="0.25">
      <c r="A4653" s="98" t="s">
        <v>5169</v>
      </c>
    </row>
    <row r="4654" spans="1:1" x14ac:dyDescent="0.25">
      <c r="A4654" s="98" t="s">
        <v>5170</v>
      </c>
    </row>
    <row r="4655" spans="1:1" x14ac:dyDescent="0.25">
      <c r="A4655" s="98" t="s">
        <v>5171</v>
      </c>
    </row>
    <row r="4656" spans="1:1" x14ac:dyDescent="0.25">
      <c r="A4656" s="98" t="s">
        <v>5172</v>
      </c>
    </row>
    <row r="4657" spans="1:1" x14ac:dyDescent="0.25">
      <c r="A4657" s="96" t="s">
        <v>5173</v>
      </c>
    </row>
    <row r="4658" spans="1:1" x14ac:dyDescent="0.25">
      <c r="A4658" s="96" t="s">
        <v>5174</v>
      </c>
    </row>
    <row r="4659" spans="1:1" x14ac:dyDescent="0.25">
      <c r="A4659" s="98" t="s">
        <v>5175</v>
      </c>
    </row>
    <row r="4660" spans="1:1" x14ac:dyDescent="0.25">
      <c r="A4660" s="96" t="s">
        <v>5176</v>
      </c>
    </row>
    <row r="4661" spans="1:1" x14ac:dyDescent="0.25">
      <c r="A4661" s="96" t="s">
        <v>5177</v>
      </c>
    </row>
    <row r="4662" spans="1:1" x14ac:dyDescent="0.25">
      <c r="A4662" s="96" t="s">
        <v>5178</v>
      </c>
    </row>
    <row r="4663" spans="1:1" x14ac:dyDescent="0.25">
      <c r="A4663" s="98" t="s">
        <v>5179</v>
      </c>
    </row>
    <row r="4664" spans="1:1" x14ac:dyDescent="0.25">
      <c r="A4664" s="98" t="s">
        <v>5180</v>
      </c>
    </row>
    <row r="4665" spans="1:1" x14ac:dyDescent="0.25">
      <c r="A4665" s="98" t="s">
        <v>5181</v>
      </c>
    </row>
    <row r="4666" spans="1:1" x14ac:dyDescent="0.25">
      <c r="A4666" s="98" t="s">
        <v>5182</v>
      </c>
    </row>
    <row r="4667" spans="1:1" x14ac:dyDescent="0.25">
      <c r="A4667" s="98" t="s">
        <v>5183</v>
      </c>
    </row>
    <row r="4668" spans="1:1" x14ac:dyDescent="0.25">
      <c r="A4668" s="96" t="s">
        <v>5184</v>
      </c>
    </row>
    <row r="4669" spans="1:1" x14ac:dyDescent="0.25">
      <c r="A4669" s="96" t="s">
        <v>5185</v>
      </c>
    </row>
    <row r="4670" spans="1:1" x14ac:dyDescent="0.25">
      <c r="A4670" s="98" t="s">
        <v>5186</v>
      </c>
    </row>
    <row r="4671" spans="1:1" x14ac:dyDescent="0.25">
      <c r="A4671" s="98" t="s">
        <v>5187</v>
      </c>
    </row>
    <row r="4672" spans="1:1" x14ac:dyDescent="0.25">
      <c r="A4672" s="98" t="s">
        <v>5188</v>
      </c>
    </row>
    <row r="4673" spans="1:1" x14ac:dyDescent="0.25">
      <c r="A4673" s="98" t="s">
        <v>5189</v>
      </c>
    </row>
    <row r="4674" spans="1:1" x14ac:dyDescent="0.25">
      <c r="A4674" s="98" t="s">
        <v>5190</v>
      </c>
    </row>
    <row r="4675" spans="1:1" x14ac:dyDescent="0.25">
      <c r="A4675" s="98" t="s">
        <v>5191</v>
      </c>
    </row>
    <row r="4676" spans="1:1" x14ac:dyDescent="0.25">
      <c r="A4676" s="96" t="s">
        <v>5192</v>
      </c>
    </row>
    <row r="4677" spans="1:1" x14ac:dyDescent="0.25">
      <c r="A4677" s="96" t="s">
        <v>5193</v>
      </c>
    </row>
    <row r="4678" spans="1:1" x14ac:dyDescent="0.25">
      <c r="A4678" s="98" t="s">
        <v>5194</v>
      </c>
    </row>
    <row r="4679" spans="1:1" x14ac:dyDescent="0.25">
      <c r="A4679" s="98" t="s">
        <v>5195</v>
      </c>
    </row>
    <row r="4680" spans="1:1" x14ac:dyDescent="0.25">
      <c r="A4680" s="98" t="s">
        <v>5196</v>
      </c>
    </row>
    <row r="4681" spans="1:1" x14ac:dyDescent="0.25">
      <c r="A4681" s="98" t="s">
        <v>5197</v>
      </c>
    </row>
    <row r="4682" spans="1:1" x14ac:dyDescent="0.25">
      <c r="A4682" s="98" t="s">
        <v>5198</v>
      </c>
    </row>
    <row r="4683" spans="1:1" x14ac:dyDescent="0.25">
      <c r="A4683" s="98" t="s">
        <v>5199</v>
      </c>
    </row>
    <row r="4684" spans="1:1" x14ac:dyDescent="0.25">
      <c r="A4684" s="96" t="s">
        <v>5200</v>
      </c>
    </row>
    <row r="4685" spans="1:1" x14ac:dyDescent="0.25">
      <c r="A4685" s="96" t="s">
        <v>5201</v>
      </c>
    </row>
    <row r="4686" spans="1:1" x14ac:dyDescent="0.25">
      <c r="A4686" s="98" t="s">
        <v>5202</v>
      </c>
    </row>
    <row r="4687" spans="1:1" x14ac:dyDescent="0.25">
      <c r="A4687" s="98" t="s">
        <v>5203</v>
      </c>
    </row>
    <row r="4688" spans="1:1" x14ac:dyDescent="0.25">
      <c r="A4688" s="98" t="s">
        <v>5204</v>
      </c>
    </row>
    <row r="4689" spans="1:1" x14ac:dyDescent="0.25">
      <c r="A4689" s="98" t="s">
        <v>5205</v>
      </c>
    </row>
    <row r="4690" spans="1:1" x14ac:dyDescent="0.25">
      <c r="A4690" s="98" t="s">
        <v>5206</v>
      </c>
    </row>
    <row r="4691" spans="1:1" x14ac:dyDescent="0.25">
      <c r="A4691" s="98" t="s">
        <v>5207</v>
      </c>
    </row>
    <row r="4692" spans="1:1" x14ac:dyDescent="0.25">
      <c r="A4692" s="96" t="s">
        <v>5208</v>
      </c>
    </row>
    <row r="4693" spans="1:1" x14ac:dyDescent="0.25">
      <c r="A4693" s="96" t="s">
        <v>5209</v>
      </c>
    </row>
    <row r="4694" spans="1:1" x14ac:dyDescent="0.25">
      <c r="A4694" s="98" t="s">
        <v>5210</v>
      </c>
    </row>
    <row r="4695" spans="1:1" x14ac:dyDescent="0.25">
      <c r="A4695" s="98" t="s">
        <v>5211</v>
      </c>
    </row>
    <row r="4696" spans="1:1" x14ac:dyDescent="0.25">
      <c r="A4696" s="98" t="s">
        <v>5212</v>
      </c>
    </row>
    <row r="4697" spans="1:1" x14ac:dyDescent="0.25">
      <c r="A4697" s="98" t="s">
        <v>5213</v>
      </c>
    </row>
    <row r="4698" spans="1:1" x14ac:dyDescent="0.25">
      <c r="A4698" s="98" t="s">
        <v>5214</v>
      </c>
    </row>
    <row r="4699" spans="1:1" x14ac:dyDescent="0.25">
      <c r="A4699" s="98" t="s">
        <v>5215</v>
      </c>
    </row>
    <row r="4700" spans="1:1" x14ac:dyDescent="0.25">
      <c r="A4700" s="96" t="s">
        <v>5216</v>
      </c>
    </row>
    <row r="4701" spans="1:1" x14ac:dyDescent="0.25">
      <c r="A4701" s="96" t="s">
        <v>5217</v>
      </c>
    </row>
    <row r="4702" spans="1:1" x14ac:dyDescent="0.25">
      <c r="A4702" s="98" t="s">
        <v>5218</v>
      </c>
    </row>
    <row r="4703" spans="1:1" x14ac:dyDescent="0.25">
      <c r="A4703" s="98" t="s">
        <v>5219</v>
      </c>
    </row>
    <row r="4704" spans="1:1" x14ac:dyDescent="0.25">
      <c r="A4704" s="98" t="s">
        <v>5220</v>
      </c>
    </row>
    <row r="4705" spans="1:1" x14ac:dyDescent="0.25">
      <c r="A4705" s="98" t="s">
        <v>5221</v>
      </c>
    </row>
    <row r="4706" spans="1:1" x14ac:dyDescent="0.25">
      <c r="A4706" s="98" t="s">
        <v>5222</v>
      </c>
    </row>
    <row r="4707" spans="1:1" x14ac:dyDescent="0.25">
      <c r="A4707" s="98" t="s">
        <v>5223</v>
      </c>
    </row>
    <row r="4708" spans="1:1" x14ac:dyDescent="0.25">
      <c r="A4708" s="96" t="s">
        <v>5224</v>
      </c>
    </row>
    <row r="4709" spans="1:1" x14ac:dyDescent="0.25">
      <c r="A4709" s="96" t="s">
        <v>5225</v>
      </c>
    </row>
    <row r="4710" spans="1:1" x14ac:dyDescent="0.25">
      <c r="A4710" s="98" t="s">
        <v>5226</v>
      </c>
    </row>
    <row r="4711" spans="1:1" x14ac:dyDescent="0.25">
      <c r="A4711" s="98" t="s">
        <v>5227</v>
      </c>
    </row>
    <row r="4712" spans="1:1" x14ac:dyDescent="0.25">
      <c r="A4712" s="98" t="s">
        <v>5228</v>
      </c>
    </row>
    <row r="4713" spans="1:1" x14ac:dyDescent="0.25">
      <c r="A4713" s="98" t="s">
        <v>5229</v>
      </c>
    </row>
    <row r="4714" spans="1:1" x14ac:dyDescent="0.25">
      <c r="A4714" s="98" t="s">
        <v>5230</v>
      </c>
    </row>
    <row r="4715" spans="1:1" x14ac:dyDescent="0.25">
      <c r="A4715" s="98" t="s">
        <v>5231</v>
      </c>
    </row>
    <row r="4716" spans="1:1" x14ac:dyDescent="0.25">
      <c r="A4716" s="96" t="s">
        <v>5232</v>
      </c>
    </row>
    <row r="4717" spans="1:1" x14ac:dyDescent="0.25">
      <c r="A4717" s="96" t="s">
        <v>5233</v>
      </c>
    </row>
    <row r="4718" spans="1:1" x14ac:dyDescent="0.25">
      <c r="A4718" s="98" t="s">
        <v>5234</v>
      </c>
    </row>
    <row r="4719" spans="1:1" x14ac:dyDescent="0.25">
      <c r="A4719" s="98" t="s">
        <v>5235</v>
      </c>
    </row>
    <row r="4720" spans="1:1" x14ac:dyDescent="0.25">
      <c r="A4720" s="98" t="s">
        <v>5236</v>
      </c>
    </row>
    <row r="4721" spans="1:1" x14ac:dyDescent="0.25">
      <c r="A4721" s="98" t="s">
        <v>5237</v>
      </c>
    </row>
    <row r="4722" spans="1:1" x14ac:dyDescent="0.25">
      <c r="A4722" s="98" t="s">
        <v>5238</v>
      </c>
    </row>
    <row r="4723" spans="1:1" x14ac:dyDescent="0.25">
      <c r="A4723" s="98" t="s">
        <v>5239</v>
      </c>
    </row>
    <row r="4724" spans="1:1" x14ac:dyDescent="0.25">
      <c r="A4724" s="96" t="s">
        <v>5240</v>
      </c>
    </row>
    <row r="4725" spans="1:1" x14ac:dyDescent="0.25">
      <c r="A4725" s="96" t="s">
        <v>5241</v>
      </c>
    </row>
    <row r="4726" spans="1:1" x14ac:dyDescent="0.25">
      <c r="A4726" s="98" t="s">
        <v>5242</v>
      </c>
    </row>
    <row r="4727" spans="1:1" x14ac:dyDescent="0.25">
      <c r="A4727" s="98" t="s">
        <v>5243</v>
      </c>
    </row>
    <row r="4728" spans="1:1" x14ac:dyDescent="0.25">
      <c r="A4728" s="98" t="s">
        <v>5244</v>
      </c>
    </row>
    <row r="4729" spans="1:1" x14ac:dyDescent="0.25">
      <c r="A4729" s="98" t="s">
        <v>5245</v>
      </c>
    </row>
    <row r="4730" spans="1:1" x14ac:dyDescent="0.25">
      <c r="A4730" s="98" t="s">
        <v>5246</v>
      </c>
    </row>
    <row r="4731" spans="1:1" x14ac:dyDescent="0.25">
      <c r="A4731" s="98" t="s">
        <v>5247</v>
      </c>
    </row>
    <row r="4732" spans="1:1" x14ac:dyDescent="0.25">
      <c r="A4732" s="96" t="s">
        <v>5248</v>
      </c>
    </row>
    <row r="4733" spans="1:1" x14ac:dyDescent="0.25">
      <c r="A4733" s="96" t="s">
        <v>5249</v>
      </c>
    </row>
    <row r="4734" spans="1:1" x14ac:dyDescent="0.25">
      <c r="A4734" s="98" t="s">
        <v>5250</v>
      </c>
    </row>
    <row r="4735" spans="1:1" x14ac:dyDescent="0.25">
      <c r="A4735" s="98" t="s">
        <v>5251</v>
      </c>
    </row>
    <row r="4736" spans="1:1" x14ac:dyDescent="0.25">
      <c r="A4736" s="98" t="s">
        <v>5252</v>
      </c>
    </row>
    <row r="4737" spans="1:1" x14ac:dyDescent="0.25">
      <c r="A4737" s="26" t="s">
        <v>5253</v>
      </c>
    </row>
    <row r="4738" spans="1:1" x14ac:dyDescent="0.25">
      <c r="A4738" s="96" t="s">
        <v>5254</v>
      </c>
    </row>
    <row r="4739" spans="1:1" x14ac:dyDescent="0.25">
      <c r="A4739" s="98" t="s">
        <v>5255</v>
      </c>
    </row>
    <row r="4740" spans="1:1" x14ac:dyDescent="0.25">
      <c r="A4740" s="96" t="s">
        <v>5256</v>
      </c>
    </row>
    <row r="4741" spans="1:1" x14ac:dyDescent="0.25">
      <c r="A4741" s="98" t="s">
        <v>5257</v>
      </c>
    </row>
    <row r="4742" spans="1:1" x14ac:dyDescent="0.25">
      <c r="A4742" s="98" t="s">
        <v>5258</v>
      </c>
    </row>
    <row r="4743" spans="1:1" x14ac:dyDescent="0.25">
      <c r="A4743" s="98" t="s">
        <v>5259</v>
      </c>
    </row>
    <row r="4744" spans="1:1" x14ac:dyDescent="0.25">
      <c r="A4744" s="98" t="s">
        <v>5260</v>
      </c>
    </row>
    <row r="4745" spans="1:1" x14ac:dyDescent="0.25">
      <c r="A4745" s="96" t="s">
        <v>5261</v>
      </c>
    </row>
    <row r="4746" spans="1:1" x14ac:dyDescent="0.25">
      <c r="A4746" s="96" t="s">
        <v>5262</v>
      </c>
    </row>
    <row r="4747" spans="1:1" x14ac:dyDescent="0.25">
      <c r="A4747" s="96" t="s">
        <v>5263</v>
      </c>
    </row>
    <row r="4748" spans="1:1" x14ac:dyDescent="0.25">
      <c r="A4748" s="96" t="s">
        <v>5264</v>
      </c>
    </row>
    <row r="4749" spans="1:1" x14ac:dyDescent="0.25">
      <c r="A4749" s="96" t="s">
        <v>5265</v>
      </c>
    </row>
    <row r="4750" spans="1:1" x14ac:dyDescent="0.25">
      <c r="A4750" s="96" t="s">
        <v>5266</v>
      </c>
    </row>
    <row r="4751" spans="1:1" x14ac:dyDescent="0.25">
      <c r="A4751" s="98" t="s">
        <v>5267</v>
      </c>
    </row>
    <row r="4752" spans="1:1" x14ac:dyDescent="0.25">
      <c r="A4752" s="98" t="s">
        <v>5268</v>
      </c>
    </row>
    <row r="4753" spans="1:1" x14ac:dyDescent="0.25">
      <c r="A4753" s="98" t="s">
        <v>5269</v>
      </c>
    </row>
    <row r="4754" spans="1:1" x14ac:dyDescent="0.25">
      <c r="A4754" s="96" t="s">
        <v>5270</v>
      </c>
    </row>
    <row r="4755" spans="1:1" x14ac:dyDescent="0.25">
      <c r="A4755" s="98" t="s">
        <v>5271</v>
      </c>
    </row>
    <row r="4756" spans="1:1" x14ac:dyDescent="0.25">
      <c r="A4756" s="98" t="s">
        <v>5272</v>
      </c>
    </row>
    <row r="4757" spans="1:1" x14ac:dyDescent="0.25">
      <c r="A4757" s="96" t="s">
        <v>5273</v>
      </c>
    </row>
    <row r="4758" spans="1:1" x14ac:dyDescent="0.25">
      <c r="A4758" s="26" t="s">
        <v>5274</v>
      </c>
    </row>
    <row r="4759" spans="1:1" x14ac:dyDescent="0.25">
      <c r="A4759" s="98" t="s">
        <v>5275</v>
      </c>
    </row>
    <row r="4760" spans="1:1" x14ac:dyDescent="0.25">
      <c r="A4760" s="96" t="s">
        <v>5276</v>
      </c>
    </row>
    <row r="4761" spans="1:1" x14ac:dyDescent="0.25">
      <c r="A4761" s="98" t="s">
        <v>5277</v>
      </c>
    </row>
    <row r="4762" spans="1:1" x14ac:dyDescent="0.25">
      <c r="A4762" s="98" t="s">
        <v>5278</v>
      </c>
    </row>
    <row r="4763" spans="1:1" x14ac:dyDescent="0.25">
      <c r="A4763" s="26" t="s">
        <v>5279</v>
      </c>
    </row>
    <row r="4764" spans="1:1" x14ac:dyDescent="0.25">
      <c r="A4764" s="26" t="s">
        <v>5280</v>
      </c>
    </row>
    <row r="4765" spans="1:1" x14ac:dyDescent="0.25">
      <c r="A4765" s="26" t="s">
        <v>5281</v>
      </c>
    </row>
    <row r="4766" spans="1:1" x14ac:dyDescent="0.25">
      <c r="A4766" s="98" t="s">
        <v>5282</v>
      </c>
    </row>
    <row r="4767" spans="1:1" x14ac:dyDescent="0.25">
      <c r="A4767" s="96" t="s">
        <v>5283</v>
      </c>
    </row>
    <row r="4768" spans="1:1" x14ac:dyDescent="0.25">
      <c r="A4768" s="98" t="s">
        <v>5284</v>
      </c>
    </row>
    <row r="4769" spans="1:1" x14ac:dyDescent="0.25">
      <c r="A4769" s="98" t="s">
        <v>5285</v>
      </c>
    </row>
    <row r="4770" spans="1:1" x14ac:dyDescent="0.25">
      <c r="A4770" s="26" t="s">
        <v>5286</v>
      </c>
    </row>
    <row r="4771" spans="1:1" x14ac:dyDescent="0.25">
      <c r="A4771" s="26" t="s">
        <v>5287</v>
      </c>
    </row>
    <row r="4772" spans="1:1" x14ac:dyDescent="0.25">
      <c r="A4772" s="26" t="s">
        <v>5288</v>
      </c>
    </row>
    <row r="4773" spans="1:1" x14ac:dyDescent="0.25">
      <c r="A4773" s="96" t="s">
        <v>5289</v>
      </c>
    </row>
    <row r="4774" spans="1:1" x14ac:dyDescent="0.25">
      <c r="A4774" s="98" t="s">
        <v>5290</v>
      </c>
    </row>
    <row r="4775" spans="1:1" x14ac:dyDescent="0.25">
      <c r="A4775" s="96" t="s">
        <v>5291</v>
      </c>
    </row>
    <row r="4776" spans="1:1" x14ac:dyDescent="0.25">
      <c r="A4776" s="98" t="s">
        <v>5292</v>
      </c>
    </row>
    <row r="4777" spans="1:1" x14ac:dyDescent="0.25">
      <c r="A4777" s="98" t="s">
        <v>5293</v>
      </c>
    </row>
    <row r="4778" spans="1:1" x14ac:dyDescent="0.25">
      <c r="A4778" s="98" t="s">
        <v>5294</v>
      </c>
    </row>
    <row r="4779" spans="1:1" x14ac:dyDescent="0.25">
      <c r="A4779" s="96" t="s">
        <v>5295</v>
      </c>
    </row>
    <row r="4780" spans="1:1" x14ac:dyDescent="0.25">
      <c r="A4780" s="98" t="s">
        <v>5296</v>
      </c>
    </row>
    <row r="4781" spans="1:1" x14ac:dyDescent="0.25">
      <c r="A4781" s="98" t="s">
        <v>5297</v>
      </c>
    </row>
    <row r="4782" spans="1:1" x14ac:dyDescent="0.25">
      <c r="A4782" s="26" t="s">
        <v>5298</v>
      </c>
    </row>
    <row r="4783" spans="1:1" x14ac:dyDescent="0.25">
      <c r="A4783" s="26" t="s">
        <v>5299</v>
      </c>
    </row>
    <row r="4784" spans="1:1" x14ac:dyDescent="0.25">
      <c r="A4784" s="26" t="s">
        <v>5300</v>
      </c>
    </row>
    <row r="4785" spans="1:1" x14ac:dyDescent="0.25">
      <c r="A4785" s="98" t="s">
        <v>5301</v>
      </c>
    </row>
    <row r="4786" spans="1:1" x14ac:dyDescent="0.25">
      <c r="A4786" s="96" t="s">
        <v>5302</v>
      </c>
    </row>
    <row r="4787" spans="1:1" x14ac:dyDescent="0.25">
      <c r="A4787" s="96" t="s">
        <v>5303</v>
      </c>
    </row>
    <row r="4788" spans="1:1" x14ac:dyDescent="0.25">
      <c r="A4788" s="96" t="s">
        <v>5304</v>
      </c>
    </row>
    <row r="4789" spans="1:1" x14ac:dyDescent="0.25">
      <c r="A4789" s="98" t="s">
        <v>5305</v>
      </c>
    </row>
    <row r="4790" spans="1:1" x14ac:dyDescent="0.25">
      <c r="A4790" s="96" t="s">
        <v>5306</v>
      </c>
    </row>
    <row r="4791" spans="1:1" x14ac:dyDescent="0.25">
      <c r="A4791" s="26" t="s">
        <v>5307</v>
      </c>
    </row>
    <row r="4792" spans="1:1" x14ac:dyDescent="0.25">
      <c r="A4792" s="96" t="s">
        <v>5308</v>
      </c>
    </row>
    <row r="4793" spans="1:1" x14ac:dyDescent="0.25">
      <c r="A4793" s="98" t="s">
        <v>5309</v>
      </c>
    </row>
    <row r="4794" spans="1:1" x14ac:dyDescent="0.25">
      <c r="A4794" s="96" t="s">
        <v>5310</v>
      </c>
    </row>
    <row r="4795" spans="1:1" x14ac:dyDescent="0.25">
      <c r="A4795" s="98" t="s">
        <v>5311</v>
      </c>
    </row>
    <row r="4796" spans="1:1" x14ac:dyDescent="0.25">
      <c r="A4796" s="98" t="s">
        <v>5312</v>
      </c>
    </row>
    <row r="4797" spans="1:1" x14ac:dyDescent="0.25">
      <c r="A4797" s="98" t="s">
        <v>5313</v>
      </c>
    </row>
    <row r="4798" spans="1:1" x14ac:dyDescent="0.25">
      <c r="A4798" s="98" t="s">
        <v>5314</v>
      </c>
    </row>
    <row r="4799" spans="1:1" x14ac:dyDescent="0.25">
      <c r="A4799" s="98" t="s">
        <v>5315</v>
      </c>
    </row>
    <row r="4800" spans="1:1" x14ac:dyDescent="0.25">
      <c r="A4800" s="96" t="s">
        <v>5316</v>
      </c>
    </row>
    <row r="4801" spans="1:1" x14ac:dyDescent="0.25">
      <c r="A4801" s="96" t="s">
        <v>5317</v>
      </c>
    </row>
    <row r="4802" spans="1:1" x14ac:dyDescent="0.25">
      <c r="A4802" s="98" t="s">
        <v>5318</v>
      </c>
    </row>
    <row r="4803" spans="1:1" x14ac:dyDescent="0.25">
      <c r="A4803" s="98" t="s">
        <v>5319</v>
      </c>
    </row>
    <row r="4804" spans="1:1" x14ac:dyDescent="0.25">
      <c r="A4804" s="98" t="s">
        <v>5320</v>
      </c>
    </row>
    <row r="4805" spans="1:1" x14ac:dyDescent="0.25">
      <c r="A4805" s="98" t="s">
        <v>5321</v>
      </c>
    </row>
    <row r="4806" spans="1:1" x14ac:dyDescent="0.25">
      <c r="A4806" s="98" t="s">
        <v>5322</v>
      </c>
    </row>
    <row r="4807" spans="1:1" x14ac:dyDescent="0.25">
      <c r="A4807" s="98" t="s">
        <v>5323</v>
      </c>
    </row>
    <row r="4808" spans="1:1" x14ac:dyDescent="0.25">
      <c r="A4808" s="96" t="s">
        <v>5324</v>
      </c>
    </row>
    <row r="4809" spans="1:1" x14ac:dyDescent="0.25">
      <c r="A4809" s="96" t="s">
        <v>5325</v>
      </c>
    </row>
    <row r="4810" spans="1:1" x14ac:dyDescent="0.25">
      <c r="A4810" s="98" t="s">
        <v>5326</v>
      </c>
    </row>
    <row r="4811" spans="1:1" x14ac:dyDescent="0.25">
      <c r="A4811" s="98" t="s">
        <v>5327</v>
      </c>
    </row>
    <row r="4812" spans="1:1" x14ac:dyDescent="0.25">
      <c r="A4812" s="98" t="s">
        <v>5328</v>
      </c>
    </row>
    <row r="4813" spans="1:1" x14ac:dyDescent="0.25">
      <c r="A4813" s="98" t="s">
        <v>5329</v>
      </c>
    </row>
    <row r="4814" spans="1:1" x14ac:dyDescent="0.25">
      <c r="A4814" s="98" t="s">
        <v>5330</v>
      </c>
    </row>
    <row r="4815" spans="1:1" x14ac:dyDescent="0.25">
      <c r="A4815" s="98" t="s">
        <v>5331</v>
      </c>
    </row>
    <row r="4816" spans="1:1" x14ac:dyDescent="0.25">
      <c r="A4816" s="96" t="s">
        <v>5332</v>
      </c>
    </row>
    <row r="4817" spans="1:1" x14ac:dyDescent="0.25">
      <c r="A4817" s="96" t="s">
        <v>5333</v>
      </c>
    </row>
    <row r="4818" spans="1:1" x14ac:dyDescent="0.25">
      <c r="A4818" s="98" t="s">
        <v>5334</v>
      </c>
    </row>
    <row r="4819" spans="1:1" x14ac:dyDescent="0.25">
      <c r="A4819" s="98" t="s">
        <v>5335</v>
      </c>
    </row>
    <row r="4820" spans="1:1" x14ac:dyDescent="0.25">
      <c r="A4820" s="98" t="s">
        <v>5336</v>
      </c>
    </row>
    <row r="4821" spans="1:1" x14ac:dyDescent="0.25">
      <c r="A4821" s="98" t="s">
        <v>5337</v>
      </c>
    </row>
    <row r="4822" spans="1:1" x14ac:dyDescent="0.25">
      <c r="A4822" s="98" t="s">
        <v>5338</v>
      </c>
    </row>
    <row r="4823" spans="1:1" x14ac:dyDescent="0.25">
      <c r="A4823" s="98" t="s">
        <v>5339</v>
      </c>
    </row>
    <row r="4824" spans="1:1" x14ac:dyDescent="0.25">
      <c r="A4824" s="96" t="s">
        <v>5340</v>
      </c>
    </row>
    <row r="4825" spans="1:1" x14ac:dyDescent="0.25">
      <c r="A4825" s="96" t="s">
        <v>5341</v>
      </c>
    </row>
    <row r="4826" spans="1:1" x14ac:dyDescent="0.25">
      <c r="A4826" s="98" t="s">
        <v>5342</v>
      </c>
    </row>
    <row r="4827" spans="1:1" x14ac:dyDescent="0.25">
      <c r="A4827" s="98" t="s">
        <v>5343</v>
      </c>
    </row>
    <row r="4828" spans="1:1" x14ac:dyDescent="0.25">
      <c r="A4828" s="98" t="s">
        <v>5344</v>
      </c>
    </row>
    <row r="4829" spans="1:1" x14ac:dyDescent="0.25">
      <c r="A4829" s="98" t="s">
        <v>5345</v>
      </c>
    </row>
    <row r="4830" spans="1:1" x14ac:dyDescent="0.25">
      <c r="A4830" s="98" t="s">
        <v>5346</v>
      </c>
    </row>
    <row r="4831" spans="1:1" x14ac:dyDescent="0.25">
      <c r="A4831" s="98" t="s">
        <v>5347</v>
      </c>
    </row>
    <row r="4832" spans="1:1" x14ac:dyDescent="0.25">
      <c r="A4832" s="96" t="s">
        <v>5348</v>
      </c>
    </row>
    <row r="4833" spans="1:1" x14ac:dyDescent="0.25">
      <c r="A4833" s="96" t="s">
        <v>5349</v>
      </c>
    </row>
    <row r="4834" spans="1:1" x14ac:dyDescent="0.25">
      <c r="A4834" s="98" t="s">
        <v>5350</v>
      </c>
    </row>
    <row r="4835" spans="1:1" x14ac:dyDescent="0.25">
      <c r="A4835" s="98" t="s">
        <v>5351</v>
      </c>
    </row>
    <row r="4836" spans="1:1" x14ac:dyDescent="0.25">
      <c r="A4836" s="98" t="s">
        <v>5352</v>
      </c>
    </row>
    <row r="4837" spans="1:1" x14ac:dyDescent="0.25">
      <c r="A4837" s="98" t="s">
        <v>5353</v>
      </c>
    </row>
    <row r="4838" spans="1:1" x14ac:dyDescent="0.25">
      <c r="A4838" s="98" t="s">
        <v>5354</v>
      </c>
    </row>
    <row r="4839" spans="1:1" x14ac:dyDescent="0.25">
      <c r="A4839" s="98" t="s">
        <v>5355</v>
      </c>
    </row>
    <row r="4840" spans="1:1" x14ac:dyDescent="0.25">
      <c r="A4840" s="96" t="s">
        <v>5356</v>
      </c>
    </row>
    <row r="4841" spans="1:1" x14ac:dyDescent="0.25">
      <c r="A4841" s="96" t="s">
        <v>5357</v>
      </c>
    </row>
    <row r="4842" spans="1:1" x14ac:dyDescent="0.25">
      <c r="A4842" s="98" t="s">
        <v>5358</v>
      </c>
    </row>
    <row r="4843" spans="1:1" x14ac:dyDescent="0.25">
      <c r="A4843" s="98" t="s">
        <v>5359</v>
      </c>
    </row>
    <row r="4844" spans="1:1" x14ac:dyDescent="0.25">
      <c r="A4844" s="98" t="s">
        <v>5360</v>
      </c>
    </row>
    <row r="4845" spans="1:1" x14ac:dyDescent="0.25">
      <c r="A4845" s="98" t="s">
        <v>5361</v>
      </c>
    </row>
    <row r="4846" spans="1:1" x14ac:dyDescent="0.25">
      <c r="A4846" s="98" t="s">
        <v>5362</v>
      </c>
    </row>
    <row r="4847" spans="1:1" x14ac:dyDescent="0.25">
      <c r="A4847" s="98" t="s">
        <v>5363</v>
      </c>
    </row>
    <row r="4848" spans="1:1" x14ac:dyDescent="0.25">
      <c r="A4848" s="96" t="s">
        <v>5364</v>
      </c>
    </row>
    <row r="4849" spans="1:1" x14ac:dyDescent="0.25">
      <c r="A4849" s="96" t="s">
        <v>5365</v>
      </c>
    </row>
    <row r="4850" spans="1:1" x14ac:dyDescent="0.25">
      <c r="A4850" s="98" t="s">
        <v>5366</v>
      </c>
    </row>
    <row r="4851" spans="1:1" x14ac:dyDescent="0.25">
      <c r="A4851" s="98" t="s">
        <v>5367</v>
      </c>
    </row>
    <row r="4852" spans="1:1" x14ac:dyDescent="0.25">
      <c r="A4852" s="98" t="s">
        <v>5368</v>
      </c>
    </row>
    <row r="4853" spans="1:1" x14ac:dyDescent="0.25">
      <c r="A4853" s="98" t="s">
        <v>5369</v>
      </c>
    </row>
    <row r="4854" spans="1:1" x14ac:dyDescent="0.25">
      <c r="A4854" s="98" t="s">
        <v>5370</v>
      </c>
    </row>
    <row r="4855" spans="1:1" x14ac:dyDescent="0.25">
      <c r="A4855" s="98" t="s">
        <v>5371</v>
      </c>
    </row>
    <row r="4856" spans="1:1" x14ac:dyDescent="0.25">
      <c r="A4856" s="96" t="s">
        <v>5372</v>
      </c>
    </row>
    <row r="4857" spans="1:1" x14ac:dyDescent="0.25">
      <c r="A4857" s="96" t="s">
        <v>5373</v>
      </c>
    </row>
    <row r="4858" spans="1:1" x14ac:dyDescent="0.25">
      <c r="A4858" s="98" t="s">
        <v>5374</v>
      </c>
    </row>
    <row r="4859" spans="1:1" x14ac:dyDescent="0.25">
      <c r="A4859" s="98" t="s">
        <v>5375</v>
      </c>
    </row>
    <row r="4860" spans="1:1" x14ac:dyDescent="0.25">
      <c r="A4860" s="98" t="s">
        <v>5376</v>
      </c>
    </row>
    <row r="4861" spans="1:1" x14ac:dyDescent="0.25">
      <c r="A4861" s="98" t="s">
        <v>5377</v>
      </c>
    </row>
    <row r="4862" spans="1:1" x14ac:dyDescent="0.25">
      <c r="A4862" s="98" t="s">
        <v>5378</v>
      </c>
    </row>
    <row r="4863" spans="1:1" x14ac:dyDescent="0.25">
      <c r="A4863" s="98" t="s">
        <v>5379</v>
      </c>
    </row>
    <row r="4864" spans="1:1" x14ac:dyDescent="0.25">
      <c r="A4864" s="96" t="s">
        <v>5380</v>
      </c>
    </row>
    <row r="4865" spans="1:1" x14ac:dyDescent="0.25">
      <c r="A4865" s="96" t="s">
        <v>5381</v>
      </c>
    </row>
    <row r="4866" spans="1:1" x14ac:dyDescent="0.25">
      <c r="A4866" s="98" t="s">
        <v>5382</v>
      </c>
    </row>
    <row r="4867" spans="1:1" x14ac:dyDescent="0.25">
      <c r="A4867" s="98" t="s">
        <v>5383</v>
      </c>
    </row>
    <row r="4868" spans="1:1" x14ac:dyDescent="0.25">
      <c r="A4868" s="98" t="s">
        <v>5384</v>
      </c>
    </row>
    <row r="4869" spans="1:1" x14ac:dyDescent="0.25">
      <c r="A4869" s="98" t="s">
        <v>5385</v>
      </c>
    </row>
    <row r="4870" spans="1:1" x14ac:dyDescent="0.25">
      <c r="A4870" s="98" t="s">
        <v>5386</v>
      </c>
    </row>
    <row r="4871" spans="1:1" x14ac:dyDescent="0.25">
      <c r="A4871" s="98" t="s">
        <v>5387</v>
      </c>
    </row>
    <row r="4872" spans="1:1" x14ac:dyDescent="0.25">
      <c r="A4872" s="96" t="s">
        <v>5388</v>
      </c>
    </row>
    <row r="4873" spans="1:1" x14ac:dyDescent="0.25">
      <c r="A4873" s="96" t="s">
        <v>5389</v>
      </c>
    </row>
    <row r="4874" spans="1:1" x14ac:dyDescent="0.25">
      <c r="A4874" s="98" t="s">
        <v>5390</v>
      </c>
    </row>
    <row r="4875" spans="1:1" x14ac:dyDescent="0.25">
      <c r="A4875" s="98" t="s">
        <v>5391</v>
      </c>
    </row>
    <row r="4876" spans="1:1" x14ac:dyDescent="0.25">
      <c r="A4876" s="98" t="s">
        <v>5392</v>
      </c>
    </row>
    <row r="4877" spans="1:1" x14ac:dyDescent="0.25">
      <c r="A4877" s="96" t="s">
        <v>5393</v>
      </c>
    </row>
    <row r="4878" spans="1:1" x14ac:dyDescent="0.25">
      <c r="A4878" s="98" t="s">
        <v>5394</v>
      </c>
    </row>
    <row r="4879" spans="1:1" x14ac:dyDescent="0.25">
      <c r="A4879" s="98" t="s">
        <v>5395</v>
      </c>
    </row>
    <row r="4880" spans="1:1" x14ac:dyDescent="0.25">
      <c r="A4880" s="98" t="s">
        <v>5396</v>
      </c>
    </row>
    <row r="4881" spans="1:1" x14ac:dyDescent="0.25">
      <c r="A4881" s="96" t="s">
        <v>5397</v>
      </c>
    </row>
    <row r="4882" spans="1:1" x14ac:dyDescent="0.25">
      <c r="A4882" s="96" t="s">
        <v>5398</v>
      </c>
    </row>
    <row r="4883" spans="1:1" x14ac:dyDescent="0.25">
      <c r="A4883" s="96" t="s">
        <v>5399</v>
      </c>
    </row>
    <row r="4884" spans="1:1" x14ac:dyDescent="0.25">
      <c r="A4884" t="s">
        <v>5402</v>
      </c>
    </row>
    <row r="4885" spans="1:1" x14ac:dyDescent="0.25">
      <c r="A4885" t="s">
        <v>5403</v>
      </c>
    </row>
    <row r="4886" spans="1:1" x14ac:dyDescent="0.25">
      <c r="A4886" s="96" t="s">
        <v>5404</v>
      </c>
    </row>
    <row r="4887" spans="1:1" x14ac:dyDescent="0.25">
      <c r="A4887" s="96" t="s">
        <v>5405</v>
      </c>
    </row>
    <row r="4888" spans="1:1" x14ac:dyDescent="0.25">
      <c r="A4888" s="96" t="s">
        <v>5406</v>
      </c>
    </row>
    <row r="4889" spans="1:1" x14ac:dyDescent="0.25">
      <c r="A4889" s="98" t="s">
        <v>5407</v>
      </c>
    </row>
    <row r="4890" spans="1:1" x14ac:dyDescent="0.25">
      <c r="A4890" s="96" t="s">
        <v>5408</v>
      </c>
    </row>
    <row r="4891" spans="1:1" x14ac:dyDescent="0.25">
      <c r="A4891" s="98" t="s">
        <v>5409</v>
      </c>
    </row>
    <row r="4892" spans="1:1" x14ac:dyDescent="0.25">
      <c r="A4892" s="98" t="s">
        <v>5410</v>
      </c>
    </row>
    <row r="4893" spans="1:1" x14ac:dyDescent="0.25">
      <c r="A4893" s="98" t="s">
        <v>5411</v>
      </c>
    </row>
    <row r="4894" spans="1:1" x14ac:dyDescent="0.25">
      <c r="A4894" s="98" t="s">
        <v>5412</v>
      </c>
    </row>
    <row r="4895" spans="1:1" x14ac:dyDescent="0.25">
      <c r="A4895" s="96" t="s">
        <v>5413</v>
      </c>
    </row>
    <row r="4896" spans="1:1" x14ac:dyDescent="0.25">
      <c r="A4896" s="26" t="s">
        <v>5414</v>
      </c>
    </row>
    <row r="4897" spans="1:1" x14ac:dyDescent="0.25">
      <c r="A4897" s="96" t="s">
        <v>5415</v>
      </c>
    </row>
    <row r="4898" spans="1:1" x14ac:dyDescent="0.25">
      <c r="A4898" s="96" t="s">
        <v>5416</v>
      </c>
    </row>
    <row r="4899" spans="1:1" x14ac:dyDescent="0.25">
      <c r="A4899" s="98" t="s">
        <v>5417</v>
      </c>
    </row>
    <row r="4900" spans="1:1" x14ac:dyDescent="0.25">
      <c r="A4900" s="96" t="s">
        <v>5418</v>
      </c>
    </row>
    <row r="4901" spans="1:1" x14ac:dyDescent="0.25">
      <c r="A4901" s="98" t="s">
        <v>5419</v>
      </c>
    </row>
    <row r="4902" spans="1:1" x14ac:dyDescent="0.25">
      <c r="A4902" s="98" t="s">
        <v>5420</v>
      </c>
    </row>
    <row r="4903" spans="1:1" x14ac:dyDescent="0.25">
      <c r="A4903" s="26" t="s">
        <v>5421</v>
      </c>
    </row>
    <row r="4904" spans="1:1" x14ac:dyDescent="0.25">
      <c r="A4904" s="96" t="s">
        <v>5422</v>
      </c>
    </row>
    <row r="4905" spans="1:1" x14ac:dyDescent="0.25">
      <c r="A4905" s="98" t="s">
        <v>5423</v>
      </c>
    </row>
    <row r="4906" spans="1:1" x14ac:dyDescent="0.25">
      <c r="A4906" s="96" t="s">
        <v>5424</v>
      </c>
    </row>
    <row r="4907" spans="1:1" x14ac:dyDescent="0.25">
      <c r="A4907" s="98" t="s">
        <v>5425</v>
      </c>
    </row>
    <row r="4908" spans="1:1" x14ac:dyDescent="0.25">
      <c r="A4908" s="98" t="s">
        <v>5426</v>
      </c>
    </row>
    <row r="4909" spans="1:1" x14ac:dyDescent="0.25">
      <c r="A4909" s="98" t="s">
        <v>5427</v>
      </c>
    </row>
    <row r="4910" spans="1:1" x14ac:dyDescent="0.25">
      <c r="A4910" s="98" t="s">
        <v>5428</v>
      </c>
    </row>
    <row r="4911" spans="1:1" x14ac:dyDescent="0.25">
      <c r="A4911" s="98" t="s">
        <v>5429</v>
      </c>
    </row>
    <row r="4912" spans="1:1" x14ac:dyDescent="0.25">
      <c r="A4912" s="96" t="s">
        <v>5430</v>
      </c>
    </row>
    <row r="4913" spans="1:1" x14ac:dyDescent="0.25">
      <c r="A4913" s="96" t="s">
        <v>5431</v>
      </c>
    </row>
    <row r="4914" spans="1:1" x14ac:dyDescent="0.25">
      <c r="A4914" s="98" t="s">
        <v>5432</v>
      </c>
    </row>
    <row r="4915" spans="1:1" x14ac:dyDescent="0.25">
      <c r="A4915" s="98" t="s">
        <v>5433</v>
      </c>
    </row>
    <row r="4916" spans="1:1" x14ac:dyDescent="0.25">
      <c r="A4916" s="98" t="s">
        <v>5434</v>
      </c>
    </row>
    <row r="4917" spans="1:1" x14ac:dyDescent="0.25">
      <c r="A4917" s="96" t="s">
        <v>5435</v>
      </c>
    </row>
    <row r="4918" spans="1:1" x14ac:dyDescent="0.25">
      <c r="A4918" s="98" t="s">
        <v>5436</v>
      </c>
    </row>
    <row r="4919" spans="1:1" x14ac:dyDescent="0.25">
      <c r="A4919" s="98" t="s">
        <v>5437</v>
      </c>
    </row>
    <row r="4920" spans="1:1" x14ac:dyDescent="0.25">
      <c r="A4920" s="98" t="s">
        <v>5438</v>
      </c>
    </row>
    <row r="4921" spans="1:1" x14ac:dyDescent="0.25">
      <c r="A4921" s="96" t="s">
        <v>5439</v>
      </c>
    </row>
    <row r="4922" spans="1:1" x14ac:dyDescent="0.25">
      <c r="A4922" s="96" t="s">
        <v>5440</v>
      </c>
    </row>
    <row r="4923" spans="1:1" x14ac:dyDescent="0.25">
      <c r="A4923" s="96" t="s">
        <v>5441</v>
      </c>
    </row>
    <row r="4924" spans="1:1" x14ac:dyDescent="0.25">
      <c r="A4924" t="s">
        <v>5444</v>
      </c>
    </row>
    <row r="4925" spans="1:1" x14ac:dyDescent="0.25">
      <c r="A4925" t="s">
        <v>5445</v>
      </c>
    </row>
    <row r="4926" spans="1:1" x14ac:dyDescent="0.25">
      <c r="A4926" s="96" t="s">
        <v>5446</v>
      </c>
    </row>
    <row r="4927" spans="1:1" x14ac:dyDescent="0.25">
      <c r="A4927" s="96" t="s">
        <v>5447</v>
      </c>
    </row>
    <row r="4928" spans="1:1" x14ac:dyDescent="0.25">
      <c r="A4928" s="96" t="s">
        <v>5448</v>
      </c>
    </row>
    <row r="4929" spans="1:1" x14ac:dyDescent="0.25">
      <c r="A4929" s="98" t="s">
        <v>5449</v>
      </c>
    </row>
    <row r="4930" spans="1:1" x14ac:dyDescent="0.25">
      <c r="A4930" s="96" t="s">
        <v>5450</v>
      </c>
    </row>
    <row r="4931" spans="1:1" x14ac:dyDescent="0.25">
      <c r="A4931" s="98" t="s">
        <v>5451</v>
      </c>
    </row>
    <row r="4932" spans="1:1" x14ac:dyDescent="0.25">
      <c r="A4932" s="98" t="s">
        <v>5452</v>
      </c>
    </row>
    <row r="4933" spans="1:1" x14ac:dyDescent="0.25">
      <c r="A4933" s="96" t="s">
        <v>5453</v>
      </c>
    </row>
    <row r="4934" spans="1:1" x14ac:dyDescent="0.25">
      <c r="A4934" s="98" t="s">
        <v>5454</v>
      </c>
    </row>
    <row r="4935" spans="1:1" x14ac:dyDescent="0.25">
      <c r="A4935" s="96" t="s">
        <v>5455</v>
      </c>
    </row>
    <row r="4936" spans="1:1" x14ac:dyDescent="0.25">
      <c r="A4936" s="98" t="s">
        <v>5456</v>
      </c>
    </row>
    <row r="4937" spans="1:1" x14ac:dyDescent="0.25">
      <c r="A4937" s="98" t="s">
        <v>5457</v>
      </c>
    </row>
    <row r="4938" spans="1:1" x14ac:dyDescent="0.25">
      <c r="A4938" s="98" t="s">
        <v>5458</v>
      </c>
    </row>
    <row r="4939" spans="1:1" x14ac:dyDescent="0.25">
      <c r="A4939" s="98" t="s">
        <v>5459</v>
      </c>
    </row>
    <row r="4940" spans="1:1" x14ac:dyDescent="0.25">
      <c r="A4940" s="98" t="s">
        <v>5460</v>
      </c>
    </row>
    <row r="4941" spans="1:1" x14ac:dyDescent="0.25">
      <c r="A4941" s="96" t="s">
        <v>5461</v>
      </c>
    </row>
    <row r="4942" spans="1:1" x14ac:dyDescent="0.25">
      <c r="A4942" s="96" t="s">
        <v>5462</v>
      </c>
    </row>
    <row r="4943" spans="1:1" x14ac:dyDescent="0.25">
      <c r="A4943" s="98" t="s">
        <v>5463</v>
      </c>
    </row>
    <row r="4944" spans="1:1" x14ac:dyDescent="0.25">
      <c r="A4944" s="98" t="s">
        <v>5464</v>
      </c>
    </row>
    <row r="4945" spans="1:1" x14ac:dyDescent="0.25">
      <c r="A4945" s="98" t="s">
        <v>5465</v>
      </c>
    </row>
    <row r="4946" spans="1:1" x14ac:dyDescent="0.25">
      <c r="A4946" s="98" t="s">
        <v>5466</v>
      </c>
    </row>
    <row r="4947" spans="1:1" x14ac:dyDescent="0.25">
      <c r="A4947" s="98" t="s">
        <v>5467</v>
      </c>
    </row>
    <row r="4948" spans="1:1" x14ac:dyDescent="0.25">
      <c r="A4948" s="96" t="s">
        <v>5468</v>
      </c>
    </row>
    <row r="4949" spans="1:1" x14ac:dyDescent="0.25">
      <c r="A4949" s="96" t="s">
        <v>5469</v>
      </c>
    </row>
    <row r="4950" spans="1:1" x14ac:dyDescent="0.25">
      <c r="A4950" s="96" t="s">
        <v>5470</v>
      </c>
    </row>
    <row r="4951" spans="1:1" x14ac:dyDescent="0.25">
      <c r="A4951" s="26" t="s">
        <v>5471</v>
      </c>
    </row>
    <row r="4952" spans="1:1" x14ac:dyDescent="0.25">
      <c r="A4952" s="98" t="s">
        <v>5472</v>
      </c>
    </row>
    <row r="4953" spans="1:1" x14ac:dyDescent="0.25">
      <c r="A4953" s="96" t="s">
        <v>5473</v>
      </c>
    </row>
    <row r="4954" spans="1:1" x14ac:dyDescent="0.25">
      <c r="A4954" s="98" t="s">
        <v>5474</v>
      </c>
    </row>
    <row r="4955" spans="1:1" x14ac:dyDescent="0.25">
      <c r="A4955" s="98" t="s">
        <v>5475</v>
      </c>
    </row>
    <row r="4956" spans="1:1" x14ac:dyDescent="0.25">
      <c r="A4956" s="26" t="s">
        <v>5476</v>
      </c>
    </row>
    <row r="4957" spans="1:1" x14ac:dyDescent="0.25">
      <c r="A4957" s="26" t="s">
        <v>5477</v>
      </c>
    </row>
    <row r="4958" spans="1:1" x14ac:dyDescent="0.25">
      <c r="A4958" s="26" t="s">
        <v>5478</v>
      </c>
    </row>
    <row r="4959" spans="1:1" x14ac:dyDescent="0.25">
      <c r="A4959" s="96" t="s">
        <v>5479</v>
      </c>
    </row>
    <row r="4960" spans="1:1" x14ac:dyDescent="0.25">
      <c r="A4960" s="98" t="s">
        <v>5480</v>
      </c>
    </row>
    <row r="4961" spans="1:1" x14ac:dyDescent="0.25">
      <c r="A4961" s="96" t="s">
        <v>5481</v>
      </c>
    </row>
    <row r="4962" spans="1:1" x14ac:dyDescent="0.25">
      <c r="A4962" s="98" t="s">
        <v>5482</v>
      </c>
    </row>
    <row r="4963" spans="1:1" x14ac:dyDescent="0.25">
      <c r="A4963" s="98" t="s">
        <v>5483</v>
      </c>
    </row>
    <row r="4964" spans="1:1" x14ac:dyDescent="0.25">
      <c r="A4964" s="96" t="s">
        <v>5484</v>
      </c>
    </row>
    <row r="4965" spans="1:1" x14ac:dyDescent="0.25">
      <c r="A4965" s="98" t="s">
        <v>5485</v>
      </c>
    </row>
    <row r="4966" spans="1:1" x14ac:dyDescent="0.25">
      <c r="A4966" s="98" t="s">
        <v>5486</v>
      </c>
    </row>
    <row r="4967" spans="1:1" x14ac:dyDescent="0.25">
      <c r="A4967" s="98" t="s">
        <v>5487</v>
      </c>
    </row>
    <row r="4968" spans="1:1" x14ac:dyDescent="0.25">
      <c r="A4968" s="96" t="s">
        <v>5488</v>
      </c>
    </row>
    <row r="4969" spans="1:1" x14ac:dyDescent="0.25">
      <c r="A4969" s="96" t="s">
        <v>5489</v>
      </c>
    </row>
    <row r="4970" spans="1:1" x14ac:dyDescent="0.25">
      <c r="A4970" s="96" t="s">
        <v>5490</v>
      </c>
    </row>
    <row r="4971" spans="1:1" x14ac:dyDescent="0.25">
      <c r="A4971" t="s">
        <v>5493</v>
      </c>
    </row>
    <row r="4972" spans="1:1" x14ac:dyDescent="0.25">
      <c r="A4972" t="s">
        <v>5494</v>
      </c>
    </row>
    <row r="4973" spans="1:1" x14ac:dyDescent="0.25">
      <c r="A4973" s="96" t="s">
        <v>5495</v>
      </c>
    </row>
    <row r="4974" spans="1:1" x14ac:dyDescent="0.25">
      <c r="A4974" s="96" t="s">
        <v>5496</v>
      </c>
    </row>
    <row r="4975" spans="1:1" x14ac:dyDescent="0.25">
      <c r="A4975" s="96" t="s">
        <v>5497</v>
      </c>
    </row>
    <row r="4976" spans="1:1" x14ac:dyDescent="0.25">
      <c r="A4976" s="98" t="s">
        <v>5498</v>
      </c>
    </row>
    <row r="4977" spans="1:1" x14ac:dyDescent="0.25">
      <c r="A4977" s="96" t="s">
        <v>5499</v>
      </c>
    </row>
    <row r="4978" spans="1:1" x14ac:dyDescent="0.25">
      <c r="A4978" s="26" t="s">
        <v>5500</v>
      </c>
    </row>
    <row r="4979" spans="1:1" x14ac:dyDescent="0.25">
      <c r="A4979" s="98" t="s">
        <v>5501</v>
      </c>
    </row>
    <row r="4980" spans="1:1" x14ac:dyDescent="0.25">
      <c r="A4980" s="98" t="s">
        <v>5502</v>
      </c>
    </row>
    <row r="4981" spans="1:1" x14ac:dyDescent="0.25">
      <c r="A4981" s="98" t="s">
        <v>5503</v>
      </c>
    </row>
    <row r="4982" spans="1:1" x14ac:dyDescent="0.25">
      <c r="A4982" s="96" t="s">
        <v>5504</v>
      </c>
    </row>
    <row r="4983" spans="1:1" x14ac:dyDescent="0.25">
      <c r="A4983" s="96" t="s">
        <v>5505</v>
      </c>
    </row>
    <row r="4984" spans="1:1" x14ac:dyDescent="0.25">
      <c r="A4984" s="96" t="s">
        <v>5506</v>
      </c>
    </row>
    <row r="4985" spans="1:1" x14ac:dyDescent="0.25">
      <c r="A4985" s="98" t="s">
        <v>5507</v>
      </c>
    </row>
    <row r="4986" spans="1:1" x14ac:dyDescent="0.25">
      <c r="A4986" s="98" t="s">
        <v>5508</v>
      </c>
    </row>
    <row r="4987" spans="1:1" x14ac:dyDescent="0.25">
      <c r="A4987" s="98" t="s">
        <v>5509</v>
      </c>
    </row>
    <row r="4988" spans="1:1" x14ac:dyDescent="0.25">
      <c r="A4988" s="96" t="s">
        <v>5510</v>
      </c>
    </row>
    <row r="4989" spans="1:1" x14ac:dyDescent="0.25">
      <c r="A4989" s="98" t="s">
        <v>5511</v>
      </c>
    </row>
    <row r="4990" spans="1:1" x14ac:dyDescent="0.25">
      <c r="A4990" s="96" t="s">
        <v>5512</v>
      </c>
    </row>
    <row r="4991" spans="1:1" x14ac:dyDescent="0.25">
      <c r="A4991" s="26" t="s">
        <v>5513</v>
      </c>
    </row>
    <row r="4992" spans="1:1" x14ac:dyDescent="0.25">
      <c r="A4992" s="98" t="s">
        <v>5514</v>
      </c>
    </row>
    <row r="4993" spans="1:1" x14ac:dyDescent="0.25">
      <c r="A4993" s="98" t="s">
        <v>5515</v>
      </c>
    </row>
    <row r="4994" spans="1:1" x14ac:dyDescent="0.25">
      <c r="A4994" s="98" t="s">
        <v>5516</v>
      </c>
    </row>
    <row r="4995" spans="1:1" x14ac:dyDescent="0.25">
      <c r="A4995" s="98" t="s">
        <v>5517</v>
      </c>
    </row>
    <row r="4996" spans="1:1" x14ac:dyDescent="0.25">
      <c r="A4996" s="26" t="s">
        <v>5518</v>
      </c>
    </row>
    <row r="4997" spans="1:1" x14ac:dyDescent="0.25">
      <c r="A4997" s="96" t="s">
        <v>5519</v>
      </c>
    </row>
    <row r="4998" spans="1:1" x14ac:dyDescent="0.25">
      <c r="A4998" s="98" t="s">
        <v>5520</v>
      </c>
    </row>
    <row r="4999" spans="1:1" x14ac:dyDescent="0.25">
      <c r="A4999" s="98" t="s">
        <v>5521</v>
      </c>
    </row>
    <row r="5000" spans="1:1" x14ac:dyDescent="0.25">
      <c r="A5000" s="98" t="s">
        <v>5522</v>
      </c>
    </row>
    <row r="5001" spans="1:1" x14ac:dyDescent="0.25">
      <c r="A5001" s="96" t="s">
        <v>5523</v>
      </c>
    </row>
    <row r="5002" spans="1:1" x14ac:dyDescent="0.25">
      <c r="A5002" s="96" t="s">
        <v>5524</v>
      </c>
    </row>
    <row r="5003" spans="1:1" x14ac:dyDescent="0.25">
      <c r="A5003" s="96" t="s">
        <v>5525</v>
      </c>
    </row>
    <row r="5004" spans="1:1" x14ac:dyDescent="0.25">
      <c r="A5004" t="s">
        <v>5527</v>
      </c>
    </row>
    <row r="5005" spans="1:1" x14ac:dyDescent="0.25">
      <c r="A5005" t="s">
        <v>5528</v>
      </c>
    </row>
    <row r="5006" spans="1:1" x14ac:dyDescent="0.25">
      <c r="A5006" s="96" t="s">
        <v>5529</v>
      </c>
    </row>
    <row r="5007" spans="1:1" x14ac:dyDescent="0.25">
      <c r="A5007" s="96" t="s">
        <v>5530</v>
      </c>
    </row>
    <row r="5008" spans="1:1" x14ac:dyDescent="0.25">
      <c r="A5008" s="96" t="s">
        <v>5531</v>
      </c>
    </row>
    <row r="5009" spans="1:1" x14ac:dyDescent="0.25">
      <c r="A5009" s="98" t="s">
        <v>5532</v>
      </c>
    </row>
    <row r="5010" spans="1:1" x14ac:dyDescent="0.25">
      <c r="A5010" s="96" t="s">
        <v>5533</v>
      </c>
    </row>
    <row r="5011" spans="1:1" x14ac:dyDescent="0.25">
      <c r="A5011" s="26" t="s">
        <v>5534</v>
      </c>
    </row>
    <row r="5012" spans="1:1" x14ac:dyDescent="0.25">
      <c r="A5012" s="98" t="s">
        <v>5535</v>
      </c>
    </row>
    <row r="5013" spans="1:1" x14ac:dyDescent="0.25">
      <c r="A5013" s="98" t="s">
        <v>5536</v>
      </c>
    </row>
    <row r="5014" spans="1:1" x14ac:dyDescent="0.25">
      <c r="A5014" s="96" t="s">
        <v>5537</v>
      </c>
    </row>
    <row r="5015" spans="1:1" x14ac:dyDescent="0.25">
      <c r="A5015" s="98" t="s">
        <v>5538</v>
      </c>
    </row>
    <row r="5016" spans="1:1" x14ac:dyDescent="0.25">
      <c r="A5016" s="96" t="s">
        <v>5539</v>
      </c>
    </row>
    <row r="5017" spans="1:1" x14ac:dyDescent="0.25">
      <c r="A5017" s="26" t="s">
        <v>5540</v>
      </c>
    </row>
    <row r="5018" spans="1:1" x14ac:dyDescent="0.25">
      <c r="A5018" s="98" t="s">
        <v>5541</v>
      </c>
    </row>
    <row r="5019" spans="1:1" x14ac:dyDescent="0.25">
      <c r="A5019" s="98" t="s">
        <v>5542</v>
      </c>
    </row>
    <row r="5020" spans="1:1" x14ac:dyDescent="0.25">
      <c r="A5020" s="96" t="s">
        <v>5543</v>
      </c>
    </row>
    <row r="5021" spans="1:1" x14ac:dyDescent="0.25">
      <c r="A5021" s="98" t="s">
        <v>5544</v>
      </c>
    </row>
    <row r="5022" spans="1:1" x14ac:dyDescent="0.25">
      <c r="A5022" s="96" t="s">
        <v>5545</v>
      </c>
    </row>
    <row r="5023" spans="1:1" x14ac:dyDescent="0.25">
      <c r="A5023" s="26" t="s">
        <v>5546</v>
      </c>
    </row>
    <row r="5024" spans="1:1" x14ac:dyDescent="0.25">
      <c r="A5024" s="98" t="s">
        <v>5547</v>
      </c>
    </row>
    <row r="5025" spans="1:1" x14ac:dyDescent="0.25">
      <c r="A5025" s="98" t="s">
        <v>5548</v>
      </c>
    </row>
    <row r="5026" spans="1:1" x14ac:dyDescent="0.25">
      <c r="A5026" s="98" t="s">
        <v>5549</v>
      </c>
    </row>
    <row r="5027" spans="1:1" x14ac:dyDescent="0.25">
      <c r="A5027" s="98" t="s">
        <v>5550</v>
      </c>
    </row>
    <row r="5028" spans="1:1" x14ac:dyDescent="0.25">
      <c r="A5028" s="98" t="s">
        <v>5551</v>
      </c>
    </row>
    <row r="5029" spans="1:1" x14ac:dyDescent="0.25">
      <c r="A5029" s="96" t="s">
        <v>5552</v>
      </c>
    </row>
    <row r="5030" spans="1:1" x14ac:dyDescent="0.25">
      <c r="A5030" s="96" t="s">
        <v>5553</v>
      </c>
    </row>
    <row r="5031" spans="1:1" x14ac:dyDescent="0.25">
      <c r="A5031" s="98" t="s">
        <v>5554</v>
      </c>
    </row>
    <row r="5032" spans="1:1" x14ac:dyDescent="0.25">
      <c r="A5032" s="98" t="s">
        <v>5555</v>
      </c>
    </row>
    <row r="5033" spans="1:1" x14ac:dyDescent="0.25">
      <c r="A5033" s="98" t="s">
        <v>5556</v>
      </c>
    </row>
    <row r="5034" spans="1:1" x14ac:dyDescent="0.25">
      <c r="A5034" s="98" t="s">
        <v>5557</v>
      </c>
    </row>
    <row r="5035" spans="1:1" x14ac:dyDescent="0.25">
      <c r="A5035" s="96" t="s">
        <v>5558</v>
      </c>
    </row>
    <row r="5036" spans="1:1" x14ac:dyDescent="0.25">
      <c r="A5036" s="96" t="s">
        <v>5559</v>
      </c>
    </row>
    <row r="5037" spans="1:1" x14ac:dyDescent="0.25">
      <c r="A5037" s="98" t="s">
        <v>5560</v>
      </c>
    </row>
    <row r="5038" spans="1:1" x14ac:dyDescent="0.25">
      <c r="A5038" s="98" t="s">
        <v>5561</v>
      </c>
    </row>
    <row r="5039" spans="1:1" x14ac:dyDescent="0.25">
      <c r="A5039" s="98" t="s">
        <v>5562</v>
      </c>
    </row>
    <row r="5040" spans="1:1" x14ac:dyDescent="0.25">
      <c r="A5040" s="98" t="s">
        <v>5563</v>
      </c>
    </row>
    <row r="5041" spans="1:1" x14ac:dyDescent="0.25">
      <c r="A5041" s="96" t="s">
        <v>5564</v>
      </c>
    </row>
    <row r="5042" spans="1:1" x14ac:dyDescent="0.25">
      <c r="A5042" s="96" t="s">
        <v>5565</v>
      </c>
    </row>
    <row r="5043" spans="1:1" x14ac:dyDescent="0.25">
      <c r="A5043" s="98" t="s">
        <v>5566</v>
      </c>
    </row>
    <row r="5044" spans="1:1" x14ac:dyDescent="0.25">
      <c r="A5044" s="98" t="s">
        <v>5567</v>
      </c>
    </row>
    <row r="5045" spans="1:1" x14ac:dyDescent="0.25">
      <c r="A5045" s="98" t="s">
        <v>5568</v>
      </c>
    </row>
    <row r="5046" spans="1:1" x14ac:dyDescent="0.25">
      <c r="A5046" s="98" t="s">
        <v>5569</v>
      </c>
    </row>
    <row r="5047" spans="1:1" x14ac:dyDescent="0.25">
      <c r="A5047" s="96" t="s">
        <v>5570</v>
      </c>
    </row>
    <row r="5048" spans="1:1" x14ac:dyDescent="0.25">
      <c r="A5048" s="96" t="s">
        <v>5571</v>
      </c>
    </row>
    <row r="5049" spans="1:1" x14ac:dyDescent="0.25">
      <c r="A5049" s="98" t="s">
        <v>5572</v>
      </c>
    </row>
    <row r="5050" spans="1:1" x14ac:dyDescent="0.25">
      <c r="A5050" s="98" t="s">
        <v>5573</v>
      </c>
    </row>
    <row r="5051" spans="1:1" x14ac:dyDescent="0.25">
      <c r="A5051" s="98" t="s">
        <v>5574</v>
      </c>
    </row>
    <row r="5052" spans="1:1" x14ac:dyDescent="0.25">
      <c r="A5052" s="98" t="s">
        <v>5575</v>
      </c>
    </row>
    <row r="5053" spans="1:1" x14ac:dyDescent="0.25">
      <c r="A5053" s="96" t="s">
        <v>5576</v>
      </c>
    </row>
    <row r="5054" spans="1:1" x14ac:dyDescent="0.25">
      <c r="A5054" s="96" t="s">
        <v>5577</v>
      </c>
    </row>
    <row r="5055" spans="1:1" x14ac:dyDescent="0.25">
      <c r="A5055" s="98" t="s">
        <v>5578</v>
      </c>
    </row>
    <row r="5056" spans="1:1" x14ac:dyDescent="0.25">
      <c r="A5056" s="98" t="s">
        <v>5579</v>
      </c>
    </row>
    <row r="5057" spans="1:1" x14ac:dyDescent="0.25">
      <c r="A5057" s="98" t="s">
        <v>5580</v>
      </c>
    </row>
    <row r="5058" spans="1:1" x14ac:dyDescent="0.25">
      <c r="A5058" s="98" t="s">
        <v>5581</v>
      </c>
    </row>
    <row r="5059" spans="1:1" x14ac:dyDescent="0.25">
      <c r="A5059" s="96" t="s">
        <v>5582</v>
      </c>
    </row>
    <row r="5060" spans="1:1" x14ac:dyDescent="0.25">
      <c r="A5060" s="96" t="s">
        <v>5583</v>
      </c>
    </row>
    <row r="5061" spans="1:1" x14ac:dyDescent="0.25">
      <c r="A5061" s="98" t="s">
        <v>5584</v>
      </c>
    </row>
    <row r="5062" spans="1:1" x14ac:dyDescent="0.25">
      <c r="A5062" s="96" t="s">
        <v>5585</v>
      </c>
    </row>
    <row r="5063" spans="1:1" x14ac:dyDescent="0.25">
      <c r="A5063" s="96" t="s">
        <v>5586</v>
      </c>
    </row>
    <row r="5064" spans="1:1" x14ac:dyDescent="0.25">
      <c r="A5064" s="96" t="s">
        <v>5587</v>
      </c>
    </row>
    <row r="5065" spans="1:1" x14ac:dyDescent="0.25">
      <c r="A5065" s="96" t="s">
        <v>5588</v>
      </c>
    </row>
    <row r="5066" spans="1:1" x14ac:dyDescent="0.25">
      <c r="A5066" s="96" t="s">
        <v>5589</v>
      </c>
    </row>
    <row r="5067" spans="1:1" x14ac:dyDescent="0.25">
      <c r="A5067" s="26" t="s">
        <v>5590</v>
      </c>
    </row>
    <row r="5068" spans="1:1" x14ac:dyDescent="0.25">
      <c r="A5068" s="98" t="s">
        <v>5591</v>
      </c>
    </row>
    <row r="5069" spans="1:1" x14ac:dyDescent="0.25">
      <c r="A5069" s="96" t="s">
        <v>5592</v>
      </c>
    </row>
    <row r="5070" spans="1:1" x14ac:dyDescent="0.25">
      <c r="A5070" s="98" t="s">
        <v>5593</v>
      </c>
    </row>
    <row r="5071" spans="1:1" x14ac:dyDescent="0.25">
      <c r="A5071" s="98" t="s">
        <v>5594</v>
      </c>
    </row>
    <row r="5072" spans="1:1" x14ac:dyDescent="0.25">
      <c r="A5072" s="26" t="s">
        <v>5595</v>
      </c>
    </row>
    <row r="5073" spans="1:1" x14ac:dyDescent="0.25">
      <c r="A5073" s="26" t="s">
        <v>5596</v>
      </c>
    </row>
    <row r="5074" spans="1:1" x14ac:dyDescent="0.25">
      <c r="A5074" s="26" t="s">
        <v>5597</v>
      </c>
    </row>
    <row r="5075" spans="1:1" x14ac:dyDescent="0.25">
      <c r="A5075" s="98" t="s">
        <v>5598</v>
      </c>
    </row>
    <row r="5076" spans="1:1" x14ac:dyDescent="0.25">
      <c r="A5076" s="96" t="s">
        <v>5599</v>
      </c>
    </row>
    <row r="5077" spans="1:1" x14ac:dyDescent="0.25">
      <c r="A5077" s="98" t="s">
        <v>5600</v>
      </c>
    </row>
    <row r="5078" spans="1:1" x14ac:dyDescent="0.25">
      <c r="A5078" s="98" t="s">
        <v>5601</v>
      </c>
    </row>
    <row r="5079" spans="1:1" x14ac:dyDescent="0.25">
      <c r="A5079" s="26" t="s">
        <v>5602</v>
      </c>
    </row>
    <row r="5080" spans="1:1" x14ac:dyDescent="0.25">
      <c r="A5080" s="26" t="s">
        <v>5603</v>
      </c>
    </row>
    <row r="5081" spans="1:1" x14ac:dyDescent="0.25">
      <c r="A5081" s="26" t="s">
        <v>5604</v>
      </c>
    </row>
    <row r="5082" spans="1:1" x14ac:dyDescent="0.25">
      <c r="A5082" s="96" t="s">
        <v>5605</v>
      </c>
    </row>
    <row r="5083" spans="1:1" x14ac:dyDescent="0.25">
      <c r="A5083" s="98" t="s">
        <v>5606</v>
      </c>
    </row>
    <row r="5084" spans="1:1" x14ac:dyDescent="0.25">
      <c r="A5084" s="96" t="s">
        <v>5607</v>
      </c>
    </row>
    <row r="5085" spans="1:1" x14ac:dyDescent="0.25">
      <c r="A5085" s="98" t="s">
        <v>5608</v>
      </c>
    </row>
    <row r="5086" spans="1:1" x14ac:dyDescent="0.25">
      <c r="A5086" s="98" t="s">
        <v>5609</v>
      </c>
    </row>
    <row r="5087" spans="1:1" x14ac:dyDescent="0.25">
      <c r="A5087" s="96" t="s">
        <v>5610</v>
      </c>
    </row>
    <row r="5088" spans="1:1" x14ac:dyDescent="0.25">
      <c r="A5088" s="96" t="s">
        <v>5611</v>
      </c>
    </row>
    <row r="5089" spans="1:1" x14ac:dyDescent="0.25">
      <c r="A5089" s="26" t="s">
        <v>5612</v>
      </c>
    </row>
    <row r="5090" spans="1:1" x14ac:dyDescent="0.25">
      <c r="A5090" s="96" t="s">
        <v>5613</v>
      </c>
    </row>
    <row r="5091" spans="1:1" x14ac:dyDescent="0.25">
      <c r="A5091" s="98" t="s">
        <v>5614</v>
      </c>
    </row>
    <row r="5092" spans="1:1" x14ac:dyDescent="0.25">
      <c r="A5092" s="96" t="s">
        <v>5615</v>
      </c>
    </row>
    <row r="5093" spans="1:1" x14ac:dyDescent="0.25">
      <c r="A5093" s="98" t="s">
        <v>5616</v>
      </c>
    </row>
    <row r="5094" spans="1:1" x14ac:dyDescent="0.25">
      <c r="A5094" s="98" t="s">
        <v>5617</v>
      </c>
    </row>
    <row r="5095" spans="1:1" x14ac:dyDescent="0.25">
      <c r="A5095" s="96" t="s">
        <v>5618</v>
      </c>
    </row>
    <row r="5096" spans="1:1" x14ac:dyDescent="0.25">
      <c r="A5096" s="96" t="s">
        <v>5619</v>
      </c>
    </row>
    <row r="5097" spans="1:1" x14ac:dyDescent="0.25">
      <c r="A5097" s="96" t="s">
        <v>5620</v>
      </c>
    </row>
    <row r="5098" spans="1:1" x14ac:dyDescent="0.25">
      <c r="A5098" s="26" t="s">
        <v>5621</v>
      </c>
    </row>
    <row r="5099" spans="1:1" x14ac:dyDescent="0.25">
      <c r="A5099" s="98" t="s">
        <v>5622</v>
      </c>
    </row>
    <row r="5100" spans="1:1" x14ac:dyDescent="0.25">
      <c r="A5100" s="96" t="s">
        <v>5623</v>
      </c>
    </row>
    <row r="5101" spans="1:1" x14ac:dyDescent="0.25">
      <c r="A5101" s="98" t="s">
        <v>5624</v>
      </c>
    </row>
    <row r="5102" spans="1:1" x14ac:dyDescent="0.25">
      <c r="A5102" s="98" t="s">
        <v>5625</v>
      </c>
    </row>
    <row r="5103" spans="1:1" x14ac:dyDescent="0.25">
      <c r="A5103" s="26" t="s">
        <v>5626</v>
      </c>
    </row>
    <row r="5104" spans="1:1" x14ac:dyDescent="0.25">
      <c r="A5104" s="26" t="s">
        <v>5627</v>
      </c>
    </row>
    <row r="5105" spans="1:1" x14ac:dyDescent="0.25">
      <c r="A5105" s="26" t="s">
        <v>5628</v>
      </c>
    </row>
    <row r="5106" spans="1:1" x14ac:dyDescent="0.25">
      <c r="A5106" s="96" t="s">
        <v>5629</v>
      </c>
    </row>
    <row r="5107" spans="1:1" x14ac:dyDescent="0.25">
      <c r="A5107" s="98" t="s">
        <v>5630</v>
      </c>
    </row>
    <row r="5108" spans="1:1" x14ac:dyDescent="0.25">
      <c r="A5108" s="96" t="s">
        <v>5631</v>
      </c>
    </row>
    <row r="5109" spans="1:1" x14ac:dyDescent="0.25">
      <c r="A5109" s="98" t="s">
        <v>5632</v>
      </c>
    </row>
    <row r="5110" spans="1:1" x14ac:dyDescent="0.25">
      <c r="A5110" s="98" t="s">
        <v>5633</v>
      </c>
    </row>
    <row r="5111" spans="1:1" x14ac:dyDescent="0.25">
      <c r="A5111" s="26"/>
    </row>
    <row r="5112" spans="1:1" x14ac:dyDescent="0.25">
      <c r="A5112" s="26"/>
    </row>
    <row r="5113" spans="1:1" x14ac:dyDescent="0.25">
      <c r="A5113" s="26"/>
    </row>
    <row r="5114" spans="1:1" x14ac:dyDescent="0.25">
      <c r="A5114" s="26"/>
    </row>
    <row r="5115" spans="1:1" x14ac:dyDescent="0.25">
      <c r="A5115" s="26"/>
    </row>
    <row r="5116" spans="1:1" x14ac:dyDescent="0.25">
      <c r="A5116" s="26"/>
    </row>
    <row r="5117" spans="1:1" x14ac:dyDescent="0.25">
      <c r="A5117" s="26"/>
    </row>
    <row r="5118" spans="1:1" x14ac:dyDescent="0.25">
      <c r="A5118" s="26"/>
    </row>
    <row r="5119" spans="1:1" x14ac:dyDescent="0.25">
      <c r="A5119" s="26"/>
    </row>
    <row r="5120" spans="1:1" x14ac:dyDescent="0.25">
      <c r="A5120" s="26"/>
    </row>
    <row r="5121" spans="1:1" x14ac:dyDescent="0.25">
      <c r="A5121" s="26"/>
    </row>
    <row r="5122" spans="1:1" x14ac:dyDescent="0.25">
      <c r="A5122" s="26"/>
    </row>
    <row r="5123" spans="1:1" x14ac:dyDescent="0.25">
      <c r="A5123" s="26"/>
    </row>
    <row r="5124" spans="1:1" x14ac:dyDescent="0.25">
      <c r="A5124" s="26"/>
    </row>
    <row r="5125" spans="1:1" x14ac:dyDescent="0.25">
      <c r="A5125" s="26"/>
    </row>
    <row r="5126" spans="1:1" x14ac:dyDescent="0.25">
      <c r="A5126" s="26"/>
    </row>
    <row r="5127" spans="1:1" x14ac:dyDescent="0.25">
      <c r="A5127" s="26"/>
    </row>
    <row r="5128" spans="1:1" x14ac:dyDescent="0.25">
      <c r="A5128" s="26"/>
    </row>
    <row r="5129" spans="1:1" x14ac:dyDescent="0.25">
      <c r="A5129" s="26"/>
    </row>
    <row r="5130" spans="1:1" x14ac:dyDescent="0.25">
      <c r="A5130" s="26"/>
    </row>
    <row r="5131" spans="1:1" x14ac:dyDescent="0.25">
      <c r="A5131" s="26"/>
    </row>
    <row r="5132" spans="1:1" x14ac:dyDescent="0.25">
      <c r="A5132" s="26"/>
    </row>
    <row r="5133" spans="1:1" x14ac:dyDescent="0.25">
      <c r="A5133" s="26"/>
    </row>
    <row r="5134" spans="1:1" x14ac:dyDescent="0.25">
      <c r="A5134" s="26"/>
    </row>
    <row r="5135" spans="1:1" x14ac:dyDescent="0.25">
      <c r="A5135" s="26"/>
    </row>
    <row r="5136" spans="1:1" x14ac:dyDescent="0.25">
      <c r="A5136" s="26"/>
    </row>
    <row r="5137" spans="1:1" x14ac:dyDescent="0.25">
      <c r="A5137" s="26"/>
    </row>
    <row r="5138" spans="1:1" x14ac:dyDescent="0.25">
      <c r="A5138" s="26"/>
    </row>
    <row r="5139" spans="1:1" x14ac:dyDescent="0.25">
      <c r="A5139" s="26"/>
    </row>
    <row r="5140" spans="1:1" x14ac:dyDescent="0.25">
      <c r="A5140" s="26"/>
    </row>
    <row r="5141" spans="1:1" x14ac:dyDescent="0.25">
      <c r="A5141" s="26"/>
    </row>
    <row r="5142" spans="1:1" x14ac:dyDescent="0.25">
      <c r="A5142" s="26"/>
    </row>
    <row r="5143" spans="1:1" x14ac:dyDescent="0.25">
      <c r="A5143" s="26"/>
    </row>
    <row r="5144" spans="1:1" x14ac:dyDescent="0.25">
      <c r="A5144" s="26"/>
    </row>
    <row r="5145" spans="1:1" x14ac:dyDescent="0.25">
      <c r="A5145" s="26"/>
    </row>
    <row r="5146" spans="1:1" x14ac:dyDescent="0.25">
      <c r="A5146" s="26"/>
    </row>
    <row r="5147" spans="1:1" x14ac:dyDescent="0.25">
      <c r="A5147" s="26"/>
    </row>
    <row r="5148" spans="1:1" x14ac:dyDescent="0.25">
      <c r="A5148" s="26"/>
    </row>
    <row r="5149" spans="1:1" x14ac:dyDescent="0.25">
      <c r="A5149" s="26"/>
    </row>
    <row r="5150" spans="1:1" x14ac:dyDescent="0.25">
      <c r="A5150" s="26"/>
    </row>
    <row r="5151" spans="1:1" x14ac:dyDescent="0.25">
      <c r="A5151" s="26"/>
    </row>
    <row r="5152" spans="1:1" x14ac:dyDescent="0.25">
      <c r="A5152" s="26"/>
    </row>
    <row r="5153" spans="1:1" x14ac:dyDescent="0.25">
      <c r="A5153" s="26"/>
    </row>
    <row r="5154" spans="1:1" x14ac:dyDescent="0.25">
      <c r="A5154" s="26"/>
    </row>
    <row r="5155" spans="1:1" x14ac:dyDescent="0.25">
      <c r="A5155" s="26"/>
    </row>
    <row r="5156" spans="1:1" x14ac:dyDescent="0.25">
      <c r="A5156" s="26"/>
    </row>
    <row r="5157" spans="1:1" x14ac:dyDescent="0.25">
      <c r="A5157" s="26"/>
    </row>
    <row r="5158" spans="1:1" x14ac:dyDescent="0.25">
      <c r="A5158" s="26"/>
    </row>
    <row r="5159" spans="1:1" x14ac:dyDescent="0.25">
      <c r="A5159" s="26"/>
    </row>
    <row r="5160" spans="1:1" x14ac:dyDescent="0.25">
      <c r="A5160" s="26"/>
    </row>
    <row r="5161" spans="1:1" x14ac:dyDescent="0.25">
      <c r="A5161" s="26"/>
    </row>
    <row r="5162" spans="1:1" x14ac:dyDescent="0.25">
      <c r="A5162" s="26"/>
    </row>
    <row r="5163" spans="1:1" x14ac:dyDescent="0.25">
      <c r="A5163" s="26"/>
    </row>
    <row r="5164" spans="1:1" x14ac:dyDescent="0.25">
      <c r="A5164" s="26"/>
    </row>
    <row r="5165" spans="1:1" x14ac:dyDescent="0.25">
      <c r="A5165" s="26"/>
    </row>
    <row r="5166" spans="1:1" x14ac:dyDescent="0.25">
      <c r="A5166" s="26"/>
    </row>
    <row r="5167" spans="1:1" x14ac:dyDescent="0.25">
      <c r="A5167" s="26"/>
    </row>
    <row r="5168" spans="1:1" x14ac:dyDescent="0.25">
      <c r="A5168" s="26"/>
    </row>
    <row r="5169" spans="1:1" x14ac:dyDescent="0.25">
      <c r="A5169" s="26"/>
    </row>
    <row r="5170" spans="1:1" x14ac:dyDescent="0.25">
      <c r="A5170" s="26"/>
    </row>
    <row r="5171" spans="1:1" x14ac:dyDescent="0.25">
      <c r="A5171" s="26"/>
    </row>
    <row r="5172" spans="1:1" x14ac:dyDescent="0.25">
      <c r="A5172" s="26"/>
    </row>
    <row r="5173" spans="1:1" x14ac:dyDescent="0.25">
      <c r="A5173" s="26"/>
    </row>
    <row r="5174" spans="1:1" x14ac:dyDescent="0.25">
      <c r="A5174" s="26"/>
    </row>
    <row r="5175" spans="1:1" x14ac:dyDescent="0.25">
      <c r="A5175" s="26"/>
    </row>
    <row r="5176" spans="1:1" x14ac:dyDescent="0.25">
      <c r="A5176" s="26"/>
    </row>
    <row r="5177" spans="1:1" x14ac:dyDescent="0.25">
      <c r="A5177" s="26"/>
    </row>
    <row r="5178" spans="1:1" x14ac:dyDescent="0.25">
      <c r="A5178" s="26"/>
    </row>
    <row r="5179" spans="1:1" x14ac:dyDescent="0.25">
      <c r="A5179" s="26"/>
    </row>
    <row r="5180" spans="1:1" x14ac:dyDescent="0.25">
      <c r="A5180" s="26"/>
    </row>
    <row r="5181" spans="1:1" x14ac:dyDescent="0.25">
      <c r="A5181" s="26"/>
    </row>
    <row r="5182" spans="1:1" x14ac:dyDescent="0.25">
      <c r="A5182" s="26"/>
    </row>
    <row r="5183" spans="1:1" x14ac:dyDescent="0.25">
      <c r="A5183" s="26"/>
    </row>
    <row r="5184" spans="1:1" x14ac:dyDescent="0.25">
      <c r="A5184" s="26"/>
    </row>
    <row r="5185" spans="1:1" x14ac:dyDescent="0.25">
      <c r="A5185" s="26"/>
    </row>
    <row r="5186" spans="1:1" x14ac:dyDescent="0.25">
      <c r="A5186" s="26"/>
    </row>
    <row r="5187" spans="1:1" x14ac:dyDescent="0.25">
      <c r="A5187" s="26"/>
    </row>
    <row r="5188" spans="1:1" x14ac:dyDescent="0.25">
      <c r="A5188" s="26"/>
    </row>
    <row r="5189" spans="1:1" x14ac:dyDescent="0.25">
      <c r="A5189" s="26"/>
    </row>
    <row r="5190" spans="1:1" x14ac:dyDescent="0.25">
      <c r="A5190" s="26"/>
    </row>
    <row r="5191" spans="1:1" x14ac:dyDescent="0.25">
      <c r="A5191" s="26"/>
    </row>
    <row r="5192" spans="1:1" x14ac:dyDescent="0.25">
      <c r="A5192" s="26"/>
    </row>
    <row r="5193" spans="1:1" x14ac:dyDescent="0.25">
      <c r="A5193" s="26"/>
    </row>
    <row r="5194" spans="1:1" x14ac:dyDescent="0.25">
      <c r="A5194" s="26"/>
    </row>
    <row r="5195" spans="1:1" x14ac:dyDescent="0.25">
      <c r="A5195" s="26"/>
    </row>
    <row r="5196" spans="1:1" x14ac:dyDescent="0.25">
      <c r="A5196" s="26"/>
    </row>
    <row r="5197" spans="1:1" x14ac:dyDescent="0.25">
      <c r="A5197" s="26"/>
    </row>
    <row r="5198" spans="1:1" x14ac:dyDescent="0.25">
      <c r="A5198" s="26"/>
    </row>
    <row r="5199" spans="1:1" x14ac:dyDescent="0.25">
      <c r="A5199" s="26"/>
    </row>
    <row r="5200" spans="1:1" x14ac:dyDescent="0.25">
      <c r="A5200" s="26"/>
    </row>
    <row r="5201" spans="1:1" x14ac:dyDescent="0.25">
      <c r="A5201" s="26"/>
    </row>
    <row r="5202" spans="1:1" x14ac:dyDescent="0.25">
      <c r="A5202" s="26"/>
    </row>
    <row r="5203" spans="1:1" x14ac:dyDescent="0.25">
      <c r="A5203" s="26"/>
    </row>
    <row r="5204" spans="1:1" x14ac:dyDescent="0.25">
      <c r="A5204" s="26"/>
    </row>
    <row r="5205" spans="1:1" x14ac:dyDescent="0.25">
      <c r="A5205" s="26"/>
    </row>
    <row r="5206" spans="1:1" x14ac:dyDescent="0.25">
      <c r="A5206" s="26"/>
    </row>
    <row r="5207" spans="1:1" x14ac:dyDescent="0.25">
      <c r="A5207" s="26"/>
    </row>
    <row r="5208" spans="1:1" x14ac:dyDescent="0.25">
      <c r="A5208" s="26"/>
    </row>
    <row r="5209" spans="1:1" x14ac:dyDescent="0.25">
      <c r="A5209" s="26"/>
    </row>
    <row r="5210" spans="1:1" x14ac:dyDescent="0.25">
      <c r="A5210" s="26"/>
    </row>
    <row r="5211" spans="1:1" x14ac:dyDescent="0.25">
      <c r="A5211" s="26"/>
    </row>
    <row r="5212" spans="1:1" x14ac:dyDescent="0.25">
      <c r="A5212" s="26"/>
    </row>
    <row r="5213" spans="1:1" x14ac:dyDescent="0.25">
      <c r="A5213" s="26"/>
    </row>
    <row r="5214" spans="1:1" x14ac:dyDescent="0.25">
      <c r="A5214" s="26"/>
    </row>
    <row r="5215" spans="1:1" x14ac:dyDescent="0.25">
      <c r="A5215" s="26"/>
    </row>
    <row r="5216" spans="1:1" x14ac:dyDescent="0.25">
      <c r="A5216" s="26"/>
    </row>
    <row r="5217" spans="1:1" x14ac:dyDescent="0.25">
      <c r="A5217" s="26"/>
    </row>
    <row r="5218" spans="1:1" x14ac:dyDescent="0.25">
      <c r="A5218" s="26"/>
    </row>
    <row r="5219" spans="1:1" x14ac:dyDescent="0.25">
      <c r="A5219" s="26"/>
    </row>
    <row r="5220" spans="1:1" x14ac:dyDescent="0.25">
      <c r="A5220" s="26"/>
    </row>
    <row r="5221" spans="1:1" x14ac:dyDescent="0.25">
      <c r="A5221" s="26"/>
    </row>
    <row r="5222" spans="1:1" x14ac:dyDescent="0.25">
      <c r="A5222" s="26"/>
    </row>
    <row r="5223" spans="1:1" x14ac:dyDescent="0.25">
      <c r="A5223" s="26"/>
    </row>
    <row r="5224" spans="1:1" x14ac:dyDescent="0.25">
      <c r="A5224" s="26"/>
    </row>
    <row r="5225" spans="1:1" x14ac:dyDescent="0.25">
      <c r="A5225" s="26"/>
    </row>
    <row r="5226" spans="1:1" x14ac:dyDescent="0.25">
      <c r="A5226" s="26"/>
    </row>
    <row r="5227" spans="1:1" x14ac:dyDescent="0.25">
      <c r="A5227" s="26"/>
    </row>
    <row r="5228" spans="1:1" x14ac:dyDescent="0.25">
      <c r="A5228" s="26"/>
    </row>
    <row r="5229" spans="1:1" x14ac:dyDescent="0.25">
      <c r="A5229" s="26"/>
    </row>
    <row r="5230" spans="1:1" x14ac:dyDescent="0.25">
      <c r="A5230" s="26"/>
    </row>
    <row r="5231" spans="1:1" x14ac:dyDescent="0.25">
      <c r="A5231" s="26"/>
    </row>
    <row r="5232" spans="1:1" x14ac:dyDescent="0.25">
      <c r="A5232" s="26"/>
    </row>
    <row r="5233" spans="1:1" x14ac:dyDescent="0.25">
      <c r="A5233" s="26"/>
    </row>
    <row r="5234" spans="1:1" x14ac:dyDescent="0.25">
      <c r="A5234" s="26"/>
    </row>
    <row r="5235" spans="1:1" x14ac:dyDescent="0.25">
      <c r="A5235" s="26"/>
    </row>
    <row r="5236" spans="1:1" x14ac:dyDescent="0.25">
      <c r="A5236" s="26"/>
    </row>
    <row r="5237" spans="1:1" x14ac:dyDescent="0.25">
      <c r="A5237" s="26"/>
    </row>
    <row r="5238" spans="1:1" x14ac:dyDescent="0.25">
      <c r="A5238" s="26"/>
    </row>
    <row r="5239" spans="1:1" x14ac:dyDescent="0.25">
      <c r="A5239" s="26"/>
    </row>
    <row r="5240" spans="1:1" x14ac:dyDescent="0.25">
      <c r="A5240" s="26"/>
    </row>
    <row r="5241" spans="1:1" x14ac:dyDescent="0.25">
      <c r="A5241" s="26"/>
    </row>
    <row r="5242" spans="1:1" x14ac:dyDescent="0.25">
      <c r="A5242" s="26"/>
    </row>
    <row r="5243" spans="1:1" x14ac:dyDescent="0.25">
      <c r="A5243" s="26"/>
    </row>
    <row r="5244" spans="1:1" x14ac:dyDescent="0.25">
      <c r="A5244" s="26"/>
    </row>
    <row r="5245" spans="1:1" x14ac:dyDescent="0.25">
      <c r="A5245" s="26"/>
    </row>
    <row r="5246" spans="1:1" x14ac:dyDescent="0.25">
      <c r="A5246" s="26"/>
    </row>
    <row r="5247" spans="1:1" x14ac:dyDescent="0.25">
      <c r="A5247" s="26"/>
    </row>
    <row r="5248" spans="1:1" x14ac:dyDescent="0.25">
      <c r="A5248" s="26"/>
    </row>
    <row r="5249" spans="1:1" x14ac:dyDescent="0.25">
      <c r="A5249" s="26"/>
    </row>
    <row r="5250" spans="1:1" x14ac:dyDescent="0.25">
      <c r="A5250" s="26"/>
    </row>
    <row r="5251" spans="1:1" x14ac:dyDescent="0.25">
      <c r="A5251" s="26"/>
    </row>
    <row r="5252" spans="1:1" x14ac:dyDescent="0.25">
      <c r="A5252" s="26"/>
    </row>
    <row r="5253" spans="1:1" x14ac:dyDescent="0.25">
      <c r="A5253" s="26"/>
    </row>
    <row r="5254" spans="1:1" x14ac:dyDescent="0.25">
      <c r="A5254" s="26"/>
    </row>
    <row r="5255" spans="1:1" x14ac:dyDescent="0.25">
      <c r="A5255" s="26"/>
    </row>
    <row r="5256" spans="1:1" x14ac:dyDescent="0.25">
      <c r="A5256" s="26"/>
    </row>
    <row r="5257" spans="1:1" x14ac:dyDescent="0.25">
      <c r="A5257" s="26"/>
    </row>
    <row r="5258" spans="1:1" x14ac:dyDescent="0.25">
      <c r="A5258" s="26"/>
    </row>
    <row r="5259" spans="1:1" x14ac:dyDescent="0.25">
      <c r="A5259" s="26"/>
    </row>
    <row r="5260" spans="1:1" x14ac:dyDescent="0.25">
      <c r="A5260" s="26"/>
    </row>
    <row r="5261" spans="1:1" x14ac:dyDescent="0.25">
      <c r="A5261" s="26"/>
    </row>
    <row r="5262" spans="1:1" x14ac:dyDescent="0.25">
      <c r="A5262" s="26"/>
    </row>
    <row r="5263" spans="1:1" x14ac:dyDescent="0.25">
      <c r="A5263" s="26"/>
    </row>
    <row r="5264" spans="1:1" x14ac:dyDescent="0.25">
      <c r="A5264" s="26"/>
    </row>
    <row r="5265" spans="1:1" x14ac:dyDescent="0.25">
      <c r="A5265" s="26"/>
    </row>
    <row r="5266" spans="1:1" x14ac:dyDescent="0.25">
      <c r="A5266" s="26"/>
    </row>
    <row r="5267" spans="1:1" x14ac:dyDescent="0.25">
      <c r="A5267" s="26"/>
    </row>
    <row r="5268" spans="1:1" x14ac:dyDescent="0.25">
      <c r="A5268" s="26"/>
    </row>
    <row r="5269" spans="1:1" x14ac:dyDescent="0.25">
      <c r="A5269" s="26"/>
    </row>
    <row r="5270" spans="1:1" x14ac:dyDescent="0.25">
      <c r="A5270" s="26"/>
    </row>
    <row r="5271" spans="1:1" x14ac:dyDescent="0.25">
      <c r="A5271" s="26"/>
    </row>
    <row r="5272" spans="1:1" x14ac:dyDescent="0.25">
      <c r="A5272" s="26"/>
    </row>
    <row r="5273" spans="1:1" x14ac:dyDescent="0.25">
      <c r="A5273" s="26"/>
    </row>
    <row r="5274" spans="1:1" x14ac:dyDescent="0.25">
      <c r="A5274" s="26"/>
    </row>
    <row r="5275" spans="1:1" x14ac:dyDescent="0.25">
      <c r="A5275" s="26"/>
    </row>
    <row r="5276" spans="1:1" x14ac:dyDescent="0.25">
      <c r="A5276" s="26"/>
    </row>
    <row r="5277" spans="1:1" x14ac:dyDescent="0.25">
      <c r="A5277" s="26"/>
    </row>
    <row r="5278" spans="1:1" x14ac:dyDescent="0.25">
      <c r="A5278" s="26"/>
    </row>
    <row r="5279" spans="1:1" x14ac:dyDescent="0.25">
      <c r="A5279" s="26"/>
    </row>
    <row r="5280" spans="1:1" x14ac:dyDescent="0.25">
      <c r="A5280" s="26"/>
    </row>
    <row r="5281" spans="1:1" x14ac:dyDescent="0.25">
      <c r="A5281" s="26"/>
    </row>
    <row r="5282" spans="1:1" x14ac:dyDescent="0.25">
      <c r="A5282" s="26"/>
    </row>
    <row r="5283" spans="1:1" x14ac:dyDescent="0.25">
      <c r="A5283" s="26"/>
    </row>
    <row r="5284" spans="1:1" x14ac:dyDescent="0.25">
      <c r="A5284" s="26"/>
    </row>
    <row r="5285" spans="1:1" x14ac:dyDescent="0.25">
      <c r="A5285" s="26"/>
    </row>
    <row r="5286" spans="1:1" x14ac:dyDescent="0.25">
      <c r="A5286" s="26"/>
    </row>
    <row r="5287" spans="1:1" x14ac:dyDescent="0.25">
      <c r="A5287" s="26"/>
    </row>
    <row r="5288" spans="1:1" x14ac:dyDescent="0.25">
      <c r="A5288" s="26"/>
    </row>
    <row r="5289" spans="1:1" x14ac:dyDescent="0.25">
      <c r="A5289" s="26"/>
    </row>
    <row r="5290" spans="1:1" x14ac:dyDescent="0.25">
      <c r="A5290" s="26"/>
    </row>
    <row r="5291" spans="1:1" x14ac:dyDescent="0.25">
      <c r="A5291" s="26"/>
    </row>
    <row r="5292" spans="1:1" x14ac:dyDescent="0.25">
      <c r="A5292" s="26"/>
    </row>
    <row r="5293" spans="1:1" x14ac:dyDescent="0.25">
      <c r="A5293" s="26"/>
    </row>
    <row r="5294" spans="1:1" x14ac:dyDescent="0.25">
      <c r="A5294" s="26"/>
    </row>
    <row r="5295" spans="1:1" x14ac:dyDescent="0.25">
      <c r="A5295" s="26"/>
    </row>
    <row r="5296" spans="1:1" x14ac:dyDescent="0.25">
      <c r="A5296" s="26"/>
    </row>
    <row r="5297" spans="1:1" x14ac:dyDescent="0.25">
      <c r="A5297" s="26"/>
    </row>
    <row r="5298" spans="1:1" x14ac:dyDescent="0.25">
      <c r="A5298" s="26"/>
    </row>
    <row r="5299" spans="1:1" x14ac:dyDescent="0.25">
      <c r="A5299" s="26"/>
    </row>
    <row r="5300" spans="1:1" x14ac:dyDescent="0.25">
      <c r="A5300" s="26"/>
    </row>
    <row r="5301" spans="1:1" x14ac:dyDescent="0.25">
      <c r="A5301" s="26"/>
    </row>
    <row r="5302" spans="1:1" x14ac:dyDescent="0.25">
      <c r="A5302" s="26"/>
    </row>
    <row r="5303" spans="1:1" x14ac:dyDescent="0.25">
      <c r="A5303" s="26"/>
    </row>
    <row r="5304" spans="1:1" x14ac:dyDescent="0.25">
      <c r="A5304" s="26"/>
    </row>
    <row r="5305" spans="1:1" x14ac:dyDescent="0.25">
      <c r="A5305" s="26"/>
    </row>
    <row r="5306" spans="1:1" x14ac:dyDescent="0.25">
      <c r="A5306" s="26"/>
    </row>
    <row r="5307" spans="1:1" x14ac:dyDescent="0.25">
      <c r="A5307" s="26"/>
    </row>
    <row r="5308" spans="1:1" x14ac:dyDescent="0.25">
      <c r="A5308" s="26"/>
    </row>
    <row r="5309" spans="1:1" x14ac:dyDescent="0.25">
      <c r="A5309" s="26"/>
    </row>
    <row r="5310" spans="1:1" x14ac:dyDescent="0.25">
      <c r="A5310" s="26"/>
    </row>
    <row r="5311" spans="1:1" x14ac:dyDescent="0.25">
      <c r="A5311" s="26"/>
    </row>
    <row r="5312" spans="1:1" x14ac:dyDescent="0.25">
      <c r="A5312" s="26"/>
    </row>
    <row r="5313" spans="1:1" x14ac:dyDescent="0.25">
      <c r="A5313" s="26"/>
    </row>
    <row r="5314" spans="1:1" x14ac:dyDescent="0.25">
      <c r="A5314" s="26"/>
    </row>
    <row r="5315" spans="1:1" x14ac:dyDescent="0.25">
      <c r="A5315" s="26"/>
    </row>
    <row r="5316" spans="1:1" x14ac:dyDescent="0.25">
      <c r="A5316" s="26"/>
    </row>
    <row r="5317" spans="1:1" x14ac:dyDescent="0.25">
      <c r="A5317" s="26"/>
    </row>
    <row r="5318" spans="1:1" x14ac:dyDescent="0.25">
      <c r="A5318" s="26"/>
    </row>
    <row r="5319" spans="1:1" x14ac:dyDescent="0.25">
      <c r="A5319" s="26"/>
    </row>
    <row r="5320" spans="1:1" x14ac:dyDescent="0.25">
      <c r="A5320" s="26"/>
    </row>
    <row r="5321" spans="1:1" x14ac:dyDescent="0.25">
      <c r="A5321" s="26"/>
    </row>
    <row r="5322" spans="1:1" x14ac:dyDescent="0.25">
      <c r="A5322" s="26"/>
    </row>
    <row r="5323" spans="1:1" x14ac:dyDescent="0.25">
      <c r="A5323" s="26"/>
    </row>
    <row r="5324" spans="1:1" x14ac:dyDescent="0.25">
      <c r="A5324" s="26"/>
    </row>
    <row r="5325" spans="1:1" x14ac:dyDescent="0.25">
      <c r="A5325" s="26"/>
    </row>
    <row r="5326" spans="1:1" x14ac:dyDescent="0.25">
      <c r="A5326" s="26"/>
    </row>
    <row r="5327" spans="1:1" x14ac:dyDescent="0.25">
      <c r="A5327" s="26"/>
    </row>
    <row r="5328" spans="1:1" x14ac:dyDescent="0.25">
      <c r="A5328" s="26"/>
    </row>
    <row r="5329" spans="1:1" x14ac:dyDescent="0.25">
      <c r="A5329" s="26"/>
    </row>
    <row r="5330" spans="1:1" x14ac:dyDescent="0.25">
      <c r="A5330" s="96" t="s">
        <v>5634</v>
      </c>
    </row>
    <row r="5331" spans="1:1" x14ac:dyDescent="0.25">
      <c r="A5331" s="96" t="s">
        <v>5635</v>
      </c>
    </row>
    <row r="5332" spans="1:1" x14ac:dyDescent="0.25">
      <c r="A5332" s="96" t="s">
        <v>5636</v>
      </c>
    </row>
    <row r="5333" spans="1:1" x14ac:dyDescent="0.25">
      <c r="A5333" s="26" t="s">
        <v>5637</v>
      </c>
    </row>
    <row r="5334" spans="1:1" x14ac:dyDescent="0.25">
      <c r="A5334" s="98" t="s">
        <v>5638</v>
      </c>
    </row>
    <row r="5335" spans="1:1" x14ac:dyDescent="0.25">
      <c r="A5335" s="96" t="s">
        <v>5639</v>
      </c>
    </row>
    <row r="5336" spans="1:1" x14ac:dyDescent="0.25">
      <c r="A5336" s="98" t="s">
        <v>5640</v>
      </c>
    </row>
    <row r="5337" spans="1:1" x14ac:dyDescent="0.25">
      <c r="A5337" s="98" t="s">
        <v>5641</v>
      </c>
    </row>
    <row r="5338" spans="1:1" x14ac:dyDescent="0.25">
      <c r="A5338" s="26" t="s">
        <v>5642</v>
      </c>
    </row>
    <row r="5339" spans="1:1" x14ac:dyDescent="0.25">
      <c r="A5339" s="26" t="s">
        <v>5643</v>
      </c>
    </row>
    <row r="5340" spans="1:1" x14ac:dyDescent="0.25">
      <c r="A5340" s="26" t="s">
        <v>5644</v>
      </c>
    </row>
    <row r="5341" spans="1:1" x14ac:dyDescent="0.25">
      <c r="A5341" s="96" t="s">
        <v>5645</v>
      </c>
    </row>
    <row r="5342" spans="1:1" x14ac:dyDescent="0.25">
      <c r="A5342" s="98" t="s">
        <v>5646</v>
      </c>
    </row>
    <row r="5343" spans="1:1" x14ac:dyDescent="0.25">
      <c r="A5343" s="96" t="s">
        <v>5647</v>
      </c>
    </row>
    <row r="5344" spans="1:1" x14ac:dyDescent="0.25">
      <c r="A5344" s="98" t="s">
        <v>5648</v>
      </c>
    </row>
    <row r="5345" spans="1:1" x14ac:dyDescent="0.25">
      <c r="A5345" s="98" t="s">
        <v>5649</v>
      </c>
    </row>
    <row r="5346" spans="1:1" x14ac:dyDescent="0.25">
      <c r="A5346" s="26"/>
    </row>
    <row r="5347" spans="1:1" x14ac:dyDescent="0.25">
      <c r="A5347" s="26"/>
    </row>
    <row r="5348" spans="1:1" x14ac:dyDescent="0.25">
      <c r="A5348" s="26"/>
    </row>
    <row r="5349" spans="1:1" x14ac:dyDescent="0.25">
      <c r="A5349" s="26"/>
    </row>
    <row r="5350" spans="1:1" x14ac:dyDescent="0.25">
      <c r="A5350" s="26"/>
    </row>
    <row r="5351" spans="1:1" x14ac:dyDescent="0.25">
      <c r="A5351" s="26"/>
    </row>
    <row r="5352" spans="1:1" x14ac:dyDescent="0.25">
      <c r="A5352" s="26"/>
    </row>
    <row r="5353" spans="1:1" x14ac:dyDescent="0.25">
      <c r="A5353" s="26"/>
    </row>
    <row r="5354" spans="1:1" x14ac:dyDescent="0.25">
      <c r="A5354" s="26"/>
    </row>
    <row r="5355" spans="1:1" x14ac:dyDescent="0.25">
      <c r="A5355" s="26"/>
    </row>
    <row r="5356" spans="1:1" x14ac:dyDescent="0.25">
      <c r="A5356" s="26"/>
    </row>
    <row r="5357" spans="1:1" x14ac:dyDescent="0.25">
      <c r="A5357" s="26"/>
    </row>
    <row r="5358" spans="1:1" x14ac:dyDescent="0.25">
      <c r="A5358" s="26"/>
    </row>
    <row r="5359" spans="1:1" x14ac:dyDescent="0.25">
      <c r="A5359" s="26"/>
    </row>
    <row r="5360" spans="1:1" x14ac:dyDescent="0.25">
      <c r="A5360" s="26"/>
    </row>
    <row r="5361" spans="1:1" x14ac:dyDescent="0.25">
      <c r="A5361" s="26"/>
    </row>
    <row r="5362" spans="1:1" x14ac:dyDescent="0.25">
      <c r="A5362" s="26"/>
    </row>
    <row r="5363" spans="1:1" x14ac:dyDescent="0.25">
      <c r="A5363" s="26"/>
    </row>
    <row r="5364" spans="1:1" x14ac:dyDescent="0.25">
      <c r="A5364" s="26"/>
    </row>
    <row r="5365" spans="1:1" x14ac:dyDescent="0.25">
      <c r="A5365" s="26"/>
    </row>
    <row r="5366" spans="1:1" x14ac:dyDescent="0.25">
      <c r="A5366" s="26"/>
    </row>
    <row r="5367" spans="1:1" x14ac:dyDescent="0.25">
      <c r="A5367" s="26"/>
    </row>
    <row r="5368" spans="1:1" x14ac:dyDescent="0.25">
      <c r="A5368" s="26"/>
    </row>
    <row r="5369" spans="1:1" x14ac:dyDescent="0.25">
      <c r="A5369" s="26"/>
    </row>
    <row r="5370" spans="1:1" x14ac:dyDescent="0.25">
      <c r="A5370" s="26"/>
    </row>
    <row r="5371" spans="1:1" x14ac:dyDescent="0.25">
      <c r="A5371" s="26"/>
    </row>
    <row r="5372" spans="1:1" x14ac:dyDescent="0.25">
      <c r="A5372" s="26"/>
    </row>
    <row r="5373" spans="1:1" x14ac:dyDescent="0.25">
      <c r="A5373" s="26"/>
    </row>
    <row r="5374" spans="1:1" x14ac:dyDescent="0.25">
      <c r="A5374" s="26"/>
    </row>
    <row r="5375" spans="1:1" x14ac:dyDescent="0.25">
      <c r="A5375" s="26"/>
    </row>
    <row r="5376" spans="1:1" x14ac:dyDescent="0.25">
      <c r="A5376" s="26"/>
    </row>
    <row r="5377" spans="1:1" x14ac:dyDescent="0.25">
      <c r="A5377" s="26"/>
    </row>
    <row r="5378" spans="1:1" x14ac:dyDescent="0.25">
      <c r="A5378" s="26"/>
    </row>
    <row r="5379" spans="1:1" x14ac:dyDescent="0.25">
      <c r="A5379" s="26"/>
    </row>
    <row r="5380" spans="1:1" x14ac:dyDescent="0.25">
      <c r="A5380" s="26"/>
    </row>
    <row r="5381" spans="1:1" x14ac:dyDescent="0.25">
      <c r="A5381" s="26"/>
    </row>
    <row r="5382" spans="1:1" x14ac:dyDescent="0.25">
      <c r="A5382" s="26"/>
    </row>
    <row r="5383" spans="1:1" x14ac:dyDescent="0.25">
      <c r="A5383" s="26"/>
    </row>
    <row r="5384" spans="1:1" x14ac:dyDescent="0.25">
      <c r="A5384" s="26"/>
    </row>
    <row r="5385" spans="1:1" x14ac:dyDescent="0.25">
      <c r="A5385" s="26"/>
    </row>
    <row r="5386" spans="1:1" x14ac:dyDescent="0.25">
      <c r="A5386" s="26"/>
    </row>
    <row r="5387" spans="1:1" x14ac:dyDescent="0.25">
      <c r="A5387" s="26"/>
    </row>
    <row r="5388" spans="1:1" x14ac:dyDescent="0.25">
      <c r="A5388" s="26"/>
    </row>
    <row r="5389" spans="1:1" x14ac:dyDescent="0.25">
      <c r="A5389" s="26"/>
    </row>
    <row r="5390" spans="1:1" x14ac:dyDescent="0.25">
      <c r="A5390" s="26"/>
    </row>
    <row r="5391" spans="1:1" x14ac:dyDescent="0.25">
      <c r="A5391" s="26"/>
    </row>
    <row r="5392" spans="1:1" x14ac:dyDescent="0.25">
      <c r="A5392" s="26"/>
    </row>
    <row r="5393" spans="1:1" x14ac:dyDescent="0.25">
      <c r="A5393" s="26"/>
    </row>
    <row r="5394" spans="1:1" x14ac:dyDescent="0.25">
      <c r="A5394" s="26"/>
    </row>
    <row r="5395" spans="1:1" x14ac:dyDescent="0.25">
      <c r="A5395" s="26"/>
    </row>
    <row r="5396" spans="1:1" x14ac:dyDescent="0.25">
      <c r="A5396" s="26"/>
    </row>
    <row r="5397" spans="1:1" x14ac:dyDescent="0.25">
      <c r="A5397" s="26"/>
    </row>
    <row r="5398" spans="1:1" x14ac:dyDescent="0.25">
      <c r="A5398" s="26"/>
    </row>
    <row r="5399" spans="1:1" x14ac:dyDescent="0.25">
      <c r="A5399" s="26"/>
    </row>
    <row r="5400" spans="1:1" x14ac:dyDescent="0.25">
      <c r="A5400" s="26"/>
    </row>
    <row r="5401" spans="1:1" x14ac:dyDescent="0.25">
      <c r="A5401" s="26"/>
    </row>
    <row r="5402" spans="1:1" x14ac:dyDescent="0.25">
      <c r="A5402" s="26"/>
    </row>
    <row r="5403" spans="1:1" x14ac:dyDescent="0.25">
      <c r="A5403" s="26"/>
    </row>
    <row r="5404" spans="1:1" x14ac:dyDescent="0.25">
      <c r="A5404" s="26"/>
    </row>
    <row r="5405" spans="1:1" x14ac:dyDescent="0.25">
      <c r="A5405" s="26"/>
    </row>
    <row r="5406" spans="1:1" x14ac:dyDescent="0.25">
      <c r="A5406" s="26"/>
    </row>
    <row r="5407" spans="1:1" x14ac:dyDescent="0.25">
      <c r="A5407" s="26"/>
    </row>
    <row r="5408" spans="1:1" x14ac:dyDescent="0.25">
      <c r="A5408" s="26"/>
    </row>
    <row r="5409" spans="1:1" x14ac:dyDescent="0.25">
      <c r="A5409" s="26"/>
    </row>
    <row r="5410" spans="1:1" x14ac:dyDescent="0.25">
      <c r="A5410" s="26"/>
    </row>
    <row r="5411" spans="1:1" x14ac:dyDescent="0.25">
      <c r="A5411" s="26"/>
    </row>
    <row r="5412" spans="1:1" x14ac:dyDescent="0.25">
      <c r="A5412" s="26"/>
    </row>
    <row r="5413" spans="1:1" x14ac:dyDescent="0.25">
      <c r="A5413" s="26"/>
    </row>
    <row r="5414" spans="1:1" x14ac:dyDescent="0.25">
      <c r="A5414" s="26"/>
    </row>
    <row r="5415" spans="1:1" x14ac:dyDescent="0.25">
      <c r="A5415" s="26"/>
    </row>
    <row r="5416" spans="1:1" x14ac:dyDescent="0.25">
      <c r="A5416" s="26"/>
    </row>
    <row r="5417" spans="1:1" x14ac:dyDescent="0.25">
      <c r="A5417" s="26"/>
    </row>
    <row r="5418" spans="1:1" x14ac:dyDescent="0.25">
      <c r="A5418" s="26"/>
    </row>
    <row r="5419" spans="1:1" x14ac:dyDescent="0.25">
      <c r="A5419" s="26"/>
    </row>
    <row r="5420" spans="1:1" x14ac:dyDescent="0.25">
      <c r="A5420" s="26"/>
    </row>
    <row r="5421" spans="1:1" x14ac:dyDescent="0.25">
      <c r="A5421" s="26"/>
    </row>
    <row r="5422" spans="1:1" x14ac:dyDescent="0.25">
      <c r="A5422" s="26"/>
    </row>
    <row r="5423" spans="1:1" x14ac:dyDescent="0.25">
      <c r="A5423" s="26"/>
    </row>
    <row r="5424" spans="1:1" x14ac:dyDescent="0.25">
      <c r="A5424" s="26"/>
    </row>
    <row r="5425" spans="1:1" x14ac:dyDescent="0.25">
      <c r="A5425" s="26"/>
    </row>
    <row r="5426" spans="1:1" x14ac:dyDescent="0.25">
      <c r="A5426" s="26"/>
    </row>
    <row r="5427" spans="1:1" x14ac:dyDescent="0.25">
      <c r="A5427" s="26"/>
    </row>
    <row r="5428" spans="1:1" x14ac:dyDescent="0.25">
      <c r="A5428" s="26"/>
    </row>
    <row r="5429" spans="1:1" x14ac:dyDescent="0.25">
      <c r="A5429" s="26"/>
    </row>
    <row r="5430" spans="1:1" x14ac:dyDescent="0.25">
      <c r="A5430" s="26"/>
    </row>
    <row r="5431" spans="1:1" x14ac:dyDescent="0.25">
      <c r="A5431" s="26"/>
    </row>
    <row r="5432" spans="1:1" x14ac:dyDescent="0.25">
      <c r="A5432" s="26"/>
    </row>
    <row r="5433" spans="1:1" x14ac:dyDescent="0.25">
      <c r="A5433" s="26"/>
    </row>
    <row r="5434" spans="1:1" x14ac:dyDescent="0.25">
      <c r="A5434" s="26"/>
    </row>
    <row r="5435" spans="1:1" x14ac:dyDescent="0.25">
      <c r="A5435" s="26"/>
    </row>
    <row r="5436" spans="1:1" x14ac:dyDescent="0.25">
      <c r="A5436" s="26"/>
    </row>
    <row r="5437" spans="1:1" x14ac:dyDescent="0.25">
      <c r="A5437" s="26"/>
    </row>
    <row r="5438" spans="1:1" x14ac:dyDescent="0.25">
      <c r="A5438" s="26"/>
    </row>
    <row r="5439" spans="1:1" x14ac:dyDescent="0.25">
      <c r="A5439" s="26"/>
    </row>
    <row r="5440" spans="1:1" x14ac:dyDescent="0.25">
      <c r="A5440" s="26"/>
    </row>
    <row r="5441" spans="1:1" x14ac:dyDescent="0.25">
      <c r="A5441" s="26"/>
    </row>
    <row r="5442" spans="1:1" x14ac:dyDescent="0.25">
      <c r="A5442" s="26"/>
    </row>
    <row r="5443" spans="1:1" x14ac:dyDescent="0.25">
      <c r="A5443" s="26"/>
    </row>
    <row r="5444" spans="1:1" x14ac:dyDescent="0.25">
      <c r="A5444" s="26"/>
    </row>
    <row r="5445" spans="1:1" x14ac:dyDescent="0.25">
      <c r="A5445" s="26"/>
    </row>
    <row r="5446" spans="1:1" x14ac:dyDescent="0.25">
      <c r="A5446" s="26"/>
    </row>
    <row r="5447" spans="1:1" x14ac:dyDescent="0.25">
      <c r="A5447" s="26"/>
    </row>
    <row r="5448" spans="1:1" x14ac:dyDescent="0.25">
      <c r="A5448" s="26"/>
    </row>
    <row r="5449" spans="1:1" x14ac:dyDescent="0.25">
      <c r="A5449" s="26"/>
    </row>
    <row r="5450" spans="1:1" x14ac:dyDescent="0.25">
      <c r="A5450" s="26"/>
    </row>
    <row r="5451" spans="1:1" x14ac:dyDescent="0.25">
      <c r="A5451" s="26"/>
    </row>
    <row r="5452" spans="1:1" x14ac:dyDescent="0.25">
      <c r="A5452" s="26"/>
    </row>
    <row r="5453" spans="1:1" x14ac:dyDescent="0.25">
      <c r="A5453" s="26"/>
    </row>
    <row r="5454" spans="1:1" x14ac:dyDescent="0.25">
      <c r="A5454" s="26"/>
    </row>
    <row r="5455" spans="1:1" x14ac:dyDescent="0.25">
      <c r="A5455" s="26"/>
    </row>
    <row r="5456" spans="1:1" x14ac:dyDescent="0.25">
      <c r="A5456" s="26"/>
    </row>
    <row r="5457" spans="1:1" x14ac:dyDescent="0.25">
      <c r="A5457" s="26"/>
    </row>
    <row r="5458" spans="1:1" x14ac:dyDescent="0.25">
      <c r="A5458" s="26"/>
    </row>
    <row r="5459" spans="1:1" x14ac:dyDescent="0.25">
      <c r="A5459" s="26"/>
    </row>
    <row r="5460" spans="1:1" x14ac:dyDescent="0.25">
      <c r="A5460" s="26"/>
    </row>
    <row r="5461" spans="1:1" x14ac:dyDescent="0.25">
      <c r="A5461" s="26"/>
    </row>
    <row r="5462" spans="1:1" x14ac:dyDescent="0.25">
      <c r="A5462" s="26"/>
    </row>
    <row r="5463" spans="1:1" x14ac:dyDescent="0.25">
      <c r="A5463" s="26"/>
    </row>
    <row r="5464" spans="1:1" x14ac:dyDescent="0.25">
      <c r="A5464" s="26"/>
    </row>
    <row r="5465" spans="1:1" x14ac:dyDescent="0.25">
      <c r="A5465" s="26"/>
    </row>
    <row r="5466" spans="1:1" x14ac:dyDescent="0.25">
      <c r="A5466" s="26"/>
    </row>
    <row r="5467" spans="1:1" x14ac:dyDescent="0.25">
      <c r="A5467" s="26"/>
    </row>
    <row r="5468" spans="1:1" x14ac:dyDescent="0.25">
      <c r="A5468" s="26"/>
    </row>
    <row r="5469" spans="1:1" x14ac:dyDescent="0.25">
      <c r="A5469" s="26"/>
    </row>
    <row r="5470" spans="1:1" x14ac:dyDescent="0.25">
      <c r="A5470" s="26"/>
    </row>
    <row r="5471" spans="1:1" x14ac:dyDescent="0.25">
      <c r="A5471" s="26"/>
    </row>
    <row r="5472" spans="1:1" x14ac:dyDescent="0.25">
      <c r="A5472" s="26"/>
    </row>
    <row r="5473" spans="1:1" x14ac:dyDescent="0.25">
      <c r="A5473" s="26"/>
    </row>
    <row r="5474" spans="1:1" x14ac:dyDescent="0.25">
      <c r="A5474" s="26"/>
    </row>
    <row r="5475" spans="1:1" x14ac:dyDescent="0.25">
      <c r="A5475" s="26"/>
    </row>
    <row r="5476" spans="1:1" x14ac:dyDescent="0.25">
      <c r="A5476" s="26"/>
    </row>
    <row r="5477" spans="1:1" x14ac:dyDescent="0.25">
      <c r="A5477" s="26"/>
    </row>
    <row r="5478" spans="1:1" x14ac:dyDescent="0.25">
      <c r="A5478" s="26"/>
    </row>
    <row r="5479" spans="1:1" x14ac:dyDescent="0.25">
      <c r="A5479" s="26"/>
    </row>
    <row r="5480" spans="1:1" x14ac:dyDescent="0.25">
      <c r="A5480" s="26"/>
    </row>
    <row r="5481" spans="1:1" x14ac:dyDescent="0.25">
      <c r="A5481" s="26"/>
    </row>
    <row r="5482" spans="1:1" x14ac:dyDescent="0.25">
      <c r="A5482" s="26"/>
    </row>
    <row r="5483" spans="1:1" x14ac:dyDescent="0.25">
      <c r="A5483" s="26"/>
    </row>
    <row r="5484" spans="1:1" x14ac:dyDescent="0.25">
      <c r="A5484" s="26"/>
    </row>
    <row r="5485" spans="1:1" x14ac:dyDescent="0.25">
      <c r="A5485" s="26"/>
    </row>
    <row r="5486" spans="1:1" x14ac:dyDescent="0.25">
      <c r="A5486" s="26"/>
    </row>
    <row r="5487" spans="1:1" x14ac:dyDescent="0.25">
      <c r="A5487" s="26"/>
    </row>
    <row r="5488" spans="1:1" x14ac:dyDescent="0.25">
      <c r="A5488" s="26"/>
    </row>
    <row r="5489" spans="1:1" x14ac:dyDescent="0.25">
      <c r="A5489" s="26"/>
    </row>
    <row r="5490" spans="1:1" x14ac:dyDescent="0.25">
      <c r="A5490" s="26"/>
    </row>
    <row r="5491" spans="1:1" x14ac:dyDescent="0.25">
      <c r="A5491" s="26"/>
    </row>
    <row r="5492" spans="1:1" x14ac:dyDescent="0.25">
      <c r="A5492" s="26"/>
    </row>
    <row r="5493" spans="1:1" x14ac:dyDescent="0.25">
      <c r="A5493" s="26"/>
    </row>
    <row r="5494" spans="1:1" x14ac:dyDescent="0.25">
      <c r="A5494" s="26"/>
    </row>
    <row r="5495" spans="1:1" x14ac:dyDescent="0.25">
      <c r="A5495" s="26"/>
    </row>
    <row r="5496" spans="1:1" x14ac:dyDescent="0.25">
      <c r="A5496" s="26"/>
    </row>
    <row r="5497" spans="1:1" x14ac:dyDescent="0.25">
      <c r="A5497" s="26"/>
    </row>
    <row r="5498" spans="1:1" x14ac:dyDescent="0.25">
      <c r="A5498" s="26"/>
    </row>
    <row r="5499" spans="1:1" x14ac:dyDescent="0.25">
      <c r="A5499" s="26"/>
    </row>
    <row r="5500" spans="1:1" x14ac:dyDescent="0.25">
      <c r="A5500" s="26"/>
    </row>
    <row r="5501" spans="1:1" x14ac:dyDescent="0.25">
      <c r="A5501" s="26"/>
    </row>
    <row r="5502" spans="1:1" x14ac:dyDescent="0.25">
      <c r="A5502" s="26"/>
    </row>
    <row r="5503" spans="1:1" x14ac:dyDescent="0.25">
      <c r="A5503" s="26"/>
    </row>
    <row r="5504" spans="1:1" x14ac:dyDescent="0.25">
      <c r="A5504" s="26"/>
    </row>
    <row r="5505" spans="1:1" x14ac:dyDescent="0.25">
      <c r="A5505" s="26"/>
    </row>
    <row r="5506" spans="1:1" x14ac:dyDescent="0.25">
      <c r="A5506" s="26"/>
    </row>
    <row r="5507" spans="1:1" x14ac:dyDescent="0.25">
      <c r="A5507" s="26"/>
    </row>
    <row r="5508" spans="1:1" x14ac:dyDescent="0.25">
      <c r="A5508" s="26"/>
    </row>
    <row r="5509" spans="1:1" x14ac:dyDescent="0.25">
      <c r="A5509" s="26"/>
    </row>
    <row r="5510" spans="1:1" x14ac:dyDescent="0.25">
      <c r="A5510" s="26"/>
    </row>
    <row r="5511" spans="1:1" x14ac:dyDescent="0.25">
      <c r="A5511" s="26"/>
    </row>
    <row r="5512" spans="1:1" x14ac:dyDescent="0.25">
      <c r="A5512" s="26"/>
    </row>
    <row r="5513" spans="1:1" x14ac:dyDescent="0.25">
      <c r="A5513" s="26"/>
    </row>
    <row r="5514" spans="1:1" x14ac:dyDescent="0.25">
      <c r="A5514" s="26"/>
    </row>
    <row r="5515" spans="1:1" x14ac:dyDescent="0.25">
      <c r="A5515" s="26"/>
    </row>
    <row r="5516" spans="1:1" x14ac:dyDescent="0.25">
      <c r="A5516" s="26"/>
    </row>
    <row r="5517" spans="1:1" x14ac:dyDescent="0.25">
      <c r="A5517" s="26"/>
    </row>
    <row r="5518" spans="1:1" x14ac:dyDescent="0.25">
      <c r="A5518" s="26"/>
    </row>
    <row r="5519" spans="1:1" x14ac:dyDescent="0.25">
      <c r="A5519" s="26"/>
    </row>
    <row r="5520" spans="1:1" x14ac:dyDescent="0.25">
      <c r="A5520" s="26"/>
    </row>
    <row r="5521" spans="1:1" x14ac:dyDescent="0.25">
      <c r="A5521" s="26"/>
    </row>
    <row r="5522" spans="1:1" x14ac:dyDescent="0.25">
      <c r="A5522" s="26"/>
    </row>
    <row r="5523" spans="1:1" x14ac:dyDescent="0.25">
      <c r="A5523" s="26"/>
    </row>
    <row r="5524" spans="1:1" x14ac:dyDescent="0.25">
      <c r="A5524" s="26"/>
    </row>
    <row r="5525" spans="1:1" x14ac:dyDescent="0.25">
      <c r="A5525" s="26"/>
    </row>
    <row r="5526" spans="1:1" x14ac:dyDescent="0.25">
      <c r="A5526" s="26"/>
    </row>
    <row r="5527" spans="1:1" x14ac:dyDescent="0.25">
      <c r="A5527" s="26"/>
    </row>
    <row r="5528" spans="1:1" x14ac:dyDescent="0.25">
      <c r="A5528" s="26"/>
    </row>
    <row r="5529" spans="1:1" x14ac:dyDescent="0.25">
      <c r="A5529" s="26"/>
    </row>
    <row r="5530" spans="1:1" x14ac:dyDescent="0.25">
      <c r="A5530" s="26"/>
    </row>
    <row r="5531" spans="1:1" x14ac:dyDescent="0.25">
      <c r="A5531" s="26"/>
    </row>
    <row r="5532" spans="1:1" x14ac:dyDescent="0.25">
      <c r="A5532" s="26"/>
    </row>
    <row r="5533" spans="1:1" x14ac:dyDescent="0.25">
      <c r="A5533" s="26"/>
    </row>
    <row r="5534" spans="1:1" x14ac:dyDescent="0.25">
      <c r="A5534" s="26"/>
    </row>
    <row r="5535" spans="1:1" x14ac:dyDescent="0.25">
      <c r="A5535" s="26"/>
    </row>
    <row r="5536" spans="1:1" x14ac:dyDescent="0.25">
      <c r="A5536" s="26"/>
    </row>
    <row r="5537" spans="1:1" x14ac:dyDescent="0.25">
      <c r="A5537" s="26"/>
    </row>
    <row r="5538" spans="1:1" x14ac:dyDescent="0.25">
      <c r="A5538" s="26"/>
    </row>
    <row r="5539" spans="1:1" x14ac:dyDescent="0.25">
      <c r="A5539" s="26"/>
    </row>
    <row r="5540" spans="1:1" x14ac:dyDescent="0.25">
      <c r="A5540" s="26"/>
    </row>
    <row r="5541" spans="1:1" x14ac:dyDescent="0.25">
      <c r="A5541" s="26"/>
    </row>
    <row r="5542" spans="1:1" x14ac:dyDescent="0.25">
      <c r="A5542" s="26"/>
    </row>
    <row r="5543" spans="1:1" x14ac:dyDescent="0.25">
      <c r="A5543" s="26"/>
    </row>
    <row r="5544" spans="1:1" x14ac:dyDescent="0.25">
      <c r="A5544" s="26"/>
    </row>
    <row r="5545" spans="1:1" x14ac:dyDescent="0.25">
      <c r="A5545" s="26"/>
    </row>
    <row r="5546" spans="1:1" x14ac:dyDescent="0.25">
      <c r="A5546" s="26"/>
    </row>
    <row r="5547" spans="1:1" x14ac:dyDescent="0.25">
      <c r="A5547" s="26"/>
    </row>
    <row r="5548" spans="1:1" x14ac:dyDescent="0.25">
      <c r="A5548" s="26"/>
    </row>
    <row r="5549" spans="1:1" x14ac:dyDescent="0.25">
      <c r="A5549" s="26"/>
    </row>
    <row r="5550" spans="1:1" x14ac:dyDescent="0.25">
      <c r="A5550" s="26"/>
    </row>
    <row r="5551" spans="1:1" x14ac:dyDescent="0.25">
      <c r="A5551" s="26"/>
    </row>
    <row r="5552" spans="1:1" x14ac:dyDescent="0.25">
      <c r="A5552" s="26"/>
    </row>
    <row r="5553" spans="1:1" x14ac:dyDescent="0.25">
      <c r="A5553" s="26"/>
    </row>
    <row r="5554" spans="1:1" x14ac:dyDescent="0.25">
      <c r="A5554" s="26"/>
    </row>
    <row r="5555" spans="1:1" x14ac:dyDescent="0.25">
      <c r="A5555" s="26"/>
    </row>
    <row r="5556" spans="1:1" x14ac:dyDescent="0.25">
      <c r="A5556" s="26"/>
    </row>
    <row r="5557" spans="1:1" x14ac:dyDescent="0.25">
      <c r="A5557" s="26"/>
    </row>
    <row r="5558" spans="1:1" x14ac:dyDescent="0.25">
      <c r="A5558" s="26"/>
    </row>
    <row r="5559" spans="1:1" x14ac:dyDescent="0.25">
      <c r="A5559" s="26"/>
    </row>
    <row r="5560" spans="1:1" x14ac:dyDescent="0.25">
      <c r="A5560" s="26"/>
    </row>
    <row r="5561" spans="1:1" x14ac:dyDescent="0.25">
      <c r="A5561" s="26"/>
    </row>
    <row r="5562" spans="1:1" x14ac:dyDescent="0.25">
      <c r="A5562" s="26"/>
    </row>
    <row r="5563" spans="1:1" x14ac:dyDescent="0.25">
      <c r="A5563" s="26"/>
    </row>
    <row r="5564" spans="1:1" x14ac:dyDescent="0.25">
      <c r="A5564" s="26"/>
    </row>
    <row r="5565" spans="1:1" x14ac:dyDescent="0.25">
      <c r="A5565" s="26"/>
    </row>
    <row r="5566" spans="1:1" x14ac:dyDescent="0.25">
      <c r="A5566" s="26"/>
    </row>
    <row r="5567" spans="1:1" x14ac:dyDescent="0.25">
      <c r="A5567" s="26"/>
    </row>
    <row r="5568" spans="1:1" x14ac:dyDescent="0.25">
      <c r="A5568" s="26"/>
    </row>
    <row r="5569" spans="1:1" x14ac:dyDescent="0.25">
      <c r="A5569" s="26"/>
    </row>
    <row r="5570" spans="1:1" x14ac:dyDescent="0.25">
      <c r="A5570" s="26"/>
    </row>
    <row r="5571" spans="1:1" x14ac:dyDescent="0.25">
      <c r="A5571" s="26"/>
    </row>
    <row r="5572" spans="1:1" x14ac:dyDescent="0.25">
      <c r="A5572" s="26"/>
    </row>
    <row r="5573" spans="1:1" x14ac:dyDescent="0.25">
      <c r="A5573" s="26"/>
    </row>
    <row r="5574" spans="1:1" x14ac:dyDescent="0.25">
      <c r="A5574" s="26"/>
    </row>
    <row r="5575" spans="1:1" x14ac:dyDescent="0.25">
      <c r="A5575" s="26"/>
    </row>
    <row r="5576" spans="1:1" x14ac:dyDescent="0.25">
      <c r="A5576" s="26"/>
    </row>
    <row r="5577" spans="1:1" x14ac:dyDescent="0.25">
      <c r="A5577" s="26"/>
    </row>
    <row r="5578" spans="1:1" x14ac:dyDescent="0.25">
      <c r="A5578" s="26"/>
    </row>
    <row r="5579" spans="1:1" x14ac:dyDescent="0.25">
      <c r="A5579" s="26"/>
    </row>
    <row r="5580" spans="1:1" x14ac:dyDescent="0.25">
      <c r="A5580" s="26"/>
    </row>
    <row r="5581" spans="1:1" x14ac:dyDescent="0.25">
      <c r="A5581" s="26"/>
    </row>
    <row r="5582" spans="1:1" x14ac:dyDescent="0.25">
      <c r="A5582" s="26"/>
    </row>
    <row r="5583" spans="1:1" x14ac:dyDescent="0.25">
      <c r="A5583" s="26"/>
    </row>
    <row r="5584" spans="1:1" x14ac:dyDescent="0.25">
      <c r="A5584" s="26"/>
    </row>
    <row r="5585" spans="1:1" x14ac:dyDescent="0.25">
      <c r="A5585" s="26"/>
    </row>
    <row r="5586" spans="1:1" x14ac:dyDescent="0.25">
      <c r="A5586" s="26"/>
    </row>
    <row r="5587" spans="1:1" x14ac:dyDescent="0.25">
      <c r="A5587" s="26"/>
    </row>
    <row r="5588" spans="1:1" x14ac:dyDescent="0.25">
      <c r="A5588" s="26"/>
    </row>
    <row r="5589" spans="1:1" x14ac:dyDescent="0.25">
      <c r="A5589" s="26"/>
    </row>
    <row r="5590" spans="1:1" x14ac:dyDescent="0.25">
      <c r="A5590" s="26"/>
    </row>
    <row r="5591" spans="1:1" x14ac:dyDescent="0.25">
      <c r="A5591" s="26"/>
    </row>
    <row r="5592" spans="1:1" x14ac:dyDescent="0.25">
      <c r="A5592" s="26"/>
    </row>
    <row r="5593" spans="1:1" x14ac:dyDescent="0.25">
      <c r="A5593" s="26"/>
    </row>
    <row r="5594" spans="1:1" x14ac:dyDescent="0.25">
      <c r="A5594" s="26"/>
    </row>
    <row r="5595" spans="1:1" x14ac:dyDescent="0.25">
      <c r="A5595" s="26"/>
    </row>
    <row r="5596" spans="1:1" x14ac:dyDescent="0.25">
      <c r="A5596" s="26"/>
    </row>
    <row r="5597" spans="1:1" x14ac:dyDescent="0.25">
      <c r="A5597" s="26"/>
    </row>
    <row r="5598" spans="1:1" x14ac:dyDescent="0.25">
      <c r="A5598" s="26"/>
    </row>
    <row r="5599" spans="1:1" x14ac:dyDescent="0.25">
      <c r="A5599" s="26"/>
    </row>
    <row r="5600" spans="1:1" x14ac:dyDescent="0.25">
      <c r="A5600" s="26"/>
    </row>
    <row r="5601" spans="1:1" x14ac:dyDescent="0.25">
      <c r="A5601" s="26"/>
    </row>
    <row r="5602" spans="1:1" x14ac:dyDescent="0.25">
      <c r="A5602" s="26"/>
    </row>
    <row r="5603" spans="1:1" x14ac:dyDescent="0.25">
      <c r="A5603" s="26"/>
    </row>
    <row r="5604" spans="1:1" x14ac:dyDescent="0.25">
      <c r="A5604" s="26"/>
    </row>
    <row r="5605" spans="1:1" x14ac:dyDescent="0.25">
      <c r="A5605" s="26"/>
    </row>
    <row r="5606" spans="1:1" x14ac:dyDescent="0.25">
      <c r="A5606" s="26"/>
    </row>
    <row r="5607" spans="1:1" x14ac:dyDescent="0.25">
      <c r="A5607" s="26"/>
    </row>
    <row r="5608" spans="1:1" x14ac:dyDescent="0.25">
      <c r="A5608" s="26"/>
    </row>
    <row r="5609" spans="1:1" x14ac:dyDescent="0.25">
      <c r="A5609" s="26"/>
    </row>
    <row r="5610" spans="1:1" x14ac:dyDescent="0.25">
      <c r="A5610" s="26"/>
    </row>
    <row r="5611" spans="1:1" x14ac:dyDescent="0.25">
      <c r="A5611" s="26"/>
    </row>
    <row r="5612" spans="1:1" x14ac:dyDescent="0.25">
      <c r="A5612" s="26"/>
    </row>
    <row r="5613" spans="1:1" x14ac:dyDescent="0.25">
      <c r="A5613" s="26"/>
    </row>
    <row r="5614" spans="1:1" x14ac:dyDescent="0.25">
      <c r="A5614" s="26"/>
    </row>
    <row r="5615" spans="1:1" x14ac:dyDescent="0.25">
      <c r="A5615" s="26"/>
    </row>
    <row r="5616" spans="1:1" x14ac:dyDescent="0.25">
      <c r="A5616" s="26"/>
    </row>
    <row r="5617" spans="1:1" x14ac:dyDescent="0.25">
      <c r="A5617" s="26"/>
    </row>
    <row r="5618" spans="1:1" x14ac:dyDescent="0.25">
      <c r="A5618" s="26"/>
    </row>
    <row r="5619" spans="1:1" x14ac:dyDescent="0.25">
      <c r="A5619" s="26"/>
    </row>
    <row r="5620" spans="1:1" x14ac:dyDescent="0.25">
      <c r="A5620" s="26"/>
    </row>
    <row r="5621" spans="1:1" x14ac:dyDescent="0.25">
      <c r="A5621" s="26"/>
    </row>
    <row r="5622" spans="1:1" x14ac:dyDescent="0.25">
      <c r="A5622" s="26"/>
    </row>
    <row r="5623" spans="1:1" x14ac:dyDescent="0.25">
      <c r="A5623" s="26"/>
    </row>
    <row r="5624" spans="1:1" x14ac:dyDescent="0.25">
      <c r="A5624" s="26"/>
    </row>
    <row r="5625" spans="1:1" x14ac:dyDescent="0.25">
      <c r="A5625" s="26"/>
    </row>
    <row r="5626" spans="1:1" x14ac:dyDescent="0.25">
      <c r="A5626" s="26"/>
    </row>
    <row r="5627" spans="1:1" x14ac:dyDescent="0.25">
      <c r="A5627" s="26"/>
    </row>
    <row r="5628" spans="1:1" x14ac:dyDescent="0.25">
      <c r="A5628" s="26"/>
    </row>
    <row r="5629" spans="1:1" x14ac:dyDescent="0.25">
      <c r="A5629" s="26"/>
    </row>
    <row r="5630" spans="1:1" x14ac:dyDescent="0.25">
      <c r="A5630" s="26"/>
    </row>
    <row r="5631" spans="1:1" x14ac:dyDescent="0.25">
      <c r="A5631" s="26"/>
    </row>
    <row r="5632" spans="1:1" x14ac:dyDescent="0.25">
      <c r="A5632" s="26"/>
    </row>
    <row r="5633" spans="1:1" x14ac:dyDescent="0.25">
      <c r="A5633" s="26"/>
    </row>
    <row r="5634" spans="1:1" x14ac:dyDescent="0.25">
      <c r="A5634" s="26"/>
    </row>
    <row r="5635" spans="1:1" x14ac:dyDescent="0.25">
      <c r="A5635" s="26"/>
    </row>
    <row r="5636" spans="1:1" x14ac:dyDescent="0.25">
      <c r="A5636" s="26"/>
    </row>
    <row r="5637" spans="1:1" x14ac:dyDescent="0.25">
      <c r="A5637" s="26"/>
    </row>
    <row r="5638" spans="1:1" x14ac:dyDescent="0.25">
      <c r="A5638" s="26"/>
    </row>
    <row r="5639" spans="1:1" x14ac:dyDescent="0.25">
      <c r="A5639" s="26"/>
    </row>
    <row r="5640" spans="1:1" x14ac:dyDescent="0.25">
      <c r="A5640" s="26"/>
    </row>
    <row r="5641" spans="1:1" x14ac:dyDescent="0.25">
      <c r="A5641" s="26"/>
    </row>
    <row r="5642" spans="1:1" x14ac:dyDescent="0.25">
      <c r="A5642" s="26"/>
    </row>
    <row r="5643" spans="1:1" x14ac:dyDescent="0.25">
      <c r="A5643" s="26"/>
    </row>
    <row r="5644" spans="1:1" x14ac:dyDescent="0.25">
      <c r="A5644" s="26"/>
    </row>
    <row r="5645" spans="1:1" x14ac:dyDescent="0.25">
      <c r="A5645" s="26"/>
    </row>
    <row r="5646" spans="1:1" x14ac:dyDescent="0.25">
      <c r="A5646" s="26"/>
    </row>
    <row r="5647" spans="1:1" x14ac:dyDescent="0.25">
      <c r="A5647" s="26"/>
    </row>
    <row r="5648" spans="1:1" x14ac:dyDescent="0.25">
      <c r="A5648" s="26"/>
    </row>
    <row r="5649" spans="1:1" x14ac:dyDescent="0.25">
      <c r="A5649" s="26"/>
    </row>
    <row r="5650" spans="1:1" x14ac:dyDescent="0.25">
      <c r="A5650" s="26"/>
    </row>
    <row r="5651" spans="1:1" x14ac:dyDescent="0.25">
      <c r="A5651" s="26"/>
    </row>
    <row r="5652" spans="1:1" x14ac:dyDescent="0.25">
      <c r="A5652" s="26"/>
    </row>
    <row r="5653" spans="1:1" x14ac:dyDescent="0.25">
      <c r="A5653" s="26"/>
    </row>
    <row r="5654" spans="1:1" x14ac:dyDescent="0.25">
      <c r="A5654" s="26"/>
    </row>
    <row r="5655" spans="1:1" x14ac:dyDescent="0.25">
      <c r="A5655" s="26"/>
    </row>
    <row r="5656" spans="1:1" x14ac:dyDescent="0.25">
      <c r="A5656" s="26"/>
    </row>
    <row r="5657" spans="1:1" x14ac:dyDescent="0.25">
      <c r="A5657" s="26"/>
    </row>
    <row r="5658" spans="1:1" x14ac:dyDescent="0.25">
      <c r="A5658" s="26"/>
    </row>
    <row r="5659" spans="1:1" x14ac:dyDescent="0.25">
      <c r="A5659" s="26"/>
    </row>
    <row r="5660" spans="1:1" x14ac:dyDescent="0.25">
      <c r="A5660" s="26"/>
    </row>
    <row r="5661" spans="1:1" x14ac:dyDescent="0.25">
      <c r="A5661" s="26"/>
    </row>
    <row r="5662" spans="1:1" x14ac:dyDescent="0.25">
      <c r="A5662" s="26"/>
    </row>
    <row r="5663" spans="1:1" x14ac:dyDescent="0.25">
      <c r="A5663" s="26"/>
    </row>
    <row r="5664" spans="1:1" x14ac:dyDescent="0.25">
      <c r="A5664" s="26"/>
    </row>
    <row r="5665" spans="1:1" x14ac:dyDescent="0.25">
      <c r="A5665" s="26"/>
    </row>
    <row r="5666" spans="1:1" x14ac:dyDescent="0.25">
      <c r="A5666" s="26"/>
    </row>
    <row r="5667" spans="1:1" x14ac:dyDescent="0.25">
      <c r="A5667" s="26"/>
    </row>
    <row r="5668" spans="1:1" x14ac:dyDescent="0.25">
      <c r="A5668" s="26"/>
    </row>
    <row r="5669" spans="1:1" x14ac:dyDescent="0.25">
      <c r="A5669" s="26"/>
    </row>
    <row r="5670" spans="1:1" x14ac:dyDescent="0.25">
      <c r="A5670" s="26"/>
    </row>
    <row r="5671" spans="1:1" x14ac:dyDescent="0.25">
      <c r="A5671" s="26"/>
    </row>
    <row r="5672" spans="1:1" x14ac:dyDescent="0.25">
      <c r="A5672" s="26"/>
    </row>
    <row r="5673" spans="1:1" x14ac:dyDescent="0.25">
      <c r="A5673" s="26"/>
    </row>
    <row r="5674" spans="1:1" x14ac:dyDescent="0.25">
      <c r="A5674" s="26"/>
    </row>
    <row r="5675" spans="1:1" x14ac:dyDescent="0.25">
      <c r="A5675" s="26"/>
    </row>
    <row r="5676" spans="1:1" x14ac:dyDescent="0.25">
      <c r="A5676" s="26"/>
    </row>
    <row r="5677" spans="1:1" x14ac:dyDescent="0.25">
      <c r="A5677" s="26"/>
    </row>
    <row r="5678" spans="1:1" x14ac:dyDescent="0.25">
      <c r="A5678" s="26"/>
    </row>
    <row r="5679" spans="1:1" x14ac:dyDescent="0.25">
      <c r="A5679" s="26"/>
    </row>
    <row r="5680" spans="1:1" x14ac:dyDescent="0.25">
      <c r="A5680" s="26"/>
    </row>
    <row r="5681" spans="1:1" x14ac:dyDescent="0.25">
      <c r="A5681" s="26"/>
    </row>
    <row r="5682" spans="1:1" x14ac:dyDescent="0.25">
      <c r="A5682" s="26"/>
    </row>
    <row r="5683" spans="1:1" x14ac:dyDescent="0.25">
      <c r="A5683" s="26"/>
    </row>
    <row r="5684" spans="1:1" x14ac:dyDescent="0.25">
      <c r="A5684" s="26"/>
    </row>
    <row r="5685" spans="1:1" x14ac:dyDescent="0.25">
      <c r="A5685" s="26"/>
    </row>
    <row r="5686" spans="1:1" x14ac:dyDescent="0.25">
      <c r="A5686" s="26"/>
    </row>
    <row r="5687" spans="1:1" x14ac:dyDescent="0.25">
      <c r="A5687" s="26"/>
    </row>
    <row r="5688" spans="1:1" x14ac:dyDescent="0.25">
      <c r="A5688" s="26"/>
    </row>
    <row r="5689" spans="1:1" x14ac:dyDescent="0.25">
      <c r="A5689" s="26"/>
    </row>
    <row r="5690" spans="1:1" x14ac:dyDescent="0.25">
      <c r="A5690" s="26"/>
    </row>
    <row r="5691" spans="1:1" x14ac:dyDescent="0.25">
      <c r="A5691" s="26"/>
    </row>
    <row r="5692" spans="1:1" x14ac:dyDescent="0.25">
      <c r="A5692" s="26"/>
    </row>
    <row r="5693" spans="1:1" x14ac:dyDescent="0.25">
      <c r="A5693" s="26"/>
    </row>
    <row r="5694" spans="1:1" x14ac:dyDescent="0.25">
      <c r="A5694" s="26"/>
    </row>
    <row r="5695" spans="1:1" x14ac:dyDescent="0.25">
      <c r="A5695" s="26"/>
    </row>
    <row r="5696" spans="1:1" x14ac:dyDescent="0.25">
      <c r="A5696" s="26"/>
    </row>
    <row r="5697" spans="1:1" x14ac:dyDescent="0.25">
      <c r="A5697" s="26"/>
    </row>
    <row r="5698" spans="1:1" x14ac:dyDescent="0.25">
      <c r="A5698" s="26"/>
    </row>
    <row r="5699" spans="1:1" x14ac:dyDescent="0.25">
      <c r="A5699" s="26"/>
    </row>
    <row r="5700" spans="1:1" x14ac:dyDescent="0.25">
      <c r="A5700" s="26"/>
    </row>
    <row r="5701" spans="1:1" x14ac:dyDescent="0.25">
      <c r="A5701" s="26"/>
    </row>
    <row r="5702" spans="1:1" x14ac:dyDescent="0.25">
      <c r="A5702" s="26"/>
    </row>
    <row r="5703" spans="1:1" x14ac:dyDescent="0.25">
      <c r="A5703" s="26"/>
    </row>
    <row r="5704" spans="1:1" x14ac:dyDescent="0.25">
      <c r="A5704" s="26"/>
    </row>
    <row r="5705" spans="1:1" x14ac:dyDescent="0.25">
      <c r="A5705" s="26"/>
    </row>
    <row r="5706" spans="1:1" x14ac:dyDescent="0.25">
      <c r="A5706" s="26"/>
    </row>
    <row r="5707" spans="1:1" x14ac:dyDescent="0.25">
      <c r="A5707" s="26"/>
    </row>
    <row r="5708" spans="1:1" x14ac:dyDescent="0.25">
      <c r="A5708" s="26"/>
    </row>
    <row r="5709" spans="1:1" x14ac:dyDescent="0.25">
      <c r="A5709" s="26"/>
    </row>
    <row r="5710" spans="1:1" x14ac:dyDescent="0.25">
      <c r="A5710" s="26"/>
    </row>
    <row r="5711" spans="1:1" x14ac:dyDescent="0.25">
      <c r="A5711" s="26"/>
    </row>
    <row r="5712" spans="1:1" x14ac:dyDescent="0.25">
      <c r="A5712" s="26"/>
    </row>
    <row r="5713" spans="1:1" x14ac:dyDescent="0.25">
      <c r="A5713" s="26"/>
    </row>
    <row r="5714" spans="1:1" x14ac:dyDescent="0.25">
      <c r="A5714" s="26"/>
    </row>
    <row r="5715" spans="1:1" x14ac:dyDescent="0.25">
      <c r="A5715" s="26"/>
    </row>
    <row r="5716" spans="1:1" x14ac:dyDescent="0.25">
      <c r="A5716" s="26"/>
    </row>
    <row r="5717" spans="1:1" x14ac:dyDescent="0.25">
      <c r="A5717" s="26"/>
    </row>
    <row r="5718" spans="1:1" x14ac:dyDescent="0.25">
      <c r="A5718" s="26"/>
    </row>
    <row r="5719" spans="1:1" x14ac:dyDescent="0.25">
      <c r="A5719" s="26"/>
    </row>
    <row r="5720" spans="1:1" x14ac:dyDescent="0.25">
      <c r="A5720" s="26"/>
    </row>
    <row r="5721" spans="1:1" x14ac:dyDescent="0.25">
      <c r="A5721" s="26"/>
    </row>
    <row r="5722" spans="1:1" x14ac:dyDescent="0.25">
      <c r="A5722" s="26"/>
    </row>
    <row r="5723" spans="1:1" x14ac:dyDescent="0.25">
      <c r="A5723" s="26"/>
    </row>
    <row r="5724" spans="1:1" x14ac:dyDescent="0.25">
      <c r="A5724" s="26"/>
    </row>
    <row r="5725" spans="1:1" x14ac:dyDescent="0.25">
      <c r="A5725" s="26"/>
    </row>
    <row r="5726" spans="1:1" x14ac:dyDescent="0.25">
      <c r="A5726" s="26"/>
    </row>
    <row r="5727" spans="1:1" x14ac:dyDescent="0.25">
      <c r="A5727" s="26"/>
    </row>
    <row r="5728" spans="1:1" x14ac:dyDescent="0.25">
      <c r="A5728" s="26"/>
    </row>
    <row r="5729" spans="1:1" x14ac:dyDescent="0.25">
      <c r="A5729" s="26"/>
    </row>
    <row r="5730" spans="1:1" x14ac:dyDescent="0.25">
      <c r="A5730" s="26"/>
    </row>
    <row r="5731" spans="1:1" x14ac:dyDescent="0.25">
      <c r="A5731" s="26"/>
    </row>
    <row r="5732" spans="1:1" x14ac:dyDescent="0.25">
      <c r="A5732" s="26"/>
    </row>
    <row r="5733" spans="1:1" x14ac:dyDescent="0.25">
      <c r="A5733" s="26"/>
    </row>
    <row r="5734" spans="1:1" x14ac:dyDescent="0.25">
      <c r="A5734" s="26"/>
    </row>
    <row r="5735" spans="1:1" x14ac:dyDescent="0.25">
      <c r="A5735" s="26"/>
    </row>
    <row r="5736" spans="1:1" x14ac:dyDescent="0.25">
      <c r="A5736" s="26"/>
    </row>
    <row r="5737" spans="1:1" x14ac:dyDescent="0.25">
      <c r="A5737" s="26"/>
    </row>
    <row r="5738" spans="1:1" x14ac:dyDescent="0.25">
      <c r="A5738" s="26"/>
    </row>
    <row r="5739" spans="1:1" x14ac:dyDescent="0.25">
      <c r="A5739" s="26"/>
    </row>
    <row r="5740" spans="1:1" x14ac:dyDescent="0.25">
      <c r="A5740" s="26"/>
    </row>
    <row r="5741" spans="1:1" x14ac:dyDescent="0.25">
      <c r="A5741" s="26"/>
    </row>
    <row r="5742" spans="1:1" x14ac:dyDescent="0.25">
      <c r="A5742" s="26"/>
    </row>
    <row r="5743" spans="1:1" x14ac:dyDescent="0.25">
      <c r="A5743" s="26"/>
    </row>
    <row r="5744" spans="1:1" x14ac:dyDescent="0.25">
      <c r="A5744" s="26"/>
    </row>
    <row r="5745" spans="1:1" x14ac:dyDescent="0.25">
      <c r="A5745" s="26"/>
    </row>
    <row r="5746" spans="1:1" x14ac:dyDescent="0.25">
      <c r="A5746" s="26"/>
    </row>
    <row r="5747" spans="1:1" x14ac:dyDescent="0.25">
      <c r="A5747" s="26"/>
    </row>
    <row r="5748" spans="1:1" x14ac:dyDescent="0.25">
      <c r="A5748" s="26"/>
    </row>
    <row r="5749" spans="1:1" x14ac:dyDescent="0.25">
      <c r="A5749" s="26"/>
    </row>
    <row r="5750" spans="1:1" x14ac:dyDescent="0.25">
      <c r="A5750" s="26"/>
    </row>
    <row r="5751" spans="1:1" x14ac:dyDescent="0.25">
      <c r="A5751" s="26"/>
    </row>
    <row r="5752" spans="1:1" x14ac:dyDescent="0.25">
      <c r="A5752" s="26"/>
    </row>
    <row r="5753" spans="1:1" x14ac:dyDescent="0.25">
      <c r="A5753" s="26"/>
    </row>
    <row r="5754" spans="1:1" x14ac:dyDescent="0.25">
      <c r="A5754" s="26"/>
    </row>
    <row r="5755" spans="1:1" x14ac:dyDescent="0.25">
      <c r="A5755" s="26"/>
    </row>
    <row r="5756" spans="1:1" x14ac:dyDescent="0.25">
      <c r="A5756" s="26"/>
    </row>
    <row r="5757" spans="1:1" x14ac:dyDescent="0.25">
      <c r="A5757" s="26"/>
    </row>
    <row r="5758" spans="1:1" x14ac:dyDescent="0.25">
      <c r="A5758" s="26"/>
    </row>
    <row r="5759" spans="1:1" x14ac:dyDescent="0.25">
      <c r="A5759" s="26"/>
    </row>
    <row r="5760" spans="1:1" x14ac:dyDescent="0.25">
      <c r="A5760" s="26"/>
    </row>
    <row r="5761" spans="1:1" x14ac:dyDescent="0.25">
      <c r="A5761" s="26"/>
    </row>
    <row r="5762" spans="1:1" x14ac:dyDescent="0.25">
      <c r="A5762" s="26"/>
    </row>
    <row r="5763" spans="1:1" x14ac:dyDescent="0.25">
      <c r="A5763" s="26"/>
    </row>
    <row r="5764" spans="1:1" x14ac:dyDescent="0.25">
      <c r="A5764" s="26"/>
    </row>
    <row r="5765" spans="1:1" x14ac:dyDescent="0.25">
      <c r="A5765" s="26"/>
    </row>
    <row r="5766" spans="1:1" x14ac:dyDescent="0.25">
      <c r="A5766" s="26"/>
    </row>
    <row r="5767" spans="1:1" x14ac:dyDescent="0.25">
      <c r="A5767" s="26"/>
    </row>
    <row r="5768" spans="1:1" x14ac:dyDescent="0.25">
      <c r="A5768" s="26"/>
    </row>
    <row r="5769" spans="1:1" x14ac:dyDescent="0.25">
      <c r="A5769" s="26"/>
    </row>
    <row r="5770" spans="1:1" x14ac:dyDescent="0.25">
      <c r="A5770" s="26"/>
    </row>
    <row r="5771" spans="1:1" x14ac:dyDescent="0.25">
      <c r="A5771" s="26"/>
    </row>
    <row r="5772" spans="1:1" x14ac:dyDescent="0.25">
      <c r="A5772" s="26"/>
    </row>
    <row r="5773" spans="1:1" x14ac:dyDescent="0.25">
      <c r="A5773" s="26"/>
    </row>
    <row r="5774" spans="1:1" x14ac:dyDescent="0.25">
      <c r="A5774" s="26"/>
    </row>
    <row r="5775" spans="1:1" x14ac:dyDescent="0.25">
      <c r="A5775" s="26"/>
    </row>
    <row r="5776" spans="1:1" x14ac:dyDescent="0.25">
      <c r="A5776" s="26"/>
    </row>
    <row r="5777" spans="1:1" x14ac:dyDescent="0.25">
      <c r="A5777" s="26"/>
    </row>
    <row r="5778" spans="1:1" x14ac:dyDescent="0.25">
      <c r="A5778" s="26"/>
    </row>
    <row r="5779" spans="1:1" x14ac:dyDescent="0.25">
      <c r="A5779" s="26"/>
    </row>
    <row r="5780" spans="1:1" x14ac:dyDescent="0.25">
      <c r="A5780" s="26"/>
    </row>
    <row r="5781" spans="1:1" x14ac:dyDescent="0.25">
      <c r="A5781" s="26"/>
    </row>
    <row r="5782" spans="1:1" x14ac:dyDescent="0.25">
      <c r="A5782" s="26"/>
    </row>
    <row r="5783" spans="1:1" x14ac:dyDescent="0.25">
      <c r="A5783" s="26"/>
    </row>
    <row r="5810" spans="1:1" x14ac:dyDescent="0.25">
      <c r="A5810" s="26" t="s">
        <v>5650</v>
      </c>
    </row>
    <row r="5811" spans="1:1" x14ac:dyDescent="0.25">
      <c r="A5811" s="26" t="s">
        <v>5651</v>
      </c>
    </row>
    <row r="5812" spans="1:1" x14ac:dyDescent="0.25">
      <c r="A5812" s="26" t="s">
        <v>5652</v>
      </c>
    </row>
    <row r="5813" spans="1:1" x14ac:dyDescent="0.25">
      <c r="A5813" s="26" t="s">
        <v>5653</v>
      </c>
    </row>
    <row r="5814" spans="1:1" x14ac:dyDescent="0.25">
      <c r="A5814" s="96" t="s">
        <v>5654</v>
      </c>
    </row>
    <row r="5815" spans="1:1" x14ac:dyDescent="0.25">
      <c r="A5815" s="26" t="s">
        <v>5655</v>
      </c>
    </row>
    <row r="5816" spans="1:1" x14ac:dyDescent="0.25">
      <c r="A5816" s="96" t="s">
        <v>5656</v>
      </c>
    </row>
    <row r="5817" spans="1:1" x14ac:dyDescent="0.25">
      <c r="A5817" s="26" t="s">
        <v>5655</v>
      </c>
    </row>
    <row r="5818" spans="1:1" x14ac:dyDescent="0.25">
      <c r="A5818" s="96" t="s">
        <v>5657</v>
      </c>
    </row>
    <row r="5819" spans="1:1" x14ac:dyDescent="0.25">
      <c r="A5819" s="96" t="s">
        <v>5658</v>
      </c>
    </row>
    <row r="5820" spans="1:1" x14ac:dyDescent="0.25">
      <c r="A5820" s="96" t="s">
        <v>5659</v>
      </c>
    </row>
    <row r="5821" spans="1:1" x14ac:dyDescent="0.25">
      <c r="A5821" s="98" t="s">
        <v>5660</v>
      </c>
    </row>
    <row r="5822" spans="1:1" x14ac:dyDescent="0.25">
      <c r="A5822" s="96" t="s">
        <v>5661</v>
      </c>
    </row>
    <row r="5823" spans="1:1" x14ac:dyDescent="0.25">
      <c r="A5823" s="98" t="s">
        <v>5662</v>
      </c>
    </row>
    <row r="5824" spans="1:1" x14ac:dyDescent="0.25">
      <c r="A5824" s="98" t="s">
        <v>5663</v>
      </c>
    </row>
    <row r="5825" spans="1:1" x14ac:dyDescent="0.25">
      <c r="A5825" s="26" t="s">
        <v>5664</v>
      </c>
    </row>
    <row r="5826" spans="1:1" x14ac:dyDescent="0.25">
      <c r="A5826" s="26" t="s">
        <v>5665</v>
      </c>
    </row>
    <row r="5827" spans="1:1" x14ac:dyDescent="0.25">
      <c r="A5827" s="26" t="s">
        <v>5666</v>
      </c>
    </row>
    <row r="5828" spans="1:1" x14ac:dyDescent="0.25">
      <c r="A5828" s="96" t="s">
        <v>5667</v>
      </c>
    </row>
    <row r="5829" spans="1:1" x14ac:dyDescent="0.25">
      <c r="A5829" s="98" t="s">
        <v>5668</v>
      </c>
    </row>
    <row r="5830" spans="1:1" x14ac:dyDescent="0.25">
      <c r="A5830" s="96" t="s">
        <v>5669</v>
      </c>
    </row>
    <row r="5831" spans="1:1" x14ac:dyDescent="0.25">
      <c r="A5831" s="98" t="s">
        <v>5670</v>
      </c>
    </row>
    <row r="5832" spans="1:1" x14ac:dyDescent="0.25">
      <c r="A5832" s="98" t="s">
        <v>5671</v>
      </c>
    </row>
    <row r="5833" spans="1:1" x14ac:dyDescent="0.25">
      <c r="A5833" s="26" t="s">
        <v>5672</v>
      </c>
    </row>
    <row r="5834" spans="1:1" x14ac:dyDescent="0.25">
      <c r="A5834" s="26" t="s">
        <v>5673</v>
      </c>
    </row>
    <row r="5835" spans="1:1" x14ac:dyDescent="0.25">
      <c r="A5835" s="26" t="s">
        <v>5674</v>
      </c>
    </row>
    <row r="5836" spans="1:1" x14ac:dyDescent="0.25">
      <c r="A5836" s="26" t="s">
        <v>5675</v>
      </c>
    </row>
    <row r="5837" spans="1:1" x14ac:dyDescent="0.25">
      <c r="A5837" s="96" t="s">
        <v>5676</v>
      </c>
    </row>
    <row r="5838" spans="1:1" x14ac:dyDescent="0.25">
      <c r="A5838" s="98" t="s">
        <v>5677</v>
      </c>
    </row>
    <row r="5839" spans="1:1" x14ac:dyDescent="0.25">
      <c r="A5839" s="96" t="s">
        <v>5678</v>
      </c>
    </row>
    <row r="5840" spans="1:1" x14ac:dyDescent="0.25">
      <c r="A5840" s="98" t="s">
        <v>5679</v>
      </c>
    </row>
    <row r="5841" spans="1:1" x14ac:dyDescent="0.25">
      <c r="A5841" s="98" t="s">
        <v>5680</v>
      </c>
    </row>
    <row r="5842" spans="1:1" x14ac:dyDescent="0.25">
      <c r="A5842" s="96" t="s">
        <v>5681</v>
      </c>
    </row>
    <row r="5843" spans="1:1" x14ac:dyDescent="0.25">
      <c r="A5843" s="96" t="s">
        <v>5682</v>
      </c>
    </row>
    <row r="5844" spans="1:1" x14ac:dyDescent="0.25">
      <c r="A5844" s="96" t="s">
        <v>5683</v>
      </c>
    </row>
    <row r="5845" spans="1:1" x14ac:dyDescent="0.25">
      <c r="A5845" s="96" t="s">
        <v>5684</v>
      </c>
    </row>
    <row r="5846" spans="1:1" x14ac:dyDescent="0.25">
      <c r="A5846" s="26" t="s">
        <v>5685</v>
      </c>
    </row>
    <row r="5847" spans="1:1" x14ac:dyDescent="0.25">
      <c r="A5847" s="98" t="s">
        <v>5686</v>
      </c>
    </row>
    <row r="5848" spans="1:1" x14ac:dyDescent="0.25">
      <c r="A5848" s="96" t="s">
        <v>5687</v>
      </c>
    </row>
    <row r="5849" spans="1:1" x14ac:dyDescent="0.25">
      <c r="A5849" s="98" t="s">
        <v>5688</v>
      </c>
    </row>
    <row r="5850" spans="1:1" x14ac:dyDescent="0.25">
      <c r="A5850" s="98" t="s">
        <v>5689</v>
      </c>
    </row>
    <row r="5851" spans="1:1" x14ac:dyDescent="0.25">
      <c r="A5851" s="26" t="s">
        <v>5690</v>
      </c>
    </row>
    <row r="5852" spans="1:1" x14ac:dyDescent="0.25">
      <c r="A5852" s="26" t="s">
        <v>5691</v>
      </c>
    </row>
    <row r="5853" spans="1:1" x14ac:dyDescent="0.25">
      <c r="A5853" s="26" t="s">
        <v>5692</v>
      </c>
    </row>
    <row r="5854" spans="1:1" x14ac:dyDescent="0.25">
      <c r="A5854" s="96" t="s">
        <v>5693</v>
      </c>
    </row>
    <row r="5855" spans="1:1" x14ac:dyDescent="0.25">
      <c r="A5855" s="98" t="s">
        <v>5694</v>
      </c>
    </row>
    <row r="5856" spans="1:1" x14ac:dyDescent="0.25">
      <c r="A5856" s="96" t="s">
        <v>5695</v>
      </c>
    </row>
    <row r="5857" spans="1:1" x14ac:dyDescent="0.25">
      <c r="A5857" s="98" t="s">
        <v>5696</v>
      </c>
    </row>
    <row r="5858" spans="1:1" x14ac:dyDescent="0.25">
      <c r="A5858" s="98" t="s">
        <v>5697</v>
      </c>
    </row>
    <row r="5859" spans="1:1" x14ac:dyDescent="0.25">
      <c r="A5859" s="96" t="s">
        <v>5698</v>
      </c>
    </row>
    <row r="5860" spans="1:1" x14ac:dyDescent="0.25">
      <c r="A5860" s="96" t="s">
        <v>5699</v>
      </c>
    </row>
    <row r="5861" spans="1:1" x14ac:dyDescent="0.25">
      <c r="A5861" s="26" t="s">
        <v>5700</v>
      </c>
    </row>
    <row r="5862" spans="1:1" x14ac:dyDescent="0.25">
      <c r="A5862" s="96" t="s">
        <v>5701</v>
      </c>
    </row>
    <row r="5863" spans="1:1" x14ac:dyDescent="0.25">
      <c r="A5863" s="98" t="s">
        <v>5702</v>
      </c>
    </row>
    <row r="5864" spans="1:1" x14ac:dyDescent="0.25">
      <c r="A5864" s="96" t="s">
        <v>5703</v>
      </c>
    </row>
    <row r="5865" spans="1:1" x14ac:dyDescent="0.25">
      <c r="A5865" s="98" t="s">
        <v>5704</v>
      </c>
    </row>
    <row r="5866" spans="1:1" x14ac:dyDescent="0.25">
      <c r="A5866" s="98" t="s">
        <v>5705</v>
      </c>
    </row>
    <row r="5867" spans="1:1" x14ac:dyDescent="0.25">
      <c r="A5867" s="96" t="s">
        <v>5706</v>
      </c>
    </row>
    <row r="5868" spans="1:1" x14ac:dyDescent="0.25">
      <c r="A5868" s="96" t="s">
        <v>5707</v>
      </c>
    </row>
    <row r="5869" spans="1:1" x14ac:dyDescent="0.25">
      <c r="A5869" s="96" t="s">
        <v>5708</v>
      </c>
    </row>
    <row r="5870" spans="1:1" x14ac:dyDescent="0.25">
      <c r="A5870" s="96" t="s">
        <v>5709</v>
      </c>
    </row>
    <row r="5871" spans="1:1" x14ac:dyDescent="0.25">
      <c r="A5871" s="96" t="s">
        <v>5710</v>
      </c>
    </row>
    <row r="5872" spans="1:1" x14ac:dyDescent="0.25">
      <c r="A5872" s="26" t="s">
        <v>5711</v>
      </c>
    </row>
    <row r="5873" spans="1:1" x14ac:dyDescent="0.25">
      <c r="A5873" s="98" t="s">
        <v>5712</v>
      </c>
    </row>
    <row r="5874" spans="1:1" x14ac:dyDescent="0.25">
      <c r="A5874" s="96" t="s">
        <v>5713</v>
      </c>
    </row>
    <row r="5875" spans="1:1" x14ac:dyDescent="0.25">
      <c r="A5875" s="98" t="s">
        <v>5714</v>
      </c>
    </row>
    <row r="5876" spans="1:1" x14ac:dyDescent="0.25">
      <c r="A5876" s="98" t="s">
        <v>5715</v>
      </c>
    </row>
    <row r="5877" spans="1:1" x14ac:dyDescent="0.25">
      <c r="A5877" s="26" t="s">
        <v>5716</v>
      </c>
    </row>
    <row r="5878" spans="1:1" x14ac:dyDescent="0.25">
      <c r="A5878" s="26" t="s">
        <v>5717</v>
      </c>
    </row>
    <row r="5879" spans="1:1" x14ac:dyDescent="0.25">
      <c r="A5879" s="26" t="s">
        <v>5718</v>
      </c>
    </row>
    <row r="5880" spans="1:1" x14ac:dyDescent="0.25">
      <c r="A5880" s="98" t="s">
        <v>5719</v>
      </c>
    </row>
    <row r="5881" spans="1:1" x14ac:dyDescent="0.25">
      <c r="A5881" s="96" t="s">
        <v>5720</v>
      </c>
    </row>
    <row r="5882" spans="1:1" x14ac:dyDescent="0.25">
      <c r="A5882" s="98" t="s">
        <v>5721</v>
      </c>
    </row>
    <row r="5883" spans="1:1" x14ac:dyDescent="0.25">
      <c r="A5883" s="98" t="s">
        <v>5722</v>
      </c>
    </row>
    <row r="5884" spans="1:1" x14ac:dyDescent="0.25">
      <c r="A5884" s="26" t="s">
        <v>5723</v>
      </c>
    </row>
    <row r="5885" spans="1:1" x14ac:dyDescent="0.25">
      <c r="A5885" s="26" t="s">
        <v>5724</v>
      </c>
    </row>
    <row r="5886" spans="1:1" x14ac:dyDescent="0.25">
      <c r="A5886" s="26" t="s">
        <v>5725</v>
      </c>
    </row>
    <row r="5887" spans="1:1" x14ac:dyDescent="0.25">
      <c r="A5887" s="96" t="s">
        <v>5726</v>
      </c>
    </row>
    <row r="5888" spans="1:1" x14ac:dyDescent="0.25">
      <c r="A5888" s="98" t="s">
        <v>5727</v>
      </c>
    </row>
    <row r="5889" spans="1:1" x14ac:dyDescent="0.25">
      <c r="A5889" s="96" t="s">
        <v>5728</v>
      </c>
    </row>
    <row r="5890" spans="1:1" x14ac:dyDescent="0.25">
      <c r="A5890" s="98" t="s">
        <v>5729</v>
      </c>
    </row>
    <row r="5891" spans="1:1" x14ac:dyDescent="0.25">
      <c r="A5891" s="98" t="s">
        <v>5730</v>
      </c>
    </row>
    <row r="5892" spans="1:1" x14ac:dyDescent="0.25">
      <c r="A5892" s="96" t="s">
        <v>5731</v>
      </c>
    </row>
    <row r="5893" spans="1:1" x14ac:dyDescent="0.25">
      <c r="A5893" s="96" t="s">
        <v>5732</v>
      </c>
    </row>
    <row r="5894" spans="1:1" x14ac:dyDescent="0.25">
      <c r="A5894" s="26" t="s">
        <v>5733</v>
      </c>
    </row>
    <row r="5895" spans="1:1" x14ac:dyDescent="0.25">
      <c r="A5895" s="96" t="s">
        <v>5734</v>
      </c>
    </row>
    <row r="5896" spans="1:1" x14ac:dyDescent="0.25">
      <c r="A5896" s="98" t="s">
        <v>5735</v>
      </c>
    </row>
    <row r="5897" spans="1:1" x14ac:dyDescent="0.25">
      <c r="A5897" s="96" t="s">
        <v>5736</v>
      </c>
    </row>
    <row r="5898" spans="1:1" x14ac:dyDescent="0.25">
      <c r="A5898" s="98" t="s">
        <v>5737</v>
      </c>
    </row>
    <row r="5899" spans="1:1" x14ac:dyDescent="0.25">
      <c r="A5899" s="98" t="s">
        <v>5738</v>
      </c>
    </row>
    <row r="5900" spans="1:1" x14ac:dyDescent="0.25">
      <c r="A5900" s="96" t="s">
        <v>5739</v>
      </c>
    </row>
    <row r="5901" spans="1:1" x14ac:dyDescent="0.25">
      <c r="A5901" s="96" t="s">
        <v>5740</v>
      </c>
    </row>
    <row r="5902" spans="1:1" x14ac:dyDescent="0.25">
      <c r="A5902" s="96" t="s">
        <v>5741</v>
      </c>
    </row>
    <row r="5903" spans="1:1" x14ac:dyDescent="0.25">
      <c r="A5903" s="26" t="s">
        <v>5742</v>
      </c>
    </row>
    <row r="5904" spans="1:1" x14ac:dyDescent="0.25">
      <c r="A5904" s="98" t="s">
        <v>5743</v>
      </c>
    </row>
    <row r="5905" spans="1:1" x14ac:dyDescent="0.25">
      <c r="A5905" s="96" t="s">
        <v>5744</v>
      </c>
    </row>
    <row r="5906" spans="1:1" x14ac:dyDescent="0.25">
      <c r="A5906" s="98" t="s">
        <v>5745</v>
      </c>
    </row>
    <row r="5907" spans="1:1" x14ac:dyDescent="0.25">
      <c r="A5907" s="98" t="s">
        <v>5746</v>
      </c>
    </row>
    <row r="5908" spans="1:1" x14ac:dyDescent="0.25">
      <c r="A5908" s="26" t="s">
        <v>5747</v>
      </c>
    </row>
    <row r="5909" spans="1:1" x14ac:dyDescent="0.25">
      <c r="A5909" s="26" t="s">
        <v>5748</v>
      </c>
    </row>
    <row r="5910" spans="1:1" x14ac:dyDescent="0.25">
      <c r="A5910" s="26" t="s">
        <v>5749</v>
      </c>
    </row>
    <row r="5911" spans="1:1" x14ac:dyDescent="0.25">
      <c r="A5911" s="96" t="s">
        <v>5750</v>
      </c>
    </row>
    <row r="5912" spans="1:1" x14ac:dyDescent="0.25">
      <c r="A5912" s="98" t="s">
        <v>5751</v>
      </c>
    </row>
    <row r="5913" spans="1:1" x14ac:dyDescent="0.25">
      <c r="A5913" s="96" t="s">
        <v>5752</v>
      </c>
    </row>
    <row r="5914" spans="1:1" x14ac:dyDescent="0.25">
      <c r="A5914" s="98" t="s">
        <v>5753</v>
      </c>
    </row>
    <row r="5915" spans="1:1" x14ac:dyDescent="0.25">
      <c r="A5915" s="98" t="s">
        <v>5754</v>
      </c>
    </row>
    <row r="5916" spans="1:1" x14ac:dyDescent="0.25">
      <c r="A5916" s="98" t="s">
        <v>5755</v>
      </c>
    </row>
    <row r="5917" spans="1:1" x14ac:dyDescent="0.25">
      <c r="A5917" s="98" t="s">
        <v>5756</v>
      </c>
    </row>
    <row r="5918" spans="1:1" x14ac:dyDescent="0.25">
      <c r="A5918" s="98" t="s">
        <v>5757</v>
      </c>
    </row>
    <row r="5919" spans="1:1" x14ac:dyDescent="0.25">
      <c r="A5919" s="96" t="s">
        <v>5758</v>
      </c>
    </row>
    <row r="5920" spans="1:1" x14ac:dyDescent="0.25">
      <c r="A5920" s="96" t="s">
        <v>5759</v>
      </c>
    </row>
    <row r="5921" spans="1:1" x14ac:dyDescent="0.25">
      <c r="A5921" s="98" t="s">
        <v>5760</v>
      </c>
    </row>
    <row r="5922" spans="1:1" x14ac:dyDescent="0.25">
      <c r="A5922" s="98" t="s">
        <v>5761</v>
      </c>
    </row>
    <row r="5923" spans="1:1" x14ac:dyDescent="0.25">
      <c r="A5923" s="98" t="s">
        <v>5762</v>
      </c>
    </row>
    <row r="5924" spans="1:1" x14ac:dyDescent="0.25">
      <c r="A5924" s="98" t="s">
        <v>5763</v>
      </c>
    </row>
    <row r="5925" spans="1:1" x14ac:dyDescent="0.25">
      <c r="A5925" s="96" t="s">
        <v>5764</v>
      </c>
    </row>
    <row r="5926" spans="1:1" x14ac:dyDescent="0.25">
      <c r="A5926" s="96" t="s">
        <v>5765</v>
      </c>
    </row>
    <row r="5927" spans="1:1" x14ac:dyDescent="0.25">
      <c r="A5927" s="98" t="s">
        <v>5766</v>
      </c>
    </row>
    <row r="5928" spans="1:1" x14ac:dyDescent="0.25">
      <c r="A5928" s="98" t="s">
        <v>5767</v>
      </c>
    </row>
    <row r="5929" spans="1:1" x14ac:dyDescent="0.25">
      <c r="A5929" s="98" t="s">
        <v>5768</v>
      </c>
    </row>
    <row r="5930" spans="1:1" x14ac:dyDescent="0.25">
      <c r="A5930" s="98" t="s">
        <v>5769</v>
      </c>
    </row>
    <row r="5931" spans="1:1" x14ac:dyDescent="0.25">
      <c r="A5931" s="96" t="s">
        <v>5770</v>
      </c>
    </row>
    <row r="5932" spans="1:1" x14ac:dyDescent="0.25">
      <c r="A5932" s="96" t="s">
        <v>5771</v>
      </c>
    </row>
    <row r="5933" spans="1:1" x14ac:dyDescent="0.25">
      <c r="A5933" s="98" t="s">
        <v>5772</v>
      </c>
    </row>
    <row r="5934" spans="1:1" x14ac:dyDescent="0.25">
      <c r="A5934" s="96" t="s">
        <v>5773</v>
      </c>
    </row>
    <row r="5935" spans="1:1" x14ac:dyDescent="0.25">
      <c r="A5935" s="98" t="s">
        <v>5774</v>
      </c>
    </row>
    <row r="5936" spans="1:1" x14ac:dyDescent="0.25">
      <c r="A5936" s="98" t="s">
        <v>5775</v>
      </c>
    </row>
    <row r="5937" spans="1:1" x14ac:dyDescent="0.25">
      <c r="A5937" s="98" t="s">
        <v>5776</v>
      </c>
    </row>
    <row r="5938" spans="1:1" x14ac:dyDescent="0.25">
      <c r="A5938" s="98" t="s">
        <v>5777</v>
      </c>
    </row>
    <row r="5939" spans="1:1" x14ac:dyDescent="0.25">
      <c r="A5939" s="98" t="s">
        <v>5778</v>
      </c>
    </row>
    <row r="5940" spans="1:1" x14ac:dyDescent="0.25">
      <c r="A5940" s="96" t="s">
        <v>5779</v>
      </c>
    </row>
    <row r="5941" spans="1:1" x14ac:dyDescent="0.25">
      <c r="A5941" s="96" t="s">
        <v>5780</v>
      </c>
    </row>
    <row r="5942" spans="1:1" x14ac:dyDescent="0.25">
      <c r="A5942" s="98" t="s">
        <v>5781</v>
      </c>
    </row>
    <row r="5943" spans="1:1" x14ac:dyDescent="0.25">
      <c r="A5943" s="96" t="s">
        <v>5782</v>
      </c>
    </row>
    <row r="5944" spans="1:1" x14ac:dyDescent="0.25">
      <c r="A5944" s="98" t="s">
        <v>5783</v>
      </c>
    </row>
    <row r="5945" spans="1:1" x14ac:dyDescent="0.25">
      <c r="A5945" s="98" t="s">
        <v>5784</v>
      </c>
    </row>
    <row r="5946" spans="1:1" x14ac:dyDescent="0.25">
      <c r="A5946" s="98" t="s">
        <v>5785</v>
      </c>
    </row>
    <row r="5947" spans="1:1" x14ac:dyDescent="0.25">
      <c r="A5947" s="98" t="s">
        <v>5786</v>
      </c>
    </row>
    <row r="5948" spans="1:1" x14ac:dyDescent="0.25">
      <c r="A5948" s="98" t="s">
        <v>5787</v>
      </c>
    </row>
    <row r="5949" spans="1:1" x14ac:dyDescent="0.25">
      <c r="A5949" s="96" t="s">
        <v>5788</v>
      </c>
    </row>
    <row r="5950" spans="1:1" x14ac:dyDescent="0.25">
      <c r="A5950" s="96" t="s">
        <v>5789</v>
      </c>
    </row>
    <row r="5951" spans="1:1" x14ac:dyDescent="0.25">
      <c r="A5951" s="98" t="s">
        <v>5790</v>
      </c>
    </row>
    <row r="5952" spans="1:1" x14ac:dyDescent="0.25">
      <c r="A5952" s="96" t="s">
        <v>5791</v>
      </c>
    </row>
    <row r="5953" spans="1:1" x14ac:dyDescent="0.25">
      <c r="A5953" s="98" t="s">
        <v>5792</v>
      </c>
    </row>
    <row r="5954" spans="1:1" x14ac:dyDescent="0.25">
      <c r="A5954" s="98" t="s">
        <v>5793</v>
      </c>
    </row>
    <row r="5955" spans="1:1" x14ac:dyDescent="0.25">
      <c r="A5955" s="98" t="s">
        <v>5794</v>
      </c>
    </row>
    <row r="5956" spans="1:1" x14ac:dyDescent="0.25">
      <c r="A5956" s="98" t="s">
        <v>5795</v>
      </c>
    </row>
    <row r="5957" spans="1:1" x14ac:dyDescent="0.25">
      <c r="A5957" s="98" t="s">
        <v>5796</v>
      </c>
    </row>
    <row r="5958" spans="1:1" x14ac:dyDescent="0.25">
      <c r="A5958" s="96" t="s">
        <v>5797</v>
      </c>
    </row>
    <row r="5959" spans="1:1" x14ac:dyDescent="0.25">
      <c r="A5959" s="96" t="s">
        <v>5798</v>
      </c>
    </row>
    <row r="5960" spans="1:1" x14ac:dyDescent="0.25">
      <c r="A5960" s="98" t="s">
        <v>5799</v>
      </c>
    </row>
    <row r="5961" spans="1:1" x14ac:dyDescent="0.25">
      <c r="A5961" s="96" t="s">
        <v>5800</v>
      </c>
    </row>
    <row r="5962" spans="1:1" x14ac:dyDescent="0.25">
      <c r="A5962" s="98" t="s">
        <v>5801</v>
      </c>
    </row>
    <row r="5963" spans="1:1" x14ac:dyDescent="0.25">
      <c r="A5963" s="98" t="s">
        <v>5802</v>
      </c>
    </row>
    <row r="5964" spans="1:1" x14ac:dyDescent="0.25">
      <c r="A5964" s="98" t="s">
        <v>5803</v>
      </c>
    </row>
    <row r="5965" spans="1:1" x14ac:dyDescent="0.25">
      <c r="A5965" s="98" t="s">
        <v>5804</v>
      </c>
    </row>
    <row r="5966" spans="1:1" x14ac:dyDescent="0.25">
      <c r="A5966" s="98" t="s">
        <v>5805</v>
      </c>
    </row>
    <row r="5967" spans="1:1" x14ac:dyDescent="0.25">
      <c r="A5967" s="96" t="s">
        <v>5806</v>
      </c>
    </row>
    <row r="5968" spans="1:1" x14ac:dyDescent="0.25">
      <c r="A5968" s="96" t="s">
        <v>5807</v>
      </c>
    </row>
    <row r="5969" spans="1:1" x14ac:dyDescent="0.25">
      <c r="A5969" s="98" t="s">
        <v>5808</v>
      </c>
    </row>
    <row r="5970" spans="1:1" x14ac:dyDescent="0.25">
      <c r="A5970" s="96" t="s">
        <v>5809</v>
      </c>
    </row>
    <row r="5971" spans="1:1" x14ac:dyDescent="0.25">
      <c r="A5971" s="98" t="s">
        <v>5810</v>
      </c>
    </row>
    <row r="5972" spans="1:1" x14ac:dyDescent="0.25">
      <c r="A5972" s="98" t="s">
        <v>5811</v>
      </c>
    </row>
    <row r="5973" spans="1:1" x14ac:dyDescent="0.25">
      <c r="A5973" s="98" t="s">
        <v>5812</v>
      </c>
    </row>
    <row r="5974" spans="1:1" x14ac:dyDescent="0.25">
      <c r="A5974" s="98" t="s">
        <v>5813</v>
      </c>
    </row>
    <row r="5975" spans="1:1" x14ac:dyDescent="0.25">
      <c r="A5975" s="98" t="s">
        <v>5814</v>
      </c>
    </row>
    <row r="5976" spans="1:1" x14ac:dyDescent="0.25">
      <c r="A5976" s="96" t="s">
        <v>5815</v>
      </c>
    </row>
    <row r="5977" spans="1:1" x14ac:dyDescent="0.25">
      <c r="A5977" s="96" t="s">
        <v>5816</v>
      </c>
    </row>
    <row r="5978" spans="1:1" x14ac:dyDescent="0.25">
      <c r="A5978" s="98" t="s">
        <v>5817</v>
      </c>
    </row>
    <row r="5979" spans="1:1" x14ac:dyDescent="0.25">
      <c r="A5979" s="96" t="s">
        <v>5818</v>
      </c>
    </row>
    <row r="5980" spans="1:1" x14ac:dyDescent="0.25">
      <c r="A5980" s="98" t="s">
        <v>5819</v>
      </c>
    </row>
    <row r="5981" spans="1:1" x14ac:dyDescent="0.25">
      <c r="A5981" s="98" t="s">
        <v>5820</v>
      </c>
    </row>
    <row r="5982" spans="1:1" x14ac:dyDescent="0.25">
      <c r="A5982" s="98" t="s">
        <v>5821</v>
      </c>
    </row>
    <row r="5983" spans="1:1" x14ac:dyDescent="0.25">
      <c r="A5983" s="98" t="s">
        <v>5822</v>
      </c>
    </row>
    <row r="5984" spans="1:1" x14ac:dyDescent="0.25">
      <c r="A5984" s="98" t="s">
        <v>5823</v>
      </c>
    </row>
    <row r="5985" spans="1:1" x14ac:dyDescent="0.25">
      <c r="A5985" s="96" t="s">
        <v>5824</v>
      </c>
    </row>
    <row r="5986" spans="1:1" x14ac:dyDescent="0.25">
      <c r="A5986" s="96" t="s">
        <v>5825</v>
      </c>
    </row>
    <row r="5987" spans="1:1" x14ac:dyDescent="0.25">
      <c r="A5987" s="98" t="s">
        <v>5826</v>
      </c>
    </row>
    <row r="5988" spans="1:1" x14ac:dyDescent="0.25">
      <c r="A5988" s="96" t="s">
        <v>5827</v>
      </c>
    </row>
    <row r="5989" spans="1:1" x14ac:dyDescent="0.25">
      <c r="A5989" s="98" t="s">
        <v>5828</v>
      </c>
    </row>
    <row r="5990" spans="1:1" x14ac:dyDescent="0.25">
      <c r="A5990" s="98" t="s">
        <v>5829</v>
      </c>
    </row>
    <row r="5991" spans="1:1" x14ac:dyDescent="0.25">
      <c r="A5991" s="98" t="s">
        <v>5830</v>
      </c>
    </row>
    <row r="5992" spans="1:1" x14ac:dyDescent="0.25">
      <c r="A5992" s="98" t="s">
        <v>5831</v>
      </c>
    </row>
    <row r="5993" spans="1:1" x14ac:dyDescent="0.25">
      <c r="A5993" s="98" t="s">
        <v>5832</v>
      </c>
    </row>
    <row r="5994" spans="1:1" x14ac:dyDescent="0.25">
      <c r="A5994" s="96" t="s">
        <v>5833</v>
      </c>
    </row>
    <row r="5995" spans="1:1" x14ac:dyDescent="0.25">
      <c r="A5995" s="96" t="s">
        <v>5834</v>
      </c>
    </row>
    <row r="5996" spans="1:1" x14ac:dyDescent="0.25">
      <c r="A5996" s="98" t="s">
        <v>5835</v>
      </c>
    </row>
    <row r="5997" spans="1:1" x14ac:dyDescent="0.25">
      <c r="A5997" s="96" t="s">
        <v>5836</v>
      </c>
    </row>
    <row r="5998" spans="1:1" x14ac:dyDescent="0.25">
      <c r="A5998" s="98" t="s">
        <v>5837</v>
      </c>
    </row>
    <row r="5999" spans="1:1" x14ac:dyDescent="0.25">
      <c r="A5999" s="98" t="s">
        <v>5838</v>
      </c>
    </row>
    <row r="6000" spans="1:1" x14ac:dyDescent="0.25">
      <c r="A6000" s="98" t="s">
        <v>5839</v>
      </c>
    </row>
    <row r="6001" spans="1:1" x14ac:dyDescent="0.25">
      <c r="A6001" s="96" t="s">
        <v>5840</v>
      </c>
    </row>
    <row r="6002" spans="1:1" x14ac:dyDescent="0.25">
      <c r="A6002" s="98" t="s">
        <v>5841</v>
      </c>
    </row>
    <row r="6003" spans="1:1" x14ac:dyDescent="0.25">
      <c r="A6003" s="96" t="s">
        <v>5842</v>
      </c>
    </row>
    <row r="6004" spans="1:1" x14ac:dyDescent="0.25">
      <c r="A6004" s="96" t="s">
        <v>5843</v>
      </c>
    </row>
    <row r="6005" spans="1:1" x14ac:dyDescent="0.25">
      <c r="A6005" s="96" t="s">
        <v>5844</v>
      </c>
    </row>
    <row r="6006" spans="1:1" x14ac:dyDescent="0.25">
      <c r="A6006" s="96" t="s">
        <v>5845</v>
      </c>
    </row>
    <row r="6007" spans="1:1" x14ac:dyDescent="0.25">
      <c r="A6007" s="96" t="s">
        <v>5846</v>
      </c>
    </row>
    <row r="6008" spans="1:1" x14ac:dyDescent="0.25">
      <c r="A6008" s="26" t="s">
        <v>5847</v>
      </c>
    </row>
    <row r="6009" spans="1:1" x14ac:dyDescent="0.25">
      <c r="A6009" s="98" t="s">
        <v>5848</v>
      </c>
    </row>
    <row r="6010" spans="1:1" x14ac:dyDescent="0.25">
      <c r="A6010" s="96" t="s">
        <v>5849</v>
      </c>
    </row>
    <row r="6011" spans="1:1" x14ac:dyDescent="0.25">
      <c r="A6011" s="98" t="s">
        <v>5850</v>
      </c>
    </row>
    <row r="6012" spans="1:1" x14ac:dyDescent="0.25">
      <c r="A6012" s="98" t="s">
        <v>5851</v>
      </c>
    </row>
    <row r="6013" spans="1:1" x14ac:dyDescent="0.25">
      <c r="A6013" s="26" t="s">
        <v>5852</v>
      </c>
    </row>
    <row r="6014" spans="1:1" x14ac:dyDescent="0.25">
      <c r="A6014" s="26" t="s">
        <v>5853</v>
      </c>
    </row>
    <row r="6015" spans="1:1" x14ac:dyDescent="0.25">
      <c r="A6015" s="26" t="s">
        <v>5854</v>
      </c>
    </row>
    <row r="6016" spans="1:1" x14ac:dyDescent="0.25">
      <c r="A6016" s="98" t="s">
        <v>5855</v>
      </c>
    </row>
    <row r="6017" spans="1:1" x14ac:dyDescent="0.25">
      <c r="A6017" s="96" t="s">
        <v>5856</v>
      </c>
    </row>
    <row r="6018" spans="1:1" x14ac:dyDescent="0.25">
      <c r="A6018" s="98" t="s">
        <v>5857</v>
      </c>
    </row>
    <row r="6019" spans="1:1" x14ac:dyDescent="0.25">
      <c r="A6019" s="98" t="s">
        <v>5858</v>
      </c>
    </row>
    <row r="6020" spans="1:1" x14ac:dyDescent="0.25">
      <c r="A6020" s="26" t="s">
        <v>5859</v>
      </c>
    </row>
    <row r="6021" spans="1:1" x14ac:dyDescent="0.25">
      <c r="A6021" s="26" t="s">
        <v>5860</v>
      </c>
    </row>
    <row r="6022" spans="1:1" x14ac:dyDescent="0.25">
      <c r="A6022" s="26" t="s">
        <v>5861</v>
      </c>
    </row>
    <row r="6023" spans="1:1" x14ac:dyDescent="0.25">
      <c r="A6023" s="96" t="s">
        <v>5862</v>
      </c>
    </row>
    <row r="6024" spans="1:1" x14ac:dyDescent="0.25">
      <c r="A6024" s="98" t="s">
        <v>5863</v>
      </c>
    </row>
    <row r="6025" spans="1:1" x14ac:dyDescent="0.25">
      <c r="A6025" s="96" t="s">
        <v>5864</v>
      </c>
    </row>
    <row r="6026" spans="1:1" x14ac:dyDescent="0.25">
      <c r="A6026" s="98" t="s">
        <v>5865</v>
      </c>
    </row>
    <row r="6027" spans="1:1" x14ac:dyDescent="0.25">
      <c r="A6027" s="98" t="s">
        <v>5866</v>
      </c>
    </row>
    <row r="6028" spans="1:1" x14ac:dyDescent="0.25">
      <c r="A6028" s="98" t="s">
        <v>5867</v>
      </c>
    </row>
    <row r="6029" spans="1:1" x14ac:dyDescent="0.25">
      <c r="A6029" s="98" t="s">
        <v>5868</v>
      </c>
    </row>
    <row r="6030" spans="1:1" x14ac:dyDescent="0.25">
      <c r="A6030" s="98" t="s">
        <v>5869</v>
      </c>
    </row>
    <row r="6031" spans="1:1" x14ac:dyDescent="0.25">
      <c r="A6031" s="96" t="s">
        <v>5870</v>
      </c>
    </row>
    <row r="6032" spans="1:1" x14ac:dyDescent="0.25">
      <c r="A6032" s="96" t="s">
        <v>5871</v>
      </c>
    </row>
    <row r="6033" spans="1:1" x14ac:dyDescent="0.25">
      <c r="A6033" s="98" t="s">
        <v>5872</v>
      </c>
    </row>
    <row r="6034" spans="1:1" x14ac:dyDescent="0.25">
      <c r="A6034" s="96" t="s">
        <v>5873</v>
      </c>
    </row>
    <row r="6035" spans="1:1" x14ac:dyDescent="0.25">
      <c r="A6035" s="98" t="s">
        <v>5874</v>
      </c>
    </row>
    <row r="6036" spans="1:1" x14ac:dyDescent="0.25">
      <c r="A6036" s="98" t="s">
        <v>5875</v>
      </c>
    </row>
    <row r="6037" spans="1:1" x14ac:dyDescent="0.25">
      <c r="A6037" s="98" t="s">
        <v>5876</v>
      </c>
    </row>
    <row r="6038" spans="1:1" x14ac:dyDescent="0.25">
      <c r="A6038" s="96" t="s">
        <v>5877</v>
      </c>
    </row>
    <row r="6039" spans="1:1" x14ac:dyDescent="0.25">
      <c r="A6039" s="98" t="s">
        <v>5878</v>
      </c>
    </row>
    <row r="6040" spans="1:1" x14ac:dyDescent="0.25">
      <c r="A6040" s="96" t="s">
        <v>5879</v>
      </c>
    </row>
    <row r="6041" spans="1:1" x14ac:dyDescent="0.25">
      <c r="A6041" s="96" t="s">
        <v>5880</v>
      </c>
    </row>
    <row r="6042" spans="1:1" x14ac:dyDescent="0.25">
      <c r="A6042" s="26" t="s">
        <v>5881</v>
      </c>
    </row>
    <row r="6043" spans="1:1" x14ac:dyDescent="0.25">
      <c r="A6043" s="96" t="s">
        <v>5882</v>
      </c>
    </row>
    <row r="6044" spans="1:1" x14ac:dyDescent="0.25">
      <c r="A6044" s="98" t="s">
        <v>5883</v>
      </c>
    </row>
    <row r="6045" spans="1:1" x14ac:dyDescent="0.25">
      <c r="A6045" s="96" t="s">
        <v>5884</v>
      </c>
    </row>
    <row r="6046" spans="1:1" x14ac:dyDescent="0.25">
      <c r="A6046" s="98" t="s">
        <v>5885</v>
      </c>
    </row>
    <row r="6047" spans="1:1" x14ac:dyDescent="0.25">
      <c r="A6047" s="98" t="s">
        <v>5886</v>
      </c>
    </row>
    <row r="6048" spans="1:1" x14ac:dyDescent="0.25">
      <c r="A6048" s="98" t="s">
        <v>5887</v>
      </c>
    </row>
    <row r="6049" spans="1:1" x14ac:dyDescent="0.25">
      <c r="A6049" s="96" t="s">
        <v>5888</v>
      </c>
    </row>
    <row r="6050" spans="1:1" x14ac:dyDescent="0.25">
      <c r="A6050" s="98" t="s">
        <v>5889</v>
      </c>
    </row>
    <row r="6051" spans="1:1" x14ac:dyDescent="0.25">
      <c r="A6051" s="98" t="s">
        <v>5890</v>
      </c>
    </row>
    <row r="6052" spans="1:1" x14ac:dyDescent="0.25">
      <c r="A6052" s="96" t="s">
        <v>5891</v>
      </c>
    </row>
    <row r="6053" spans="1:1" x14ac:dyDescent="0.25">
      <c r="A6053" s="98" t="s">
        <v>5892</v>
      </c>
    </row>
    <row r="6054" spans="1:1" x14ac:dyDescent="0.25">
      <c r="A6054" s="98" t="s">
        <v>5893</v>
      </c>
    </row>
    <row r="6055" spans="1:1" x14ac:dyDescent="0.25">
      <c r="A6055" s="96" t="s">
        <v>5894</v>
      </c>
    </row>
    <row r="6056" spans="1:1" x14ac:dyDescent="0.25">
      <c r="A6056" s="98" t="s">
        <v>5895</v>
      </c>
    </row>
    <row r="6057" spans="1:1" x14ac:dyDescent="0.25">
      <c r="A6057" s="98" t="s">
        <v>5896</v>
      </c>
    </row>
    <row r="6058" spans="1:1" x14ac:dyDescent="0.25">
      <c r="A6058" s="96" t="s">
        <v>5897</v>
      </c>
    </row>
    <row r="6059" spans="1:1" x14ac:dyDescent="0.25">
      <c r="A6059" s="98" t="s">
        <v>5898</v>
      </c>
    </row>
    <row r="6060" spans="1:1" x14ac:dyDescent="0.25">
      <c r="A6060" s="98" t="s">
        <v>5899</v>
      </c>
    </row>
    <row r="6061" spans="1:1" x14ac:dyDescent="0.25">
      <c r="A6061" s="96" t="s">
        <v>5900</v>
      </c>
    </row>
    <row r="6062" spans="1:1" x14ac:dyDescent="0.25">
      <c r="A6062" s="98" t="s">
        <v>5901</v>
      </c>
    </row>
    <row r="6063" spans="1:1" x14ac:dyDescent="0.25">
      <c r="A6063" s="98" t="s">
        <v>5902</v>
      </c>
    </row>
    <row r="6064" spans="1:1" x14ac:dyDescent="0.25">
      <c r="A6064" s="96" t="s">
        <v>5903</v>
      </c>
    </row>
    <row r="6065" spans="1:1" x14ac:dyDescent="0.25">
      <c r="A6065" s="98" t="s">
        <v>5904</v>
      </c>
    </row>
    <row r="6066" spans="1:1" x14ac:dyDescent="0.25">
      <c r="A6066" s="96" t="s">
        <v>5905</v>
      </c>
    </row>
    <row r="6067" spans="1:1" x14ac:dyDescent="0.25">
      <c r="A6067" s="96" t="s">
        <v>5906</v>
      </c>
    </row>
    <row r="6068" spans="1:1" x14ac:dyDescent="0.25">
      <c r="A6068" s="96" t="s">
        <v>5907</v>
      </c>
    </row>
    <row r="6069" spans="1:1" x14ac:dyDescent="0.25">
      <c r="A6069" s="26" t="s">
        <v>5908</v>
      </c>
    </row>
    <row r="6070" spans="1:1" x14ac:dyDescent="0.25">
      <c r="A6070" s="98" t="s">
        <v>5909</v>
      </c>
    </row>
    <row r="6071" spans="1:1" x14ac:dyDescent="0.25">
      <c r="A6071" s="96" t="s">
        <v>5910</v>
      </c>
    </row>
    <row r="6072" spans="1:1" x14ac:dyDescent="0.25">
      <c r="A6072" s="98" t="s">
        <v>5911</v>
      </c>
    </row>
    <row r="6073" spans="1:1" x14ac:dyDescent="0.25">
      <c r="A6073" s="98" t="s">
        <v>5912</v>
      </c>
    </row>
    <row r="6074" spans="1:1" x14ac:dyDescent="0.25">
      <c r="A6074" s="26" t="s">
        <v>5913</v>
      </c>
    </row>
    <row r="6075" spans="1:1" x14ac:dyDescent="0.25">
      <c r="A6075" s="26" t="s">
        <v>5914</v>
      </c>
    </row>
    <row r="6076" spans="1:1" x14ac:dyDescent="0.25">
      <c r="A6076" s="26" t="s">
        <v>5915</v>
      </c>
    </row>
    <row r="6077" spans="1:1" x14ac:dyDescent="0.25">
      <c r="A6077" s="96" t="s">
        <v>5916</v>
      </c>
    </row>
    <row r="6078" spans="1:1" x14ac:dyDescent="0.25">
      <c r="A6078" s="98" t="s">
        <v>5917</v>
      </c>
    </row>
    <row r="6079" spans="1:1" x14ac:dyDescent="0.25">
      <c r="A6079" s="96" t="s">
        <v>5918</v>
      </c>
    </row>
    <row r="6080" spans="1:1" x14ac:dyDescent="0.25">
      <c r="A6080" s="98" t="s">
        <v>5919</v>
      </c>
    </row>
    <row r="6081" spans="1:1" x14ac:dyDescent="0.25">
      <c r="A6081" s="98" t="s">
        <v>5920</v>
      </c>
    </row>
    <row r="6082" spans="1:1" x14ac:dyDescent="0.25">
      <c r="A6082" s="98" t="s">
        <v>5921</v>
      </c>
    </row>
    <row r="6083" spans="1:1" x14ac:dyDescent="0.25">
      <c r="A6083" s="96" t="s">
        <v>5922</v>
      </c>
    </row>
    <row r="6084" spans="1:1" x14ac:dyDescent="0.25">
      <c r="A6084" s="98" t="s">
        <v>5923</v>
      </c>
    </row>
    <row r="6085" spans="1:1" x14ac:dyDescent="0.25">
      <c r="A6085" s="98" t="s">
        <v>5924</v>
      </c>
    </row>
    <row r="6086" spans="1:1" x14ac:dyDescent="0.25">
      <c r="A6086" s="96" t="s">
        <v>5925</v>
      </c>
    </row>
    <row r="6087" spans="1:1" x14ac:dyDescent="0.25">
      <c r="A6087" s="98" t="s">
        <v>5926</v>
      </c>
    </row>
    <row r="6088" spans="1:1" x14ac:dyDescent="0.25">
      <c r="A6088" s="98" t="s">
        <v>5927</v>
      </c>
    </row>
    <row r="6089" spans="1:1" x14ac:dyDescent="0.25">
      <c r="A6089" s="96" t="s">
        <v>5928</v>
      </c>
    </row>
    <row r="6090" spans="1:1" x14ac:dyDescent="0.25">
      <c r="A6090" s="98" t="s">
        <v>5929</v>
      </c>
    </row>
    <row r="6091" spans="1:1" x14ac:dyDescent="0.25">
      <c r="A6091" s="98" t="s">
        <v>5930</v>
      </c>
    </row>
    <row r="6092" spans="1:1" x14ac:dyDescent="0.25">
      <c r="A6092" s="96" t="s">
        <v>5931</v>
      </c>
    </row>
    <row r="6093" spans="1:1" x14ac:dyDescent="0.25">
      <c r="A6093" s="98" t="s">
        <v>5932</v>
      </c>
    </row>
    <row r="6094" spans="1:1" x14ac:dyDescent="0.25">
      <c r="A6094" s="98" t="s">
        <v>5933</v>
      </c>
    </row>
    <row r="6095" spans="1:1" x14ac:dyDescent="0.25">
      <c r="A6095" s="96" t="s">
        <v>5934</v>
      </c>
    </row>
    <row r="6096" spans="1:1" x14ac:dyDescent="0.25">
      <c r="A6096" s="98" t="s">
        <v>5935</v>
      </c>
    </row>
    <row r="6097" spans="1:1" x14ac:dyDescent="0.25">
      <c r="A6097" s="98" t="s">
        <v>5936</v>
      </c>
    </row>
    <row r="6098" spans="1:1" x14ac:dyDescent="0.25">
      <c r="A6098" s="96" t="s">
        <v>5937</v>
      </c>
    </row>
    <row r="6099" spans="1:1" x14ac:dyDescent="0.25">
      <c r="A6099" s="98" t="s">
        <v>5938</v>
      </c>
    </row>
    <row r="6100" spans="1:1" x14ac:dyDescent="0.25">
      <c r="A6100" s="98" t="s">
        <v>5939</v>
      </c>
    </row>
    <row r="6101" spans="1:1" x14ac:dyDescent="0.25">
      <c r="A6101" s="96" t="s">
        <v>5940</v>
      </c>
    </row>
    <row r="6102" spans="1:1" x14ac:dyDescent="0.25">
      <c r="A6102" s="98" t="s">
        <v>5941</v>
      </c>
    </row>
    <row r="6103" spans="1:1" x14ac:dyDescent="0.25">
      <c r="A6103" s="98" t="s">
        <v>5942</v>
      </c>
    </row>
    <row r="6104" spans="1:1" x14ac:dyDescent="0.25">
      <c r="A6104" s="96" t="s">
        <v>5943</v>
      </c>
    </row>
    <row r="6105" spans="1:1" x14ac:dyDescent="0.25">
      <c r="A6105" s="98" t="s">
        <v>5944</v>
      </c>
    </row>
    <row r="6106" spans="1:1" x14ac:dyDescent="0.25">
      <c r="A6106" s="98" t="s">
        <v>5945</v>
      </c>
    </row>
    <row r="6107" spans="1:1" x14ac:dyDescent="0.25">
      <c r="A6107" s="96" t="s">
        <v>5946</v>
      </c>
    </row>
    <row r="6108" spans="1:1" x14ac:dyDescent="0.25">
      <c r="A6108" s="98" t="s">
        <v>5947</v>
      </c>
    </row>
    <row r="6109" spans="1:1" x14ac:dyDescent="0.25">
      <c r="A6109" s="98" t="s">
        <v>5948</v>
      </c>
    </row>
    <row r="6110" spans="1:1" x14ac:dyDescent="0.25">
      <c r="A6110" s="96" t="s">
        <v>5949</v>
      </c>
    </row>
    <row r="6111" spans="1:1" x14ac:dyDescent="0.25">
      <c r="A6111" s="98" t="s">
        <v>5950</v>
      </c>
    </row>
    <row r="6112" spans="1:1" x14ac:dyDescent="0.25">
      <c r="A6112" s="98" t="s">
        <v>5951</v>
      </c>
    </row>
    <row r="6113" spans="1:1" x14ac:dyDescent="0.25">
      <c r="A6113" s="96" t="s">
        <v>5952</v>
      </c>
    </row>
    <row r="6114" spans="1:1" x14ac:dyDescent="0.25">
      <c r="A6114" s="98" t="s">
        <v>5953</v>
      </c>
    </row>
    <row r="6115" spans="1:1" x14ac:dyDescent="0.25">
      <c r="A6115" s="98" t="s">
        <v>5954</v>
      </c>
    </row>
    <row r="6116" spans="1:1" x14ac:dyDescent="0.25">
      <c r="A6116" s="96" t="s">
        <v>5955</v>
      </c>
    </row>
    <row r="6117" spans="1:1" x14ac:dyDescent="0.25">
      <c r="A6117" s="96" t="s">
        <v>5956</v>
      </c>
    </row>
    <row r="6118" spans="1:1" x14ac:dyDescent="0.25">
      <c r="A6118" s="96" t="s">
        <v>5957</v>
      </c>
    </row>
    <row r="6119" spans="1:1" x14ac:dyDescent="0.25">
      <c r="A6119" s="98" t="s">
        <v>5958</v>
      </c>
    </row>
    <row r="6120" spans="1:1" x14ac:dyDescent="0.25">
      <c r="A6120" s="98" t="s">
        <v>5959</v>
      </c>
    </row>
    <row r="6121" spans="1:1" x14ac:dyDescent="0.25">
      <c r="A6121" s="98" t="s">
        <v>5960</v>
      </c>
    </row>
    <row r="6122" spans="1:1" x14ac:dyDescent="0.25">
      <c r="A6122" s="26" t="s">
        <v>5961</v>
      </c>
    </row>
    <row r="6123" spans="1:1" x14ac:dyDescent="0.25">
      <c r="A6123" s="98" t="s">
        <v>5962</v>
      </c>
    </row>
    <row r="6124" spans="1:1" x14ac:dyDescent="0.25">
      <c r="A6124" s="98" t="s">
        <v>5963</v>
      </c>
    </row>
    <row r="6125" spans="1:1" x14ac:dyDescent="0.25">
      <c r="A6125" s="96" t="s">
        <v>5964</v>
      </c>
    </row>
    <row r="6126" spans="1:1" x14ac:dyDescent="0.25">
      <c r="A6126" s="98" t="s">
        <v>5965</v>
      </c>
    </row>
    <row r="6127" spans="1:1" x14ac:dyDescent="0.25">
      <c r="A6127" s="96" t="s">
        <v>5966</v>
      </c>
    </row>
    <row r="6128" spans="1:1" x14ac:dyDescent="0.25">
      <c r="A6128" s="98" t="s">
        <v>5967</v>
      </c>
    </row>
    <row r="6129" spans="1:1" x14ac:dyDescent="0.25">
      <c r="A6129" s="98" t="s">
        <v>5968</v>
      </c>
    </row>
    <row r="6130" spans="1:1" x14ac:dyDescent="0.25">
      <c r="A6130" s="96" t="s">
        <v>5969</v>
      </c>
    </row>
    <row r="6131" spans="1:1" x14ac:dyDescent="0.25">
      <c r="A6131" s="98" t="s">
        <v>5970</v>
      </c>
    </row>
    <row r="6132" spans="1:1" x14ac:dyDescent="0.25">
      <c r="A6132" s="98" t="s">
        <v>5971</v>
      </c>
    </row>
    <row r="6133" spans="1:1" x14ac:dyDescent="0.25">
      <c r="A6133" s="98" t="s">
        <v>5972</v>
      </c>
    </row>
    <row r="6134" spans="1:1" x14ac:dyDescent="0.25">
      <c r="A6134" s="96" t="s">
        <v>5973</v>
      </c>
    </row>
    <row r="6135" spans="1:1" x14ac:dyDescent="0.25">
      <c r="A6135" s="96" t="s">
        <v>5974</v>
      </c>
    </row>
    <row r="6136" spans="1:1" x14ac:dyDescent="0.25">
      <c r="A6136" s="96" t="s">
        <v>5975</v>
      </c>
    </row>
    <row r="6137" spans="1:1" x14ac:dyDescent="0.25">
      <c r="A6137" t="s">
        <v>5978</v>
      </c>
    </row>
    <row r="6138" spans="1:1" x14ac:dyDescent="0.25">
      <c r="A6138" t="s">
        <v>5979</v>
      </c>
    </row>
    <row r="6139" spans="1:1" x14ac:dyDescent="0.25">
      <c r="A6139" s="96" t="s">
        <v>5980</v>
      </c>
    </row>
    <row r="6140" spans="1:1" x14ac:dyDescent="0.25">
      <c r="A6140" s="96" t="s">
        <v>5981</v>
      </c>
    </row>
    <row r="6141" spans="1:1" x14ac:dyDescent="0.25">
      <c r="A6141" s="96" t="s">
        <v>5982</v>
      </c>
    </row>
    <row r="6142" spans="1:1" x14ac:dyDescent="0.25">
      <c r="A6142" s="98" t="s">
        <v>5983</v>
      </c>
    </row>
    <row r="6143" spans="1:1" x14ac:dyDescent="0.25">
      <c r="A6143" s="96" t="s">
        <v>5984</v>
      </c>
    </row>
    <row r="6144" spans="1:1" x14ac:dyDescent="0.25">
      <c r="A6144" s="98" t="s">
        <v>5985</v>
      </c>
    </row>
    <row r="6145" spans="1:1" x14ac:dyDescent="0.25">
      <c r="A6145" s="98" t="s">
        <v>5986</v>
      </c>
    </row>
    <row r="6146" spans="1:1" x14ac:dyDescent="0.25">
      <c r="A6146" s="98" t="s">
        <v>5987</v>
      </c>
    </row>
    <row r="6147" spans="1:1" x14ac:dyDescent="0.25">
      <c r="A6147" s="98" t="s">
        <v>5988</v>
      </c>
    </row>
    <row r="6148" spans="1:1" x14ac:dyDescent="0.25">
      <c r="A6148" s="96" t="s">
        <v>5989</v>
      </c>
    </row>
    <row r="6149" spans="1:1" x14ac:dyDescent="0.25">
      <c r="A6149" s="96" t="s">
        <v>5990</v>
      </c>
    </row>
    <row r="6150" spans="1:1" x14ac:dyDescent="0.25">
      <c r="A6150" s="96" t="s">
        <v>5991</v>
      </c>
    </row>
    <row r="6151" spans="1:1" x14ac:dyDescent="0.25">
      <c r="A6151" s="96" t="s">
        <v>5992</v>
      </c>
    </row>
    <row r="6152" spans="1:1" x14ac:dyDescent="0.25">
      <c r="A6152" s="98" t="s">
        <v>5993</v>
      </c>
    </row>
    <row r="6153" spans="1:1" x14ac:dyDescent="0.25">
      <c r="A6153" s="96" t="s">
        <v>5994</v>
      </c>
    </row>
    <row r="6154" spans="1:1" x14ac:dyDescent="0.25">
      <c r="A6154" s="98" t="s">
        <v>5995</v>
      </c>
    </row>
    <row r="6155" spans="1:1" x14ac:dyDescent="0.25">
      <c r="A6155" s="98" t="s">
        <v>5996</v>
      </c>
    </row>
    <row r="6156" spans="1:1" x14ac:dyDescent="0.25">
      <c r="A6156" s="96" t="s">
        <v>5997</v>
      </c>
    </row>
    <row r="6157" spans="1:1" x14ac:dyDescent="0.25">
      <c r="A6157" s="98" t="s">
        <v>5998</v>
      </c>
    </row>
    <row r="6158" spans="1:1" x14ac:dyDescent="0.25">
      <c r="A6158" s="98" t="s">
        <v>5999</v>
      </c>
    </row>
    <row r="6159" spans="1:1" x14ac:dyDescent="0.25">
      <c r="A6159" s="98" t="s">
        <v>6000</v>
      </c>
    </row>
    <row r="6160" spans="1:1" x14ac:dyDescent="0.25">
      <c r="A6160" s="96" t="s">
        <v>6001</v>
      </c>
    </row>
    <row r="6161" spans="1:1" x14ac:dyDescent="0.25">
      <c r="A6161" s="96" t="s">
        <v>6002</v>
      </c>
    </row>
    <row r="6162" spans="1:1" x14ac:dyDescent="0.25">
      <c r="A6162" s="96" t="s">
        <v>6003</v>
      </c>
    </row>
    <row r="6163" spans="1:1" x14ac:dyDescent="0.25">
      <c r="A6163" t="s">
        <v>6005</v>
      </c>
    </row>
    <row r="6164" spans="1:1" x14ac:dyDescent="0.25">
      <c r="A6164" t="s">
        <v>6006</v>
      </c>
    </row>
    <row r="6165" spans="1:1" x14ac:dyDescent="0.25">
      <c r="A6165" s="96" t="s">
        <v>6007</v>
      </c>
    </row>
    <row r="6166" spans="1:1" x14ac:dyDescent="0.25">
      <c r="A6166" s="96" t="s">
        <v>6008</v>
      </c>
    </row>
    <row r="6167" spans="1:1" x14ac:dyDescent="0.25">
      <c r="A6167" s="96" t="s">
        <v>6009</v>
      </c>
    </row>
    <row r="6168" spans="1:1" x14ac:dyDescent="0.25">
      <c r="A6168" s="98" t="s">
        <v>6010</v>
      </c>
    </row>
    <row r="6169" spans="1:1" x14ac:dyDescent="0.25">
      <c r="A6169" s="96" t="s">
        <v>6011</v>
      </c>
    </row>
    <row r="6170" spans="1:1" x14ac:dyDescent="0.25">
      <c r="A6170" s="98" t="s">
        <v>6012</v>
      </c>
    </row>
    <row r="6171" spans="1:1" x14ac:dyDescent="0.25">
      <c r="A6171" s="98" t="s">
        <v>6013</v>
      </c>
    </row>
    <row r="6172" spans="1:1" x14ac:dyDescent="0.25">
      <c r="A6172" s="96" t="s">
        <v>6014</v>
      </c>
    </row>
    <row r="6173" spans="1:1" x14ac:dyDescent="0.25">
      <c r="A6173" s="98" t="s">
        <v>6015</v>
      </c>
    </row>
    <row r="6174" spans="1:1" x14ac:dyDescent="0.25">
      <c r="A6174" s="96" t="s">
        <v>6016</v>
      </c>
    </row>
    <row r="6175" spans="1:1" x14ac:dyDescent="0.25">
      <c r="A6175" s="98" t="s">
        <v>6017</v>
      </c>
    </row>
    <row r="6176" spans="1:1" x14ac:dyDescent="0.25">
      <c r="A6176" s="98" t="s">
        <v>6018</v>
      </c>
    </row>
    <row r="6177" spans="1:1" x14ac:dyDescent="0.25">
      <c r="A6177" s="98" t="s">
        <v>6019</v>
      </c>
    </row>
    <row r="6178" spans="1:1" x14ac:dyDescent="0.25">
      <c r="A6178" s="98" t="s">
        <v>6020</v>
      </c>
    </row>
    <row r="6179" spans="1:1" x14ac:dyDescent="0.25">
      <c r="A6179" s="26" t="s">
        <v>6021</v>
      </c>
    </row>
    <row r="6180" spans="1:1" x14ac:dyDescent="0.25">
      <c r="A6180" s="98" t="s">
        <v>6022</v>
      </c>
    </row>
    <row r="6181" spans="1:1" x14ac:dyDescent="0.25">
      <c r="A6181" s="96" t="s">
        <v>6023</v>
      </c>
    </row>
    <row r="6182" spans="1:1" x14ac:dyDescent="0.25">
      <c r="A6182" s="98" t="s">
        <v>6024</v>
      </c>
    </row>
    <row r="6183" spans="1:1" x14ac:dyDescent="0.25">
      <c r="A6183" s="98" t="s">
        <v>6025</v>
      </c>
    </row>
    <row r="6184" spans="1:1" x14ac:dyDescent="0.25">
      <c r="A6184" s="26" t="s">
        <v>6026</v>
      </c>
    </row>
    <row r="6185" spans="1:1" x14ac:dyDescent="0.25">
      <c r="A6185" s="26" t="s">
        <v>6027</v>
      </c>
    </row>
    <row r="6186" spans="1:1" x14ac:dyDescent="0.25">
      <c r="A6186" s="26" t="s">
        <v>6028</v>
      </c>
    </row>
    <row r="6187" spans="1:1" x14ac:dyDescent="0.25">
      <c r="A6187" s="96" t="s">
        <v>6029</v>
      </c>
    </row>
    <row r="6188" spans="1:1" x14ac:dyDescent="0.25">
      <c r="A6188" s="98" t="s">
        <v>6030</v>
      </c>
    </row>
    <row r="6189" spans="1:1" x14ac:dyDescent="0.25">
      <c r="A6189" s="96" t="s">
        <v>6031</v>
      </c>
    </row>
    <row r="6190" spans="1:1" x14ac:dyDescent="0.25">
      <c r="A6190" s="98" t="s">
        <v>6032</v>
      </c>
    </row>
    <row r="6191" spans="1:1" x14ac:dyDescent="0.25">
      <c r="A6191" s="98" t="s">
        <v>6033</v>
      </c>
    </row>
    <row r="6192" spans="1:1" x14ac:dyDescent="0.25">
      <c r="A6192" s="98" t="s">
        <v>6034</v>
      </c>
    </row>
    <row r="6193" spans="1:1" x14ac:dyDescent="0.25">
      <c r="A6193" s="98" t="s">
        <v>6035</v>
      </c>
    </row>
    <row r="6194" spans="1:1" x14ac:dyDescent="0.25">
      <c r="A6194" s="98" t="s">
        <v>6036</v>
      </c>
    </row>
    <row r="6195" spans="1:1" x14ac:dyDescent="0.25">
      <c r="A6195" s="96" t="s">
        <v>6037</v>
      </c>
    </row>
    <row r="6196" spans="1:1" x14ac:dyDescent="0.25">
      <c r="A6196" s="96" t="s">
        <v>6038</v>
      </c>
    </row>
    <row r="6197" spans="1:1" x14ac:dyDescent="0.25">
      <c r="A6197" s="98" t="s">
        <v>6039</v>
      </c>
    </row>
    <row r="6198" spans="1:1" x14ac:dyDescent="0.25">
      <c r="A6198" s="98" t="s">
        <v>6040</v>
      </c>
    </row>
    <row r="6199" spans="1:1" x14ac:dyDescent="0.25">
      <c r="A6199" s="98" t="s">
        <v>6041</v>
      </c>
    </row>
    <row r="6200" spans="1:1" x14ac:dyDescent="0.25">
      <c r="A6200" s="98" t="s">
        <v>6042</v>
      </c>
    </row>
    <row r="6201" spans="1:1" x14ac:dyDescent="0.25">
      <c r="A6201" s="98" t="s">
        <v>6043</v>
      </c>
    </row>
    <row r="6202" spans="1:1" x14ac:dyDescent="0.25">
      <c r="A6202" s="98" t="s">
        <v>6044</v>
      </c>
    </row>
    <row r="6203" spans="1:1" x14ac:dyDescent="0.25">
      <c r="A6203" s="96" t="s">
        <v>6045</v>
      </c>
    </row>
    <row r="6204" spans="1:1" x14ac:dyDescent="0.25">
      <c r="A6204" s="96" t="s">
        <v>6046</v>
      </c>
    </row>
    <row r="6205" spans="1:1" x14ac:dyDescent="0.25">
      <c r="A6205" s="98" t="s">
        <v>6047</v>
      </c>
    </row>
    <row r="6206" spans="1:1" x14ac:dyDescent="0.25">
      <c r="A6206" s="98" t="s">
        <v>6048</v>
      </c>
    </row>
    <row r="6207" spans="1:1" x14ac:dyDescent="0.25">
      <c r="A6207" s="98" t="s">
        <v>6049</v>
      </c>
    </row>
    <row r="6208" spans="1:1" x14ac:dyDescent="0.25">
      <c r="A6208" s="98" t="s">
        <v>6050</v>
      </c>
    </row>
    <row r="6209" spans="1:1" x14ac:dyDescent="0.25">
      <c r="A6209" s="98" t="s">
        <v>6051</v>
      </c>
    </row>
    <row r="6210" spans="1:1" x14ac:dyDescent="0.25">
      <c r="A6210" s="98" t="s">
        <v>6052</v>
      </c>
    </row>
    <row r="6211" spans="1:1" x14ac:dyDescent="0.25">
      <c r="A6211" s="96" t="s">
        <v>6053</v>
      </c>
    </row>
    <row r="6212" spans="1:1" x14ac:dyDescent="0.25">
      <c r="A6212" s="96" t="s">
        <v>6054</v>
      </c>
    </row>
    <row r="6213" spans="1:1" x14ac:dyDescent="0.25">
      <c r="A6213" s="98" t="s">
        <v>6055</v>
      </c>
    </row>
    <row r="6214" spans="1:1" x14ac:dyDescent="0.25">
      <c r="A6214" s="98" t="s">
        <v>6056</v>
      </c>
    </row>
    <row r="6215" spans="1:1" x14ac:dyDescent="0.25">
      <c r="A6215" s="98" t="s">
        <v>6057</v>
      </c>
    </row>
    <row r="6216" spans="1:1" x14ac:dyDescent="0.25">
      <c r="A6216" s="98" t="s">
        <v>6058</v>
      </c>
    </row>
    <row r="6217" spans="1:1" x14ac:dyDescent="0.25">
      <c r="A6217" s="98" t="s">
        <v>6059</v>
      </c>
    </row>
    <row r="6218" spans="1:1" x14ac:dyDescent="0.25">
      <c r="A6218" s="98" t="s">
        <v>6060</v>
      </c>
    </row>
    <row r="6219" spans="1:1" x14ac:dyDescent="0.25">
      <c r="A6219" s="96" t="s">
        <v>6061</v>
      </c>
    </row>
    <row r="6220" spans="1:1" x14ac:dyDescent="0.25">
      <c r="A6220" s="96" t="s">
        <v>6062</v>
      </c>
    </row>
    <row r="6221" spans="1:1" x14ac:dyDescent="0.25">
      <c r="A6221" s="98" t="s">
        <v>6063</v>
      </c>
    </row>
    <row r="6222" spans="1:1" x14ac:dyDescent="0.25">
      <c r="A6222" s="98" t="s">
        <v>6064</v>
      </c>
    </row>
    <row r="6223" spans="1:1" x14ac:dyDescent="0.25">
      <c r="A6223" s="98" t="s">
        <v>6065</v>
      </c>
    </row>
    <row r="6224" spans="1:1" x14ac:dyDescent="0.25">
      <c r="A6224" s="98" t="s">
        <v>6066</v>
      </c>
    </row>
    <row r="6225" spans="1:1" x14ac:dyDescent="0.25">
      <c r="A6225" s="98" t="s">
        <v>6067</v>
      </c>
    </row>
    <row r="6226" spans="1:1" x14ac:dyDescent="0.25">
      <c r="A6226" s="98" t="s">
        <v>6068</v>
      </c>
    </row>
    <row r="6227" spans="1:1" x14ac:dyDescent="0.25">
      <c r="A6227" s="96" t="s">
        <v>6069</v>
      </c>
    </row>
    <row r="6228" spans="1:1" x14ac:dyDescent="0.25">
      <c r="A6228" s="96" t="s">
        <v>6070</v>
      </c>
    </row>
    <row r="6229" spans="1:1" x14ac:dyDescent="0.25">
      <c r="A6229" s="98" t="s">
        <v>6071</v>
      </c>
    </row>
    <row r="6230" spans="1:1" x14ac:dyDescent="0.25">
      <c r="A6230" s="98" t="s">
        <v>6072</v>
      </c>
    </row>
    <row r="6231" spans="1:1" x14ac:dyDescent="0.25">
      <c r="A6231" s="98" t="s">
        <v>6073</v>
      </c>
    </row>
    <row r="6232" spans="1:1" x14ac:dyDescent="0.25">
      <c r="A6232" s="98" t="s">
        <v>6074</v>
      </c>
    </row>
    <row r="6233" spans="1:1" x14ac:dyDescent="0.25">
      <c r="A6233" s="98" t="s">
        <v>6075</v>
      </c>
    </row>
    <row r="6234" spans="1:1" x14ac:dyDescent="0.25">
      <c r="A6234" s="98" t="s">
        <v>6076</v>
      </c>
    </row>
    <row r="6235" spans="1:1" x14ac:dyDescent="0.25">
      <c r="A6235" s="96" t="s">
        <v>6077</v>
      </c>
    </row>
    <row r="6236" spans="1:1" x14ac:dyDescent="0.25">
      <c r="A6236" s="96" t="s">
        <v>6078</v>
      </c>
    </row>
    <row r="6237" spans="1:1" x14ac:dyDescent="0.25">
      <c r="A6237" s="98" t="s">
        <v>6079</v>
      </c>
    </row>
    <row r="6238" spans="1:1" x14ac:dyDescent="0.25">
      <c r="A6238" s="98" t="s">
        <v>6080</v>
      </c>
    </row>
    <row r="6239" spans="1:1" x14ac:dyDescent="0.25">
      <c r="A6239" s="98" t="s">
        <v>6081</v>
      </c>
    </row>
    <row r="6240" spans="1:1" x14ac:dyDescent="0.25">
      <c r="A6240" s="98" t="s">
        <v>6082</v>
      </c>
    </row>
    <row r="6241" spans="1:1" x14ac:dyDescent="0.25">
      <c r="A6241" s="98" t="s">
        <v>6083</v>
      </c>
    </row>
    <row r="6242" spans="1:1" x14ac:dyDescent="0.25">
      <c r="A6242" s="98" t="s">
        <v>6084</v>
      </c>
    </row>
    <row r="6243" spans="1:1" x14ac:dyDescent="0.25">
      <c r="A6243" s="96" t="s">
        <v>6085</v>
      </c>
    </row>
    <row r="6244" spans="1:1" x14ac:dyDescent="0.25">
      <c r="A6244" s="96" t="s">
        <v>6086</v>
      </c>
    </row>
    <row r="6245" spans="1:1" x14ac:dyDescent="0.25">
      <c r="A6245" s="98" t="s">
        <v>6087</v>
      </c>
    </row>
    <row r="6246" spans="1:1" x14ac:dyDescent="0.25">
      <c r="A6246" s="98" t="s">
        <v>6088</v>
      </c>
    </row>
    <row r="6247" spans="1:1" x14ac:dyDescent="0.25">
      <c r="A6247" s="98" t="s">
        <v>6089</v>
      </c>
    </row>
    <row r="6248" spans="1:1" x14ac:dyDescent="0.25">
      <c r="A6248" s="98" t="s">
        <v>6090</v>
      </c>
    </row>
    <row r="6249" spans="1:1" x14ac:dyDescent="0.25">
      <c r="A6249" s="98" t="s">
        <v>6091</v>
      </c>
    </row>
    <row r="6250" spans="1:1" x14ac:dyDescent="0.25">
      <c r="A6250" s="98" t="s">
        <v>6092</v>
      </c>
    </row>
    <row r="6251" spans="1:1" x14ac:dyDescent="0.25">
      <c r="A6251" s="96" t="s">
        <v>6093</v>
      </c>
    </row>
    <row r="6252" spans="1:1" x14ac:dyDescent="0.25">
      <c r="A6252" s="96" t="s">
        <v>6094</v>
      </c>
    </row>
    <row r="6253" spans="1:1" x14ac:dyDescent="0.25">
      <c r="A6253" s="98" t="s">
        <v>6095</v>
      </c>
    </row>
    <row r="6254" spans="1:1" x14ac:dyDescent="0.25">
      <c r="A6254" s="98" t="s">
        <v>6096</v>
      </c>
    </row>
    <row r="6255" spans="1:1" x14ac:dyDescent="0.25">
      <c r="A6255" s="98" t="s">
        <v>6097</v>
      </c>
    </row>
    <row r="6256" spans="1:1" x14ac:dyDescent="0.25">
      <c r="A6256" s="98" t="s">
        <v>6098</v>
      </c>
    </row>
    <row r="6257" spans="1:1" x14ac:dyDescent="0.25">
      <c r="A6257" s="98" t="s">
        <v>6099</v>
      </c>
    </row>
    <row r="6258" spans="1:1" x14ac:dyDescent="0.25">
      <c r="A6258" s="98" t="s">
        <v>6100</v>
      </c>
    </row>
    <row r="6259" spans="1:1" x14ac:dyDescent="0.25">
      <c r="A6259" s="96" t="s">
        <v>6101</v>
      </c>
    </row>
    <row r="6260" spans="1:1" x14ac:dyDescent="0.25">
      <c r="A6260" s="96" t="s">
        <v>6102</v>
      </c>
    </row>
    <row r="6261" spans="1:1" x14ac:dyDescent="0.25">
      <c r="A6261" s="98" t="s">
        <v>6103</v>
      </c>
    </row>
    <row r="6262" spans="1:1" x14ac:dyDescent="0.25">
      <c r="A6262" s="98" t="s">
        <v>6104</v>
      </c>
    </row>
    <row r="6263" spans="1:1" x14ac:dyDescent="0.25">
      <c r="A6263" s="98" t="s">
        <v>6105</v>
      </c>
    </row>
    <row r="6264" spans="1:1" x14ac:dyDescent="0.25">
      <c r="A6264" s="98" t="s">
        <v>6106</v>
      </c>
    </row>
    <row r="6265" spans="1:1" x14ac:dyDescent="0.25">
      <c r="A6265" s="98" t="s">
        <v>6107</v>
      </c>
    </row>
    <row r="6266" spans="1:1" x14ac:dyDescent="0.25">
      <c r="A6266" s="98" t="s">
        <v>6108</v>
      </c>
    </row>
    <row r="6267" spans="1:1" x14ac:dyDescent="0.25">
      <c r="A6267" s="96" t="s">
        <v>6109</v>
      </c>
    </row>
    <row r="6268" spans="1:1" x14ac:dyDescent="0.25">
      <c r="A6268" s="96" t="s">
        <v>6110</v>
      </c>
    </row>
    <row r="6269" spans="1:1" x14ac:dyDescent="0.25">
      <c r="A6269" s="98" t="s">
        <v>6111</v>
      </c>
    </row>
    <row r="6270" spans="1:1" x14ac:dyDescent="0.25">
      <c r="A6270" s="98" t="s">
        <v>6112</v>
      </c>
    </row>
    <row r="6271" spans="1:1" x14ac:dyDescent="0.25">
      <c r="A6271" s="98" t="s">
        <v>6113</v>
      </c>
    </row>
    <row r="6272" spans="1:1" x14ac:dyDescent="0.25">
      <c r="A6272" s="96" t="s">
        <v>6114</v>
      </c>
    </row>
    <row r="6273" spans="1:1" x14ac:dyDescent="0.25">
      <c r="A6273" s="98" t="s">
        <v>6115</v>
      </c>
    </row>
    <row r="6274" spans="1:1" x14ac:dyDescent="0.25">
      <c r="A6274" s="98" t="s">
        <v>6116</v>
      </c>
    </row>
    <row r="6275" spans="1:1" x14ac:dyDescent="0.25">
      <c r="A6275" s="98" t="s">
        <v>6117</v>
      </c>
    </row>
    <row r="6276" spans="1:1" x14ac:dyDescent="0.25">
      <c r="A6276" s="96" t="s">
        <v>6118</v>
      </c>
    </row>
    <row r="6277" spans="1:1" x14ac:dyDescent="0.25">
      <c r="A6277" s="96" t="s">
        <v>6119</v>
      </c>
    </row>
    <row r="6278" spans="1:1" x14ac:dyDescent="0.25">
      <c r="A6278" s="96" t="s">
        <v>6120</v>
      </c>
    </row>
    <row r="6279" spans="1:1" x14ac:dyDescent="0.25">
      <c r="A6279" t="s">
        <v>6123</v>
      </c>
    </row>
    <row r="6280" spans="1:1" x14ac:dyDescent="0.25">
      <c r="A6280" t="s">
        <v>6124</v>
      </c>
    </row>
    <row r="6281" spans="1:1" x14ac:dyDescent="0.25">
      <c r="A6281" s="96" t="s">
        <v>6125</v>
      </c>
    </row>
    <row r="6282" spans="1:1" x14ac:dyDescent="0.25">
      <c r="A6282" s="96" t="s">
        <v>6126</v>
      </c>
    </row>
    <row r="6283" spans="1:1" x14ac:dyDescent="0.25">
      <c r="A6283" s="96" t="s">
        <v>6127</v>
      </c>
    </row>
    <row r="6284" spans="1:1" x14ac:dyDescent="0.25">
      <c r="A6284" s="98" t="s">
        <v>6128</v>
      </c>
    </row>
    <row r="6285" spans="1:1" x14ac:dyDescent="0.25">
      <c r="A6285" s="96" t="s">
        <v>6129</v>
      </c>
    </row>
    <row r="6286" spans="1:1" x14ac:dyDescent="0.25">
      <c r="A6286" s="98" t="s">
        <v>6130</v>
      </c>
    </row>
    <row r="6287" spans="1:1" x14ac:dyDescent="0.25">
      <c r="A6287" s="98" t="s">
        <v>6131</v>
      </c>
    </row>
    <row r="6288" spans="1:1" x14ac:dyDescent="0.25">
      <c r="A6288" s="96" t="s">
        <v>6132</v>
      </c>
    </row>
    <row r="6289" spans="1:1" x14ac:dyDescent="0.25">
      <c r="A6289" s="98" t="s">
        <v>6133</v>
      </c>
    </row>
    <row r="6290" spans="1:1" x14ac:dyDescent="0.25">
      <c r="A6290" s="98" t="s">
        <v>6134</v>
      </c>
    </row>
    <row r="6291" spans="1:1" x14ac:dyDescent="0.25">
      <c r="A6291" s="98" t="s">
        <v>6135</v>
      </c>
    </row>
    <row r="6292" spans="1:1" x14ac:dyDescent="0.25">
      <c r="A6292" s="96" t="s">
        <v>6136</v>
      </c>
    </row>
    <row r="6293" spans="1:1" x14ac:dyDescent="0.25">
      <c r="A6293" s="96" t="s">
        <v>6137</v>
      </c>
    </row>
    <row r="6294" spans="1:1" x14ac:dyDescent="0.25">
      <c r="A6294" s="96" t="s">
        <v>6138</v>
      </c>
    </row>
    <row r="6295" spans="1:1" x14ac:dyDescent="0.25">
      <c r="A6295" t="s">
        <v>6140</v>
      </c>
    </row>
    <row r="6296" spans="1:1" x14ac:dyDescent="0.25">
      <c r="A6296" t="s">
        <v>6141</v>
      </c>
    </row>
    <row r="6297" spans="1:1" x14ac:dyDescent="0.25">
      <c r="A6297" s="96" t="s">
        <v>6142</v>
      </c>
    </row>
    <row r="6298" spans="1:1" x14ac:dyDescent="0.25">
      <c r="A6298" s="96" t="s">
        <v>6143</v>
      </c>
    </row>
    <row r="6299" spans="1:1" x14ac:dyDescent="0.25">
      <c r="A6299" s="96" t="s">
        <v>6144</v>
      </c>
    </row>
    <row r="6300" spans="1:1" x14ac:dyDescent="0.25">
      <c r="A6300" s="98" t="s">
        <v>6145</v>
      </c>
    </row>
    <row r="6301" spans="1:1" x14ac:dyDescent="0.25">
      <c r="A6301" s="96" t="s">
        <v>6146</v>
      </c>
    </row>
    <row r="6302" spans="1:1" x14ac:dyDescent="0.25">
      <c r="A6302" s="98" t="s">
        <v>6147</v>
      </c>
    </row>
    <row r="6303" spans="1:1" x14ac:dyDescent="0.25">
      <c r="A6303" s="98" t="s">
        <v>6148</v>
      </c>
    </row>
    <row r="6304" spans="1:1" x14ac:dyDescent="0.25">
      <c r="A6304" s="96" t="s">
        <v>6149</v>
      </c>
    </row>
    <row r="6305" spans="1:1" x14ac:dyDescent="0.25">
      <c r="A6305" s="98" t="s">
        <v>6150</v>
      </c>
    </row>
    <row r="6306" spans="1:1" x14ac:dyDescent="0.25">
      <c r="A6306" s="96" t="s">
        <v>6151</v>
      </c>
    </row>
    <row r="6307" spans="1:1" x14ac:dyDescent="0.25">
      <c r="A6307" s="98" t="s">
        <v>6152</v>
      </c>
    </row>
    <row r="6308" spans="1:1" x14ac:dyDescent="0.25">
      <c r="A6308" s="98" t="s">
        <v>6153</v>
      </c>
    </row>
    <row r="6309" spans="1:1" x14ac:dyDescent="0.25">
      <c r="A6309" s="96" t="s">
        <v>6154</v>
      </c>
    </row>
    <row r="6310" spans="1:1" x14ac:dyDescent="0.25">
      <c r="A6310" s="98" t="s">
        <v>6155</v>
      </c>
    </row>
    <row r="6311" spans="1:1" x14ac:dyDescent="0.25">
      <c r="A6311" s="96" t="s">
        <v>6156</v>
      </c>
    </row>
    <row r="6312" spans="1:1" x14ac:dyDescent="0.25">
      <c r="A6312" s="98" t="s">
        <v>6157</v>
      </c>
    </row>
    <row r="6313" spans="1:1" x14ac:dyDescent="0.25">
      <c r="A6313" s="98" t="s">
        <v>6158</v>
      </c>
    </row>
    <row r="6314" spans="1:1" x14ac:dyDescent="0.25">
      <c r="A6314" s="98" t="s">
        <v>6159</v>
      </c>
    </row>
    <row r="6315" spans="1:1" x14ac:dyDescent="0.25">
      <c r="A6315" s="98" t="s">
        <v>6160</v>
      </c>
    </row>
    <row r="6316" spans="1:1" x14ac:dyDescent="0.25">
      <c r="A6316" s="98" t="s">
        <v>6161</v>
      </c>
    </row>
    <row r="6317" spans="1:1" x14ac:dyDescent="0.25">
      <c r="A6317" s="96" t="s">
        <v>6162</v>
      </c>
    </row>
    <row r="6318" spans="1:1" x14ac:dyDescent="0.25">
      <c r="A6318" s="96" t="s">
        <v>6163</v>
      </c>
    </row>
    <row r="6319" spans="1:1" x14ac:dyDescent="0.25">
      <c r="A6319" s="98" t="s">
        <v>6164</v>
      </c>
    </row>
    <row r="6320" spans="1:1" x14ac:dyDescent="0.25">
      <c r="A6320" s="98" t="s">
        <v>6165</v>
      </c>
    </row>
    <row r="6321" spans="1:1" x14ac:dyDescent="0.25">
      <c r="A6321" s="98" t="s">
        <v>6166</v>
      </c>
    </row>
    <row r="6322" spans="1:1" x14ac:dyDescent="0.25">
      <c r="A6322" s="98" t="s">
        <v>6167</v>
      </c>
    </row>
    <row r="6323" spans="1:1" x14ac:dyDescent="0.25">
      <c r="A6323" s="98" t="s">
        <v>6168</v>
      </c>
    </row>
    <row r="6324" spans="1:1" x14ac:dyDescent="0.25">
      <c r="A6324" s="98" t="s">
        <v>6169</v>
      </c>
    </row>
    <row r="6325" spans="1:1" x14ac:dyDescent="0.25">
      <c r="A6325" s="96" t="s">
        <v>6170</v>
      </c>
    </row>
    <row r="6326" spans="1:1" x14ac:dyDescent="0.25">
      <c r="A6326" s="96" t="s">
        <v>6171</v>
      </c>
    </row>
    <row r="6327" spans="1:1" x14ac:dyDescent="0.25">
      <c r="A6327" s="98" t="s">
        <v>6172</v>
      </c>
    </row>
    <row r="6328" spans="1:1" x14ac:dyDescent="0.25">
      <c r="A6328" s="98" t="s">
        <v>6173</v>
      </c>
    </row>
    <row r="6329" spans="1:1" x14ac:dyDescent="0.25">
      <c r="A6329" s="98" t="s">
        <v>6174</v>
      </c>
    </row>
    <row r="6330" spans="1:1" x14ac:dyDescent="0.25">
      <c r="A6330" s="98" t="s">
        <v>6175</v>
      </c>
    </row>
    <row r="6331" spans="1:1" x14ac:dyDescent="0.25">
      <c r="A6331" s="98" t="s">
        <v>6176</v>
      </c>
    </row>
    <row r="6332" spans="1:1" x14ac:dyDescent="0.25">
      <c r="A6332" s="96" t="s">
        <v>6177</v>
      </c>
    </row>
    <row r="6333" spans="1:1" x14ac:dyDescent="0.25">
      <c r="A6333" s="96" t="s">
        <v>6178</v>
      </c>
    </row>
    <row r="6334" spans="1:1" x14ac:dyDescent="0.25">
      <c r="A6334" s="96" t="s">
        <v>6179</v>
      </c>
    </row>
    <row r="6335" spans="1:1" x14ac:dyDescent="0.25">
      <c r="A6335" s="96" t="s">
        <v>6180</v>
      </c>
    </row>
    <row r="6336" spans="1:1" x14ac:dyDescent="0.25">
      <c r="A6336" s="96" t="s">
        <v>6181</v>
      </c>
    </row>
    <row r="6337" spans="1:1" x14ac:dyDescent="0.25">
      <c r="A6337" s="96" t="s">
        <v>6182</v>
      </c>
    </row>
    <row r="6338" spans="1:1" x14ac:dyDescent="0.25">
      <c r="A6338" s="98" t="s">
        <v>6183</v>
      </c>
    </row>
    <row r="6339" spans="1:1" x14ac:dyDescent="0.25">
      <c r="A6339" s="98" t="s">
        <v>6184</v>
      </c>
    </row>
    <row r="6340" spans="1:1" x14ac:dyDescent="0.25">
      <c r="A6340" s="98" t="s">
        <v>6185</v>
      </c>
    </row>
    <row r="6341" spans="1:1" x14ac:dyDescent="0.25">
      <c r="A6341" s="96" t="s">
        <v>6186</v>
      </c>
    </row>
    <row r="6342" spans="1:1" x14ac:dyDescent="0.25">
      <c r="A6342" s="26" t="s">
        <v>6187</v>
      </c>
    </row>
    <row r="6343" spans="1:1" x14ac:dyDescent="0.25">
      <c r="A6343" s="98" t="s">
        <v>6188</v>
      </c>
    </row>
    <row r="6344" spans="1:1" x14ac:dyDescent="0.25">
      <c r="A6344" s="96" t="s">
        <v>6189</v>
      </c>
    </row>
    <row r="6345" spans="1:1" x14ac:dyDescent="0.25">
      <c r="A6345" s="98" t="s">
        <v>6190</v>
      </c>
    </row>
    <row r="6346" spans="1:1" x14ac:dyDescent="0.25">
      <c r="A6346" s="98" t="s">
        <v>6191</v>
      </c>
    </row>
    <row r="6347" spans="1:1" x14ac:dyDescent="0.25">
      <c r="A6347" s="26" t="s">
        <v>6192</v>
      </c>
    </row>
    <row r="6348" spans="1:1" x14ac:dyDescent="0.25">
      <c r="A6348" s="26" t="s">
        <v>6193</v>
      </c>
    </row>
    <row r="6349" spans="1:1" x14ac:dyDescent="0.25">
      <c r="A6349" s="26" t="s">
        <v>6194</v>
      </c>
    </row>
    <row r="6350" spans="1:1" x14ac:dyDescent="0.25">
      <c r="A6350" s="98" t="s">
        <v>6195</v>
      </c>
    </row>
    <row r="6351" spans="1:1" x14ac:dyDescent="0.25">
      <c r="A6351" s="96" t="s">
        <v>6196</v>
      </c>
    </row>
    <row r="6352" spans="1:1" x14ac:dyDescent="0.25">
      <c r="A6352" s="98" t="s">
        <v>6197</v>
      </c>
    </row>
    <row r="6353" spans="1:1" x14ac:dyDescent="0.25">
      <c r="A6353" s="98" t="s">
        <v>6198</v>
      </c>
    </row>
    <row r="6354" spans="1:1" x14ac:dyDescent="0.25">
      <c r="A6354" s="26" t="s">
        <v>6199</v>
      </c>
    </row>
    <row r="6355" spans="1:1" x14ac:dyDescent="0.25">
      <c r="A6355" s="26" t="s">
        <v>6200</v>
      </c>
    </row>
    <row r="6356" spans="1:1" x14ac:dyDescent="0.25">
      <c r="A6356" s="26" t="s">
        <v>6201</v>
      </c>
    </row>
    <row r="6357" spans="1:1" x14ac:dyDescent="0.25">
      <c r="A6357" s="96" t="s">
        <v>6202</v>
      </c>
    </row>
    <row r="6358" spans="1:1" x14ac:dyDescent="0.25">
      <c r="A6358" s="98" t="s">
        <v>6203</v>
      </c>
    </row>
    <row r="6359" spans="1:1" x14ac:dyDescent="0.25">
      <c r="A6359" s="96" t="s">
        <v>6204</v>
      </c>
    </row>
    <row r="6360" spans="1:1" x14ac:dyDescent="0.25">
      <c r="A6360" s="98" t="s">
        <v>6205</v>
      </c>
    </row>
    <row r="6361" spans="1:1" x14ac:dyDescent="0.25">
      <c r="A6361" s="98" t="s">
        <v>6206</v>
      </c>
    </row>
    <row r="6362" spans="1:1" x14ac:dyDescent="0.25">
      <c r="A6362" s="98" t="s">
        <v>6207</v>
      </c>
    </row>
    <row r="6363" spans="1:1" x14ac:dyDescent="0.25">
      <c r="A6363" s="96" t="s">
        <v>6208</v>
      </c>
    </row>
    <row r="6364" spans="1:1" x14ac:dyDescent="0.25">
      <c r="A6364" s="98" t="s">
        <v>6209</v>
      </c>
    </row>
    <row r="6365" spans="1:1" x14ac:dyDescent="0.25">
      <c r="A6365" s="98" t="s">
        <v>6210</v>
      </c>
    </row>
    <row r="6366" spans="1:1" x14ac:dyDescent="0.25">
      <c r="A6366" s="26" t="s">
        <v>6211</v>
      </c>
    </row>
    <row r="6367" spans="1:1" x14ac:dyDescent="0.25">
      <c r="A6367" s="26" t="s">
        <v>6212</v>
      </c>
    </row>
    <row r="6368" spans="1:1" x14ac:dyDescent="0.25">
      <c r="A6368" s="26" t="s">
        <v>6213</v>
      </c>
    </row>
    <row r="6369" spans="1:1" x14ac:dyDescent="0.25">
      <c r="A6369" s="98" t="s">
        <v>6214</v>
      </c>
    </row>
    <row r="6370" spans="1:1" x14ac:dyDescent="0.25">
      <c r="A6370" s="96" t="s">
        <v>6215</v>
      </c>
    </row>
    <row r="6371" spans="1:1" x14ac:dyDescent="0.25">
      <c r="A6371" s="96" t="s">
        <v>6216</v>
      </c>
    </row>
    <row r="6372" spans="1:1" x14ac:dyDescent="0.25">
      <c r="A6372" s="96" t="s">
        <v>6217</v>
      </c>
    </row>
    <row r="6373" spans="1:1" x14ac:dyDescent="0.25">
      <c r="A6373" s="98" t="s">
        <v>6218</v>
      </c>
    </row>
    <row r="6374" spans="1:1" x14ac:dyDescent="0.25">
      <c r="A6374" s="96" t="s">
        <v>6219</v>
      </c>
    </row>
    <row r="6375" spans="1:1" x14ac:dyDescent="0.25">
      <c r="A6375" s="98" t="s">
        <v>6220</v>
      </c>
    </row>
    <row r="6376" spans="1:1" x14ac:dyDescent="0.25">
      <c r="A6376" s="98" t="s">
        <v>6221</v>
      </c>
    </row>
    <row r="6377" spans="1:1" x14ac:dyDescent="0.25">
      <c r="A6377" s="96" t="s">
        <v>6222</v>
      </c>
    </row>
    <row r="6378" spans="1:1" x14ac:dyDescent="0.25">
      <c r="A6378" s="26" t="s">
        <v>6223</v>
      </c>
    </row>
    <row r="6379" spans="1:1" x14ac:dyDescent="0.25">
      <c r="A6379" s="96" t="s">
        <v>6224</v>
      </c>
    </row>
    <row r="6380" spans="1:1" x14ac:dyDescent="0.25">
      <c r="A6380" s="98" t="s">
        <v>6225</v>
      </c>
    </row>
    <row r="6381" spans="1:1" x14ac:dyDescent="0.25">
      <c r="A6381" s="98" t="s">
        <v>6226</v>
      </c>
    </row>
    <row r="6382" spans="1:1" x14ac:dyDescent="0.25">
      <c r="A6382" s="98" t="s">
        <v>6227</v>
      </c>
    </row>
    <row r="6383" spans="1:1" x14ac:dyDescent="0.25">
      <c r="A6383" s="96" t="s">
        <v>6228</v>
      </c>
    </row>
    <row r="6384" spans="1:1" x14ac:dyDescent="0.25">
      <c r="A6384" s="96" t="s">
        <v>6229</v>
      </c>
    </row>
    <row r="6385" spans="1:1" x14ac:dyDescent="0.25">
      <c r="A6385" s="96" t="s">
        <v>6230</v>
      </c>
    </row>
    <row r="6386" spans="1:1" x14ac:dyDescent="0.25">
      <c r="A6386" t="s">
        <v>6233</v>
      </c>
    </row>
    <row r="6387" spans="1:1" x14ac:dyDescent="0.25">
      <c r="A6387" t="s">
        <v>6234</v>
      </c>
    </row>
    <row r="6388" spans="1:1" x14ac:dyDescent="0.25">
      <c r="A6388" s="96" t="s">
        <v>6235</v>
      </c>
    </row>
    <row r="6389" spans="1:1" x14ac:dyDescent="0.25">
      <c r="A6389" s="96" t="s">
        <v>6236</v>
      </c>
    </row>
    <row r="6390" spans="1:1" x14ac:dyDescent="0.25">
      <c r="A6390" s="96" t="s">
        <v>6237</v>
      </c>
    </row>
    <row r="6391" spans="1:1" x14ac:dyDescent="0.25">
      <c r="A6391" s="98" t="s">
        <v>6238</v>
      </c>
    </row>
    <row r="6392" spans="1:1" x14ac:dyDescent="0.25">
      <c r="A6392" s="96" t="s">
        <v>6239</v>
      </c>
    </row>
    <row r="6393" spans="1:1" x14ac:dyDescent="0.25">
      <c r="A6393" s="26" t="s">
        <v>6240</v>
      </c>
    </row>
    <row r="6394" spans="1:1" x14ac:dyDescent="0.25">
      <c r="A6394" s="98" t="s">
        <v>6241</v>
      </c>
    </row>
    <row r="6395" spans="1:1" x14ac:dyDescent="0.25">
      <c r="A6395" s="98" t="s">
        <v>6242</v>
      </c>
    </row>
    <row r="6396" spans="1:1" x14ac:dyDescent="0.25">
      <c r="A6396" s="96" t="s">
        <v>6243</v>
      </c>
    </row>
    <row r="6397" spans="1:1" x14ac:dyDescent="0.25">
      <c r="A6397" s="98" t="s">
        <v>6244</v>
      </c>
    </row>
    <row r="6398" spans="1:1" x14ac:dyDescent="0.25">
      <c r="A6398" s="96" t="s">
        <v>6245</v>
      </c>
    </row>
    <row r="6399" spans="1:1" x14ac:dyDescent="0.25">
      <c r="A6399" s="26" t="s">
        <v>6246</v>
      </c>
    </row>
    <row r="6400" spans="1:1" x14ac:dyDescent="0.25">
      <c r="A6400" s="98" t="s">
        <v>6247</v>
      </c>
    </row>
    <row r="6401" spans="1:1" x14ac:dyDescent="0.25">
      <c r="A6401" s="98" t="s">
        <v>6248</v>
      </c>
    </row>
    <row r="6402" spans="1:1" x14ac:dyDescent="0.25">
      <c r="A6402" s="96" t="s">
        <v>6249</v>
      </c>
    </row>
    <row r="6403" spans="1:1" x14ac:dyDescent="0.25">
      <c r="A6403" s="98" t="s">
        <v>6250</v>
      </c>
    </row>
    <row r="6404" spans="1:1" x14ac:dyDescent="0.25">
      <c r="A6404" s="96" t="s">
        <v>6251</v>
      </c>
    </row>
    <row r="6405" spans="1:1" x14ac:dyDescent="0.25">
      <c r="A6405" s="26" t="s">
        <v>6252</v>
      </c>
    </row>
    <row r="6406" spans="1:1" x14ac:dyDescent="0.25">
      <c r="A6406" s="98" t="s">
        <v>6253</v>
      </c>
    </row>
    <row r="6407" spans="1:1" x14ac:dyDescent="0.25">
      <c r="A6407" s="98" t="s">
        <v>6254</v>
      </c>
    </row>
    <row r="6408" spans="1:1" x14ac:dyDescent="0.25">
      <c r="A6408" s="98" t="s">
        <v>6255</v>
      </c>
    </row>
    <row r="6409" spans="1:1" x14ac:dyDescent="0.25">
      <c r="A6409" s="96" t="s">
        <v>6256</v>
      </c>
    </row>
    <row r="6410" spans="1:1" x14ac:dyDescent="0.25">
      <c r="A6410" s="96" t="s">
        <v>6257</v>
      </c>
    </row>
    <row r="6411" spans="1:1" x14ac:dyDescent="0.25">
      <c r="A6411" s="26" t="s">
        <v>6258</v>
      </c>
    </row>
    <row r="6412" spans="1:1" x14ac:dyDescent="0.25">
      <c r="A6412" s="96" t="s">
        <v>6259</v>
      </c>
    </row>
    <row r="6413" spans="1:1" x14ac:dyDescent="0.25">
      <c r="A6413" s="98" t="s">
        <v>6260</v>
      </c>
    </row>
    <row r="6414" spans="1:1" x14ac:dyDescent="0.25">
      <c r="A6414" s="96" t="s">
        <v>6261</v>
      </c>
    </row>
    <row r="6415" spans="1:1" x14ac:dyDescent="0.25">
      <c r="A6415" s="98" t="s">
        <v>6262</v>
      </c>
    </row>
    <row r="6416" spans="1:1" x14ac:dyDescent="0.25">
      <c r="A6416" s="98" t="s">
        <v>6263</v>
      </c>
    </row>
    <row r="6417" spans="1:1" x14ac:dyDescent="0.25">
      <c r="A6417" s="96" t="s">
        <v>6264</v>
      </c>
    </row>
    <row r="6418" spans="1:1" x14ac:dyDescent="0.25">
      <c r="A6418" s="98" t="s">
        <v>6265</v>
      </c>
    </row>
    <row r="6419" spans="1:1" x14ac:dyDescent="0.25">
      <c r="A6419" s="98" t="s">
        <v>6266</v>
      </c>
    </row>
    <row r="6420" spans="1:1" x14ac:dyDescent="0.25">
      <c r="A6420" s="96" t="s">
        <v>6267</v>
      </c>
    </row>
    <row r="6421" spans="1:1" x14ac:dyDescent="0.25">
      <c r="A6421" s="26" t="s">
        <v>6268</v>
      </c>
    </row>
    <row r="6422" spans="1:1" x14ac:dyDescent="0.25">
      <c r="A6422" s="98" t="s">
        <v>6269</v>
      </c>
    </row>
    <row r="6423" spans="1:1" x14ac:dyDescent="0.25">
      <c r="A6423" s="98" t="s">
        <v>6270</v>
      </c>
    </row>
    <row r="6424" spans="1:1" x14ac:dyDescent="0.25">
      <c r="A6424" s="96" t="s">
        <v>6271</v>
      </c>
    </row>
    <row r="6425" spans="1:1" x14ac:dyDescent="0.25">
      <c r="A6425" s="26" t="s">
        <v>6272</v>
      </c>
    </row>
    <row r="6426" spans="1:1" x14ac:dyDescent="0.25">
      <c r="A6426" s="96" t="s">
        <v>6273</v>
      </c>
    </row>
    <row r="6427" spans="1:1" x14ac:dyDescent="0.25">
      <c r="A6427" s="96" t="s">
        <v>6274</v>
      </c>
    </row>
    <row r="6428" spans="1:1" x14ac:dyDescent="0.25">
      <c r="A6428" s="98" t="s">
        <v>6275</v>
      </c>
    </row>
    <row r="6429" spans="1:1" x14ac:dyDescent="0.25">
      <c r="A6429" s="96" t="s">
        <v>6276</v>
      </c>
    </row>
    <row r="6430" spans="1:1" x14ac:dyDescent="0.25">
      <c r="A6430" s="98" t="s">
        <v>6277</v>
      </c>
    </row>
    <row r="6431" spans="1:1" x14ac:dyDescent="0.25">
      <c r="A6431" s="98" t="s">
        <v>6278</v>
      </c>
    </row>
    <row r="6432" spans="1:1" x14ac:dyDescent="0.25">
      <c r="A6432" s="98" t="s">
        <v>6279</v>
      </c>
    </row>
    <row r="6433" spans="1:1" x14ac:dyDescent="0.25">
      <c r="A6433" s="98" t="s">
        <v>6280</v>
      </c>
    </row>
    <row r="6434" spans="1:1" x14ac:dyDescent="0.25">
      <c r="A6434" s="98" t="s">
        <v>6281</v>
      </c>
    </row>
    <row r="6435" spans="1:1" x14ac:dyDescent="0.25">
      <c r="A6435" s="96" t="s">
        <v>6282</v>
      </c>
    </row>
    <row r="6436" spans="1:1" x14ac:dyDescent="0.25">
      <c r="A6436" s="96" t="s">
        <v>6283</v>
      </c>
    </row>
    <row r="6437" spans="1:1" x14ac:dyDescent="0.25">
      <c r="A6437" s="98" t="s">
        <v>6284</v>
      </c>
    </row>
    <row r="6438" spans="1:1" x14ac:dyDescent="0.25">
      <c r="A6438" s="98" t="s">
        <v>6285</v>
      </c>
    </row>
    <row r="6439" spans="1:1" x14ac:dyDescent="0.25">
      <c r="A6439" s="98" t="s">
        <v>6286</v>
      </c>
    </row>
    <row r="6440" spans="1:1" x14ac:dyDescent="0.25">
      <c r="A6440" s="98" t="s">
        <v>6287</v>
      </c>
    </row>
    <row r="6441" spans="1:1" x14ac:dyDescent="0.25">
      <c r="A6441" s="98" t="s">
        <v>6288</v>
      </c>
    </row>
    <row r="6442" spans="1:1" x14ac:dyDescent="0.25">
      <c r="A6442" s="98" t="s">
        <v>6289</v>
      </c>
    </row>
    <row r="6443" spans="1:1" x14ac:dyDescent="0.25">
      <c r="A6443" s="96" t="s">
        <v>6290</v>
      </c>
    </row>
    <row r="6444" spans="1:1" x14ac:dyDescent="0.25">
      <c r="A6444" s="96" t="s">
        <v>6291</v>
      </c>
    </row>
    <row r="6445" spans="1:1" x14ac:dyDescent="0.25">
      <c r="A6445" s="98" t="s">
        <v>6292</v>
      </c>
    </row>
    <row r="6446" spans="1:1" x14ac:dyDescent="0.25">
      <c r="A6446" s="98" t="s">
        <v>6293</v>
      </c>
    </row>
    <row r="6447" spans="1:1" x14ac:dyDescent="0.25">
      <c r="A6447" s="98" t="s">
        <v>6294</v>
      </c>
    </row>
    <row r="6448" spans="1:1" x14ac:dyDescent="0.25">
      <c r="A6448" s="98" t="s">
        <v>6295</v>
      </c>
    </row>
    <row r="6449" spans="1:1" x14ac:dyDescent="0.25">
      <c r="A6449" s="98" t="s">
        <v>6296</v>
      </c>
    </row>
    <row r="6450" spans="1:1" x14ac:dyDescent="0.25">
      <c r="A6450" s="98" t="s">
        <v>6297</v>
      </c>
    </row>
    <row r="6451" spans="1:1" x14ac:dyDescent="0.25">
      <c r="A6451" s="96" t="s">
        <v>6298</v>
      </c>
    </row>
    <row r="6452" spans="1:1" x14ac:dyDescent="0.25">
      <c r="A6452" s="96" t="s">
        <v>6299</v>
      </c>
    </row>
    <row r="6453" spans="1:1" x14ac:dyDescent="0.25">
      <c r="A6453" s="98" t="s">
        <v>6300</v>
      </c>
    </row>
    <row r="6454" spans="1:1" x14ac:dyDescent="0.25">
      <c r="A6454" s="98" t="s">
        <v>6301</v>
      </c>
    </row>
    <row r="6455" spans="1:1" x14ac:dyDescent="0.25">
      <c r="A6455" s="98" t="s">
        <v>6302</v>
      </c>
    </row>
    <row r="6456" spans="1:1" x14ac:dyDescent="0.25">
      <c r="A6456" s="98" t="s">
        <v>6303</v>
      </c>
    </row>
    <row r="6457" spans="1:1" x14ac:dyDescent="0.25">
      <c r="A6457" s="98" t="s">
        <v>6304</v>
      </c>
    </row>
    <row r="6458" spans="1:1" x14ac:dyDescent="0.25">
      <c r="A6458" s="98" t="s">
        <v>6305</v>
      </c>
    </row>
    <row r="6459" spans="1:1" x14ac:dyDescent="0.25">
      <c r="A6459" s="96" t="s">
        <v>6306</v>
      </c>
    </row>
    <row r="6460" spans="1:1" x14ac:dyDescent="0.25">
      <c r="A6460" s="96" t="s">
        <v>6307</v>
      </c>
    </row>
    <row r="6461" spans="1:1" x14ac:dyDescent="0.25">
      <c r="A6461" s="98" t="s">
        <v>6308</v>
      </c>
    </row>
    <row r="6462" spans="1:1" x14ac:dyDescent="0.25">
      <c r="A6462" s="98" t="s">
        <v>6309</v>
      </c>
    </row>
    <row r="6463" spans="1:1" x14ac:dyDescent="0.25">
      <c r="A6463" s="98" t="s">
        <v>6310</v>
      </c>
    </row>
    <row r="6464" spans="1:1" x14ac:dyDescent="0.25">
      <c r="A6464" s="98" t="s">
        <v>6311</v>
      </c>
    </row>
    <row r="6465" spans="1:1" x14ac:dyDescent="0.25">
      <c r="A6465" s="98" t="s">
        <v>6312</v>
      </c>
    </row>
    <row r="6466" spans="1:1" x14ac:dyDescent="0.25">
      <c r="A6466" s="98" t="s">
        <v>6313</v>
      </c>
    </row>
    <row r="6467" spans="1:1" x14ac:dyDescent="0.25">
      <c r="A6467" s="96" t="s">
        <v>6314</v>
      </c>
    </row>
    <row r="6468" spans="1:1" x14ac:dyDescent="0.25">
      <c r="A6468" s="96" t="s">
        <v>6315</v>
      </c>
    </row>
    <row r="6469" spans="1:1" x14ac:dyDescent="0.25">
      <c r="A6469" s="98" t="s">
        <v>6316</v>
      </c>
    </row>
    <row r="6470" spans="1:1" x14ac:dyDescent="0.25">
      <c r="A6470" s="98" t="s">
        <v>6317</v>
      </c>
    </row>
    <row r="6471" spans="1:1" x14ac:dyDescent="0.25">
      <c r="A6471" s="98" t="s">
        <v>6318</v>
      </c>
    </row>
    <row r="6472" spans="1:1" x14ac:dyDescent="0.25">
      <c r="A6472" s="98" t="s">
        <v>6319</v>
      </c>
    </row>
    <row r="6473" spans="1:1" x14ac:dyDescent="0.25">
      <c r="A6473" s="98" t="s">
        <v>6320</v>
      </c>
    </row>
    <row r="6474" spans="1:1" x14ac:dyDescent="0.25">
      <c r="A6474" s="98" t="s">
        <v>6321</v>
      </c>
    </row>
    <row r="6475" spans="1:1" x14ac:dyDescent="0.25">
      <c r="A6475" s="96" t="s">
        <v>6322</v>
      </c>
    </row>
    <row r="6476" spans="1:1" x14ac:dyDescent="0.25">
      <c r="A6476" s="96" t="s">
        <v>6323</v>
      </c>
    </row>
    <row r="6477" spans="1:1" x14ac:dyDescent="0.25">
      <c r="A6477" s="98" t="s">
        <v>6324</v>
      </c>
    </row>
    <row r="6478" spans="1:1" x14ac:dyDescent="0.25">
      <c r="A6478" s="98" t="s">
        <v>6325</v>
      </c>
    </row>
    <row r="6479" spans="1:1" x14ac:dyDescent="0.25">
      <c r="A6479" s="98" t="s">
        <v>6326</v>
      </c>
    </row>
    <row r="6480" spans="1:1" x14ac:dyDescent="0.25">
      <c r="A6480" s="98" t="s">
        <v>6327</v>
      </c>
    </row>
    <row r="6481" spans="1:1" x14ac:dyDescent="0.25">
      <c r="A6481" s="98" t="s">
        <v>6328</v>
      </c>
    </row>
    <row r="6482" spans="1:1" x14ac:dyDescent="0.25">
      <c r="A6482" s="98" t="s">
        <v>6329</v>
      </c>
    </row>
    <row r="6483" spans="1:1" x14ac:dyDescent="0.25">
      <c r="A6483" s="96" t="s">
        <v>6330</v>
      </c>
    </row>
    <row r="6484" spans="1:1" x14ac:dyDescent="0.25">
      <c r="A6484" s="96" t="s">
        <v>6331</v>
      </c>
    </row>
    <row r="6485" spans="1:1" x14ac:dyDescent="0.25">
      <c r="A6485" s="98" t="s">
        <v>6332</v>
      </c>
    </row>
    <row r="6486" spans="1:1" x14ac:dyDescent="0.25">
      <c r="A6486" s="98" t="s">
        <v>6333</v>
      </c>
    </row>
    <row r="6487" spans="1:1" x14ac:dyDescent="0.25">
      <c r="A6487" s="98" t="s">
        <v>6334</v>
      </c>
    </row>
    <row r="6488" spans="1:1" x14ac:dyDescent="0.25">
      <c r="A6488" s="98" t="s">
        <v>6335</v>
      </c>
    </row>
    <row r="6489" spans="1:1" x14ac:dyDescent="0.25">
      <c r="A6489" s="98" t="s">
        <v>6336</v>
      </c>
    </row>
    <row r="6490" spans="1:1" x14ac:dyDescent="0.25">
      <c r="A6490" s="98" t="s">
        <v>6337</v>
      </c>
    </row>
    <row r="6491" spans="1:1" x14ac:dyDescent="0.25">
      <c r="A6491" s="96" t="s">
        <v>6338</v>
      </c>
    </row>
    <row r="6492" spans="1:1" x14ac:dyDescent="0.25">
      <c r="A6492" s="96" t="s">
        <v>6339</v>
      </c>
    </row>
    <row r="6493" spans="1:1" x14ac:dyDescent="0.25">
      <c r="A6493" s="98" t="s">
        <v>6340</v>
      </c>
    </row>
    <row r="6494" spans="1:1" x14ac:dyDescent="0.25">
      <c r="A6494" s="98" t="s">
        <v>6341</v>
      </c>
    </row>
    <row r="6495" spans="1:1" x14ac:dyDescent="0.25">
      <c r="A6495" s="98" t="s">
        <v>6342</v>
      </c>
    </row>
    <row r="6496" spans="1:1" x14ac:dyDescent="0.25">
      <c r="A6496" s="98" t="s">
        <v>6343</v>
      </c>
    </row>
    <row r="6497" spans="1:1" x14ac:dyDescent="0.25">
      <c r="A6497" s="98" t="s">
        <v>6344</v>
      </c>
    </row>
    <row r="6498" spans="1:1" x14ac:dyDescent="0.25">
      <c r="A6498" s="98" t="s">
        <v>6345</v>
      </c>
    </row>
    <row r="6499" spans="1:1" x14ac:dyDescent="0.25">
      <c r="A6499" s="96" t="s">
        <v>6346</v>
      </c>
    </row>
    <row r="6500" spans="1:1" x14ac:dyDescent="0.25">
      <c r="A6500" s="96" t="s">
        <v>6347</v>
      </c>
    </row>
    <row r="6501" spans="1:1" x14ac:dyDescent="0.25">
      <c r="A6501" s="98" t="s">
        <v>6348</v>
      </c>
    </row>
    <row r="6502" spans="1:1" x14ac:dyDescent="0.25">
      <c r="A6502" s="98" t="s">
        <v>6349</v>
      </c>
    </row>
    <row r="6503" spans="1:1" x14ac:dyDescent="0.25">
      <c r="A6503" s="98" t="s">
        <v>6350</v>
      </c>
    </row>
    <row r="6504" spans="1:1" x14ac:dyDescent="0.25">
      <c r="A6504" s="98" t="s">
        <v>6351</v>
      </c>
    </row>
    <row r="6505" spans="1:1" x14ac:dyDescent="0.25">
      <c r="A6505" s="98" t="s">
        <v>6352</v>
      </c>
    </row>
    <row r="6506" spans="1:1" x14ac:dyDescent="0.25">
      <c r="A6506" s="98" t="s">
        <v>6353</v>
      </c>
    </row>
    <row r="6507" spans="1:1" x14ac:dyDescent="0.25">
      <c r="A6507" s="96" t="s">
        <v>6354</v>
      </c>
    </row>
    <row r="6508" spans="1:1" x14ac:dyDescent="0.25">
      <c r="A6508" s="96" t="s">
        <v>6355</v>
      </c>
    </row>
    <row r="6509" spans="1:1" x14ac:dyDescent="0.25">
      <c r="A6509" s="98" t="s">
        <v>6356</v>
      </c>
    </row>
    <row r="6510" spans="1:1" x14ac:dyDescent="0.25">
      <c r="A6510" s="98" t="s">
        <v>6357</v>
      </c>
    </row>
    <row r="6511" spans="1:1" x14ac:dyDescent="0.25">
      <c r="A6511" s="98" t="s">
        <v>6358</v>
      </c>
    </row>
    <row r="6512" spans="1:1" x14ac:dyDescent="0.25">
      <c r="A6512" s="26" t="s">
        <v>6359</v>
      </c>
    </row>
    <row r="6513" spans="1:1" x14ac:dyDescent="0.25">
      <c r="A6513" s="96" t="s">
        <v>6360</v>
      </c>
    </row>
    <row r="6514" spans="1:1" x14ac:dyDescent="0.25">
      <c r="A6514" s="98" t="s">
        <v>6361</v>
      </c>
    </row>
    <row r="6515" spans="1:1" x14ac:dyDescent="0.25">
      <c r="A6515" s="96" t="s">
        <v>6362</v>
      </c>
    </row>
    <row r="6516" spans="1:1" x14ac:dyDescent="0.25">
      <c r="A6516" s="98" t="s">
        <v>6363</v>
      </c>
    </row>
    <row r="6517" spans="1:1" x14ac:dyDescent="0.25">
      <c r="A6517" s="98" t="s">
        <v>6364</v>
      </c>
    </row>
    <row r="6518" spans="1:1" x14ac:dyDescent="0.25">
      <c r="A6518" s="98" t="s">
        <v>6365</v>
      </c>
    </row>
    <row r="6519" spans="1:1" x14ac:dyDescent="0.25">
      <c r="A6519" s="98" t="s">
        <v>6366</v>
      </c>
    </row>
    <row r="6520" spans="1:1" x14ac:dyDescent="0.25">
      <c r="A6520" s="96" t="s">
        <v>6367</v>
      </c>
    </row>
    <row r="6521" spans="1:1" x14ac:dyDescent="0.25">
      <c r="A6521" s="96" t="s">
        <v>6368</v>
      </c>
    </row>
    <row r="6522" spans="1:1" x14ac:dyDescent="0.25">
      <c r="A6522" s="96" t="s">
        <v>6369</v>
      </c>
    </row>
    <row r="6523" spans="1:1" x14ac:dyDescent="0.25">
      <c r="A6523" s="96" t="s">
        <v>6370</v>
      </c>
    </row>
    <row r="6524" spans="1:1" x14ac:dyDescent="0.25">
      <c r="A6524" s="96" t="s">
        <v>6371</v>
      </c>
    </row>
    <row r="6525" spans="1:1" x14ac:dyDescent="0.25">
      <c r="A6525" s="96" t="s">
        <v>6372</v>
      </c>
    </row>
    <row r="6526" spans="1:1" x14ac:dyDescent="0.25">
      <c r="A6526" s="98" t="s">
        <v>6373</v>
      </c>
    </row>
    <row r="6527" spans="1:1" x14ac:dyDescent="0.25">
      <c r="A6527" s="98" t="s">
        <v>6374</v>
      </c>
    </row>
    <row r="6528" spans="1:1" x14ac:dyDescent="0.25">
      <c r="A6528" s="98" t="s">
        <v>6375</v>
      </c>
    </row>
    <row r="6529" spans="1:1" x14ac:dyDescent="0.25">
      <c r="A6529" s="96" t="s">
        <v>6376</v>
      </c>
    </row>
    <row r="6530" spans="1:1" x14ac:dyDescent="0.25">
      <c r="A6530" s="98" t="s">
        <v>6377</v>
      </c>
    </row>
    <row r="6531" spans="1:1" x14ac:dyDescent="0.25">
      <c r="A6531" s="98" t="s">
        <v>6378</v>
      </c>
    </row>
    <row r="6532" spans="1:1" x14ac:dyDescent="0.25">
      <c r="A6532" s="98" t="s">
        <v>6379</v>
      </c>
    </row>
    <row r="6533" spans="1:1" x14ac:dyDescent="0.25">
      <c r="A6533" s="96" t="s">
        <v>6380</v>
      </c>
    </row>
    <row r="6534" spans="1:1" x14ac:dyDescent="0.25">
      <c r="A6534" s="96" t="s">
        <v>6381</v>
      </c>
    </row>
    <row r="6535" spans="1:1" x14ac:dyDescent="0.25">
      <c r="A6535" s="98" t="s">
        <v>6382</v>
      </c>
    </row>
    <row r="6536" spans="1:1" x14ac:dyDescent="0.25">
      <c r="A6536" s="98" t="s">
        <v>6383</v>
      </c>
    </row>
    <row r="6537" spans="1:1" x14ac:dyDescent="0.25">
      <c r="A6537" s="98" t="s">
        <v>6384</v>
      </c>
    </row>
    <row r="6538" spans="1:1" x14ac:dyDescent="0.25">
      <c r="A6538" s="98" t="s">
        <v>6385</v>
      </c>
    </row>
    <row r="6539" spans="1:1" x14ac:dyDescent="0.25">
      <c r="A6539" s="98" t="s">
        <v>6386</v>
      </c>
    </row>
    <row r="6540" spans="1:1" x14ac:dyDescent="0.25">
      <c r="A6540" s="98" t="s">
        <v>6387</v>
      </c>
    </row>
    <row r="6541" spans="1:1" x14ac:dyDescent="0.25">
      <c r="A6541" s="96" t="s">
        <v>6388</v>
      </c>
    </row>
    <row r="6542" spans="1:1" x14ac:dyDescent="0.25">
      <c r="A6542" s="96" t="s">
        <v>6389</v>
      </c>
    </row>
    <row r="6543" spans="1:1" x14ac:dyDescent="0.25">
      <c r="A6543" s="98" t="s">
        <v>6390</v>
      </c>
    </row>
    <row r="6544" spans="1:1" x14ac:dyDescent="0.25">
      <c r="A6544" s="98" t="s">
        <v>6391</v>
      </c>
    </row>
    <row r="6545" spans="1:1" x14ac:dyDescent="0.25">
      <c r="A6545" s="98" t="s">
        <v>6392</v>
      </c>
    </row>
    <row r="6546" spans="1:1" x14ac:dyDescent="0.25">
      <c r="A6546" s="98" t="s">
        <v>6393</v>
      </c>
    </row>
    <row r="6547" spans="1:1" x14ac:dyDescent="0.25">
      <c r="A6547" s="98" t="s">
        <v>6394</v>
      </c>
    </row>
    <row r="6548" spans="1:1" x14ac:dyDescent="0.25">
      <c r="A6548" s="98" t="s">
        <v>6395</v>
      </c>
    </row>
    <row r="6549" spans="1:1" x14ac:dyDescent="0.25">
      <c r="A6549" s="96" t="s">
        <v>6396</v>
      </c>
    </row>
    <row r="6550" spans="1:1" x14ac:dyDescent="0.25">
      <c r="A6550" s="96" t="s">
        <v>6397</v>
      </c>
    </row>
    <row r="6551" spans="1:1" x14ac:dyDescent="0.25">
      <c r="A6551" s="98" t="s">
        <v>6398</v>
      </c>
    </row>
    <row r="6552" spans="1:1" x14ac:dyDescent="0.25">
      <c r="A6552" s="98" t="s">
        <v>6399</v>
      </c>
    </row>
    <row r="6553" spans="1:1" x14ac:dyDescent="0.25">
      <c r="A6553" s="98" t="s">
        <v>6400</v>
      </c>
    </row>
    <row r="6554" spans="1:1" x14ac:dyDescent="0.25">
      <c r="A6554" s="26" t="s">
        <v>6401</v>
      </c>
    </row>
    <row r="6555" spans="1:1" x14ac:dyDescent="0.25">
      <c r="A6555" s="98" t="s">
        <v>6402</v>
      </c>
    </row>
    <row r="6556" spans="1:1" x14ac:dyDescent="0.25">
      <c r="A6556" s="96" t="s">
        <v>6403</v>
      </c>
    </row>
    <row r="6557" spans="1:1" x14ac:dyDescent="0.25">
      <c r="A6557" s="98" t="s">
        <v>6404</v>
      </c>
    </row>
    <row r="6558" spans="1:1" x14ac:dyDescent="0.25">
      <c r="A6558" s="98" t="s">
        <v>6405</v>
      </c>
    </row>
    <row r="6559" spans="1:1" x14ac:dyDescent="0.25">
      <c r="A6559" s="26" t="s">
        <v>6406</v>
      </c>
    </row>
    <row r="6560" spans="1:1" x14ac:dyDescent="0.25">
      <c r="A6560" s="26" t="s">
        <v>6407</v>
      </c>
    </row>
    <row r="6561" spans="1:1" x14ac:dyDescent="0.25">
      <c r="A6561" s="26" t="s">
        <v>6408</v>
      </c>
    </row>
    <row r="6562" spans="1:1" x14ac:dyDescent="0.25">
      <c r="A6562" s="98" t="s">
        <v>6409</v>
      </c>
    </row>
    <row r="6563" spans="1:1" x14ac:dyDescent="0.25">
      <c r="A6563" s="96" t="s">
        <v>6410</v>
      </c>
    </row>
    <row r="6564" spans="1:1" x14ac:dyDescent="0.25">
      <c r="A6564" s="98" t="s">
        <v>6411</v>
      </c>
    </row>
    <row r="6565" spans="1:1" x14ac:dyDescent="0.25">
      <c r="A6565" s="98" t="s">
        <v>6412</v>
      </c>
    </row>
    <row r="6566" spans="1:1" x14ac:dyDescent="0.25">
      <c r="A6566" s="26" t="s">
        <v>6413</v>
      </c>
    </row>
    <row r="6567" spans="1:1" x14ac:dyDescent="0.25">
      <c r="A6567" s="26" t="s">
        <v>6414</v>
      </c>
    </row>
    <row r="6568" spans="1:1" x14ac:dyDescent="0.25">
      <c r="A6568" s="26" t="s">
        <v>6415</v>
      </c>
    </row>
    <row r="6569" spans="1:1" x14ac:dyDescent="0.25">
      <c r="A6569" s="96" t="s">
        <v>6416</v>
      </c>
    </row>
    <row r="6570" spans="1:1" x14ac:dyDescent="0.25">
      <c r="A6570" s="98" t="s">
        <v>6417</v>
      </c>
    </row>
    <row r="6571" spans="1:1" x14ac:dyDescent="0.25">
      <c r="A6571" s="96" t="s">
        <v>6418</v>
      </c>
    </row>
    <row r="6572" spans="1:1" x14ac:dyDescent="0.25">
      <c r="A6572" s="98" t="s">
        <v>6419</v>
      </c>
    </row>
    <row r="6573" spans="1:1" x14ac:dyDescent="0.25">
      <c r="A6573" s="98" t="s">
        <v>6420</v>
      </c>
    </row>
    <row r="6574" spans="1:1" x14ac:dyDescent="0.25">
      <c r="A6574" s="98" t="s">
        <v>6421</v>
      </c>
    </row>
    <row r="6575" spans="1:1" x14ac:dyDescent="0.25">
      <c r="A6575" s="96" t="s">
        <v>6422</v>
      </c>
    </row>
    <row r="6576" spans="1:1" x14ac:dyDescent="0.25">
      <c r="A6576" s="98" t="s">
        <v>6423</v>
      </c>
    </row>
    <row r="6577" spans="1:1" x14ac:dyDescent="0.25">
      <c r="A6577" s="98" t="s">
        <v>6424</v>
      </c>
    </row>
    <row r="6578" spans="1:1" x14ac:dyDescent="0.25">
      <c r="A6578" s="26" t="s">
        <v>6425</v>
      </c>
    </row>
    <row r="6579" spans="1:1" x14ac:dyDescent="0.25">
      <c r="A6579" s="26" t="s">
        <v>6426</v>
      </c>
    </row>
    <row r="6580" spans="1:1" x14ac:dyDescent="0.25">
      <c r="A6580" s="26" t="s">
        <v>6427</v>
      </c>
    </row>
    <row r="6581" spans="1:1" x14ac:dyDescent="0.25">
      <c r="A6581" s="98" t="s">
        <v>6428</v>
      </c>
    </row>
    <row r="6582" spans="1:1" x14ac:dyDescent="0.25">
      <c r="A6582" s="96" t="s">
        <v>6429</v>
      </c>
    </row>
    <row r="6583" spans="1:1" x14ac:dyDescent="0.25">
      <c r="A6583" s="96" t="s">
        <v>6430</v>
      </c>
    </row>
    <row r="6584" spans="1:1" x14ac:dyDescent="0.25">
      <c r="A6584" s="96" t="s">
        <v>6431</v>
      </c>
    </row>
    <row r="6585" spans="1:1" x14ac:dyDescent="0.25">
      <c r="A6585" s="98" t="s">
        <v>6432</v>
      </c>
    </row>
    <row r="6586" spans="1:1" x14ac:dyDescent="0.25">
      <c r="A6586" s="96" t="s">
        <v>6433</v>
      </c>
    </row>
    <row r="6587" spans="1:1" x14ac:dyDescent="0.25">
      <c r="A6587" s="96" t="s">
        <v>6434</v>
      </c>
    </row>
    <row r="6588" spans="1:1" x14ac:dyDescent="0.25">
      <c r="A6588" s="98" t="s">
        <v>6435</v>
      </c>
    </row>
    <row r="6589" spans="1:1" x14ac:dyDescent="0.25">
      <c r="A6589" s="98" t="s">
        <v>6436</v>
      </c>
    </row>
    <row r="6590" spans="1:1" x14ac:dyDescent="0.25">
      <c r="A6590" s="98" t="s">
        <v>6437</v>
      </c>
    </row>
    <row r="6591" spans="1:1" x14ac:dyDescent="0.25">
      <c r="A6591" s="96" t="s">
        <v>6438</v>
      </c>
    </row>
    <row r="6592" spans="1:1" x14ac:dyDescent="0.25">
      <c r="A6592" s="26" t="s">
        <v>6439</v>
      </c>
    </row>
    <row r="6593" spans="1:1" x14ac:dyDescent="0.25">
      <c r="A6593" s="96" t="s">
        <v>6440</v>
      </c>
    </row>
    <row r="6594" spans="1:1" x14ac:dyDescent="0.25">
      <c r="A6594" s="98" t="s">
        <v>6441</v>
      </c>
    </row>
    <row r="6595" spans="1:1" x14ac:dyDescent="0.25">
      <c r="A6595" s="96" t="s">
        <v>6442</v>
      </c>
    </row>
    <row r="6596" spans="1:1" x14ac:dyDescent="0.25">
      <c r="A6596" s="98" t="s">
        <v>6443</v>
      </c>
    </row>
    <row r="6597" spans="1:1" x14ac:dyDescent="0.25">
      <c r="A6597" s="98" t="s">
        <v>6444</v>
      </c>
    </row>
    <row r="6598" spans="1:1" x14ac:dyDescent="0.25">
      <c r="A6598" s="98" t="s">
        <v>6445</v>
      </c>
    </row>
    <row r="6599" spans="1:1" x14ac:dyDescent="0.25">
      <c r="A6599" s="96" t="s">
        <v>6446</v>
      </c>
    </row>
    <row r="6600" spans="1:1" x14ac:dyDescent="0.25">
      <c r="A6600" s="98" t="s">
        <v>6447</v>
      </c>
    </row>
    <row r="6601" spans="1:1" x14ac:dyDescent="0.25">
      <c r="A6601" s="98" t="s">
        <v>6448</v>
      </c>
    </row>
    <row r="6602" spans="1:1" x14ac:dyDescent="0.25">
      <c r="A6602" s="26" t="s">
        <v>6449</v>
      </c>
    </row>
    <row r="6603" spans="1:1" x14ac:dyDescent="0.25">
      <c r="A6603" s="26" t="s">
        <v>6450</v>
      </c>
    </row>
    <row r="6604" spans="1:1" x14ac:dyDescent="0.25">
      <c r="A6604" s="26" t="s">
        <v>6451</v>
      </c>
    </row>
    <row r="6605" spans="1:1" x14ac:dyDescent="0.25">
      <c r="A6605" s="98" t="s">
        <v>6452</v>
      </c>
    </row>
    <row r="6606" spans="1:1" x14ac:dyDescent="0.25">
      <c r="A6606" s="96" t="s">
        <v>6453</v>
      </c>
    </row>
    <row r="6607" spans="1:1" x14ac:dyDescent="0.25">
      <c r="A6607" s="96" t="s">
        <v>6454</v>
      </c>
    </row>
    <row r="6608" spans="1:1" x14ac:dyDescent="0.25">
      <c r="A6608" s="96" t="s">
        <v>6455</v>
      </c>
    </row>
    <row r="6609" spans="1:1" x14ac:dyDescent="0.25">
      <c r="A6609" s="98" t="s">
        <v>6456</v>
      </c>
    </row>
    <row r="6610" spans="1:1" x14ac:dyDescent="0.25">
      <c r="A6610" s="96" t="s">
        <v>6457</v>
      </c>
    </row>
    <row r="6611" spans="1:1" x14ac:dyDescent="0.25">
      <c r="A6611" s="98" t="s">
        <v>6458</v>
      </c>
    </row>
    <row r="6612" spans="1:1" x14ac:dyDescent="0.25">
      <c r="A6612" s="98" t="s">
        <v>6459</v>
      </c>
    </row>
    <row r="6613" spans="1:1" x14ac:dyDescent="0.25">
      <c r="A6613" s="96" t="s">
        <v>6460</v>
      </c>
    </row>
    <row r="6614" spans="1:1" x14ac:dyDescent="0.25">
      <c r="A6614" s="98" t="s">
        <v>6461</v>
      </c>
    </row>
    <row r="6615" spans="1:1" x14ac:dyDescent="0.25">
      <c r="A6615" s="98" t="s">
        <v>6462</v>
      </c>
    </row>
    <row r="6616" spans="1:1" x14ac:dyDescent="0.25">
      <c r="A6616" s="96" t="s">
        <v>6463</v>
      </c>
    </row>
    <row r="6617" spans="1:1" x14ac:dyDescent="0.25">
      <c r="A6617" s="26" t="s">
        <v>6464</v>
      </c>
    </row>
    <row r="6618" spans="1:1" x14ac:dyDescent="0.25">
      <c r="A6618" s="98" t="s">
        <v>6465</v>
      </c>
    </row>
    <row r="6619" spans="1:1" x14ac:dyDescent="0.25">
      <c r="A6619" s="98" t="s">
        <v>6466</v>
      </c>
    </row>
    <row r="6620" spans="1:1" x14ac:dyDescent="0.25">
      <c r="A6620" s="96" t="s">
        <v>6467</v>
      </c>
    </row>
    <row r="6621" spans="1:1" x14ac:dyDescent="0.25">
      <c r="A6621" s="96" t="s">
        <v>6468</v>
      </c>
    </row>
    <row r="6622" spans="1:1" x14ac:dyDescent="0.25">
      <c r="A6622" s="96" t="s">
        <v>6469</v>
      </c>
    </row>
    <row r="6623" spans="1:1" x14ac:dyDescent="0.25">
      <c r="A6623" s="98" t="s">
        <v>6470</v>
      </c>
    </row>
    <row r="6624" spans="1:1" x14ac:dyDescent="0.25">
      <c r="A6624" s="96" t="s">
        <v>6471</v>
      </c>
    </row>
    <row r="6625" spans="1:1" x14ac:dyDescent="0.25">
      <c r="A6625" s="98" t="s">
        <v>6472</v>
      </c>
    </row>
    <row r="6626" spans="1:1" x14ac:dyDescent="0.25">
      <c r="A6626" s="98" t="s">
        <v>6473</v>
      </c>
    </row>
    <row r="6627" spans="1:1" x14ac:dyDescent="0.25">
      <c r="A6627" s="26" t="s">
        <v>6474</v>
      </c>
    </row>
    <row r="6628" spans="1:1" x14ac:dyDescent="0.25">
      <c r="A6628" s="96" t="s">
        <v>6475</v>
      </c>
    </row>
    <row r="6629" spans="1:1" x14ac:dyDescent="0.25">
      <c r="A6629" s="98" t="s">
        <v>6476</v>
      </c>
    </row>
    <row r="6630" spans="1:1" x14ac:dyDescent="0.25">
      <c r="A6630" s="96" t="s">
        <v>6477</v>
      </c>
    </row>
    <row r="6631" spans="1:1" x14ac:dyDescent="0.25">
      <c r="A6631" s="98" t="s">
        <v>6478</v>
      </c>
    </row>
    <row r="6632" spans="1:1" x14ac:dyDescent="0.25">
      <c r="A6632" s="98" t="s">
        <v>6479</v>
      </c>
    </row>
    <row r="6633" spans="1:1" x14ac:dyDescent="0.25">
      <c r="A6633" s="96" t="s">
        <v>6480</v>
      </c>
    </row>
    <row r="6634" spans="1:1" x14ac:dyDescent="0.25">
      <c r="A6634" s="98" t="s">
        <v>6481</v>
      </c>
    </row>
    <row r="6635" spans="1:1" x14ac:dyDescent="0.25">
      <c r="A6635" s="98" t="s">
        <v>6482</v>
      </c>
    </row>
    <row r="6636" spans="1:1" x14ac:dyDescent="0.25">
      <c r="A6636" s="98" t="s">
        <v>6483</v>
      </c>
    </row>
    <row r="6637" spans="1:1" x14ac:dyDescent="0.25">
      <c r="A6637" s="96" t="s">
        <v>6484</v>
      </c>
    </row>
    <row r="6638" spans="1:1" x14ac:dyDescent="0.25">
      <c r="A6638" s="96" t="s">
        <v>6485</v>
      </c>
    </row>
    <row r="6639" spans="1:1" x14ac:dyDescent="0.25">
      <c r="A6639" s="96" t="s">
        <v>6486</v>
      </c>
    </row>
    <row r="6640" spans="1:1" x14ac:dyDescent="0.25">
      <c r="A6640" t="s">
        <v>6489</v>
      </c>
    </row>
    <row r="6641" spans="1:1" x14ac:dyDescent="0.25">
      <c r="A6641" t="s">
        <v>6490</v>
      </c>
    </row>
    <row r="6642" spans="1:1" x14ac:dyDescent="0.25">
      <c r="A6642" s="96" t="s">
        <v>6491</v>
      </c>
    </row>
    <row r="6643" spans="1:1" x14ac:dyDescent="0.25">
      <c r="A6643" s="96" t="s">
        <v>6492</v>
      </c>
    </row>
    <row r="6644" spans="1:1" x14ac:dyDescent="0.25">
      <c r="A6644" s="96" t="s">
        <v>6493</v>
      </c>
    </row>
    <row r="6645" spans="1:1" x14ac:dyDescent="0.25">
      <c r="A6645" s="98" t="s">
        <v>6494</v>
      </c>
    </row>
    <row r="6646" spans="1:1" x14ac:dyDescent="0.25">
      <c r="A6646" s="96" t="s">
        <v>6495</v>
      </c>
    </row>
    <row r="6647" spans="1:1" x14ac:dyDescent="0.25">
      <c r="A6647" s="26" t="s">
        <v>6496</v>
      </c>
    </row>
    <row r="6648" spans="1:1" x14ac:dyDescent="0.25">
      <c r="A6648" s="98" t="s">
        <v>6497</v>
      </c>
    </row>
    <row r="6649" spans="1:1" x14ac:dyDescent="0.25">
      <c r="A6649" s="98" t="s">
        <v>6498</v>
      </c>
    </row>
    <row r="6650" spans="1:1" x14ac:dyDescent="0.25">
      <c r="A6650" s="96" t="s">
        <v>6499</v>
      </c>
    </row>
    <row r="6651" spans="1:1" x14ac:dyDescent="0.25">
      <c r="A6651" s="96" t="s">
        <v>6500</v>
      </c>
    </row>
    <row r="6652" spans="1:1" x14ac:dyDescent="0.25">
      <c r="A6652" s="96" t="s">
        <v>6501</v>
      </c>
    </row>
    <row r="6653" spans="1:1" x14ac:dyDescent="0.25">
      <c r="A6653" s="96" t="s">
        <v>6502</v>
      </c>
    </row>
    <row r="6654" spans="1:1" x14ac:dyDescent="0.25">
      <c r="A6654" s="98" t="s">
        <v>6503</v>
      </c>
    </row>
    <row r="6655" spans="1:1" x14ac:dyDescent="0.25">
      <c r="A6655" s="96" t="s">
        <v>6504</v>
      </c>
    </row>
    <row r="6656" spans="1:1" x14ac:dyDescent="0.25">
      <c r="A6656" s="26" t="s">
        <v>6505</v>
      </c>
    </row>
    <row r="6657" spans="1:1" x14ac:dyDescent="0.25">
      <c r="A6657" s="98" t="s">
        <v>6506</v>
      </c>
    </row>
    <row r="6658" spans="1:1" x14ac:dyDescent="0.25">
      <c r="A6658" s="98" t="s">
        <v>6507</v>
      </c>
    </row>
    <row r="6659" spans="1:1" x14ac:dyDescent="0.25">
      <c r="A6659" s="26" t="s">
        <v>6508</v>
      </c>
    </row>
    <row r="6660" spans="1:1" x14ac:dyDescent="0.25">
      <c r="A6660" s="98" t="s">
        <v>6509</v>
      </c>
    </row>
    <row r="6661" spans="1:1" x14ac:dyDescent="0.25">
      <c r="A6661" s="96" t="s">
        <v>6510</v>
      </c>
    </row>
    <row r="6662" spans="1:1" x14ac:dyDescent="0.25">
      <c r="A6662" s="98" t="s">
        <v>6511</v>
      </c>
    </row>
    <row r="6663" spans="1:1" x14ac:dyDescent="0.25">
      <c r="A6663" s="98" t="s">
        <v>6512</v>
      </c>
    </row>
    <row r="6664" spans="1:1" x14ac:dyDescent="0.25">
      <c r="A6664" s="26" t="s">
        <v>6513</v>
      </c>
    </row>
    <row r="6665" spans="1:1" x14ac:dyDescent="0.25">
      <c r="A6665" s="26" t="s">
        <v>6514</v>
      </c>
    </row>
    <row r="6666" spans="1:1" x14ac:dyDescent="0.25">
      <c r="A6666" s="26" t="s">
        <v>6515</v>
      </c>
    </row>
    <row r="6667" spans="1:1" x14ac:dyDescent="0.25">
      <c r="A6667" s="96" t="s">
        <v>6516</v>
      </c>
    </row>
    <row r="6668" spans="1:1" x14ac:dyDescent="0.25">
      <c r="A6668" s="98" t="s">
        <v>6517</v>
      </c>
    </row>
    <row r="6669" spans="1:1" x14ac:dyDescent="0.25">
      <c r="A6669" s="96" t="s">
        <v>6518</v>
      </c>
    </row>
    <row r="6670" spans="1:1" x14ac:dyDescent="0.25">
      <c r="A6670" s="98" t="s">
        <v>6519</v>
      </c>
    </row>
    <row r="6671" spans="1:1" x14ac:dyDescent="0.25">
      <c r="A6671" s="98" t="s">
        <v>6520</v>
      </c>
    </row>
    <row r="6672" spans="1:1" x14ac:dyDescent="0.25">
      <c r="A6672" s="98" t="s">
        <v>6521</v>
      </c>
    </row>
    <row r="6673" spans="1:1" x14ac:dyDescent="0.25">
      <c r="A6673" s="98" t="s">
        <v>6522</v>
      </c>
    </row>
    <row r="6674" spans="1:1" x14ac:dyDescent="0.25">
      <c r="A6674" s="98" t="s">
        <v>6523</v>
      </c>
    </row>
    <row r="6675" spans="1:1" x14ac:dyDescent="0.25">
      <c r="A6675" s="96" t="s">
        <v>6524</v>
      </c>
    </row>
    <row r="6676" spans="1:1" x14ac:dyDescent="0.25">
      <c r="A6676" s="96" t="s">
        <v>6525</v>
      </c>
    </row>
    <row r="6677" spans="1:1" x14ac:dyDescent="0.25">
      <c r="A6677" s="98" t="s">
        <v>6526</v>
      </c>
    </row>
    <row r="6678" spans="1:1" x14ac:dyDescent="0.25">
      <c r="A6678" s="98" t="s">
        <v>6527</v>
      </c>
    </row>
    <row r="6679" spans="1:1" x14ac:dyDescent="0.25">
      <c r="A6679" s="98" t="s">
        <v>6528</v>
      </c>
    </row>
    <row r="6680" spans="1:1" x14ac:dyDescent="0.25">
      <c r="A6680" s="98" t="s">
        <v>6529</v>
      </c>
    </row>
    <row r="6681" spans="1:1" x14ac:dyDescent="0.25">
      <c r="A6681" s="96" t="s">
        <v>6530</v>
      </c>
    </row>
    <row r="6682" spans="1:1" x14ac:dyDescent="0.25">
      <c r="A6682" s="96" t="s">
        <v>6531</v>
      </c>
    </row>
    <row r="6683" spans="1:1" x14ac:dyDescent="0.25">
      <c r="A6683" s="98" t="s">
        <v>6532</v>
      </c>
    </row>
    <row r="6684" spans="1:1" x14ac:dyDescent="0.25">
      <c r="A6684" s="98" t="s">
        <v>6533</v>
      </c>
    </row>
    <row r="6685" spans="1:1" x14ac:dyDescent="0.25">
      <c r="A6685" s="98" t="s">
        <v>6534</v>
      </c>
    </row>
    <row r="6686" spans="1:1" x14ac:dyDescent="0.25">
      <c r="A6686" s="98" t="s">
        <v>6535</v>
      </c>
    </row>
    <row r="6687" spans="1:1" x14ac:dyDescent="0.25">
      <c r="A6687" s="96" t="s">
        <v>6536</v>
      </c>
    </row>
    <row r="6688" spans="1:1" x14ac:dyDescent="0.25">
      <c r="A6688" s="96" t="s">
        <v>6537</v>
      </c>
    </row>
    <row r="6689" spans="1:1" x14ac:dyDescent="0.25">
      <c r="A6689" s="98" t="s">
        <v>6538</v>
      </c>
    </row>
    <row r="6690" spans="1:1" x14ac:dyDescent="0.25">
      <c r="A6690" s="98" t="s">
        <v>6539</v>
      </c>
    </row>
    <row r="6691" spans="1:1" x14ac:dyDescent="0.25">
      <c r="A6691" s="98" t="s">
        <v>6540</v>
      </c>
    </row>
    <row r="6692" spans="1:1" x14ac:dyDescent="0.25">
      <c r="A6692" s="98" t="s">
        <v>6541</v>
      </c>
    </row>
    <row r="6693" spans="1:1" x14ac:dyDescent="0.25">
      <c r="A6693" s="96" t="s">
        <v>6542</v>
      </c>
    </row>
    <row r="6694" spans="1:1" x14ac:dyDescent="0.25">
      <c r="A6694" s="96" t="s">
        <v>6543</v>
      </c>
    </row>
    <row r="6695" spans="1:1" x14ac:dyDescent="0.25">
      <c r="A6695" s="98" t="s">
        <v>6544</v>
      </c>
    </row>
    <row r="6696" spans="1:1" x14ac:dyDescent="0.25">
      <c r="A6696" s="98" t="s">
        <v>6545</v>
      </c>
    </row>
    <row r="6697" spans="1:1" x14ac:dyDescent="0.25">
      <c r="A6697" s="98" t="s">
        <v>6546</v>
      </c>
    </row>
    <row r="6698" spans="1:1" x14ac:dyDescent="0.25">
      <c r="A6698" s="98" t="s">
        <v>6547</v>
      </c>
    </row>
    <row r="6699" spans="1:1" x14ac:dyDescent="0.25">
      <c r="A6699" s="96" t="s">
        <v>6548</v>
      </c>
    </row>
    <row r="6700" spans="1:1" x14ac:dyDescent="0.25">
      <c r="A6700" s="96" t="s">
        <v>6549</v>
      </c>
    </row>
    <row r="6701" spans="1:1" x14ac:dyDescent="0.25">
      <c r="A6701" s="98" t="s">
        <v>6550</v>
      </c>
    </row>
    <row r="6702" spans="1:1" x14ac:dyDescent="0.25">
      <c r="A6702" s="98" t="s">
        <v>6551</v>
      </c>
    </row>
    <row r="6703" spans="1:1" x14ac:dyDescent="0.25">
      <c r="A6703" s="98" t="s">
        <v>6552</v>
      </c>
    </row>
    <row r="6704" spans="1:1" x14ac:dyDescent="0.25">
      <c r="A6704" s="98" t="s">
        <v>6553</v>
      </c>
    </row>
    <row r="6705" spans="1:1" x14ac:dyDescent="0.25">
      <c r="A6705" s="96" t="s">
        <v>6554</v>
      </c>
    </row>
    <row r="6706" spans="1:1" x14ac:dyDescent="0.25">
      <c r="A6706" s="96" t="s">
        <v>6555</v>
      </c>
    </row>
    <row r="6707" spans="1:1" x14ac:dyDescent="0.25">
      <c r="A6707" s="98" t="s">
        <v>6556</v>
      </c>
    </row>
    <row r="6708" spans="1:1" x14ac:dyDescent="0.25">
      <c r="A6708" s="98" t="s">
        <v>6557</v>
      </c>
    </row>
    <row r="6709" spans="1:1" x14ac:dyDescent="0.25">
      <c r="A6709" s="98" t="s">
        <v>6558</v>
      </c>
    </row>
    <row r="6710" spans="1:1" x14ac:dyDescent="0.25">
      <c r="A6710" s="98" t="s">
        <v>6559</v>
      </c>
    </row>
    <row r="6711" spans="1:1" x14ac:dyDescent="0.25">
      <c r="A6711" s="96" t="s">
        <v>6560</v>
      </c>
    </row>
    <row r="6712" spans="1:1" x14ac:dyDescent="0.25">
      <c r="A6712" s="96" t="s">
        <v>6561</v>
      </c>
    </row>
    <row r="6713" spans="1:1" x14ac:dyDescent="0.25">
      <c r="A6713" s="98" t="s">
        <v>6562</v>
      </c>
    </row>
    <row r="6714" spans="1:1" x14ac:dyDescent="0.25">
      <c r="A6714" s="98" t="s">
        <v>6563</v>
      </c>
    </row>
    <row r="6715" spans="1:1" x14ac:dyDescent="0.25">
      <c r="A6715" s="98" t="s">
        <v>6564</v>
      </c>
    </row>
    <row r="6716" spans="1:1" x14ac:dyDescent="0.25">
      <c r="A6716" s="98" t="s">
        <v>6565</v>
      </c>
    </row>
    <row r="6717" spans="1:1" x14ac:dyDescent="0.25">
      <c r="A6717" s="96" t="s">
        <v>6566</v>
      </c>
    </row>
    <row r="6718" spans="1:1" x14ac:dyDescent="0.25">
      <c r="A6718" s="96" t="s">
        <v>6567</v>
      </c>
    </row>
    <row r="6719" spans="1:1" x14ac:dyDescent="0.25">
      <c r="A6719" s="98" t="s">
        <v>6568</v>
      </c>
    </row>
    <row r="6720" spans="1:1" x14ac:dyDescent="0.25">
      <c r="A6720" s="98" t="s">
        <v>6569</v>
      </c>
    </row>
    <row r="6721" spans="1:1" x14ac:dyDescent="0.25">
      <c r="A6721" s="98" t="s">
        <v>6570</v>
      </c>
    </row>
    <row r="6722" spans="1:1" x14ac:dyDescent="0.25">
      <c r="A6722" s="98" t="s">
        <v>6571</v>
      </c>
    </row>
    <row r="6723" spans="1:1" x14ac:dyDescent="0.25">
      <c r="A6723" s="96" t="s">
        <v>6572</v>
      </c>
    </row>
    <row r="6724" spans="1:1" x14ac:dyDescent="0.25">
      <c r="A6724" s="96" t="s">
        <v>6573</v>
      </c>
    </row>
    <row r="6725" spans="1:1" x14ac:dyDescent="0.25">
      <c r="A6725" s="98" t="s">
        <v>6574</v>
      </c>
    </row>
    <row r="6726" spans="1:1" x14ac:dyDescent="0.25">
      <c r="A6726" s="98" t="s">
        <v>6575</v>
      </c>
    </row>
    <row r="6727" spans="1:1" x14ac:dyDescent="0.25">
      <c r="A6727" s="98" t="s">
        <v>6576</v>
      </c>
    </row>
    <row r="6728" spans="1:1" x14ac:dyDescent="0.25">
      <c r="A6728" s="98" t="s">
        <v>6577</v>
      </c>
    </row>
    <row r="6729" spans="1:1" x14ac:dyDescent="0.25">
      <c r="A6729" s="96" t="s">
        <v>6578</v>
      </c>
    </row>
    <row r="6730" spans="1:1" x14ac:dyDescent="0.25">
      <c r="A6730" s="96" t="s">
        <v>6579</v>
      </c>
    </row>
    <row r="6731" spans="1:1" x14ac:dyDescent="0.25">
      <c r="A6731" s="98" t="s">
        <v>6580</v>
      </c>
    </row>
    <row r="6732" spans="1:1" x14ac:dyDescent="0.25">
      <c r="A6732" s="98" t="s">
        <v>6581</v>
      </c>
    </row>
    <row r="6733" spans="1:1" x14ac:dyDescent="0.25">
      <c r="A6733" s="98" t="s">
        <v>6582</v>
      </c>
    </row>
    <row r="6734" spans="1:1" x14ac:dyDescent="0.25">
      <c r="A6734" s="98" t="s">
        <v>6583</v>
      </c>
    </row>
    <row r="6735" spans="1:1" x14ac:dyDescent="0.25">
      <c r="A6735" s="96" t="s">
        <v>6584</v>
      </c>
    </row>
    <row r="6736" spans="1:1" x14ac:dyDescent="0.25">
      <c r="A6736" s="96" t="s">
        <v>6585</v>
      </c>
    </row>
    <row r="6737" spans="1:1" x14ac:dyDescent="0.25">
      <c r="A6737" s="98" t="s">
        <v>6586</v>
      </c>
    </row>
    <row r="6738" spans="1:1" x14ac:dyDescent="0.25">
      <c r="A6738" s="98" t="s">
        <v>6587</v>
      </c>
    </row>
    <row r="6739" spans="1:1" x14ac:dyDescent="0.25">
      <c r="A6739" s="98" t="s">
        <v>6588</v>
      </c>
    </row>
    <row r="6740" spans="1:1" x14ac:dyDescent="0.25">
      <c r="A6740" s="98" t="s">
        <v>6589</v>
      </c>
    </row>
    <row r="6741" spans="1:1" x14ac:dyDescent="0.25">
      <c r="A6741" s="96" t="s">
        <v>6590</v>
      </c>
    </row>
    <row r="6742" spans="1:1" x14ac:dyDescent="0.25">
      <c r="A6742" s="96" t="s">
        <v>6591</v>
      </c>
    </row>
    <row r="6743" spans="1:1" x14ac:dyDescent="0.25">
      <c r="A6743" s="98" t="s">
        <v>6592</v>
      </c>
    </row>
    <row r="6744" spans="1:1" x14ac:dyDescent="0.25">
      <c r="A6744" s="98" t="s">
        <v>6593</v>
      </c>
    </row>
    <row r="6745" spans="1:1" x14ac:dyDescent="0.25">
      <c r="A6745" s="98" t="s">
        <v>6594</v>
      </c>
    </row>
    <row r="6746" spans="1:1" x14ac:dyDescent="0.25">
      <c r="A6746" s="98" t="s">
        <v>6595</v>
      </c>
    </row>
    <row r="6747" spans="1:1" x14ac:dyDescent="0.25">
      <c r="A6747" s="96" t="s">
        <v>6596</v>
      </c>
    </row>
    <row r="6748" spans="1:1" x14ac:dyDescent="0.25">
      <c r="A6748" s="96" t="s">
        <v>6597</v>
      </c>
    </row>
    <row r="6749" spans="1:1" x14ac:dyDescent="0.25">
      <c r="A6749" s="98" t="s">
        <v>6598</v>
      </c>
    </row>
    <row r="6750" spans="1:1" x14ac:dyDescent="0.25">
      <c r="A6750" s="98" t="s">
        <v>6599</v>
      </c>
    </row>
    <row r="6751" spans="1:1" x14ac:dyDescent="0.25">
      <c r="A6751" s="98" t="s">
        <v>6600</v>
      </c>
    </row>
    <row r="6752" spans="1:1" x14ac:dyDescent="0.25">
      <c r="A6752" s="98" t="s">
        <v>6601</v>
      </c>
    </row>
    <row r="6753" spans="1:1" x14ac:dyDescent="0.25">
      <c r="A6753" s="96" t="s">
        <v>6602</v>
      </c>
    </row>
    <row r="6754" spans="1:1" x14ac:dyDescent="0.25">
      <c r="A6754" s="96" t="s">
        <v>6603</v>
      </c>
    </row>
    <row r="6755" spans="1:1" x14ac:dyDescent="0.25">
      <c r="A6755" s="98" t="s">
        <v>6604</v>
      </c>
    </row>
    <row r="6756" spans="1:1" x14ac:dyDescent="0.25">
      <c r="A6756" s="98" t="s">
        <v>6605</v>
      </c>
    </row>
    <row r="6757" spans="1:1" x14ac:dyDescent="0.25">
      <c r="A6757" s="98" t="s">
        <v>6606</v>
      </c>
    </row>
    <row r="6758" spans="1:1" x14ac:dyDescent="0.25">
      <c r="A6758" s="98" t="s">
        <v>6607</v>
      </c>
    </row>
    <row r="6759" spans="1:1" x14ac:dyDescent="0.25">
      <c r="A6759" s="96" t="s">
        <v>6608</v>
      </c>
    </row>
    <row r="6760" spans="1:1" x14ac:dyDescent="0.25">
      <c r="A6760" s="96" t="s">
        <v>6609</v>
      </c>
    </row>
    <row r="6761" spans="1:1" x14ac:dyDescent="0.25">
      <c r="A6761" s="98" t="s">
        <v>6610</v>
      </c>
    </row>
    <row r="6762" spans="1:1" x14ac:dyDescent="0.25">
      <c r="A6762" s="98" t="s">
        <v>6611</v>
      </c>
    </row>
    <row r="6763" spans="1:1" x14ac:dyDescent="0.25">
      <c r="A6763" s="98" t="s">
        <v>6612</v>
      </c>
    </row>
    <row r="6764" spans="1:1" x14ac:dyDescent="0.25">
      <c r="A6764" s="98" t="s">
        <v>6613</v>
      </c>
    </row>
    <row r="6765" spans="1:1" x14ac:dyDescent="0.25">
      <c r="A6765" s="96" t="s">
        <v>6614</v>
      </c>
    </row>
    <row r="6766" spans="1:1" x14ac:dyDescent="0.25">
      <c r="A6766" s="96" t="s">
        <v>6615</v>
      </c>
    </row>
    <row r="6767" spans="1:1" x14ac:dyDescent="0.25">
      <c r="A6767" s="98" t="s">
        <v>6616</v>
      </c>
    </row>
    <row r="6768" spans="1:1" x14ac:dyDescent="0.25">
      <c r="A6768" s="98" t="s">
        <v>6617</v>
      </c>
    </row>
    <row r="6769" spans="1:1" x14ac:dyDescent="0.25">
      <c r="A6769" s="98" t="s">
        <v>6618</v>
      </c>
    </row>
    <row r="6770" spans="1:1" x14ac:dyDescent="0.25">
      <c r="A6770" s="98" t="s">
        <v>6619</v>
      </c>
    </row>
    <row r="6771" spans="1:1" x14ac:dyDescent="0.25">
      <c r="A6771" s="96" t="s">
        <v>6620</v>
      </c>
    </row>
    <row r="6772" spans="1:1" x14ac:dyDescent="0.25">
      <c r="A6772" s="96" t="s">
        <v>6621</v>
      </c>
    </row>
    <row r="6773" spans="1:1" x14ac:dyDescent="0.25">
      <c r="A6773" s="98" t="s">
        <v>6622</v>
      </c>
    </row>
    <row r="6774" spans="1:1" x14ac:dyDescent="0.25">
      <c r="A6774" s="98" t="s">
        <v>6623</v>
      </c>
    </row>
    <row r="6775" spans="1:1" x14ac:dyDescent="0.25">
      <c r="A6775" s="98" t="s">
        <v>6624</v>
      </c>
    </row>
    <row r="6776" spans="1:1" x14ac:dyDescent="0.25">
      <c r="A6776" s="98" t="s">
        <v>6625</v>
      </c>
    </row>
    <row r="6777" spans="1:1" x14ac:dyDescent="0.25">
      <c r="A6777" s="96" t="s">
        <v>6626</v>
      </c>
    </row>
    <row r="6778" spans="1:1" x14ac:dyDescent="0.25">
      <c r="A6778" s="96" t="s">
        <v>6627</v>
      </c>
    </row>
    <row r="6779" spans="1:1" x14ac:dyDescent="0.25">
      <c r="A6779" s="98" t="s">
        <v>6628</v>
      </c>
    </row>
    <row r="6780" spans="1:1" x14ac:dyDescent="0.25">
      <c r="A6780" s="98" t="s">
        <v>6629</v>
      </c>
    </row>
    <row r="6781" spans="1:1" x14ac:dyDescent="0.25">
      <c r="A6781" s="98" t="s">
        <v>6630</v>
      </c>
    </row>
    <row r="6782" spans="1:1" x14ac:dyDescent="0.25">
      <c r="A6782" s="98" t="s">
        <v>6631</v>
      </c>
    </row>
    <row r="6783" spans="1:1" x14ac:dyDescent="0.25">
      <c r="A6783" s="96" t="s">
        <v>6632</v>
      </c>
    </row>
    <row r="6784" spans="1:1" x14ac:dyDescent="0.25">
      <c r="A6784" s="96" t="s">
        <v>6633</v>
      </c>
    </row>
    <row r="6785" spans="1:1" x14ac:dyDescent="0.25">
      <c r="A6785" s="98" t="s">
        <v>6634</v>
      </c>
    </row>
    <row r="6786" spans="1:1" x14ac:dyDescent="0.25">
      <c r="A6786" s="98" t="s">
        <v>6635</v>
      </c>
    </row>
    <row r="6787" spans="1:1" x14ac:dyDescent="0.25">
      <c r="A6787" s="98" t="s">
        <v>6636</v>
      </c>
    </row>
    <row r="6788" spans="1:1" x14ac:dyDescent="0.25">
      <c r="A6788" s="98" t="s">
        <v>6637</v>
      </c>
    </row>
    <row r="6789" spans="1:1" x14ac:dyDescent="0.25">
      <c r="A6789" s="96" t="s">
        <v>6638</v>
      </c>
    </row>
    <row r="6790" spans="1:1" x14ac:dyDescent="0.25">
      <c r="A6790" s="96" t="s">
        <v>6639</v>
      </c>
    </row>
    <row r="6791" spans="1:1" x14ac:dyDescent="0.25">
      <c r="A6791" s="98" t="s">
        <v>6640</v>
      </c>
    </row>
    <row r="6792" spans="1:1" x14ac:dyDescent="0.25">
      <c r="A6792" s="96" t="s">
        <v>6641</v>
      </c>
    </row>
    <row r="6793" spans="1:1" x14ac:dyDescent="0.25">
      <c r="A6793" s="96" t="s">
        <v>6642</v>
      </c>
    </row>
    <row r="6794" spans="1:1" x14ac:dyDescent="0.25">
      <c r="A6794" s="96" t="s">
        <v>6643</v>
      </c>
    </row>
    <row r="6795" spans="1:1" x14ac:dyDescent="0.25">
      <c r="A6795" s="26" t="s">
        <v>6644</v>
      </c>
    </row>
    <row r="6796" spans="1:1" x14ac:dyDescent="0.25">
      <c r="A6796" s="98" t="s">
        <v>6645</v>
      </c>
    </row>
    <row r="6797" spans="1:1" x14ac:dyDescent="0.25">
      <c r="A6797" s="96" t="s">
        <v>6646</v>
      </c>
    </row>
    <row r="6798" spans="1:1" x14ac:dyDescent="0.25">
      <c r="A6798" s="98" t="s">
        <v>6647</v>
      </c>
    </row>
    <row r="6799" spans="1:1" x14ac:dyDescent="0.25">
      <c r="A6799" s="98" t="s">
        <v>6648</v>
      </c>
    </row>
    <row r="6800" spans="1:1" x14ac:dyDescent="0.25">
      <c r="A6800" s="26" t="s">
        <v>6649</v>
      </c>
    </row>
    <row r="6801" spans="1:1" x14ac:dyDescent="0.25">
      <c r="A6801" s="26" t="s">
        <v>6650</v>
      </c>
    </row>
    <row r="6802" spans="1:1" x14ac:dyDescent="0.25">
      <c r="A6802" s="26" t="s">
        <v>6651</v>
      </c>
    </row>
    <row r="6803" spans="1:1" x14ac:dyDescent="0.25">
      <c r="A6803" s="96" t="s">
        <v>6652</v>
      </c>
    </row>
    <row r="6804" spans="1:1" x14ac:dyDescent="0.25">
      <c r="A6804" s="98" t="s">
        <v>6653</v>
      </c>
    </row>
    <row r="6805" spans="1:1" x14ac:dyDescent="0.25">
      <c r="A6805" s="96" t="s">
        <v>6654</v>
      </c>
    </row>
    <row r="6806" spans="1:1" x14ac:dyDescent="0.25">
      <c r="A6806" s="98" t="s">
        <v>6655</v>
      </c>
    </row>
    <row r="6807" spans="1:1" x14ac:dyDescent="0.25">
      <c r="A6807" s="98" t="s">
        <v>6656</v>
      </c>
    </row>
    <row r="6808" spans="1:1" x14ac:dyDescent="0.25">
      <c r="A6808" s="96" t="s">
        <v>6657</v>
      </c>
    </row>
    <row r="6809" spans="1:1" x14ac:dyDescent="0.25">
      <c r="A6809" s="96" t="s">
        <v>6658</v>
      </c>
    </row>
    <row r="6810" spans="1:1" x14ac:dyDescent="0.25">
      <c r="A6810" s="96" t="s">
        <v>6659</v>
      </c>
    </row>
    <row r="6811" spans="1:1" x14ac:dyDescent="0.25">
      <c r="A6811" s="26" t="s">
        <v>6660</v>
      </c>
    </row>
    <row r="6812" spans="1:1" x14ac:dyDescent="0.25">
      <c r="A6812" s="98" t="s">
        <v>6661</v>
      </c>
    </row>
    <row r="6813" spans="1:1" x14ac:dyDescent="0.25">
      <c r="A6813" s="96" t="s">
        <v>6662</v>
      </c>
    </row>
    <row r="6814" spans="1:1" x14ac:dyDescent="0.25">
      <c r="A6814" s="98" t="s">
        <v>6663</v>
      </c>
    </row>
    <row r="6815" spans="1:1" x14ac:dyDescent="0.25">
      <c r="A6815" s="98" t="s">
        <v>6664</v>
      </c>
    </row>
    <row r="6816" spans="1:1" x14ac:dyDescent="0.25">
      <c r="A6816" s="26" t="s">
        <v>6665</v>
      </c>
    </row>
    <row r="6817" spans="1:1" x14ac:dyDescent="0.25">
      <c r="A6817" s="26" t="s">
        <v>6666</v>
      </c>
    </row>
    <row r="6818" spans="1:1" x14ac:dyDescent="0.25">
      <c r="A6818" s="26" t="s">
        <v>6667</v>
      </c>
    </row>
    <row r="6819" spans="1:1" x14ac:dyDescent="0.25">
      <c r="A6819" s="96" t="s">
        <v>6668</v>
      </c>
    </row>
    <row r="6820" spans="1:1" x14ac:dyDescent="0.25">
      <c r="A6820" s="98" t="s">
        <v>6669</v>
      </c>
    </row>
    <row r="6821" spans="1:1" x14ac:dyDescent="0.25">
      <c r="A6821" s="96" t="s">
        <v>6670</v>
      </c>
    </row>
    <row r="6822" spans="1:1" x14ac:dyDescent="0.25">
      <c r="A6822" s="98" t="s">
        <v>6671</v>
      </c>
    </row>
    <row r="6823" spans="1:1" x14ac:dyDescent="0.25">
      <c r="A6823" s="98" t="s">
        <v>6672</v>
      </c>
    </row>
    <row r="6824" spans="1:1" x14ac:dyDescent="0.25">
      <c r="A6824" s="96" t="s">
        <v>6673</v>
      </c>
    </row>
    <row r="6825" spans="1:1" x14ac:dyDescent="0.25">
      <c r="A6825" s="96" t="s">
        <v>6674</v>
      </c>
    </row>
    <row r="6826" spans="1:1" x14ac:dyDescent="0.25">
      <c r="A6826" s="96" t="s">
        <v>6675</v>
      </c>
    </row>
    <row r="6827" spans="1:1" x14ac:dyDescent="0.25">
      <c r="A6827" s="26" t="s">
        <v>6676</v>
      </c>
    </row>
    <row r="6828" spans="1:1" x14ac:dyDescent="0.25">
      <c r="A6828" s="98" t="s">
        <v>6677</v>
      </c>
    </row>
    <row r="6829" spans="1:1" x14ac:dyDescent="0.25">
      <c r="A6829" s="96" t="s">
        <v>6678</v>
      </c>
    </row>
    <row r="6830" spans="1:1" x14ac:dyDescent="0.25">
      <c r="A6830" s="98" t="s">
        <v>6679</v>
      </c>
    </row>
    <row r="6831" spans="1:1" x14ac:dyDescent="0.25">
      <c r="A6831" s="98" t="s">
        <v>6680</v>
      </c>
    </row>
    <row r="6832" spans="1:1" x14ac:dyDescent="0.25">
      <c r="A6832" s="26" t="s">
        <v>6681</v>
      </c>
    </row>
    <row r="6833" spans="1:1" x14ac:dyDescent="0.25">
      <c r="A6833" s="26" t="s">
        <v>6682</v>
      </c>
    </row>
    <row r="6834" spans="1:1" x14ac:dyDescent="0.25">
      <c r="A6834" s="26" t="s">
        <v>6683</v>
      </c>
    </row>
    <row r="6835" spans="1:1" x14ac:dyDescent="0.25">
      <c r="A6835" s="96" t="s">
        <v>6684</v>
      </c>
    </row>
    <row r="6836" spans="1:1" x14ac:dyDescent="0.25">
      <c r="A6836" s="98" t="s">
        <v>6685</v>
      </c>
    </row>
    <row r="6837" spans="1:1" x14ac:dyDescent="0.25">
      <c r="A6837" s="96" t="s">
        <v>6686</v>
      </c>
    </row>
    <row r="6838" spans="1:1" x14ac:dyDescent="0.25">
      <c r="A6838" s="98" t="s">
        <v>6687</v>
      </c>
    </row>
    <row r="6839" spans="1:1" x14ac:dyDescent="0.25">
      <c r="A6839" s="98" t="s">
        <v>6688</v>
      </c>
    </row>
    <row r="6840" spans="1:1" x14ac:dyDescent="0.25">
      <c r="A6840" s="98" t="s">
        <v>6689</v>
      </c>
    </row>
    <row r="6841" spans="1:1" x14ac:dyDescent="0.25">
      <c r="A6841" s="98" t="s">
        <v>6690</v>
      </c>
    </row>
    <row r="6842" spans="1:1" x14ac:dyDescent="0.25">
      <c r="A6842" s="98" t="s">
        <v>6691</v>
      </c>
    </row>
    <row r="6843" spans="1:1" x14ac:dyDescent="0.25">
      <c r="A6843" s="96" t="s">
        <v>6692</v>
      </c>
    </row>
    <row r="6844" spans="1:1" x14ac:dyDescent="0.25">
      <c r="A6844" s="96" t="s">
        <v>6693</v>
      </c>
    </row>
    <row r="6845" spans="1:1" x14ac:dyDescent="0.25">
      <c r="A6845" s="98" t="s">
        <v>6694</v>
      </c>
    </row>
    <row r="6846" spans="1:1" x14ac:dyDescent="0.25">
      <c r="A6846" s="98" t="s">
        <v>6695</v>
      </c>
    </row>
    <row r="6847" spans="1:1" x14ac:dyDescent="0.25">
      <c r="A6847" s="98" t="s">
        <v>6696</v>
      </c>
    </row>
    <row r="6848" spans="1:1" x14ac:dyDescent="0.25">
      <c r="A6848" s="98" t="s">
        <v>6697</v>
      </c>
    </row>
    <row r="6849" spans="1:1" x14ac:dyDescent="0.25">
      <c r="A6849" s="96" t="s">
        <v>6698</v>
      </c>
    </row>
    <row r="6850" spans="1:1" x14ac:dyDescent="0.25">
      <c r="A6850" s="96" t="s">
        <v>6699</v>
      </c>
    </row>
    <row r="6851" spans="1:1" x14ac:dyDescent="0.25">
      <c r="A6851" s="98" t="s">
        <v>6700</v>
      </c>
    </row>
    <row r="6852" spans="1:1" x14ac:dyDescent="0.25">
      <c r="A6852" s="98" t="s">
        <v>6701</v>
      </c>
    </row>
    <row r="6853" spans="1:1" x14ac:dyDescent="0.25">
      <c r="A6853" s="98" t="s">
        <v>6702</v>
      </c>
    </row>
    <row r="6854" spans="1:1" x14ac:dyDescent="0.25">
      <c r="A6854" s="98" t="s">
        <v>6703</v>
      </c>
    </row>
    <row r="6855" spans="1:1" x14ac:dyDescent="0.25">
      <c r="A6855" s="96" t="s">
        <v>6704</v>
      </c>
    </row>
    <row r="6856" spans="1:1" x14ac:dyDescent="0.25">
      <c r="A6856" s="96" t="s">
        <v>6705</v>
      </c>
    </row>
    <row r="6857" spans="1:1" x14ac:dyDescent="0.25">
      <c r="A6857" s="98" t="s">
        <v>6706</v>
      </c>
    </row>
    <row r="6858" spans="1:1" x14ac:dyDescent="0.25">
      <c r="A6858" s="98" t="s">
        <v>6707</v>
      </c>
    </row>
    <row r="6859" spans="1:1" x14ac:dyDescent="0.25">
      <c r="A6859" s="98" t="s">
        <v>6708</v>
      </c>
    </row>
    <row r="6860" spans="1:1" x14ac:dyDescent="0.25">
      <c r="A6860" s="98" t="s">
        <v>6709</v>
      </c>
    </row>
    <row r="6861" spans="1:1" x14ac:dyDescent="0.25">
      <c r="A6861" s="96" t="s">
        <v>6710</v>
      </c>
    </row>
    <row r="6862" spans="1:1" x14ac:dyDescent="0.25">
      <c r="A6862" s="96" t="s">
        <v>6711</v>
      </c>
    </row>
    <row r="6863" spans="1:1" x14ac:dyDescent="0.25">
      <c r="A6863" s="98" t="s">
        <v>6712</v>
      </c>
    </row>
    <row r="6864" spans="1:1" x14ac:dyDescent="0.25">
      <c r="A6864" s="98" t="s">
        <v>6713</v>
      </c>
    </row>
    <row r="6865" spans="1:1" x14ac:dyDescent="0.25">
      <c r="A6865" s="98" t="s">
        <v>6714</v>
      </c>
    </row>
    <row r="6866" spans="1:1" x14ac:dyDescent="0.25">
      <c r="A6866" s="98" t="s">
        <v>6715</v>
      </c>
    </row>
    <row r="6867" spans="1:1" x14ac:dyDescent="0.25">
      <c r="A6867" s="96" t="s">
        <v>6716</v>
      </c>
    </row>
    <row r="6868" spans="1:1" x14ac:dyDescent="0.25">
      <c r="A6868" s="96" t="s">
        <v>6717</v>
      </c>
    </row>
    <row r="6869" spans="1:1" x14ac:dyDescent="0.25">
      <c r="A6869" s="98" t="s">
        <v>6718</v>
      </c>
    </row>
    <row r="6870" spans="1:1" x14ac:dyDescent="0.25">
      <c r="A6870" s="98" t="s">
        <v>6719</v>
      </c>
    </row>
    <row r="6871" spans="1:1" x14ac:dyDescent="0.25">
      <c r="A6871" s="98" t="s">
        <v>6720</v>
      </c>
    </row>
    <row r="6872" spans="1:1" x14ac:dyDescent="0.25">
      <c r="A6872" s="98" t="s">
        <v>6721</v>
      </c>
    </row>
    <row r="6873" spans="1:1" x14ac:dyDescent="0.25">
      <c r="A6873" s="96" t="s">
        <v>6722</v>
      </c>
    </row>
    <row r="6874" spans="1:1" x14ac:dyDescent="0.25">
      <c r="A6874" s="96" t="s">
        <v>6723</v>
      </c>
    </row>
    <row r="6875" spans="1:1" x14ac:dyDescent="0.25">
      <c r="A6875" s="98" t="s">
        <v>6724</v>
      </c>
    </row>
    <row r="6876" spans="1:1" x14ac:dyDescent="0.25">
      <c r="A6876" s="98" t="s">
        <v>6725</v>
      </c>
    </row>
    <row r="6877" spans="1:1" x14ac:dyDescent="0.25">
      <c r="A6877" s="98" t="s">
        <v>6726</v>
      </c>
    </row>
    <row r="6878" spans="1:1" x14ac:dyDescent="0.25">
      <c r="A6878" s="98" t="s">
        <v>6727</v>
      </c>
    </row>
    <row r="6879" spans="1:1" x14ac:dyDescent="0.25">
      <c r="A6879" s="96" t="s">
        <v>6728</v>
      </c>
    </row>
    <row r="6880" spans="1:1" x14ac:dyDescent="0.25">
      <c r="A6880" s="96" t="s">
        <v>6729</v>
      </c>
    </row>
    <row r="6881" spans="1:1" x14ac:dyDescent="0.25">
      <c r="A6881" s="98" t="s">
        <v>6730</v>
      </c>
    </row>
    <row r="6882" spans="1:1" x14ac:dyDescent="0.25">
      <c r="A6882" s="98" t="s">
        <v>6731</v>
      </c>
    </row>
    <row r="6883" spans="1:1" x14ac:dyDescent="0.25">
      <c r="A6883" s="98" t="s">
        <v>6732</v>
      </c>
    </row>
    <row r="6884" spans="1:1" x14ac:dyDescent="0.25">
      <c r="A6884" s="98" t="s">
        <v>6733</v>
      </c>
    </row>
    <row r="6885" spans="1:1" x14ac:dyDescent="0.25">
      <c r="A6885" s="96" t="s">
        <v>6734</v>
      </c>
    </row>
    <row r="6886" spans="1:1" x14ac:dyDescent="0.25">
      <c r="A6886" s="96" t="s">
        <v>6735</v>
      </c>
    </row>
    <row r="6887" spans="1:1" x14ac:dyDescent="0.25">
      <c r="A6887" s="98" t="s">
        <v>6736</v>
      </c>
    </row>
    <row r="6888" spans="1:1" x14ac:dyDescent="0.25">
      <c r="A6888" s="98" t="s">
        <v>6737</v>
      </c>
    </row>
    <row r="6889" spans="1:1" x14ac:dyDescent="0.25">
      <c r="A6889" s="98" t="s">
        <v>6738</v>
      </c>
    </row>
    <row r="6890" spans="1:1" x14ac:dyDescent="0.25">
      <c r="A6890" s="98" t="s">
        <v>6739</v>
      </c>
    </row>
    <row r="6891" spans="1:1" x14ac:dyDescent="0.25">
      <c r="A6891" s="96" t="s">
        <v>6740</v>
      </c>
    </row>
    <row r="6892" spans="1:1" x14ac:dyDescent="0.25">
      <c r="A6892" s="96" t="s">
        <v>6741</v>
      </c>
    </row>
    <row r="6893" spans="1:1" x14ac:dyDescent="0.25">
      <c r="A6893" s="98" t="s">
        <v>6742</v>
      </c>
    </row>
    <row r="6894" spans="1:1" x14ac:dyDescent="0.25">
      <c r="A6894" s="98" t="s">
        <v>6743</v>
      </c>
    </row>
    <row r="6895" spans="1:1" x14ac:dyDescent="0.25">
      <c r="A6895" s="98" t="s">
        <v>6744</v>
      </c>
    </row>
    <row r="6896" spans="1:1" x14ac:dyDescent="0.25">
      <c r="A6896" s="98" t="s">
        <v>6745</v>
      </c>
    </row>
    <row r="6897" spans="1:1" x14ac:dyDescent="0.25">
      <c r="A6897" s="96" t="s">
        <v>6746</v>
      </c>
    </row>
    <row r="6898" spans="1:1" x14ac:dyDescent="0.25">
      <c r="A6898" s="96" t="s">
        <v>6747</v>
      </c>
    </row>
    <row r="6899" spans="1:1" x14ac:dyDescent="0.25">
      <c r="A6899" s="98" t="s">
        <v>6748</v>
      </c>
    </row>
    <row r="6900" spans="1:1" x14ac:dyDescent="0.25">
      <c r="A6900" s="96" t="s">
        <v>6749</v>
      </c>
    </row>
    <row r="6901" spans="1:1" x14ac:dyDescent="0.25">
      <c r="A6901" s="98" t="s">
        <v>6750</v>
      </c>
    </row>
    <row r="6902" spans="1:1" x14ac:dyDescent="0.25">
      <c r="A6902" s="96" t="s">
        <v>6751</v>
      </c>
    </row>
    <row r="6903" spans="1:1" x14ac:dyDescent="0.25">
      <c r="A6903" s="98" t="s">
        <v>6752</v>
      </c>
    </row>
    <row r="6904" spans="1:1" x14ac:dyDescent="0.25">
      <c r="A6904" s="98" t="s">
        <v>6753</v>
      </c>
    </row>
    <row r="6905" spans="1:1" x14ac:dyDescent="0.25">
      <c r="A6905" s="96" t="s">
        <v>6754</v>
      </c>
    </row>
    <row r="6906" spans="1:1" x14ac:dyDescent="0.25">
      <c r="A6906" s="26" t="s">
        <v>6755</v>
      </c>
    </row>
    <row r="6907" spans="1:1" x14ac:dyDescent="0.25">
      <c r="A6907" s="96" t="s">
        <v>6756</v>
      </c>
    </row>
    <row r="6908" spans="1:1" x14ac:dyDescent="0.25">
      <c r="A6908" t="s">
        <v>6759</v>
      </c>
    </row>
    <row r="6909" spans="1:1" x14ac:dyDescent="0.25">
      <c r="A6909" t="s">
        <v>6760</v>
      </c>
    </row>
    <row r="6910" spans="1:1" x14ac:dyDescent="0.25">
      <c r="A6910" s="96" t="s">
        <v>6761</v>
      </c>
    </row>
    <row r="6911" spans="1:1" x14ac:dyDescent="0.25">
      <c r="A6911" s="96" t="s">
        <v>6762</v>
      </c>
    </row>
    <row r="6912" spans="1:1" x14ac:dyDescent="0.25">
      <c r="A6912" s="96" t="s">
        <v>6763</v>
      </c>
    </row>
    <row r="6913" spans="1:1" x14ac:dyDescent="0.25">
      <c r="A6913" s="98" t="s">
        <v>6764</v>
      </c>
    </row>
    <row r="6914" spans="1:1" x14ac:dyDescent="0.25">
      <c r="A6914" s="96" t="s">
        <v>6765</v>
      </c>
    </row>
    <row r="6915" spans="1:1" x14ac:dyDescent="0.25">
      <c r="A6915" s="98" t="s">
        <v>6766</v>
      </c>
    </row>
    <row r="6916" spans="1:1" x14ac:dyDescent="0.25">
      <c r="A6916" s="98" t="s">
        <v>6767</v>
      </c>
    </row>
    <row r="6917" spans="1:1" x14ac:dyDescent="0.25">
      <c r="A6917" s="96" t="s">
        <v>6768</v>
      </c>
    </row>
    <row r="6918" spans="1:1" x14ac:dyDescent="0.25">
      <c r="A6918" s="98" t="s">
        <v>6769</v>
      </c>
    </row>
    <row r="6919" spans="1:1" x14ac:dyDescent="0.25">
      <c r="A6919" s="96" t="s">
        <v>6770</v>
      </c>
    </row>
    <row r="6920" spans="1:1" x14ac:dyDescent="0.25">
      <c r="A6920" s="98" t="s">
        <v>6771</v>
      </c>
    </row>
    <row r="6921" spans="1:1" x14ac:dyDescent="0.25">
      <c r="A6921" s="98" t="s">
        <v>6772</v>
      </c>
    </row>
    <row r="6922" spans="1:1" x14ac:dyDescent="0.25">
      <c r="A6922" s="96" t="s">
        <v>6773</v>
      </c>
    </row>
    <row r="6923" spans="1:1" x14ac:dyDescent="0.25">
      <c r="A6923" s="26" t="s">
        <v>6774</v>
      </c>
    </row>
    <row r="6924" spans="1:1" x14ac:dyDescent="0.25">
      <c r="A6924" s="96" t="s">
        <v>6775</v>
      </c>
    </row>
    <row r="6925" spans="1:1" x14ac:dyDescent="0.25">
      <c r="A6925" t="s">
        <v>6777</v>
      </c>
    </row>
    <row r="6926" spans="1:1" x14ac:dyDescent="0.25">
      <c r="A6926" t="s">
        <v>6778</v>
      </c>
    </row>
    <row r="6927" spans="1:1" x14ac:dyDescent="0.25">
      <c r="A6927" s="96" t="s">
        <v>6779</v>
      </c>
    </row>
    <row r="6928" spans="1:1" x14ac:dyDescent="0.25">
      <c r="A6928" s="96" t="s">
        <v>6780</v>
      </c>
    </row>
    <row r="6929" spans="1:1" x14ac:dyDescent="0.25">
      <c r="A6929" s="96" t="s">
        <v>6781</v>
      </c>
    </row>
    <row r="6930" spans="1:1" x14ac:dyDescent="0.25">
      <c r="A6930" s="98" t="s">
        <v>6782</v>
      </c>
    </row>
    <row r="6931" spans="1:1" x14ac:dyDescent="0.25">
      <c r="A6931" s="96" t="s">
        <v>6783</v>
      </c>
    </row>
    <row r="6932" spans="1:1" x14ac:dyDescent="0.25">
      <c r="A6932" s="26" t="s">
        <v>6784</v>
      </c>
    </row>
    <row r="6933" spans="1:1" x14ac:dyDescent="0.25">
      <c r="A6933" s="98" t="s">
        <v>6785</v>
      </c>
    </row>
    <row r="6934" spans="1:1" x14ac:dyDescent="0.25">
      <c r="A6934" s="98" t="s">
        <v>6786</v>
      </c>
    </row>
    <row r="6935" spans="1:1" x14ac:dyDescent="0.25">
      <c r="A6935" s="96" t="s">
        <v>6787</v>
      </c>
    </row>
    <row r="6936" spans="1:1" x14ac:dyDescent="0.25">
      <c r="A6936" s="98" t="s">
        <v>6788</v>
      </c>
    </row>
    <row r="6937" spans="1:1" x14ac:dyDescent="0.25">
      <c r="A6937" s="96" t="s">
        <v>6789</v>
      </c>
    </row>
    <row r="6938" spans="1:1" x14ac:dyDescent="0.25">
      <c r="A6938" s="26" t="s">
        <v>6790</v>
      </c>
    </row>
    <row r="6939" spans="1:1" x14ac:dyDescent="0.25">
      <c r="A6939" s="98" t="s">
        <v>6791</v>
      </c>
    </row>
    <row r="6940" spans="1:1" x14ac:dyDescent="0.25">
      <c r="A6940" s="98" t="s">
        <v>6792</v>
      </c>
    </row>
    <row r="6941" spans="1:1" x14ac:dyDescent="0.25">
      <c r="A6941" s="96" t="s">
        <v>6793</v>
      </c>
    </row>
    <row r="6942" spans="1:1" x14ac:dyDescent="0.25">
      <c r="A6942" s="98" t="s">
        <v>6794</v>
      </c>
    </row>
    <row r="6943" spans="1:1" x14ac:dyDescent="0.25">
      <c r="A6943" s="96" t="s">
        <v>6795</v>
      </c>
    </row>
    <row r="6944" spans="1:1" x14ac:dyDescent="0.25">
      <c r="A6944" s="26" t="s">
        <v>6796</v>
      </c>
    </row>
    <row r="6945" spans="1:1" x14ac:dyDescent="0.25">
      <c r="A6945" s="98" t="s">
        <v>6797</v>
      </c>
    </row>
    <row r="6946" spans="1:1" x14ac:dyDescent="0.25">
      <c r="A6946" s="98" t="s">
        <v>6798</v>
      </c>
    </row>
    <row r="6947" spans="1:1" x14ac:dyDescent="0.25">
      <c r="A6947" s="98" t="s">
        <v>6799</v>
      </c>
    </row>
    <row r="6948" spans="1:1" x14ac:dyDescent="0.25">
      <c r="A6948" s="98" t="s">
        <v>6800</v>
      </c>
    </row>
    <row r="6949" spans="1:1" x14ac:dyDescent="0.25">
      <c r="A6949" s="98" t="s">
        <v>6801</v>
      </c>
    </row>
    <row r="6950" spans="1:1" x14ac:dyDescent="0.25">
      <c r="A6950" s="96" t="s">
        <v>6802</v>
      </c>
    </row>
    <row r="6951" spans="1:1" x14ac:dyDescent="0.25">
      <c r="A6951" s="96" t="s">
        <v>6803</v>
      </c>
    </row>
    <row r="6952" spans="1:1" x14ac:dyDescent="0.25">
      <c r="A6952" s="98" t="s">
        <v>6804</v>
      </c>
    </row>
    <row r="6953" spans="1:1" x14ac:dyDescent="0.25">
      <c r="A6953" s="96" t="s">
        <v>6805</v>
      </c>
    </row>
    <row r="6954" spans="1:1" x14ac:dyDescent="0.25">
      <c r="A6954" s="98" t="s">
        <v>6806</v>
      </c>
    </row>
    <row r="6955" spans="1:1" x14ac:dyDescent="0.25">
      <c r="A6955" s="98" t="s">
        <v>6807</v>
      </c>
    </row>
    <row r="6956" spans="1:1" x14ac:dyDescent="0.25">
      <c r="A6956" s="98" t="s">
        <v>6808</v>
      </c>
    </row>
    <row r="6957" spans="1:1" x14ac:dyDescent="0.25">
      <c r="A6957" s="98" t="s">
        <v>6809</v>
      </c>
    </row>
    <row r="6958" spans="1:1" x14ac:dyDescent="0.25">
      <c r="A6958" s="98" t="s">
        <v>6810</v>
      </c>
    </row>
    <row r="6959" spans="1:1" x14ac:dyDescent="0.25">
      <c r="A6959" s="96" t="s">
        <v>6811</v>
      </c>
    </row>
    <row r="6960" spans="1:1" x14ac:dyDescent="0.25">
      <c r="A6960" s="96" t="s">
        <v>6812</v>
      </c>
    </row>
    <row r="6961" spans="1:1" x14ac:dyDescent="0.25">
      <c r="A6961" s="98" t="s">
        <v>6813</v>
      </c>
    </row>
    <row r="6962" spans="1:1" x14ac:dyDescent="0.25">
      <c r="A6962" s="96" t="s">
        <v>6814</v>
      </c>
    </row>
    <row r="6963" spans="1:1" x14ac:dyDescent="0.25">
      <c r="A6963" s="98" t="s">
        <v>6815</v>
      </c>
    </row>
    <row r="6964" spans="1:1" x14ac:dyDescent="0.25">
      <c r="A6964" s="98" t="s">
        <v>6816</v>
      </c>
    </row>
    <row r="6965" spans="1:1" x14ac:dyDescent="0.25">
      <c r="A6965" s="98" t="s">
        <v>6817</v>
      </c>
    </row>
    <row r="6966" spans="1:1" x14ac:dyDescent="0.25">
      <c r="A6966" s="98" t="s">
        <v>6818</v>
      </c>
    </row>
    <row r="6967" spans="1:1" x14ac:dyDescent="0.25">
      <c r="A6967" s="98" t="s">
        <v>6819</v>
      </c>
    </row>
    <row r="6968" spans="1:1" x14ac:dyDescent="0.25">
      <c r="A6968" s="96" t="s">
        <v>6820</v>
      </c>
    </row>
    <row r="6969" spans="1:1" x14ac:dyDescent="0.25">
      <c r="A6969" s="96" t="s">
        <v>6821</v>
      </c>
    </row>
    <row r="6970" spans="1:1" x14ac:dyDescent="0.25">
      <c r="A6970" s="98" t="s">
        <v>6822</v>
      </c>
    </row>
    <row r="6971" spans="1:1" x14ac:dyDescent="0.25">
      <c r="A6971" s="96" t="s">
        <v>6823</v>
      </c>
    </row>
    <row r="6972" spans="1:1" x14ac:dyDescent="0.25">
      <c r="A6972" s="98" t="s">
        <v>6824</v>
      </c>
    </row>
    <row r="6973" spans="1:1" x14ac:dyDescent="0.25">
      <c r="A6973" s="98" t="s">
        <v>6825</v>
      </c>
    </row>
    <row r="6974" spans="1:1" x14ac:dyDescent="0.25">
      <c r="A6974" s="98" t="s">
        <v>6826</v>
      </c>
    </row>
    <row r="6975" spans="1:1" x14ac:dyDescent="0.25">
      <c r="A6975" s="98" t="s">
        <v>6827</v>
      </c>
    </row>
    <row r="6976" spans="1:1" x14ac:dyDescent="0.25">
      <c r="A6976" s="98" t="s">
        <v>6828</v>
      </c>
    </row>
    <row r="6977" spans="1:1" x14ac:dyDescent="0.25">
      <c r="A6977" s="96" t="s">
        <v>6829</v>
      </c>
    </row>
    <row r="6978" spans="1:1" x14ac:dyDescent="0.25">
      <c r="A6978" s="96" t="s">
        <v>6830</v>
      </c>
    </row>
    <row r="6979" spans="1:1" x14ac:dyDescent="0.25">
      <c r="A6979" s="98" t="s">
        <v>6831</v>
      </c>
    </row>
    <row r="6980" spans="1:1" x14ac:dyDescent="0.25">
      <c r="A6980" s="96" t="s">
        <v>6832</v>
      </c>
    </row>
    <row r="6981" spans="1:1" x14ac:dyDescent="0.25">
      <c r="A6981" s="98" t="s">
        <v>6833</v>
      </c>
    </row>
    <row r="6982" spans="1:1" x14ac:dyDescent="0.25">
      <c r="A6982" s="98" t="s">
        <v>6834</v>
      </c>
    </row>
    <row r="6983" spans="1:1" x14ac:dyDescent="0.25">
      <c r="A6983" s="98" t="s">
        <v>6835</v>
      </c>
    </row>
    <row r="6984" spans="1:1" x14ac:dyDescent="0.25">
      <c r="A6984" s="98" t="s">
        <v>6836</v>
      </c>
    </row>
    <row r="6985" spans="1:1" x14ac:dyDescent="0.25">
      <c r="A6985" s="98" t="s">
        <v>6837</v>
      </c>
    </row>
    <row r="6986" spans="1:1" x14ac:dyDescent="0.25">
      <c r="A6986" s="96" t="s">
        <v>6838</v>
      </c>
    </row>
    <row r="6987" spans="1:1" x14ac:dyDescent="0.25">
      <c r="A6987" s="96" t="s">
        <v>6839</v>
      </c>
    </row>
    <row r="6988" spans="1:1" x14ac:dyDescent="0.25">
      <c r="A6988" s="98" t="s">
        <v>6840</v>
      </c>
    </row>
    <row r="6989" spans="1:1" x14ac:dyDescent="0.25">
      <c r="A6989" s="96" t="s">
        <v>6841</v>
      </c>
    </row>
    <row r="6990" spans="1:1" x14ac:dyDescent="0.25">
      <c r="A6990" s="98" t="s">
        <v>6842</v>
      </c>
    </row>
    <row r="6991" spans="1:1" x14ac:dyDescent="0.25">
      <c r="A6991" s="98" t="s">
        <v>6843</v>
      </c>
    </row>
    <row r="6992" spans="1:1" x14ac:dyDescent="0.25">
      <c r="A6992" s="98" t="s">
        <v>6844</v>
      </c>
    </row>
    <row r="6993" spans="1:1" x14ac:dyDescent="0.25">
      <c r="A6993" s="98" t="s">
        <v>6845</v>
      </c>
    </row>
    <row r="6994" spans="1:1" x14ac:dyDescent="0.25">
      <c r="A6994" s="98" t="s">
        <v>6846</v>
      </c>
    </row>
    <row r="6995" spans="1:1" x14ac:dyDescent="0.25">
      <c r="A6995" s="96" t="s">
        <v>6847</v>
      </c>
    </row>
    <row r="6996" spans="1:1" x14ac:dyDescent="0.25">
      <c r="A6996" s="96" t="s">
        <v>6848</v>
      </c>
    </row>
    <row r="6997" spans="1:1" x14ac:dyDescent="0.25">
      <c r="A6997" s="98" t="s">
        <v>6849</v>
      </c>
    </row>
    <row r="6998" spans="1:1" x14ac:dyDescent="0.25">
      <c r="A6998" s="96" t="s">
        <v>6850</v>
      </c>
    </row>
    <row r="6999" spans="1:1" x14ac:dyDescent="0.25">
      <c r="A6999" s="98" t="s">
        <v>6851</v>
      </c>
    </row>
    <row r="7000" spans="1:1" x14ac:dyDescent="0.25">
      <c r="A7000" s="98" t="s">
        <v>6852</v>
      </c>
    </row>
    <row r="7001" spans="1:1" x14ac:dyDescent="0.25">
      <c r="A7001" s="98" t="s">
        <v>6853</v>
      </c>
    </row>
    <row r="7002" spans="1:1" x14ac:dyDescent="0.25">
      <c r="A7002" s="98" t="s">
        <v>6854</v>
      </c>
    </row>
    <row r="7003" spans="1:1" x14ac:dyDescent="0.25">
      <c r="A7003" s="98" t="s">
        <v>6855</v>
      </c>
    </row>
    <row r="7004" spans="1:1" x14ac:dyDescent="0.25">
      <c r="A7004" s="96" t="s">
        <v>6856</v>
      </c>
    </row>
    <row r="7005" spans="1:1" x14ac:dyDescent="0.25">
      <c r="A7005" s="96" t="s">
        <v>6857</v>
      </c>
    </row>
    <row r="7006" spans="1:1" x14ac:dyDescent="0.25">
      <c r="A7006" s="98" t="s">
        <v>6858</v>
      </c>
    </row>
    <row r="7007" spans="1:1" x14ac:dyDescent="0.25">
      <c r="A7007" s="96" t="s">
        <v>6859</v>
      </c>
    </row>
    <row r="7008" spans="1:1" x14ac:dyDescent="0.25">
      <c r="A7008" s="98" t="s">
        <v>6860</v>
      </c>
    </row>
    <row r="7009" spans="1:1" x14ac:dyDescent="0.25">
      <c r="A7009" s="98" t="s">
        <v>6861</v>
      </c>
    </row>
    <row r="7010" spans="1:1" x14ac:dyDescent="0.25">
      <c r="A7010" s="98" t="s">
        <v>6862</v>
      </c>
    </row>
    <row r="7011" spans="1:1" x14ac:dyDescent="0.25">
      <c r="A7011" s="98" t="s">
        <v>6863</v>
      </c>
    </row>
    <row r="7012" spans="1:1" x14ac:dyDescent="0.25">
      <c r="A7012" s="98" t="s">
        <v>6864</v>
      </c>
    </row>
    <row r="7013" spans="1:1" x14ac:dyDescent="0.25">
      <c r="A7013" s="96" t="s">
        <v>6865</v>
      </c>
    </row>
    <row r="7014" spans="1:1" x14ac:dyDescent="0.25">
      <c r="A7014" s="96" t="s">
        <v>6866</v>
      </c>
    </row>
    <row r="7015" spans="1:1" x14ac:dyDescent="0.25">
      <c r="A7015" s="98" t="s">
        <v>6867</v>
      </c>
    </row>
    <row r="7016" spans="1:1" x14ac:dyDescent="0.25">
      <c r="A7016" s="96" t="s">
        <v>6868</v>
      </c>
    </row>
    <row r="7017" spans="1:1" x14ac:dyDescent="0.25">
      <c r="A7017" s="98" t="s">
        <v>6869</v>
      </c>
    </row>
    <row r="7018" spans="1:1" x14ac:dyDescent="0.25">
      <c r="A7018" s="98" t="s">
        <v>6870</v>
      </c>
    </row>
    <row r="7019" spans="1:1" x14ac:dyDescent="0.25">
      <c r="A7019" s="98" t="s">
        <v>6871</v>
      </c>
    </row>
    <row r="7020" spans="1:1" x14ac:dyDescent="0.25">
      <c r="A7020" s="98" t="s">
        <v>6872</v>
      </c>
    </row>
    <row r="7021" spans="1:1" x14ac:dyDescent="0.25">
      <c r="A7021" s="98" t="s">
        <v>6873</v>
      </c>
    </row>
    <row r="7022" spans="1:1" x14ac:dyDescent="0.25">
      <c r="A7022" s="96" t="s">
        <v>6874</v>
      </c>
    </row>
    <row r="7023" spans="1:1" x14ac:dyDescent="0.25">
      <c r="A7023" s="96" t="s">
        <v>6875</v>
      </c>
    </row>
    <row r="7024" spans="1:1" x14ac:dyDescent="0.25">
      <c r="A7024" s="98" t="s">
        <v>6876</v>
      </c>
    </row>
    <row r="7025" spans="1:1" x14ac:dyDescent="0.25">
      <c r="A7025" s="96" t="s">
        <v>6877</v>
      </c>
    </row>
    <row r="7026" spans="1:1" x14ac:dyDescent="0.25">
      <c r="A7026" s="98" t="s">
        <v>6878</v>
      </c>
    </row>
    <row r="7027" spans="1:1" x14ac:dyDescent="0.25">
      <c r="A7027" s="98" t="s">
        <v>6879</v>
      </c>
    </row>
    <row r="7028" spans="1:1" x14ac:dyDescent="0.25">
      <c r="A7028" s="98" t="s">
        <v>6880</v>
      </c>
    </row>
    <row r="7029" spans="1:1" x14ac:dyDescent="0.25">
      <c r="A7029" s="98" t="s">
        <v>6881</v>
      </c>
    </row>
    <row r="7030" spans="1:1" x14ac:dyDescent="0.25">
      <c r="A7030" s="98" t="s">
        <v>6882</v>
      </c>
    </row>
    <row r="7031" spans="1:1" x14ac:dyDescent="0.25">
      <c r="A7031" s="96" t="s">
        <v>6883</v>
      </c>
    </row>
    <row r="7032" spans="1:1" x14ac:dyDescent="0.25">
      <c r="A7032" s="96" t="s">
        <v>6884</v>
      </c>
    </row>
    <row r="7033" spans="1:1" x14ac:dyDescent="0.25">
      <c r="A7033" s="98" t="s">
        <v>6885</v>
      </c>
    </row>
    <row r="7034" spans="1:1" x14ac:dyDescent="0.25">
      <c r="A7034" s="96" t="s">
        <v>6886</v>
      </c>
    </row>
    <row r="7035" spans="1:1" x14ac:dyDescent="0.25">
      <c r="A7035" s="98" t="s">
        <v>6887</v>
      </c>
    </row>
    <row r="7036" spans="1:1" x14ac:dyDescent="0.25">
      <c r="A7036" s="98" t="s">
        <v>6888</v>
      </c>
    </row>
    <row r="7037" spans="1:1" x14ac:dyDescent="0.25">
      <c r="A7037" s="98" t="s">
        <v>6889</v>
      </c>
    </row>
    <row r="7038" spans="1:1" x14ac:dyDescent="0.25">
      <c r="A7038" s="96" t="s">
        <v>6890</v>
      </c>
    </row>
    <row r="7039" spans="1:1" x14ac:dyDescent="0.25">
      <c r="A7039" s="98" t="s">
        <v>6891</v>
      </c>
    </row>
    <row r="7040" spans="1:1" x14ac:dyDescent="0.25">
      <c r="A7040" s="96" t="s">
        <v>6892</v>
      </c>
    </row>
    <row r="7041" spans="1:1" x14ac:dyDescent="0.25">
      <c r="A7041" s="96" t="s">
        <v>6893</v>
      </c>
    </row>
    <row r="7042" spans="1:1" x14ac:dyDescent="0.25">
      <c r="A7042" s="96" t="s">
        <v>6894</v>
      </c>
    </row>
    <row r="7043" spans="1:1" x14ac:dyDescent="0.25">
      <c r="A7043" s="96" t="s">
        <v>6895</v>
      </c>
    </row>
    <row r="7044" spans="1:1" x14ac:dyDescent="0.25">
      <c r="A7044" s="98" t="s">
        <v>6896</v>
      </c>
    </row>
    <row r="7045" spans="1:1" x14ac:dyDescent="0.25">
      <c r="A7045" s="96" t="s">
        <v>6897</v>
      </c>
    </row>
    <row r="7046" spans="1:1" x14ac:dyDescent="0.25">
      <c r="A7046" s="98" t="s">
        <v>6898</v>
      </c>
    </row>
    <row r="7047" spans="1:1" x14ac:dyDescent="0.25">
      <c r="A7047" s="96" t="s">
        <v>6899</v>
      </c>
    </row>
    <row r="7048" spans="1:1" x14ac:dyDescent="0.25">
      <c r="A7048" s="98" t="s">
        <v>6900</v>
      </c>
    </row>
    <row r="7049" spans="1:1" x14ac:dyDescent="0.25">
      <c r="A7049" s="96" t="s">
        <v>6901</v>
      </c>
    </row>
    <row r="7050" spans="1:1" x14ac:dyDescent="0.25">
      <c r="A7050" s="98" t="s">
        <v>6902</v>
      </c>
    </row>
    <row r="7051" spans="1:1" x14ac:dyDescent="0.25">
      <c r="A7051" s="96" t="s">
        <v>6903</v>
      </c>
    </row>
    <row r="7052" spans="1:1" x14ac:dyDescent="0.25">
      <c r="A7052" s="26" t="s">
        <v>6904</v>
      </c>
    </row>
    <row r="7053" spans="1:1" x14ac:dyDescent="0.25">
      <c r="A7053" s="98" t="s">
        <v>6905</v>
      </c>
    </row>
    <row r="7054" spans="1:1" x14ac:dyDescent="0.25">
      <c r="A7054" s="96" t="s">
        <v>6906</v>
      </c>
    </row>
    <row r="7055" spans="1:1" x14ac:dyDescent="0.25">
      <c r="A7055" s="98" t="s">
        <v>6907</v>
      </c>
    </row>
    <row r="7056" spans="1:1" x14ac:dyDescent="0.25">
      <c r="A7056" s="98" t="s">
        <v>6908</v>
      </c>
    </row>
    <row r="7057" spans="1:1" x14ac:dyDescent="0.25">
      <c r="A7057" s="26" t="s">
        <v>6909</v>
      </c>
    </row>
    <row r="7058" spans="1:1" x14ac:dyDescent="0.25">
      <c r="A7058" s="26" t="s">
        <v>6910</v>
      </c>
    </row>
    <row r="7059" spans="1:1" x14ac:dyDescent="0.25">
      <c r="A7059" s="26" t="s">
        <v>6911</v>
      </c>
    </row>
    <row r="7060" spans="1:1" x14ac:dyDescent="0.25">
      <c r="A7060" s="96" t="s">
        <v>6912</v>
      </c>
    </row>
    <row r="7061" spans="1:1" x14ac:dyDescent="0.25">
      <c r="A7061" s="98" t="s">
        <v>6913</v>
      </c>
    </row>
    <row r="7062" spans="1:1" x14ac:dyDescent="0.25">
      <c r="A7062" s="96" t="s">
        <v>6914</v>
      </c>
    </row>
    <row r="7063" spans="1:1" x14ac:dyDescent="0.25">
      <c r="A7063" s="98" t="s">
        <v>6915</v>
      </c>
    </row>
    <row r="7064" spans="1:1" x14ac:dyDescent="0.25">
      <c r="A7064" s="98" t="s">
        <v>6916</v>
      </c>
    </row>
    <row r="7065" spans="1:1" x14ac:dyDescent="0.25">
      <c r="A7065" s="98" t="s">
        <v>6917</v>
      </c>
    </row>
    <row r="7066" spans="1:1" x14ac:dyDescent="0.25">
      <c r="A7066" s="96" t="s">
        <v>6918</v>
      </c>
    </row>
    <row r="7067" spans="1:1" x14ac:dyDescent="0.25">
      <c r="A7067" s="98" t="s">
        <v>6919</v>
      </c>
    </row>
    <row r="7068" spans="1:1" x14ac:dyDescent="0.25">
      <c r="A7068" s="96" t="s">
        <v>6920</v>
      </c>
    </row>
    <row r="7069" spans="1:1" x14ac:dyDescent="0.25">
      <c r="A7069" s="96" t="s">
        <v>6921</v>
      </c>
    </row>
    <row r="7070" spans="1:1" x14ac:dyDescent="0.25">
      <c r="A7070" s="26" t="s">
        <v>6922</v>
      </c>
    </row>
    <row r="7071" spans="1:1" x14ac:dyDescent="0.25">
      <c r="A7071" s="96" t="s">
        <v>6923</v>
      </c>
    </row>
    <row r="7072" spans="1:1" x14ac:dyDescent="0.25">
      <c r="A7072" s="98" t="s">
        <v>6924</v>
      </c>
    </row>
    <row r="7073" spans="1:1" x14ac:dyDescent="0.25">
      <c r="A7073" s="96" t="s">
        <v>6925</v>
      </c>
    </row>
    <row r="7074" spans="1:1" x14ac:dyDescent="0.25">
      <c r="A7074" s="98" t="s">
        <v>6926</v>
      </c>
    </row>
    <row r="7075" spans="1:1" x14ac:dyDescent="0.25">
      <c r="A7075" s="98" t="s">
        <v>6927</v>
      </c>
    </row>
    <row r="7076" spans="1:1" x14ac:dyDescent="0.25">
      <c r="A7076" s="98" t="s">
        <v>6928</v>
      </c>
    </row>
    <row r="7077" spans="1:1" x14ac:dyDescent="0.25">
      <c r="A7077" s="96" t="s">
        <v>6929</v>
      </c>
    </row>
    <row r="7078" spans="1:1" x14ac:dyDescent="0.25">
      <c r="A7078" s="98" t="s">
        <v>6930</v>
      </c>
    </row>
    <row r="7079" spans="1:1" x14ac:dyDescent="0.25">
      <c r="A7079" s="98" t="s">
        <v>6931</v>
      </c>
    </row>
    <row r="7080" spans="1:1" x14ac:dyDescent="0.25">
      <c r="A7080" s="96" t="s">
        <v>6932</v>
      </c>
    </row>
    <row r="7081" spans="1:1" x14ac:dyDescent="0.25">
      <c r="A7081" s="96" t="s">
        <v>6933</v>
      </c>
    </row>
    <row r="7082" spans="1:1" x14ac:dyDescent="0.25">
      <c r="A7082" s="96" t="s">
        <v>6934</v>
      </c>
    </row>
    <row r="7083" spans="1:1" x14ac:dyDescent="0.25">
      <c r="A7083" s="98" t="s">
        <v>6935</v>
      </c>
    </row>
    <row r="7084" spans="1:1" x14ac:dyDescent="0.25">
      <c r="A7084" s="26" t="s">
        <v>6936</v>
      </c>
    </row>
    <row r="7085" spans="1:1" x14ac:dyDescent="0.25">
      <c r="A7085" s="96" t="s">
        <v>6937</v>
      </c>
    </row>
    <row r="7086" spans="1:1" x14ac:dyDescent="0.25">
      <c r="A7086" s="98" t="s">
        <v>6938</v>
      </c>
    </row>
    <row r="7087" spans="1:1" x14ac:dyDescent="0.25">
      <c r="A7087" s="96" t="s">
        <v>6939</v>
      </c>
    </row>
    <row r="7088" spans="1:1" x14ac:dyDescent="0.25">
      <c r="A7088" s="98" t="s">
        <v>6940</v>
      </c>
    </row>
    <row r="7089" spans="1:1" x14ac:dyDescent="0.25">
      <c r="A7089" s="98" t="s">
        <v>6941</v>
      </c>
    </row>
    <row r="7090" spans="1:1" x14ac:dyDescent="0.25">
      <c r="A7090" s="98" t="s">
        <v>6942</v>
      </c>
    </row>
    <row r="7091" spans="1:1" x14ac:dyDescent="0.25">
      <c r="A7091" s="98" t="s">
        <v>6943</v>
      </c>
    </row>
    <row r="7092" spans="1:1" x14ac:dyDescent="0.25">
      <c r="A7092" s="98" t="s">
        <v>6944</v>
      </c>
    </row>
    <row r="7093" spans="1:1" x14ac:dyDescent="0.25">
      <c r="A7093" s="96" t="s">
        <v>6945</v>
      </c>
    </row>
    <row r="7094" spans="1:1" x14ac:dyDescent="0.25">
      <c r="A7094" s="96" t="s">
        <v>6946</v>
      </c>
    </row>
    <row r="7095" spans="1:1" x14ac:dyDescent="0.25">
      <c r="A7095" s="98" t="s">
        <v>6947</v>
      </c>
    </row>
    <row r="7096" spans="1:1" x14ac:dyDescent="0.25">
      <c r="A7096" s="98" t="s">
        <v>6948</v>
      </c>
    </row>
    <row r="7097" spans="1:1" x14ac:dyDescent="0.25">
      <c r="A7097" s="98" t="s">
        <v>6949</v>
      </c>
    </row>
    <row r="7098" spans="1:1" x14ac:dyDescent="0.25">
      <c r="A7098" s="98" t="s">
        <v>6950</v>
      </c>
    </row>
    <row r="7099" spans="1:1" x14ac:dyDescent="0.25">
      <c r="A7099" s="98" t="s">
        <v>6951</v>
      </c>
    </row>
    <row r="7100" spans="1:1" x14ac:dyDescent="0.25">
      <c r="A7100" s="98" t="s">
        <v>6952</v>
      </c>
    </row>
    <row r="7101" spans="1:1" x14ac:dyDescent="0.25">
      <c r="A7101" s="96" t="s">
        <v>6953</v>
      </c>
    </row>
    <row r="7102" spans="1:1" x14ac:dyDescent="0.25">
      <c r="A7102" s="96" t="s">
        <v>6954</v>
      </c>
    </row>
    <row r="7103" spans="1:1" x14ac:dyDescent="0.25">
      <c r="A7103" s="98" t="s">
        <v>6955</v>
      </c>
    </row>
    <row r="7104" spans="1:1" x14ac:dyDescent="0.25">
      <c r="A7104" s="98" t="s">
        <v>6956</v>
      </c>
    </row>
    <row r="7105" spans="1:1" x14ac:dyDescent="0.25">
      <c r="A7105" s="98" t="s">
        <v>6957</v>
      </c>
    </row>
    <row r="7106" spans="1:1" x14ac:dyDescent="0.25">
      <c r="A7106" s="98" t="s">
        <v>6958</v>
      </c>
    </row>
    <row r="7107" spans="1:1" x14ac:dyDescent="0.25">
      <c r="A7107" s="98" t="s">
        <v>6959</v>
      </c>
    </row>
    <row r="7108" spans="1:1" x14ac:dyDescent="0.25">
      <c r="A7108" s="98" t="s">
        <v>6960</v>
      </c>
    </row>
    <row r="7109" spans="1:1" x14ac:dyDescent="0.25">
      <c r="A7109" s="96" t="s">
        <v>6961</v>
      </c>
    </row>
    <row r="7110" spans="1:1" x14ac:dyDescent="0.25">
      <c r="A7110" s="96" t="s">
        <v>6962</v>
      </c>
    </row>
    <row r="7111" spans="1:1" x14ac:dyDescent="0.25">
      <c r="A7111" s="98" t="s">
        <v>6963</v>
      </c>
    </row>
    <row r="7112" spans="1:1" x14ac:dyDescent="0.25">
      <c r="A7112" s="98" t="s">
        <v>6964</v>
      </c>
    </row>
    <row r="7113" spans="1:1" x14ac:dyDescent="0.25">
      <c r="A7113" s="98" t="s">
        <v>6965</v>
      </c>
    </row>
    <row r="7114" spans="1:1" x14ac:dyDescent="0.25">
      <c r="A7114" s="98" t="s">
        <v>6966</v>
      </c>
    </row>
    <row r="7115" spans="1:1" x14ac:dyDescent="0.25">
      <c r="A7115" s="98" t="s">
        <v>6967</v>
      </c>
    </row>
    <row r="7116" spans="1:1" x14ac:dyDescent="0.25">
      <c r="A7116" s="98" t="s">
        <v>6968</v>
      </c>
    </row>
    <row r="7117" spans="1:1" x14ac:dyDescent="0.25">
      <c r="A7117" s="96" t="s">
        <v>6969</v>
      </c>
    </row>
    <row r="7118" spans="1:1" x14ac:dyDescent="0.25">
      <c r="A7118" s="96" t="s">
        <v>6970</v>
      </c>
    </row>
    <row r="7119" spans="1:1" x14ac:dyDescent="0.25">
      <c r="A7119" s="98" t="s">
        <v>6971</v>
      </c>
    </row>
    <row r="7120" spans="1:1" x14ac:dyDescent="0.25">
      <c r="A7120" s="98" t="s">
        <v>6972</v>
      </c>
    </row>
    <row r="7121" spans="1:1" x14ac:dyDescent="0.25">
      <c r="A7121" s="98" t="s">
        <v>6973</v>
      </c>
    </row>
    <row r="7122" spans="1:1" x14ac:dyDescent="0.25">
      <c r="A7122" s="98" t="s">
        <v>6974</v>
      </c>
    </row>
    <row r="7123" spans="1:1" x14ac:dyDescent="0.25">
      <c r="A7123" s="98" t="s">
        <v>6975</v>
      </c>
    </row>
    <row r="7124" spans="1:1" x14ac:dyDescent="0.25">
      <c r="A7124" s="98" t="s">
        <v>6976</v>
      </c>
    </row>
    <row r="7125" spans="1:1" x14ac:dyDescent="0.25">
      <c r="A7125" s="96" t="s">
        <v>6977</v>
      </c>
    </row>
    <row r="7126" spans="1:1" x14ac:dyDescent="0.25">
      <c r="A7126" s="96" t="s">
        <v>6978</v>
      </c>
    </row>
    <row r="7127" spans="1:1" x14ac:dyDescent="0.25">
      <c r="A7127" s="98" t="s">
        <v>6979</v>
      </c>
    </row>
    <row r="7128" spans="1:1" x14ac:dyDescent="0.25">
      <c r="A7128" s="98" t="s">
        <v>6980</v>
      </c>
    </row>
    <row r="7129" spans="1:1" x14ac:dyDescent="0.25">
      <c r="A7129" s="98" t="s">
        <v>6981</v>
      </c>
    </row>
    <row r="7130" spans="1:1" x14ac:dyDescent="0.25">
      <c r="A7130" s="98" t="s">
        <v>6982</v>
      </c>
    </row>
    <row r="7131" spans="1:1" x14ac:dyDescent="0.25">
      <c r="A7131" s="98" t="s">
        <v>6983</v>
      </c>
    </row>
    <row r="7132" spans="1:1" x14ac:dyDescent="0.25">
      <c r="A7132" s="98" t="s">
        <v>6984</v>
      </c>
    </row>
    <row r="7133" spans="1:1" x14ac:dyDescent="0.25">
      <c r="A7133" s="96" t="s">
        <v>6985</v>
      </c>
    </row>
    <row r="7134" spans="1:1" x14ac:dyDescent="0.25">
      <c r="A7134" s="96" t="s">
        <v>6986</v>
      </c>
    </row>
    <row r="7135" spans="1:1" x14ac:dyDescent="0.25">
      <c r="A7135" s="98" t="s">
        <v>6987</v>
      </c>
    </row>
    <row r="7136" spans="1:1" x14ac:dyDescent="0.25">
      <c r="A7136" s="98" t="s">
        <v>6988</v>
      </c>
    </row>
    <row r="7137" spans="1:1" x14ac:dyDescent="0.25">
      <c r="A7137" s="98" t="s">
        <v>6989</v>
      </c>
    </row>
    <row r="7138" spans="1:1" x14ac:dyDescent="0.25">
      <c r="A7138" s="98" t="s">
        <v>6990</v>
      </c>
    </row>
    <row r="7139" spans="1:1" x14ac:dyDescent="0.25">
      <c r="A7139" s="98" t="s">
        <v>6991</v>
      </c>
    </row>
    <row r="7140" spans="1:1" x14ac:dyDescent="0.25">
      <c r="A7140" s="98" t="s">
        <v>6992</v>
      </c>
    </row>
    <row r="7141" spans="1:1" x14ac:dyDescent="0.25">
      <c r="A7141" s="96" t="s">
        <v>6993</v>
      </c>
    </row>
    <row r="7142" spans="1:1" x14ac:dyDescent="0.25">
      <c r="A7142" s="96" t="s">
        <v>6994</v>
      </c>
    </row>
    <row r="7143" spans="1:1" x14ac:dyDescent="0.25">
      <c r="A7143" s="98" t="s">
        <v>6995</v>
      </c>
    </row>
    <row r="7144" spans="1:1" x14ac:dyDescent="0.25">
      <c r="A7144" s="98" t="s">
        <v>6996</v>
      </c>
    </row>
    <row r="7145" spans="1:1" x14ac:dyDescent="0.25">
      <c r="A7145" s="98" t="s">
        <v>6997</v>
      </c>
    </row>
    <row r="7146" spans="1:1" x14ac:dyDescent="0.25">
      <c r="A7146" s="98" t="s">
        <v>6998</v>
      </c>
    </row>
    <row r="7147" spans="1:1" x14ac:dyDescent="0.25">
      <c r="A7147" s="98" t="s">
        <v>6999</v>
      </c>
    </row>
    <row r="7148" spans="1:1" x14ac:dyDescent="0.25">
      <c r="A7148" s="98" t="s">
        <v>7000</v>
      </c>
    </row>
    <row r="7149" spans="1:1" x14ac:dyDescent="0.25">
      <c r="A7149" s="96" t="s">
        <v>7001</v>
      </c>
    </row>
    <row r="7150" spans="1:1" x14ac:dyDescent="0.25">
      <c r="A7150" s="96" t="s">
        <v>7002</v>
      </c>
    </row>
    <row r="7151" spans="1:1" x14ac:dyDescent="0.25">
      <c r="A7151" s="98" t="s">
        <v>7003</v>
      </c>
    </row>
    <row r="7152" spans="1:1" x14ac:dyDescent="0.25">
      <c r="A7152" s="98" t="s">
        <v>7004</v>
      </c>
    </row>
    <row r="7153" spans="1:1" x14ac:dyDescent="0.25">
      <c r="A7153" s="98" t="s">
        <v>7005</v>
      </c>
    </row>
    <row r="7154" spans="1:1" x14ac:dyDescent="0.25">
      <c r="A7154" s="98" t="s">
        <v>7006</v>
      </c>
    </row>
    <row r="7155" spans="1:1" x14ac:dyDescent="0.25">
      <c r="A7155" s="98" t="s">
        <v>7007</v>
      </c>
    </row>
    <row r="7156" spans="1:1" x14ac:dyDescent="0.25">
      <c r="A7156" s="98" t="s">
        <v>7008</v>
      </c>
    </row>
    <row r="7157" spans="1:1" x14ac:dyDescent="0.25">
      <c r="A7157" s="96" t="s">
        <v>7009</v>
      </c>
    </row>
    <row r="7158" spans="1:1" x14ac:dyDescent="0.25">
      <c r="A7158" s="96" t="s">
        <v>7010</v>
      </c>
    </row>
    <row r="7159" spans="1:1" x14ac:dyDescent="0.25">
      <c r="A7159" s="98" t="s">
        <v>7011</v>
      </c>
    </row>
    <row r="7160" spans="1:1" x14ac:dyDescent="0.25">
      <c r="A7160" s="98" t="s">
        <v>7012</v>
      </c>
    </row>
    <row r="7161" spans="1:1" x14ac:dyDescent="0.25">
      <c r="A7161" s="98" t="s">
        <v>7013</v>
      </c>
    </row>
    <row r="7162" spans="1:1" x14ac:dyDescent="0.25">
      <c r="A7162" s="98" t="s">
        <v>7014</v>
      </c>
    </row>
    <row r="7163" spans="1:1" x14ac:dyDescent="0.25">
      <c r="A7163" s="98" t="s">
        <v>7015</v>
      </c>
    </row>
    <row r="7164" spans="1:1" x14ac:dyDescent="0.25">
      <c r="A7164" s="98" t="s">
        <v>7016</v>
      </c>
    </row>
    <row r="7165" spans="1:1" x14ac:dyDescent="0.25">
      <c r="A7165" s="96" t="s">
        <v>7017</v>
      </c>
    </row>
    <row r="7166" spans="1:1" x14ac:dyDescent="0.25">
      <c r="A7166" s="96" t="s">
        <v>7018</v>
      </c>
    </row>
    <row r="7167" spans="1:1" x14ac:dyDescent="0.25">
      <c r="A7167" s="98" t="s">
        <v>7019</v>
      </c>
    </row>
    <row r="7168" spans="1:1" x14ac:dyDescent="0.25">
      <c r="A7168" s="98" t="s">
        <v>7020</v>
      </c>
    </row>
    <row r="7169" spans="1:1" x14ac:dyDescent="0.25">
      <c r="A7169" s="98" t="s">
        <v>7021</v>
      </c>
    </row>
    <row r="7170" spans="1:1" x14ac:dyDescent="0.25">
      <c r="A7170" s="98" t="s">
        <v>7022</v>
      </c>
    </row>
    <row r="7171" spans="1:1" x14ac:dyDescent="0.25">
      <c r="A7171" s="98" t="s">
        <v>7023</v>
      </c>
    </row>
    <row r="7172" spans="1:1" x14ac:dyDescent="0.25">
      <c r="A7172" s="96" t="s">
        <v>7024</v>
      </c>
    </row>
    <row r="7173" spans="1:1" x14ac:dyDescent="0.25">
      <c r="A7173" s="98" t="s">
        <v>7025</v>
      </c>
    </row>
    <row r="7174" spans="1:1" x14ac:dyDescent="0.25">
      <c r="A7174" s="98" t="s">
        <v>7026</v>
      </c>
    </row>
    <row r="7175" spans="1:1" x14ac:dyDescent="0.25">
      <c r="A7175" s="98" t="s">
        <v>7027</v>
      </c>
    </row>
    <row r="7176" spans="1:1" x14ac:dyDescent="0.25">
      <c r="A7176" s="98" t="s">
        <v>7028</v>
      </c>
    </row>
    <row r="7177" spans="1:1" x14ac:dyDescent="0.25">
      <c r="A7177" s="96" t="s">
        <v>7029</v>
      </c>
    </row>
    <row r="7178" spans="1:1" x14ac:dyDescent="0.25">
      <c r="A7178" s="98" t="s">
        <v>7030</v>
      </c>
    </row>
    <row r="7179" spans="1:1" x14ac:dyDescent="0.25">
      <c r="A7179" s="98" t="s">
        <v>7031</v>
      </c>
    </row>
    <row r="7180" spans="1:1" x14ac:dyDescent="0.25">
      <c r="A7180" s="26" t="s">
        <v>7032</v>
      </c>
    </row>
    <row r="7181" spans="1:1" x14ac:dyDescent="0.25">
      <c r="A7181" s="26" t="s">
        <v>7033</v>
      </c>
    </row>
    <row r="7182" spans="1:1" x14ac:dyDescent="0.25">
      <c r="A7182" s="26" t="s">
        <v>7034</v>
      </c>
    </row>
    <row r="7183" spans="1:1" x14ac:dyDescent="0.25">
      <c r="A7183" s="98" t="s">
        <v>7035</v>
      </c>
    </row>
    <row r="7184" spans="1:1" x14ac:dyDescent="0.25">
      <c r="A7184" s="96" t="s">
        <v>7036</v>
      </c>
    </row>
    <row r="7185" spans="1:1" x14ac:dyDescent="0.25">
      <c r="A7185" s="96" t="s">
        <v>7037</v>
      </c>
    </row>
    <row r="7186" spans="1:1" x14ac:dyDescent="0.25">
      <c r="A7186" s="96" t="s">
        <v>7038</v>
      </c>
    </row>
    <row r="7187" spans="1:1" x14ac:dyDescent="0.25">
      <c r="A7187" s="98" t="s">
        <v>7039</v>
      </c>
    </row>
    <row r="7188" spans="1:1" x14ac:dyDescent="0.25">
      <c r="A7188" s="96" t="s">
        <v>7040</v>
      </c>
    </row>
    <row r="7189" spans="1:1" x14ac:dyDescent="0.25">
      <c r="A7189" s="98" t="s">
        <v>7041</v>
      </c>
    </row>
    <row r="7190" spans="1:1" x14ac:dyDescent="0.25">
      <c r="A7190" s="98" t="s">
        <v>7042</v>
      </c>
    </row>
    <row r="7191" spans="1:1" x14ac:dyDescent="0.25">
      <c r="A7191" s="98" t="s">
        <v>7043</v>
      </c>
    </row>
    <row r="7192" spans="1:1" x14ac:dyDescent="0.25">
      <c r="A7192" s="26" t="s">
        <v>7044</v>
      </c>
    </row>
    <row r="7193" spans="1:1" x14ac:dyDescent="0.25">
      <c r="A7193" s="96" t="s">
        <v>7045</v>
      </c>
    </row>
    <row r="7194" spans="1:1" x14ac:dyDescent="0.25">
      <c r="A7194" s="98" t="s">
        <v>7046</v>
      </c>
    </row>
    <row r="7195" spans="1:1" x14ac:dyDescent="0.25">
      <c r="A7195" s="96" t="s">
        <v>7047</v>
      </c>
    </row>
    <row r="7196" spans="1:1" x14ac:dyDescent="0.25">
      <c r="A7196" s="98" t="s">
        <v>7048</v>
      </c>
    </row>
    <row r="7197" spans="1:1" x14ac:dyDescent="0.25">
      <c r="A7197" s="98" t="s">
        <v>7049</v>
      </c>
    </row>
    <row r="7198" spans="1:1" x14ac:dyDescent="0.25">
      <c r="A7198" s="98" t="s">
        <v>7050</v>
      </c>
    </row>
    <row r="7199" spans="1:1" x14ac:dyDescent="0.25">
      <c r="A7199" s="96" t="s">
        <v>7051</v>
      </c>
    </row>
    <row r="7200" spans="1:1" x14ac:dyDescent="0.25">
      <c r="A7200" s="98" t="s">
        <v>7052</v>
      </c>
    </row>
    <row r="7201" spans="1:1" x14ac:dyDescent="0.25">
      <c r="A7201" s="98" t="s">
        <v>7053</v>
      </c>
    </row>
    <row r="7202" spans="1:1" x14ac:dyDescent="0.25">
      <c r="A7202" s="26" t="s">
        <v>7054</v>
      </c>
    </row>
    <row r="7203" spans="1:1" x14ac:dyDescent="0.25">
      <c r="A7203" s="26" t="s">
        <v>7055</v>
      </c>
    </row>
    <row r="7204" spans="1:1" x14ac:dyDescent="0.25">
      <c r="A7204" s="26" t="s">
        <v>7056</v>
      </c>
    </row>
    <row r="7205" spans="1:1" x14ac:dyDescent="0.25">
      <c r="A7205" s="98" t="s">
        <v>7057</v>
      </c>
    </row>
    <row r="7206" spans="1:1" x14ac:dyDescent="0.25">
      <c r="A7206" s="96" t="s">
        <v>7058</v>
      </c>
    </row>
    <row r="7207" spans="1:1" x14ac:dyDescent="0.25">
      <c r="A7207" s="96" t="s">
        <v>7059</v>
      </c>
    </row>
    <row r="7208" spans="1:1" x14ac:dyDescent="0.25">
      <c r="A7208" s="96" t="s">
        <v>7060</v>
      </c>
    </row>
    <row r="7209" spans="1:1" x14ac:dyDescent="0.25">
      <c r="A7209" s="98" t="s">
        <v>7061</v>
      </c>
    </row>
    <row r="7210" spans="1:1" x14ac:dyDescent="0.25">
      <c r="A7210" s="96" t="s">
        <v>7062</v>
      </c>
    </row>
    <row r="7211" spans="1:1" x14ac:dyDescent="0.25">
      <c r="A7211" s="98" t="s">
        <v>7063</v>
      </c>
    </row>
    <row r="7212" spans="1:1" x14ac:dyDescent="0.25">
      <c r="A7212" s="98" t="s">
        <v>7064</v>
      </c>
    </row>
    <row r="7213" spans="1:1" x14ac:dyDescent="0.25">
      <c r="A7213" s="98" t="s">
        <v>7065</v>
      </c>
    </row>
    <row r="7214" spans="1:1" x14ac:dyDescent="0.25">
      <c r="A7214" s="98" t="s">
        <v>7066</v>
      </c>
    </row>
    <row r="7215" spans="1:1" x14ac:dyDescent="0.25">
      <c r="A7215" s="98" t="s">
        <v>7067</v>
      </c>
    </row>
    <row r="7216" spans="1:1" x14ac:dyDescent="0.25">
      <c r="A7216" s="26" t="s">
        <v>7068</v>
      </c>
    </row>
    <row r="7217" spans="1:1" x14ac:dyDescent="0.25">
      <c r="A7217" s="96" t="s">
        <v>7069</v>
      </c>
    </row>
    <row r="7218" spans="1:1" x14ac:dyDescent="0.25">
      <c r="A7218" s="98" t="s">
        <v>7070</v>
      </c>
    </row>
    <row r="7219" spans="1:1" x14ac:dyDescent="0.25">
      <c r="A7219" s="96" t="s">
        <v>7071</v>
      </c>
    </row>
    <row r="7220" spans="1:1" x14ac:dyDescent="0.25">
      <c r="A7220" s="98" t="s">
        <v>7072</v>
      </c>
    </row>
    <row r="7221" spans="1:1" x14ac:dyDescent="0.25">
      <c r="A7221" s="98" t="s">
        <v>7073</v>
      </c>
    </row>
    <row r="7222" spans="1:1" x14ac:dyDescent="0.25">
      <c r="A7222" s="98" t="s">
        <v>7074</v>
      </c>
    </row>
    <row r="7223" spans="1:1" x14ac:dyDescent="0.25">
      <c r="A7223" s="96" t="s">
        <v>7075</v>
      </c>
    </row>
    <row r="7224" spans="1:1" x14ac:dyDescent="0.25">
      <c r="A7224" s="98" t="s">
        <v>7076</v>
      </c>
    </row>
    <row r="7225" spans="1:1" x14ac:dyDescent="0.25">
      <c r="A7225" s="98" t="s">
        <v>7077</v>
      </c>
    </row>
    <row r="7226" spans="1:1" x14ac:dyDescent="0.25">
      <c r="A7226" s="26" t="s">
        <v>7078</v>
      </c>
    </row>
    <row r="7227" spans="1:1" x14ac:dyDescent="0.25">
      <c r="A7227" s="26" t="s">
        <v>7079</v>
      </c>
    </row>
    <row r="7228" spans="1:1" x14ac:dyDescent="0.25">
      <c r="A7228" s="26" t="s">
        <v>7080</v>
      </c>
    </row>
    <row r="7229" spans="1:1" x14ac:dyDescent="0.25">
      <c r="A7229" s="98" t="s">
        <v>7081</v>
      </c>
    </row>
    <row r="7230" spans="1:1" x14ac:dyDescent="0.25">
      <c r="A7230" s="96" t="s">
        <v>7082</v>
      </c>
    </row>
    <row r="7231" spans="1:1" x14ac:dyDescent="0.25">
      <c r="A7231" s="96" t="s">
        <v>7083</v>
      </c>
    </row>
    <row r="7232" spans="1:1" x14ac:dyDescent="0.25">
      <c r="A7232" s="96" t="s">
        <v>7084</v>
      </c>
    </row>
    <row r="7233" spans="1:1" x14ac:dyDescent="0.25">
      <c r="A7233" s="98" t="s">
        <v>7085</v>
      </c>
    </row>
    <row r="7234" spans="1:1" x14ac:dyDescent="0.25">
      <c r="A7234" s="26" t="s">
        <v>7086</v>
      </c>
    </row>
    <row r="7235" spans="1:1" x14ac:dyDescent="0.25">
      <c r="A7235" s="98" t="s">
        <v>7087</v>
      </c>
    </row>
    <row r="7236" spans="1:1" x14ac:dyDescent="0.25">
      <c r="A7236" s="98" t="s">
        <v>7088</v>
      </c>
    </row>
    <row r="7237" spans="1:1" x14ac:dyDescent="0.25">
      <c r="A7237" s="96" t="s">
        <v>7089</v>
      </c>
    </row>
    <row r="7238" spans="1:1" x14ac:dyDescent="0.25">
      <c r="A7238" s="98" t="s">
        <v>7090</v>
      </c>
    </row>
    <row r="7239" spans="1:1" x14ac:dyDescent="0.25">
      <c r="A7239" s="98" t="s">
        <v>7091</v>
      </c>
    </row>
    <row r="7240" spans="1:1" x14ac:dyDescent="0.25">
      <c r="A7240" s="98" t="s">
        <v>7092</v>
      </c>
    </row>
    <row r="7241" spans="1:1" x14ac:dyDescent="0.25">
      <c r="A7241" s="96" t="s">
        <v>7093</v>
      </c>
    </row>
    <row r="7242" spans="1:1" x14ac:dyDescent="0.25">
      <c r="A7242" s="96" t="s">
        <v>7094</v>
      </c>
    </row>
    <row r="7243" spans="1:1" x14ac:dyDescent="0.25">
      <c r="A7243" s="96" t="s">
        <v>7095</v>
      </c>
    </row>
    <row r="7244" spans="1:1" x14ac:dyDescent="0.25">
      <c r="A7244" t="s">
        <v>7098</v>
      </c>
    </row>
    <row r="7245" spans="1:1" x14ac:dyDescent="0.25">
      <c r="A7245" t="s">
        <v>7099</v>
      </c>
    </row>
    <row r="7246" spans="1:1" x14ac:dyDescent="0.25">
      <c r="A7246" s="96" t="s">
        <v>7100</v>
      </c>
    </row>
    <row r="7247" spans="1:1" x14ac:dyDescent="0.25">
      <c r="A7247" s="96" t="s">
        <v>7101</v>
      </c>
    </row>
    <row r="7248" spans="1:1" x14ac:dyDescent="0.25">
      <c r="A7248" s="96" t="s">
        <v>7102</v>
      </c>
    </row>
    <row r="7249" spans="1:1" x14ac:dyDescent="0.25">
      <c r="A7249" s="98" t="s">
        <v>7103</v>
      </c>
    </row>
    <row r="7250" spans="1:1" x14ac:dyDescent="0.25">
      <c r="A7250" s="96" t="s">
        <v>7104</v>
      </c>
    </row>
    <row r="7251" spans="1:1" x14ac:dyDescent="0.25">
      <c r="A7251" s="98" t="s">
        <v>7105</v>
      </c>
    </row>
    <row r="7252" spans="1:1" x14ac:dyDescent="0.25">
      <c r="A7252" s="98" t="s">
        <v>7106</v>
      </c>
    </row>
    <row r="7253" spans="1:1" x14ac:dyDescent="0.25">
      <c r="A7253" s="96" t="s">
        <v>7107</v>
      </c>
    </row>
    <row r="7254" spans="1:1" x14ac:dyDescent="0.25">
      <c r="A7254" s="98" t="s">
        <v>7108</v>
      </c>
    </row>
    <row r="7255" spans="1:1" x14ac:dyDescent="0.25">
      <c r="A7255" s="96" t="s">
        <v>7109</v>
      </c>
    </row>
    <row r="7256" spans="1:1" x14ac:dyDescent="0.25">
      <c r="A7256" s="98" t="s">
        <v>7110</v>
      </c>
    </row>
    <row r="7257" spans="1:1" x14ac:dyDescent="0.25">
      <c r="A7257" s="98" t="s">
        <v>7111</v>
      </c>
    </row>
    <row r="7258" spans="1:1" x14ac:dyDescent="0.25">
      <c r="A7258" s="96" t="s">
        <v>7112</v>
      </c>
    </row>
    <row r="7259" spans="1:1" x14ac:dyDescent="0.25">
      <c r="A7259" s="98" t="s">
        <v>7113</v>
      </c>
    </row>
    <row r="7260" spans="1:1" x14ac:dyDescent="0.25">
      <c r="A7260" s="96" t="s">
        <v>7114</v>
      </c>
    </row>
    <row r="7261" spans="1:1" x14ac:dyDescent="0.25">
      <c r="A7261" s="98" t="s">
        <v>7115</v>
      </c>
    </row>
    <row r="7262" spans="1:1" x14ac:dyDescent="0.25">
      <c r="A7262" s="98" t="s">
        <v>7116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6577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22" t="s">
        <v>57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9" t="s">
        <v>26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30"/>
      <c r="M2" s="131" t="s">
        <v>27</v>
      </c>
      <c r="N2" s="131"/>
      <c r="O2" s="131"/>
      <c r="P2" s="131"/>
      <c r="Q2" s="131"/>
      <c r="R2" s="131" t="s">
        <v>28</v>
      </c>
      <c r="S2" s="131"/>
      <c r="T2" s="131"/>
      <c r="U2" s="131"/>
      <c r="V2" s="131"/>
      <c r="W2" s="131"/>
      <c r="X2" s="131"/>
      <c r="Y2" s="105" t="s">
        <v>41</v>
      </c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32"/>
      <c r="AM2" s="132"/>
      <c r="AN2" s="132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 t="s">
        <v>222</v>
      </c>
      <c r="F4" s="2">
        <v>62500</v>
      </c>
      <c r="G4" s="2" t="s">
        <v>17</v>
      </c>
      <c r="H4" s="2"/>
      <c r="I4" s="2" t="s">
        <v>16</v>
      </c>
      <c r="J4" s="2" t="s">
        <v>180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9700</v>
      </c>
      <c r="S4" s="2"/>
      <c r="T4" s="2">
        <v>0</v>
      </c>
      <c r="U4" s="2">
        <v>0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 t="s">
        <v>222</v>
      </c>
      <c r="F5" s="2">
        <v>62500</v>
      </c>
      <c r="G5" s="2" t="s">
        <v>17</v>
      </c>
      <c r="H5" s="2"/>
      <c r="I5" s="2" t="s">
        <v>16</v>
      </c>
      <c r="J5" s="2" t="s">
        <v>180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9700</v>
      </c>
      <c r="S5" s="2" t="s">
        <v>192</v>
      </c>
      <c r="T5" s="2">
        <v>0</v>
      </c>
      <c r="U5" s="2">
        <v>30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 t="s">
        <v>222</v>
      </c>
      <c r="F6" s="2">
        <v>62500</v>
      </c>
      <c r="G6" s="2" t="s">
        <v>17</v>
      </c>
      <c r="H6" s="2"/>
      <c r="I6" s="2" t="s">
        <v>16</v>
      </c>
      <c r="J6" s="2" t="s">
        <v>180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9700</v>
      </c>
      <c r="S6" s="2" t="s">
        <v>223</v>
      </c>
      <c r="T6" s="2">
        <v>0</v>
      </c>
      <c r="U6" s="2">
        <v>30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 t="s">
        <v>222</v>
      </c>
      <c r="F7" s="2">
        <v>62500</v>
      </c>
      <c r="G7" s="2" t="s">
        <v>17</v>
      </c>
      <c r="H7" s="2"/>
      <c r="I7" s="2" t="s">
        <v>16</v>
      </c>
      <c r="J7" s="2" t="s">
        <v>180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9700</v>
      </c>
      <c r="S7" s="2" t="s">
        <v>224</v>
      </c>
      <c r="T7" s="2">
        <v>0</v>
      </c>
      <c r="U7" s="2">
        <v>30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180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9701</v>
      </c>
      <c r="S8" s="2" t="s">
        <v>232</v>
      </c>
      <c r="T8" s="2">
        <v>0</v>
      </c>
      <c r="U8" s="2">
        <v>5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180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9701</v>
      </c>
      <c r="S9" s="2" t="s">
        <v>232</v>
      </c>
      <c r="T9" s="2">
        <v>0</v>
      </c>
      <c r="U9" s="2">
        <v>5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180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9701</v>
      </c>
      <c r="S10" s="2" t="s">
        <v>233</v>
      </c>
      <c r="T10" s="2">
        <v>0</v>
      </c>
      <c r="U10" s="2">
        <v>5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180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9702</v>
      </c>
      <c r="S11" s="2" t="s">
        <v>232</v>
      </c>
      <c r="T11" s="2">
        <v>0</v>
      </c>
      <c r="U11" s="2">
        <v>15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180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9702</v>
      </c>
      <c r="S12" s="2" t="s">
        <v>232</v>
      </c>
      <c r="T12" s="2">
        <v>0</v>
      </c>
      <c r="U12" s="2">
        <v>15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180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9702</v>
      </c>
      <c r="S13" s="2" t="s">
        <v>192</v>
      </c>
      <c r="T13" s="2">
        <v>0</v>
      </c>
      <c r="U13" s="2">
        <v>15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180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9703</v>
      </c>
      <c r="S14" s="2" t="s">
        <v>232</v>
      </c>
      <c r="T14" s="2">
        <v>0</v>
      </c>
      <c r="U14" s="2">
        <v>-15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180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9703</v>
      </c>
      <c r="S15" s="2" t="s">
        <v>232</v>
      </c>
      <c r="T15" s="2">
        <v>0</v>
      </c>
      <c r="U15" s="2">
        <v>-15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180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9703</v>
      </c>
      <c r="S16" s="2" t="s">
        <v>192</v>
      </c>
      <c r="T16" s="2">
        <v>0</v>
      </c>
      <c r="U16" s="2">
        <v>15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180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9701</v>
      </c>
      <c r="S17" s="2" t="s">
        <v>233</v>
      </c>
      <c r="T17" s="2">
        <v>0</v>
      </c>
      <c r="U17" s="2">
        <v>-1</v>
      </c>
      <c r="V17" s="2">
        <v>0</v>
      </c>
      <c r="W17" s="2">
        <v>0</v>
      </c>
      <c r="X17" s="2">
        <v>0</v>
      </c>
      <c r="Y17" s="16">
        <v>9701</v>
      </c>
      <c r="Z17" s="20" t="s">
        <v>641</v>
      </c>
      <c r="AA17" s="16" t="s">
        <v>642</v>
      </c>
      <c r="AB17" s="21" t="s">
        <v>234</v>
      </c>
      <c r="AC17" s="16" t="s">
        <v>17</v>
      </c>
      <c r="AD17" s="16" t="s">
        <v>235</v>
      </c>
      <c r="AE17" s="16">
        <v>3</v>
      </c>
      <c r="AF17" s="16">
        <v>3</v>
      </c>
      <c r="AG17" s="16">
        <v>1.5287999999999999</v>
      </c>
      <c r="AH17" s="16">
        <v>1.5287999999999999</v>
      </c>
      <c r="AI17" s="16">
        <v>1226100157</v>
      </c>
      <c r="AJ17" s="16">
        <v>0</v>
      </c>
      <c r="AK17" s="16">
        <v>7</v>
      </c>
      <c r="AL17" s="16"/>
      <c r="AM17" s="16"/>
      <c r="AN17" s="16">
        <v>0</v>
      </c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180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9701</v>
      </c>
      <c r="S18" s="2" t="s">
        <v>233</v>
      </c>
      <c r="T18" s="2">
        <v>0</v>
      </c>
      <c r="U18" s="2">
        <v>-1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180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9701</v>
      </c>
      <c r="S19" s="2" t="s">
        <v>233</v>
      </c>
      <c r="T19" s="2">
        <v>3</v>
      </c>
      <c r="U19" s="2">
        <v>2</v>
      </c>
      <c r="V19" s="2">
        <v>1.5287999999999999</v>
      </c>
      <c r="W19" s="2">
        <v>1.5287999999999999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180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9701</v>
      </c>
      <c r="S20" s="2" t="s">
        <v>233</v>
      </c>
      <c r="T20" s="2">
        <v>3</v>
      </c>
      <c r="U20" s="2">
        <v>2</v>
      </c>
      <c r="V20" s="2">
        <v>1.5287999999999999</v>
      </c>
      <c r="W20" s="2">
        <v>1.5287999999999999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180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9701</v>
      </c>
      <c r="S21" s="2" t="s">
        <v>233</v>
      </c>
      <c r="T21" s="2">
        <v>3</v>
      </c>
      <c r="U21" s="2">
        <v>2</v>
      </c>
      <c r="V21" s="2">
        <v>1.5287999999999999</v>
      </c>
      <c r="W21" s="2">
        <v>1.5287999999999999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180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9701</v>
      </c>
      <c r="S22" s="2" t="s">
        <v>233</v>
      </c>
      <c r="T22" s="2">
        <v>3</v>
      </c>
      <c r="U22" s="2">
        <v>-2</v>
      </c>
      <c r="V22" s="2">
        <v>1.5287999999999999</v>
      </c>
      <c r="W22" s="2">
        <v>1.5287999999999999</v>
      </c>
      <c r="X22" s="2">
        <v>0</v>
      </c>
      <c r="Y22" s="16">
        <v>9701</v>
      </c>
      <c r="Z22" s="20" t="s">
        <v>668</v>
      </c>
      <c r="AA22" s="16" t="s">
        <v>642</v>
      </c>
      <c r="AB22" s="21" t="s">
        <v>234</v>
      </c>
      <c r="AC22" s="16" t="s">
        <v>17</v>
      </c>
      <c r="AD22" s="16" t="s">
        <v>235</v>
      </c>
      <c r="AE22" s="16">
        <v>2</v>
      </c>
      <c r="AF22" s="16">
        <v>5</v>
      </c>
      <c r="AG22" s="16">
        <v>1.5287999999999999</v>
      </c>
      <c r="AH22" s="16">
        <v>1.5287999999999999</v>
      </c>
      <c r="AI22" s="16">
        <v>1226100157</v>
      </c>
      <c r="AJ22" s="16">
        <v>0</v>
      </c>
      <c r="AK22" s="16">
        <v>7</v>
      </c>
      <c r="AL22" s="16"/>
      <c r="AM22" s="16"/>
      <c r="AN22" s="16">
        <v>0</v>
      </c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180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9701</v>
      </c>
      <c r="S23" s="2" t="s">
        <v>233</v>
      </c>
      <c r="T23" s="2">
        <v>3</v>
      </c>
      <c r="U23" s="2">
        <v>-2</v>
      </c>
      <c r="V23" s="2">
        <v>1.5287999999999999</v>
      </c>
      <c r="W23" s="2">
        <v>1.5287999999999999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180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9701</v>
      </c>
      <c r="S24" s="2" t="s">
        <v>37</v>
      </c>
      <c r="T24" s="2">
        <v>5</v>
      </c>
      <c r="U24" s="2">
        <v>0</v>
      </c>
      <c r="V24" s="2">
        <v>1.5287999999999999</v>
      </c>
      <c r="W24" s="2">
        <v>1.5287999999999999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180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9701</v>
      </c>
      <c r="S25" s="2" t="s">
        <v>37</v>
      </c>
      <c r="T25" s="2">
        <v>5</v>
      </c>
      <c r="U25" s="2">
        <v>0</v>
      </c>
      <c r="V25" s="2">
        <v>1.5287999999999999</v>
      </c>
      <c r="W25" s="2">
        <v>1.5287999999999999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180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9701</v>
      </c>
      <c r="S26" s="2" t="s">
        <v>37</v>
      </c>
      <c r="T26" s="2">
        <v>5</v>
      </c>
      <c r="U26" s="2">
        <v>0</v>
      </c>
      <c r="V26" s="2">
        <v>1.5287999999999999</v>
      </c>
      <c r="W26" s="2">
        <v>1.5287999999999999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180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9701</v>
      </c>
      <c r="S27" s="2" t="s">
        <v>37</v>
      </c>
      <c r="T27" s="2">
        <v>5</v>
      </c>
      <c r="U27" s="2">
        <v>0</v>
      </c>
      <c r="V27" s="2">
        <v>1.5287999999999999</v>
      </c>
      <c r="W27" s="2">
        <v>1.5287999999999999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180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9701</v>
      </c>
      <c r="S28" s="2" t="s">
        <v>37</v>
      </c>
      <c r="T28" s="2">
        <v>5</v>
      </c>
      <c r="U28" s="2">
        <v>0</v>
      </c>
      <c r="V28" s="2">
        <v>1.5287999999999999</v>
      </c>
      <c r="W28" s="2">
        <v>1.5287999999999999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180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9704</v>
      </c>
      <c r="S29" s="2" t="s">
        <v>232</v>
      </c>
      <c r="T29" s="2">
        <v>0</v>
      </c>
      <c r="U29" s="2">
        <v>5</v>
      </c>
      <c r="V29" s="2">
        <v>0</v>
      </c>
      <c r="W29" s="2">
        <v>0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180</v>
      </c>
      <c r="K30" s="2" t="s">
        <v>25</v>
      </c>
      <c r="L30" s="2">
        <v>132757294</v>
      </c>
      <c r="M30" s="16"/>
      <c r="N30" s="16"/>
      <c r="O30" s="16"/>
      <c r="P30" s="21"/>
      <c r="Q30" s="16"/>
      <c r="R30" s="2">
        <v>9704</v>
      </c>
      <c r="S30" s="2" t="s">
        <v>232</v>
      </c>
      <c r="T30" s="2">
        <v>0</v>
      </c>
      <c r="U30" s="2">
        <v>5</v>
      </c>
      <c r="V30" s="2">
        <v>0</v>
      </c>
      <c r="W30" s="2">
        <v>0</v>
      </c>
      <c r="X30" s="2">
        <v>0</v>
      </c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180</v>
      </c>
      <c r="K31" s="2" t="s">
        <v>25</v>
      </c>
      <c r="L31" s="2">
        <v>132757294</v>
      </c>
      <c r="M31" s="16"/>
      <c r="N31" s="16"/>
      <c r="O31" s="16"/>
      <c r="P31" s="21"/>
      <c r="Q31" s="16"/>
      <c r="R31" s="2">
        <v>9704</v>
      </c>
      <c r="S31" s="2" t="s">
        <v>233</v>
      </c>
      <c r="T31" s="2">
        <v>0</v>
      </c>
      <c r="U31" s="2">
        <v>5</v>
      </c>
      <c r="V31" s="2">
        <v>0</v>
      </c>
      <c r="W31" s="2">
        <v>0</v>
      </c>
      <c r="X31" s="2">
        <v>0</v>
      </c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180</v>
      </c>
      <c r="K32" s="2" t="s">
        <v>25</v>
      </c>
      <c r="L32" s="2">
        <v>132757294</v>
      </c>
      <c r="M32" s="16"/>
      <c r="N32" s="16"/>
      <c r="O32" s="16"/>
      <c r="P32" s="21"/>
      <c r="Q32" s="16"/>
      <c r="R32" s="2">
        <v>9704</v>
      </c>
      <c r="S32" s="2" t="s">
        <v>233</v>
      </c>
      <c r="T32" s="2">
        <v>0</v>
      </c>
      <c r="U32" s="2">
        <v>-3</v>
      </c>
      <c r="V32" s="2">
        <v>0</v>
      </c>
      <c r="W32" s="2">
        <v>0</v>
      </c>
      <c r="X32" s="2">
        <v>0</v>
      </c>
      <c r="Y32" s="16">
        <v>9704</v>
      </c>
      <c r="Z32" s="20" t="s">
        <v>1490</v>
      </c>
      <c r="AA32" s="16" t="s">
        <v>1491</v>
      </c>
      <c r="AB32" s="21" t="s">
        <v>234</v>
      </c>
      <c r="AC32" s="16" t="s">
        <v>17</v>
      </c>
      <c r="AD32" s="16" t="s">
        <v>235</v>
      </c>
      <c r="AE32" s="16">
        <v>4</v>
      </c>
      <c r="AF32" s="16">
        <v>4</v>
      </c>
      <c r="AG32" s="16">
        <v>1.5287999999999999</v>
      </c>
      <c r="AH32" s="16">
        <v>1.5287999999999999</v>
      </c>
      <c r="AI32" s="16">
        <v>1226100160</v>
      </c>
      <c r="AJ32" s="16">
        <v>0</v>
      </c>
      <c r="AK32" s="16">
        <v>7</v>
      </c>
      <c r="AL32" s="16"/>
      <c r="AM32" s="16"/>
      <c r="AN32" s="16">
        <v>0</v>
      </c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180</v>
      </c>
      <c r="K33" s="2" t="s">
        <v>25</v>
      </c>
      <c r="L33" s="2">
        <v>132757294</v>
      </c>
      <c r="M33" s="16"/>
      <c r="N33" s="16"/>
      <c r="O33" s="16"/>
      <c r="P33" s="21"/>
      <c r="Q33" s="16"/>
      <c r="R33" s="2">
        <v>9704</v>
      </c>
      <c r="S33" s="2" t="s">
        <v>233</v>
      </c>
      <c r="T33" s="2">
        <v>0</v>
      </c>
      <c r="U33" s="2">
        <v>-3</v>
      </c>
      <c r="V33" s="2">
        <v>0</v>
      </c>
      <c r="W33" s="2">
        <v>0</v>
      </c>
      <c r="X33" s="2">
        <v>0</v>
      </c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180</v>
      </c>
      <c r="K34" s="2" t="s">
        <v>25</v>
      </c>
      <c r="L34" s="2">
        <v>132757294</v>
      </c>
      <c r="M34" s="16"/>
      <c r="N34" s="16"/>
      <c r="O34" s="16"/>
      <c r="P34" s="21"/>
      <c r="Q34" s="16"/>
      <c r="R34" s="2">
        <v>9704</v>
      </c>
      <c r="S34" s="2" t="s">
        <v>233</v>
      </c>
      <c r="T34" s="2">
        <v>4</v>
      </c>
      <c r="U34" s="2">
        <v>1</v>
      </c>
      <c r="V34" s="2">
        <v>1.5287999999999999</v>
      </c>
      <c r="W34" s="2">
        <v>1.5287999999999999</v>
      </c>
      <c r="X34" s="2">
        <v>0</v>
      </c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180</v>
      </c>
      <c r="K35" s="2" t="s">
        <v>25</v>
      </c>
      <c r="L35" s="2">
        <v>132757294</v>
      </c>
      <c r="M35" s="16"/>
      <c r="N35" s="16"/>
      <c r="O35" s="16"/>
      <c r="P35" s="21"/>
      <c r="Q35" s="16"/>
      <c r="R35" s="2">
        <v>9704</v>
      </c>
      <c r="S35" s="2" t="s">
        <v>233</v>
      </c>
      <c r="T35" s="2">
        <v>4</v>
      </c>
      <c r="U35" s="2">
        <v>1</v>
      </c>
      <c r="V35" s="2">
        <v>1.5287999999999999</v>
      </c>
      <c r="W35" s="2">
        <v>1.5287999999999999</v>
      </c>
      <c r="X35" s="2">
        <v>0</v>
      </c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180</v>
      </c>
      <c r="K36" s="2" t="s">
        <v>25</v>
      </c>
      <c r="L36" s="2">
        <v>132757294</v>
      </c>
      <c r="M36" s="16"/>
      <c r="N36" s="16"/>
      <c r="O36" s="16"/>
      <c r="P36" s="21"/>
      <c r="Q36" s="16"/>
      <c r="R36" s="2">
        <v>9704</v>
      </c>
      <c r="S36" s="2" t="s">
        <v>233</v>
      </c>
      <c r="T36" s="2">
        <v>4</v>
      </c>
      <c r="U36" s="2">
        <v>1</v>
      </c>
      <c r="V36" s="2">
        <v>1.5287999999999999</v>
      </c>
      <c r="W36" s="2">
        <v>1.5287999999999999</v>
      </c>
      <c r="X36" s="2">
        <v>0</v>
      </c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180</v>
      </c>
      <c r="K37" s="2" t="s">
        <v>25</v>
      </c>
      <c r="L37" s="2">
        <v>132757294</v>
      </c>
      <c r="M37" s="16"/>
      <c r="N37" s="16"/>
      <c r="O37" s="16"/>
      <c r="P37" s="21"/>
      <c r="Q37" s="16"/>
      <c r="R37" s="2">
        <v>9704</v>
      </c>
      <c r="S37" s="2" t="s">
        <v>233</v>
      </c>
      <c r="T37" s="2">
        <v>4</v>
      </c>
      <c r="U37" s="2">
        <v>-1</v>
      </c>
      <c r="V37" s="2">
        <v>1.5287999999999999</v>
      </c>
      <c r="W37" s="2">
        <v>1.5287999999999999</v>
      </c>
      <c r="X37" s="2">
        <v>0</v>
      </c>
      <c r="Y37" s="16">
        <v>9704</v>
      </c>
      <c r="Z37" s="20" t="s">
        <v>1593</v>
      </c>
      <c r="AA37" s="16" t="s">
        <v>1594</v>
      </c>
      <c r="AB37" s="21" t="s">
        <v>234</v>
      </c>
      <c r="AC37" s="16" t="s">
        <v>17</v>
      </c>
      <c r="AD37" s="16" t="s">
        <v>235</v>
      </c>
      <c r="AE37" s="16">
        <v>1</v>
      </c>
      <c r="AF37" s="16">
        <v>5</v>
      </c>
      <c r="AG37" s="16">
        <v>1.5287999999999999</v>
      </c>
      <c r="AH37" s="16">
        <v>1.5287999999999999</v>
      </c>
      <c r="AI37" s="16">
        <v>1226100160</v>
      </c>
      <c r="AJ37" s="16">
        <v>0</v>
      </c>
      <c r="AK37" s="16">
        <v>7</v>
      </c>
      <c r="AL37" s="16"/>
      <c r="AM37" s="16"/>
      <c r="AN37" s="16">
        <v>0</v>
      </c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180</v>
      </c>
      <c r="K38" s="2" t="s">
        <v>25</v>
      </c>
      <c r="L38" s="2">
        <v>132757294</v>
      </c>
      <c r="M38" s="16"/>
      <c r="N38" s="16"/>
      <c r="O38" s="16"/>
      <c r="P38" s="21"/>
      <c r="Q38" s="16"/>
      <c r="R38" s="2">
        <v>9704</v>
      </c>
      <c r="S38" s="2" t="s">
        <v>233</v>
      </c>
      <c r="T38" s="2">
        <v>4</v>
      </c>
      <c r="U38" s="2">
        <v>-1</v>
      </c>
      <c r="V38" s="2">
        <v>1.5287999999999999</v>
      </c>
      <c r="W38" s="2">
        <v>1.5287999999999999</v>
      </c>
      <c r="X38" s="2">
        <v>0</v>
      </c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180</v>
      </c>
      <c r="K39" s="2" t="s">
        <v>25</v>
      </c>
      <c r="L39" s="2">
        <v>132757294</v>
      </c>
      <c r="M39" s="16"/>
      <c r="N39" s="16"/>
      <c r="O39" s="16"/>
      <c r="P39" s="21"/>
      <c r="Q39" s="16"/>
      <c r="R39" s="2">
        <v>9704</v>
      </c>
      <c r="S39" s="2" t="s">
        <v>37</v>
      </c>
      <c r="T39" s="2">
        <v>5</v>
      </c>
      <c r="U39" s="2">
        <v>0</v>
      </c>
      <c r="V39" s="2">
        <v>1.5287999999999999</v>
      </c>
      <c r="W39" s="2">
        <v>1.5287999999999999</v>
      </c>
      <c r="X39" s="2">
        <v>0</v>
      </c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180</v>
      </c>
      <c r="K40" s="2" t="s">
        <v>25</v>
      </c>
      <c r="L40" s="2">
        <v>132757294</v>
      </c>
      <c r="M40" s="16"/>
      <c r="N40" s="16"/>
      <c r="O40" s="16"/>
      <c r="P40" s="21"/>
      <c r="Q40" s="16"/>
      <c r="R40" s="2">
        <v>9704</v>
      </c>
      <c r="S40" s="2" t="s">
        <v>37</v>
      </c>
      <c r="T40" s="2">
        <v>5</v>
      </c>
      <c r="U40" s="2">
        <v>0</v>
      </c>
      <c r="V40" s="2">
        <v>1.5287999999999999</v>
      </c>
      <c r="W40" s="2">
        <v>1.5287999999999999</v>
      </c>
      <c r="X40" s="2">
        <v>0</v>
      </c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180</v>
      </c>
      <c r="K41" s="2" t="s">
        <v>25</v>
      </c>
      <c r="L41" s="2">
        <v>132757294</v>
      </c>
      <c r="M41" s="16"/>
      <c r="N41" s="16"/>
      <c r="O41" s="16"/>
      <c r="P41" s="21"/>
      <c r="Q41" s="16"/>
      <c r="R41" s="2">
        <v>9704</v>
      </c>
      <c r="S41" s="2" t="s">
        <v>37</v>
      </c>
      <c r="T41" s="2">
        <v>5</v>
      </c>
      <c r="U41" s="2">
        <v>0</v>
      </c>
      <c r="V41" s="2">
        <v>1.5287999999999999</v>
      </c>
      <c r="W41" s="2">
        <v>1.5287999999999999</v>
      </c>
      <c r="X41" s="2">
        <v>0</v>
      </c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180</v>
      </c>
      <c r="K42" s="2" t="s">
        <v>25</v>
      </c>
      <c r="L42" s="2">
        <v>132757294</v>
      </c>
      <c r="M42" s="16"/>
      <c r="N42" s="16"/>
      <c r="O42" s="16"/>
      <c r="P42" s="21"/>
      <c r="Q42" s="16"/>
      <c r="R42" s="2">
        <v>9704</v>
      </c>
      <c r="S42" s="2" t="s">
        <v>37</v>
      </c>
      <c r="T42" s="2">
        <v>5</v>
      </c>
      <c r="U42" s="2">
        <v>0</v>
      </c>
      <c r="V42" s="2">
        <v>1.5287999999999999</v>
      </c>
      <c r="W42" s="2">
        <v>1.5287999999999999</v>
      </c>
      <c r="X42" s="2">
        <v>0</v>
      </c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180</v>
      </c>
      <c r="K43" s="2" t="s">
        <v>25</v>
      </c>
      <c r="L43" s="2">
        <v>132757294</v>
      </c>
      <c r="M43" s="16"/>
      <c r="N43" s="16"/>
      <c r="O43" s="16"/>
      <c r="P43" s="21"/>
      <c r="Q43" s="16"/>
      <c r="R43" s="2">
        <v>9704</v>
      </c>
      <c r="S43" s="2" t="s">
        <v>37</v>
      </c>
      <c r="T43" s="2">
        <v>5</v>
      </c>
      <c r="U43" s="2">
        <v>0</v>
      </c>
      <c r="V43" s="2">
        <v>1.5287999999999999</v>
      </c>
      <c r="W43" s="2">
        <v>1.5287999999999999</v>
      </c>
      <c r="X43" s="2">
        <v>0</v>
      </c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180</v>
      </c>
      <c r="K44" s="2" t="s">
        <v>25</v>
      </c>
      <c r="L44" s="2">
        <v>132757294</v>
      </c>
      <c r="M44" s="16"/>
      <c r="N44" s="16"/>
      <c r="O44" s="16"/>
      <c r="P44" s="21"/>
      <c r="Q44" s="16"/>
      <c r="R44" s="2">
        <v>9705</v>
      </c>
      <c r="S44" s="2" t="s">
        <v>232</v>
      </c>
      <c r="T44" s="2">
        <v>0</v>
      </c>
      <c r="U44" s="2">
        <v>5</v>
      </c>
      <c r="V44" s="2">
        <v>0</v>
      </c>
      <c r="W44" s="2">
        <v>0</v>
      </c>
      <c r="X44" s="2">
        <v>0</v>
      </c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180</v>
      </c>
      <c r="K45" s="2" t="s">
        <v>25</v>
      </c>
      <c r="L45" s="2">
        <v>132757294</v>
      </c>
      <c r="M45" s="16"/>
      <c r="N45" s="16"/>
      <c r="O45" s="16"/>
      <c r="P45" s="21"/>
      <c r="Q45" s="16"/>
      <c r="R45" s="2">
        <v>9705</v>
      </c>
      <c r="S45" s="2" t="s">
        <v>232</v>
      </c>
      <c r="T45" s="2">
        <v>0</v>
      </c>
      <c r="U45" s="2">
        <v>5</v>
      </c>
      <c r="V45" s="2">
        <v>0</v>
      </c>
      <c r="W45" s="2">
        <v>0</v>
      </c>
      <c r="X45" s="2">
        <v>0</v>
      </c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180</v>
      </c>
      <c r="K46" s="2" t="s">
        <v>25</v>
      </c>
      <c r="L46" s="2">
        <v>132757294</v>
      </c>
      <c r="M46" s="16"/>
      <c r="N46" s="16"/>
      <c r="O46" s="16"/>
      <c r="P46" s="21"/>
      <c r="Q46" s="16"/>
      <c r="R46" s="2">
        <v>9705</v>
      </c>
      <c r="S46" s="2" t="s">
        <v>233</v>
      </c>
      <c r="T46" s="2">
        <v>0</v>
      </c>
      <c r="U46" s="2">
        <v>5</v>
      </c>
      <c r="V46" s="2">
        <v>0</v>
      </c>
      <c r="W46" s="2">
        <v>0</v>
      </c>
      <c r="X46" s="2">
        <v>0</v>
      </c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 t="s">
        <v>15</v>
      </c>
      <c r="B47" s="2" t="s">
        <v>24</v>
      </c>
      <c r="C47" s="2">
        <v>20150316</v>
      </c>
      <c r="D47" s="15">
        <v>0</v>
      </c>
      <c r="E47" s="2"/>
      <c r="F47" s="2">
        <v>62500</v>
      </c>
      <c r="G47" s="2" t="s">
        <v>17</v>
      </c>
      <c r="H47" s="2"/>
      <c r="I47" s="2" t="s">
        <v>16</v>
      </c>
      <c r="J47" s="2" t="s">
        <v>180</v>
      </c>
      <c r="K47" s="2" t="s">
        <v>25</v>
      </c>
      <c r="L47" s="2">
        <v>132757294</v>
      </c>
      <c r="M47" s="16"/>
      <c r="N47" s="16"/>
      <c r="O47" s="16"/>
      <c r="P47" s="21"/>
      <c r="Q47" s="16"/>
      <c r="R47" s="2">
        <v>9705</v>
      </c>
      <c r="S47" s="2" t="s">
        <v>233</v>
      </c>
      <c r="T47" s="2">
        <v>0</v>
      </c>
      <c r="U47" s="2">
        <v>3</v>
      </c>
      <c r="V47" s="2">
        <v>0</v>
      </c>
      <c r="W47" s="2">
        <v>0</v>
      </c>
      <c r="X47" s="2">
        <v>0</v>
      </c>
      <c r="Y47" s="16">
        <v>9705</v>
      </c>
      <c r="Z47" s="20" t="s">
        <v>1865</v>
      </c>
      <c r="AA47" s="16" t="s">
        <v>1866</v>
      </c>
      <c r="AB47" s="21" t="s">
        <v>234</v>
      </c>
      <c r="AC47" s="16" t="s">
        <v>17</v>
      </c>
      <c r="AD47" s="16" t="s">
        <v>235</v>
      </c>
      <c r="AE47" s="16">
        <v>1</v>
      </c>
      <c r="AF47" s="16">
        <v>1</v>
      </c>
      <c r="AG47" s="16">
        <v>1.5286999999999999</v>
      </c>
      <c r="AH47" s="16">
        <v>1.5286999999999999</v>
      </c>
      <c r="AI47" s="16">
        <v>1226100161</v>
      </c>
      <c r="AJ47" s="16">
        <v>0</v>
      </c>
      <c r="AK47" s="16">
        <v>7</v>
      </c>
      <c r="AL47" s="16"/>
      <c r="AM47" s="16"/>
      <c r="AN47" s="16">
        <v>0</v>
      </c>
    </row>
    <row r="48" spans="1:40" x14ac:dyDescent="0.25">
      <c r="A48" s="2" t="s">
        <v>15</v>
      </c>
      <c r="B48" s="2" t="s">
        <v>24</v>
      </c>
      <c r="C48" s="2">
        <v>20150316</v>
      </c>
      <c r="D48" s="15">
        <v>0</v>
      </c>
      <c r="E48" s="2"/>
      <c r="F48" s="2">
        <v>62500</v>
      </c>
      <c r="G48" s="2" t="s">
        <v>17</v>
      </c>
      <c r="H48" s="2"/>
      <c r="I48" s="2" t="s">
        <v>16</v>
      </c>
      <c r="J48" s="2" t="s">
        <v>180</v>
      </c>
      <c r="K48" s="2" t="s">
        <v>25</v>
      </c>
      <c r="L48" s="2">
        <v>132757294</v>
      </c>
      <c r="M48" s="16"/>
      <c r="N48" s="16"/>
      <c r="O48" s="16"/>
      <c r="P48" s="21"/>
      <c r="Q48" s="16"/>
      <c r="R48" s="2">
        <v>9705</v>
      </c>
      <c r="S48" s="2" t="s">
        <v>233</v>
      </c>
      <c r="T48" s="2">
        <v>0</v>
      </c>
      <c r="U48" s="2">
        <v>3</v>
      </c>
      <c r="V48" s="2">
        <v>0</v>
      </c>
      <c r="W48" s="2">
        <v>0</v>
      </c>
      <c r="X48" s="2">
        <v>0</v>
      </c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 t="s">
        <v>15</v>
      </c>
      <c r="B49" s="2" t="s">
        <v>24</v>
      </c>
      <c r="C49" s="2">
        <v>20150316</v>
      </c>
      <c r="D49" s="15">
        <v>0</v>
      </c>
      <c r="E49" s="2"/>
      <c r="F49" s="2">
        <v>62500</v>
      </c>
      <c r="G49" s="2" t="s">
        <v>17</v>
      </c>
      <c r="H49" s="2"/>
      <c r="I49" s="2" t="s">
        <v>16</v>
      </c>
      <c r="J49" s="2" t="s">
        <v>180</v>
      </c>
      <c r="K49" s="2" t="s">
        <v>25</v>
      </c>
      <c r="L49" s="2">
        <v>132757294</v>
      </c>
      <c r="M49" s="16"/>
      <c r="N49" s="16"/>
      <c r="O49" s="16"/>
      <c r="P49" s="21"/>
      <c r="Q49" s="16"/>
      <c r="R49" s="2">
        <v>9705</v>
      </c>
      <c r="S49" s="2" t="s">
        <v>233</v>
      </c>
      <c r="T49" s="2">
        <v>1</v>
      </c>
      <c r="U49" s="2">
        <v>4</v>
      </c>
      <c r="V49" s="2">
        <v>1.5286999999999999</v>
      </c>
      <c r="W49" s="2">
        <v>1.5286999999999999</v>
      </c>
      <c r="X49" s="2">
        <v>0</v>
      </c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 t="s">
        <v>15</v>
      </c>
      <c r="B50" s="2" t="s">
        <v>24</v>
      </c>
      <c r="C50" s="2">
        <v>20150316</v>
      </c>
      <c r="D50" s="15">
        <v>0</v>
      </c>
      <c r="E50" s="2"/>
      <c r="F50" s="2">
        <v>62500</v>
      </c>
      <c r="G50" s="2" t="s">
        <v>17</v>
      </c>
      <c r="H50" s="2"/>
      <c r="I50" s="2" t="s">
        <v>16</v>
      </c>
      <c r="J50" s="2" t="s">
        <v>180</v>
      </c>
      <c r="K50" s="2" t="s">
        <v>25</v>
      </c>
      <c r="L50" s="2">
        <v>132757294</v>
      </c>
      <c r="M50" s="16"/>
      <c r="N50" s="16"/>
      <c r="O50" s="16"/>
      <c r="P50" s="21"/>
      <c r="Q50" s="16"/>
      <c r="R50" s="2">
        <v>9705</v>
      </c>
      <c r="S50" s="2" t="s">
        <v>233</v>
      </c>
      <c r="T50" s="2">
        <v>1</v>
      </c>
      <c r="U50" s="2">
        <v>-4</v>
      </c>
      <c r="V50" s="2">
        <v>1.5286999999999999</v>
      </c>
      <c r="W50" s="2">
        <v>1.5286999999999999</v>
      </c>
      <c r="X50" s="2">
        <v>0</v>
      </c>
      <c r="Y50" s="16">
        <v>9705</v>
      </c>
      <c r="Z50" s="20" t="s">
        <v>1887</v>
      </c>
      <c r="AA50" s="16" t="s">
        <v>1866</v>
      </c>
      <c r="AB50" s="21" t="s">
        <v>234</v>
      </c>
      <c r="AC50" s="16" t="s">
        <v>17</v>
      </c>
      <c r="AD50" s="16" t="s">
        <v>235</v>
      </c>
      <c r="AE50" s="16">
        <v>4</v>
      </c>
      <c r="AF50" s="16">
        <v>5</v>
      </c>
      <c r="AG50" s="16">
        <v>1.5286999999999999</v>
      </c>
      <c r="AH50" s="16">
        <v>1.5286999999999999</v>
      </c>
      <c r="AI50" s="16">
        <v>1226100161</v>
      </c>
      <c r="AJ50" s="16">
        <v>0</v>
      </c>
      <c r="AK50" s="16">
        <v>7</v>
      </c>
      <c r="AL50" s="16"/>
      <c r="AM50" s="16"/>
      <c r="AN50" s="16">
        <v>0</v>
      </c>
    </row>
    <row r="51" spans="1:40" x14ac:dyDescent="0.25">
      <c r="A51" s="2" t="s">
        <v>15</v>
      </c>
      <c r="B51" s="2" t="s">
        <v>24</v>
      </c>
      <c r="C51" s="2">
        <v>20150316</v>
      </c>
      <c r="D51" s="15">
        <v>0</v>
      </c>
      <c r="E51" s="2"/>
      <c r="F51" s="2">
        <v>62500</v>
      </c>
      <c r="G51" s="2" t="s">
        <v>17</v>
      </c>
      <c r="H51" s="2"/>
      <c r="I51" s="2" t="s">
        <v>16</v>
      </c>
      <c r="J51" s="2" t="s">
        <v>180</v>
      </c>
      <c r="K51" s="2" t="s">
        <v>25</v>
      </c>
      <c r="L51" s="2">
        <v>132757294</v>
      </c>
      <c r="M51" s="16"/>
      <c r="N51" s="16"/>
      <c r="O51" s="16"/>
      <c r="P51" s="21"/>
      <c r="Q51" s="16"/>
      <c r="R51" s="2">
        <v>9705</v>
      </c>
      <c r="S51" s="2" t="s">
        <v>233</v>
      </c>
      <c r="T51" s="2">
        <v>1</v>
      </c>
      <c r="U51" s="2">
        <v>-4</v>
      </c>
      <c r="V51" s="2">
        <v>1.5286999999999999</v>
      </c>
      <c r="W51" s="2">
        <v>1.5286999999999999</v>
      </c>
      <c r="X51" s="2">
        <v>0</v>
      </c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 t="s">
        <v>15</v>
      </c>
      <c r="B52" s="2" t="s">
        <v>24</v>
      </c>
      <c r="C52" s="2">
        <v>20150316</v>
      </c>
      <c r="D52" s="15">
        <v>0</v>
      </c>
      <c r="E52" s="2"/>
      <c r="F52" s="2">
        <v>62500</v>
      </c>
      <c r="G52" s="2" t="s">
        <v>17</v>
      </c>
      <c r="H52" s="2"/>
      <c r="I52" s="2" t="s">
        <v>16</v>
      </c>
      <c r="J52" s="2" t="s">
        <v>180</v>
      </c>
      <c r="K52" s="2" t="s">
        <v>25</v>
      </c>
      <c r="L52" s="2">
        <v>132757294</v>
      </c>
      <c r="M52" s="16"/>
      <c r="N52" s="16"/>
      <c r="O52" s="16"/>
      <c r="P52" s="21"/>
      <c r="Q52" s="16"/>
      <c r="R52" s="2">
        <v>9705</v>
      </c>
      <c r="S52" s="2" t="s">
        <v>37</v>
      </c>
      <c r="T52" s="2">
        <v>5</v>
      </c>
      <c r="U52" s="2">
        <v>0</v>
      </c>
      <c r="V52" s="2">
        <v>1.5286999999999999</v>
      </c>
      <c r="W52" s="2">
        <v>1.5286999999999999</v>
      </c>
      <c r="X52" s="2">
        <v>0</v>
      </c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 t="s">
        <v>15</v>
      </c>
      <c r="B53" s="2" t="s">
        <v>24</v>
      </c>
      <c r="C53" s="2">
        <v>20150316</v>
      </c>
      <c r="D53" s="15">
        <v>0</v>
      </c>
      <c r="E53" s="2"/>
      <c r="F53" s="2">
        <v>62500</v>
      </c>
      <c r="G53" s="2" t="s">
        <v>17</v>
      </c>
      <c r="H53" s="2"/>
      <c r="I53" s="2" t="s">
        <v>16</v>
      </c>
      <c r="J53" s="2" t="s">
        <v>180</v>
      </c>
      <c r="K53" s="2" t="s">
        <v>25</v>
      </c>
      <c r="L53" s="2">
        <v>132757294</v>
      </c>
      <c r="M53" s="16"/>
      <c r="N53" s="16"/>
      <c r="O53" s="16"/>
      <c r="P53" s="21"/>
      <c r="Q53" s="16"/>
      <c r="R53" s="2">
        <v>9705</v>
      </c>
      <c r="S53" s="2" t="s">
        <v>37</v>
      </c>
      <c r="T53" s="2">
        <v>5</v>
      </c>
      <c r="U53" s="2">
        <v>0</v>
      </c>
      <c r="V53" s="2">
        <v>1.5286999999999999</v>
      </c>
      <c r="W53" s="2">
        <v>1.5286999999999999</v>
      </c>
      <c r="X53" s="2">
        <v>0</v>
      </c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 t="s">
        <v>15</v>
      </c>
      <c r="B54" s="2" t="s">
        <v>24</v>
      </c>
      <c r="C54" s="2">
        <v>20150316</v>
      </c>
      <c r="D54" s="15">
        <v>0</v>
      </c>
      <c r="E54" s="2"/>
      <c r="F54" s="2">
        <v>62500</v>
      </c>
      <c r="G54" s="2" t="s">
        <v>17</v>
      </c>
      <c r="H54" s="2"/>
      <c r="I54" s="2" t="s">
        <v>16</v>
      </c>
      <c r="J54" s="2" t="s">
        <v>180</v>
      </c>
      <c r="K54" s="2" t="s">
        <v>25</v>
      </c>
      <c r="L54" s="2">
        <v>132757294</v>
      </c>
      <c r="M54" s="16"/>
      <c r="N54" s="16"/>
      <c r="O54" s="16"/>
      <c r="P54" s="21"/>
      <c r="Q54" s="16"/>
      <c r="R54" s="2">
        <v>9705</v>
      </c>
      <c r="S54" s="2" t="s">
        <v>37</v>
      </c>
      <c r="T54" s="2">
        <v>5</v>
      </c>
      <c r="U54" s="2">
        <v>0</v>
      </c>
      <c r="V54" s="2">
        <v>1.5286999999999999</v>
      </c>
      <c r="W54" s="2">
        <v>1.5286999999999999</v>
      </c>
      <c r="X54" s="2">
        <v>0</v>
      </c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 t="s">
        <v>15</v>
      </c>
      <c r="B55" s="2" t="s">
        <v>24</v>
      </c>
      <c r="C55" s="2">
        <v>20150316</v>
      </c>
      <c r="D55" s="15">
        <v>0</v>
      </c>
      <c r="E55" s="2"/>
      <c r="F55" s="2">
        <v>62500</v>
      </c>
      <c r="G55" s="2" t="s">
        <v>17</v>
      </c>
      <c r="H55" s="2"/>
      <c r="I55" s="2" t="s">
        <v>16</v>
      </c>
      <c r="J55" s="2" t="s">
        <v>180</v>
      </c>
      <c r="K55" s="2" t="s">
        <v>25</v>
      </c>
      <c r="L55" s="2">
        <v>132757294</v>
      </c>
      <c r="M55" s="16"/>
      <c r="N55" s="16"/>
      <c r="O55" s="16"/>
      <c r="P55" s="21"/>
      <c r="Q55" s="16"/>
      <c r="R55" s="2">
        <v>9705</v>
      </c>
      <c r="S55" s="2" t="s">
        <v>37</v>
      </c>
      <c r="T55" s="2">
        <v>5</v>
      </c>
      <c r="U55" s="2">
        <v>0</v>
      </c>
      <c r="V55" s="2">
        <v>1.5286999999999999</v>
      </c>
      <c r="W55" s="2">
        <v>1.5286999999999999</v>
      </c>
      <c r="X55" s="2">
        <v>0</v>
      </c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 t="s">
        <v>15</v>
      </c>
      <c r="B56" s="2" t="s">
        <v>24</v>
      </c>
      <c r="C56" s="2">
        <v>20150316</v>
      </c>
      <c r="D56" s="15">
        <v>0</v>
      </c>
      <c r="E56" s="2"/>
      <c r="F56" s="2">
        <v>62500</v>
      </c>
      <c r="G56" s="2" t="s">
        <v>17</v>
      </c>
      <c r="H56" s="2"/>
      <c r="I56" s="2" t="s">
        <v>16</v>
      </c>
      <c r="J56" s="2" t="s">
        <v>180</v>
      </c>
      <c r="K56" s="2" t="s">
        <v>25</v>
      </c>
      <c r="L56" s="2">
        <v>132757294</v>
      </c>
      <c r="M56" s="16"/>
      <c r="N56" s="16"/>
      <c r="O56" s="16"/>
      <c r="P56" s="21"/>
      <c r="Q56" s="16"/>
      <c r="R56" s="2">
        <v>9705</v>
      </c>
      <c r="S56" s="2" t="s">
        <v>37</v>
      </c>
      <c r="T56" s="2">
        <v>5</v>
      </c>
      <c r="U56" s="2">
        <v>0</v>
      </c>
      <c r="V56" s="2">
        <v>1.5286999999999999</v>
      </c>
      <c r="W56" s="2">
        <v>1.5286999999999999</v>
      </c>
      <c r="X56" s="2">
        <v>0</v>
      </c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 t="s">
        <v>15</v>
      </c>
      <c r="B57" s="2" t="s">
        <v>24</v>
      </c>
      <c r="C57" s="2">
        <v>20150316</v>
      </c>
      <c r="D57" s="15">
        <v>0</v>
      </c>
      <c r="E57" s="2"/>
      <c r="F57" s="2">
        <v>62500</v>
      </c>
      <c r="G57" s="2" t="s">
        <v>17</v>
      </c>
      <c r="H57" s="2"/>
      <c r="I57" s="2" t="s">
        <v>16</v>
      </c>
      <c r="J57" s="2" t="s">
        <v>180</v>
      </c>
      <c r="K57" s="2" t="s">
        <v>25</v>
      </c>
      <c r="L57" s="2">
        <v>132757294</v>
      </c>
      <c r="M57" s="16"/>
      <c r="N57" s="16"/>
      <c r="O57" s="16"/>
      <c r="P57" s="21"/>
      <c r="Q57" s="16"/>
      <c r="R57" s="2">
        <v>9705</v>
      </c>
      <c r="S57" s="2" t="s">
        <v>37</v>
      </c>
      <c r="T57" s="2">
        <v>5</v>
      </c>
      <c r="U57" s="2">
        <v>0</v>
      </c>
      <c r="V57" s="2">
        <v>1.5286999999999999</v>
      </c>
      <c r="W57" s="2">
        <v>1.5286999999999999</v>
      </c>
      <c r="X57" s="2">
        <v>0</v>
      </c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 t="s">
        <v>15</v>
      </c>
      <c r="B58" s="2" t="s">
        <v>24</v>
      </c>
      <c r="C58" s="2">
        <v>20150316</v>
      </c>
      <c r="D58" s="15">
        <v>0</v>
      </c>
      <c r="E58" s="2"/>
      <c r="F58" s="2">
        <v>62500</v>
      </c>
      <c r="G58" s="2" t="s">
        <v>17</v>
      </c>
      <c r="H58" s="2"/>
      <c r="I58" s="2" t="s">
        <v>16</v>
      </c>
      <c r="J58" s="2" t="s">
        <v>180</v>
      </c>
      <c r="K58" s="2" t="s">
        <v>25</v>
      </c>
      <c r="L58" s="2">
        <v>132757294</v>
      </c>
      <c r="M58" s="16"/>
      <c r="N58" s="16"/>
      <c r="O58" s="16"/>
      <c r="P58" s="21"/>
      <c r="Q58" s="16"/>
      <c r="R58" s="2">
        <v>9705</v>
      </c>
      <c r="S58" s="2" t="s">
        <v>37</v>
      </c>
      <c r="T58" s="2">
        <v>5</v>
      </c>
      <c r="U58" s="2">
        <v>0</v>
      </c>
      <c r="V58" s="2">
        <v>1.5286999999999999</v>
      </c>
      <c r="W58" s="2">
        <v>1.5286999999999999</v>
      </c>
      <c r="X58" s="2">
        <v>0</v>
      </c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 t="s">
        <v>15</v>
      </c>
      <c r="B59" s="2" t="s">
        <v>24</v>
      </c>
      <c r="C59" s="2">
        <v>20150316</v>
      </c>
      <c r="D59" s="15">
        <v>0</v>
      </c>
      <c r="E59" s="2"/>
      <c r="F59" s="2">
        <v>62500</v>
      </c>
      <c r="G59" s="2" t="s">
        <v>17</v>
      </c>
      <c r="H59" s="2"/>
      <c r="I59" s="2" t="s">
        <v>16</v>
      </c>
      <c r="J59" s="2" t="s">
        <v>180</v>
      </c>
      <c r="K59" s="2" t="s">
        <v>25</v>
      </c>
      <c r="L59" s="2">
        <v>132757294</v>
      </c>
      <c r="M59" s="16"/>
      <c r="N59" s="16"/>
      <c r="O59" s="16"/>
      <c r="P59" s="21"/>
      <c r="Q59" s="16"/>
      <c r="R59" s="2">
        <v>9705</v>
      </c>
      <c r="S59" s="2" t="s">
        <v>37</v>
      </c>
      <c r="T59" s="2">
        <v>5</v>
      </c>
      <c r="U59" s="2">
        <v>0</v>
      </c>
      <c r="V59" s="2">
        <v>1.5286999999999999</v>
      </c>
      <c r="W59" s="2">
        <v>1.5286999999999999</v>
      </c>
      <c r="X59" s="2">
        <v>0</v>
      </c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 t="s">
        <v>15</v>
      </c>
      <c r="B60" s="2" t="s">
        <v>24</v>
      </c>
      <c r="C60" s="2">
        <v>20150316</v>
      </c>
      <c r="D60" s="15">
        <v>0</v>
      </c>
      <c r="E60" s="2"/>
      <c r="F60" s="2">
        <v>62500</v>
      </c>
      <c r="G60" s="2" t="s">
        <v>17</v>
      </c>
      <c r="H60" s="2"/>
      <c r="I60" s="2" t="s">
        <v>16</v>
      </c>
      <c r="J60" s="2" t="s">
        <v>180</v>
      </c>
      <c r="K60" s="2" t="s">
        <v>25</v>
      </c>
      <c r="L60" s="2">
        <v>132757294</v>
      </c>
      <c r="M60" s="16"/>
      <c r="N60" s="16"/>
      <c r="O60" s="16"/>
      <c r="P60" s="21"/>
      <c r="Q60" s="16"/>
      <c r="R60" s="2">
        <v>9706</v>
      </c>
      <c r="S60" s="2" t="s">
        <v>232</v>
      </c>
      <c r="T60" s="2">
        <v>0</v>
      </c>
      <c r="U60" s="2">
        <v>5</v>
      </c>
      <c r="V60" s="2">
        <v>0</v>
      </c>
      <c r="W60" s="2">
        <v>0</v>
      </c>
      <c r="X60" s="2">
        <v>0</v>
      </c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 t="s">
        <v>15</v>
      </c>
      <c r="B61" s="2" t="s">
        <v>24</v>
      </c>
      <c r="C61" s="2">
        <v>20150316</v>
      </c>
      <c r="D61" s="15">
        <v>0</v>
      </c>
      <c r="E61" s="2"/>
      <c r="F61" s="2">
        <v>62500</v>
      </c>
      <c r="G61" s="2" t="s">
        <v>17</v>
      </c>
      <c r="H61" s="2"/>
      <c r="I61" s="2" t="s">
        <v>16</v>
      </c>
      <c r="J61" s="2" t="s">
        <v>180</v>
      </c>
      <c r="K61" s="2" t="s">
        <v>25</v>
      </c>
      <c r="L61" s="2">
        <v>132757294</v>
      </c>
      <c r="M61" s="16"/>
      <c r="N61" s="16"/>
      <c r="O61" s="16"/>
      <c r="P61" s="21"/>
      <c r="Q61" s="16"/>
      <c r="R61" s="2">
        <v>9706</v>
      </c>
      <c r="S61" s="2" t="s">
        <v>232</v>
      </c>
      <c r="T61" s="2">
        <v>0</v>
      </c>
      <c r="U61" s="2">
        <v>5</v>
      </c>
      <c r="V61" s="2">
        <v>0</v>
      </c>
      <c r="W61" s="2">
        <v>0</v>
      </c>
      <c r="X61" s="2">
        <v>0</v>
      </c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 t="s">
        <v>15</v>
      </c>
      <c r="B62" s="2" t="s">
        <v>24</v>
      </c>
      <c r="C62" s="2">
        <v>20150316</v>
      </c>
      <c r="D62" s="15">
        <v>0</v>
      </c>
      <c r="E62" s="2"/>
      <c r="F62" s="2">
        <v>62500</v>
      </c>
      <c r="G62" s="2" t="s">
        <v>17</v>
      </c>
      <c r="H62" s="2"/>
      <c r="I62" s="2" t="s">
        <v>16</v>
      </c>
      <c r="J62" s="2" t="s">
        <v>180</v>
      </c>
      <c r="K62" s="2" t="s">
        <v>25</v>
      </c>
      <c r="L62" s="2">
        <v>132757294</v>
      </c>
      <c r="M62" s="16"/>
      <c r="N62" s="16"/>
      <c r="O62" s="16"/>
      <c r="P62" s="21"/>
      <c r="Q62" s="16"/>
      <c r="R62" s="2">
        <v>9706</v>
      </c>
      <c r="S62" s="2" t="s">
        <v>233</v>
      </c>
      <c r="T62" s="2">
        <v>0</v>
      </c>
      <c r="U62" s="2">
        <v>5</v>
      </c>
      <c r="V62" s="2">
        <v>0</v>
      </c>
      <c r="W62" s="2">
        <v>0</v>
      </c>
      <c r="X62" s="2">
        <v>0</v>
      </c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 t="s">
        <v>15</v>
      </c>
      <c r="B63" s="2" t="s">
        <v>24</v>
      </c>
      <c r="C63" s="2">
        <v>20150316</v>
      </c>
      <c r="D63" s="15">
        <v>0</v>
      </c>
      <c r="E63" s="2"/>
      <c r="F63" s="2">
        <v>62500</v>
      </c>
      <c r="G63" s="2" t="s">
        <v>17</v>
      </c>
      <c r="H63" s="2"/>
      <c r="I63" s="2" t="s">
        <v>16</v>
      </c>
      <c r="J63" s="2" t="s">
        <v>180</v>
      </c>
      <c r="K63" s="2" t="s">
        <v>25</v>
      </c>
      <c r="L63" s="2">
        <v>132757294</v>
      </c>
      <c r="M63" s="16"/>
      <c r="N63" s="16"/>
      <c r="O63" s="16"/>
      <c r="P63" s="21"/>
      <c r="Q63" s="16"/>
      <c r="R63" s="2">
        <v>9707</v>
      </c>
      <c r="S63" s="2" t="s">
        <v>232</v>
      </c>
      <c r="T63" s="2">
        <v>0</v>
      </c>
      <c r="U63" s="2">
        <v>17</v>
      </c>
      <c r="V63" s="2">
        <v>0</v>
      </c>
      <c r="W63" s="2">
        <v>0</v>
      </c>
      <c r="X63" s="2">
        <v>0</v>
      </c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 t="s">
        <v>15</v>
      </c>
      <c r="B64" s="2" t="s">
        <v>24</v>
      </c>
      <c r="C64" s="2">
        <v>20150316</v>
      </c>
      <c r="D64" s="15">
        <v>0</v>
      </c>
      <c r="E64" s="2"/>
      <c r="F64" s="2">
        <v>62500</v>
      </c>
      <c r="G64" s="2" t="s">
        <v>17</v>
      </c>
      <c r="H64" s="2"/>
      <c r="I64" s="2" t="s">
        <v>16</v>
      </c>
      <c r="J64" s="2" t="s">
        <v>180</v>
      </c>
      <c r="K64" s="2" t="s">
        <v>25</v>
      </c>
      <c r="L64" s="2">
        <v>132757294</v>
      </c>
      <c r="M64" s="16"/>
      <c r="N64" s="16"/>
      <c r="O64" s="16"/>
      <c r="P64" s="21"/>
      <c r="Q64" s="16"/>
      <c r="R64" s="2">
        <v>9706</v>
      </c>
      <c r="S64" s="2" t="s">
        <v>223</v>
      </c>
      <c r="T64" s="2">
        <v>0</v>
      </c>
      <c r="U64" s="2">
        <v>5</v>
      </c>
      <c r="V64" s="2">
        <v>0</v>
      </c>
      <c r="W64" s="2">
        <v>0</v>
      </c>
      <c r="X64" s="2">
        <v>0</v>
      </c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 t="s">
        <v>15</v>
      </c>
      <c r="B65" s="2" t="s">
        <v>24</v>
      </c>
      <c r="C65" s="2">
        <v>20150316</v>
      </c>
      <c r="D65" s="15">
        <v>0</v>
      </c>
      <c r="E65" s="2"/>
      <c r="F65" s="2">
        <v>62500</v>
      </c>
      <c r="G65" s="2" t="s">
        <v>17</v>
      </c>
      <c r="H65" s="2"/>
      <c r="I65" s="2" t="s">
        <v>16</v>
      </c>
      <c r="J65" s="2" t="s">
        <v>180</v>
      </c>
      <c r="K65" s="2" t="s">
        <v>25</v>
      </c>
      <c r="L65" s="2">
        <v>132757294</v>
      </c>
      <c r="M65" s="16"/>
      <c r="N65" s="16"/>
      <c r="O65" s="16"/>
      <c r="P65" s="21"/>
      <c r="Q65" s="16"/>
      <c r="R65" s="2">
        <v>9706</v>
      </c>
      <c r="S65" s="2" t="s">
        <v>224</v>
      </c>
      <c r="T65" s="2">
        <v>0</v>
      </c>
      <c r="U65" s="2">
        <v>5</v>
      </c>
      <c r="V65" s="2">
        <v>0</v>
      </c>
      <c r="W65" s="2">
        <v>0</v>
      </c>
      <c r="X65" s="2">
        <v>0</v>
      </c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 t="s">
        <v>15</v>
      </c>
      <c r="B66" s="2" t="s">
        <v>24</v>
      </c>
      <c r="C66" s="2">
        <v>20150316</v>
      </c>
      <c r="D66" s="15">
        <v>0</v>
      </c>
      <c r="E66" s="2"/>
      <c r="F66" s="2">
        <v>62500</v>
      </c>
      <c r="G66" s="2" t="s">
        <v>17</v>
      </c>
      <c r="H66" s="2"/>
      <c r="I66" s="2" t="s">
        <v>16</v>
      </c>
      <c r="J66" s="2" t="s">
        <v>180</v>
      </c>
      <c r="K66" s="2" t="s">
        <v>25</v>
      </c>
      <c r="L66" s="2">
        <v>132757294</v>
      </c>
      <c r="M66" s="16"/>
      <c r="N66" s="16"/>
      <c r="O66" s="16"/>
      <c r="P66" s="21"/>
      <c r="Q66" s="16"/>
      <c r="R66" s="2">
        <v>9702</v>
      </c>
      <c r="S66" s="2" t="s">
        <v>223</v>
      </c>
      <c r="T66" s="2">
        <v>0</v>
      </c>
      <c r="U66" s="2">
        <v>15</v>
      </c>
      <c r="V66" s="2">
        <v>0</v>
      </c>
      <c r="W66" s="2">
        <v>0</v>
      </c>
      <c r="X66" s="2">
        <v>0</v>
      </c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 t="s">
        <v>15</v>
      </c>
      <c r="B67" s="2" t="s">
        <v>24</v>
      </c>
      <c r="C67" s="2">
        <v>20150316</v>
      </c>
      <c r="D67" s="15">
        <v>0</v>
      </c>
      <c r="E67" s="2"/>
      <c r="F67" s="2">
        <v>62500</v>
      </c>
      <c r="G67" s="2" t="s">
        <v>17</v>
      </c>
      <c r="H67" s="2"/>
      <c r="I67" s="2" t="s">
        <v>16</v>
      </c>
      <c r="J67" s="2" t="s">
        <v>180</v>
      </c>
      <c r="K67" s="2" t="s">
        <v>25</v>
      </c>
      <c r="L67" s="2">
        <v>132757294</v>
      </c>
      <c r="M67" s="16"/>
      <c r="N67" s="16"/>
      <c r="O67" s="16"/>
      <c r="P67" s="21"/>
      <c r="Q67" s="16"/>
      <c r="R67" s="2">
        <v>9702</v>
      </c>
      <c r="S67" s="2" t="s">
        <v>224</v>
      </c>
      <c r="T67" s="2">
        <v>0</v>
      </c>
      <c r="U67" s="2">
        <v>15</v>
      </c>
      <c r="V67" s="2">
        <v>0</v>
      </c>
      <c r="W67" s="2">
        <v>0</v>
      </c>
      <c r="X67" s="2">
        <v>0</v>
      </c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 t="s">
        <v>15</v>
      </c>
      <c r="B68" s="2" t="s">
        <v>24</v>
      </c>
      <c r="C68" s="2">
        <v>20150316</v>
      </c>
      <c r="D68" s="15">
        <v>0</v>
      </c>
      <c r="E68" s="2"/>
      <c r="F68" s="2">
        <v>62500</v>
      </c>
      <c r="G68" s="2" t="s">
        <v>17</v>
      </c>
      <c r="H68" s="2"/>
      <c r="I68" s="2" t="s">
        <v>16</v>
      </c>
      <c r="J68" s="2" t="s">
        <v>180</v>
      </c>
      <c r="K68" s="2" t="s">
        <v>25</v>
      </c>
      <c r="L68" s="2">
        <v>132757294</v>
      </c>
      <c r="M68" s="16"/>
      <c r="N68" s="16"/>
      <c r="O68" s="16"/>
      <c r="P68" s="21"/>
      <c r="Q68" s="16"/>
      <c r="R68" s="2">
        <v>9707</v>
      </c>
      <c r="S68" s="2" t="s">
        <v>232</v>
      </c>
      <c r="T68" s="2">
        <v>0</v>
      </c>
      <c r="U68" s="2">
        <v>17</v>
      </c>
      <c r="V68" s="2">
        <v>0</v>
      </c>
      <c r="W68" s="2">
        <v>0</v>
      </c>
      <c r="X68" s="2">
        <v>0</v>
      </c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 t="s">
        <v>15</v>
      </c>
      <c r="B69" s="2" t="s">
        <v>24</v>
      </c>
      <c r="C69" s="2">
        <v>20150316</v>
      </c>
      <c r="D69" s="15">
        <v>0</v>
      </c>
      <c r="E69" s="2"/>
      <c r="F69" s="2">
        <v>62500</v>
      </c>
      <c r="G69" s="2" t="s">
        <v>17</v>
      </c>
      <c r="H69" s="2"/>
      <c r="I69" s="2" t="s">
        <v>16</v>
      </c>
      <c r="J69" s="2" t="s">
        <v>180</v>
      </c>
      <c r="K69" s="2" t="s">
        <v>25</v>
      </c>
      <c r="L69" s="2">
        <v>132757294</v>
      </c>
      <c r="M69" s="16"/>
      <c r="N69" s="16"/>
      <c r="O69" s="16"/>
      <c r="P69" s="21"/>
      <c r="Q69" s="16"/>
      <c r="R69" s="2">
        <v>9707</v>
      </c>
      <c r="S69" s="2" t="s">
        <v>192</v>
      </c>
      <c r="T69" s="2">
        <v>0</v>
      </c>
      <c r="U69" s="2">
        <v>17</v>
      </c>
      <c r="V69" s="2">
        <v>0</v>
      </c>
      <c r="W69" s="2">
        <v>0</v>
      </c>
      <c r="X69" s="2">
        <v>0</v>
      </c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 t="s">
        <v>15</v>
      </c>
      <c r="B70" s="2" t="s">
        <v>24</v>
      </c>
      <c r="C70" s="2">
        <v>20150316</v>
      </c>
      <c r="D70" s="15">
        <v>0</v>
      </c>
      <c r="E70" s="2"/>
      <c r="F70" s="2">
        <v>62500</v>
      </c>
      <c r="G70" s="2" t="s">
        <v>17</v>
      </c>
      <c r="H70" s="2"/>
      <c r="I70" s="2" t="s">
        <v>16</v>
      </c>
      <c r="J70" s="2" t="s">
        <v>180</v>
      </c>
      <c r="K70" s="2" t="s">
        <v>25</v>
      </c>
      <c r="L70" s="2">
        <v>132757294</v>
      </c>
      <c r="M70" s="16"/>
      <c r="N70" s="16"/>
      <c r="O70" s="16"/>
      <c r="P70" s="21"/>
      <c r="Q70" s="16"/>
      <c r="R70" s="2">
        <v>9708</v>
      </c>
      <c r="S70" s="2" t="s">
        <v>232</v>
      </c>
      <c r="T70" s="2">
        <v>0</v>
      </c>
      <c r="U70" s="2">
        <v>5</v>
      </c>
      <c r="V70" s="2">
        <v>0</v>
      </c>
      <c r="W70" s="2">
        <v>0</v>
      </c>
      <c r="X70" s="2">
        <v>0</v>
      </c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 t="s">
        <v>15</v>
      </c>
      <c r="B71" s="2" t="s">
        <v>24</v>
      </c>
      <c r="C71" s="2">
        <v>20150316</v>
      </c>
      <c r="D71" s="15">
        <v>0</v>
      </c>
      <c r="E71" s="2"/>
      <c r="F71" s="2">
        <v>62500</v>
      </c>
      <c r="G71" s="2" t="s">
        <v>17</v>
      </c>
      <c r="H71" s="2"/>
      <c r="I71" s="2" t="s">
        <v>16</v>
      </c>
      <c r="J71" s="2" t="s">
        <v>180</v>
      </c>
      <c r="K71" s="2" t="s">
        <v>25</v>
      </c>
      <c r="L71" s="2">
        <v>132757294</v>
      </c>
      <c r="M71" s="16"/>
      <c r="N71" s="16"/>
      <c r="O71" s="16"/>
      <c r="P71" s="21"/>
      <c r="Q71" s="16"/>
      <c r="R71" s="2">
        <v>9709</v>
      </c>
      <c r="S71" s="2" t="s">
        <v>232</v>
      </c>
      <c r="T71" s="2">
        <v>0</v>
      </c>
      <c r="U71" s="2">
        <v>-18</v>
      </c>
      <c r="V71" s="2">
        <v>0</v>
      </c>
      <c r="W71" s="2">
        <v>0</v>
      </c>
      <c r="X71" s="2">
        <v>0</v>
      </c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 t="s">
        <v>15</v>
      </c>
      <c r="B72" s="2" t="s">
        <v>24</v>
      </c>
      <c r="C72" s="2">
        <v>20150316</v>
      </c>
      <c r="D72" s="15">
        <v>0</v>
      </c>
      <c r="E72" s="2"/>
      <c r="F72" s="2">
        <v>62500</v>
      </c>
      <c r="G72" s="2" t="s">
        <v>17</v>
      </c>
      <c r="H72" s="2"/>
      <c r="I72" s="2" t="s">
        <v>16</v>
      </c>
      <c r="J72" s="2" t="s">
        <v>180</v>
      </c>
      <c r="K72" s="2" t="s">
        <v>25</v>
      </c>
      <c r="L72" s="2">
        <v>132757294</v>
      </c>
      <c r="M72" s="16"/>
      <c r="N72" s="16"/>
      <c r="O72" s="16"/>
      <c r="P72" s="21"/>
      <c r="Q72" s="16"/>
      <c r="R72" s="2">
        <v>9708</v>
      </c>
      <c r="S72" s="2" t="s">
        <v>232</v>
      </c>
      <c r="T72" s="2">
        <v>0</v>
      </c>
      <c r="U72" s="2">
        <v>5</v>
      </c>
      <c r="V72" s="2">
        <v>0</v>
      </c>
      <c r="W72" s="2">
        <v>0</v>
      </c>
      <c r="X72" s="2">
        <v>0</v>
      </c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 t="s">
        <v>15</v>
      </c>
      <c r="B73" s="2" t="s">
        <v>24</v>
      </c>
      <c r="C73" s="2">
        <v>20150316</v>
      </c>
      <c r="D73" s="15">
        <v>0</v>
      </c>
      <c r="E73" s="2"/>
      <c r="F73" s="2">
        <v>62500</v>
      </c>
      <c r="G73" s="2" t="s">
        <v>17</v>
      </c>
      <c r="H73" s="2"/>
      <c r="I73" s="2" t="s">
        <v>16</v>
      </c>
      <c r="J73" s="2" t="s">
        <v>180</v>
      </c>
      <c r="K73" s="2" t="s">
        <v>25</v>
      </c>
      <c r="L73" s="2">
        <v>132757294</v>
      </c>
      <c r="M73" s="16"/>
      <c r="N73" s="16"/>
      <c r="O73" s="16"/>
      <c r="P73" s="21"/>
      <c r="Q73" s="16"/>
      <c r="R73" s="2">
        <v>9708</v>
      </c>
      <c r="S73" s="2" t="s">
        <v>233</v>
      </c>
      <c r="T73" s="2">
        <v>0</v>
      </c>
      <c r="U73" s="2">
        <v>5</v>
      </c>
      <c r="V73" s="2">
        <v>0</v>
      </c>
      <c r="W73" s="2">
        <v>0</v>
      </c>
      <c r="X73" s="2">
        <v>0</v>
      </c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 t="s">
        <v>15</v>
      </c>
      <c r="B74" s="2" t="s">
        <v>24</v>
      </c>
      <c r="C74" s="2">
        <v>20150316</v>
      </c>
      <c r="D74" s="15">
        <v>0</v>
      </c>
      <c r="E74" s="2"/>
      <c r="F74" s="2">
        <v>62500</v>
      </c>
      <c r="G74" s="2" t="s">
        <v>17</v>
      </c>
      <c r="H74" s="2"/>
      <c r="I74" s="2" t="s">
        <v>16</v>
      </c>
      <c r="J74" s="2" t="s">
        <v>180</v>
      </c>
      <c r="K74" s="2" t="s">
        <v>25</v>
      </c>
      <c r="L74" s="2">
        <v>132757294</v>
      </c>
      <c r="M74" s="16"/>
      <c r="N74" s="16"/>
      <c r="O74" s="16"/>
      <c r="P74" s="21"/>
      <c r="Q74" s="16"/>
      <c r="R74" s="2">
        <v>9703</v>
      </c>
      <c r="S74" s="2" t="s">
        <v>223</v>
      </c>
      <c r="T74" s="2">
        <v>0</v>
      </c>
      <c r="U74" s="2">
        <v>15</v>
      </c>
      <c r="V74" s="2">
        <v>0</v>
      </c>
      <c r="W74" s="2">
        <v>0</v>
      </c>
      <c r="X74" s="2">
        <v>0</v>
      </c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 t="s">
        <v>15</v>
      </c>
      <c r="B75" s="2" t="s">
        <v>24</v>
      </c>
      <c r="C75" s="2">
        <v>20150316</v>
      </c>
      <c r="D75" s="15">
        <v>0</v>
      </c>
      <c r="E75" s="2"/>
      <c r="F75" s="2">
        <v>62500</v>
      </c>
      <c r="G75" s="2" t="s">
        <v>17</v>
      </c>
      <c r="H75" s="2"/>
      <c r="I75" s="2" t="s">
        <v>16</v>
      </c>
      <c r="J75" s="2" t="s">
        <v>180</v>
      </c>
      <c r="K75" s="2" t="s">
        <v>25</v>
      </c>
      <c r="L75" s="2">
        <v>132757294</v>
      </c>
      <c r="M75" s="16"/>
      <c r="N75" s="16"/>
      <c r="O75" s="16"/>
      <c r="P75" s="21"/>
      <c r="Q75" s="16"/>
      <c r="R75" s="2">
        <v>9703</v>
      </c>
      <c r="S75" s="2" t="s">
        <v>224</v>
      </c>
      <c r="T75" s="2">
        <v>0</v>
      </c>
      <c r="U75" s="2">
        <v>15</v>
      </c>
      <c r="V75" s="2">
        <v>0</v>
      </c>
      <c r="W75" s="2">
        <v>0</v>
      </c>
      <c r="X75" s="2">
        <v>0</v>
      </c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 t="s">
        <v>15</v>
      </c>
      <c r="B76" s="2" t="s">
        <v>24</v>
      </c>
      <c r="C76" s="2">
        <v>20150316</v>
      </c>
      <c r="D76" s="15">
        <v>0</v>
      </c>
      <c r="E76" s="2"/>
      <c r="F76" s="2">
        <v>62500</v>
      </c>
      <c r="G76" s="2" t="s">
        <v>17</v>
      </c>
      <c r="H76" s="2"/>
      <c r="I76" s="2" t="s">
        <v>16</v>
      </c>
      <c r="J76" s="2" t="s">
        <v>180</v>
      </c>
      <c r="K76" s="2" t="s">
        <v>25</v>
      </c>
      <c r="L76" s="2">
        <v>132757294</v>
      </c>
      <c r="M76" s="16"/>
      <c r="N76" s="16"/>
      <c r="O76" s="16"/>
      <c r="P76" s="21"/>
      <c r="Q76" s="16"/>
      <c r="R76" s="2">
        <v>9709</v>
      </c>
      <c r="S76" s="2" t="s">
        <v>232</v>
      </c>
      <c r="T76" s="2">
        <v>0</v>
      </c>
      <c r="U76" s="2">
        <v>-18</v>
      </c>
      <c r="V76" s="2">
        <v>0</v>
      </c>
      <c r="W76" s="2">
        <v>0</v>
      </c>
      <c r="X76" s="2">
        <v>0</v>
      </c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 t="s">
        <v>15</v>
      </c>
      <c r="B77" s="2" t="s">
        <v>24</v>
      </c>
      <c r="C77" s="2">
        <v>20150316</v>
      </c>
      <c r="D77" s="15">
        <v>0</v>
      </c>
      <c r="E77" s="2"/>
      <c r="F77" s="2">
        <v>62500</v>
      </c>
      <c r="G77" s="2" t="s">
        <v>17</v>
      </c>
      <c r="H77" s="2"/>
      <c r="I77" s="2" t="s">
        <v>16</v>
      </c>
      <c r="J77" s="2" t="s">
        <v>180</v>
      </c>
      <c r="K77" s="2" t="s">
        <v>25</v>
      </c>
      <c r="L77" s="2">
        <v>132757294</v>
      </c>
      <c r="M77" s="16"/>
      <c r="N77" s="16"/>
      <c r="O77" s="16"/>
      <c r="P77" s="21"/>
      <c r="Q77" s="16"/>
      <c r="R77" s="2">
        <v>9709</v>
      </c>
      <c r="S77" s="2" t="s">
        <v>192</v>
      </c>
      <c r="T77" s="2">
        <v>0</v>
      </c>
      <c r="U77" s="2">
        <v>18</v>
      </c>
      <c r="V77" s="2">
        <v>0</v>
      </c>
      <c r="W77" s="2">
        <v>0</v>
      </c>
      <c r="X77" s="2">
        <v>0</v>
      </c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 t="s">
        <v>15</v>
      </c>
      <c r="B78" s="2" t="s">
        <v>24</v>
      </c>
      <c r="C78" s="2">
        <v>20150316</v>
      </c>
      <c r="D78" s="15">
        <v>0</v>
      </c>
      <c r="E78" s="2"/>
      <c r="F78" s="2">
        <v>62500</v>
      </c>
      <c r="G78" s="2" t="s">
        <v>17</v>
      </c>
      <c r="H78" s="2"/>
      <c r="I78" s="2" t="s">
        <v>16</v>
      </c>
      <c r="J78" s="2" t="s">
        <v>180</v>
      </c>
      <c r="K78" s="2" t="s">
        <v>25</v>
      </c>
      <c r="L78" s="2">
        <v>132757294</v>
      </c>
      <c r="M78" s="16"/>
      <c r="N78" s="16"/>
      <c r="O78" s="16"/>
      <c r="P78" s="21"/>
      <c r="Q78" s="16"/>
      <c r="R78" s="2">
        <v>9708</v>
      </c>
      <c r="S78" s="2" t="s">
        <v>233</v>
      </c>
      <c r="T78" s="2">
        <v>0</v>
      </c>
      <c r="U78" s="2">
        <v>-1</v>
      </c>
      <c r="V78" s="2">
        <v>0</v>
      </c>
      <c r="W78" s="2">
        <v>0</v>
      </c>
      <c r="X78" s="2">
        <v>0</v>
      </c>
      <c r="Y78" s="16">
        <v>9708</v>
      </c>
      <c r="Z78" s="20" t="s">
        <v>2157</v>
      </c>
      <c r="AA78" s="16" t="s">
        <v>2158</v>
      </c>
      <c r="AB78" s="21" t="s">
        <v>234</v>
      </c>
      <c r="AC78" s="16" t="s">
        <v>17</v>
      </c>
      <c r="AD78" s="16" t="s">
        <v>235</v>
      </c>
      <c r="AE78" s="16">
        <v>3</v>
      </c>
      <c r="AF78" s="16">
        <v>3</v>
      </c>
      <c r="AG78" s="16">
        <v>1.5286999999999999</v>
      </c>
      <c r="AH78" s="16">
        <v>1.5286999999999999</v>
      </c>
      <c r="AI78" s="16">
        <v>1226100164</v>
      </c>
      <c r="AJ78" s="16">
        <v>0</v>
      </c>
      <c r="AK78" s="16">
        <v>7</v>
      </c>
      <c r="AL78" s="16"/>
      <c r="AM78" s="16"/>
      <c r="AN78" s="16">
        <v>0</v>
      </c>
    </row>
    <row r="79" spans="1:40" x14ac:dyDescent="0.25">
      <c r="A79" s="2" t="s">
        <v>15</v>
      </c>
      <c r="B79" s="2" t="s">
        <v>24</v>
      </c>
      <c r="C79" s="2">
        <v>20150316</v>
      </c>
      <c r="D79" s="15">
        <v>0</v>
      </c>
      <c r="E79" s="2"/>
      <c r="F79" s="2">
        <v>62500</v>
      </c>
      <c r="G79" s="2" t="s">
        <v>17</v>
      </c>
      <c r="H79" s="2"/>
      <c r="I79" s="2" t="s">
        <v>16</v>
      </c>
      <c r="J79" s="2" t="s">
        <v>180</v>
      </c>
      <c r="K79" s="2" t="s">
        <v>25</v>
      </c>
      <c r="L79" s="2">
        <v>132757294</v>
      </c>
      <c r="M79" s="16"/>
      <c r="N79" s="16"/>
      <c r="O79" s="16"/>
      <c r="P79" s="21"/>
      <c r="Q79" s="16"/>
      <c r="R79" s="2">
        <v>9708</v>
      </c>
      <c r="S79" s="2" t="s">
        <v>233</v>
      </c>
      <c r="T79" s="2">
        <v>0</v>
      </c>
      <c r="U79" s="2">
        <v>-1</v>
      </c>
      <c r="V79" s="2">
        <v>0</v>
      </c>
      <c r="W79" s="2">
        <v>0</v>
      </c>
      <c r="X79" s="2">
        <v>0</v>
      </c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 t="s">
        <v>15</v>
      </c>
      <c r="B80" s="2" t="s">
        <v>24</v>
      </c>
      <c r="C80" s="2">
        <v>20150316</v>
      </c>
      <c r="D80" s="15">
        <v>0</v>
      </c>
      <c r="E80" s="2"/>
      <c r="F80" s="2">
        <v>62500</v>
      </c>
      <c r="G80" s="2" t="s">
        <v>17</v>
      </c>
      <c r="H80" s="2"/>
      <c r="I80" s="2" t="s">
        <v>16</v>
      </c>
      <c r="J80" s="2" t="s">
        <v>180</v>
      </c>
      <c r="K80" s="2" t="s">
        <v>25</v>
      </c>
      <c r="L80" s="2">
        <v>132757294</v>
      </c>
      <c r="M80" s="16"/>
      <c r="N80" s="16"/>
      <c r="O80" s="16"/>
      <c r="P80" s="21"/>
      <c r="Q80" s="16"/>
      <c r="R80" s="2">
        <v>9708</v>
      </c>
      <c r="S80" s="2" t="s">
        <v>233</v>
      </c>
      <c r="T80" s="2">
        <v>3</v>
      </c>
      <c r="U80" s="2">
        <v>2</v>
      </c>
      <c r="V80" s="2">
        <v>1.5286999999999999</v>
      </c>
      <c r="W80" s="2">
        <v>1.5286999999999999</v>
      </c>
      <c r="X80" s="2">
        <v>0</v>
      </c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 t="s">
        <v>15</v>
      </c>
      <c r="B81" s="2" t="s">
        <v>24</v>
      </c>
      <c r="C81" s="2">
        <v>20150316</v>
      </c>
      <c r="D81" s="15">
        <v>0</v>
      </c>
      <c r="E81" s="2"/>
      <c r="F81" s="2">
        <v>62500</v>
      </c>
      <c r="G81" s="2" t="s">
        <v>17</v>
      </c>
      <c r="H81" s="2"/>
      <c r="I81" s="2" t="s">
        <v>16</v>
      </c>
      <c r="J81" s="2" t="s">
        <v>180</v>
      </c>
      <c r="K81" s="2" t="s">
        <v>25</v>
      </c>
      <c r="L81" s="2">
        <v>132757294</v>
      </c>
      <c r="M81" s="16"/>
      <c r="N81" s="16"/>
      <c r="O81" s="16"/>
      <c r="P81" s="21"/>
      <c r="Q81" s="16"/>
      <c r="R81" s="2">
        <v>9708</v>
      </c>
      <c r="S81" s="2" t="s">
        <v>233</v>
      </c>
      <c r="T81" s="2">
        <v>3</v>
      </c>
      <c r="U81" s="2">
        <v>2</v>
      </c>
      <c r="V81" s="2">
        <v>1.5286999999999999</v>
      </c>
      <c r="W81" s="2">
        <v>1.5286999999999999</v>
      </c>
      <c r="X81" s="2">
        <v>0</v>
      </c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 t="s">
        <v>15</v>
      </c>
      <c r="B82" s="2" t="s">
        <v>24</v>
      </c>
      <c r="C82" s="2">
        <v>20150316</v>
      </c>
      <c r="D82" s="15">
        <v>0</v>
      </c>
      <c r="E82" s="2"/>
      <c r="F82" s="2">
        <v>62500</v>
      </c>
      <c r="G82" s="2" t="s">
        <v>17</v>
      </c>
      <c r="H82" s="2"/>
      <c r="I82" s="2" t="s">
        <v>16</v>
      </c>
      <c r="J82" s="2" t="s">
        <v>180</v>
      </c>
      <c r="K82" s="2" t="s">
        <v>25</v>
      </c>
      <c r="L82" s="2">
        <v>132757294</v>
      </c>
      <c r="M82" s="16"/>
      <c r="N82" s="16"/>
      <c r="O82" s="16"/>
      <c r="P82" s="21"/>
      <c r="Q82" s="16"/>
      <c r="R82" s="2">
        <v>9708</v>
      </c>
      <c r="S82" s="2" t="s">
        <v>233</v>
      </c>
      <c r="T82" s="2">
        <v>3</v>
      </c>
      <c r="U82" s="2">
        <v>2</v>
      </c>
      <c r="V82" s="2">
        <v>1.5286999999999999</v>
      </c>
      <c r="W82" s="2">
        <v>1.5286999999999999</v>
      </c>
      <c r="X82" s="2">
        <v>0</v>
      </c>
      <c r="Y82" s="16"/>
      <c r="Z82" s="20"/>
      <c r="AA82" s="16"/>
      <c r="AB82" s="21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25">
      <c r="A83" s="2" t="s">
        <v>15</v>
      </c>
      <c r="B83" s="2" t="s">
        <v>24</v>
      </c>
      <c r="C83" s="2">
        <v>20150316</v>
      </c>
      <c r="D83" s="15">
        <v>0</v>
      </c>
      <c r="E83" s="2"/>
      <c r="F83" s="2">
        <v>62500</v>
      </c>
      <c r="G83" s="2" t="s">
        <v>17</v>
      </c>
      <c r="H83" s="2"/>
      <c r="I83" s="2" t="s">
        <v>16</v>
      </c>
      <c r="J83" s="2" t="s">
        <v>180</v>
      </c>
      <c r="K83" s="2" t="s">
        <v>25</v>
      </c>
      <c r="L83" s="2">
        <v>132757294</v>
      </c>
      <c r="M83" s="16"/>
      <c r="N83" s="16"/>
      <c r="O83" s="16"/>
      <c r="P83" s="21"/>
      <c r="Q83" s="16"/>
      <c r="R83" s="2">
        <v>9708</v>
      </c>
      <c r="S83" s="2" t="s">
        <v>233</v>
      </c>
      <c r="T83" s="2">
        <v>3</v>
      </c>
      <c r="U83" s="2">
        <v>-2</v>
      </c>
      <c r="V83" s="2">
        <v>1.5286999999999999</v>
      </c>
      <c r="W83" s="2">
        <v>1.5286999999999999</v>
      </c>
      <c r="X83" s="2">
        <v>0</v>
      </c>
      <c r="Y83" s="16">
        <v>9708</v>
      </c>
      <c r="Z83" s="20" t="s">
        <v>2284</v>
      </c>
      <c r="AA83" s="16" t="s">
        <v>2285</v>
      </c>
      <c r="AB83" s="21" t="s">
        <v>234</v>
      </c>
      <c r="AC83" s="16" t="s">
        <v>17</v>
      </c>
      <c r="AD83" s="16" t="s">
        <v>235</v>
      </c>
      <c r="AE83" s="16">
        <v>2</v>
      </c>
      <c r="AF83" s="16">
        <v>5</v>
      </c>
      <c r="AG83" s="16">
        <v>1.5286999999999999</v>
      </c>
      <c r="AH83" s="16">
        <v>1.5286999999999999</v>
      </c>
      <c r="AI83" s="16">
        <v>1226100164</v>
      </c>
      <c r="AJ83" s="16">
        <v>0</v>
      </c>
      <c r="AK83" s="16">
        <v>7</v>
      </c>
      <c r="AL83" s="16"/>
      <c r="AM83" s="16"/>
      <c r="AN83" s="16">
        <v>0</v>
      </c>
    </row>
    <row r="84" spans="1:40" x14ac:dyDescent="0.25">
      <c r="A84" s="2" t="s">
        <v>15</v>
      </c>
      <c r="B84" s="2" t="s">
        <v>24</v>
      </c>
      <c r="C84" s="2">
        <v>20150316</v>
      </c>
      <c r="D84" s="15">
        <v>0</v>
      </c>
      <c r="E84" s="2"/>
      <c r="F84" s="2">
        <v>62500</v>
      </c>
      <c r="G84" s="2" t="s">
        <v>17</v>
      </c>
      <c r="H84" s="2"/>
      <c r="I84" s="2" t="s">
        <v>16</v>
      </c>
      <c r="J84" s="2" t="s">
        <v>180</v>
      </c>
      <c r="K84" s="2" t="s">
        <v>25</v>
      </c>
      <c r="L84" s="2">
        <v>132757294</v>
      </c>
      <c r="M84" s="16"/>
      <c r="N84" s="16"/>
      <c r="O84" s="16"/>
      <c r="P84" s="21"/>
      <c r="Q84" s="16"/>
      <c r="R84" s="2">
        <v>9708</v>
      </c>
      <c r="S84" s="2" t="s">
        <v>233</v>
      </c>
      <c r="T84" s="2">
        <v>3</v>
      </c>
      <c r="U84" s="2">
        <v>-2</v>
      </c>
      <c r="V84" s="2">
        <v>1.5286999999999999</v>
      </c>
      <c r="W84" s="2">
        <v>1.5286999999999999</v>
      </c>
      <c r="X84" s="2">
        <v>0</v>
      </c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 t="s">
        <v>15</v>
      </c>
      <c r="B85" s="2" t="s">
        <v>24</v>
      </c>
      <c r="C85" s="2">
        <v>20150316</v>
      </c>
      <c r="D85" s="15">
        <v>0</v>
      </c>
      <c r="E85" s="2"/>
      <c r="F85" s="2">
        <v>62500</v>
      </c>
      <c r="G85" s="2" t="s">
        <v>17</v>
      </c>
      <c r="H85" s="2"/>
      <c r="I85" s="2" t="s">
        <v>16</v>
      </c>
      <c r="J85" s="2" t="s">
        <v>180</v>
      </c>
      <c r="K85" s="2" t="s">
        <v>25</v>
      </c>
      <c r="L85" s="2">
        <v>132757294</v>
      </c>
      <c r="M85" s="16"/>
      <c r="N85" s="16"/>
      <c r="O85" s="16"/>
      <c r="P85" s="21"/>
      <c r="Q85" s="16"/>
      <c r="R85" s="2">
        <v>9708</v>
      </c>
      <c r="S85" s="2" t="s">
        <v>37</v>
      </c>
      <c r="T85" s="2">
        <v>5</v>
      </c>
      <c r="U85" s="2">
        <v>0</v>
      </c>
      <c r="V85" s="2">
        <v>1.5286999999999999</v>
      </c>
      <c r="W85" s="2">
        <v>1.5286999999999999</v>
      </c>
      <c r="X85" s="2">
        <v>0</v>
      </c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 t="s">
        <v>15</v>
      </c>
      <c r="B86" s="2" t="s">
        <v>24</v>
      </c>
      <c r="C86" s="2">
        <v>20150316</v>
      </c>
      <c r="D86" s="15">
        <v>0</v>
      </c>
      <c r="E86" s="2"/>
      <c r="F86" s="2">
        <v>62500</v>
      </c>
      <c r="G86" s="2" t="s">
        <v>17</v>
      </c>
      <c r="H86" s="2"/>
      <c r="I86" s="2" t="s">
        <v>16</v>
      </c>
      <c r="J86" s="2" t="s">
        <v>180</v>
      </c>
      <c r="K86" s="2" t="s">
        <v>25</v>
      </c>
      <c r="L86" s="2">
        <v>132757294</v>
      </c>
      <c r="M86" s="16"/>
      <c r="N86" s="16"/>
      <c r="O86" s="16"/>
      <c r="P86" s="21"/>
      <c r="Q86" s="16"/>
      <c r="R86" s="2">
        <v>9708</v>
      </c>
      <c r="S86" s="2" t="s">
        <v>37</v>
      </c>
      <c r="T86" s="2">
        <v>5</v>
      </c>
      <c r="U86" s="2">
        <v>0</v>
      </c>
      <c r="V86" s="2">
        <v>1.5286999999999999</v>
      </c>
      <c r="W86" s="2">
        <v>1.5286999999999999</v>
      </c>
      <c r="X86" s="2">
        <v>0</v>
      </c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 t="s">
        <v>15</v>
      </c>
      <c r="B87" s="2" t="s">
        <v>24</v>
      </c>
      <c r="C87" s="2">
        <v>20150316</v>
      </c>
      <c r="D87" s="15">
        <v>0</v>
      </c>
      <c r="E87" s="2"/>
      <c r="F87" s="2">
        <v>62500</v>
      </c>
      <c r="G87" s="2" t="s">
        <v>17</v>
      </c>
      <c r="H87" s="2"/>
      <c r="I87" s="2" t="s">
        <v>16</v>
      </c>
      <c r="J87" s="2" t="s">
        <v>180</v>
      </c>
      <c r="K87" s="2" t="s">
        <v>25</v>
      </c>
      <c r="L87" s="2">
        <v>132757294</v>
      </c>
      <c r="M87" s="16"/>
      <c r="N87" s="16"/>
      <c r="O87" s="16"/>
      <c r="P87" s="21"/>
      <c r="Q87" s="16"/>
      <c r="R87" s="2">
        <v>9710</v>
      </c>
      <c r="S87" s="2" t="s">
        <v>232</v>
      </c>
      <c r="T87" s="2">
        <v>0</v>
      </c>
      <c r="U87" s="2">
        <v>5</v>
      </c>
      <c r="V87" s="2">
        <v>0</v>
      </c>
      <c r="W87" s="2">
        <v>0</v>
      </c>
      <c r="X87" s="2">
        <v>0</v>
      </c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 t="s">
        <v>15</v>
      </c>
      <c r="B88" s="2" t="s">
        <v>24</v>
      </c>
      <c r="C88" s="2">
        <v>20150316</v>
      </c>
      <c r="D88" s="15">
        <v>0</v>
      </c>
      <c r="E88" s="2"/>
      <c r="F88" s="2">
        <v>62500</v>
      </c>
      <c r="G88" s="2" t="s">
        <v>17</v>
      </c>
      <c r="H88" s="2"/>
      <c r="I88" s="2" t="s">
        <v>16</v>
      </c>
      <c r="J88" s="2" t="s">
        <v>180</v>
      </c>
      <c r="K88" s="2" t="s">
        <v>25</v>
      </c>
      <c r="L88" s="2">
        <v>132757294</v>
      </c>
      <c r="M88" s="16"/>
      <c r="N88" s="16"/>
      <c r="O88" s="16"/>
      <c r="P88" s="21"/>
      <c r="Q88" s="16"/>
      <c r="R88" s="2">
        <v>9708</v>
      </c>
      <c r="S88" s="2" t="s">
        <v>37</v>
      </c>
      <c r="T88" s="2">
        <v>5</v>
      </c>
      <c r="U88" s="2">
        <v>0</v>
      </c>
      <c r="V88" s="2">
        <v>1.5286999999999999</v>
      </c>
      <c r="W88" s="2">
        <v>1.5286999999999999</v>
      </c>
      <c r="X88" s="2">
        <v>0</v>
      </c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 t="s">
        <v>15</v>
      </c>
      <c r="B89" s="2" t="s">
        <v>24</v>
      </c>
      <c r="C89" s="2">
        <v>20150316</v>
      </c>
      <c r="D89" s="15">
        <v>0</v>
      </c>
      <c r="E89" s="2"/>
      <c r="F89" s="2">
        <v>62500</v>
      </c>
      <c r="G89" s="2" t="s">
        <v>17</v>
      </c>
      <c r="H89" s="2"/>
      <c r="I89" s="2" t="s">
        <v>16</v>
      </c>
      <c r="J89" s="2" t="s">
        <v>180</v>
      </c>
      <c r="K89" s="2" t="s">
        <v>25</v>
      </c>
      <c r="L89" s="2">
        <v>132757294</v>
      </c>
      <c r="M89" s="16"/>
      <c r="N89" s="16"/>
      <c r="O89" s="16"/>
      <c r="P89" s="21"/>
      <c r="Q89" s="16"/>
      <c r="R89" s="2">
        <v>9708</v>
      </c>
      <c r="S89" s="2" t="s">
        <v>37</v>
      </c>
      <c r="T89" s="2">
        <v>5</v>
      </c>
      <c r="U89" s="2">
        <v>0</v>
      </c>
      <c r="V89" s="2">
        <v>1.5286999999999999</v>
      </c>
      <c r="W89" s="2">
        <v>1.5286999999999999</v>
      </c>
      <c r="X89" s="2">
        <v>0</v>
      </c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 t="s">
        <v>15</v>
      </c>
      <c r="B90" s="2" t="s">
        <v>24</v>
      </c>
      <c r="C90" s="2">
        <v>20150316</v>
      </c>
      <c r="D90" s="15">
        <v>0</v>
      </c>
      <c r="E90" s="2"/>
      <c r="F90" s="2">
        <v>62500</v>
      </c>
      <c r="G90" s="2" t="s">
        <v>17</v>
      </c>
      <c r="H90" s="2"/>
      <c r="I90" s="2" t="s">
        <v>16</v>
      </c>
      <c r="J90" s="2" t="s">
        <v>180</v>
      </c>
      <c r="K90" s="2" t="s">
        <v>25</v>
      </c>
      <c r="L90" s="2">
        <v>132757294</v>
      </c>
      <c r="M90" s="16"/>
      <c r="N90" s="16"/>
      <c r="O90" s="16"/>
      <c r="P90" s="21"/>
      <c r="Q90" s="16"/>
      <c r="R90" s="2">
        <v>9708</v>
      </c>
      <c r="S90" s="2" t="s">
        <v>37</v>
      </c>
      <c r="T90" s="2">
        <v>5</v>
      </c>
      <c r="U90" s="2">
        <v>0</v>
      </c>
      <c r="V90" s="2">
        <v>1.5286999999999999</v>
      </c>
      <c r="W90" s="2">
        <v>1.5286999999999999</v>
      </c>
      <c r="X90" s="2">
        <v>0</v>
      </c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 t="s">
        <v>15</v>
      </c>
      <c r="B91" s="2" t="s">
        <v>24</v>
      </c>
      <c r="C91" s="2">
        <v>20150316</v>
      </c>
      <c r="D91" s="15">
        <v>0</v>
      </c>
      <c r="E91" s="2"/>
      <c r="F91" s="2">
        <v>62500</v>
      </c>
      <c r="G91" s="2" t="s">
        <v>17</v>
      </c>
      <c r="H91" s="2"/>
      <c r="I91" s="2" t="s">
        <v>16</v>
      </c>
      <c r="J91" s="2" t="s">
        <v>180</v>
      </c>
      <c r="K91" s="2" t="s">
        <v>25</v>
      </c>
      <c r="L91" s="2">
        <v>132757294</v>
      </c>
      <c r="M91" s="16"/>
      <c r="N91" s="16"/>
      <c r="O91" s="16"/>
      <c r="P91" s="21"/>
      <c r="Q91" s="16"/>
      <c r="R91" s="2">
        <v>9710</v>
      </c>
      <c r="S91" s="2" t="s">
        <v>232</v>
      </c>
      <c r="T91" s="2">
        <v>0</v>
      </c>
      <c r="U91" s="2">
        <v>-3</v>
      </c>
      <c r="V91" s="2">
        <v>0</v>
      </c>
      <c r="W91" s="2">
        <v>0</v>
      </c>
      <c r="X91" s="2">
        <v>0</v>
      </c>
      <c r="Y91" s="16">
        <v>9710</v>
      </c>
      <c r="Z91" s="20" t="s">
        <v>2319</v>
      </c>
      <c r="AA91" s="16" t="s">
        <v>2285</v>
      </c>
      <c r="AB91" s="21" t="s">
        <v>234</v>
      </c>
      <c r="AC91" s="16" t="s">
        <v>17</v>
      </c>
      <c r="AD91" s="16" t="s">
        <v>235</v>
      </c>
      <c r="AE91" s="16">
        <v>4</v>
      </c>
      <c r="AF91" s="16">
        <v>4</v>
      </c>
      <c r="AG91" s="16">
        <v>1.5286999999999999</v>
      </c>
      <c r="AH91" s="16">
        <v>1.5286999999999999</v>
      </c>
      <c r="AI91" s="16">
        <v>1226100166</v>
      </c>
      <c r="AJ91" s="16">
        <v>0</v>
      </c>
      <c r="AK91" s="16">
        <v>7</v>
      </c>
      <c r="AL91" s="16"/>
      <c r="AM91" s="16"/>
      <c r="AN91" s="16">
        <v>0</v>
      </c>
    </row>
    <row r="92" spans="1:40" x14ac:dyDescent="0.25">
      <c r="A92" s="2" t="s">
        <v>15</v>
      </c>
      <c r="B92" s="2" t="s">
        <v>24</v>
      </c>
      <c r="C92" s="2">
        <v>20150316</v>
      </c>
      <c r="D92" s="15">
        <v>0</v>
      </c>
      <c r="E92" s="2"/>
      <c r="F92" s="2">
        <v>62500</v>
      </c>
      <c r="G92" s="2" t="s">
        <v>17</v>
      </c>
      <c r="H92" s="2"/>
      <c r="I92" s="2" t="s">
        <v>16</v>
      </c>
      <c r="J92" s="2" t="s">
        <v>180</v>
      </c>
      <c r="K92" s="2" t="s">
        <v>25</v>
      </c>
      <c r="L92" s="2">
        <v>132757294</v>
      </c>
      <c r="M92" s="16"/>
      <c r="N92" s="16"/>
      <c r="O92" s="16"/>
      <c r="P92" s="21"/>
      <c r="Q92" s="16"/>
      <c r="R92" s="2">
        <v>9710</v>
      </c>
      <c r="S92" s="2" t="s">
        <v>232</v>
      </c>
      <c r="T92" s="2">
        <v>0</v>
      </c>
      <c r="U92" s="2">
        <v>-3</v>
      </c>
      <c r="V92" s="2">
        <v>0</v>
      </c>
      <c r="W92" s="2">
        <v>0</v>
      </c>
      <c r="X92" s="2">
        <v>0</v>
      </c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 t="s">
        <v>15</v>
      </c>
      <c r="B93" s="2" t="s">
        <v>24</v>
      </c>
      <c r="C93" s="2">
        <v>20150316</v>
      </c>
      <c r="D93" s="15">
        <v>0</v>
      </c>
      <c r="E93" s="2"/>
      <c r="F93" s="2">
        <v>62500</v>
      </c>
      <c r="G93" s="2" t="s">
        <v>17</v>
      </c>
      <c r="H93" s="2"/>
      <c r="I93" s="2" t="s">
        <v>16</v>
      </c>
      <c r="J93" s="2" t="s">
        <v>180</v>
      </c>
      <c r="K93" s="2" t="s">
        <v>25</v>
      </c>
      <c r="L93" s="2">
        <v>132757294</v>
      </c>
      <c r="M93" s="16"/>
      <c r="N93" s="16"/>
      <c r="O93" s="16"/>
      <c r="P93" s="21"/>
      <c r="Q93" s="16"/>
      <c r="R93" s="2">
        <v>9710</v>
      </c>
      <c r="S93" s="2" t="s">
        <v>236</v>
      </c>
      <c r="T93" s="2">
        <v>4</v>
      </c>
      <c r="U93" s="2">
        <v>1</v>
      </c>
      <c r="V93" s="2">
        <v>1.5286999999999999</v>
      </c>
      <c r="W93" s="2">
        <v>1.5286999999999999</v>
      </c>
      <c r="X93" s="2">
        <v>0</v>
      </c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 t="s">
        <v>15</v>
      </c>
      <c r="B94" s="2" t="s">
        <v>24</v>
      </c>
      <c r="C94" s="2">
        <v>20150316</v>
      </c>
      <c r="D94" s="15">
        <v>0</v>
      </c>
      <c r="E94" s="2"/>
      <c r="F94" s="2">
        <v>62500</v>
      </c>
      <c r="G94" s="2" t="s">
        <v>17</v>
      </c>
      <c r="H94" s="2"/>
      <c r="I94" s="2" t="s">
        <v>16</v>
      </c>
      <c r="J94" s="2" t="s">
        <v>180</v>
      </c>
      <c r="K94" s="2" t="s">
        <v>25</v>
      </c>
      <c r="L94" s="2">
        <v>132757294</v>
      </c>
      <c r="M94" s="16"/>
      <c r="N94" s="16"/>
      <c r="O94" s="16"/>
      <c r="P94" s="21"/>
      <c r="Q94" s="16"/>
      <c r="R94" s="2">
        <v>9710</v>
      </c>
      <c r="S94" s="2" t="s">
        <v>236</v>
      </c>
      <c r="T94" s="2">
        <v>4</v>
      </c>
      <c r="U94" s="2">
        <v>1</v>
      </c>
      <c r="V94" s="2">
        <v>1.5286999999999999</v>
      </c>
      <c r="W94" s="2">
        <v>1.5286999999999999</v>
      </c>
      <c r="X94" s="2">
        <v>0</v>
      </c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  <row r="95" spans="1:40" x14ac:dyDescent="0.25">
      <c r="A95" t="s">
        <v>15</v>
      </c>
      <c r="B95" t="s">
        <v>24</v>
      </c>
      <c r="C95">
        <v>20150316</v>
      </c>
      <c r="D95">
        <v>0</v>
      </c>
      <c r="F95">
        <v>62500</v>
      </c>
      <c r="G95" t="s">
        <v>17</v>
      </c>
      <c r="I95" t="s">
        <v>16</v>
      </c>
      <c r="J95" t="s">
        <v>180</v>
      </c>
      <c r="K95" t="s">
        <v>25</v>
      </c>
      <c r="L95">
        <v>132757294</v>
      </c>
      <c r="R95">
        <v>9710</v>
      </c>
      <c r="S95" t="s">
        <v>233</v>
      </c>
      <c r="T95">
        <v>4</v>
      </c>
      <c r="U95">
        <v>1</v>
      </c>
      <c r="V95">
        <v>1.5286999999999999</v>
      </c>
      <c r="W95">
        <v>1.5286999999999999</v>
      </c>
      <c r="X95">
        <v>0</v>
      </c>
    </row>
    <row r="96" spans="1:40" x14ac:dyDescent="0.25">
      <c r="A96" t="s">
        <v>15</v>
      </c>
      <c r="B96" t="s">
        <v>24</v>
      </c>
      <c r="C96">
        <v>20150316</v>
      </c>
      <c r="D96">
        <v>0</v>
      </c>
      <c r="F96">
        <v>62500</v>
      </c>
      <c r="G96" t="s">
        <v>17</v>
      </c>
      <c r="I96" t="s">
        <v>16</v>
      </c>
      <c r="J96" t="s">
        <v>180</v>
      </c>
      <c r="K96" t="s">
        <v>25</v>
      </c>
      <c r="L96">
        <v>132757294</v>
      </c>
      <c r="R96">
        <v>9710</v>
      </c>
      <c r="S96" t="s">
        <v>233</v>
      </c>
      <c r="T96">
        <v>4</v>
      </c>
      <c r="U96">
        <v>1</v>
      </c>
      <c r="V96">
        <v>1.5286999999999999</v>
      </c>
      <c r="W96">
        <v>1.5286999999999999</v>
      </c>
      <c r="X96">
        <v>0</v>
      </c>
    </row>
    <row r="97" spans="1:40" x14ac:dyDescent="0.25">
      <c r="A97" t="s">
        <v>15</v>
      </c>
      <c r="B97" t="s">
        <v>24</v>
      </c>
      <c r="C97">
        <v>20150316</v>
      </c>
      <c r="D97">
        <v>0</v>
      </c>
      <c r="F97">
        <v>62500</v>
      </c>
      <c r="G97" t="s">
        <v>17</v>
      </c>
      <c r="I97" t="s">
        <v>16</v>
      </c>
      <c r="J97" t="s">
        <v>180</v>
      </c>
      <c r="K97" t="s">
        <v>25</v>
      </c>
      <c r="L97">
        <v>132757294</v>
      </c>
      <c r="R97">
        <v>9710</v>
      </c>
      <c r="S97" t="s">
        <v>233</v>
      </c>
      <c r="T97">
        <v>4</v>
      </c>
      <c r="U97">
        <v>1</v>
      </c>
      <c r="V97">
        <v>1.5286999999999999</v>
      </c>
      <c r="W97">
        <v>1.5286999999999999</v>
      </c>
      <c r="X97">
        <v>0</v>
      </c>
    </row>
    <row r="98" spans="1:40" x14ac:dyDescent="0.25">
      <c r="A98" t="s">
        <v>15</v>
      </c>
      <c r="B98" t="s">
        <v>24</v>
      </c>
      <c r="C98">
        <v>20150316</v>
      </c>
      <c r="D98">
        <v>0</v>
      </c>
      <c r="F98">
        <v>62500</v>
      </c>
      <c r="G98" t="s">
        <v>17</v>
      </c>
      <c r="I98" t="s">
        <v>16</v>
      </c>
      <c r="J98" t="s">
        <v>180</v>
      </c>
      <c r="K98" t="s">
        <v>25</v>
      </c>
      <c r="L98">
        <v>132757294</v>
      </c>
      <c r="R98">
        <v>9710</v>
      </c>
      <c r="S98" t="s">
        <v>233</v>
      </c>
      <c r="T98">
        <v>4</v>
      </c>
      <c r="U98">
        <v>-1</v>
      </c>
      <c r="V98">
        <v>1.5286999999999999</v>
      </c>
      <c r="W98">
        <v>1.5286999999999999</v>
      </c>
      <c r="X98">
        <v>0</v>
      </c>
      <c r="Y98">
        <v>9710</v>
      </c>
      <c r="Z98" t="s">
        <v>2348</v>
      </c>
      <c r="AA98" t="s">
        <v>2349</v>
      </c>
      <c r="AB98" t="s">
        <v>234</v>
      </c>
      <c r="AC98" t="s">
        <v>17</v>
      </c>
      <c r="AD98" t="s">
        <v>235</v>
      </c>
      <c r="AE98">
        <v>1</v>
      </c>
      <c r="AF98">
        <v>5</v>
      </c>
      <c r="AG98">
        <v>1.5286999999999999</v>
      </c>
      <c r="AH98">
        <v>1.5286999999999999</v>
      </c>
      <c r="AI98">
        <v>1226100166</v>
      </c>
      <c r="AJ98">
        <v>0</v>
      </c>
      <c r="AK98">
        <v>7</v>
      </c>
      <c r="AN98">
        <v>0</v>
      </c>
    </row>
    <row r="99" spans="1:40" x14ac:dyDescent="0.25">
      <c r="A99" t="s">
        <v>15</v>
      </c>
      <c r="B99" t="s">
        <v>24</v>
      </c>
      <c r="C99">
        <v>20150316</v>
      </c>
      <c r="D99">
        <v>0</v>
      </c>
      <c r="F99">
        <v>62500</v>
      </c>
      <c r="G99" t="s">
        <v>17</v>
      </c>
      <c r="I99" t="s">
        <v>16</v>
      </c>
      <c r="J99" t="s">
        <v>180</v>
      </c>
      <c r="K99" t="s">
        <v>25</v>
      </c>
      <c r="L99">
        <v>132757294</v>
      </c>
      <c r="R99">
        <v>9710</v>
      </c>
      <c r="S99" t="s">
        <v>233</v>
      </c>
      <c r="T99">
        <v>4</v>
      </c>
      <c r="U99">
        <v>-1</v>
      </c>
      <c r="V99">
        <v>1.5286999999999999</v>
      </c>
      <c r="W99">
        <v>1.5286999999999999</v>
      </c>
      <c r="X99">
        <v>0</v>
      </c>
    </row>
    <row r="100" spans="1:40" x14ac:dyDescent="0.25">
      <c r="A100" t="s">
        <v>15</v>
      </c>
      <c r="B100" t="s">
        <v>24</v>
      </c>
      <c r="C100">
        <v>20150316</v>
      </c>
      <c r="D100">
        <v>0</v>
      </c>
      <c r="F100">
        <v>62500</v>
      </c>
      <c r="G100" t="s">
        <v>17</v>
      </c>
      <c r="I100" t="s">
        <v>16</v>
      </c>
      <c r="J100" t="s">
        <v>180</v>
      </c>
      <c r="K100" t="s">
        <v>25</v>
      </c>
      <c r="L100">
        <v>132757294</v>
      </c>
      <c r="R100">
        <v>9710</v>
      </c>
      <c r="S100" t="s">
        <v>37</v>
      </c>
      <c r="T100">
        <v>5</v>
      </c>
      <c r="U100">
        <v>0</v>
      </c>
      <c r="V100">
        <v>1.5286999999999999</v>
      </c>
      <c r="W100">
        <v>1.5286999999999999</v>
      </c>
      <c r="X100">
        <v>0</v>
      </c>
    </row>
    <row r="101" spans="1:40" x14ac:dyDescent="0.25">
      <c r="A101" t="s">
        <v>15</v>
      </c>
      <c r="B101" t="s">
        <v>24</v>
      </c>
      <c r="C101">
        <v>20150316</v>
      </c>
      <c r="D101">
        <v>0</v>
      </c>
      <c r="F101">
        <v>62500</v>
      </c>
      <c r="G101" t="s">
        <v>17</v>
      </c>
      <c r="I101" t="s">
        <v>16</v>
      </c>
      <c r="J101" t="s">
        <v>180</v>
      </c>
      <c r="K101" t="s">
        <v>25</v>
      </c>
      <c r="L101">
        <v>132757294</v>
      </c>
      <c r="R101">
        <v>9710</v>
      </c>
      <c r="S101" t="s">
        <v>37</v>
      </c>
      <c r="T101">
        <v>5</v>
      </c>
      <c r="U101">
        <v>0</v>
      </c>
      <c r="V101">
        <v>1.5286999999999999</v>
      </c>
      <c r="W101">
        <v>1.5286999999999999</v>
      </c>
      <c r="X101">
        <v>0</v>
      </c>
    </row>
    <row r="102" spans="1:40" x14ac:dyDescent="0.25">
      <c r="A102" t="s">
        <v>15</v>
      </c>
      <c r="B102" t="s">
        <v>24</v>
      </c>
      <c r="C102">
        <v>20150316</v>
      </c>
      <c r="D102">
        <v>0</v>
      </c>
      <c r="F102">
        <v>62500</v>
      </c>
      <c r="G102" t="s">
        <v>17</v>
      </c>
      <c r="I102" t="s">
        <v>16</v>
      </c>
      <c r="J102" t="s">
        <v>180</v>
      </c>
      <c r="K102" t="s">
        <v>25</v>
      </c>
      <c r="L102">
        <v>132757294</v>
      </c>
      <c r="R102">
        <v>9710</v>
      </c>
      <c r="S102" t="s">
        <v>37</v>
      </c>
      <c r="T102">
        <v>5</v>
      </c>
      <c r="U102">
        <v>0</v>
      </c>
      <c r="V102">
        <v>1.5286999999999999</v>
      </c>
      <c r="W102">
        <v>1.5286999999999999</v>
      </c>
      <c r="X102">
        <v>0</v>
      </c>
    </row>
    <row r="103" spans="1:40" x14ac:dyDescent="0.25">
      <c r="A103" t="s">
        <v>15</v>
      </c>
      <c r="B103" t="s">
        <v>24</v>
      </c>
      <c r="C103">
        <v>20150316</v>
      </c>
      <c r="D103">
        <v>0</v>
      </c>
      <c r="F103">
        <v>62500</v>
      </c>
      <c r="G103" t="s">
        <v>17</v>
      </c>
      <c r="I103" t="s">
        <v>16</v>
      </c>
      <c r="J103" t="s">
        <v>180</v>
      </c>
      <c r="K103" t="s">
        <v>25</v>
      </c>
      <c r="L103">
        <v>132757294</v>
      </c>
      <c r="R103">
        <v>9710</v>
      </c>
      <c r="S103" t="s">
        <v>37</v>
      </c>
      <c r="T103">
        <v>5</v>
      </c>
      <c r="U103">
        <v>0</v>
      </c>
      <c r="V103">
        <v>1.5286999999999999</v>
      </c>
      <c r="W103">
        <v>1.5286999999999999</v>
      </c>
      <c r="X103">
        <v>0</v>
      </c>
    </row>
    <row r="104" spans="1:40" x14ac:dyDescent="0.25">
      <c r="A104" t="s">
        <v>15</v>
      </c>
      <c r="B104" t="s">
        <v>24</v>
      </c>
      <c r="C104">
        <v>20150316</v>
      </c>
      <c r="D104">
        <v>0</v>
      </c>
      <c r="F104">
        <v>62500</v>
      </c>
      <c r="G104" t="s">
        <v>17</v>
      </c>
      <c r="I104" t="s">
        <v>16</v>
      </c>
      <c r="J104" t="s">
        <v>180</v>
      </c>
      <c r="K104" t="s">
        <v>25</v>
      </c>
      <c r="L104">
        <v>132757294</v>
      </c>
      <c r="R104">
        <v>9710</v>
      </c>
      <c r="S104" t="s">
        <v>37</v>
      </c>
      <c r="T104">
        <v>5</v>
      </c>
      <c r="U104">
        <v>0</v>
      </c>
      <c r="V104">
        <v>1.5286999999999999</v>
      </c>
      <c r="W104">
        <v>1.5286999999999999</v>
      </c>
      <c r="X104">
        <v>0</v>
      </c>
    </row>
    <row r="105" spans="1:40" x14ac:dyDescent="0.25">
      <c r="A105" t="s">
        <v>15</v>
      </c>
      <c r="B105" t="s">
        <v>24</v>
      </c>
      <c r="C105">
        <v>20150316</v>
      </c>
      <c r="D105">
        <v>0</v>
      </c>
      <c r="F105">
        <v>62500</v>
      </c>
      <c r="G105" t="s">
        <v>17</v>
      </c>
      <c r="I105" t="s">
        <v>16</v>
      </c>
      <c r="J105" t="s">
        <v>180</v>
      </c>
      <c r="K105" t="s">
        <v>25</v>
      </c>
      <c r="L105">
        <v>132757294</v>
      </c>
      <c r="R105">
        <v>9711</v>
      </c>
      <c r="S105" t="s">
        <v>232</v>
      </c>
      <c r="T105">
        <v>0</v>
      </c>
      <c r="U105">
        <v>5</v>
      </c>
      <c r="V105">
        <v>0</v>
      </c>
      <c r="W105">
        <v>0</v>
      </c>
      <c r="X105">
        <v>0</v>
      </c>
    </row>
    <row r="106" spans="1:40" x14ac:dyDescent="0.25">
      <c r="A106" t="s">
        <v>15</v>
      </c>
      <c r="B106" t="s">
        <v>24</v>
      </c>
      <c r="C106">
        <v>20150316</v>
      </c>
      <c r="D106">
        <v>0</v>
      </c>
      <c r="F106">
        <v>62500</v>
      </c>
      <c r="G106" t="s">
        <v>17</v>
      </c>
      <c r="I106" t="s">
        <v>16</v>
      </c>
      <c r="J106" t="s">
        <v>180</v>
      </c>
      <c r="K106" t="s">
        <v>25</v>
      </c>
      <c r="L106">
        <v>132757294</v>
      </c>
      <c r="R106">
        <v>9711</v>
      </c>
      <c r="S106" t="s">
        <v>232</v>
      </c>
      <c r="T106">
        <v>0</v>
      </c>
      <c r="U106">
        <v>5</v>
      </c>
      <c r="V106">
        <v>0</v>
      </c>
      <c r="W106">
        <v>0</v>
      </c>
      <c r="X106">
        <v>0</v>
      </c>
    </row>
    <row r="107" spans="1:40" x14ac:dyDescent="0.25">
      <c r="A107" t="s">
        <v>15</v>
      </c>
      <c r="B107" t="s">
        <v>24</v>
      </c>
      <c r="C107">
        <v>20150316</v>
      </c>
      <c r="D107">
        <v>0</v>
      </c>
      <c r="F107">
        <v>62500</v>
      </c>
      <c r="G107" t="s">
        <v>17</v>
      </c>
      <c r="I107" t="s">
        <v>16</v>
      </c>
      <c r="J107" t="s">
        <v>180</v>
      </c>
      <c r="K107" t="s">
        <v>25</v>
      </c>
      <c r="L107">
        <v>132757294</v>
      </c>
      <c r="R107">
        <v>9711</v>
      </c>
      <c r="S107" t="s">
        <v>233</v>
      </c>
      <c r="T107">
        <v>0</v>
      </c>
      <c r="U107">
        <v>5</v>
      </c>
      <c r="V107">
        <v>0</v>
      </c>
      <c r="W107">
        <v>0</v>
      </c>
      <c r="X107">
        <v>0</v>
      </c>
    </row>
    <row r="108" spans="1:40" x14ac:dyDescent="0.25">
      <c r="A108" t="s">
        <v>15</v>
      </c>
      <c r="B108" t="s">
        <v>24</v>
      </c>
      <c r="C108">
        <v>20150316</v>
      </c>
      <c r="D108">
        <v>0</v>
      </c>
      <c r="F108">
        <v>62500</v>
      </c>
      <c r="G108" t="s">
        <v>17</v>
      </c>
      <c r="I108" t="s">
        <v>16</v>
      </c>
      <c r="J108" t="s">
        <v>180</v>
      </c>
      <c r="K108" t="s">
        <v>25</v>
      </c>
      <c r="L108">
        <v>132757294</v>
      </c>
      <c r="R108">
        <v>9712</v>
      </c>
      <c r="S108" t="s">
        <v>232</v>
      </c>
      <c r="T108">
        <v>0</v>
      </c>
      <c r="U108">
        <v>26</v>
      </c>
      <c r="V108">
        <v>0</v>
      </c>
      <c r="W108">
        <v>0</v>
      </c>
      <c r="X108">
        <v>0</v>
      </c>
    </row>
    <row r="109" spans="1:40" x14ac:dyDescent="0.25">
      <c r="A109" t="s">
        <v>15</v>
      </c>
      <c r="B109" t="s">
        <v>24</v>
      </c>
      <c r="C109">
        <v>20150316</v>
      </c>
      <c r="D109">
        <v>0</v>
      </c>
      <c r="F109">
        <v>62500</v>
      </c>
      <c r="G109" t="s">
        <v>17</v>
      </c>
      <c r="I109" t="s">
        <v>16</v>
      </c>
      <c r="J109" t="s">
        <v>180</v>
      </c>
      <c r="K109" t="s">
        <v>25</v>
      </c>
      <c r="L109">
        <v>132757294</v>
      </c>
      <c r="R109">
        <v>9707</v>
      </c>
      <c r="S109" t="s">
        <v>223</v>
      </c>
      <c r="T109">
        <v>0</v>
      </c>
      <c r="U109">
        <v>17</v>
      </c>
      <c r="V109">
        <v>0</v>
      </c>
      <c r="W109">
        <v>0</v>
      </c>
      <c r="X109">
        <v>0</v>
      </c>
    </row>
    <row r="110" spans="1:40" x14ac:dyDescent="0.25">
      <c r="A110" t="s">
        <v>15</v>
      </c>
      <c r="B110" t="s">
        <v>24</v>
      </c>
      <c r="C110">
        <v>20150316</v>
      </c>
      <c r="D110">
        <v>0</v>
      </c>
      <c r="F110">
        <v>62500</v>
      </c>
      <c r="G110" t="s">
        <v>17</v>
      </c>
      <c r="I110" t="s">
        <v>16</v>
      </c>
      <c r="J110" t="s">
        <v>180</v>
      </c>
      <c r="K110" t="s">
        <v>25</v>
      </c>
      <c r="L110">
        <v>132757294</v>
      </c>
      <c r="R110">
        <v>9707</v>
      </c>
      <c r="S110" t="s">
        <v>224</v>
      </c>
      <c r="T110">
        <v>0</v>
      </c>
      <c r="U110">
        <v>17</v>
      </c>
      <c r="V110">
        <v>0</v>
      </c>
      <c r="W110">
        <v>0</v>
      </c>
      <c r="X110">
        <v>0</v>
      </c>
    </row>
    <row r="111" spans="1:40" x14ac:dyDescent="0.25">
      <c r="A111" t="s">
        <v>15</v>
      </c>
      <c r="B111" t="s">
        <v>24</v>
      </c>
      <c r="C111">
        <v>20150316</v>
      </c>
      <c r="D111">
        <v>0</v>
      </c>
      <c r="F111">
        <v>62500</v>
      </c>
      <c r="G111" t="s">
        <v>17</v>
      </c>
      <c r="I111" t="s">
        <v>16</v>
      </c>
      <c r="J111" t="s">
        <v>180</v>
      </c>
      <c r="K111" t="s">
        <v>25</v>
      </c>
      <c r="L111">
        <v>132757294</v>
      </c>
      <c r="R111">
        <v>9709</v>
      </c>
      <c r="S111" t="s">
        <v>223</v>
      </c>
      <c r="T111">
        <v>0</v>
      </c>
      <c r="U111">
        <v>18</v>
      </c>
      <c r="V111">
        <v>0</v>
      </c>
      <c r="W111">
        <v>0</v>
      </c>
      <c r="X111">
        <v>0</v>
      </c>
    </row>
    <row r="112" spans="1:40" x14ac:dyDescent="0.25">
      <c r="A112" t="s">
        <v>15</v>
      </c>
      <c r="B112" t="s">
        <v>24</v>
      </c>
      <c r="C112">
        <v>20150316</v>
      </c>
      <c r="D112">
        <v>0</v>
      </c>
      <c r="F112">
        <v>62500</v>
      </c>
      <c r="G112" t="s">
        <v>17</v>
      </c>
      <c r="I112" t="s">
        <v>16</v>
      </c>
      <c r="J112" t="s">
        <v>180</v>
      </c>
      <c r="K112" t="s">
        <v>25</v>
      </c>
      <c r="L112">
        <v>132757294</v>
      </c>
      <c r="R112">
        <v>9709</v>
      </c>
      <c r="S112" t="s">
        <v>224</v>
      </c>
      <c r="T112">
        <v>0</v>
      </c>
      <c r="U112">
        <v>18</v>
      </c>
      <c r="V112">
        <v>0</v>
      </c>
      <c r="W112">
        <v>0</v>
      </c>
      <c r="X112">
        <v>0</v>
      </c>
    </row>
    <row r="113" spans="1:40" x14ac:dyDescent="0.25">
      <c r="A113" t="s">
        <v>15</v>
      </c>
      <c r="B113" t="s">
        <v>24</v>
      </c>
      <c r="C113">
        <v>20150316</v>
      </c>
      <c r="D113">
        <v>0</v>
      </c>
      <c r="F113">
        <v>62500</v>
      </c>
      <c r="G113" t="s">
        <v>17</v>
      </c>
      <c r="I113" t="s">
        <v>16</v>
      </c>
      <c r="J113" t="s">
        <v>180</v>
      </c>
      <c r="K113" t="s">
        <v>25</v>
      </c>
      <c r="L113">
        <v>132757294</v>
      </c>
      <c r="R113">
        <v>9712</v>
      </c>
      <c r="S113" t="s">
        <v>232</v>
      </c>
      <c r="T113">
        <v>0</v>
      </c>
      <c r="U113">
        <v>26</v>
      </c>
      <c r="V113">
        <v>0</v>
      </c>
      <c r="W113">
        <v>0</v>
      </c>
      <c r="X113">
        <v>0</v>
      </c>
    </row>
    <row r="114" spans="1:40" x14ac:dyDescent="0.25">
      <c r="A114" t="s">
        <v>15</v>
      </c>
      <c r="B114" t="s">
        <v>24</v>
      </c>
      <c r="C114">
        <v>20150316</v>
      </c>
      <c r="D114">
        <v>0</v>
      </c>
      <c r="F114">
        <v>62500</v>
      </c>
      <c r="G114" t="s">
        <v>17</v>
      </c>
      <c r="I114" t="s">
        <v>16</v>
      </c>
      <c r="J114" t="s">
        <v>180</v>
      </c>
      <c r="K114" t="s">
        <v>25</v>
      </c>
      <c r="L114">
        <v>132757294</v>
      </c>
      <c r="R114">
        <v>9712</v>
      </c>
      <c r="S114" t="s">
        <v>192</v>
      </c>
      <c r="T114">
        <v>0</v>
      </c>
      <c r="U114">
        <v>26</v>
      </c>
      <c r="V114">
        <v>0</v>
      </c>
      <c r="W114">
        <v>0</v>
      </c>
      <c r="X114">
        <v>0</v>
      </c>
    </row>
    <row r="115" spans="1:40" x14ac:dyDescent="0.25">
      <c r="A115" t="s">
        <v>15</v>
      </c>
      <c r="B115" t="s">
        <v>24</v>
      </c>
      <c r="C115">
        <v>20150316</v>
      </c>
      <c r="D115">
        <v>0</v>
      </c>
      <c r="F115">
        <v>62500</v>
      </c>
      <c r="G115" t="s">
        <v>17</v>
      </c>
      <c r="I115" t="s">
        <v>16</v>
      </c>
      <c r="J115" t="s">
        <v>180</v>
      </c>
      <c r="K115" t="s">
        <v>25</v>
      </c>
      <c r="L115">
        <v>132757294</v>
      </c>
      <c r="R115">
        <v>9711</v>
      </c>
      <c r="S115" t="s">
        <v>223</v>
      </c>
      <c r="T115">
        <v>0</v>
      </c>
      <c r="U115">
        <v>5</v>
      </c>
      <c r="V115">
        <v>0</v>
      </c>
      <c r="W115">
        <v>0</v>
      </c>
      <c r="X115">
        <v>0</v>
      </c>
    </row>
    <row r="116" spans="1:40" x14ac:dyDescent="0.25">
      <c r="A116" t="s">
        <v>15</v>
      </c>
      <c r="B116" t="s">
        <v>24</v>
      </c>
      <c r="C116">
        <v>20150316</v>
      </c>
      <c r="D116">
        <v>0</v>
      </c>
      <c r="F116">
        <v>62500</v>
      </c>
      <c r="G116" t="s">
        <v>17</v>
      </c>
      <c r="I116" t="s">
        <v>16</v>
      </c>
      <c r="J116" t="s">
        <v>180</v>
      </c>
      <c r="K116" t="s">
        <v>25</v>
      </c>
      <c r="L116">
        <v>132757294</v>
      </c>
      <c r="R116">
        <v>9711</v>
      </c>
      <c r="S116" t="s">
        <v>224</v>
      </c>
      <c r="T116">
        <v>0</v>
      </c>
      <c r="U116">
        <v>5</v>
      </c>
      <c r="V116">
        <v>0</v>
      </c>
      <c r="W116">
        <v>0</v>
      </c>
      <c r="X116">
        <v>0</v>
      </c>
    </row>
    <row r="117" spans="1:40" x14ac:dyDescent="0.25">
      <c r="A117" t="s">
        <v>15</v>
      </c>
      <c r="B117" t="s">
        <v>24</v>
      </c>
      <c r="C117">
        <v>20150316</v>
      </c>
      <c r="D117">
        <v>0</v>
      </c>
      <c r="F117">
        <v>62500</v>
      </c>
      <c r="G117" t="s">
        <v>17</v>
      </c>
      <c r="I117" t="s">
        <v>16</v>
      </c>
      <c r="J117" t="s">
        <v>180</v>
      </c>
      <c r="K117" t="s">
        <v>25</v>
      </c>
      <c r="L117">
        <v>132757294</v>
      </c>
      <c r="R117">
        <v>9713</v>
      </c>
      <c r="S117" t="s">
        <v>232</v>
      </c>
      <c r="T117">
        <v>0</v>
      </c>
      <c r="U117">
        <v>5</v>
      </c>
      <c r="V117">
        <v>0</v>
      </c>
      <c r="W117">
        <v>0</v>
      </c>
      <c r="X117">
        <v>0</v>
      </c>
    </row>
    <row r="118" spans="1:40" x14ac:dyDescent="0.25">
      <c r="A118" t="s">
        <v>15</v>
      </c>
      <c r="B118" t="s">
        <v>24</v>
      </c>
      <c r="C118">
        <v>20150316</v>
      </c>
      <c r="D118">
        <v>0</v>
      </c>
      <c r="F118">
        <v>62500</v>
      </c>
      <c r="G118" t="s">
        <v>17</v>
      </c>
      <c r="I118" t="s">
        <v>16</v>
      </c>
      <c r="J118" t="s">
        <v>180</v>
      </c>
      <c r="K118" t="s">
        <v>25</v>
      </c>
      <c r="L118">
        <v>132757294</v>
      </c>
      <c r="R118">
        <v>9714</v>
      </c>
      <c r="S118" t="s">
        <v>232</v>
      </c>
      <c r="T118">
        <v>0</v>
      </c>
      <c r="U118">
        <v>-27</v>
      </c>
      <c r="V118">
        <v>0</v>
      </c>
      <c r="W118">
        <v>0</v>
      </c>
      <c r="X118">
        <v>0</v>
      </c>
    </row>
    <row r="119" spans="1:40" x14ac:dyDescent="0.25">
      <c r="A119" t="s">
        <v>15</v>
      </c>
      <c r="B119" t="s">
        <v>24</v>
      </c>
      <c r="C119">
        <v>20150316</v>
      </c>
      <c r="D119">
        <v>0</v>
      </c>
      <c r="F119">
        <v>62500</v>
      </c>
      <c r="G119" t="s">
        <v>17</v>
      </c>
      <c r="I119" t="s">
        <v>16</v>
      </c>
      <c r="J119" t="s">
        <v>180</v>
      </c>
      <c r="K119" t="s">
        <v>25</v>
      </c>
      <c r="L119">
        <v>132757294</v>
      </c>
      <c r="R119">
        <v>9713</v>
      </c>
      <c r="S119" t="s">
        <v>232</v>
      </c>
      <c r="T119">
        <v>0</v>
      </c>
      <c r="U119">
        <v>5</v>
      </c>
      <c r="V119">
        <v>0</v>
      </c>
      <c r="W119">
        <v>0</v>
      </c>
      <c r="X119">
        <v>0</v>
      </c>
    </row>
    <row r="120" spans="1:40" x14ac:dyDescent="0.25">
      <c r="A120" t="s">
        <v>15</v>
      </c>
      <c r="B120" t="s">
        <v>24</v>
      </c>
      <c r="C120">
        <v>20150316</v>
      </c>
      <c r="D120">
        <v>0</v>
      </c>
      <c r="F120">
        <v>62500</v>
      </c>
      <c r="G120" t="s">
        <v>17</v>
      </c>
      <c r="I120" t="s">
        <v>16</v>
      </c>
      <c r="J120" t="s">
        <v>180</v>
      </c>
      <c r="K120" t="s">
        <v>25</v>
      </c>
      <c r="L120">
        <v>132757294</v>
      </c>
      <c r="R120">
        <v>9713</v>
      </c>
      <c r="S120" t="s">
        <v>233</v>
      </c>
      <c r="T120">
        <v>0</v>
      </c>
      <c r="U120">
        <v>5</v>
      </c>
      <c r="V120">
        <v>0</v>
      </c>
      <c r="W120">
        <v>0</v>
      </c>
      <c r="X120">
        <v>0</v>
      </c>
    </row>
    <row r="121" spans="1:40" x14ac:dyDescent="0.25">
      <c r="A121" t="s">
        <v>15</v>
      </c>
      <c r="B121" t="s">
        <v>24</v>
      </c>
      <c r="C121">
        <v>20150316</v>
      </c>
      <c r="D121">
        <v>0</v>
      </c>
      <c r="F121">
        <v>62500</v>
      </c>
      <c r="G121" t="s">
        <v>17</v>
      </c>
      <c r="I121" t="s">
        <v>16</v>
      </c>
      <c r="J121" t="s">
        <v>180</v>
      </c>
      <c r="K121" t="s">
        <v>25</v>
      </c>
      <c r="L121">
        <v>132757294</v>
      </c>
      <c r="R121">
        <v>9714</v>
      </c>
      <c r="S121" t="s">
        <v>232</v>
      </c>
      <c r="T121">
        <v>0</v>
      </c>
      <c r="U121">
        <v>-27</v>
      </c>
      <c r="V121">
        <v>0</v>
      </c>
      <c r="W121">
        <v>0</v>
      </c>
      <c r="X121">
        <v>0</v>
      </c>
    </row>
    <row r="122" spans="1:40" x14ac:dyDescent="0.25">
      <c r="A122" t="s">
        <v>15</v>
      </c>
      <c r="B122" t="s">
        <v>24</v>
      </c>
      <c r="C122">
        <v>20150316</v>
      </c>
      <c r="D122">
        <v>0</v>
      </c>
      <c r="F122">
        <v>62500</v>
      </c>
      <c r="G122" t="s">
        <v>17</v>
      </c>
      <c r="I122" t="s">
        <v>16</v>
      </c>
      <c r="J122" t="s">
        <v>180</v>
      </c>
      <c r="K122" t="s">
        <v>25</v>
      </c>
      <c r="L122">
        <v>132757294</v>
      </c>
      <c r="R122">
        <v>9714</v>
      </c>
      <c r="S122" t="s">
        <v>192</v>
      </c>
      <c r="T122">
        <v>0</v>
      </c>
      <c r="U122">
        <v>27</v>
      </c>
      <c r="V122">
        <v>0</v>
      </c>
      <c r="W122">
        <v>0</v>
      </c>
      <c r="X122">
        <v>0</v>
      </c>
    </row>
    <row r="123" spans="1:40" x14ac:dyDescent="0.25">
      <c r="A123" t="s">
        <v>15</v>
      </c>
      <c r="B123" t="s">
        <v>24</v>
      </c>
      <c r="C123">
        <v>20150316</v>
      </c>
      <c r="D123">
        <v>0</v>
      </c>
      <c r="F123">
        <v>62500</v>
      </c>
      <c r="G123" t="s">
        <v>17</v>
      </c>
      <c r="I123" t="s">
        <v>16</v>
      </c>
      <c r="J123" t="s">
        <v>180</v>
      </c>
      <c r="K123" t="s">
        <v>25</v>
      </c>
      <c r="L123">
        <v>132757294</v>
      </c>
      <c r="R123">
        <v>9713</v>
      </c>
      <c r="S123" t="s">
        <v>233</v>
      </c>
      <c r="T123">
        <v>0</v>
      </c>
      <c r="U123">
        <v>3</v>
      </c>
      <c r="V123">
        <v>0</v>
      </c>
      <c r="W123">
        <v>0</v>
      </c>
      <c r="X123">
        <v>0</v>
      </c>
      <c r="Y123">
        <v>9713</v>
      </c>
      <c r="Z123" t="s">
        <v>2452</v>
      </c>
      <c r="AA123" t="s">
        <v>2453</v>
      </c>
      <c r="AB123" t="s">
        <v>234</v>
      </c>
      <c r="AC123" t="s">
        <v>17</v>
      </c>
      <c r="AD123" t="s">
        <v>235</v>
      </c>
      <c r="AE123">
        <v>1</v>
      </c>
      <c r="AF123">
        <v>1</v>
      </c>
      <c r="AG123">
        <v>1.5286999999999999</v>
      </c>
      <c r="AH123">
        <v>1.5286999999999999</v>
      </c>
      <c r="AI123">
        <v>1226100169</v>
      </c>
      <c r="AJ123">
        <v>0</v>
      </c>
      <c r="AK123">
        <v>7</v>
      </c>
      <c r="AN123">
        <v>0</v>
      </c>
    </row>
    <row r="124" spans="1:40" x14ac:dyDescent="0.25">
      <c r="A124" t="s">
        <v>15</v>
      </c>
      <c r="B124" t="s">
        <v>24</v>
      </c>
      <c r="C124">
        <v>20150316</v>
      </c>
      <c r="D124">
        <v>0</v>
      </c>
      <c r="F124">
        <v>62500</v>
      </c>
      <c r="G124" t="s">
        <v>17</v>
      </c>
      <c r="I124" t="s">
        <v>16</v>
      </c>
      <c r="J124" t="s">
        <v>180</v>
      </c>
      <c r="K124" t="s">
        <v>25</v>
      </c>
      <c r="L124">
        <v>132757294</v>
      </c>
      <c r="R124">
        <v>9713</v>
      </c>
      <c r="S124" t="s">
        <v>233</v>
      </c>
      <c r="T124">
        <v>0</v>
      </c>
      <c r="U124">
        <v>3</v>
      </c>
      <c r="V124">
        <v>0</v>
      </c>
      <c r="W124">
        <v>0</v>
      </c>
      <c r="X124">
        <v>0</v>
      </c>
    </row>
    <row r="125" spans="1:40" x14ac:dyDescent="0.25">
      <c r="A125" t="s">
        <v>15</v>
      </c>
      <c r="B125" t="s">
        <v>24</v>
      </c>
      <c r="C125">
        <v>20150316</v>
      </c>
      <c r="D125">
        <v>0</v>
      </c>
      <c r="F125">
        <v>62500</v>
      </c>
      <c r="G125" t="s">
        <v>17</v>
      </c>
      <c r="I125" t="s">
        <v>16</v>
      </c>
      <c r="J125" t="s">
        <v>180</v>
      </c>
      <c r="K125" t="s">
        <v>25</v>
      </c>
      <c r="L125">
        <v>132757294</v>
      </c>
      <c r="R125">
        <v>9713</v>
      </c>
      <c r="S125" t="s">
        <v>233</v>
      </c>
      <c r="T125">
        <v>1</v>
      </c>
      <c r="U125">
        <v>4</v>
      </c>
      <c r="V125">
        <v>1.5286999999999999</v>
      </c>
      <c r="W125">
        <v>1.5286999999999999</v>
      </c>
      <c r="X125">
        <v>0</v>
      </c>
    </row>
    <row r="126" spans="1:40" x14ac:dyDescent="0.25">
      <c r="A126" t="s">
        <v>15</v>
      </c>
      <c r="B126" t="s">
        <v>24</v>
      </c>
      <c r="C126">
        <v>20150316</v>
      </c>
      <c r="D126">
        <v>0</v>
      </c>
      <c r="F126">
        <v>62500</v>
      </c>
      <c r="G126" t="s">
        <v>17</v>
      </c>
      <c r="I126" t="s">
        <v>16</v>
      </c>
      <c r="J126" t="s">
        <v>180</v>
      </c>
      <c r="K126" t="s">
        <v>25</v>
      </c>
      <c r="L126">
        <v>132757294</v>
      </c>
      <c r="R126">
        <v>9713</v>
      </c>
      <c r="S126" t="s">
        <v>233</v>
      </c>
      <c r="T126">
        <v>1</v>
      </c>
      <c r="U126">
        <v>4</v>
      </c>
      <c r="V126">
        <v>1.5286999999999999</v>
      </c>
      <c r="W126">
        <v>1.5286999999999999</v>
      </c>
      <c r="X126">
        <v>0</v>
      </c>
    </row>
    <row r="127" spans="1:40" x14ac:dyDescent="0.25">
      <c r="A127" t="s">
        <v>15</v>
      </c>
      <c r="B127" t="s">
        <v>24</v>
      </c>
      <c r="C127">
        <v>20150316</v>
      </c>
      <c r="D127">
        <v>0</v>
      </c>
      <c r="F127">
        <v>62500</v>
      </c>
      <c r="G127" t="s">
        <v>17</v>
      </c>
      <c r="I127" t="s">
        <v>16</v>
      </c>
      <c r="J127" t="s">
        <v>180</v>
      </c>
      <c r="K127" t="s">
        <v>25</v>
      </c>
      <c r="L127">
        <v>132757294</v>
      </c>
      <c r="R127">
        <v>9713</v>
      </c>
      <c r="S127" t="s">
        <v>233</v>
      </c>
      <c r="T127">
        <v>1</v>
      </c>
      <c r="U127">
        <v>4</v>
      </c>
      <c r="V127">
        <v>1.5286999999999999</v>
      </c>
      <c r="W127">
        <v>1.5286999999999999</v>
      </c>
      <c r="X127">
        <v>0</v>
      </c>
    </row>
    <row r="128" spans="1:40" x14ac:dyDescent="0.25">
      <c r="A128" t="s">
        <v>15</v>
      </c>
      <c r="B128" t="s">
        <v>24</v>
      </c>
      <c r="C128">
        <v>20150316</v>
      </c>
      <c r="D128">
        <v>0</v>
      </c>
      <c r="F128">
        <v>62500</v>
      </c>
      <c r="G128" t="s">
        <v>17</v>
      </c>
      <c r="I128" t="s">
        <v>16</v>
      </c>
      <c r="J128" t="s">
        <v>180</v>
      </c>
      <c r="K128" t="s">
        <v>25</v>
      </c>
      <c r="L128">
        <v>132757294</v>
      </c>
      <c r="R128">
        <v>9713</v>
      </c>
      <c r="S128" t="s">
        <v>233</v>
      </c>
      <c r="T128">
        <v>1</v>
      </c>
      <c r="U128">
        <v>0</v>
      </c>
      <c r="V128">
        <v>1.5286999999999999</v>
      </c>
      <c r="W128">
        <v>1.5286999999999999</v>
      </c>
      <c r="X128">
        <v>0</v>
      </c>
      <c r="Y128">
        <v>9713</v>
      </c>
      <c r="Z128" t="s">
        <v>2491</v>
      </c>
      <c r="AA128" t="s">
        <v>2492</v>
      </c>
      <c r="AB128" t="s">
        <v>234</v>
      </c>
      <c r="AC128" t="s">
        <v>17</v>
      </c>
      <c r="AD128" t="s">
        <v>235</v>
      </c>
      <c r="AE128">
        <v>2</v>
      </c>
      <c r="AF128">
        <v>3</v>
      </c>
      <c r="AG128">
        <v>1.5286999999999999</v>
      </c>
      <c r="AH128">
        <v>1.5286999999999999</v>
      </c>
      <c r="AI128">
        <v>1226100169</v>
      </c>
      <c r="AJ128">
        <v>0</v>
      </c>
      <c r="AK128">
        <v>7</v>
      </c>
      <c r="AN128">
        <v>0</v>
      </c>
    </row>
    <row r="129" spans="1:40" x14ac:dyDescent="0.25">
      <c r="A129" t="s">
        <v>15</v>
      </c>
      <c r="B129" t="s">
        <v>24</v>
      </c>
      <c r="C129">
        <v>20150316</v>
      </c>
      <c r="D129">
        <v>0</v>
      </c>
      <c r="F129">
        <v>62500</v>
      </c>
      <c r="G129" t="s">
        <v>17</v>
      </c>
      <c r="I129" t="s">
        <v>16</v>
      </c>
      <c r="J129" t="s">
        <v>180</v>
      </c>
      <c r="K129" t="s">
        <v>25</v>
      </c>
      <c r="L129">
        <v>132757294</v>
      </c>
      <c r="R129">
        <v>9713</v>
      </c>
      <c r="S129" t="s">
        <v>233</v>
      </c>
      <c r="T129">
        <v>1</v>
      </c>
      <c r="U129">
        <v>0</v>
      </c>
      <c r="V129">
        <v>1.5286999999999999</v>
      </c>
      <c r="W129">
        <v>1.5286999999999999</v>
      </c>
      <c r="X129">
        <v>0</v>
      </c>
    </row>
    <row r="130" spans="1:40" x14ac:dyDescent="0.25">
      <c r="A130" t="s">
        <v>15</v>
      </c>
      <c r="B130" t="s">
        <v>24</v>
      </c>
      <c r="C130">
        <v>20150316</v>
      </c>
      <c r="D130">
        <v>0</v>
      </c>
      <c r="F130">
        <v>62500</v>
      </c>
      <c r="G130" t="s">
        <v>17</v>
      </c>
      <c r="I130" t="s">
        <v>16</v>
      </c>
      <c r="J130" t="s">
        <v>180</v>
      </c>
      <c r="K130" t="s">
        <v>25</v>
      </c>
      <c r="L130">
        <v>132757294</v>
      </c>
      <c r="R130">
        <v>9713</v>
      </c>
      <c r="S130" t="s">
        <v>233</v>
      </c>
      <c r="T130">
        <v>3</v>
      </c>
      <c r="U130">
        <v>2</v>
      </c>
      <c r="V130">
        <v>1.5286999999999999</v>
      </c>
      <c r="W130">
        <v>1.5286999999999999</v>
      </c>
      <c r="X130">
        <v>0</v>
      </c>
    </row>
    <row r="131" spans="1:40" x14ac:dyDescent="0.25">
      <c r="A131" t="s">
        <v>15</v>
      </c>
      <c r="B131" t="s">
        <v>24</v>
      </c>
      <c r="C131">
        <v>20150316</v>
      </c>
      <c r="D131">
        <v>0</v>
      </c>
      <c r="F131">
        <v>62500</v>
      </c>
      <c r="G131" t="s">
        <v>17</v>
      </c>
      <c r="I131" t="s">
        <v>16</v>
      </c>
      <c r="J131" t="s">
        <v>180</v>
      </c>
      <c r="K131" t="s">
        <v>25</v>
      </c>
      <c r="L131">
        <v>132757294</v>
      </c>
      <c r="R131">
        <v>9713</v>
      </c>
      <c r="S131" t="s">
        <v>233</v>
      </c>
      <c r="T131">
        <v>3</v>
      </c>
      <c r="U131">
        <v>-2</v>
      </c>
      <c r="V131">
        <v>1.5286999999999999</v>
      </c>
      <c r="W131">
        <v>1.5286999999999999</v>
      </c>
      <c r="X131">
        <v>0</v>
      </c>
      <c r="Y131">
        <v>9713</v>
      </c>
      <c r="Z131" t="s">
        <v>2513</v>
      </c>
      <c r="AA131" t="s">
        <v>2492</v>
      </c>
      <c r="AB131" t="s">
        <v>234</v>
      </c>
      <c r="AC131" t="s">
        <v>17</v>
      </c>
      <c r="AD131" t="s">
        <v>235</v>
      </c>
      <c r="AE131">
        <v>2</v>
      </c>
      <c r="AF131">
        <v>5</v>
      </c>
      <c r="AG131">
        <v>1.5286999999999999</v>
      </c>
      <c r="AH131">
        <v>1.5286999999999999</v>
      </c>
      <c r="AI131">
        <v>1226100169</v>
      </c>
      <c r="AJ131">
        <v>0</v>
      </c>
      <c r="AK131">
        <v>7</v>
      </c>
      <c r="AN131">
        <v>0</v>
      </c>
    </row>
    <row r="132" spans="1:40" x14ac:dyDescent="0.25">
      <c r="A132" t="s">
        <v>15</v>
      </c>
      <c r="B132" t="s">
        <v>24</v>
      </c>
      <c r="C132">
        <v>20150316</v>
      </c>
      <c r="D132">
        <v>0</v>
      </c>
      <c r="F132">
        <v>62500</v>
      </c>
      <c r="G132" t="s">
        <v>17</v>
      </c>
      <c r="I132" t="s">
        <v>16</v>
      </c>
      <c r="J132" t="s">
        <v>180</v>
      </c>
      <c r="K132" t="s">
        <v>25</v>
      </c>
      <c r="L132">
        <v>132757294</v>
      </c>
      <c r="R132">
        <v>9713</v>
      </c>
      <c r="S132" t="s">
        <v>233</v>
      </c>
      <c r="T132">
        <v>3</v>
      </c>
      <c r="U132">
        <v>-2</v>
      </c>
      <c r="V132">
        <v>1.5286999999999999</v>
      </c>
      <c r="W132">
        <v>1.5286999999999999</v>
      </c>
      <c r="X132">
        <v>0</v>
      </c>
    </row>
    <row r="133" spans="1:40" x14ac:dyDescent="0.25">
      <c r="A133" t="s">
        <v>15</v>
      </c>
      <c r="B133" t="s">
        <v>24</v>
      </c>
      <c r="C133">
        <v>20150316</v>
      </c>
      <c r="D133">
        <v>0</v>
      </c>
      <c r="F133">
        <v>62500</v>
      </c>
      <c r="G133" t="s">
        <v>17</v>
      </c>
      <c r="I133" t="s">
        <v>16</v>
      </c>
      <c r="J133" t="s">
        <v>180</v>
      </c>
      <c r="K133" t="s">
        <v>25</v>
      </c>
      <c r="L133">
        <v>132757294</v>
      </c>
      <c r="R133">
        <v>9713</v>
      </c>
      <c r="S133" t="s">
        <v>37</v>
      </c>
      <c r="T133">
        <v>5</v>
      </c>
      <c r="U133">
        <v>0</v>
      </c>
      <c r="V133">
        <v>1.5286999999999999</v>
      </c>
      <c r="W133">
        <v>1.5286999999999999</v>
      </c>
      <c r="X133">
        <v>0</v>
      </c>
    </row>
    <row r="134" spans="1:40" x14ac:dyDescent="0.25">
      <c r="A134" t="s">
        <v>15</v>
      </c>
      <c r="B134" t="s">
        <v>24</v>
      </c>
      <c r="C134">
        <v>20150316</v>
      </c>
      <c r="D134">
        <v>0</v>
      </c>
      <c r="F134">
        <v>62500</v>
      </c>
      <c r="G134" t="s">
        <v>17</v>
      </c>
      <c r="I134" t="s">
        <v>16</v>
      </c>
      <c r="J134" t="s">
        <v>180</v>
      </c>
      <c r="K134" t="s">
        <v>25</v>
      </c>
      <c r="L134">
        <v>132757294</v>
      </c>
      <c r="R134">
        <v>9713</v>
      </c>
      <c r="S134" t="s">
        <v>37</v>
      </c>
      <c r="T134">
        <v>5</v>
      </c>
      <c r="U134">
        <v>0</v>
      </c>
      <c r="V134">
        <v>1.5286999999999999</v>
      </c>
      <c r="W134">
        <v>1.5286999999999999</v>
      </c>
      <c r="X134">
        <v>0</v>
      </c>
    </row>
    <row r="135" spans="1:40" x14ac:dyDescent="0.25">
      <c r="A135" t="s">
        <v>15</v>
      </c>
      <c r="B135" t="s">
        <v>24</v>
      </c>
      <c r="C135">
        <v>20150316</v>
      </c>
      <c r="D135">
        <v>0</v>
      </c>
      <c r="F135">
        <v>62500</v>
      </c>
      <c r="G135" t="s">
        <v>17</v>
      </c>
      <c r="I135" t="s">
        <v>16</v>
      </c>
      <c r="J135" t="s">
        <v>180</v>
      </c>
      <c r="K135" t="s">
        <v>25</v>
      </c>
      <c r="L135">
        <v>132757294</v>
      </c>
      <c r="R135">
        <v>9713</v>
      </c>
      <c r="S135" t="s">
        <v>37</v>
      </c>
      <c r="T135">
        <v>5</v>
      </c>
      <c r="U135">
        <v>0</v>
      </c>
      <c r="V135">
        <v>1.5286999999999999</v>
      </c>
      <c r="W135">
        <v>1.5286999999999999</v>
      </c>
      <c r="X135">
        <v>0</v>
      </c>
    </row>
    <row r="136" spans="1:40" x14ac:dyDescent="0.25">
      <c r="A136" t="s">
        <v>15</v>
      </c>
      <c r="B136" t="s">
        <v>24</v>
      </c>
      <c r="C136">
        <v>20150316</v>
      </c>
      <c r="D136">
        <v>0</v>
      </c>
      <c r="F136">
        <v>62500</v>
      </c>
      <c r="G136" t="s">
        <v>17</v>
      </c>
      <c r="I136" t="s">
        <v>16</v>
      </c>
      <c r="J136" t="s">
        <v>180</v>
      </c>
      <c r="K136" t="s">
        <v>25</v>
      </c>
      <c r="L136">
        <v>132757294</v>
      </c>
      <c r="R136">
        <v>9713</v>
      </c>
      <c r="S136" t="s">
        <v>37</v>
      </c>
      <c r="T136">
        <v>5</v>
      </c>
      <c r="U136">
        <v>0</v>
      </c>
      <c r="V136">
        <v>1.5286999999999999</v>
      </c>
      <c r="W136">
        <v>1.5286999999999999</v>
      </c>
      <c r="X136">
        <v>0</v>
      </c>
    </row>
    <row r="137" spans="1:40" x14ac:dyDescent="0.25">
      <c r="A137" t="s">
        <v>15</v>
      </c>
      <c r="B137" t="s">
        <v>24</v>
      </c>
      <c r="C137">
        <v>20150316</v>
      </c>
      <c r="D137">
        <v>0</v>
      </c>
      <c r="F137">
        <v>62500</v>
      </c>
      <c r="G137" t="s">
        <v>17</v>
      </c>
      <c r="I137" t="s">
        <v>16</v>
      </c>
      <c r="J137" t="s">
        <v>180</v>
      </c>
      <c r="K137" t="s">
        <v>25</v>
      </c>
      <c r="L137">
        <v>132757294</v>
      </c>
      <c r="R137">
        <v>9713</v>
      </c>
      <c r="S137" t="s">
        <v>37</v>
      </c>
      <c r="T137">
        <v>5</v>
      </c>
      <c r="U137">
        <v>0</v>
      </c>
      <c r="V137">
        <v>1.5286999999999999</v>
      </c>
      <c r="W137">
        <v>1.5286999999999999</v>
      </c>
      <c r="X137">
        <v>0</v>
      </c>
    </row>
    <row r="138" spans="1:40" x14ac:dyDescent="0.25">
      <c r="A138" t="s">
        <v>15</v>
      </c>
      <c r="B138" t="s">
        <v>24</v>
      </c>
      <c r="C138">
        <v>20150316</v>
      </c>
      <c r="D138">
        <v>0</v>
      </c>
      <c r="F138">
        <v>62500</v>
      </c>
      <c r="G138" t="s">
        <v>17</v>
      </c>
      <c r="I138" t="s">
        <v>16</v>
      </c>
      <c r="J138" t="s">
        <v>180</v>
      </c>
      <c r="K138" t="s">
        <v>25</v>
      </c>
      <c r="L138">
        <v>132757294</v>
      </c>
      <c r="R138">
        <v>9713</v>
      </c>
      <c r="S138" t="s">
        <v>37</v>
      </c>
      <c r="T138">
        <v>5</v>
      </c>
      <c r="U138">
        <v>0</v>
      </c>
      <c r="V138">
        <v>1.5286999999999999</v>
      </c>
      <c r="W138">
        <v>1.5286999999999999</v>
      </c>
      <c r="X138">
        <v>0</v>
      </c>
    </row>
    <row r="139" spans="1:40" x14ac:dyDescent="0.25">
      <c r="A139" t="s">
        <v>15</v>
      </c>
      <c r="B139" t="s">
        <v>24</v>
      </c>
      <c r="C139">
        <v>20150316</v>
      </c>
      <c r="D139">
        <v>0</v>
      </c>
      <c r="F139">
        <v>62500</v>
      </c>
      <c r="G139" t="s">
        <v>17</v>
      </c>
      <c r="I139" t="s">
        <v>16</v>
      </c>
      <c r="J139" t="s">
        <v>180</v>
      </c>
      <c r="K139" t="s">
        <v>25</v>
      </c>
      <c r="L139">
        <v>132757294</v>
      </c>
      <c r="R139">
        <v>9713</v>
      </c>
      <c r="S139" t="s">
        <v>37</v>
      </c>
      <c r="T139">
        <v>5</v>
      </c>
      <c r="U139">
        <v>0</v>
      </c>
      <c r="V139">
        <v>1.5286999999999999</v>
      </c>
      <c r="W139">
        <v>1.5286999999999999</v>
      </c>
      <c r="X139">
        <v>0</v>
      </c>
    </row>
    <row r="140" spans="1:40" x14ac:dyDescent="0.25">
      <c r="A140" t="s">
        <v>15</v>
      </c>
      <c r="B140" t="s">
        <v>24</v>
      </c>
      <c r="C140">
        <v>20150316</v>
      </c>
      <c r="D140">
        <v>0</v>
      </c>
      <c r="F140">
        <v>62500</v>
      </c>
      <c r="G140" t="s">
        <v>17</v>
      </c>
      <c r="I140" t="s">
        <v>16</v>
      </c>
      <c r="J140" t="s">
        <v>180</v>
      </c>
      <c r="K140" t="s">
        <v>25</v>
      </c>
      <c r="L140">
        <v>132757294</v>
      </c>
      <c r="R140">
        <v>9713</v>
      </c>
      <c r="S140" t="s">
        <v>37</v>
      </c>
      <c r="T140">
        <v>5</v>
      </c>
      <c r="U140">
        <v>0</v>
      </c>
      <c r="V140">
        <v>1.5286999999999999</v>
      </c>
      <c r="W140">
        <v>1.5286999999999999</v>
      </c>
      <c r="X140">
        <v>0</v>
      </c>
    </row>
    <row r="141" spans="1:40" x14ac:dyDescent="0.25">
      <c r="A141" t="s">
        <v>15</v>
      </c>
      <c r="B141" t="s">
        <v>24</v>
      </c>
      <c r="C141">
        <v>20150316</v>
      </c>
      <c r="D141">
        <v>0</v>
      </c>
      <c r="F141">
        <v>62500</v>
      </c>
      <c r="G141" t="s">
        <v>17</v>
      </c>
      <c r="I141" t="s">
        <v>16</v>
      </c>
      <c r="J141" t="s">
        <v>180</v>
      </c>
      <c r="K141" t="s">
        <v>25</v>
      </c>
      <c r="L141">
        <v>132757294</v>
      </c>
      <c r="R141">
        <v>9715</v>
      </c>
      <c r="S141" t="s">
        <v>232</v>
      </c>
      <c r="T141">
        <v>0</v>
      </c>
      <c r="U141">
        <v>5</v>
      </c>
      <c r="V141">
        <v>0</v>
      </c>
      <c r="W141">
        <v>0</v>
      </c>
      <c r="X141">
        <v>0</v>
      </c>
    </row>
    <row r="142" spans="1:40" x14ac:dyDescent="0.25">
      <c r="A142" t="s">
        <v>15</v>
      </c>
      <c r="B142" t="s">
        <v>24</v>
      </c>
      <c r="C142">
        <v>20150316</v>
      </c>
      <c r="D142">
        <v>0</v>
      </c>
      <c r="F142">
        <v>62500</v>
      </c>
      <c r="G142" t="s">
        <v>17</v>
      </c>
      <c r="I142" t="s">
        <v>16</v>
      </c>
      <c r="J142" t="s">
        <v>180</v>
      </c>
      <c r="K142" t="s">
        <v>25</v>
      </c>
      <c r="L142">
        <v>132757294</v>
      </c>
      <c r="R142">
        <v>9715</v>
      </c>
      <c r="S142" t="s">
        <v>232</v>
      </c>
      <c r="T142">
        <v>0</v>
      </c>
      <c r="U142">
        <v>5</v>
      </c>
      <c r="V142">
        <v>0</v>
      </c>
      <c r="W142">
        <v>0</v>
      </c>
      <c r="X142">
        <v>0</v>
      </c>
    </row>
    <row r="143" spans="1:40" x14ac:dyDescent="0.25">
      <c r="A143" t="s">
        <v>15</v>
      </c>
      <c r="B143" t="s">
        <v>24</v>
      </c>
      <c r="C143">
        <v>20150316</v>
      </c>
      <c r="D143">
        <v>0</v>
      </c>
      <c r="F143">
        <v>62500</v>
      </c>
      <c r="G143" t="s">
        <v>17</v>
      </c>
      <c r="I143" t="s">
        <v>16</v>
      </c>
      <c r="J143" t="s">
        <v>180</v>
      </c>
      <c r="K143" t="s">
        <v>25</v>
      </c>
      <c r="L143">
        <v>132757294</v>
      </c>
      <c r="R143">
        <v>9715</v>
      </c>
      <c r="S143" t="s">
        <v>233</v>
      </c>
      <c r="T143">
        <v>0</v>
      </c>
      <c r="U143">
        <v>5</v>
      </c>
      <c r="V143">
        <v>0</v>
      </c>
      <c r="W143">
        <v>0</v>
      </c>
      <c r="X143">
        <v>0</v>
      </c>
    </row>
    <row r="144" spans="1:40" x14ac:dyDescent="0.25">
      <c r="A144" t="s">
        <v>15</v>
      </c>
      <c r="B144" t="s">
        <v>24</v>
      </c>
      <c r="C144">
        <v>20150316</v>
      </c>
      <c r="D144">
        <v>0</v>
      </c>
      <c r="F144">
        <v>62500</v>
      </c>
      <c r="G144" t="s">
        <v>17</v>
      </c>
      <c r="I144" t="s">
        <v>16</v>
      </c>
      <c r="J144" t="s">
        <v>180</v>
      </c>
      <c r="K144" t="s">
        <v>25</v>
      </c>
      <c r="L144">
        <v>132757294</v>
      </c>
      <c r="R144">
        <v>9712</v>
      </c>
      <c r="S144" t="s">
        <v>223</v>
      </c>
      <c r="T144">
        <v>0</v>
      </c>
      <c r="U144">
        <v>26</v>
      </c>
      <c r="V144">
        <v>0</v>
      </c>
      <c r="W144">
        <v>0</v>
      </c>
      <c r="X144">
        <v>0</v>
      </c>
    </row>
    <row r="145" spans="1:40" x14ac:dyDescent="0.25">
      <c r="A145" t="s">
        <v>15</v>
      </c>
      <c r="B145" t="s">
        <v>24</v>
      </c>
      <c r="C145">
        <v>20150316</v>
      </c>
      <c r="D145">
        <v>0</v>
      </c>
      <c r="F145">
        <v>62500</v>
      </c>
      <c r="G145" t="s">
        <v>17</v>
      </c>
      <c r="I145" t="s">
        <v>16</v>
      </c>
      <c r="J145" t="s">
        <v>180</v>
      </c>
      <c r="K145" t="s">
        <v>25</v>
      </c>
      <c r="L145">
        <v>132757294</v>
      </c>
      <c r="R145">
        <v>9712</v>
      </c>
      <c r="S145" t="s">
        <v>224</v>
      </c>
      <c r="T145">
        <v>0</v>
      </c>
      <c r="U145">
        <v>26</v>
      </c>
      <c r="V145">
        <v>0</v>
      </c>
      <c r="W145">
        <v>0</v>
      </c>
      <c r="X145">
        <v>0</v>
      </c>
    </row>
    <row r="146" spans="1:40" x14ac:dyDescent="0.25">
      <c r="A146" t="s">
        <v>15</v>
      </c>
      <c r="B146" t="s">
        <v>24</v>
      </c>
      <c r="C146">
        <v>20150316</v>
      </c>
      <c r="D146">
        <v>0</v>
      </c>
      <c r="F146">
        <v>62500</v>
      </c>
      <c r="G146" t="s">
        <v>17</v>
      </c>
      <c r="I146" t="s">
        <v>16</v>
      </c>
      <c r="J146" t="s">
        <v>180</v>
      </c>
      <c r="K146" t="s">
        <v>25</v>
      </c>
      <c r="L146">
        <v>132757294</v>
      </c>
      <c r="R146">
        <v>9716</v>
      </c>
      <c r="S146" t="s">
        <v>232</v>
      </c>
      <c r="T146">
        <v>0</v>
      </c>
      <c r="U146">
        <v>30</v>
      </c>
      <c r="V146">
        <v>0</v>
      </c>
      <c r="W146">
        <v>0</v>
      </c>
      <c r="X146">
        <v>0</v>
      </c>
    </row>
    <row r="147" spans="1:40" x14ac:dyDescent="0.25">
      <c r="A147" t="s">
        <v>15</v>
      </c>
      <c r="B147" t="s">
        <v>24</v>
      </c>
      <c r="C147">
        <v>20150316</v>
      </c>
      <c r="D147">
        <v>0</v>
      </c>
      <c r="F147">
        <v>62500</v>
      </c>
      <c r="G147" t="s">
        <v>17</v>
      </c>
      <c r="I147" t="s">
        <v>16</v>
      </c>
      <c r="J147" t="s">
        <v>180</v>
      </c>
      <c r="K147" t="s">
        <v>25</v>
      </c>
      <c r="L147">
        <v>132757294</v>
      </c>
      <c r="R147">
        <v>9716</v>
      </c>
      <c r="S147" t="s">
        <v>232</v>
      </c>
      <c r="T147">
        <v>0</v>
      </c>
      <c r="U147">
        <v>30</v>
      </c>
      <c r="V147">
        <v>0</v>
      </c>
      <c r="W147">
        <v>0</v>
      </c>
      <c r="X147">
        <v>0</v>
      </c>
    </row>
    <row r="148" spans="1:40" x14ac:dyDescent="0.25">
      <c r="A148" t="s">
        <v>15</v>
      </c>
      <c r="B148" t="s">
        <v>24</v>
      </c>
      <c r="C148">
        <v>20150316</v>
      </c>
      <c r="D148">
        <v>0</v>
      </c>
      <c r="F148">
        <v>62500</v>
      </c>
      <c r="G148" t="s">
        <v>17</v>
      </c>
      <c r="I148" t="s">
        <v>16</v>
      </c>
      <c r="J148" t="s">
        <v>180</v>
      </c>
      <c r="K148" t="s">
        <v>25</v>
      </c>
      <c r="L148">
        <v>132757294</v>
      </c>
      <c r="R148">
        <v>9716</v>
      </c>
      <c r="S148" t="s">
        <v>192</v>
      </c>
      <c r="T148">
        <v>0</v>
      </c>
      <c r="U148">
        <v>30</v>
      </c>
      <c r="V148">
        <v>0</v>
      </c>
      <c r="W148">
        <v>0</v>
      </c>
      <c r="X148">
        <v>0</v>
      </c>
    </row>
    <row r="149" spans="1:40" x14ac:dyDescent="0.25">
      <c r="A149" t="s">
        <v>15</v>
      </c>
      <c r="B149" t="s">
        <v>24</v>
      </c>
      <c r="C149">
        <v>20150316</v>
      </c>
      <c r="D149">
        <v>0</v>
      </c>
      <c r="F149">
        <v>62500</v>
      </c>
      <c r="G149" t="s">
        <v>17</v>
      </c>
      <c r="I149" t="s">
        <v>16</v>
      </c>
      <c r="J149" t="s">
        <v>180</v>
      </c>
      <c r="K149" t="s">
        <v>25</v>
      </c>
      <c r="L149">
        <v>132757294</v>
      </c>
      <c r="R149">
        <v>9714</v>
      </c>
      <c r="S149" t="s">
        <v>223</v>
      </c>
      <c r="T149">
        <v>0</v>
      </c>
      <c r="U149">
        <v>27</v>
      </c>
      <c r="V149">
        <v>0</v>
      </c>
      <c r="W149">
        <v>0</v>
      </c>
      <c r="X149">
        <v>0</v>
      </c>
    </row>
    <row r="150" spans="1:40" x14ac:dyDescent="0.25">
      <c r="A150" t="s">
        <v>15</v>
      </c>
      <c r="B150" t="s">
        <v>24</v>
      </c>
      <c r="C150">
        <v>20150316</v>
      </c>
      <c r="D150">
        <v>0</v>
      </c>
      <c r="F150">
        <v>62500</v>
      </c>
      <c r="G150" t="s">
        <v>17</v>
      </c>
      <c r="I150" t="s">
        <v>16</v>
      </c>
      <c r="J150" t="s">
        <v>180</v>
      </c>
      <c r="K150" t="s">
        <v>25</v>
      </c>
      <c r="L150">
        <v>132757294</v>
      </c>
      <c r="R150">
        <v>9714</v>
      </c>
      <c r="S150" t="s">
        <v>224</v>
      </c>
      <c r="T150">
        <v>0</v>
      </c>
      <c r="U150">
        <v>27</v>
      </c>
      <c r="V150">
        <v>0</v>
      </c>
      <c r="W150">
        <v>0</v>
      </c>
      <c r="X150">
        <v>0</v>
      </c>
    </row>
    <row r="151" spans="1:40" x14ac:dyDescent="0.25">
      <c r="A151" t="s">
        <v>15</v>
      </c>
      <c r="B151" t="s">
        <v>24</v>
      </c>
      <c r="C151">
        <v>20150316</v>
      </c>
      <c r="D151">
        <v>0</v>
      </c>
      <c r="F151">
        <v>62500</v>
      </c>
      <c r="G151" t="s">
        <v>17</v>
      </c>
      <c r="I151" t="s">
        <v>16</v>
      </c>
      <c r="J151" t="s">
        <v>180</v>
      </c>
      <c r="K151" t="s">
        <v>25</v>
      </c>
      <c r="L151">
        <v>132757294</v>
      </c>
      <c r="R151">
        <v>9715</v>
      </c>
      <c r="S151" t="s">
        <v>233</v>
      </c>
      <c r="T151">
        <v>0</v>
      </c>
      <c r="U151">
        <v>-5</v>
      </c>
      <c r="V151">
        <v>0</v>
      </c>
      <c r="W151">
        <v>0</v>
      </c>
      <c r="X151">
        <v>0</v>
      </c>
      <c r="Y151">
        <v>9715</v>
      </c>
      <c r="Z151" t="s">
        <v>2598</v>
      </c>
      <c r="AA151" t="s">
        <v>2599</v>
      </c>
      <c r="AB151" t="s">
        <v>234</v>
      </c>
      <c r="AC151" t="s">
        <v>17</v>
      </c>
      <c r="AD151" t="s">
        <v>235</v>
      </c>
      <c r="AE151">
        <v>5</v>
      </c>
      <c r="AF151">
        <v>5</v>
      </c>
      <c r="AG151">
        <v>1.5286</v>
      </c>
      <c r="AH151">
        <v>1.5286</v>
      </c>
      <c r="AI151">
        <v>1226100171</v>
      </c>
      <c r="AJ151">
        <v>0</v>
      </c>
      <c r="AK151">
        <v>7</v>
      </c>
      <c r="AN151">
        <v>0</v>
      </c>
    </row>
    <row r="152" spans="1:40" x14ac:dyDescent="0.25">
      <c r="A152" t="s">
        <v>15</v>
      </c>
      <c r="B152" t="s">
        <v>24</v>
      </c>
      <c r="C152">
        <v>20150316</v>
      </c>
      <c r="D152">
        <v>0</v>
      </c>
      <c r="F152">
        <v>62500</v>
      </c>
      <c r="G152" t="s">
        <v>17</v>
      </c>
      <c r="I152" t="s">
        <v>16</v>
      </c>
      <c r="J152" t="s">
        <v>180</v>
      </c>
      <c r="K152" t="s">
        <v>25</v>
      </c>
      <c r="L152">
        <v>132757294</v>
      </c>
      <c r="R152">
        <v>9715</v>
      </c>
      <c r="S152" t="s">
        <v>233</v>
      </c>
      <c r="T152">
        <v>0</v>
      </c>
      <c r="U152">
        <v>-5</v>
      </c>
      <c r="V152">
        <v>0</v>
      </c>
      <c r="W152">
        <v>0</v>
      </c>
      <c r="X152">
        <v>0</v>
      </c>
    </row>
    <row r="153" spans="1:40" x14ac:dyDescent="0.25">
      <c r="A153" t="s">
        <v>15</v>
      </c>
      <c r="B153" t="s">
        <v>24</v>
      </c>
      <c r="C153">
        <v>20150316</v>
      </c>
      <c r="D153">
        <v>0</v>
      </c>
      <c r="F153">
        <v>62500</v>
      </c>
      <c r="G153" t="s">
        <v>17</v>
      </c>
      <c r="I153" t="s">
        <v>16</v>
      </c>
      <c r="J153" t="s">
        <v>180</v>
      </c>
      <c r="K153" t="s">
        <v>25</v>
      </c>
      <c r="L153">
        <v>132757294</v>
      </c>
      <c r="R153">
        <v>9715</v>
      </c>
      <c r="S153" t="s">
        <v>37</v>
      </c>
      <c r="T153">
        <v>5</v>
      </c>
      <c r="U153">
        <v>0</v>
      </c>
      <c r="V153">
        <v>1.5286</v>
      </c>
      <c r="W153">
        <v>1.5286</v>
      </c>
      <c r="X153">
        <v>0</v>
      </c>
    </row>
    <row r="154" spans="1:40" x14ac:dyDescent="0.25">
      <c r="A154" t="s">
        <v>15</v>
      </c>
      <c r="B154" t="s">
        <v>24</v>
      </c>
      <c r="C154">
        <v>20150316</v>
      </c>
      <c r="D154">
        <v>0</v>
      </c>
      <c r="F154">
        <v>62500</v>
      </c>
      <c r="G154" t="s">
        <v>17</v>
      </c>
      <c r="I154" t="s">
        <v>16</v>
      </c>
      <c r="J154" t="s">
        <v>180</v>
      </c>
      <c r="K154" t="s">
        <v>25</v>
      </c>
      <c r="L154">
        <v>132757294</v>
      </c>
      <c r="R154">
        <v>9715</v>
      </c>
      <c r="S154" t="s">
        <v>37</v>
      </c>
      <c r="T154">
        <v>5</v>
      </c>
      <c r="U154">
        <v>0</v>
      </c>
      <c r="V154">
        <v>1.5286</v>
      </c>
      <c r="W154">
        <v>1.5286</v>
      </c>
      <c r="X154">
        <v>0</v>
      </c>
    </row>
    <row r="155" spans="1:40" x14ac:dyDescent="0.25">
      <c r="A155" t="s">
        <v>15</v>
      </c>
      <c r="B155" t="s">
        <v>24</v>
      </c>
      <c r="C155">
        <v>20150316</v>
      </c>
      <c r="D155">
        <v>0</v>
      </c>
      <c r="F155">
        <v>62500</v>
      </c>
      <c r="G155" t="s">
        <v>17</v>
      </c>
      <c r="I155" t="s">
        <v>16</v>
      </c>
      <c r="J155" t="s">
        <v>180</v>
      </c>
      <c r="K155" t="s">
        <v>25</v>
      </c>
      <c r="L155">
        <v>132757294</v>
      </c>
      <c r="R155">
        <v>9717</v>
      </c>
      <c r="S155" t="s">
        <v>232</v>
      </c>
      <c r="T155">
        <v>0</v>
      </c>
      <c r="U155">
        <v>-28</v>
      </c>
      <c r="V155">
        <v>0</v>
      </c>
      <c r="W155">
        <v>0</v>
      </c>
      <c r="X155">
        <v>0</v>
      </c>
    </row>
    <row r="156" spans="1:40" x14ac:dyDescent="0.25">
      <c r="A156" t="s">
        <v>15</v>
      </c>
      <c r="B156" t="s">
        <v>24</v>
      </c>
      <c r="C156">
        <v>20150316</v>
      </c>
      <c r="D156">
        <v>0</v>
      </c>
      <c r="F156">
        <v>62500</v>
      </c>
      <c r="G156" t="s">
        <v>17</v>
      </c>
      <c r="I156" t="s">
        <v>16</v>
      </c>
      <c r="J156" t="s">
        <v>180</v>
      </c>
      <c r="K156" t="s">
        <v>25</v>
      </c>
      <c r="L156">
        <v>132757294</v>
      </c>
      <c r="R156">
        <v>9715</v>
      </c>
      <c r="S156" t="s">
        <v>37</v>
      </c>
      <c r="T156">
        <v>5</v>
      </c>
      <c r="U156">
        <v>0</v>
      </c>
      <c r="V156">
        <v>1.5286</v>
      </c>
      <c r="W156">
        <v>1.5286</v>
      </c>
      <c r="X156">
        <v>0</v>
      </c>
    </row>
    <row r="157" spans="1:40" x14ac:dyDescent="0.25">
      <c r="A157" t="s">
        <v>15</v>
      </c>
      <c r="B157" t="s">
        <v>24</v>
      </c>
      <c r="C157">
        <v>20150316</v>
      </c>
      <c r="D157">
        <v>0</v>
      </c>
      <c r="F157">
        <v>62500</v>
      </c>
      <c r="G157" t="s">
        <v>17</v>
      </c>
      <c r="I157" t="s">
        <v>16</v>
      </c>
      <c r="J157" t="s">
        <v>180</v>
      </c>
      <c r="K157" t="s">
        <v>25</v>
      </c>
      <c r="L157">
        <v>132757294</v>
      </c>
      <c r="R157">
        <v>9715</v>
      </c>
      <c r="S157" t="s">
        <v>37</v>
      </c>
      <c r="T157">
        <v>5</v>
      </c>
      <c r="U157">
        <v>0</v>
      </c>
      <c r="V157">
        <v>1.5286</v>
      </c>
      <c r="W157">
        <v>1.5286</v>
      </c>
      <c r="X157">
        <v>0</v>
      </c>
    </row>
    <row r="158" spans="1:40" x14ac:dyDescent="0.25">
      <c r="A158" t="s">
        <v>15</v>
      </c>
      <c r="B158" t="s">
        <v>24</v>
      </c>
      <c r="C158">
        <v>20150316</v>
      </c>
      <c r="D158">
        <v>0</v>
      </c>
      <c r="F158">
        <v>62500</v>
      </c>
      <c r="G158" t="s">
        <v>17</v>
      </c>
      <c r="I158" t="s">
        <v>16</v>
      </c>
      <c r="J158" t="s">
        <v>180</v>
      </c>
      <c r="K158" t="s">
        <v>25</v>
      </c>
      <c r="L158">
        <v>132757294</v>
      </c>
      <c r="R158">
        <v>9715</v>
      </c>
      <c r="S158" t="s">
        <v>37</v>
      </c>
      <c r="T158">
        <v>5</v>
      </c>
      <c r="U158">
        <v>0</v>
      </c>
      <c r="V158">
        <v>1.5286</v>
      </c>
      <c r="W158">
        <v>1.5286</v>
      </c>
      <c r="X158">
        <v>0</v>
      </c>
    </row>
    <row r="159" spans="1:40" x14ac:dyDescent="0.25">
      <c r="A159" t="s">
        <v>15</v>
      </c>
      <c r="B159" t="s">
        <v>24</v>
      </c>
      <c r="C159">
        <v>20150316</v>
      </c>
      <c r="D159">
        <v>0</v>
      </c>
      <c r="F159">
        <v>62500</v>
      </c>
      <c r="G159" t="s">
        <v>17</v>
      </c>
      <c r="I159" t="s">
        <v>16</v>
      </c>
      <c r="J159" t="s">
        <v>180</v>
      </c>
      <c r="K159" t="s">
        <v>25</v>
      </c>
      <c r="L159">
        <v>132757294</v>
      </c>
      <c r="R159">
        <v>9717</v>
      </c>
      <c r="S159" t="s">
        <v>232</v>
      </c>
      <c r="T159">
        <v>0</v>
      </c>
      <c r="U159">
        <v>-28</v>
      </c>
      <c r="V159">
        <v>0</v>
      </c>
      <c r="W159">
        <v>0</v>
      </c>
      <c r="X159">
        <v>0</v>
      </c>
    </row>
    <row r="160" spans="1:40" x14ac:dyDescent="0.25">
      <c r="A160" t="s">
        <v>15</v>
      </c>
      <c r="B160" t="s">
        <v>24</v>
      </c>
      <c r="C160">
        <v>20150316</v>
      </c>
      <c r="D160">
        <v>0</v>
      </c>
      <c r="F160">
        <v>62500</v>
      </c>
      <c r="G160" t="s">
        <v>17</v>
      </c>
      <c r="I160" t="s">
        <v>16</v>
      </c>
      <c r="J160" t="s">
        <v>180</v>
      </c>
      <c r="K160" t="s">
        <v>25</v>
      </c>
      <c r="L160">
        <v>132757294</v>
      </c>
      <c r="R160">
        <v>9717</v>
      </c>
      <c r="S160" t="s">
        <v>192</v>
      </c>
      <c r="T160">
        <v>0</v>
      </c>
      <c r="U160">
        <v>28</v>
      </c>
      <c r="V160">
        <v>0</v>
      </c>
      <c r="W160">
        <v>0</v>
      </c>
      <c r="X160">
        <v>0</v>
      </c>
    </row>
    <row r="161" spans="1:24" x14ac:dyDescent="0.25">
      <c r="A161" t="s">
        <v>15</v>
      </c>
      <c r="B161" t="s">
        <v>24</v>
      </c>
      <c r="C161">
        <v>20150316</v>
      </c>
      <c r="D161">
        <v>0</v>
      </c>
      <c r="F161">
        <v>62500</v>
      </c>
      <c r="G161" t="s">
        <v>17</v>
      </c>
      <c r="I161" t="s">
        <v>16</v>
      </c>
      <c r="J161" t="s">
        <v>180</v>
      </c>
      <c r="K161" t="s">
        <v>25</v>
      </c>
      <c r="L161">
        <v>132757294</v>
      </c>
      <c r="R161">
        <v>9718</v>
      </c>
      <c r="S161" t="s">
        <v>232</v>
      </c>
      <c r="T161">
        <v>0</v>
      </c>
      <c r="U161">
        <v>-32</v>
      </c>
      <c r="V161">
        <v>0</v>
      </c>
      <c r="W161">
        <v>0</v>
      </c>
      <c r="X161">
        <v>0</v>
      </c>
    </row>
    <row r="162" spans="1:24" x14ac:dyDescent="0.25">
      <c r="A162" t="s">
        <v>15</v>
      </c>
      <c r="B162" t="s">
        <v>24</v>
      </c>
      <c r="C162">
        <v>20150316</v>
      </c>
      <c r="D162">
        <v>0</v>
      </c>
      <c r="F162">
        <v>62500</v>
      </c>
      <c r="G162" t="s">
        <v>17</v>
      </c>
      <c r="I162" t="s">
        <v>16</v>
      </c>
      <c r="J162" t="s">
        <v>180</v>
      </c>
      <c r="K162" t="s">
        <v>25</v>
      </c>
      <c r="L162">
        <v>132757294</v>
      </c>
      <c r="R162">
        <v>9717</v>
      </c>
      <c r="S162" t="s">
        <v>223</v>
      </c>
      <c r="T162">
        <v>0</v>
      </c>
      <c r="U162">
        <v>28</v>
      </c>
      <c r="V162">
        <v>0</v>
      </c>
      <c r="W162">
        <v>0</v>
      </c>
      <c r="X162">
        <v>0</v>
      </c>
    </row>
    <row r="163" spans="1:24" x14ac:dyDescent="0.25">
      <c r="A163" t="s">
        <v>15</v>
      </c>
      <c r="B163" t="s">
        <v>24</v>
      </c>
      <c r="C163">
        <v>20150316</v>
      </c>
      <c r="D163">
        <v>0</v>
      </c>
      <c r="F163">
        <v>62500</v>
      </c>
      <c r="G163" t="s">
        <v>17</v>
      </c>
      <c r="I163" t="s">
        <v>16</v>
      </c>
      <c r="J163" t="s">
        <v>180</v>
      </c>
      <c r="K163" t="s">
        <v>25</v>
      </c>
      <c r="L163">
        <v>132757294</v>
      </c>
      <c r="R163">
        <v>9717</v>
      </c>
      <c r="S163" t="s">
        <v>224</v>
      </c>
      <c r="T163">
        <v>0</v>
      </c>
      <c r="U163">
        <v>28</v>
      </c>
      <c r="V163">
        <v>0</v>
      </c>
      <c r="W163">
        <v>0</v>
      </c>
      <c r="X163">
        <v>0</v>
      </c>
    </row>
    <row r="164" spans="1:24" x14ac:dyDescent="0.25">
      <c r="A164" t="s">
        <v>15</v>
      </c>
      <c r="B164" t="s">
        <v>24</v>
      </c>
      <c r="C164">
        <v>20150316</v>
      </c>
      <c r="D164">
        <v>0</v>
      </c>
      <c r="F164">
        <v>62500</v>
      </c>
      <c r="G164" t="s">
        <v>17</v>
      </c>
      <c r="I164" t="s">
        <v>16</v>
      </c>
      <c r="J164" t="s">
        <v>180</v>
      </c>
      <c r="K164" t="s">
        <v>25</v>
      </c>
      <c r="L164">
        <v>132757294</v>
      </c>
      <c r="R164">
        <v>9718</v>
      </c>
      <c r="S164" t="s">
        <v>232</v>
      </c>
      <c r="T164">
        <v>0</v>
      </c>
      <c r="U164">
        <v>-32</v>
      </c>
      <c r="V164">
        <v>0</v>
      </c>
      <c r="W164">
        <v>0</v>
      </c>
      <c r="X164">
        <v>0</v>
      </c>
    </row>
    <row r="165" spans="1:24" x14ac:dyDescent="0.25">
      <c r="A165" t="s">
        <v>15</v>
      </c>
      <c r="B165" t="s">
        <v>24</v>
      </c>
      <c r="C165">
        <v>20150316</v>
      </c>
      <c r="D165">
        <v>0</v>
      </c>
      <c r="F165">
        <v>62500</v>
      </c>
      <c r="G165" t="s">
        <v>17</v>
      </c>
      <c r="I165" t="s">
        <v>16</v>
      </c>
      <c r="J165" t="s">
        <v>180</v>
      </c>
      <c r="K165" t="s">
        <v>25</v>
      </c>
      <c r="L165">
        <v>132757294</v>
      </c>
      <c r="R165">
        <v>9718</v>
      </c>
      <c r="S165" t="s">
        <v>192</v>
      </c>
      <c r="T165">
        <v>0</v>
      </c>
      <c r="U165">
        <v>32</v>
      </c>
      <c r="V165">
        <v>0</v>
      </c>
      <c r="W165">
        <v>0</v>
      </c>
      <c r="X165">
        <v>0</v>
      </c>
    </row>
    <row r="166" spans="1:24" x14ac:dyDescent="0.25">
      <c r="A166" t="s">
        <v>15</v>
      </c>
      <c r="B166" t="s">
        <v>24</v>
      </c>
      <c r="C166">
        <v>20150316</v>
      </c>
      <c r="D166">
        <v>0</v>
      </c>
      <c r="F166">
        <v>62500</v>
      </c>
      <c r="G166" t="s">
        <v>17</v>
      </c>
      <c r="I166" t="s">
        <v>16</v>
      </c>
      <c r="J166" t="s">
        <v>180</v>
      </c>
      <c r="K166" t="s">
        <v>25</v>
      </c>
      <c r="L166">
        <v>132757294</v>
      </c>
      <c r="R166">
        <v>9719</v>
      </c>
      <c r="S166" t="s">
        <v>232</v>
      </c>
      <c r="T166">
        <v>0</v>
      </c>
      <c r="U166">
        <v>36</v>
      </c>
      <c r="V166">
        <v>0</v>
      </c>
      <c r="W166">
        <v>0</v>
      </c>
      <c r="X166">
        <v>0</v>
      </c>
    </row>
    <row r="167" spans="1:24" x14ac:dyDescent="0.25">
      <c r="A167" t="s">
        <v>15</v>
      </c>
      <c r="B167" t="s">
        <v>24</v>
      </c>
      <c r="C167">
        <v>20150316</v>
      </c>
      <c r="D167">
        <v>0</v>
      </c>
      <c r="F167">
        <v>62500</v>
      </c>
      <c r="G167" t="s">
        <v>17</v>
      </c>
      <c r="I167" t="s">
        <v>16</v>
      </c>
      <c r="J167" t="s">
        <v>180</v>
      </c>
      <c r="K167" t="s">
        <v>25</v>
      </c>
      <c r="L167">
        <v>132757294</v>
      </c>
      <c r="R167">
        <v>9716</v>
      </c>
      <c r="S167" t="s">
        <v>223</v>
      </c>
      <c r="T167">
        <v>0</v>
      </c>
      <c r="U167">
        <v>30</v>
      </c>
      <c r="V167">
        <v>0</v>
      </c>
      <c r="W167">
        <v>0</v>
      </c>
      <c r="X167">
        <v>0</v>
      </c>
    </row>
    <row r="168" spans="1:24" x14ac:dyDescent="0.25">
      <c r="A168" t="s">
        <v>15</v>
      </c>
      <c r="B168" t="s">
        <v>24</v>
      </c>
      <c r="C168">
        <v>20150316</v>
      </c>
      <c r="D168">
        <v>0</v>
      </c>
      <c r="F168">
        <v>62500</v>
      </c>
      <c r="G168" t="s">
        <v>17</v>
      </c>
      <c r="I168" t="s">
        <v>16</v>
      </c>
      <c r="J168" t="s">
        <v>180</v>
      </c>
      <c r="K168" t="s">
        <v>25</v>
      </c>
      <c r="L168">
        <v>132757294</v>
      </c>
      <c r="R168">
        <v>9716</v>
      </c>
      <c r="S168" t="s">
        <v>224</v>
      </c>
      <c r="T168">
        <v>0</v>
      </c>
      <c r="U168">
        <v>30</v>
      </c>
      <c r="V168">
        <v>0</v>
      </c>
      <c r="W168">
        <v>0</v>
      </c>
      <c r="X168">
        <v>0</v>
      </c>
    </row>
    <row r="169" spans="1:24" x14ac:dyDescent="0.25">
      <c r="A169" t="s">
        <v>15</v>
      </c>
      <c r="B169" t="s">
        <v>24</v>
      </c>
      <c r="C169">
        <v>20150316</v>
      </c>
      <c r="D169">
        <v>0</v>
      </c>
      <c r="F169">
        <v>62500</v>
      </c>
      <c r="G169" t="s">
        <v>17</v>
      </c>
      <c r="I169" t="s">
        <v>16</v>
      </c>
      <c r="J169" t="s">
        <v>180</v>
      </c>
      <c r="K169" t="s">
        <v>25</v>
      </c>
      <c r="L169">
        <v>132757294</v>
      </c>
      <c r="R169">
        <v>9719</v>
      </c>
      <c r="S169" t="s">
        <v>232</v>
      </c>
      <c r="T169">
        <v>0</v>
      </c>
      <c r="U169">
        <v>36</v>
      </c>
      <c r="V169">
        <v>0</v>
      </c>
      <c r="W169">
        <v>0</v>
      </c>
      <c r="X169">
        <v>0</v>
      </c>
    </row>
    <row r="170" spans="1:24" x14ac:dyDescent="0.25">
      <c r="A170" t="s">
        <v>15</v>
      </c>
      <c r="B170" t="s">
        <v>24</v>
      </c>
      <c r="C170">
        <v>20150316</v>
      </c>
      <c r="D170">
        <v>0</v>
      </c>
      <c r="F170">
        <v>62500</v>
      </c>
      <c r="G170" t="s">
        <v>17</v>
      </c>
      <c r="I170" t="s">
        <v>16</v>
      </c>
      <c r="J170" t="s">
        <v>180</v>
      </c>
      <c r="K170" t="s">
        <v>25</v>
      </c>
      <c r="L170">
        <v>132757294</v>
      </c>
      <c r="R170">
        <v>9719</v>
      </c>
      <c r="S170" t="s">
        <v>192</v>
      </c>
      <c r="T170">
        <v>0</v>
      </c>
      <c r="U170">
        <v>36</v>
      </c>
      <c r="V170">
        <v>0</v>
      </c>
      <c r="W170">
        <v>0</v>
      </c>
      <c r="X170">
        <v>0</v>
      </c>
    </row>
    <row r="171" spans="1:24" x14ac:dyDescent="0.25">
      <c r="A171" t="s">
        <v>15</v>
      </c>
      <c r="B171" t="s">
        <v>24</v>
      </c>
      <c r="C171">
        <v>20150316</v>
      </c>
      <c r="D171">
        <v>0</v>
      </c>
      <c r="F171">
        <v>62500</v>
      </c>
      <c r="G171" t="s">
        <v>17</v>
      </c>
      <c r="I171" t="s">
        <v>16</v>
      </c>
      <c r="J171" t="s">
        <v>180</v>
      </c>
      <c r="K171" t="s">
        <v>25</v>
      </c>
      <c r="L171">
        <v>132757294</v>
      </c>
      <c r="R171">
        <v>9718</v>
      </c>
      <c r="S171" t="s">
        <v>223</v>
      </c>
      <c r="T171">
        <v>0</v>
      </c>
      <c r="U171">
        <v>32</v>
      </c>
      <c r="V171">
        <v>0</v>
      </c>
      <c r="W171">
        <v>0</v>
      </c>
      <c r="X171">
        <v>0</v>
      </c>
    </row>
    <row r="172" spans="1:24" x14ac:dyDescent="0.25">
      <c r="A172" t="s">
        <v>15</v>
      </c>
      <c r="B172" t="s">
        <v>24</v>
      </c>
      <c r="C172">
        <v>20150316</v>
      </c>
      <c r="D172">
        <v>0</v>
      </c>
      <c r="F172">
        <v>62500</v>
      </c>
      <c r="G172" t="s">
        <v>17</v>
      </c>
      <c r="I172" t="s">
        <v>16</v>
      </c>
      <c r="J172" t="s">
        <v>180</v>
      </c>
      <c r="K172" t="s">
        <v>25</v>
      </c>
      <c r="L172">
        <v>132757294</v>
      </c>
      <c r="R172">
        <v>9718</v>
      </c>
      <c r="S172" t="s">
        <v>224</v>
      </c>
      <c r="T172">
        <v>0</v>
      </c>
      <c r="U172">
        <v>32</v>
      </c>
      <c r="V172">
        <v>0</v>
      </c>
      <c r="W172">
        <v>0</v>
      </c>
      <c r="X172">
        <v>0</v>
      </c>
    </row>
    <row r="173" spans="1:24" x14ac:dyDescent="0.25">
      <c r="A173" t="s">
        <v>15</v>
      </c>
      <c r="B173" t="s">
        <v>24</v>
      </c>
      <c r="C173">
        <v>20150316</v>
      </c>
      <c r="D173">
        <v>0</v>
      </c>
      <c r="F173">
        <v>62500</v>
      </c>
      <c r="G173" t="s">
        <v>17</v>
      </c>
      <c r="I173" t="s">
        <v>16</v>
      </c>
      <c r="J173" t="s">
        <v>180</v>
      </c>
      <c r="K173" t="s">
        <v>25</v>
      </c>
      <c r="L173">
        <v>132757294</v>
      </c>
      <c r="R173">
        <v>9720</v>
      </c>
      <c r="S173" t="s">
        <v>232</v>
      </c>
      <c r="T173">
        <v>0</v>
      </c>
      <c r="U173">
        <v>-36</v>
      </c>
      <c r="V173">
        <v>0</v>
      </c>
      <c r="W173">
        <v>0</v>
      </c>
      <c r="X173">
        <v>0</v>
      </c>
    </row>
    <row r="174" spans="1:24" x14ac:dyDescent="0.25">
      <c r="A174" t="s">
        <v>15</v>
      </c>
      <c r="B174" t="s">
        <v>24</v>
      </c>
      <c r="C174">
        <v>20150316</v>
      </c>
      <c r="D174">
        <v>0</v>
      </c>
      <c r="F174">
        <v>62500</v>
      </c>
      <c r="G174" t="s">
        <v>17</v>
      </c>
      <c r="I174" t="s">
        <v>16</v>
      </c>
      <c r="J174" t="s">
        <v>180</v>
      </c>
      <c r="K174" t="s">
        <v>25</v>
      </c>
      <c r="L174">
        <v>132757294</v>
      </c>
      <c r="R174">
        <v>9720</v>
      </c>
      <c r="S174" t="s">
        <v>232</v>
      </c>
      <c r="T174">
        <v>0</v>
      </c>
      <c r="U174">
        <v>-36</v>
      </c>
      <c r="V174">
        <v>0</v>
      </c>
      <c r="W174">
        <v>0</v>
      </c>
      <c r="X174">
        <v>0</v>
      </c>
    </row>
    <row r="175" spans="1:24" x14ac:dyDescent="0.25">
      <c r="A175" t="s">
        <v>15</v>
      </c>
      <c r="B175" t="s">
        <v>24</v>
      </c>
      <c r="C175">
        <v>20150316</v>
      </c>
      <c r="D175">
        <v>0</v>
      </c>
      <c r="F175">
        <v>62500</v>
      </c>
      <c r="G175" t="s">
        <v>17</v>
      </c>
      <c r="I175" t="s">
        <v>16</v>
      </c>
      <c r="J175" t="s">
        <v>180</v>
      </c>
      <c r="K175" t="s">
        <v>25</v>
      </c>
      <c r="L175">
        <v>132757294</v>
      </c>
      <c r="R175">
        <v>9720</v>
      </c>
      <c r="S175" t="s">
        <v>192</v>
      </c>
      <c r="T175">
        <v>0</v>
      </c>
      <c r="U175">
        <v>36</v>
      </c>
      <c r="V175">
        <v>0</v>
      </c>
      <c r="W175">
        <v>0</v>
      </c>
      <c r="X175">
        <v>0</v>
      </c>
    </row>
    <row r="176" spans="1:24" x14ac:dyDescent="0.25">
      <c r="A176" t="s">
        <v>15</v>
      </c>
      <c r="B176" t="s">
        <v>24</v>
      </c>
      <c r="C176">
        <v>20150316</v>
      </c>
      <c r="D176">
        <v>0</v>
      </c>
      <c r="F176">
        <v>62500</v>
      </c>
      <c r="G176" t="s">
        <v>17</v>
      </c>
      <c r="I176" t="s">
        <v>16</v>
      </c>
      <c r="J176" t="s">
        <v>180</v>
      </c>
      <c r="K176" t="s">
        <v>25</v>
      </c>
      <c r="L176">
        <v>132757294</v>
      </c>
      <c r="R176">
        <v>9721</v>
      </c>
      <c r="S176" t="s">
        <v>232</v>
      </c>
      <c r="T176">
        <v>0</v>
      </c>
      <c r="U176">
        <v>5</v>
      </c>
      <c r="V176">
        <v>0</v>
      </c>
      <c r="W176">
        <v>0</v>
      </c>
      <c r="X176">
        <v>0</v>
      </c>
    </row>
    <row r="177" spans="1:40" x14ac:dyDescent="0.25">
      <c r="A177" t="s">
        <v>15</v>
      </c>
      <c r="B177" t="s">
        <v>24</v>
      </c>
      <c r="C177">
        <v>20150316</v>
      </c>
      <c r="D177">
        <v>0</v>
      </c>
      <c r="F177">
        <v>62500</v>
      </c>
      <c r="G177" t="s">
        <v>17</v>
      </c>
      <c r="I177" t="s">
        <v>16</v>
      </c>
      <c r="J177" t="s">
        <v>180</v>
      </c>
      <c r="K177" t="s">
        <v>25</v>
      </c>
      <c r="L177">
        <v>132757294</v>
      </c>
      <c r="R177">
        <v>9721</v>
      </c>
      <c r="S177" t="s">
        <v>232</v>
      </c>
      <c r="T177">
        <v>0</v>
      </c>
      <c r="U177">
        <v>5</v>
      </c>
      <c r="V177">
        <v>0</v>
      </c>
      <c r="W177">
        <v>0</v>
      </c>
      <c r="X177">
        <v>0</v>
      </c>
    </row>
    <row r="178" spans="1:40" x14ac:dyDescent="0.25">
      <c r="A178" t="s">
        <v>15</v>
      </c>
      <c r="B178" t="s">
        <v>24</v>
      </c>
      <c r="C178">
        <v>20150316</v>
      </c>
      <c r="D178">
        <v>0</v>
      </c>
      <c r="F178">
        <v>62500</v>
      </c>
      <c r="G178" t="s">
        <v>17</v>
      </c>
      <c r="I178" t="s">
        <v>16</v>
      </c>
      <c r="J178" t="s">
        <v>180</v>
      </c>
      <c r="K178" t="s">
        <v>25</v>
      </c>
      <c r="L178">
        <v>132757294</v>
      </c>
      <c r="R178">
        <v>9721</v>
      </c>
      <c r="S178" t="s">
        <v>233</v>
      </c>
      <c r="T178">
        <v>0</v>
      </c>
      <c r="U178">
        <v>5</v>
      </c>
      <c r="V178">
        <v>0</v>
      </c>
      <c r="W178">
        <v>0</v>
      </c>
      <c r="X178">
        <v>0</v>
      </c>
    </row>
    <row r="179" spans="1:40" x14ac:dyDescent="0.25">
      <c r="A179" t="s">
        <v>15</v>
      </c>
      <c r="B179" t="s">
        <v>24</v>
      </c>
      <c r="C179">
        <v>20150316</v>
      </c>
      <c r="D179">
        <v>0</v>
      </c>
      <c r="F179">
        <v>62500</v>
      </c>
      <c r="G179" t="s">
        <v>17</v>
      </c>
      <c r="I179" t="s">
        <v>16</v>
      </c>
      <c r="J179" t="s">
        <v>180</v>
      </c>
      <c r="K179" t="s">
        <v>25</v>
      </c>
      <c r="L179">
        <v>132757294</v>
      </c>
      <c r="R179">
        <v>9721</v>
      </c>
      <c r="S179" t="s">
        <v>233</v>
      </c>
      <c r="T179">
        <v>0</v>
      </c>
      <c r="U179">
        <v>3</v>
      </c>
      <c r="V179">
        <v>0</v>
      </c>
      <c r="W179">
        <v>0</v>
      </c>
      <c r="X179">
        <v>0</v>
      </c>
      <c r="Y179">
        <v>9721</v>
      </c>
      <c r="Z179" t="s">
        <v>2815</v>
      </c>
      <c r="AA179" t="s">
        <v>2816</v>
      </c>
      <c r="AB179" t="s">
        <v>234</v>
      </c>
      <c r="AC179" t="s">
        <v>17</v>
      </c>
      <c r="AD179" t="s">
        <v>235</v>
      </c>
      <c r="AE179">
        <v>1</v>
      </c>
      <c r="AF179">
        <v>1</v>
      </c>
      <c r="AG179">
        <v>1.5286999999999999</v>
      </c>
      <c r="AH179">
        <v>1.5286999999999999</v>
      </c>
      <c r="AI179">
        <v>1226100177</v>
      </c>
      <c r="AJ179">
        <v>0</v>
      </c>
      <c r="AK179">
        <v>7</v>
      </c>
      <c r="AN179">
        <v>0</v>
      </c>
    </row>
    <row r="180" spans="1:40" x14ac:dyDescent="0.25">
      <c r="A180" t="s">
        <v>15</v>
      </c>
      <c r="B180" t="s">
        <v>24</v>
      </c>
      <c r="C180">
        <v>20150316</v>
      </c>
      <c r="D180">
        <v>0</v>
      </c>
      <c r="F180">
        <v>62500</v>
      </c>
      <c r="G180" t="s">
        <v>17</v>
      </c>
      <c r="I180" t="s">
        <v>16</v>
      </c>
      <c r="J180" t="s">
        <v>180</v>
      </c>
      <c r="K180" t="s">
        <v>25</v>
      </c>
      <c r="L180">
        <v>132757294</v>
      </c>
      <c r="R180">
        <v>9721</v>
      </c>
      <c r="S180" t="s">
        <v>233</v>
      </c>
      <c r="T180">
        <v>0</v>
      </c>
      <c r="U180">
        <v>3</v>
      </c>
      <c r="V180">
        <v>0</v>
      </c>
      <c r="W180">
        <v>0</v>
      </c>
      <c r="X180">
        <v>0</v>
      </c>
    </row>
    <row r="181" spans="1:40" x14ac:dyDescent="0.25">
      <c r="A181" t="s">
        <v>15</v>
      </c>
      <c r="B181" t="s">
        <v>24</v>
      </c>
      <c r="C181">
        <v>20150316</v>
      </c>
      <c r="D181">
        <v>0</v>
      </c>
      <c r="F181">
        <v>62500</v>
      </c>
      <c r="G181" t="s">
        <v>17</v>
      </c>
      <c r="I181" t="s">
        <v>16</v>
      </c>
      <c r="J181" t="s">
        <v>180</v>
      </c>
      <c r="K181" t="s">
        <v>25</v>
      </c>
      <c r="L181">
        <v>132757294</v>
      </c>
      <c r="R181">
        <v>9721</v>
      </c>
      <c r="S181" t="s">
        <v>233</v>
      </c>
      <c r="T181">
        <v>1</v>
      </c>
      <c r="U181">
        <v>4</v>
      </c>
      <c r="V181">
        <v>1.5286999999999999</v>
      </c>
      <c r="W181">
        <v>1.5286999999999999</v>
      </c>
      <c r="X181">
        <v>0</v>
      </c>
    </row>
    <row r="182" spans="1:40" x14ac:dyDescent="0.25">
      <c r="A182" t="s">
        <v>15</v>
      </c>
      <c r="B182" t="s">
        <v>24</v>
      </c>
      <c r="C182">
        <v>20150316</v>
      </c>
      <c r="D182">
        <v>0</v>
      </c>
      <c r="F182">
        <v>62500</v>
      </c>
      <c r="G182" t="s">
        <v>17</v>
      </c>
      <c r="I182" t="s">
        <v>16</v>
      </c>
      <c r="J182" t="s">
        <v>180</v>
      </c>
      <c r="K182" t="s">
        <v>25</v>
      </c>
      <c r="L182">
        <v>132757294</v>
      </c>
      <c r="R182">
        <v>9721</v>
      </c>
      <c r="S182" t="s">
        <v>233</v>
      </c>
      <c r="T182">
        <v>1</v>
      </c>
      <c r="U182">
        <v>-4</v>
      </c>
      <c r="V182">
        <v>1.5286999999999999</v>
      </c>
      <c r="W182">
        <v>1.5286999999999999</v>
      </c>
      <c r="X182">
        <v>0</v>
      </c>
      <c r="Y182">
        <v>9721</v>
      </c>
      <c r="Z182" t="s">
        <v>2837</v>
      </c>
      <c r="AA182" t="s">
        <v>2816</v>
      </c>
      <c r="AB182" t="s">
        <v>234</v>
      </c>
      <c r="AC182" t="s">
        <v>17</v>
      </c>
      <c r="AD182" t="s">
        <v>235</v>
      </c>
      <c r="AE182">
        <v>4</v>
      </c>
      <c r="AF182">
        <v>5</v>
      </c>
      <c r="AG182">
        <v>1.5286999999999999</v>
      </c>
      <c r="AH182">
        <v>1.5286999999999999</v>
      </c>
      <c r="AI182">
        <v>1226100177</v>
      </c>
      <c r="AJ182">
        <v>0</v>
      </c>
      <c r="AK182">
        <v>7</v>
      </c>
      <c r="AN182">
        <v>0</v>
      </c>
    </row>
    <row r="183" spans="1:40" x14ac:dyDescent="0.25">
      <c r="A183" t="s">
        <v>15</v>
      </c>
      <c r="B183" t="s">
        <v>24</v>
      </c>
      <c r="C183">
        <v>20150316</v>
      </c>
      <c r="D183">
        <v>0</v>
      </c>
      <c r="F183">
        <v>62500</v>
      </c>
      <c r="G183" t="s">
        <v>17</v>
      </c>
      <c r="I183" t="s">
        <v>16</v>
      </c>
      <c r="J183" t="s">
        <v>180</v>
      </c>
      <c r="K183" t="s">
        <v>25</v>
      </c>
      <c r="L183">
        <v>132757294</v>
      </c>
      <c r="R183">
        <v>9721</v>
      </c>
      <c r="S183" t="s">
        <v>233</v>
      </c>
      <c r="T183">
        <v>1</v>
      </c>
      <c r="U183">
        <v>-4</v>
      </c>
      <c r="V183">
        <v>1.5286999999999999</v>
      </c>
      <c r="W183">
        <v>1.5286999999999999</v>
      </c>
      <c r="X183">
        <v>0</v>
      </c>
    </row>
    <row r="184" spans="1:40" x14ac:dyDescent="0.25">
      <c r="A184" t="s">
        <v>15</v>
      </c>
      <c r="B184" t="s">
        <v>24</v>
      </c>
      <c r="C184">
        <v>20150316</v>
      </c>
      <c r="D184">
        <v>0</v>
      </c>
      <c r="F184">
        <v>62500</v>
      </c>
      <c r="G184" t="s">
        <v>17</v>
      </c>
      <c r="I184" t="s">
        <v>16</v>
      </c>
      <c r="J184" t="s">
        <v>180</v>
      </c>
      <c r="K184" t="s">
        <v>25</v>
      </c>
      <c r="L184">
        <v>132757294</v>
      </c>
      <c r="R184">
        <v>9721</v>
      </c>
      <c r="S184" t="s">
        <v>37</v>
      </c>
      <c r="T184">
        <v>5</v>
      </c>
      <c r="U184">
        <v>0</v>
      </c>
      <c r="V184">
        <v>1.5286999999999999</v>
      </c>
      <c r="W184">
        <v>1.5286999999999999</v>
      </c>
      <c r="X184">
        <v>0</v>
      </c>
    </row>
    <row r="185" spans="1:40" x14ac:dyDescent="0.25">
      <c r="A185" t="s">
        <v>15</v>
      </c>
      <c r="B185" t="s">
        <v>24</v>
      </c>
      <c r="C185">
        <v>20150316</v>
      </c>
      <c r="D185">
        <v>0</v>
      </c>
      <c r="F185">
        <v>62500</v>
      </c>
      <c r="G185" t="s">
        <v>17</v>
      </c>
      <c r="I185" t="s">
        <v>16</v>
      </c>
      <c r="J185" t="s">
        <v>180</v>
      </c>
      <c r="K185" t="s">
        <v>25</v>
      </c>
      <c r="L185">
        <v>132757294</v>
      </c>
      <c r="R185">
        <v>9721</v>
      </c>
      <c r="S185" t="s">
        <v>37</v>
      </c>
      <c r="T185">
        <v>5</v>
      </c>
      <c r="U185">
        <v>0</v>
      </c>
      <c r="V185">
        <v>1.5286999999999999</v>
      </c>
      <c r="W185">
        <v>1.5286999999999999</v>
      </c>
      <c r="X185">
        <v>0</v>
      </c>
    </row>
    <row r="186" spans="1:40" x14ac:dyDescent="0.25">
      <c r="A186" t="s">
        <v>15</v>
      </c>
      <c r="B186" t="s">
        <v>24</v>
      </c>
      <c r="C186">
        <v>20150316</v>
      </c>
      <c r="D186">
        <v>0</v>
      </c>
      <c r="F186">
        <v>62500</v>
      </c>
      <c r="G186" t="s">
        <v>17</v>
      </c>
      <c r="I186" t="s">
        <v>16</v>
      </c>
      <c r="J186" t="s">
        <v>180</v>
      </c>
      <c r="K186" t="s">
        <v>25</v>
      </c>
      <c r="L186">
        <v>132757294</v>
      </c>
      <c r="R186">
        <v>9721</v>
      </c>
      <c r="S186" t="s">
        <v>37</v>
      </c>
      <c r="T186">
        <v>5</v>
      </c>
      <c r="U186">
        <v>0</v>
      </c>
      <c r="V186">
        <v>1.5286999999999999</v>
      </c>
      <c r="W186">
        <v>1.5286999999999999</v>
      </c>
      <c r="X186">
        <v>0</v>
      </c>
    </row>
    <row r="187" spans="1:40" x14ac:dyDescent="0.25">
      <c r="A187" t="s">
        <v>15</v>
      </c>
      <c r="B187" t="s">
        <v>24</v>
      </c>
      <c r="C187">
        <v>20150316</v>
      </c>
      <c r="D187">
        <v>0</v>
      </c>
      <c r="F187">
        <v>62500</v>
      </c>
      <c r="G187" t="s">
        <v>17</v>
      </c>
      <c r="I187" t="s">
        <v>16</v>
      </c>
      <c r="J187" t="s">
        <v>180</v>
      </c>
      <c r="K187" t="s">
        <v>25</v>
      </c>
      <c r="L187">
        <v>132757294</v>
      </c>
      <c r="R187">
        <v>9721</v>
      </c>
      <c r="S187" t="s">
        <v>37</v>
      </c>
      <c r="T187">
        <v>5</v>
      </c>
      <c r="U187">
        <v>0</v>
      </c>
      <c r="V187">
        <v>1.5286999999999999</v>
      </c>
      <c r="W187">
        <v>1.5286999999999999</v>
      </c>
      <c r="X187">
        <v>0</v>
      </c>
    </row>
    <row r="188" spans="1:40" x14ac:dyDescent="0.25">
      <c r="A188" t="s">
        <v>15</v>
      </c>
      <c r="B188" t="s">
        <v>24</v>
      </c>
      <c r="C188">
        <v>20150316</v>
      </c>
      <c r="D188">
        <v>0</v>
      </c>
      <c r="F188">
        <v>62500</v>
      </c>
      <c r="G188" t="s">
        <v>17</v>
      </c>
      <c r="I188" t="s">
        <v>16</v>
      </c>
      <c r="J188" t="s">
        <v>180</v>
      </c>
      <c r="K188" t="s">
        <v>25</v>
      </c>
      <c r="L188">
        <v>132757294</v>
      </c>
      <c r="R188">
        <v>9721</v>
      </c>
      <c r="S188" t="s">
        <v>37</v>
      </c>
      <c r="T188">
        <v>5</v>
      </c>
      <c r="U188">
        <v>0</v>
      </c>
      <c r="V188">
        <v>1.5286999999999999</v>
      </c>
      <c r="W188">
        <v>1.5286999999999999</v>
      </c>
      <c r="X188">
        <v>0</v>
      </c>
    </row>
    <row r="189" spans="1:40" x14ac:dyDescent="0.25">
      <c r="A189" t="s">
        <v>15</v>
      </c>
      <c r="B189" t="s">
        <v>24</v>
      </c>
      <c r="C189">
        <v>20150316</v>
      </c>
      <c r="D189">
        <v>0</v>
      </c>
      <c r="F189">
        <v>62500</v>
      </c>
      <c r="G189" t="s">
        <v>17</v>
      </c>
      <c r="I189" t="s">
        <v>16</v>
      </c>
      <c r="J189" t="s">
        <v>180</v>
      </c>
      <c r="K189" t="s">
        <v>25</v>
      </c>
      <c r="L189">
        <v>132757294</v>
      </c>
      <c r="R189">
        <v>9721</v>
      </c>
      <c r="S189" t="s">
        <v>37</v>
      </c>
      <c r="T189">
        <v>5</v>
      </c>
      <c r="U189">
        <v>0</v>
      </c>
      <c r="V189">
        <v>1.5286999999999999</v>
      </c>
      <c r="W189">
        <v>1.5286999999999999</v>
      </c>
      <c r="X189">
        <v>0</v>
      </c>
    </row>
    <row r="190" spans="1:40" x14ac:dyDescent="0.25">
      <c r="A190" t="s">
        <v>15</v>
      </c>
      <c r="B190" t="s">
        <v>24</v>
      </c>
      <c r="C190">
        <v>20150316</v>
      </c>
      <c r="D190">
        <v>0</v>
      </c>
      <c r="F190">
        <v>62500</v>
      </c>
      <c r="G190" t="s">
        <v>17</v>
      </c>
      <c r="I190" t="s">
        <v>16</v>
      </c>
      <c r="J190" t="s">
        <v>180</v>
      </c>
      <c r="K190" t="s">
        <v>25</v>
      </c>
      <c r="L190">
        <v>132757294</v>
      </c>
      <c r="R190">
        <v>9721</v>
      </c>
      <c r="S190" t="s">
        <v>37</v>
      </c>
      <c r="T190">
        <v>5</v>
      </c>
      <c r="U190">
        <v>0</v>
      </c>
      <c r="V190">
        <v>1.5286999999999999</v>
      </c>
      <c r="W190">
        <v>1.5286999999999999</v>
      </c>
      <c r="X190">
        <v>0</v>
      </c>
    </row>
    <row r="191" spans="1:40" x14ac:dyDescent="0.25">
      <c r="A191" t="s">
        <v>15</v>
      </c>
      <c r="B191" t="s">
        <v>24</v>
      </c>
      <c r="C191">
        <v>20150316</v>
      </c>
      <c r="D191">
        <v>0</v>
      </c>
      <c r="F191">
        <v>62500</v>
      </c>
      <c r="G191" t="s">
        <v>17</v>
      </c>
      <c r="I191" t="s">
        <v>16</v>
      </c>
      <c r="J191" t="s">
        <v>180</v>
      </c>
      <c r="K191" t="s">
        <v>25</v>
      </c>
      <c r="L191">
        <v>132757294</v>
      </c>
      <c r="R191">
        <v>9721</v>
      </c>
      <c r="S191" t="s">
        <v>37</v>
      </c>
      <c r="T191">
        <v>5</v>
      </c>
      <c r="U191">
        <v>0</v>
      </c>
      <c r="V191">
        <v>1.5286999999999999</v>
      </c>
      <c r="W191">
        <v>1.5286999999999999</v>
      </c>
      <c r="X191">
        <v>0</v>
      </c>
    </row>
    <row r="192" spans="1:40" x14ac:dyDescent="0.25">
      <c r="A192" t="s">
        <v>15</v>
      </c>
      <c r="B192" t="s">
        <v>24</v>
      </c>
      <c r="C192">
        <v>20150316</v>
      </c>
      <c r="D192">
        <v>0</v>
      </c>
      <c r="F192">
        <v>62500</v>
      </c>
      <c r="G192" t="s">
        <v>17</v>
      </c>
      <c r="I192" t="s">
        <v>16</v>
      </c>
      <c r="J192" t="s">
        <v>180</v>
      </c>
      <c r="K192" t="s">
        <v>25</v>
      </c>
      <c r="L192">
        <v>132757294</v>
      </c>
      <c r="R192">
        <v>9722</v>
      </c>
      <c r="S192" t="s">
        <v>232</v>
      </c>
      <c r="T192">
        <v>0</v>
      </c>
      <c r="U192">
        <v>5</v>
      </c>
      <c r="V192">
        <v>0</v>
      </c>
      <c r="W192">
        <v>0</v>
      </c>
      <c r="X192">
        <v>0</v>
      </c>
    </row>
    <row r="193" spans="1:24" x14ac:dyDescent="0.25">
      <c r="A193" t="s">
        <v>15</v>
      </c>
      <c r="B193" t="s">
        <v>24</v>
      </c>
      <c r="C193">
        <v>20150316</v>
      </c>
      <c r="D193">
        <v>0</v>
      </c>
      <c r="F193">
        <v>62500</v>
      </c>
      <c r="G193" t="s">
        <v>17</v>
      </c>
      <c r="I193" t="s">
        <v>16</v>
      </c>
      <c r="J193" t="s">
        <v>180</v>
      </c>
      <c r="K193" t="s">
        <v>25</v>
      </c>
      <c r="L193">
        <v>132757294</v>
      </c>
      <c r="R193">
        <v>9722</v>
      </c>
      <c r="S193" t="s">
        <v>232</v>
      </c>
      <c r="T193">
        <v>0</v>
      </c>
      <c r="U193">
        <v>5</v>
      </c>
      <c r="V193">
        <v>0</v>
      </c>
      <c r="W193">
        <v>0</v>
      </c>
      <c r="X193">
        <v>0</v>
      </c>
    </row>
    <row r="194" spans="1:24" x14ac:dyDescent="0.25">
      <c r="A194" t="s">
        <v>15</v>
      </c>
      <c r="B194" t="s">
        <v>24</v>
      </c>
      <c r="C194">
        <v>20150316</v>
      </c>
      <c r="D194">
        <v>0</v>
      </c>
      <c r="F194">
        <v>62500</v>
      </c>
      <c r="G194" t="s">
        <v>17</v>
      </c>
      <c r="I194" t="s">
        <v>16</v>
      </c>
      <c r="J194" t="s">
        <v>180</v>
      </c>
      <c r="K194" t="s">
        <v>25</v>
      </c>
      <c r="L194">
        <v>132757294</v>
      </c>
      <c r="R194">
        <v>9722</v>
      </c>
      <c r="S194" t="s">
        <v>233</v>
      </c>
      <c r="T194">
        <v>0</v>
      </c>
      <c r="U194">
        <v>5</v>
      </c>
      <c r="V194">
        <v>0</v>
      </c>
      <c r="W194">
        <v>0</v>
      </c>
      <c r="X194">
        <v>0</v>
      </c>
    </row>
    <row r="195" spans="1:24" x14ac:dyDescent="0.25">
      <c r="A195" t="s">
        <v>15</v>
      </c>
      <c r="B195" t="s">
        <v>24</v>
      </c>
      <c r="C195">
        <v>20150316</v>
      </c>
      <c r="D195">
        <v>0</v>
      </c>
      <c r="F195">
        <v>62500</v>
      </c>
      <c r="G195" t="s">
        <v>17</v>
      </c>
      <c r="I195" t="s">
        <v>16</v>
      </c>
      <c r="J195" t="s">
        <v>180</v>
      </c>
      <c r="K195" t="s">
        <v>25</v>
      </c>
      <c r="L195">
        <v>132757294</v>
      </c>
      <c r="R195">
        <v>9722</v>
      </c>
      <c r="S195" t="s">
        <v>223</v>
      </c>
      <c r="T195">
        <v>0</v>
      </c>
      <c r="U195">
        <v>5</v>
      </c>
      <c r="V195">
        <v>0</v>
      </c>
      <c r="W195">
        <v>0</v>
      </c>
      <c r="X195">
        <v>0</v>
      </c>
    </row>
    <row r="196" spans="1:24" x14ac:dyDescent="0.25">
      <c r="A196" t="s">
        <v>15</v>
      </c>
      <c r="B196" t="s">
        <v>24</v>
      </c>
      <c r="C196">
        <v>20150316</v>
      </c>
      <c r="D196">
        <v>0</v>
      </c>
      <c r="F196">
        <v>62500</v>
      </c>
      <c r="G196" t="s">
        <v>17</v>
      </c>
      <c r="I196" t="s">
        <v>16</v>
      </c>
      <c r="J196" t="s">
        <v>180</v>
      </c>
      <c r="K196" t="s">
        <v>25</v>
      </c>
      <c r="L196">
        <v>132757294</v>
      </c>
      <c r="R196">
        <v>9722</v>
      </c>
      <c r="S196" t="s">
        <v>224</v>
      </c>
      <c r="T196">
        <v>0</v>
      </c>
      <c r="U196">
        <v>5</v>
      </c>
      <c r="V196">
        <v>0</v>
      </c>
      <c r="W196">
        <v>0</v>
      </c>
      <c r="X196">
        <v>0</v>
      </c>
    </row>
    <row r="197" spans="1:24" x14ac:dyDescent="0.25">
      <c r="A197" t="s">
        <v>15</v>
      </c>
      <c r="B197" t="s">
        <v>24</v>
      </c>
      <c r="C197">
        <v>20150316</v>
      </c>
      <c r="D197">
        <v>0</v>
      </c>
      <c r="F197">
        <v>62500</v>
      </c>
      <c r="G197" t="s">
        <v>17</v>
      </c>
      <c r="I197" t="s">
        <v>16</v>
      </c>
      <c r="J197" t="s">
        <v>180</v>
      </c>
      <c r="K197" t="s">
        <v>25</v>
      </c>
      <c r="L197">
        <v>132757294</v>
      </c>
      <c r="R197">
        <v>9723</v>
      </c>
      <c r="S197" t="s">
        <v>232</v>
      </c>
      <c r="T197">
        <v>0</v>
      </c>
      <c r="U197">
        <v>5</v>
      </c>
      <c r="V197">
        <v>0</v>
      </c>
      <c r="W197">
        <v>0</v>
      </c>
      <c r="X197">
        <v>0</v>
      </c>
    </row>
    <row r="198" spans="1:24" x14ac:dyDescent="0.25">
      <c r="A198" t="s">
        <v>15</v>
      </c>
      <c r="B198" t="s">
        <v>24</v>
      </c>
      <c r="C198">
        <v>20150316</v>
      </c>
      <c r="D198">
        <v>0</v>
      </c>
      <c r="F198">
        <v>62500</v>
      </c>
      <c r="G198" t="s">
        <v>17</v>
      </c>
      <c r="I198" t="s">
        <v>16</v>
      </c>
      <c r="J198" t="s">
        <v>180</v>
      </c>
      <c r="K198" t="s">
        <v>25</v>
      </c>
      <c r="L198">
        <v>132757294</v>
      </c>
      <c r="R198">
        <v>9723</v>
      </c>
      <c r="S198" t="s">
        <v>232</v>
      </c>
      <c r="T198">
        <v>0</v>
      </c>
      <c r="U198">
        <v>5</v>
      </c>
      <c r="V198">
        <v>0</v>
      </c>
      <c r="W198">
        <v>0</v>
      </c>
      <c r="X198">
        <v>0</v>
      </c>
    </row>
    <row r="199" spans="1:24" x14ac:dyDescent="0.25">
      <c r="A199" t="s">
        <v>15</v>
      </c>
      <c r="B199" t="s">
        <v>24</v>
      </c>
      <c r="C199">
        <v>20150316</v>
      </c>
      <c r="D199">
        <v>0</v>
      </c>
      <c r="F199">
        <v>62500</v>
      </c>
      <c r="G199" t="s">
        <v>17</v>
      </c>
      <c r="I199" t="s">
        <v>16</v>
      </c>
      <c r="J199" t="s">
        <v>180</v>
      </c>
      <c r="K199" t="s">
        <v>25</v>
      </c>
      <c r="L199">
        <v>132757294</v>
      </c>
      <c r="R199">
        <v>9723</v>
      </c>
      <c r="S199" t="s">
        <v>233</v>
      </c>
      <c r="T199">
        <v>0</v>
      </c>
      <c r="U199">
        <v>5</v>
      </c>
      <c r="V199">
        <v>0</v>
      </c>
      <c r="W199">
        <v>0</v>
      </c>
      <c r="X199">
        <v>0</v>
      </c>
    </row>
    <row r="200" spans="1:24" x14ac:dyDescent="0.25">
      <c r="A200" t="s">
        <v>15</v>
      </c>
      <c r="B200" t="s">
        <v>24</v>
      </c>
      <c r="C200">
        <v>20150316</v>
      </c>
      <c r="D200">
        <v>0</v>
      </c>
      <c r="F200">
        <v>62500</v>
      </c>
      <c r="G200" t="s">
        <v>17</v>
      </c>
      <c r="I200" t="s">
        <v>16</v>
      </c>
      <c r="J200" t="s">
        <v>180</v>
      </c>
      <c r="K200" t="s">
        <v>25</v>
      </c>
      <c r="L200">
        <v>132757294</v>
      </c>
      <c r="R200">
        <v>9719</v>
      </c>
      <c r="S200" t="s">
        <v>223</v>
      </c>
      <c r="T200">
        <v>0</v>
      </c>
      <c r="U200">
        <v>36</v>
      </c>
      <c r="V200">
        <v>0</v>
      </c>
      <c r="W200">
        <v>0</v>
      </c>
      <c r="X200">
        <v>0</v>
      </c>
    </row>
    <row r="201" spans="1:24" x14ac:dyDescent="0.25">
      <c r="A201" t="s">
        <v>15</v>
      </c>
      <c r="B201" t="s">
        <v>24</v>
      </c>
      <c r="C201">
        <v>20150316</v>
      </c>
      <c r="D201">
        <v>0</v>
      </c>
      <c r="F201">
        <v>62500</v>
      </c>
      <c r="G201" t="s">
        <v>17</v>
      </c>
      <c r="I201" t="s">
        <v>16</v>
      </c>
      <c r="J201" t="s">
        <v>180</v>
      </c>
      <c r="K201" t="s">
        <v>25</v>
      </c>
      <c r="L201">
        <v>132757294</v>
      </c>
      <c r="R201">
        <v>9719</v>
      </c>
      <c r="S201" t="s">
        <v>224</v>
      </c>
      <c r="T201">
        <v>0</v>
      </c>
      <c r="U201">
        <v>36</v>
      </c>
      <c r="V201">
        <v>0</v>
      </c>
      <c r="W201">
        <v>0</v>
      </c>
      <c r="X201">
        <v>0</v>
      </c>
    </row>
    <row r="202" spans="1:24" x14ac:dyDescent="0.25">
      <c r="A202" t="s">
        <v>15</v>
      </c>
      <c r="B202" t="s">
        <v>24</v>
      </c>
      <c r="C202">
        <v>20150316</v>
      </c>
      <c r="D202">
        <v>0</v>
      </c>
      <c r="F202">
        <v>62500</v>
      </c>
      <c r="G202" t="s">
        <v>17</v>
      </c>
      <c r="I202" t="s">
        <v>16</v>
      </c>
      <c r="J202" t="s">
        <v>180</v>
      </c>
      <c r="K202" t="s">
        <v>25</v>
      </c>
      <c r="L202">
        <v>132757294</v>
      </c>
      <c r="R202">
        <v>9720</v>
      </c>
      <c r="S202" t="s">
        <v>223</v>
      </c>
      <c r="T202">
        <v>0</v>
      </c>
      <c r="U202">
        <v>36</v>
      </c>
      <c r="V202">
        <v>0</v>
      </c>
      <c r="W202">
        <v>0</v>
      </c>
      <c r="X202">
        <v>0</v>
      </c>
    </row>
    <row r="203" spans="1:24" x14ac:dyDescent="0.25">
      <c r="A203" t="s">
        <v>15</v>
      </c>
      <c r="B203" t="s">
        <v>24</v>
      </c>
      <c r="C203">
        <v>20150316</v>
      </c>
      <c r="D203">
        <v>0</v>
      </c>
      <c r="F203">
        <v>62500</v>
      </c>
      <c r="G203" t="s">
        <v>17</v>
      </c>
      <c r="I203" t="s">
        <v>16</v>
      </c>
      <c r="J203" t="s">
        <v>180</v>
      </c>
      <c r="K203" t="s">
        <v>25</v>
      </c>
      <c r="L203">
        <v>132757294</v>
      </c>
      <c r="R203">
        <v>9720</v>
      </c>
      <c r="S203" t="s">
        <v>224</v>
      </c>
      <c r="T203">
        <v>0</v>
      </c>
      <c r="U203">
        <v>36</v>
      </c>
      <c r="V203">
        <v>0</v>
      </c>
      <c r="W203">
        <v>0</v>
      </c>
      <c r="X203">
        <v>0</v>
      </c>
    </row>
    <row r="204" spans="1:24" x14ac:dyDescent="0.25">
      <c r="A204" t="s">
        <v>15</v>
      </c>
      <c r="B204" t="s">
        <v>24</v>
      </c>
      <c r="C204">
        <v>20150316</v>
      </c>
      <c r="D204">
        <v>0</v>
      </c>
      <c r="F204">
        <v>62500</v>
      </c>
      <c r="G204" t="s">
        <v>17</v>
      </c>
      <c r="I204" t="s">
        <v>16</v>
      </c>
      <c r="J204" t="s">
        <v>180</v>
      </c>
      <c r="K204" t="s">
        <v>25</v>
      </c>
      <c r="L204">
        <v>132757294</v>
      </c>
      <c r="R204">
        <v>9724</v>
      </c>
      <c r="S204" t="s">
        <v>232</v>
      </c>
      <c r="T204">
        <v>0</v>
      </c>
      <c r="U204">
        <v>39</v>
      </c>
      <c r="V204">
        <v>0</v>
      </c>
      <c r="W204">
        <v>0</v>
      </c>
      <c r="X204">
        <v>0</v>
      </c>
    </row>
    <row r="205" spans="1:24" x14ac:dyDescent="0.25">
      <c r="A205" t="s">
        <v>15</v>
      </c>
      <c r="B205" t="s">
        <v>24</v>
      </c>
      <c r="C205">
        <v>20150316</v>
      </c>
      <c r="D205">
        <v>0</v>
      </c>
      <c r="F205">
        <v>62500</v>
      </c>
      <c r="G205" t="s">
        <v>17</v>
      </c>
      <c r="I205" t="s">
        <v>16</v>
      </c>
      <c r="J205" t="s">
        <v>180</v>
      </c>
      <c r="K205" t="s">
        <v>25</v>
      </c>
      <c r="L205">
        <v>132757294</v>
      </c>
      <c r="R205">
        <v>9724</v>
      </c>
      <c r="S205" t="s">
        <v>232</v>
      </c>
      <c r="T205">
        <v>0</v>
      </c>
      <c r="U205">
        <v>39</v>
      </c>
      <c r="V205">
        <v>0</v>
      </c>
      <c r="W205">
        <v>0</v>
      </c>
      <c r="X205">
        <v>0</v>
      </c>
    </row>
    <row r="206" spans="1:24" x14ac:dyDescent="0.25">
      <c r="A206" t="s">
        <v>15</v>
      </c>
      <c r="B206" t="s">
        <v>24</v>
      </c>
      <c r="C206">
        <v>20150316</v>
      </c>
      <c r="D206">
        <v>0</v>
      </c>
      <c r="F206">
        <v>62500</v>
      </c>
      <c r="G206" t="s">
        <v>17</v>
      </c>
      <c r="I206" t="s">
        <v>16</v>
      </c>
      <c r="J206" t="s">
        <v>180</v>
      </c>
      <c r="K206" t="s">
        <v>25</v>
      </c>
      <c r="L206">
        <v>132757294</v>
      </c>
      <c r="R206">
        <v>9724</v>
      </c>
      <c r="S206" t="s">
        <v>192</v>
      </c>
      <c r="T206">
        <v>0</v>
      </c>
      <c r="U206">
        <v>39</v>
      </c>
      <c r="V206">
        <v>0</v>
      </c>
      <c r="W206">
        <v>0</v>
      </c>
      <c r="X206">
        <v>0</v>
      </c>
    </row>
    <row r="207" spans="1:24" x14ac:dyDescent="0.25">
      <c r="A207" t="s">
        <v>15</v>
      </c>
      <c r="B207" t="s">
        <v>24</v>
      </c>
      <c r="C207">
        <v>20150316</v>
      </c>
      <c r="D207">
        <v>0</v>
      </c>
      <c r="F207">
        <v>62500</v>
      </c>
      <c r="G207" t="s">
        <v>17</v>
      </c>
      <c r="I207" t="s">
        <v>16</v>
      </c>
      <c r="J207" t="s">
        <v>180</v>
      </c>
      <c r="K207" t="s">
        <v>25</v>
      </c>
      <c r="L207">
        <v>132757294</v>
      </c>
      <c r="R207">
        <v>9725</v>
      </c>
      <c r="S207" t="s">
        <v>232</v>
      </c>
      <c r="T207">
        <v>0</v>
      </c>
      <c r="U207">
        <v>-38</v>
      </c>
      <c r="V207">
        <v>0</v>
      </c>
      <c r="W207">
        <v>0</v>
      </c>
      <c r="X207">
        <v>0</v>
      </c>
    </row>
    <row r="208" spans="1:24" x14ac:dyDescent="0.25">
      <c r="A208" t="s">
        <v>15</v>
      </c>
      <c r="B208" t="s">
        <v>24</v>
      </c>
      <c r="C208">
        <v>20150316</v>
      </c>
      <c r="D208">
        <v>0</v>
      </c>
      <c r="F208">
        <v>62500</v>
      </c>
      <c r="G208" t="s">
        <v>17</v>
      </c>
      <c r="I208" t="s">
        <v>16</v>
      </c>
      <c r="J208" t="s">
        <v>180</v>
      </c>
      <c r="K208" t="s">
        <v>25</v>
      </c>
      <c r="L208">
        <v>132757294</v>
      </c>
      <c r="R208">
        <v>9725</v>
      </c>
      <c r="S208" t="s">
        <v>232</v>
      </c>
      <c r="T208">
        <v>0</v>
      </c>
      <c r="U208">
        <v>-38</v>
      </c>
      <c r="V208">
        <v>0</v>
      </c>
      <c r="W208">
        <v>0</v>
      </c>
      <c r="X208">
        <v>0</v>
      </c>
    </row>
    <row r="209" spans="1:40" x14ac:dyDescent="0.25">
      <c r="A209" t="s">
        <v>15</v>
      </c>
      <c r="B209" t="s">
        <v>24</v>
      </c>
      <c r="C209">
        <v>20150316</v>
      </c>
      <c r="D209">
        <v>0</v>
      </c>
      <c r="F209">
        <v>62500</v>
      </c>
      <c r="G209" t="s">
        <v>17</v>
      </c>
      <c r="I209" t="s">
        <v>16</v>
      </c>
      <c r="J209" t="s">
        <v>180</v>
      </c>
      <c r="K209" t="s">
        <v>25</v>
      </c>
      <c r="L209">
        <v>132757294</v>
      </c>
      <c r="R209">
        <v>9725</v>
      </c>
      <c r="S209" t="s">
        <v>192</v>
      </c>
      <c r="T209">
        <v>0</v>
      </c>
      <c r="U209">
        <v>38</v>
      </c>
      <c r="V209">
        <v>0</v>
      </c>
      <c r="W209">
        <v>0</v>
      </c>
      <c r="X209">
        <v>0</v>
      </c>
    </row>
    <row r="210" spans="1:40" x14ac:dyDescent="0.25">
      <c r="A210" t="s">
        <v>15</v>
      </c>
      <c r="B210" t="s">
        <v>24</v>
      </c>
      <c r="C210">
        <v>20150316</v>
      </c>
      <c r="D210">
        <v>0</v>
      </c>
      <c r="F210">
        <v>62500</v>
      </c>
      <c r="G210" t="s">
        <v>17</v>
      </c>
      <c r="I210" t="s">
        <v>16</v>
      </c>
      <c r="J210" t="s">
        <v>180</v>
      </c>
      <c r="K210" t="s">
        <v>25</v>
      </c>
      <c r="L210">
        <v>132757294</v>
      </c>
      <c r="R210">
        <v>9723</v>
      </c>
      <c r="S210" t="s">
        <v>223</v>
      </c>
      <c r="T210">
        <v>0</v>
      </c>
      <c r="U210">
        <v>5</v>
      </c>
      <c r="V210">
        <v>0</v>
      </c>
      <c r="W210">
        <v>0</v>
      </c>
      <c r="X210">
        <v>0</v>
      </c>
    </row>
    <row r="211" spans="1:40" x14ac:dyDescent="0.25">
      <c r="A211" t="s">
        <v>15</v>
      </c>
      <c r="B211" t="s">
        <v>24</v>
      </c>
      <c r="C211">
        <v>20150316</v>
      </c>
      <c r="D211">
        <v>0</v>
      </c>
      <c r="F211">
        <v>62500</v>
      </c>
      <c r="G211" t="s">
        <v>17</v>
      </c>
      <c r="I211" t="s">
        <v>16</v>
      </c>
      <c r="J211" t="s">
        <v>180</v>
      </c>
      <c r="K211" t="s">
        <v>25</v>
      </c>
      <c r="L211">
        <v>132757294</v>
      </c>
      <c r="R211">
        <v>9723</v>
      </c>
      <c r="S211" t="s">
        <v>224</v>
      </c>
      <c r="T211">
        <v>0</v>
      </c>
      <c r="U211">
        <v>5</v>
      </c>
      <c r="V211">
        <v>0</v>
      </c>
      <c r="W211">
        <v>0</v>
      </c>
      <c r="X211">
        <v>0</v>
      </c>
    </row>
    <row r="212" spans="1:40" x14ac:dyDescent="0.25">
      <c r="A212" t="s">
        <v>15</v>
      </c>
      <c r="B212" t="s">
        <v>24</v>
      </c>
      <c r="C212">
        <v>20150316</v>
      </c>
      <c r="D212">
        <v>0</v>
      </c>
      <c r="F212">
        <v>62500</v>
      </c>
      <c r="G212" t="s">
        <v>17</v>
      </c>
      <c r="I212" t="s">
        <v>16</v>
      </c>
      <c r="J212" t="s">
        <v>180</v>
      </c>
      <c r="K212" t="s">
        <v>25</v>
      </c>
      <c r="L212">
        <v>132757294</v>
      </c>
      <c r="R212">
        <v>9726</v>
      </c>
      <c r="S212" t="s">
        <v>232</v>
      </c>
      <c r="T212">
        <v>0</v>
      </c>
      <c r="U212">
        <v>5</v>
      </c>
      <c r="V212">
        <v>0</v>
      </c>
      <c r="W212">
        <v>0</v>
      </c>
      <c r="X212">
        <v>0</v>
      </c>
    </row>
    <row r="213" spans="1:40" x14ac:dyDescent="0.25">
      <c r="A213" t="s">
        <v>15</v>
      </c>
      <c r="B213" t="s">
        <v>24</v>
      </c>
      <c r="C213">
        <v>20150316</v>
      </c>
      <c r="D213">
        <v>0</v>
      </c>
      <c r="F213">
        <v>62500</v>
      </c>
      <c r="G213" t="s">
        <v>17</v>
      </c>
      <c r="I213" t="s">
        <v>16</v>
      </c>
      <c r="J213" t="s">
        <v>180</v>
      </c>
      <c r="K213" t="s">
        <v>25</v>
      </c>
      <c r="L213">
        <v>132757294</v>
      </c>
      <c r="R213">
        <v>9726</v>
      </c>
      <c r="S213" t="s">
        <v>232</v>
      </c>
      <c r="T213">
        <v>0</v>
      </c>
      <c r="U213">
        <v>5</v>
      </c>
      <c r="V213">
        <v>0</v>
      </c>
      <c r="W213">
        <v>0</v>
      </c>
      <c r="X213">
        <v>0</v>
      </c>
    </row>
    <row r="214" spans="1:40" x14ac:dyDescent="0.25">
      <c r="A214" t="s">
        <v>15</v>
      </c>
      <c r="B214" t="s">
        <v>24</v>
      </c>
      <c r="C214">
        <v>20150316</v>
      </c>
      <c r="D214">
        <v>0</v>
      </c>
      <c r="F214">
        <v>62500</v>
      </c>
      <c r="G214" t="s">
        <v>17</v>
      </c>
      <c r="I214" t="s">
        <v>16</v>
      </c>
      <c r="J214" t="s">
        <v>180</v>
      </c>
      <c r="K214" t="s">
        <v>25</v>
      </c>
      <c r="L214">
        <v>132757294</v>
      </c>
      <c r="R214">
        <v>9726</v>
      </c>
      <c r="S214" t="s">
        <v>233</v>
      </c>
      <c r="T214">
        <v>0</v>
      </c>
      <c r="U214">
        <v>5</v>
      </c>
      <c r="V214">
        <v>0</v>
      </c>
      <c r="W214">
        <v>0</v>
      </c>
      <c r="X214">
        <v>0</v>
      </c>
    </row>
    <row r="215" spans="1:40" x14ac:dyDescent="0.25">
      <c r="A215" t="s">
        <v>15</v>
      </c>
      <c r="B215" t="s">
        <v>24</v>
      </c>
      <c r="C215">
        <v>20150316</v>
      </c>
      <c r="D215">
        <v>0</v>
      </c>
      <c r="F215">
        <v>62500</v>
      </c>
      <c r="G215" t="s">
        <v>17</v>
      </c>
      <c r="I215" t="s">
        <v>16</v>
      </c>
      <c r="J215" t="s">
        <v>180</v>
      </c>
      <c r="K215" t="s">
        <v>25</v>
      </c>
      <c r="L215">
        <v>132757294</v>
      </c>
      <c r="R215">
        <v>9726</v>
      </c>
      <c r="S215" t="s">
        <v>233</v>
      </c>
      <c r="T215">
        <v>0</v>
      </c>
      <c r="U215">
        <v>-1</v>
      </c>
      <c r="V215">
        <v>0</v>
      </c>
      <c r="W215">
        <v>0</v>
      </c>
      <c r="X215">
        <v>0</v>
      </c>
      <c r="Y215">
        <v>9726</v>
      </c>
      <c r="Z215" t="s">
        <v>3132</v>
      </c>
      <c r="AA215" t="s">
        <v>3133</v>
      </c>
      <c r="AB215" t="s">
        <v>234</v>
      </c>
      <c r="AC215" t="s">
        <v>17</v>
      </c>
      <c r="AD215" t="s">
        <v>235</v>
      </c>
      <c r="AE215">
        <v>3</v>
      </c>
      <c r="AF215">
        <v>3</v>
      </c>
      <c r="AG215">
        <v>1.5287999999999999</v>
      </c>
      <c r="AH215">
        <v>1.5287999999999999</v>
      </c>
      <c r="AI215">
        <v>1226100182</v>
      </c>
      <c r="AJ215">
        <v>0</v>
      </c>
      <c r="AK215">
        <v>7</v>
      </c>
      <c r="AN215">
        <v>0</v>
      </c>
    </row>
    <row r="216" spans="1:40" x14ac:dyDescent="0.25">
      <c r="A216" t="s">
        <v>15</v>
      </c>
      <c r="B216" t="s">
        <v>24</v>
      </c>
      <c r="C216">
        <v>20150316</v>
      </c>
      <c r="D216">
        <v>0</v>
      </c>
      <c r="F216">
        <v>62500</v>
      </c>
      <c r="G216" t="s">
        <v>17</v>
      </c>
      <c r="I216" t="s">
        <v>16</v>
      </c>
      <c r="J216" t="s">
        <v>180</v>
      </c>
      <c r="K216" t="s">
        <v>25</v>
      </c>
      <c r="L216">
        <v>132757294</v>
      </c>
      <c r="R216">
        <v>9726</v>
      </c>
      <c r="S216" t="s">
        <v>233</v>
      </c>
      <c r="T216">
        <v>0</v>
      </c>
      <c r="U216">
        <v>-1</v>
      </c>
      <c r="V216">
        <v>0</v>
      </c>
      <c r="W216">
        <v>0</v>
      </c>
      <c r="X216">
        <v>0</v>
      </c>
    </row>
    <row r="217" spans="1:40" x14ac:dyDescent="0.25">
      <c r="A217" t="s">
        <v>15</v>
      </c>
      <c r="B217" t="s">
        <v>24</v>
      </c>
      <c r="C217">
        <v>20150316</v>
      </c>
      <c r="D217">
        <v>0</v>
      </c>
      <c r="F217">
        <v>62500</v>
      </c>
      <c r="G217" t="s">
        <v>17</v>
      </c>
      <c r="I217" t="s">
        <v>16</v>
      </c>
      <c r="J217" t="s">
        <v>180</v>
      </c>
      <c r="K217" t="s">
        <v>25</v>
      </c>
      <c r="L217">
        <v>132757294</v>
      </c>
      <c r="R217">
        <v>9726</v>
      </c>
      <c r="S217" t="s">
        <v>233</v>
      </c>
      <c r="T217">
        <v>3</v>
      </c>
      <c r="U217">
        <v>2</v>
      </c>
      <c r="V217">
        <v>1.5287999999999999</v>
      </c>
      <c r="W217">
        <v>1.5287999999999999</v>
      </c>
      <c r="X217">
        <v>0</v>
      </c>
    </row>
    <row r="218" spans="1:40" x14ac:dyDescent="0.25">
      <c r="A218" t="s">
        <v>15</v>
      </c>
      <c r="B218" t="s">
        <v>24</v>
      </c>
      <c r="C218">
        <v>20150316</v>
      </c>
      <c r="D218">
        <v>0</v>
      </c>
      <c r="F218">
        <v>62500</v>
      </c>
      <c r="G218" t="s">
        <v>17</v>
      </c>
      <c r="I218" t="s">
        <v>16</v>
      </c>
      <c r="J218" t="s">
        <v>180</v>
      </c>
      <c r="K218" t="s">
        <v>25</v>
      </c>
      <c r="L218">
        <v>132757294</v>
      </c>
      <c r="R218">
        <v>9726</v>
      </c>
      <c r="S218" t="s">
        <v>233</v>
      </c>
      <c r="T218">
        <v>3</v>
      </c>
      <c r="U218">
        <v>2</v>
      </c>
      <c r="V218">
        <v>1.5287999999999999</v>
      </c>
      <c r="W218">
        <v>1.5287999999999999</v>
      </c>
      <c r="X218">
        <v>0</v>
      </c>
    </row>
    <row r="219" spans="1:40" x14ac:dyDescent="0.25">
      <c r="A219" t="s">
        <v>15</v>
      </c>
      <c r="B219" t="s">
        <v>24</v>
      </c>
      <c r="C219">
        <v>20150316</v>
      </c>
      <c r="D219">
        <v>0</v>
      </c>
      <c r="F219">
        <v>62500</v>
      </c>
      <c r="G219" t="s">
        <v>17</v>
      </c>
      <c r="I219" t="s">
        <v>16</v>
      </c>
      <c r="J219" t="s">
        <v>180</v>
      </c>
      <c r="K219" t="s">
        <v>25</v>
      </c>
      <c r="L219">
        <v>132757294</v>
      </c>
      <c r="R219">
        <v>9726</v>
      </c>
      <c r="S219" t="s">
        <v>233</v>
      </c>
      <c r="T219">
        <v>3</v>
      </c>
      <c r="U219">
        <v>2</v>
      </c>
      <c r="V219">
        <v>1.5287999999999999</v>
      </c>
      <c r="W219">
        <v>1.5287999999999999</v>
      </c>
      <c r="X219">
        <v>0</v>
      </c>
    </row>
    <row r="220" spans="1:40" x14ac:dyDescent="0.25">
      <c r="A220" t="s">
        <v>15</v>
      </c>
      <c r="B220" t="s">
        <v>24</v>
      </c>
      <c r="C220">
        <v>20150316</v>
      </c>
      <c r="D220">
        <v>0</v>
      </c>
      <c r="F220">
        <v>62500</v>
      </c>
      <c r="G220" t="s">
        <v>17</v>
      </c>
      <c r="I220" t="s">
        <v>16</v>
      </c>
      <c r="J220" t="s">
        <v>180</v>
      </c>
      <c r="K220" t="s">
        <v>25</v>
      </c>
      <c r="L220">
        <v>132757294</v>
      </c>
      <c r="R220">
        <v>9726</v>
      </c>
      <c r="S220" t="s">
        <v>233</v>
      </c>
      <c r="T220">
        <v>3</v>
      </c>
      <c r="U220">
        <v>-2</v>
      </c>
      <c r="V220">
        <v>1.5287999999999999</v>
      </c>
      <c r="W220">
        <v>1.5287999999999999</v>
      </c>
      <c r="X220">
        <v>0</v>
      </c>
      <c r="Y220">
        <v>9726</v>
      </c>
      <c r="Z220" t="s">
        <v>3157</v>
      </c>
      <c r="AA220" t="s">
        <v>3158</v>
      </c>
      <c r="AB220" t="s">
        <v>234</v>
      </c>
      <c r="AC220" t="s">
        <v>17</v>
      </c>
      <c r="AD220" t="s">
        <v>235</v>
      </c>
      <c r="AE220">
        <v>2</v>
      </c>
      <c r="AF220">
        <v>5</v>
      </c>
      <c r="AG220">
        <v>1.5287999999999999</v>
      </c>
      <c r="AH220">
        <v>1.5287999999999999</v>
      </c>
      <c r="AI220">
        <v>1226100182</v>
      </c>
      <c r="AJ220">
        <v>0</v>
      </c>
      <c r="AK220">
        <v>7</v>
      </c>
      <c r="AN220">
        <v>0</v>
      </c>
    </row>
    <row r="221" spans="1:40" x14ac:dyDescent="0.25">
      <c r="A221" t="s">
        <v>15</v>
      </c>
      <c r="B221" t="s">
        <v>24</v>
      </c>
      <c r="C221">
        <v>20150316</v>
      </c>
      <c r="D221">
        <v>0</v>
      </c>
      <c r="F221">
        <v>62500</v>
      </c>
      <c r="G221" t="s">
        <v>17</v>
      </c>
      <c r="I221" t="s">
        <v>16</v>
      </c>
      <c r="J221" t="s">
        <v>180</v>
      </c>
      <c r="K221" t="s">
        <v>25</v>
      </c>
      <c r="L221">
        <v>132757294</v>
      </c>
      <c r="R221">
        <v>9726</v>
      </c>
      <c r="S221" t="s">
        <v>233</v>
      </c>
      <c r="T221">
        <v>3</v>
      </c>
      <c r="U221">
        <v>-2</v>
      </c>
      <c r="V221">
        <v>1.5287999999999999</v>
      </c>
      <c r="W221">
        <v>1.5287999999999999</v>
      </c>
      <c r="X221">
        <v>0</v>
      </c>
    </row>
    <row r="222" spans="1:40" x14ac:dyDescent="0.25">
      <c r="A222" t="s">
        <v>15</v>
      </c>
      <c r="B222" t="s">
        <v>24</v>
      </c>
      <c r="C222">
        <v>20150316</v>
      </c>
      <c r="D222">
        <v>0</v>
      </c>
      <c r="F222">
        <v>62500</v>
      </c>
      <c r="G222" t="s">
        <v>17</v>
      </c>
      <c r="I222" t="s">
        <v>16</v>
      </c>
      <c r="J222" t="s">
        <v>180</v>
      </c>
      <c r="K222" t="s">
        <v>25</v>
      </c>
      <c r="L222">
        <v>132757294</v>
      </c>
      <c r="R222">
        <v>9726</v>
      </c>
      <c r="S222" t="s">
        <v>37</v>
      </c>
      <c r="T222">
        <v>5</v>
      </c>
      <c r="U222">
        <v>0</v>
      </c>
      <c r="V222">
        <v>1.5287999999999999</v>
      </c>
      <c r="W222">
        <v>1.5287999999999999</v>
      </c>
      <c r="X222">
        <v>0</v>
      </c>
    </row>
    <row r="223" spans="1:40" x14ac:dyDescent="0.25">
      <c r="A223" t="s">
        <v>15</v>
      </c>
      <c r="B223" t="s">
        <v>24</v>
      </c>
      <c r="C223">
        <v>20150316</v>
      </c>
      <c r="D223">
        <v>0</v>
      </c>
      <c r="F223">
        <v>62500</v>
      </c>
      <c r="G223" t="s">
        <v>17</v>
      </c>
      <c r="I223" t="s">
        <v>16</v>
      </c>
      <c r="J223" t="s">
        <v>180</v>
      </c>
      <c r="K223" t="s">
        <v>25</v>
      </c>
      <c r="L223">
        <v>132757294</v>
      </c>
      <c r="R223">
        <v>9726</v>
      </c>
      <c r="S223" t="s">
        <v>37</v>
      </c>
      <c r="T223">
        <v>5</v>
      </c>
      <c r="U223">
        <v>0</v>
      </c>
      <c r="V223">
        <v>1.5287999999999999</v>
      </c>
      <c r="W223">
        <v>1.5287999999999999</v>
      </c>
      <c r="X223">
        <v>0</v>
      </c>
    </row>
    <row r="224" spans="1:40" x14ac:dyDescent="0.25">
      <c r="A224" t="s">
        <v>15</v>
      </c>
      <c r="B224" t="s">
        <v>24</v>
      </c>
      <c r="C224">
        <v>20150316</v>
      </c>
      <c r="D224">
        <v>0</v>
      </c>
      <c r="F224">
        <v>62500</v>
      </c>
      <c r="G224" t="s">
        <v>17</v>
      </c>
      <c r="I224" t="s">
        <v>16</v>
      </c>
      <c r="J224" t="s">
        <v>180</v>
      </c>
      <c r="K224" t="s">
        <v>25</v>
      </c>
      <c r="L224">
        <v>132757294</v>
      </c>
      <c r="R224">
        <v>9727</v>
      </c>
      <c r="S224" t="s">
        <v>232</v>
      </c>
      <c r="T224">
        <v>0</v>
      </c>
      <c r="U224">
        <v>5</v>
      </c>
      <c r="V224">
        <v>0</v>
      </c>
      <c r="W224">
        <v>0</v>
      </c>
      <c r="X224">
        <v>0</v>
      </c>
    </row>
    <row r="225" spans="1:40" x14ac:dyDescent="0.25">
      <c r="A225" t="s">
        <v>15</v>
      </c>
      <c r="B225" t="s">
        <v>24</v>
      </c>
      <c r="C225">
        <v>20150316</v>
      </c>
      <c r="D225">
        <v>0</v>
      </c>
      <c r="F225">
        <v>62500</v>
      </c>
      <c r="G225" t="s">
        <v>17</v>
      </c>
      <c r="I225" t="s">
        <v>16</v>
      </c>
      <c r="J225" t="s">
        <v>180</v>
      </c>
      <c r="K225" t="s">
        <v>25</v>
      </c>
      <c r="L225">
        <v>132757294</v>
      </c>
      <c r="R225">
        <v>9726</v>
      </c>
      <c r="S225" t="s">
        <v>37</v>
      </c>
      <c r="T225">
        <v>5</v>
      </c>
      <c r="U225">
        <v>0</v>
      </c>
      <c r="V225">
        <v>1.5287999999999999</v>
      </c>
      <c r="W225">
        <v>1.5287999999999999</v>
      </c>
      <c r="X225">
        <v>0</v>
      </c>
    </row>
    <row r="226" spans="1:40" x14ac:dyDescent="0.25">
      <c r="A226" t="s">
        <v>15</v>
      </c>
      <c r="B226" t="s">
        <v>24</v>
      </c>
      <c r="C226">
        <v>20150316</v>
      </c>
      <c r="D226">
        <v>0</v>
      </c>
      <c r="F226">
        <v>62500</v>
      </c>
      <c r="G226" t="s">
        <v>17</v>
      </c>
      <c r="I226" t="s">
        <v>16</v>
      </c>
      <c r="J226" t="s">
        <v>180</v>
      </c>
      <c r="K226" t="s">
        <v>25</v>
      </c>
      <c r="L226">
        <v>132757294</v>
      </c>
      <c r="R226">
        <v>9726</v>
      </c>
      <c r="S226" t="s">
        <v>37</v>
      </c>
      <c r="T226">
        <v>5</v>
      </c>
      <c r="U226">
        <v>0</v>
      </c>
      <c r="V226">
        <v>1.5287999999999999</v>
      </c>
      <c r="W226">
        <v>1.5287999999999999</v>
      </c>
      <c r="X226">
        <v>0</v>
      </c>
    </row>
    <row r="227" spans="1:40" x14ac:dyDescent="0.25">
      <c r="A227" t="s">
        <v>15</v>
      </c>
      <c r="B227" t="s">
        <v>24</v>
      </c>
      <c r="C227">
        <v>20150316</v>
      </c>
      <c r="D227">
        <v>0</v>
      </c>
      <c r="F227">
        <v>62500</v>
      </c>
      <c r="G227" t="s">
        <v>17</v>
      </c>
      <c r="I227" t="s">
        <v>16</v>
      </c>
      <c r="J227" t="s">
        <v>180</v>
      </c>
      <c r="K227" t="s">
        <v>25</v>
      </c>
      <c r="L227">
        <v>132757294</v>
      </c>
      <c r="R227">
        <v>9726</v>
      </c>
      <c r="S227" t="s">
        <v>37</v>
      </c>
      <c r="T227">
        <v>5</v>
      </c>
      <c r="U227">
        <v>0</v>
      </c>
      <c r="V227">
        <v>1.5287999999999999</v>
      </c>
      <c r="W227">
        <v>1.5287999999999999</v>
      </c>
      <c r="X227">
        <v>0</v>
      </c>
    </row>
    <row r="228" spans="1:40" x14ac:dyDescent="0.25">
      <c r="A228" t="s">
        <v>15</v>
      </c>
      <c r="B228" t="s">
        <v>24</v>
      </c>
      <c r="C228">
        <v>20150316</v>
      </c>
      <c r="D228">
        <v>0</v>
      </c>
      <c r="F228">
        <v>62500</v>
      </c>
      <c r="G228" t="s">
        <v>17</v>
      </c>
      <c r="I228" t="s">
        <v>16</v>
      </c>
      <c r="J228" t="s">
        <v>180</v>
      </c>
      <c r="K228" t="s">
        <v>25</v>
      </c>
      <c r="L228">
        <v>132757294</v>
      </c>
      <c r="R228">
        <v>9727</v>
      </c>
      <c r="S228" t="s">
        <v>232</v>
      </c>
      <c r="T228">
        <v>0</v>
      </c>
      <c r="U228">
        <v>5</v>
      </c>
      <c r="V228">
        <v>0</v>
      </c>
      <c r="W228">
        <v>0</v>
      </c>
      <c r="X228">
        <v>0</v>
      </c>
    </row>
    <row r="229" spans="1:40" x14ac:dyDescent="0.25">
      <c r="A229" t="s">
        <v>15</v>
      </c>
      <c r="B229" t="s">
        <v>24</v>
      </c>
      <c r="C229">
        <v>20150316</v>
      </c>
      <c r="D229">
        <v>0</v>
      </c>
      <c r="F229">
        <v>62500</v>
      </c>
      <c r="G229" t="s">
        <v>17</v>
      </c>
      <c r="I229" t="s">
        <v>16</v>
      </c>
      <c r="J229" t="s">
        <v>180</v>
      </c>
      <c r="K229" t="s">
        <v>25</v>
      </c>
      <c r="L229">
        <v>132757294</v>
      </c>
      <c r="R229">
        <v>9727</v>
      </c>
      <c r="S229" t="s">
        <v>233</v>
      </c>
      <c r="T229">
        <v>0</v>
      </c>
      <c r="U229">
        <v>5</v>
      </c>
      <c r="V229">
        <v>0</v>
      </c>
      <c r="W229">
        <v>0</v>
      </c>
      <c r="X229">
        <v>0</v>
      </c>
    </row>
    <row r="230" spans="1:40" x14ac:dyDescent="0.25">
      <c r="A230" t="s">
        <v>15</v>
      </c>
      <c r="B230" t="s">
        <v>24</v>
      </c>
      <c r="C230">
        <v>20150316</v>
      </c>
      <c r="D230">
        <v>0</v>
      </c>
      <c r="F230">
        <v>62500</v>
      </c>
      <c r="G230" t="s">
        <v>17</v>
      </c>
      <c r="I230" t="s">
        <v>16</v>
      </c>
      <c r="J230" t="s">
        <v>180</v>
      </c>
      <c r="K230" t="s">
        <v>25</v>
      </c>
      <c r="L230">
        <v>132757294</v>
      </c>
      <c r="R230">
        <v>9728</v>
      </c>
      <c r="S230" t="s">
        <v>232</v>
      </c>
      <c r="T230">
        <v>0</v>
      </c>
      <c r="U230">
        <v>42</v>
      </c>
      <c r="V230">
        <v>0</v>
      </c>
      <c r="W230">
        <v>0</v>
      </c>
      <c r="X230">
        <v>0</v>
      </c>
    </row>
    <row r="231" spans="1:40" x14ac:dyDescent="0.25">
      <c r="A231" t="s">
        <v>15</v>
      </c>
      <c r="B231" t="s">
        <v>24</v>
      </c>
      <c r="C231">
        <v>20150316</v>
      </c>
      <c r="D231">
        <v>0</v>
      </c>
      <c r="F231">
        <v>62500</v>
      </c>
      <c r="G231" t="s">
        <v>17</v>
      </c>
      <c r="I231" t="s">
        <v>16</v>
      </c>
      <c r="J231" t="s">
        <v>180</v>
      </c>
      <c r="K231" t="s">
        <v>25</v>
      </c>
      <c r="L231">
        <v>132757294</v>
      </c>
      <c r="R231">
        <v>9724</v>
      </c>
      <c r="S231" t="s">
        <v>223</v>
      </c>
      <c r="T231">
        <v>0</v>
      </c>
      <c r="U231">
        <v>39</v>
      </c>
      <c r="V231">
        <v>0</v>
      </c>
      <c r="W231">
        <v>0</v>
      </c>
      <c r="X231">
        <v>0</v>
      </c>
    </row>
    <row r="232" spans="1:40" x14ac:dyDescent="0.25">
      <c r="A232" t="s">
        <v>15</v>
      </c>
      <c r="B232" t="s">
        <v>24</v>
      </c>
      <c r="C232">
        <v>20150316</v>
      </c>
      <c r="D232">
        <v>0</v>
      </c>
      <c r="F232">
        <v>62500</v>
      </c>
      <c r="G232" t="s">
        <v>17</v>
      </c>
      <c r="I232" t="s">
        <v>16</v>
      </c>
      <c r="J232" t="s">
        <v>180</v>
      </c>
      <c r="K232" t="s">
        <v>25</v>
      </c>
      <c r="L232">
        <v>132757294</v>
      </c>
      <c r="R232">
        <v>9724</v>
      </c>
      <c r="S232" t="s">
        <v>224</v>
      </c>
      <c r="T232">
        <v>0</v>
      </c>
      <c r="U232">
        <v>39</v>
      </c>
      <c r="V232">
        <v>0</v>
      </c>
      <c r="W232">
        <v>0</v>
      </c>
      <c r="X232">
        <v>0</v>
      </c>
    </row>
    <row r="233" spans="1:40" x14ac:dyDescent="0.25">
      <c r="A233" t="s">
        <v>15</v>
      </c>
      <c r="B233" t="s">
        <v>24</v>
      </c>
      <c r="C233">
        <v>20150316</v>
      </c>
      <c r="D233">
        <v>0</v>
      </c>
      <c r="F233">
        <v>62500</v>
      </c>
      <c r="G233" t="s">
        <v>17</v>
      </c>
      <c r="I233" t="s">
        <v>16</v>
      </c>
      <c r="J233" t="s">
        <v>180</v>
      </c>
      <c r="K233" t="s">
        <v>25</v>
      </c>
      <c r="L233">
        <v>132757294</v>
      </c>
      <c r="R233">
        <v>9725</v>
      </c>
      <c r="S233" t="s">
        <v>223</v>
      </c>
      <c r="T233">
        <v>0</v>
      </c>
      <c r="U233">
        <v>38</v>
      </c>
      <c r="V233">
        <v>0</v>
      </c>
      <c r="W233">
        <v>0</v>
      </c>
      <c r="X233">
        <v>0</v>
      </c>
    </row>
    <row r="234" spans="1:40" x14ac:dyDescent="0.25">
      <c r="A234" t="s">
        <v>15</v>
      </c>
      <c r="B234" t="s">
        <v>24</v>
      </c>
      <c r="C234">
        <v>20150316</v>
      </c>
      <c r="D234">
        <v>0</v>
      </c>
      <c r="F234">
        <v>62500</v>
      </c>
      <c r="G234" t="s">
        <v>17</v>
      </c>
      <c r="I234" t="s">
        <v>16</v>
      </c>
      <c r="J234" t="s">
        <v>180</v>
      </c>
      <c r="K234" t="s">
        <v>25</v>
      </c>
      <c r="L234">
        <v>132757294</v>
      </c>
      <c r="R234">
        <v>9725</v>
      </c>
      <c r="S234" t="s">
        <v>224</v>
      </c>
      <c r="T234">
        <v>0</v>
      </c>
      <c r="U234">
        <v>38</v>
      </c>
      <c r="V234">
        <v>0</v>
      </c>
      <c r="W234">
        <v>0</v>
      </c>
      <c r="X234">
        <v>0</v>
      </c>
    </row>
    <row r="235" spans="1:40" x14ac:dyDescent="0.25">
      <c r="A235" t="s">
        <v>15</v>
      </c>
      <c r="B235" t="s">
        <v>24</v>
      </c>
      <c r="C235">
        <v>20150316</v>
      </c>
      <c r="D235">
        <v>0</v>
      </c>
      <c r="F235">
        <v>62500</v>
      </c>
      <c r="G235" t="s">
        <v>17</v>
      </c>
      <c r="I235" t="s">
        <v>16</v>
      </c>
      <c r="J235" t="s">
        <v>180</v>
      </c>
      <c r="K235" t="s">
        <v>25</v>
      </c>
      <c r="L235">
        <v>132757294</v>
      </c>
      <c r="R235">
        <v>9728</v>
      </c>
      <c r="S235" t="s">
        <v>232</v>
      </c>
      <c r="T235">
        <v>0</v>
      </c>
      <c r="U235">
        <v>42</v>
      </c>
      <c r="V235">
        <v>0</v>
      </c>
      <c r="W235">
        <v>0</v>
      </c>
      <c r="X235">
        <v>0</v>
      </c>
    </row>
    <row r="236" spans="1:40" x14ac:dyDescent="0.25">
      <c r="A236" t="s">
        <v>15</v>
      </c>
      <c r="B236" t="s">
        <v>24</v>
      </c>
      <c r="C236">
        <v>20150316</v>
      </c>
      <c r="D236">
        <v>0</v>
      </c>
      <c r="F236">
        <v>62500</v>
      </c>
      <c r="G236" t="s">
        <v>17</v>
      </c>
      <c r="I236" t="s">
        <v>16</v>
      </c>
      <c r="J236" t="s">
        <v>180</v>
      </c>
      <c r="K236" t="s">
        <v>25</v>
      </c>
      <c r="L236">
        <v>132757294</v>
      </c>
      <c r="R236">
        <v>9728</v>
      </c>
      <c r="S236" t="s">
        <v>192</v>
      </c>
      <c r="T236">
        <v>0</v>
      </c>
      <c r="U236">
        <v>42</v>
      </c>
      <c r="V236">
        <v>0</v>
      </c>
      <c r="W236">
        <v>0</v>
      </c>
      <c r="X236">
        <v>0</v>
      </c>
    </row>
    <row r="237" spans="1:40" x14ac:dyDescent="0.25">
      <c r="A237" t="s">
        <v>15</v>
      </c>
      <c r="B237" t="s">
        <v>24</v>
      </c>
      <c r="C237">
        <v>20150316</v>
      </c>
      <c r="D237">
        <v>0</v>
      </c>
      <c r="F237">
        <v>62500</v>
      </c>
      <c r="G237" t="s">
        <v>17</v>
      </c>
      <c r="I237" t="s">
        <v>16</v>
      </c>
      <c r="J237" t="s">
        <v>180</v>
      </c>
      <c r="K237" t="s">
        <v>25</v>
      </c>
      <c r="L237">
        <v>132757294</v>
      </c>
      <c r="R237">
        <v>9727</v>
      </c>
      <c r="S237" t="s">
        <v>223</v>
      </c>
      <c r="T237">
        <v>0</v>
      </c>
      <c r="U237">
        <v>5</v>
      </c>
      <c r="V237">
        <v>0</v>
      </c>
      <c r="W237">
        <v>0</v>
      </c>
      <c r="X237">
        <v>0</v>
      </c>
    </row>
    <row r="238" spans="1:40" x14ac:dyDescent="0.25">
      <c r="A238" t="s">
        <v>15</v>
      </c>
      <c r="B238" t="s">
        <v>24</v>
      </c>
      <c r="C238">
        <v>20150316</v>
      </c>
      <c r="D238">
        <v>0</v>
      </c>
      <c r="F238">
        <v>62500</v>
      </c>
      <c r="G238" t="s">
        <v>17</v>
      </c>
      <c r="I238" t="s">
        <v>16</v>
      </c>
      <c r="J238" t="s">
        <v>180</v>
      </c>
      <c r="K238" t="s">
        <v>25</v>
      </c>
      <c r="L238">
        <v>132757294</v>
      </c>
      <c r="R238">
        <v>9727</v>
      </c>
      <c r="S238" t="s">
        <v>224</v>
      </c>
      <c r="T238">
        <v>0</v>
      </c>
      <c r="U238">
        <v>5</v>
      </c>
      <c r="V238">
        <v>0</v>
      </c>
      <c r="W238">
        <v>0</v>
      </c>
      <c r="X238">
        <v>0</v>
      </c>
    </row>
    <row r="239" spans="1:40" x14ac:dyDescent="0.25">
      <c r="A239" t="s">
        <v>15</v>
      </c>
      <c r="B239" t="s">
        <v>24</v>
      </c>
      <c r="C239">
        <v>20150316</v>
      </c>
      <c r="D239">
        <v>0</v>
      </c>
      <c r="F239">
        <v>62500</v>
      </c>
      <c r="G239" t="s">
        <v>17</v>
      </c>
      <c r="I239" t="s">
        <v>16</v>
      </c>
      <c r="J239" t="s">
        <v>180</v>
      </c>
      <c r="K239" t="s">
        <v>25</v>
      </c>
      <c r="L239">
        <v>132757294</v>
      </c>
      <c r="R239">
        <v>9729</v>
      </c>
      <c r="S239" t="s">
        <v>232</v>
      </c>
      <c r="T239">
        <v>0</v>
      </c>
      <c r="U239">
        <v>5</v>
      </c>
      <c r="V239">
        <v>0</v>
      </c>
      <c r="W239">
        <v>0</v>
      </c>
      <c r="X239">
        <v>0</v>
      </c>
    </row>
    <row r="240" spans="1:40" x14ac:dyDescent="0.25">
      <c r="A240" t="s">
        <v>15</v>
      </c>
      <c r="B240" t="s">
        <v>24</v>
      </c>
      <c r="C240">
        <v>20150316</v>
      </c>
      <c r="D240">
        <v>0</v>
      </c>
      <c r="F240">
        <v>62500</v>
      </c>
      <c r="G240" t="s">
        <v>17</v>
      </c>
      <c r="I240" t="s">
        <v>16</v>
      </c>
      <c r="J240" t="s">
        <v>180</v>
      </c>
      <c r="K240" t="s">
        <v>25</v>
      </c>
      <c r="L240">
        <v>132757294</v>
      </c>
      <c r="R240">
        <v>9729</v>
      </c>
      <c r="S240" t="s">
        <v>232</v>
      </c>
      <c r="T240">
        <v>0</v>
      </c>
      <c r="U240">
        <v>-5</v>
      </c>
      <c r="V240">
        <v>0</v>
      </c>
      <c r="W240">
        <v>0</v>
      </c>
      <c r="X240">
        <v>0</v>
      </c>
      <c r="Y240">
        <v>9729</v>
      </c>
      <c r="Z240" t="s">
        <v>3332</v>
      </c>
      <c r="AA240" t="s">
        <v>3333</v>
      </c>
      <c r="AB240" t="s">
        <v>234</v>
      </c>
      <c r="AC240" t="s">
        <v>17</v>
      </c>
      <c r="AD240" t="s">
        <v>235</v>
      </c>
      <c r="AE240">
        <v>5</v>
      </c>
      <c r="AF240">
        <v>5</v>
      </c>
      <c r="AG240">
        <v>1.5288999999999999</v>
      </c>
      <c r="AH240">
        <v>1.5288999999999999</v>
      </c>
      <c r="AI240">
        <v>1226100185</v>
      </c>
      <c r="AJ240">
        <v>0</v>
      </c>
      <c r="AK240">
        <v>7</v>
      </c>
      <c r="AN240">
        <v>0</v>
      </c>
    </row>
    <row r="241" spans="1:24" x14ac:dyDescent="0.25">
      <c r="A241" t="s">
        <v>15</v>
      </c>
      <c r="B241" t="s">
        <v>24</v>
      </c>
      <c r="C241">
        <v>20150316</v>
      </c>
      <c r="D241">
        <v>0</v>
      </c>
      <c r="F241">
        <v>62500</v>
      </c>
      <c r="G241" t="s">
        <v>17</v>
      </c>
      <c r="I241" t="s">
        <v>16</v>
      </c>
      <c r="J241" t="s">
        <v>180</v>
      </c>
      <c r="K241" t="s">
        <v>25</v>
      </c>
      <c r="L241">
        <v>132757294</v>
      </c>
      <c r="R241">
        <v>9729</v>
      </c>
      <c r="S241" t="s">
        <v>232</v>
      </c>
      <c r="T241">
        <v>0</v>
      </c>
      <c r="U241">
        <v>-5</v>
      </c>
      <c r="V241">
        <v>0</v>
      </c>
      <c r="W241">
        <v>0</v>
      </c>
      <c r="X241">
        <v>0</v>
      </c>
    </row>
    <row r="242" spans="1:24" x14ac:dyDescent="0.25">
      <c r="A242" t="s">
        <v>15</v>
      </c>
      <c r="B242" t="s">
        <v>24</v>
      </c>
      <c r="C242">
        <v>20150316</v>
      </c>
      <c r="D242">
        <v>0</v>
      </c>
      <c r="F242">
        <v>62500</v>
      </c>
      <c r="G242" t="s">
        <v>17</v>
      </c>
      <c r="I242" t="s">
        <v>16</v>
      </c>
      <c r="J242" t="s">
        <v>180</v>
      </c>
      <c r="K242" t="s">
        <v>25</v>
      </c>
      <c r="L242">
        <v>132757294</v>
      </c>
      <c r="R242">
        <v>9729</v>
      </c>
      <c r="S242" t="s">
        <v>37</v>
      </c>
      <c r="T242">
        <v>5</v>
      </c>
      <c r="U242">
        <v>0</v>
      </c>
      <c r="V242">
        <v>1.5288999999999999</v>
      </c>
      <c r="W242">
        <v>1.5288999999999999</v>
      </c>
      <c r="X242">
        <v>0</v>
      </c>
    </row>
    <row r="243" spans="1:24" x14ac:dyDescent="0.25">
      <c r="A243" t="s">
        <v>15</v>
      </c>
      <c r="B243" t="s">
        <v>24</v>
      </c>
      <c r="C243">
        <v>20150316</v>
      </c>
      <c r="D243">
        <v>0</v>
      </c>
      <c r="F243">
        <v>62500</v>
      </c>
      <c r="G243" t="s">
        <v>17</v>
      </c>
      <c r="I243" t="s">
        <v>16</v>
      </c>
      <c r="J243" t="s">
        <v>180</v>
      </c>
      <c r="K243" t="s">
        <v>25</v>
      </c>
      <c r="L243">
        <v>132757294</v>
      </c>
      <c r="R243">
        <v>9729</v>
      </c>
      <c r="S243" t="s">
        <v>37</v>
      </c>
      <c r="T243">
        <v>5</v>
      </c>
      <c r="U243">
        <v>0</v>
      </c>
      <c r="V243">
        <v>1.5288999999999999</v>
      </c>
      <c r="W243">
        <v>1.5288999999999999</v>
      </c>
      <c r="X243">
        <v>0</v>
      </c>
    </row>
    <row r="244" spans="1:24" x14ac:dyDescent="0.25">
      <c r="A244" t="s">
        <v>15</v>
      </c>
      <c r="B244" t="s">
        <v>24</v>
      </c>
      <c r="C244">
        <v>20150316</v>
      </c>
      <c r="D244">
        <v>0</v>
      </c>
      <c r="F244">
        <v>62500</v>
      </c>
      <c r="G244" t="s">
        <v>17</v>
      </c>
      <c r="I244" t="s">
        <v>16</v>
      </c>
      <c r="J244" t="s">
        <v>180</v>
      </c>
      <c r="K244" t="s">
        <v>25</v>
      </c>
      <c r="L244">
        <v>132757294</v>
      </c>
      <c r="R244">
        <v>9729</v>
      </c>
      <c r="S244" t="s">
        <v>37</v>
      </c>
      <c r="T244">
        <v>5</v>
      </c>
      <c r="U244">
        <v>0</v>
      </c>
      <c r="V244">
        <v>1.5288999999999999</v>
      </c>
      <c r="W244">
        <v>1.5288999999999999</v>
      </c>
      <c r="X244">
        <v>0</v>
      </c>
    </row>
    <row r="245" spans="1:24" x14ac:dyDescent="0.25">
      <c r="A245" t="s">
        <v>15</v>
      </c>
      <c r="B245" t="s">
        <v>24</v>
      </c>
      <c r="C245">
        <v>20150316</v>
      </c>
      <c r="D245">
        <v>0</v>
      </c>
      <c r="F245">
        <v>62500</v>
      </c>
      <c r="G245" t="s">
        <v>17</v>
      </c>
      <c r="I245" t="s">
        <v>16</v>
      </c>
      <c r="J245" t="s">
        <v>180</v>
      </c>
      <c r="K245" t="s">
        <v>25</v>
      </c>
      <c r="L245">
        <v>132757294</v>
      </c>
      <c r="R245">
        <v>9729</v>
      </c>
      <c r="S245" t="s">
        <v>37</v>
      </c>
      <c r="T245">
        <v>5</v>
      </c>
      <c r="U245">
        <v>0</v>
      </c>
      <c r="V245">
        <v>1.5288999999999999</v>
      </c>
      <c r="W245">
        <v>1.5288999999999999</v>
      </c>
      <c r="X245">
        <v>0</v>
      </c>
    </row>
    <row r="246" spans="1:24" x14ac:dyDescent="0.25">
      <c r="A246" t="s">
        <v>15</v>
      </c>
      <c r="B246" t="s">
        <v>24</v>
      </c>
      <c r="C246">
        <v>20150316</v>
      </c>
      <c r="D246">
        <v>0</v>
      </c>
      <c r="F246">
        <v>62500</v>
      </c>
      <c r="G246" t="s">
        <v>17</v>
      </c>
      <c r="I246" t="s">
        <v>16</v>
      </c>
      <c r="J246" t="s">
        <v>180</v>
      </c>
      <c r="K246" t="s">
        <v>25</v>
      </c>
      <c r="L246">
        <v>132757294</v>
      </c>
      <c r="R246">
        <v>9729</v>
      </c>
      <c r="S246" t="s">
        <v>37</v>
      </c>
      <c r="T246">
        <v>5</v>
      </c>
      <c r="U246">
        <v>0</v>
      </c>
      <c r="V246">
        <v>1.5288999999999999</v>
      </c>
      <c r="W246">
        <v>1.5288999999999999</v>
      </c>
      <c r="X246">
        <v>0</v>
      </c>
    </row>
    <row r="247" spans="1:24" x14ac:dyDescent="0.25">
      <c r="A247" t="s">
        <v>15</v>
      </c>
      <c r="B247" t="s">
        <v>24</v>
      </c>
      <c r="C247">
        <v>20150316</v>
      </c>
      <c r="D247">
        <v>0</v>
      </c>
      <c r="F247">
        <v>62500</v>
      </c>
      <c r="G247" t="s">
        <v>17</v>
      </c>
      <c r="I247" t="s">
        <v>16</v>
      </c>
      <c r="J247" t="s">
        <v>180</v>
      </c>
      <c r="K247" t="s">
        <v>25</v>
      </c>
      <c r="L247">
        <v>132757294</v>
      </c>
      <c r="R247">
        <v>9729</v>
      </c>
      <c r="S247" t="s">
        <v>37</v>
      </c>
      <c r="T247">
        <v>5</v>
      </c>
      <c r="U247">
        <v>0</v>
      </c>
      <c r="V247">
        <v>1.5288999999999999</v>
      </c>
      <c r="W247">
        <v>1.5288999999999999</v>
      </c>
      <c r="X247">
        <v>0</v>
      </c>
    </row>
    <row r="248" spans="1:24" x14ac:dyDescent="0.25">
      <c r="A248" t="s">
        <v>15</v>
      </c>
      <c r="B248" t="s">
        <v>24</v>
      </c>
      <c r="C248">
        <v>20150316</v>
      </c>
      <c r="D248">
        <v>0</v>
      </c>
      <c r="F248">
        <v>62500</v>
      </c>
      <c r="G248" t="s">
        <v>17</v>
      </c>
      <c r="I248" t="s">
        <v>16</v>
      </c>
      <c r="J248" t="s">
        <v>180</v>
      </c>
      <c r="K248" t="s">
        <v>25</v>
      </c>
      <c r="L248">
        <v>132757294</v>
      </c>
      <c r="R248">
        <v>9729</v>
      </c>
      <c r="S248" t="s">
        <v>37</v>
      </c>
      <c r="T248">
        <v>5</v>
      </c>
      <c r="U248">
        <v>0</v>
      </c>
      <c r="V248">
        <v>1.5288999999999999</v>
      </c>
      <c r="W248">
        <v>1.5288999999999999</v>
      </c>
      <c r="X248">
        <v>0</v>
      </c>
    </row>
    <row r="249" spans="1:24" x14ac:dyDescent="0.25">
      <c r="A249" t="s">
        <v>15</v>
      </c>
      <c r="B249" t="s">
        <v>24</v>
      </c>
      <c r="C249">
        <v>20150316</v>
      </c>
      <c r="D249">
        <v>0</v>
      </c>
      <c r="F249">
        <v>62500</v>
      </c>
      <c r="G249" t="s">
        <v>17</v>
      </c>
      <c r="I249" t="s">
        <v>16</v>
      </c>
      <c r="J249" t="s">
        <v>180</v>
      </c>
      <c r="K249" t="s">
        <v>25</v>
      </c>
      <c r="L249">
        <v>132757294</v>
      </c>
      <c r="R249">
        <v>9729</v>
      </c>
      <c r="S249" t="s">
        <v>37</v>
      </c>
      <c r="T249">
        <v>5</v>
      </c>
      <c r="U249">
        <v>0</v>
      </c>
      <c r="V249">
        <v>1.5288999999999999</v>
      </c>
      <c r="W249">
        <v>1.5288999999999999</v>
      </c>
      <c r="X249">
        <v>0</v>
      </c>
    </row>
    <row r="250" spans="1:24" x14ac:dyDescent="0.25">
      <c r="A250" t="s">
        <v>15</v>
      </c>
      <c r="B250" t="s">
        <v>24</v>
      </c>
      <c r="C250">
        <v>20150316</v>
      </c>
      <c r="D250">
        <v>0</v>
      </c>
      <c r="F250">
        <v>62500</v>
      </c>
      <c r="G250" t="s">
        <v>17</v>
      </c>
      <c r="I250" t="s">
        <v>16</v>
      </c>
      <c r="J250" t="s">
        <v>180</v>
      </c>
      <c r="K250" t="s">
        <v>25</v>
      </c>
      <c r="L250">
        <v>132757294</v>
      </c>
      <c r="R250">
        <v>9730</v>
      </c>
      <c r="S250" t="s">
        <v>232</v>
      </c>
      <c r="T250">
        <v>0</v>
      </c>
      <c r="U250">
        <v>48</v>
      </c>
      <c r="V250">
        <v>0</v>
      </c>
      <c r="W250">
        <v>0</v>
      </c>
      <c r="X250">
        <v>0</v>
      </c>
    </row>
    <row r="251" spans="1:24" x14ac:dyDescent="0.25">
      <c r="A251" t="s">
        <v>15</v>
      </c>
      <c r="B251" t="s">
        <v>24</v>
      </c>
      <c r="C251">
        <v>20150316</v>
      </c>
      <c r="D251">
        <v>0</v>
      </c>
      <c r="F251">
        <v>62500</v>
      </c>
      <c r="G251" t="s">
        <v>17</v>
      </c>
      <c r="I251" t="s">
        <v>16</v>
      </c>
      <c r="J251" t="s">
        <v>180</v>
      </c>
      <c r="K251" t="s">
        <v>25</v>
      </c>
      <c r="L251">
        <v>132757294</v>
      </c>
      <c r="R251">
        <v>9728</v>
      </c>
      <c r="S251" t="s">
        <v>223</v>
      </c>
      <c r="T251">
        <v>0</v>
      </c>
      <c r="U251">
        <v>42</v>
      </c>
      <c r="V251">
        <v>0</v>
      </c>
      <c r="W251">
        <v>0</v>
      </c>
      <c r="X251">
        <v>0</v>
      </c>
    </row>
    <row r="252" spans="1:24" x14ac:dyDescent="0.25">
      <c r="A252" t="s">
        <v>15</v>
      </c>
      <c r="B252" t="s">
        <v>24</v>
      </c>
      <c r="C252">
        <v>20150316</v>
      </c>
      <c r="D252">
        <v>0</v>
      </c>
      <c r="F252">
        <v>62500</v>
      </c>
      <c r="G252" t="s">
        <v>17</v>
      </c>
      <c r="I252" t="s">
        <v>16</v>
      </c>
      <c r="J252" t="s">
        <v>180</v>
      </c>
      <c r="K252" t="s">
        <v>25</v>
      </c>
      <c r="L252">
        <v>132757294</v>
      </c>
      <c r="R252">
        <v>9728</v>
      </c>
      <c r="S252" t="s">
        <v>224</v>
      </c>
      <c r="T252">
        <v>0</v>
      </c>
      <c r="U252">
        <v>42</v>
      </c>
      <c r="V252">
        <v>0</v>
      </c>
      <c r="W252">
        <v>0</v>
      </c>
      <c r="X252">
        <v>0</v>
      </c>
    </row>
    <row r="253" spans="1:24" x14ac:dyDescent="0.25">
      <c r="A253" t="s">
        <v>15</v>
      </c>
      <c r="B253" t="s">
        <v>24</v>
      </c>
      <c r="C253">
        <v>20150316</v>
      </c>
      <c r="D253">
        <v>0</v>
      </c>
      <c r="F253">
        <v>62500</v>
      </c>
      <c r="G253" t="s">
        <v>17</v>
      </c>
      <c r="I253" t="s">
        <v>16</v>
      </c>
      <c r="J253" t="s">
        <v>180</v>
      </c>
      <c r="K253" t="s">
        <v>25</v>
      </c>
      <c r="L253">
        <v>132757294</v>
      </c>
      <c r="R253">
        <v>9730</v>
      </c>
      <c r="S253" t="s">
        <v>232</v>
      </c>
      <c r="T253">
        <v>0</v>
      </c>
      <c r="U253">
        <v>48</v>
      </c>
      <c r="V253">
        <v>0</v>
      </c>
      <c r="W253">
        <v>0</v>
      </c>
      <c r="X253">
        <v>0</v>
      </c>
    </row>
    <row r="254" spans="1:24" x14ac:dyDescent="0.25">
      <c r="A254" t="s">
        <v>15</v>
      </c>
      <c r="B254" t="s">
        <v>24</v>
      </c>
      <c r="C254">
        <v>20150316</v>
      </c>
      <c r="D254">
        <v>0</v>
      </c>
      <c r="F254">
        <v>62500</v>
      </c>
      <c r="G254" t="s">
        <v>17</v>
      </c>
      <c r="I254" t="s">
        <v>16</v>
      </c>
      <c r="J254" t="s">
        <v>180</v>
      </c>
      <c r="K254" t="s">
        <v>25</v>
      </c>
      <c r="L254">
        <v>132757294</v>
      </c>
      <c r="R254">
        <v>9730</v>
      </c>
      <c r="S254" t="s">
        <v>192</v>
      </c>
      <c r="T254">
        <v>0</v>
      </c>
      <c r="U254">
        <v>48</v>
      </c>
      <c r="V254">
        <v>0</v>
      </c>
      <c r="W254">
        <v>0</v>
      </c>
      <c r="X254">
        <v>0</v>
      </c>
    </row>
    <row r="255" spans="1:24" x14ac:dyDescent="0.25">
      <c r="A255" t="s">
        <v>15</v>
      </c>
      <c r="B255" t="s">
        <v>24</v>
      </c>
      <c r="C255">
        <v>20150316</v>
      </c>
      <c r="D255">
        <v>0</v>
      </c>
      <c r="F255">
        <v>62500</v>
      </c>
      <c r="G255" t="s">
        <v>17</v>
      </c>
      <c r="I255" t="s">
        <v>16</v>
      </c>
      <c r="J255" t="s">
        <v>180</v>
      </c>
      <c r="K255" t="s">
        <v>25</v>
      </c>
      <c r="L255">
        <v>132757294</v>
      </c>
      <c r="R255">
        <v>9731</v>
      </c>
      <c r="S255" t="s">
        <v>232</v>
      </c>
      <c r="T255">
        <v>0</v>
      </c>
      <c r="U255">
        <v>-48</v>
      </c>
      <c r="V255">
        <v>0</v>
      </c>
      <c r="W255">
        <v>0</v>
      </c>
      <c r="X255">
        <v>0</v>
      </c>
    </row>
    <row r="256" spans="1:24" x14ac:dyDescent="0.25">
      <c r="A256" t="s">
        <v>15</v>
      </c>
      <c r="B256" t="s">
        <v>24</v>
      </c>
      <c r="C256">
        <v>20150316</v>
      </c>
      <c r="D256">
        <v>0</v>
      </c>
      <c r="F256">
        <v>62500</v>
      </c>
      <c r="G256" t="s">
        <v>17</v>
      </c>
      <c r="I256" t="s">
        <v>16</v>
      </c>
      <c r="J256" t="s">
        <v>180</v>
      </c>
      <c r="K256" t="s">
        <v>25</v>
      </c>
      <c r="L256">
        <v>132757294</v>
      </c>
      <c r="R256">
        <v>9731</v>
      </c>
      <c r="S256" t="s">
        <v>232</v>
      </c>
      <c r="T256">
        <v>0</v>
      </c>
      <c r="U256">
        <v>-48</v>
      </c>
      <c r="V256">
        <v>0</v>
      </c>
      <c r="W256">
        <v>0</v>
      </c>
      <c r="X256">
        <v>0</v>
      </c>
    </row>
    <row r="257" spans="1:40" x14ac:dyDescent="0.25">
      <c r="A257" t="s">
        <v>15</v>
      </c>
      <c r="B257" t="s">
        <v>24</v>
      </c>
      <c r="C257">
        <v>20150316</v>
      </c>
      <c r="D257">
        <v>0</v>
      </c>
      <c r="F257">
        <v>62500</v>
      </c>
      <c r="G257" t="s">
        <v>17</v>
      </c>
      <c r="I257" t="s">
        <v>16</v>
      </c>
      <c r="J257" t="s">
        <v>180</v>
      </c>
      <c r="K257" t="s">
        <v>25</v>
      </c>
      <c r="L257">
        <v>132757294</v>
      </c>
      <c r="R257">
        <v>9731</v>
      </c>
      <c r="S257" t="s">
        <v>192</v>
      </c>
      <c r="T257">
        <v>0</v>
      </c>
      <c r="U257">
        <v>48</v>
      </c>
      <c r="V257">
        <v>0</v>
      </c>
      <c r="W257">
        <v>0</v>
      </c>
      <c r="X257">
        <v>0</v>
      </c>
    </row>
    <row r="258" spans="1:40" x14ac:dyDescent="0.25">
      <c r="A258" t="s">
        <v>15</v>
      </c>
      <c r="B258" t="s">
        <v>24</v>
      </c>
      <c r="C258">
        <v>20150316</v>
      </c>
      <c r="D258">
        <v>0</v>
      </c>
      <c r="F258">
        <v>62500</v>
      </c>
      <c r="G258" t="s">
        <v>17</v>
      </c>
      <c r="I258" t="s">
        <v>16</v>
      </c>
      <c r="J258" t="s">
        <v>180</v>
      </c>
      <c r="K258" t="s">
        <v>25</v>
      </c>
      <c r="L258">
        <v>132757294</v>
      </c>
      <c r="R258">
        <v>9731</v>
      </c>
      <c r="S258" t="s">
        <v>192</v>
      </c>
      <c r="T258">
        <v>0</v>
      </c>
      <c r="U258">
        <v>48</v>
      </c>
      <c r="V258">
        <v>0</v>
      </c>
      <c r="W258">
        <v>0</v>
      </c>
      <c r="X258">
        <v>0</v>
      </c>
    </row>
    <row r="259" spans="1:40" x14ac:dyDescent="0.25">
      <c r="A259" t="s">
        <v>15</v>
      </c>
      <c r="B259" t="s">
        <v>24</v>
      </c>
      <c r="C259">
        <v>20150316</v>
      </c>
      <c r="D259">
        <v>0</v>
      </c>
      <c r="F259">
        <v>62500</v>
      </c>
      <c r="G259" t="s">
        <v>17</v>
      </c>
      <c r="I259" t="s">
        <v>16</v>
      </c>
      <c r="J259" t="s">
        <v>180</v>
      </c>
      <c r="K259" t="s">
        <v>25</v>
      </c>
      <c r="L259">
        <v>132757294</v>
      </c>
      <c r="R259">
        <v>9731</v>
      </c>
      <c r="S259" t="s">
        <v>192</v>
      </c>
      <c r="T259">
        <v>0</v>
      </c>
      <c r="U259">
        <v>48</v>
      </c>
      <c r="V259">
        <v>0</v>
      </c>
      <c r="W259">
        <v>0</v>
      </c>
      <c r="X259">
        <v>0</v>
      </c>
    </row>
    <row r="260" spans="1:40" x14ac:dyDescent="0.25">
      <c r="A260" t="s">
        <v>15</v>
      </c>
      <c r="B260" t="s">
        <v>24</v>
      </c>
      <c r="C260">
        <v>20150316</v>
      </c>
      <c r="D260">
        <v>0</v>
      </c>
      <c r="F260">
        <v>62500</v>
      </c>
      <c r="G260" t="s">
        <v>17</v>
      </c>
      <c r="I260" t="s">
        <v>16</v>
      </c>
      <c r="J260" t="s">
        <v>180</v>
      </c>
      <c r="K260" t="s">
        <v>25</v>
      </c>
      <c r="L260">
        <v>132757294</v>
      </c>
      <c r="R260">
        <v>9731</v>
      </c>
      <c r="S260" t="s">
        <v>192</v>
      </c>
      <c r="T260">
        <v>0</v>
      </c>
      <c r="U260">
        <v>48</v>
      </c>
      <c r="V260">
        <v>0</v>
      </c>
      <c r="W260">
        <v>0</v>
      </c>
      <c r="X260">
        <v>0</v>
      </c>
      <c r="Y260">
        <v>9731</v>
      </c>
      <c r="Z260" t="s">
        <v>3509</v>
      </c>
      <c r="AA260" t="s">
        <v>3510</v>
      </c>
      <c r="AB260" t="s">
        <v>234</v>
      </c>
      <c r="AC260" t="s">
        <v>17</v>
      </c>
      <c r="AD260" t="s">
        <v>237</v>
      </c>
      <c r="AE260">
        <v>25</v>
      </c>
      <c r="AF260">
        <v>25</v>
      </c>
      <c r="AG260">
        <v>1.5285</v>
      </c>
      <c r="AH260">
        <v>1.5285</v>
      </c>
      <c r="AI260">
        <v>1226100187</v>
      </c>
      <c r="AJ260">
        <v>0</v>
      </c>
      <c r="AK260">
        <v>7</v>
      </c>
      <c r="AN260">
        <v>0</v>
      </c>
    </row>
    <row r="261" spans="1:40" x14ac:dyDescent="0.25">
      <c r="A261" t="s">
        <v>15</v>
      </c>
      <c r="B261" t="s">
        <v>24</v>
      </c>
      <c r="C261">
        <v>20150316</v>
      </c>
      <c r="D261">
        <v>0</v>
      </c>
      <c r="F261">
        <v>62500</v>
      </c>
      <c r="G261" t="s">
        <v>17</v>
      </c>
      <c r="I261" t="s">
        <v>16</v>
      </c>
      <c r="J261" t="s">
        <v>180</v>
      </c>
      <c r="K261" t="s">
        <v>25</v>
      </c>
      <c r="L261">
        <v>132757294</v>
      </c>
      <c r="R261">
        <v>9731</v>
      </c>
      <c r="S261" t="s">
        <v>192</v>
      </c>
      <c r="T261">
        <v>0</v>
      </c>
      <c r="U261">
        <v>48</v>
      </c>
      <c r="V261">
        <v>0</v>
      </c>
      <c r="W261">
        <v>0</v>
      </c>
      <c r="X261">
        <v>0</v>
      </c>
    </row>
    <row r="262" spans="1:40" x14ac:dyDescent="0.25">
      <c r="A262" t="s">
        <v>15</v>
      </c>
      <c r="B262" t="s">
        <v>24</v>
      </c>
      <c r="C262">
        <v>20150316</v>
      </c>
      <c r="D262">
        <v>0</v>
      </c>
      <c r="F262">
        <v>62500</v>
      </c>
      <c r="G262" t="s">
        <v>17</v>
      </c>
      <c r="I262" t="s">
        <v>16</v>
      </c>
      <c r="J262" t="s">
        <v>180</v>
      </c>
      <c r="K262" t="s">
        <v>25</v>
      </c>
      <c r="L262">
        <v>132757294</v>
      </c>
      <c r="R262">
        <v>9731</v>
      </c>
      <c r="S262" t="s">
        <v>192</v>
      </c>
      <c r="T262">
        <v>25</v>
      </c>
      <c r="U262">
        <v>23</v>
      </c>
      <c r="V262">
        <v>1.5285</v>
      </c>
      <c r="W262">
        <v>1.5285</v>
      </c>
      <c r="X262">
        <v>0</v>
      </c>
    </row>
    <row r="263" spans="1:40" x14ac:dyDescent="0.25">
      <c r="A263" t="s">
        <v>15</v>
      </c>
      <c r="B263" t="s">
        <v>24</v>
      </c>
      <c r="C263">
        <v>20150316</v>
      </c>
      <c r="D263">
        <v>0</v>
      </c>
      <c r="F263">
        <v>62500</v>
      </c>
      <c r="G263" t="s">
        <v>17</v>
      </c>
      <c r="I263" t="s">
        <v>16</v>
      </c>
      <c r="J263" t="s">
        <v>180</v>
      </c>
      <c r="K263" t="s">
        <v>25</v>
      </c>
      <c r="L263">
        <v>132757294</v>
      </c>
      <c r="R263">
        <v>9731</v>
      </c>
      <c r="S263" t="s">
        <v>192</v>
      </c>
      <c r="T263">
        <v>25</v>
      </c>
      <c r="U263">
        <v>23</v>
      </c>
      <c r="V263">
        <v>1.5285</v>
      </c>
      <c r="W263">
        <v>1.5285</v>
      </c>
      <c r="X263">
        <v>0</v>
      </c>
    </row>
    <row r="264" spans="1:40" x14ac:dyDescent="0.25">
      <c r="A264" t="s">
        <v>15</v>
      </c>
      <c r="B264" t="s">
        <v>24</v>
      </c>
      <c r="C264">
        <v>20150316</v>
      </c>
      <c r="D264">
        <v>0</v>
      </c>
      <c r="F264">
        <v>62500</v>
      </c>
      <c r="G264" t="s">
        <v>17</v>
      </c>
      <c r="I264" t="s">
        <v>16</v>
      </c>
      <c r="J264" t="s">
        <v>180</v>
      </c>
      <c r="K264" t="s">
        <v>25</v>
      </c>
      <c r="L264">
        <v>132757294</v>
      </c>
      <c r="R264">
        <v>9731</v>
      </c>
      <c r="S264" t="s">
        <v>233</v>
      </c>
      <c r="T264">
        <v>25</v>
      </c>
      <c r="U264">
        <v>23</v>
      </c>
      <c r="V264">
        <v>1.5285</v>
      </c>
      <c r="W264">
        <v>1.5285</v>
      </c>
      <c r="X264">
        <v>0</v>
      </c>
    </row>
    <row r="265" spans="1:40" x14ac:dyDescent="0.25">
      <c r="A265" t="s">
        <v>15</v>
      </c>
      <c r="B265" t="s">
        <v>24</v>
      </c>
      <c r="C265">
        <v>20150316</v>
      </c>
      <c r="D265">
        <v>0</v>
      </c>
      <c r="F265">
        <v>62500</v>
      </c>
      <c r="G265" t="s">
        <v>17</v>
      </c>
      <c r="I265" t="s">
        <v>16</v>
      </c>
      <c r="J265" t="s">
        <v>180</v>
      </c>
      <c r="K265" t="s">
        <v>25</v>
      </c>
      <c r="L265">
        <v>132757294</v>
      </c>
      <c r="R265">
        <v>9731</v>
      </c>
      <c r="S265" t="s">
        <v>233</v>
      </c>
      <c r="T265">
        <v>25</v>
      </c>
      <c r="U265">
        <v>23</v>
      </c>
      <c r="V265">
        <v>1.5285</v>
      </c>
      <c r="W265">
        <v>1.5285</v>
      </c>
      <c r="X265">
        <v>0</v>
      </c>
    </row>
    <row r="266" spans="1:40" x14ac:dyDescent="0.25">
      <c r="A266" t="s">
        <v>15</v>
      </c>
      <c r="B266" t="s">
        <v>24</v>
      </c>
      <c r="C266">
        <v>20150316</v>
      </c>
      <c r="D266">
        <v>0</v>
      </c>
      <c r="F266">
        <v>62500</v>
      </c>
      <c r="G266" t="s">
        <v>17</v>
      </c>
      <c r="I266" t="s">
        <v>16</v>
      </c>
      <c r="J266" t="s">
        <v>180</v>
      </c>
      <c r="K266" t="s">
        <v>25</v>
      </c>
      <c r="L266">
        <v>132757294</v>
      </c>
      <c r="R266">
        <v>9731</v>
      </c>
      <c r="S266" t="s">
        <v>233</v>
      </c>
      <c r="T266">
        <v>25</v>
      </c>
      <c r="U266">
        <v>23</v>
      </c>
      <c r="V266">
        <v>1.5285</v>
      </c>
      <c r="W266">
        <v>1.5285</v>
      </c>
      <c r="X266">
        <v>0</v>
      </c>
    </row>
    <row r="267" spans="1:40" x14ac:dyDescent="0.25">
      <c r="A267" t="s">
        <v>15</v>
      </c>
      <c r="B267" t="s">
        <v>24</v>
      </c>
      <c r="C267">
        <v>20150316</v>
      </c>
      <c r="D267">
        <v>0</v>
      </c>
      <c r="F267">
        <v>62500</v>
      </c>
      <c r="G267" t="s">
        <v>17</v>
      </c>
      <c r="I267" t="s">
        <v>16</v>
      </c>
      <c r="J267" t="s">
        <v>180</v>
      </c>
      <c r="K267" t="s">
        <v>25</v>
      </c>
      <c r="L267">
        <v>132757294</v>
      </c>
      <c r="R267">
        <v>9731</v>
      </c>
      <c r="S267" t="s">
        <v>233</v>
      </c>
      <c r="T267">
        <v>25</v>
      </c>
      <c r="U267">
        <v>23</v>
      </c>
      <c r="V267">
        <v>1.5285</v>
      </c>
      <c r="W267">
        <v>1.5285</v>
      </c>
      <c r="X267">
        <v>0</v>
      </c>
      <c r="Y267">
        <v>9731</v>
      </c>
      <c r="Z267" t="s">
        <v>3535</v>
      </c>
      <c r="AA267" t="s">
        <v>3510</v>
      </c>
      <c r="AB267" t="s">
        <v>234</v>
      </c>
      <c r="AC267" t="s">
        <v>17</v>
      </c>
      <c r="AD267" t="s">
        <v>237</v>
      </c>
      <c r="AE267">
        <v>14</v>
      </c>
      <c r="AF267">
        <v>39</v>
      </c>
      <c r="AG267">
        <v>1.5276000000000001</v>
      </c>
      <c r="AH267">
        <v>1.5281769999999999</v>
      </c>
      <c r="AI267">
        <v>1226100187</v>
      </c>
      <c r="AJ267">
        <v>0</v>
      </c>
      <c r="AK267">
        <v>7</v>
      </c>
      <c r="AN267">
        <v>0</v>
      </c>
    </row>
    <row r="268" spans="1:40" x14ac:dyDescent="0.25">
      <c r="A268" t="s">
        <v>15</v>
      </c>
      <c r="B268" t="s">
        <v>24</v>
      </c>
      <c r="C268">
        <v>20150316</v>
      </c>
      <c r="D268">
        <v>0</v>
      </c>
      <c r="F268">
        <v>62500</v>
      </c>
      <c r="G268" t="s">
        <v>17</v>
      </c>
      <c r="I268" t="s">
        <v>16</v>
      </c>
      <c r="J268" t="s">
        <v>180</v>
      </c>
      <c r="K268" t="s">
        <v>25</v>
      </c>
      <c r="L268">
        <v>132757294</v>
      </c>
      <c r="R268">
        <v>9731</v>
      </c>
      <c r="S268" t="s">
        <v>233</v>
      </c>
      <c r="T268">
        <v>25</v>
      </c>
      <c r="U268">
        <v>23</v>
      </c>
      <c r="V268">
        <v>1.5285</v>
      </c>
      <c r="W268">
        <v>1.5285</v>
      </c>
      <c r="X268">
        <v>0</v>
      </c>
    </row>
    <row r="269" spans="1:40" x14ac:dyDescent="0.25">
      <c r="A269" t="s">
        <v>15</v>
      </c>
      <c r="B269" t="s">
        <v>24</v>
      </c>
      <c r="C269">
        <v>20150316</v>
      </c>
      <c r="D269">
        <v>0</v>
      </c>
      <c r="F269">
        <v>62500</v>
      </c>
      <c r="G269" t="s">
        <v>17</v>
      </c>
      <c r="I269" t="s">
        <v>16</v>
      </c>
      <c r="J269" t="s">
        <v>180</v>
      </c>
      <c r="K269" t="s">
        <v>25</v>
      </c>
      <c r="L269">
        <v>132757294</v>
      </c>
      <c r="R269">
        <v>9731</v>
      </c>
      <c r="S269" t="s">
        <v>233</v>
      </c>
      <c r="T269">
        <v>39</v>
      </c>
      <c r="U269">
        <v>9</v>
      </c>
      <c r="V269">
        <v>1.5281769999999999</v>
      </c>
      <c r="W269">
        <v>1.5276000000000001</v>
      </c>
      <c r="X269">
        <v>0</v>
      </c>
    </row>
    <row r="270" spans="1:40" x14ac:dyDescent="0.25">
      <c r="A270" t="s">
        <v>15</v>
      </c>
      <c r="B270" t="s">
        <v>24</v>
      </c>
      <c r="C270">
        <v>20150316</v>
      </c>
      <c r="D270">
        <v>0</v>
      </c>
      <c r="F270">
        <v>62500</v>
      </c>
      <c r="G270" t="s">
        <v>17</v>
      </c>
      <c r="I270" t="s">
        <v>16</v>
      </c>
      <c r="J270" t="s">
        <v>180</v>
      </c>
      <c r="K270" t="s">
        <v>25</v>
      </c>
      <c r="L270">
        <v>132757294</v>
      </c>
      <c r="R270">
        <v>9731</v>
      </c>
      <c r="S270" t="s">
        <v>233</v>
      </c>
      <c r="T270">
        <v>39</v>
      </c>
      <c r="U270">
        <v>9</v>
      </c>
      <c r="V270">
        <v>1.5281769999999999</v>
      </c>
      <c r="W270">
        <v>1.5276000000000001</v>
      </c>
      <c r="X270">
        <v>0</v>
      </c>
      <c r="Y270">
        <v>9731</v>
      </c>
      <c r="Z270" t="s">
        <v>3548</v>
      </c>
      <c r="AA270" t="s">
        <v>3510</v>
      </c>
      <c r="AB270" t="s">
        <v>234</v>
      </c>
      <c r="AC270" t="s">
        <v>17</v>
      </c>
      <c r="AD270" t="s">
        <v>237</v>
      </c>
      <c r="AE270">
        <v>1</v>
      </c>
      <c r="AF270">
        <v>40</v>
      </c>
      <c r="AG270">
        <v>1.5276000000000001</v>
      </c>
      <c r="AH270">
        <v>1.5281629999999999</v>
      </c>
      <c r="AI270">
        <v>1226100187</v>
      </c>
      <c r="AJ270">
        <v>0</v>
      </c>
      <c r="AK270">
        <v>7</v>
      </c>
      <c r="AN270">
        <v>0</v>
      </c>
    </row>
    <row r="271" spans="1:40" x14ac:dyDescent="0.25">
      <c r="A271" t="s">
        <v>15</v>
      </c>
      <c r="B271" t="s">
        <v>24</v>
      </c>
      <c r="C271">
        <v>20150316</v>
      </c>
      <c r="D271">
        <v>0</v>
      </c>
      <c r="F271">
        <v>62500</v>
      </c>
      <c r="G271" t="s">
        <v>17</v>
      </c>
      <c r="I271" t="s">
        <v>16</v>
      </c>
      <c r="J271" t="s">
        <v>180</v>
      </c>
      <c r="K271" t="s">
        <v>25</v>
      </c>
      <c r="L271">
        <v>132757294</v>
      </c>
      <c r="R271">
        <v>9731</v>
      </c>
      <c r="S271" t="s">
        <v>233</v>
      </c>
      <c r="T271">
        <v>39</v>
      </c>
      <c r="U271">
        <v>9</v>
      </c>
      <c r="V271">
        <v>1.5281769999999999</v>
      </c>
      <c r="W271">
        <v>1.5276000000000001</v>
      </c>
      <c r="X271">
        <v>0</v>
      </c>
    </row>
    <row r="272" spans="1:40" x14ac:dyDescent="0.25">
      <c r="A272" t="s">
        <v>15</v>
      </c>
      <c r="B272" t="s">
        <v>24</v>
      </c>
      <c r="C272">
        <v>20150316</v>
      </c>
      <c r="D272">
        <v>0</v>
      </c>
      <c r="F272">
        <v>62500</v>
      </c>
      <c r="G272" t="s">
        <v>17</v>
      </c>
      <c r="I272" t="s">
        <v>16</v>
      </c>
      <c r="J272" t="s">
        <v>180</v>
      </c>
      <c r="K272" t="s">
        <v>25</v>
      </c>
      <c r="L272">
        <v>132757294</v>
      </c>
      <c r="R272">
        <v>9731</v>
      </c>
      <c r="S272" t="s">
        <v>233</v>
      </c>
      <c r="T272">
        <v>40</v>
      </c>
      <c r="U272">
        <v>8</v>
      </c>
      <c r="V272">
        <v>1.5281629999999999</v>
      </c>
      <c r="W272">
        <v>1.5276000000000001</v>
      </c>
      <c r="X272">
        <v>0</v>
      </c>
    </row>
    <row r="273" spans="1:40" x14ac:dyDescent="0.25">
      <c r="A273" t="s">
        <v>15</v>
      </c>
      <c r="B273" t="s">
        <v>24</v>
      </c>
      <c r="C273">
        <v>20150316</v>
      </c>
      <c r="D273">
        <v>0</v>
      </c>
      <c r="F273">
        <v>62500</v>
      </c>
      <c r="G273" t="s">
        <v>17</v>
      </c>
      <c r="I273" t="s">
        <v>16</v>
      </c>
      <c r="J273" t="s">
        <v>180</v>
      </c>
      <c r="K273" t="s">
        <v>25</v>
      </c>
      <c r="L273">
        <v>132757294</v>
      </c>
      <c r="R273">
        <v>9731</v>
      </c>
      <c r="S273" t="s">
        <v>233</v>
      </c>
      <c r="T273">
        <v>40</v>
      </c>
      <c r="U273">
        <v>8</v>
      </c>
      <c r="V273">
        <v>1.5281629999999999</v>
      </c>
      <c r="W273">
        <v>1.5276000000000001</v>
      </c>
      <c r="X273">
        <v>0</v>
      </c>
      <c r="Y273">
        <v>9731</v>
      </c>
      <c r="Z273" t="s">
        <v>3561</v>
      </c>
      <c r="AA273" t="s">
        <v>3510</v>
      </c>
      <c r="AB273" t="s">
        <v>234</v>
      </c>
      <c r="AC273" t="s">
        <v>17</v>
      </c>
      <c r="AD273" t="s">
        <v>237</v>
      </c>
      <c r="AE273">
        <v>8</v>
      </c>
      <c r="AF273">
        <v>48</v>
      </c>
      <c r="AG273">
        <v>1.5276000000000001</v>
      </c>
      <c r="AH273">
        <v>1.5280689999999999</v>
      </c>
      <c r="AI273">
        <v>1226100187</v>
      </c>
      <c r="AJ273">
        <v>0</v>
      </c>
      <c r="AK273">
        <v>7</v>
      </c>
      <c r="AN273">
        <v>0</v>
      </c>
    </row>
    <row r="274" spans="1:40" x14ac:dyDescent="0.25">
      <c r="A274" t="s">
        <v>15</v>
      </c>
      <c r="B274" t="s">
        <v>24</v>
      </c>
      <c r="C274">
        <v>20150316</v>
      </c>
      <c r="D274">
        <v>0</v>
      </c>
      <c r="F274">
        <v>62500</v>
      </c>
      <c r="G274" t="s">
        <v>17</v>
      </c>
      <c r="I274" t="s">
        <v>16</v>
      </c>
      <c r="J274" t="s">
        <v>180</v>
      </c>
      <c r="K274" t="s">
        <v>25</v>
      </c>
      <c r="L274">
        <v>132757294</v>
      </c>
      <c r="R274">
        <v>9731</v>
      </c>
      <c r="S274" t="s">
        <v>233</v>
      </c>
      <c r="T274">
        <v>40</v>
      </c>
      <c r="U274">
        <v>8</v>
      </c>
      <c r="V274">
        <v>1.5281629999999999</v>
      </c>
      <c r="W274">
        <v>1.5276000000000001</v>
      </c>
      <c r="X274">
        <v>0</v>
      </c>
    </row>
    <row r="275" spans="1:40" x14ac:dyDescent="0.25">
      <c r="A275" t="s">
        <v>15</v>
      </c>
      <c r="B275" t="s">
        <v>24</v>
      </c>
      <c r="C275">
        <v>20150316</v>
      </c>
      <c r="D275">
        <v>0</v>
      </c>
      <c r="F275">
        <v>62500</v>
      </c>
      <c r="G275" t="s">
        <v>17</v>
      </c>
      <c r="I275" t="s">
        <v>16</v>
      </c>
      <c r="J275" t="s">
        <v>180</v>
      </c>
      <c r="K275" t="s">
        <v>25</v>
      </c>
      <c r="L275">
        <v>132757294</v>
      </c>
      <c r="R275">
        <v>9731</v>
      </c>
      <c r="S275" t="s">
        <v>37</v>
      </c>
      <c r="T275">
        <v>48</v>
      </c>
      <c r="U275">
        <v>0</v>
      </c>
      <c r="V275">
        <v>1.5280689999999999</v>
      </c>
      <c r="W275">
        <v>1.5276000000000001</v>
      </c>
      <c r="X275">
        <v>0</v>
      </c>
    </row>
    <row r="276" spans="1:40" x14ac:dyDescent="0.25">
      <c r="A276" t="s">
        <v>15</v>
      </c>
      <c r="B276" t="s">
        <v>24</v>
      </c>
      <c r="C276">
        <v>20150316</v>
      </c>
      <c r="D276">
        <v>0</v>
      </c>
      <c r="F276">
        <v>62500</v>
      </c>
      <c r="G276" t="s">
        <v>17</v>
      </c>
      <c r="I276" t="s">
        <v>16</v>
      </c>
      <c r="J276" t="s">
        <v>180</v>
      </c>
      <c r="K276" t="s">
        <v>25</v>
      </c>
      <c r="L276">
        <v>132757294</v>
      </c>
      <c r="R276">
        <v>9731</v>
      </c>
      <c r="S276" t="s">
        <v>37</v>
      </c>
      <c r="T276">
        <v>48</v>
      </c>
      <c r="U276">
        <v>0</v>
      </c>
      <c r="V276">
        <v>1.5280689999999999</v>
      </c>
      <c r="W276">
        <v>1.5276000000000001</v>
      </c>
      <c r="X276">
        <v>0</v>
      </c>
    </row>
    <row r="277" spans="1:40" x14ac:dyDescent="0.25">
      <c r="A277" t="s">
        <v>15</v>
      </c>
      <c r="B277" t="s">
        <v>24</v>
      </c>
      <c r="C277">
        <v>20150316</v>
      </c>
      <c r="D277">
        <v>0</v>
      </c>
      <c r="F277">
        <v>62500</v>
      </c>
      <c r="G277" t="s">
        <v>17</v>
      </c>
      <c r="I277" t="s">
        <v>16</v>
      </c>
      <c r="J277" t="s">
        <v>180</v>
      </c>
      <c r="K277" t="s">
        <v>25</v>
      </c>
      <c r="L277">
        <v>132757294</v>
      </c>
      <c r="R277">
        <v>9731</v>
      </c>
      <c r="S277" t="s">
        <v>37</v>
      </c>
      <c r="T277">
        <v>48</v>
      </c>
      <c r="U277">
        <v>0</v>
      </c>
      <c r="V277">
        <v>1.5280689999999999</v>
      </c>
      <c r="W277">
        <v>1.5276000000000001</v>
      </c>
      <c r="X277">
        <v>0</v>
      </c>
    </row>
    <row r="278" spans="1:40" x14ac:dyDescent="0.25">
      <c r="A278" t="s">
        <v>15</v>
      </c>
      <c r="B278" t="s">
        <v>24</v>
      </c>
      <c r="C278">
        <v>20150316</v>
      </c>
      <c r="D278">
        <v>0</v>
      </c>
      <c r="F278">
        <v>62500</v>
      </c>
      <c r="G278" t="s">
        <v>17</v>
      </c>
      <c r="I278" t="s">
        <v>16</v>
      </c>
      <c r="J278" t="s">
        <v>180</v>
      </c>
      <c r="K278" t="s">
        <v>25</v>
      </c>
      <c r="L278">
        <v>132757294</v>
      </c>
      <c r="R278">
        <v>9731</v>
      </c>
      <c r="S278" t="s">
        <v>37</v>
      </c>
      <c r="T278">
        <v>48</v>
      </c>
      <c r="U278">
        <v>0</v>
      </c>
      <c r="V278">
        <v>1.5280689999999999</v>
      </c>
      <c r="W278">
        <v>1.5276000000000001</v>
      </c>
      <c r="X278">
        <v>0</v>
      </c>
    </row>
    <row r="279" spans="1:40" x14ac:dyDescent="0.25">
      <c r="A279" t="s">
        <v>15</v>
      </c>
      <c r="B279" t="s">
        <v>24</v>
      </c>
      <c r="C279">
        <v>20150316</v>
      </c>
      <c r="D279">
        <v>0</v>
      </c>
      <c r="F279">
        <v>62500</v>
      </c>
      <c r="G279" t="s">
        <v>17</v>
      </c>
      <c r="I279" t="s">
        <v>16</v>
      </c>
      <c r="J279" t="s">
        <v>180</v>
      </c>
      <c r="K279" t="s">
        <v>25</v>
      </c>
      <c r="L279">
        <v>132757294</v>
      </c>
      <c r="R279">
        <v>9731</v>
      </c>
      <c r="S279" t="s">
        <v>37</v>
      </c>
      <c r="T279">
        <v>48</v>
      </c>
      <c r="U279">
        <v>0</v>
      </c>
      <c r="V279">
        <v>1.5280689999999999</v>
      </c>
      <c r="W279">
        <v>1.5276000000000001</v>
      </c>
      <c r="X279">
        <v>0</v>
      </c>
    </row>
    <row r="280" spans="1:40" x14ac:dyDescent="0.25">
      <c r="A280" t="s">
        <v>15</v>
      </c>
      <c r="B280" t="s">
        <v>24</v>
      </c>
      <c r="C280">
        <v>20150316</v>
      </c>
      <c r="D280">
        <v>0</v>
      </c>
      <c r="F280">
        <v>62500</v>
      </c>
      <c r="G280" t="s">
        <v>17</v>
      </c>
      <c r="I280" t="s">
        <v>16</v>
      </c>
      <c r="J280" t="s">
        <v>180</v>
      </c>
      <c r="K280" t="s">
        <v>25</v>
      </c>
      <c r="L280">
        <v>132757294</v>
      </c>
      <c r="R280">
        <v>9731</v>
      </c>
      <c r="S280" t="s">
        <v>37</v>
      </c>
      <c r="T280">
        <v>48</v>
      </c>
      <c r="U280">
        <v>0</v>
      </c>
      <c r="V280">
        <v>1.5280689999999999</v>
      </c>
      <c r="W280">
        <v>1.5276000000000001</v>
      </c>
      <c r="X280">
        <v>0</v>
      </c>
    </row>
    <row r="281" spans="1:40" x14ac:dyDescent="0.25">
      <c r="A281" t="s">
        <v>15</v>
      </c>
      <c r="B281" t="s">
        <v>24</v>
      </c>
      <c r="C281">
        <v>20150316</v>
      </c>
      <c r="D281">
        <v>0</v>
      </c>
      <c r="F281">
        <v>62500</v>
      </c>
      <c r="G281" t="s">
        <v>17</v>
      </c>
      <c r="I281" t="s">
        <v>16</v>
      </c>
      <c r="J281" t="s">
        <v>180</v>
      </c>
      <c r="K281" t="s">
        <v>25</v>
      </c>
      <c r="L281">
        <v>132757294</v>
      </c>
      <c r="R281">
        <v>9731</v>
      </c>
      <c r="S281" t="s">
        <v>37</v>
      </c>
      <c r="T281">
        <v>48</v>
      </c>
      <c r="U281">
        <v>0</v>
      </c>
      <c r="V281">
        <v>1.5280689999999999</v>
      </c>
      <c r="W281">
        <v>1.5276000000000001</v>
      </c>
      <c r="X281">
        <v>0</v>
      </c>
    </row>
    <row r="282" spans="1:40" x14ac:dyDescent="0.25">
      <c r="A282" t="s">
        <v>15</v>
      </c>
      <c r="B282" t="s">
        <v>24</v>
      </c>
      <c r="C282">
        <v>20150316</v>
      </c>
      <c r="D282">
        <v>0</v>
      </c>
      <c r="F282">
        <v>62500</v>
      </c>
      <c r="G282" t="s">
        <v>17</v>
      </c>
      <c r="I282" t="s">
        <v>16</v>
      </c>
      <c r="J282" t="s">
        <v>180</v>
      </c>
      <c r="K282" t="s">
        <v>25</v>
      </c>
      <c r="L282">
        <v>132757294</v>
      </c>
      <c r="R282">
        <v>9731</v>
      </c>
      <c r="S282" t="s">
        <v>37</v>
      </c>
      <c r="T282">
        <v>48</v>
      </c>
      <c r="U282">
        <v>0</v>
      </c>
      <c r="V282">
        <v>1.5280689999999999</v>
      </c>
      <c r="W282">
        <v>1.5276000000000001</v>
      </c>
      <c r="X282">
        <v>0</v>
      </c>
    </row>
    <row r="283" spans="1:40" x14ac:dyDescent="0.25">
      <c r="A283" t="s">
        <v>15</v>
      </c>
      <c r="B283" t="s">
        <v>24</v>
      </c>
      <c r="C283">
        <v>20150316</v>
      </c>
      <c r="D283">
        <v>0</v>
      </c>
      <c r="F283">
        <v>62500</v>
      </c>
      <c r="G283" t="s">
        <v>17</v>
      </c>
      <c r="I283" t="s">
        <v>16</v>
      </c>
      <c r="J283" t="s">
        <v>180</v>
      </c>
      <c r="K283" t="s">
        <v>25</v>
      </c>
      <c r="L283">
        <v>132757294</v>
      </c>
      <c r="R283">
        <v>9731</v>
      </c>
      <c r="S283" t="s">
        <v>37</v>
      </c>
      <c r="T283">
        <v>48</v>
      </c>
      <c r="U283">
        <v>0</v>
      </c>
      <c r="V283">
        <v>1.5280689999999999</v>
      </c>
      <c r="W283">
        <v>1.5276000000000001</v>
      </c>
      <c r="X283">
        <v>0</v>
      </c>
    </row>
    <row r="284" spans="1:40" x14ac:dyDescent="0.25">
      <c r="A284" t="s">
        <v>15</v>
      </c>
      <c r="B284" t="s">
        <v>24</v>
      </c>
      <c r="C284">
        <v>20150316</v>
      </c>
      <c r="D284">
        <v>0</v>
      </c>
      <c r="F284">
        <v>62500</v>
      </c>
      <c r="G284" t="s">
        <v>17</v>
      </c>
      <c r="I284" t="s">
        <v>16</v>
      </c>
      <c r="J284" t="s">
        <v>180</v>
      </c>
      <c r="K284" t="s">
        <v>25</v>
      </c>
      <c r="L284">
        <v>132757294</v>
      </c>
      <c r="R284">
        <v>9731</v>
      </c>
      <c r="S284" t="s">
        <v>37</v>
      </c>
      <c r="T284">
        <v>48</v>
      </c>
      <c r="U284">
        <v>0</v>
      </c>
      <c r="V284">
        <v>1.5280689999999999</v>
      </c>
      <c r="W284">
        <v>1.5276000000000001</v>
      </c>
      <c r="X284">
        <v>0</v>
      </c>
    </row>
    <row r="285" spans="1:40" x14ac:dyDescent="0.25">
      <c r="A285" t="s">
        <v>15</v>
      </c>
      <c r="B285" t="s">
        <v>24</v>
      </c>
      <c r="C285">
        <v>20150316</v>
      </c>
      <c r="D285">
        <v>0</v>
      </c>
      <c r="F285">
        <v>62500</v>
      </c>
      <c r="G285" t="s">
        <v>17</v>
      </c>
      <c r="I285" t="s">
        <v>16</v>
      </c>
      <c r="J285" t="s">
        <v>180</v>
      </c>
      <c r="K285" t="s">
        <v>25</v>
      </c>
      <c r="L285">
        <v>132757294</v>
      </c>
      <c r="R285">
        <v>9731</v>
      </c>
      <c r="S285" t="s">
        <v>37</v>
      </c>
      <c r="T285">
        <v>48</v>
      </c>
      <c r="U285">
        <v>0</v>
      </c>
      <c r="V285">
        <v>1.5280689999999999</v>
      </c>
      <c r="W285">
        <v>1.5276000000000001</v>
      </c>
      <c r="X285">
        <v>0</v>
      </c>
    </row>
    <row r="286" spans="1:40" x14ac:dyDescent="0.25">
      <c r="A286" t="s">
        <v>15</v>
      </c>
      <c r="B286" t="s">
        <v>24</v>
      </c>
      <c r="C286">
        <v>20150316</v>
      </c>
      <c r="D286">
        <v>0</v>
      </c>
      <c r="F286">
        <v>62500</v>
      </c>
      <c r="G286" t="s">
        <v>17</v>
      </c>
      <c r="I286" t="s">
        <v>16</v>
      </c>
      <c r="J286" t="s">
        <v>180</v>
      </c>
      <c r="K286" t="s">
        <v>25</v>
      </c>
      <c r="L286">
        <v>132757294</v>
      </c>
      <c r="R286">
        <v>9732</v>
      </c>
      <c r="S286" t="s">
        <v>232</v>
      </c>
      <c r="T286">
        <v>0</v>
      </c>
      <c r="U286">
        <v>-47</v>
      </c>
      <c r="V286">
        <v>0</v>
      </c>
      <c r="W286">
        <v>0</v>
      </c>
      <c r="X286">
        <v>0</v>
      </c>
    </row>
    <row r="287" spans="1:40" x14ac:dyDescent="0.25">
      <c r="A287" t="s">
        <v>15</v>
      </c>
      <c r="B287" t="s">
        <v>24</v>
      </c>
      <c r="C287">
        <v>20150316</v>
      </c>
      <c r="D287">
        <v>0</v>
      </c>
      <c r="F287">
        <v>62500</v>
      </c>
      <c r="G287" t="s">
        <v>17</v>
      </c>
      <c r="I287" t="s">
        <v>16</v>
      </c>
      <c r="J287" t="s">
        <v>180</v>
      </c>
      <c r="K287" t="s">
        <v>25</v>
      </c>
      <c r="L287">
        <v>132757294</v>
      </c>
      <c r="R287">
        <v>9732</v>
      </c>
      <c r="S287" t="s">
        <v>232</v>
      </c>
      <c r="T287">
        <v>0</v>
      </c>
      <c r="U287">
        <v>-47</v>
      </c>
      <c r="V287">
        <v>0</v>
      </c>
      <c r="W287">
        <v>0</v>
      </c>
      <c r="X287">
        <v>0</v>
      </c>
    </row>
    <row r="288" spans="1:40" x14ac:dyDescent="0.25">
      <c r="A288" t="s">
        <v>15</v>
      </c>
      <c r="B288" t="s">
        <v>24</v>
      </c>
      <c r="C288">
        <v>20150316</v>
      </c>
      <c r="D288">
        <v>0</v>
      </c>
      <c r="F288">
        <v>62500</v>
      </c>
      <c r="G288" t="s">
        <v>17</v>
      </c>
      <c r="I288" t="s">
        <v>16</v>
      </c>
      <c r="J288" t="s">
        <v>180</v>
      </c>
      <c r="K288" t="s">
        <v>25</v>
      </c>
      <c r="L288">
        <v>132757294</v>
      </c>
      <c r="R288">
        <v>9732</v>
      </c>
      <c r="S288" t="s">
        <v>192</v>
      </c>
      <c r="T288">
        <v>0</v>
      </c>
      <c r="U288">
        <v>47</v>
      </c>
      <c r="V288">
        <v>0</v>
      </c>
      <c r="W288">
        <v>0</v>
      </c>
      <c r="X288">
        <v>0</v>
      </c>
    </row>
    <row r="289" spans="1:24" x14ac:dyDescent="0.25">
      <c r="A289" t="s">
        <v>15</v>
      </c>
      <c r="B289" t="s">
        <v>24</v>
      </c>
      <c r="C289">
        <v>20150316</v>
      </c>
      <c r="D289">
        <v>0</v>
      </c>
      <c r="F289">
        <v>62500</v>
      </c>
      <c r="G289" t="s">
        <v>17</v>
      </c>
      <c r="I289" t="s">
        <v>16</v>
      </c>
      <c r="J289" t="s">
        <v>180</v>
      </c>
      <c r="K289" t="s">
        <v>25</v>
      </c>
      <c r="L289">
        <v>132757294</v>
      </c>
      <c r="R289">
        <v>9733</v>
      </c>
      <c r="S289" t="s">
        <v>232</v>
      </c>
      <c r="T289">
        <v>0</v>
      </c>
      <c r="U289">
        <v>14</v>
      </c>
      <c r="V289">
        <v>0</v>
      </c>
      <c r="W289">
        <v>0</v>
      </c>
      <c r="X289">
        <v>0</v>
      </c>
    </row>
    <row r="290" spans="1:24" x14ac:dyDescent="0.25">
      <c r="A290" t="s">
        <v>15</v>
      </c>
      <c r="B290" t="s">
        <v>24</v>
      </c>
      <c r="C290">
        <v>20150316</v>
      </c>
      <c r="D290">
        <v>0</v>
      </c>
      <c r="F290">
        <v>62500</v>
      </c>
      <c r="G290" t="s">
        <v>17</v>
      </c>
      <c r="I290" t="s">
        <v>16</v>
      </c>
      <c r="J290" t="s">
        <v>180</v>
      </c>
      <c r="K290" t="s">
        <v>25</v>
      </c>
      <c r="L290">
        <v>132757294</v>
      </c>
      <c r="R290">
        <v>9730</v>
      </c>
      <c r="S290" t="s">
        <v>223</v>
      </c>
      <c r="T290">
        <v>0</v>
      </c>
      <c r="U290">
        <v>48</v>
      </c>
      <c r="V290">
        <v>0</v>
      </c>
      <c r="W290">
        <v>0</v>
      </c>
      <c r="X290">
        <v>0</v>
      </c>
    </row>
    <row r="291" spans="1:24" x14ac:dyDescent="0.25">
      <c r="A291" t="s">
        <v>15</v>
      </c>
      <c r="B291" t="s">
        <v>24</v>
      </c>
      <c r="C291">
        <v>20150316</v>
      </c>
      <c r="D291">
        <v>0</v>
      </c>
      <c r="F291">
        <v>62500</v>
      </c>
      <c r="G291" t="s">
        <v>17</v>
      </c>
      <c r="I291" t="s">
        <v>16</v>
      </c>
      <c r="J291" t="s">
        <v>180</v>
      </c>
      <c r="K291" t="s">
        <v>25</v>
      </c>
      <c r="L291">
        <v>132757294</v>
      </c>
      <c r="R291">
        <v>9730</v>
      </c>
      <c r="S291" t="s">
        <v>224</v>
      </c>
      <c r="T291">
        <v>0</v>
      </c>
      <c r="U291">
        <v>48</v>
      </c>
      <c r="V291">
        <v>0</v>
      </c>
      <c r="W291">
        <v>0</v>
      </c>
      <c r="X291">
        <v>0</v>
      </c>
    </row>
    <row r="292" spans="1:24" x14ac:dyDescent="0.25">
      <c r="A292" t="s">
        <v>15</v>
      </c>
      <c r="B292" t="s">
        <v>24</v>
      </c>
      <c r="C292">
        <v>20150316</v>
      </c>
      <c r="D292">
        <v>0</v>
      </c>
      <c r="F292">
        <v>62500</v>
      </c>
      <c r="G292" t="s">
        <v>17</v>
      </c>
      <c r="I292" t="s">
        <v>16</v>
      </c>
      <c r="J292" t="s">
        <v>180</v>
      </c>
      <c r="K292" t="s">
        <v>25</v>
      </c>
      <c r="L292">
        <v>132757294</v>
      </c>
      <c r="R292">
        <v>9732</v>
      </c>
      <c r="S292" t="s">
        <v>223</v>
      </c>
      <c r="T292">
        <v>0</v>
      </c>
      <c r="U292">
        <v>47</v>
      </c>
      <c r="V292">
        <v>0</v>
      </c>
      <c r="W292">
        <v>0</v>
      </c>
      <c r="X292">
        <v>0</v>
      </c>
    </row>
    <row r="293" spans="1:24" x14ac:dyDescent="0.25">
      <c r="A293" t="s">
        <v>15</v>
      </c>
      <c r="B293" t="s">
        <v>24</v>
      </c>
      <c r="C293">
        <v>20150316</v>
      </c>
      <c r="D293">
        <v>0</v>
      </c>
      <c r="F293">
        <v>62500</v>
      </c>
      <c r="G293" t="s">
        <v>17</v>
      </c>
      <c r="I293" t="s">
        <v>16</v>
      </c>
      <c r="J293" t="s">
        <v>180</v>
      </c>
      <c r="K293" t="s">
        <v>25</v>
      </c>
      <c r="L293">
        <v>132757294</v>
      </c>
      <c r="R293">
        <v>9732</v>
      </c>
      <c r="S293" t="s">
        <v>224</v>
      </c>
      <c r="T293">
        <v>0</v>
      </c>
      <c r="U293">
        <v>47</v>
      </c>
      <c r="V293">
        <v>0</v>
      </c>
      <c r="W293">
        <v>0</v>
      </c>
      <c r="X293">
        <v>0</v>
      </c>
    </row>
    <row r="294" spans="1:24" x14ac:dyDescent="0.25">
      <c r="A294" t="s">
        <v>15</v>
      </c>
      <c r="B294" t="s">
        <v>24</v>
      </c>
      <c r="C294">
        <v>20150316</v>
      </c>
      <c r="D294">
        <v>0</v>
      </c>
      <c r="F294">
        <v>62500</v>
      </c>
      <c r="G294" t="s">
        <v>17</v>
      </c>
      <c r="I294" t="s">
        <v>16</v>
      </c>
      <c r="J294" t="s">
        <v>180</v>
      </c>
      <c r="K294" t="s">
        <v>25</v>
      </c>
      <c r="L294">
        <v>132757294</v>
      </c>
      <c r="R294">
        <v>9733</v>
      </c>
      <c r="S294" t="s">
        <v>232</v>
      </c>
      <c r="T294">
        <v>0</v>
      </c>
      <c r="U294">
        <v>14</v>
      </c>
      <c r="V294">
        <v>0</v>
      </c>
      <c r="W294">
        <v>0</v>
      </c>
      <c r="X294">
        <v>0</v>
      </c>
    </row>
    <row r="295" spans="1:24" x14ac:dyDescent="0.25">
      <c r="A295" t="s">
        <v>15</v>
      </c>
      <c r="B295" t="s">
        <v>24</v>
      </c>
      <c r="C295">
        <v>20150316</v>
      </c>
      <c r="D295">
        <v>0</v>
      </c>
      <c r="F295">
        <v>62500</v>
      </c>
      <c r="G295" t="s">
        <v>17</v>
      </c>
      <c r="I295" t="s">
        <v>16</v>
      </c>
      <c r="J295" t="s">
        <v>180</v>
      </c>
      <c r="K295" t="s">
        <v>25</v>
      </c>
      <c r="L295">
        <v>132757294</v>
      </c>
      <c r="R295">
        <v>9733</v>
      </c>
      <c r="S295" t="s">
        <v>192</v>
      </c>
      <c r="T295">
        <v>0</v>
      </c>
      <c r="U295">
        <v>14</v>
      </c>
      <c r="V295">
        <v>0</v>
      </c>
      <c r="W295">
        <v>0</v>
      </c>
      <c r="X295">
        <v>0</v>
      </c>
    </row>
    <row r="296" spans="1:24" x14ac:dyDescent="0.25">
      <c r="A296" t="s">
        <v>15</v>
      </c>
      <c r="B296" t="s">
        <v>24</v>
      </c>
      <c r="C296">
        <v>20150316</v>
      </c>
      <c r="D296">
        <v>0</v>
      </c>
      <c r="F296">
        <v>62500</v>
      </c>
      <c r="G296" t="s">
        <v>17</v>
      </c>
      <c r="I296" t="s">
        <v>16</v>
      </c>
      <c r="J296" t="s">
        <v>180</v>
      </c>
      <c r="K296" t="s">
        <v>25</v>
      </c>
      <c r="L296">
        <v>132757294</v>
      </c>
      <c r="R296">
        <v>9734</v>
      </c>
      <c r="S296" t="s">
        <v>232</v>
      </c>
      <c r="T296">
        <v>0</v>
      </c>
      <c r="U296">
        <v>-14</v>
      </c>
      <c r="V296">
        <v>0</v>
      </c>
      <c r="W296">
        <v>0</v>
      </c>
      <c r="X296">
        <v>0</v>
      </c>
    </row>
    <row r="297" spans="1:24" x14ac:dyDescent="0.25">
      <c r="A297" t="s">
        <v>15</v>
      </c>
      <c r="B297" t="s">
        <v>24</v>
      </c>
      <c r="C297">
        <v>20150316</v>
      </c>
      <c r="D297">
        <v>0</v>
      </c>
      <c r="F297">
        <v>62500</v>
      </c>
      <c r="G297" t="s">
        <v>17</v>
      </c>
      <c r="I297" t="s">
        <v>16</v>
      </c>
      <c r="J297" t="s">
        <v>180</v>
      </c>
      <c r="K297" t="s">
        <v>25</v>
      </c>
      <c r="L297">
        <v>132757294</v>
      </c>
      <c r="R297">
        <v>9734</v>
      </c>
      <c r="S297" t="s">
        <v>232</v>
      </c>
      <c r="T297">
        <v>0</v>
      </c>
      <c r="U297">
        <v>-14</v>
      </c>
      <c r="V297">
        <v>0</v>
      </c>
      <c r="W297">
        <v>0</v>
      </c>
      <c r="X297">
        <v>0</v>
      </c>
    </row>
    <row r="298" spans="1:24" x14ac:dyDescent="0.25">
      <c r="A298" t="s">
        <v>15</v>
      </c>
      <c r="B298" t="s">
        <v>24</v>
      </c>
      <c r="C298">
        <v>20150316</v>
      </c>
      <c r="D298">
        <v>0</v>
      </c>
      <c r="F298">
        <v>62500</v>
      </c>
      <c r="G298" t="s">
        <v>17</v>
      </c>
      <c r="I298" t="s">
        <v>16</v>
      </c>
      <c r="J298" t="s">
        <v>180</v>
      </c>
      <c r="K298" t="s">
        <v>25</v>
      </c>
      <c r="L298">
        <v>132757294</v>
      </c>
      <c r="R298">
        <v>9734</v>
      </c>
      <c r="S298" t="s">
        <v>192</v>
      </c>
      <c r="T298">
        <v>0</v>
      </c>
      <c r="U298">
        <v>14</v>
      </c>
      <c r="V298">
        <v>0</v>
      </c>
      <c r="W298">
        <v>0</v>
      </c>
      <c r="X298">
        <v>0</v>
      </c>
    </row>
    <row r="299" spans="1:24" x14ac:dyDescent="0.25">
      <c r="A299" t="s">
        <v>15</v>
      </c>
      <c r="B299" t="s">
        <v>24</v>
      </c>
      <c r="C299">
        <v>20150316</v>
      </c>
      <c r="D299">
        <v>0</v>
      </c>
      <c r="F299">
        <v>62500</v>
      </c>
      <c r="G299" t="s">
        <v>17</v>
      </c>
      <c r="I299" t="s">
        <v>16</v>
      </c>
      <c r="J299" t="s">
        <v>180</v>
      </c>
      <c r="K299" t="s">
        <v>25</v>
      </c>
      <c r="L299">
        <v>132757294</v>
      </c>
      <c r="R299">
        <v>9735</v>
      </c>
      <c r="S299" t="s">
        <v>232</v>
      </c>
      <c r="T299">
        <v>0</v>
      </c>
      <c r="U299">
        <v>5</v>
      </c>
      <c r="V299">
        <v>0</v>
      </c>
      <c r="W299">
        <v>0</v>
      </c>
      <c r="X299">
        <v>0</v>
      </c>
    </row>
    <row r="300" spans="1:24" x14ac:dyDescent="0.25">
      <c r="A300" t="s">
        <v>15</v>
      </c>
      <c r="B300" t="s">
        <v>24</v>
      </c>
      <c r="C300">
        <v>20150316</v>
      </c>
      <c r="D300">
        <v>0</v>
      </c>
      <c r="F300">
        <v>62500</v>
      </c>
      <c r="G300" t="s">
        <v>17</v>
      </c>
      <c r="I300" t="s">
        <v>16</v>
      </c>
      <c r="J300" t="s">
        <v>180</v>
      </c>
      <c r="K300" t="s">
        <v>25</v>
      </c>
      <c r="L300">
        <v>132757294</v>
      </c>
      <c r="R300">
        <v>9735</v>
      </c>
      <c r="S300" t="s">
        <v>232</v>
      </c>
      <c r="T300">
        <v>0</v>
      </c>
      <c r="U300">
        <v>5</v>
      </c>
      <c r="V300">
        <v>0</v>
      </c>
      <c r="W300">
        <v>0</v>
      </c>
      <c r="X300">
        <v>0</v>
      </c>
    </row>
    <row r="301" spans="1:24" x14ac:dyDescent="0.25">
      <c r="A301" t="s">
        <v>15</v>
      </c>
      <c r="B301" t="s">
        <v>24</v>
      </c>
      <c r="C301">
        <v>20150316</v>
      </c>
      <c r="D301">
        <v>0</v>
      </c>
      <c r="F301">
        <v>62500</v>
      </c>
      <c r="G301" t="s">
        <v>17</v>
      </c>
      <c r="I301" t="s">
        <v>16</v>
      </c>
      <c r="J301" t="s">
        <v>180</v>
      </c>
      <c r="K301" t="s">
        <v>25</v>
      </c>
      <c r="L301">
        <v>132757294</v>
      </c>
      <c r="R301">
        <v>9735</v>
      </c>
      <c r="S301" t="s">
        <v>233</v>
      </c>
      <c r="T301">
        <v>0</v>
      </c>
      <c r="U301">
        <v>5</v>
      </c>
      <c r="V301">
        <v>0</v>
      </c>
      <c r="W301">
        <v>0</v>
      </c>
      <c r="X301">
        <v>0</v>
      </c>
    </row>
    <row r="302" spans="1:24" x14ac:dyDescent="0.25">
      <c r="A302" t="s">
        <v>15</v>
      </c>
      <c r="B302" t="s">
        <v>24</v>
      </c>
      <c r="C302">
        <v>20150316</v>
      </c>
      <c r="D302">
        <v>0</v>
      </c>
      <c r="F302">
        <v>62500</v>
      </c>
      <c r="G302" t="s">
        <v>17</v>
      </c>
      <c r="I302" t="s">
        <v>16</v>
      </c>
      <c r="J302" t="s">
        <v>180</v>
      </c>
      <c r="K302" t="s">
        <v>25</v>
      </c>
      <c r="L302">
        <v>132757294</v>
      </c>
      <c r="R302">
        <v>9735</v>
      </c>
      <c r="S302" t="s">
        <v>223</v>
      </c>
      <c r="T302">
        <v>0</v>
      </c>
      <c r="U302">
        <v>5</v>
      </c>
      <c r="V302">
        <v>0</v>
      </c>
      <c r="W302">
        <v>0</v>
      </c>
      <c r="X302">
        <v>0</v>
      </c>
    </row>
    <row r="303" spans="1:24" x14ac:dyDescent="0.25">
      <c r="A303" t="s">
        <v>15</v>
      </c>
      <c r="B303" t="s">
        <v>24</v>
      </c>
      <c r="C303">
        <v>20150316</v>
      </c>
      <c r="D303">
        <v>0</v>
      </c>
      <c r="F303">
        <v>62500</v>
      </c>
      <c r="G303" t="s">
        <v>17</v>
      </c>
      <c r="I303" t="s">
        <v>16</v>
      </c>
      <c r="J303" t="s">
        <v>180</v>
      </c>
      <c r="K303" t="s">
        <v>25</v>
      </c>
      <c r="L303">
        <v>132757294</v>
      </c>
      <c r="R303">
        <v>9735</v>
      </c>
      <c r="S303" t="s">
        <v>224</v>
      </c>
      <c r="T303">
        <v>0</v>
      </c>
      <c r="U303">
        <v>5</v>
      </c>
      <c r="V303">
        <v>0</v>
      </c>
      <c r="W303">
        <v>0</v>
      </c>
      <c r="X303">
        <v>0</v>
      </c>
    </row>
    <row r="304" spans="1:24" x14ac:dyDescent="0.25">
      <c r="A304" t="s">
        <v>15</v>
      </c>
      <c r="B304" t="s">
        <v>24</v>
      </c>
      <c r="C304">
        <v>20150316</v>
      </c>
      <c r="D304">
        <v>0</v>
      </c>
      <c r="F304">
        <v>62500</v>
      </c>
      <c r="G304" t="s">
        <v>17</v>
      </c>
      <c r="I304" t="s">
        <v>16</v>
      </c>
      <c r="J304" t="s">
        <v>180</v>
      </c>
      <c r="K304" t="s">
        <v>25</v>
      </c>
      <c r="L304">
        <v>132757294</v>
      </c>
      <c r="R304">
        <v>9736</v>
      </c>
      <c r="S304" t="s">
        <v>232</v>
      </c>
      <c r="T304">
        <v>0</v>
      </c>
      <c r="U304">
        <v>5</v>
      </c>
      <c r="V304">
        <v>0</v>
      </c>
      <c r="W304">
        <v>0</v>
      </c>
      <c r="X304">
        <v>0</v>
      </c>
    </row>
    <row r="305" spans="1:40" x14ac:dyDescent="0.25">
      <c r="A305" t="s">
        <v>15</v>
      </c>
      <c r="B305" t="s">
        <v>24</v>
      </c>
      <c r="C305">
        <v>20150316</v>
      </c>
      <c r="D305">
        <v>0</v>
      </c>
      <c r="F305">
        <v>62500</v>
      </c>
      <c r="G305" t="s">
        <v>17</v>
      </c>
      <c r="I305" t="s">
        <v>16</v>
      </c>
      <c r="J305" t="s">
        <v>180</v>
      </c>
      <c r="K305" t="s">
        <v>25</v>
      </c>
      <c r="L305">
        <v>132757294</v>
      </c>
      <c r="R305">
        <v>9736</v>
      </c>
      <c r="S305" t="s">
        <v>232</v>
      </c>
      <c r="T305">
        <v>0</v>
      </c>
      <c r="U305">
        <v>5</v>
      </c>
      <c r="V305">
        <v>0</v>
      </c>
      <c r="W305">
        <v>0</v>
      </c>
      <c r="X305">
        <v>0</v>
      </c>
    </row>
    <row r="306" spans="1:40" x14ac:dyDescent="0.25">
      <c r="A306" t="s">
        <v>15</v>
      </c>
      <c r="B306" t="s">
        <v>24</v>
      </c>
      <c r="C306">
        <v>20150316</v>
      </c>
      <c r="D306">
        <v>0</v>
      </c>
      <c r="F306">
        <v>62500</v>
      </c>
      <c r="G306" t="s">
        <v>17</v>
      </c>
      <c r="I306" t="s">
        <v>16</v>
      </c>
      <c r="J306" t="s">
        <v>180</v>
      </c>
      <c r="K306" t="s">
        <v>25</v>
      </c>
      <c r="L306">
        <v>132757294</v>
      </c>
      <c r="R306">
        <v>9736</v>
      </c>
      <c r="S306" t="s">
        <v>233</v>
      </c>
      <c r="T306">
        <v>0</v>
      </c>
      <c r="U306">
        <v>5</v>
      </c>
      <c r="V306">
        <v>0</v>
      </c>
      <c r="W306">
        <v>0</v>
      </c>
      <c r="X306">
        <v>0</v>
      </c>
    </row>
    <row r="307" spans="1:40" x14ac:dyDescent="0.25">
      <c r="A307" t="s">
        <v>15</v>
      </c>
      <c r="B307" t="s">
        <v>24</v>
      </c>
      <c r="C307">
        <v>20150316</v>
      </c>
      <c r="D307">
        <v>0</v>
      </c>
      <c r="F307">
        <v>62500</v>
      </c>
      <c r="G307" t="s">
        <v>17</v>
      </c>
      <c r="I307" t="s">
        <v>16</v>
      </c>
      <c r="J307" t="s">
        <v>180</v>
      </c>
      <c r="K307" t="s">
        <v>25</v>
      </c>
      <c r="L307">
        <v>132757294</v>
      </c>
      <c r="R307">
        <v>9736</v>
      </c>
      <c r="S307" t="s">
        <v>223</v>
      </c>
      <c r="T307">
        <v>0</v>
      </c>
      <c r="U307">
        <v>5</v>
      </c>
      <c r="V307">
        <v>0</v>
      </c>
      <c r="W307">
        <v>0</v>
      </c>
      <c r="X307">
        <v>0</v>
      </c>
    </row>
    <row r="308" spans="1:40" x14ac:dyDescent="0.25">
      <c r="A308" t="s">
        <v>15</v>
      </c>
      <c r="B308" t="s">
        <v>24</v>
      </c>
      <c r="C308">
        <v>20150316</v>
      </c>
      <c r="D308">
        <v>0</v>
      </c>
      <c r="F308">
        <v>62500</v>
      </c>
      <c r="G308" t="s">
        <v>17</v>
      </c>
      <c r="I308" t="s">
        <v>16</v>
      </c>
      <c r="J308" t="s">
        <v>180</v>
      </c>
      <c r="K308" t="s">
        <v>25</v>
      </c>
      <c r="L308">
        <v>132757294</v>
      </c>
      <c r="R308">
        <v>9736</v>
      </c>
      <c r="S308" t="s">
        <v>224</v>
      </c>
      <c r="T308">
        <v>0</v>
      </c>
      <c r="U308">
        <v>5</v>
      </c>
      <c r="V308">
        <v>0</v>
      </c>
      <c r="W308">
        <v>0</v>
      </c>
      <c r="X308">
        <v>0</v>
      </c>
    </row>
    <row r="309" spans="1:40" x14ac:dyDescent="0.25">
      <c r="A309" t="s">
        <v>15</v>
      </c>
      <c r="B309" t="s">
        <v>24</v>
      </c>
      <c r="C309">
        <v>20150316</v>
      </c>
      <c r="D309">
        <v>0</v>
      </c>
      <c r="F309">
        <v>62500</v>
      </c>
      <c r="G309" t="s">
        <v>17</v>
      </c>
      <c r="I309" t="s">
        <v>16</v>
      </c>
      <c r="J309" t="s">
        <v>180</v>
      </c>
      <c r="K309" t="s">
        <v>25</v>
      </c>
      <c r="L309">
        <v>132757294</v>
      </c>
      <c r="R309">
        <v>9737</v>
      </c>
      <c r="S309" t="s">
        <v>232</v>
      </c>
      <c r="T309">
        <v>0</v>
      </c>
      <c r="U309">
        <v>5</v>
      </c>
      <c r="V309">
        <v>0</v>
      </c>
      <c r="W309">
        <v>0</v>
      </c>
      <c r="X309">
        <v>0</v>
      </c>
    </row>
    <row r="310" spans="1:40" x14ac:dyDescent="0.25">
      <c r="A310" t="s">
        <v>15</v>
      </c>
      <c r="B310" t="s">
        <v>24</v>
      </c>
      <c r="C310">
        <v>20150316</v>
      </c>
      <c r="D310">
        <v>0</v>
      </c>
      <c r="F310">
        <v>62500</v>
      </c>
      <c r="G310" t="s">
        <v>17</v>
      </c>
      <c r="I310" t="s">
        <v>16</v>
      </c>
      <c r="J310" t="s">
        <v>180</v>
      </c>
      <c r="K310" t="s">
        <v>25</v>
      </c>
      <c r="L310">
        <v>132757294</v>
      </c>
      <c r="R310">
        <v>9737</v>
      </c>
      <c r="S310" t="s">
        <v>232</v>
      </c>
      <c r="T310">
        <v>0</v>
      </c>
      <c r="U310">
        <v>-5</v>
      </c>
      <c r="V310">
        <v>0</v>
      </c>
      <c r="W310">
        <v>0</v>
      </c>
      <c r="X310">
        <v>0</v>
      </c>
      <c r="Y310">
        <v>9737</v>
      </c>
      <c r="Z310" t="s">
        <v>3902</v>
      </c>
      <c r="AA310" t="s">
        <v>3903</v>
      </c>
      <c r="AB310" t="s">
        <v>234</v>
      </c>
      <c r="AC310" t="s">
        <v>17</v>
      </c>
      <c r="AD310" t="s">
        <v>235</v>
      </c>
      <c r="AE310">
        <v>5</v>
      </c>
      <c r="AF310">
        <v>5</v>
      </c>
      <c r="AG310">
        <v>1.5288999999999999</v>
      </c>
      <c r="AH310">
        <v>1.5288999999999999</v>
      </c>
      <c r="AI310">
        <v>1226100193</v>
      </c>
      <c r="AJ310">
        <v>0</v>
      </c>
      <c r="AK310">
        <v>7</v>
      </c>
      <c r="AN310">
        <v>0</v>
      </c>
    </row>
    <row r="311" spans="1:40" x14ac:dyDescent="0.25">
      <c r="A311" t="s">
        <v>15</v>
      </c>
      <c r="B311" t="s">
        <v>24</v>
      </c>
      <c r="C311">
        <v>20150316</v>
      </c>
      <c r="D311">
        <v>0</v>
      </c>
      <c r="F311">
        <v>62500</v>
      </c>
      <c r="G311" t="s">
        <v>17</v>
      </c>
      <c r="I311" t="s">
        <v>16</v>
      </c>
      <c r="J311" t="s">
        <v>180</v>
      </c>
      <c r="K311" t="s">
        <v>25</v>
      </c>
      <c r="L311">
        <v>132757294</v>
      </c>
      <c r="R311">
        <v>9737</v>
      </c>
      <c r="S311" t="s">
        <v>232</v>
      </c>
      <c r="T311">
        <v>0</v>
      </c>
      <c r="U311">
        <v>-5</v>
      </c>
      <c r="V311">
        <v>0</v>
      </c>
      <c r="W311">
        <v>0</v>
      </c>
      <c r="X311">
        <v>0</v>
      </c>
    </row>
    <row r="312" spans="1:40" x14ac:dyDescent="0.25">
      <c r="A312" t="s">
        <v>15</v>
      </c>
      <c r="B312" t="s">
        <v>24</v>
      </c>
      <c r="C312">
        <v>20150316</v>
      </c>
      <c r="D312">
        <v>0</v>
      </c>
      <c r="F312">
        <v>62500</v>
      </c>
      <c r="G312" t="s">
        <v>17</v>
      </c>
      <c r="I312" t="s">
        <v>16</v>
      </c>
      <c r="J312" t="s">
        <v>180</v>
      </c>
      <c r="K312" t="s">
        <v>25</v>
      </c>
      <c r="L312">
        <v>132757294</v>
      </c>
      <c r="R312">
        <v>9737</v>
      </c>
      <c r="S312" t="s">
        <v>37</v>
      </c>
      <c r="T312">
        <v>5</v>
      </c>
      <c r="U312">
        <v>0</v>
      </c>
      <c r="V312">
        <v>1.5288999999999999</v>
      </c>
      <c r="W312">
        <v>1.5288999999999999</v>
      </c>
      <c r="X312">
        <v>0</v>
      </c>
    </row>
    <row r="313" spans="1:40" x14ac:dyDescent="0.25">
      <c r="A313" t="s">
        <v>15</v>
      </c>
      <c r="B313" t="s">
        <v>24</v>
      </c>
      <c r="C313">
        <v>20150316</v>
      </c>
      <c r="D313">
        <v>0</v>
      </c>
      <c r="F313">
        <v>62500</v>
      </c>
      <c r="G313" t="s">
        <v>17</v>
      </c>
      <c r="I313" t="s">
        <v>16</v>
      </c>
      <c r="J313" t="s">
        <v>180</v>
      </c>
      <c r="K313" t="s">
        <v>25</v>
      </c>
      <c r="L313">
        <v>132757294</v>
      </c>
      <c r="R313">
        <v>9737</v>
      </c>
      <c r="S313" t="s">
        <v>37</v>
      </c>
      <c r="T313">
        <v>5</v>
      </c>
      <c r="U313">
        <v>0</v>
      </c>
      <c r="V313">
        <v>1.5288999999999999</v>
      </c>
      <c r="W313">
        <v>1.5288999999999999</v>
      </c>
      <c r="X313">
        <v>0</v>
      </c>
    </row>
    <row r="314" spans="1:40" x14ac:dyDescent="0.25">
      <c r="A314" t="s">
        <v>15</v>
      </c>
      <c r="B314" t="s">
        <v>24</v>
      </c>
      <c r="C314">
        <v>20150316</v>
      </c>
      <c r="D314">
        <v>0</v>
      </c>
      <c r="F314">
        <v>62500</v>
      </c>
      <c r="G314" t="s">
        <v>17</v>
      </c>
      <c r="I314" t="s">
        <v>16</v>
      </c>
      <c r="J314" t="s">
        <v>180</v>
      </c>
      <c r="K314" t="s">
        <v>25</v>
      </c>
      <c r="L314">
        <v>132757294</v>
      </c>
      <c r="R314">
        <v>9737</v>
      </c>
      <c r="S314" t="s">
        <v>37</v>
      </c>
      <c r="T314">
        <v>5</v>
      </c>
      <c r="U314">
        <v>0</v>
      </c>
      <c r="V314">
        <v>1.5288999999999999</v>
      </c>
      <c r="W314">
        <v>1.5288999999999999</v>
      </c>
      <c r="X314">
        <v>0</v>
      </c>
    </row>
    <row r="315" spans="1:40" x14ac:dyDescent="0.25">
      <c r="A315" t="s">
        <v>15</v>
      </c>
      <c r="B315" t="s">
        <v>24</v>
      </c>
      <c r="C315">
        <v>20150316</v>
      </c>
      <c r="D315">
        <v>0</v>
      </c>
      <c r="F315">
        <v>62500</v>
      </c>
      <c r="G315" t="s">
        <v>17</v>
      </c>
      <c r="I315" t="s">
        <v>16</v>
      </c>
      <c r="J315" t="s">
        <v>180</v>
      </c>
      <c r="K315" t="s">
        <v>25</v>
      </c>
      <c r="L315">
        <v>132757294</v>
      </c>
      <c r="R315">
        <v>9737</v>
      </c>
      <c r="S315" t="s">
        <v>37</v>
      </c>
      <c r="T315">
        <v>5</v>
      </c>
      <c r="U315">
        <v>0</v>
      </c>
      <c r="V315">
        <v>1.5288999999999999</v>
      </c>
      <c r="W315">
        <v>1.5288999999999999</v>
      </c>
      <c r="X315">
        <v>0</v>
      </c>
    </row>
    <row r="316" spans="1:40" x14ac:dyDescent="0.25">
      <c r="A316" t="s">
        <v>15</v>
      </c>
      <c r="B316" t="s">
        <v>24</v>
      </c>
      <c r="C316">
        <v>20150316</v>
      </c>
      <c r="D316">
        <v>0</v>
      </c>
      <c r="F316">
        <v>62500</v>
      </c>
      <c r="G316" t="s">
        <v>17</v>
      </c>
      <c r="I316" t="s">
        <v>16</v>
      </c>
      <c r="J316" t="s">
        <v>180</v>
      </c>
      <c r="K316" t="s">
        <v>25</v>
      </c>
      <c r="L316">
        <v>132757294</v>
      </c>
      <c r="R316">
        <v>9737</v>
      </c>
      <c r="S316" t="s">
        <v>37</v>
      </c>
      <c r="T316">
        <v>5</v>
      </c>
      <c r="U316">
        <v>0</v>
      </c>
      <c r="V316">
        <v>1.5288999999999999</v>
      </c>
      <c r="W316">
        <v>1.5288999999999999</v>
      </c>
      <c r="X316">
        <v>0</v>
      </c>
    </row>
    <row r="317" spans="1:40" x14ac:dyDescent="0.25">
      <c r="A317" t="s">
        <v>15</v>
      </c>
      <c r="B317" t="s">
        <v>24</v>
      </c>
      <c r="C317">
        <v>20150316</v>
      </c>
      <c r="D317">
        <v>0</v>
      </c>
      <c r="F317">
        <v>62500</v>
      </c>
      <c r="G317" t="s">
        <v>17</v>
      </c>
      <c r="I317" t="s">
        <v>16</v>
      </c>
      <c r="J317" t="s">
        <v>180</v>
      </c>
      <c r="K317" t="s">
        <v>25</v>
      </c>
      <c r="L317">
        <v>132757294</v>
      </c>
      <c r="R317">
        <v>9737</v>
      </c>
      <c r="S317" t="s">
        <v>37</v>
      </c>
      <c r="T317">
        <v>5</v>
      </c>
      <c r="U317">
        <v>0</v>
      </c>
      <c r="V317">
        <v>1.5288999999999999</v>
      </c>
      <c r="W317">
        <v>1.5288999999999999</v>
      </c>
      <c r="X317">
        <v>0</v>
      </c>
    </row>
    <row r="318" spans="1:40" x14ac:dyDescent="0.25">
      <c r="A318" t="s">
        <v>15</v>
      </c>
      <c r="B318" t="s">
        <v>24</v>
      </c>
      <c r="C318">
        <v>20150316</v>
      </c>
      <c r="D318">
        <v>0</v>
      </c>
      <c r="F318">
        <v>62500</v>
      </c>
      <c r="G318" t="s">
        <v>17</v>
      </c>
      <c r="I318" t="s">
        <v>16</v>
      </c>
      <c r="J318" t="s">
        <v>180</v>
      </c>
      <c r="K318" t="s">
        <v>25</v>
      </c>
      <c r="L318">
        <v>132757294</v>
      </c>
      <c r="R318">
        <v>9737</v>
      </c>
      <c r="S318" t="s">
        <v>37</v>
      </c>
      <c r="T318">
        <v>5</v>
      </c>
      <c r="U318">
        <v>0</v>
      </c>
      <c r="V318">
        <v>1.5288999999999999</v>
      </c>
      <c r="W318">
        <v>1.5288999999999999</v>
      </c>
      <c r="X318">
        <v>0</v>
      </c>
    </row>
    <row r="319" spans="1:40" x14ac:dyDescent="0.25">
      <c r="A319" t="s">
        <v>15</v>
      </c>
      <c r="B319" t="s">
        <v>24</v>
      </c>
      <c r="C319">
        <v>20150316</v>
      </c>
      <c r="D319">
        <v>0</v>
      </c>
      <c r="F319">
        <v>62500</v>
      </c>
      <c r="G319" t="s">
        <v>17</v>
      </c>
      <c r="I319" t="s">
        <v>16</v>
      </c>
      <c r="J319" t="s">
        <v>180</v>
      </c>
      <c r="K319" t="s">
        <v>25</v>
      </c>
      <c r="L319">
        <v>132757294</v>
      </c>
      <c r="R319">
        <v>9737</v>
      </c>
      <c r="S319" t="s">
        <v>37</v>
      </c>
      <c r="T319">
        <v>5</v>
      </c>
      <c r="U319">
        <v>0</v>
      </c>
      <c r="V319">
        <v>1.5288999999999999</v>
      </c>
      <c r="W319">
        <v>1.5288999999999999</v>
      </c>
      <c r="X319">
        <v>0</v>
      </c>
    </row>
    <row r="320" spans="1:40" x14ac:dyDescent="0.25">
      <c r="A320" t="s">
        <v>15</v>
      </c>
      <c r="B320" t="s">
        <v>24</v>
      </c>
      <c r="C320">
        <v>20150316</v>
      </c>
      <c r="D320">
        <v>0</v>
      </c>
      <c r="F320">
        <v>62500</v>
      </c>
      <c r="G320" t="s">
        <v>17</v>
      </c>
      <c r="I320" t="s">
        <v>16</v>
      </c>
      <c r="J320" t="s">
        <v>180</v>
      </c>
      <c r="K320" t="s">
        <v>25</v>
      </c>
      <c r="L320">
        <v>132757294</v>
      </c>
      <c r="R320">
        <v>9738</v>
      </c>
      <c r="S320" t="s">
        <v>232</v>
      </c>
      <c r="T320">
        <v>0</v>
      </c>
      <c r="U320">
        <v>5</v>
      </c>
      <c r="V320">
        <v>0</v>
      </c>
      <c r="W320">
        <v>0</v>
      </c>
      <c r="X320">
        <v>0</v>
      </c>
    </row>
    <row r="321" spans="1:40" x14ac:dyDescent="0.25">
      <c r="A321" t="s">
        <v>15</v>
      </c>
      <c r="B321" t="s">
        <v>24</v>
      </c>
      <c r="C321">
        <v>20150316</v>
      </c>
      <c r="D321">
        <v>0</v>
      </c>
      <c r="F321">
        <v>62500</v>
      </c>
      <c r="G321" t="s">
        <v>17</v>
      </c>
      <c r="I321" t="s">
        <v>16</v>
      </c>
      <c r="J321" t="s">
        <v>180</v>
      </c>
      <c r="K321" t="s">
        <v>25</v>
      </c>
      <c r="L321">
        <v>132757294</v>
      </c>
      <c r="R321">
        <v>9738</v>
      </c>
      <c r="S321" t="s">
        <v>232</v>
      </c>
      <c r="T321">
        <v>0</v>
      </c>
      <c r="U321">
        <v>5</v>
      </c>
      <c r="V321">
        <v>0</v>
      </c>
      <c r="W321">
        <v>0</v>
      </c>
      <c r="X321">
        <v>0</v>
      </c>
    </row>
    <row r="322" spans="1:40" x14ac:dyDescent="0.25">
      <c r="A322" t="s">
        <v>15</v>
      </c>
      <c r="B322" t="s">
        <v>24</v>
      </c>
      <c r="C322">
        <v>20150316</v>
      </c>
      <c r="D322">
        <v>0</v>
      </c>
      <c r="F322">
        <v>62500</v>
      </c>
      <c r="G322" t="s">
        <v>17</v>
      </c>
      <c r="I322" t="s">
        <v>16</v>
      </c>
      <c r="J322" t="s">
        <v>180</v>
      </c>
      <c r="K322" t="s">
        <v>25</v>
      </c>
      <c r="L322">
        <v>132757294</v>
      </c>
      <c r="R322">
        <v>9738</v>
      </c>
      <c r="S322" t="s">
        <v>233</v>
      </c>
      <c r="T322">
        <v>0</v>
      </c>
      <c r="U322">
        <v>5</v>
      </c>
      <c r="V322">
        <v>0</v>
      </c>
      <c r="W322">
        <v>0</v>
      </c>
      <c r="X322">
        <v>0</v>
      </c>
    </row>
    <row r="323" spans="1:40" x14ac:dyDescent="0.25">
      <c r="A323" t="s">
        <v>15</v>
      </c>
      <c r="B323" t="s">
        <v>24</v>
      </c>
      <c r="C323">
        <v>20150316</v>
      </c>
      <c r="D323">
        <v>0</v>
      </c>
      <c r="F323">
        <v>62500</v>
      </c>
      <c r="G323" t="s">
        <v>17</v>
      </c>
      <c r="I323" t="s">
        <v>16</v>
      </c>
      <c r="J323" t="s">
        <v>180</v>
      </c>
      <c r="K323" t="s">
        <v>25</v>
      </c>
      <c r="L323">
        <v>132757294</v>
      </c>
      <c r="R323">
        <v>9738</v>
      </c>
      <c r="S323" t="s">
        <v>233</v>
      </c>
      <c r="T323">
        <v>0</v>
      </c>
      <c r="U323">
        <v>1</v>
      </c>
      <c r="V323">
        <v>0</v>
      </c>
      <c r="W323">
        <v>0</v>
      </c>
      <c r="X323">
        <v>0</v>
      </c>
      <c r="Y323">
        <v>9738</v>
      </c>
      <c r="Z323" t="s">
        <v>4026</v>
      </c>
      <c r="AA323" t="s">
        <v>4027</v>
      </c>
      <c r="AB323" t="s">
        <v>234</v>
      </c>
      <c r="AC323" t="s">
        <v>17</v>
      </c>
      <c r="AD323" t="s">
        <v>235</v>
      </c>
      <c r="AE323">
        <v>2</v>
      </c>
      <c r="AF323">
        <v>2</v>
      </c>
      <c r="AG323">
        <v>1.5287999999999999</v>
      </c>
      <c r="AH323">
        <v>1.5287999999999999</v>
      </c>
      <c r="AI323">
        <v>1226100194</v>
      </c>
      <c r="AJ323">
        <v>0</v>
      </c>
      <c r="AK323">
        <v>7</v>
      </c>
      <c r="AN323">
        <v>0</v>
      </c>
    </row>
    <row r="324" spans="1:40" x14ac:dyDescent="0.25">
      <c r="A324" t="s">
        <v>15</v>
      </c>
      <c r="B324" t="s">
        <v>24</v>
      </c>
      <c r="C324">
        <v>20150316</v>
      </c>
      <c r="D324">
        <v>0</v>
      </c>
      <c r="F324">
        <v>62500</v>
      </c>
      <c r="G324" t="s">
        <v>17</v>
      </c>
      <c r="I324" t="s">
        <v>16</v>
      </c>
      <c r="J324" t="s">
        <v>180</v>
      </c>
      <c r="K324" t="s">
        <v>25</v>
      </c>
      <c r="L324">
        <v>132757294</v>
      </c>
      <c r="R324">
        <v>9738</v>
      </c>
      <c r="S324" t="s">
        <v>233</v>
      </c>
      <c r="T324">
        <v>0</v>
      </c>
      <c r="U324">
        <v>1</v>
      </c>
      <c r="V324">
        <v>0</v>
      </c>
      <c r="W324">
        <v>0</v>
      </c>
      <c r="X324">
        <v>0</v>
      </c>
    </row>
    <row r="325" spans="1:40" x14ac:dyDescent="0.25">
      <c r="A325" t="s">
        <v>15</v>
      </c>
      <c r="B325" t="s">
        <v>24</v>
      </c>
      <c r="C325">
        <v>20150316</v>
      </c>
      <c r="D325">
        <v>0</v>
      </c>
      <c r="F325">
        <v>62500</v>
      </c>
      <c r="G325" t="s">
        <v>17</v>
      </c>
      <c r="I325" t="s">
        <v>16</v>
      </c>
      <c r="J325" t="s">
        <v>180</v>
      </c>
      <c r="K325" t="s">
        <v>25</v>
      </c>
      <c r="L325">
        <v>132757294</v>
      </c>
      <c r="R325">
        <v>9738</v>
      </c>
      <c r="S325" t="s">
        <v>233</v>
      </c>
      <c r="T325">
        <v>2</v>
      </c>
      <c r="U325">
        <v>3</v>
      </c>
      <c r="V325">
        <v>1.5287999999999999</v>
      </c>
      <c r="W325">
        <v>1.5287999999999999</v>
      </c>
      <c r="X325">
        <v>0</v>
      </c>
    </row>
    <row r="326" spans="1:40" x14ac:dyDescent="0.25">
      <c r="A326" t="s">
        <v>15</v>
      </c>
      <c r="B326" t="s">
        <v>24</v>
      </c>
      <c r="C326">
        <v>20150316</v>
      </c>
      <c r="D326">
        <v>0</v>
      </c>
      <c r="F326">
        <v>62500</v>
      </c>
      <c r="G326" t="s">
        <v>17</v>
      </c>
      <c r="I326" t="s">
        <v>16</v>
      </c>
      <c r="J326" t="s">
        <v>180</v>
      </c>
      <c r="K326" t="s">
        <v>25</v>
      </c>
      <c r="L326">
        <v>132757294</v>
      </c>
      <c r="R326">
        <v>9738</v>
      </c>
      <c r="S326" t="s">
        <v>233</v>
      </c>
      <c r="T326">
        <v>2</v>
      </c>
      <c r="U326">
        <v>3</v>
      </c>
      <c r="V326">
        <v>1.5287999999999999</v>
      </c>
      <c r="W326">
        <v>1.5287999999999999</v>
      </c>
      <c r="X326">
        <v>0</v>
      </c>
    </row>
    <row r="327" spans="1:40" x14ac:dyDescent="0.25">
      <c r="A327" t="s">
        <v>15</v>
      </c>
      <c r="B327" t="s">
        <v>24</v>
      </c>
      <c r="C327">
        <v>20150316</v>
      </c>
      <c r="D327">
        <v>0</v>
      </c>
      <c r="F327">
        <v>62500</v>
      </c>
      <c r="G327" t="s">
        <v>17</v>
      </c>
      <c r="I327" t="s">
        <v>16</v>
      </c>
      <c r="J327" t="s">
        <v>180</v>
      </c>
      <c r="K327" t="s">
        <v>25</v>
      </c>
      <c r="L327">
        <v>132757294</v>
      </c>
      <c r="R327">
        <v>9738</v>
      </c>
      <c r="S327" t="s">
        <v>233</v>
      </c>
      <c r="T327">
        <v>2</v>
      </c>
      <c r="U327">
        <v>3</v>
      </c>
      <c r="V327">
        <v>1.5287999999999999</v>
      </c>
      <c r="W327">
        <v>1.5287999999999999</v>
      </c>
      <c r="X327">
        <v>0</v>
      </c>
    </row>
    <row r="328" spans="1:40" x14ac:dyDescent="0.25">
      <c r="A328" t="s">
        <v>15</v>
      </c>
      <c r="B328" t="s">
        <v>24</v>
      </c>
      <c r="C328">
        <v>20150316</v>
      </c>
      <c r="D328">
        <v>0</v>
      </c>
      <c r="F328">
        <v>62500</v>
      </c>
      <c r="G328" t="s">
        <v>17</v>
      </c>
      <c r="I328" t="s">
        <v>16</v>
      </c>
      <c r="J328" t="s">
        <v>180</v>
      </c>
      <c r="K328" t="s">
        <v>25</v>
      </c>
      <c r="L328">
        <v>132757294</v>
      </c>
      <c r="R328">
        <v>9738</v>
      </c>
      <c r="S328" t="s">
        <v>233</v>
      </c>
      <c r="T328">
        <v>2</v>
      </c>
      <c r="U328">
        <v>-3</v>
      </c>
      <c r="V328">
        <v>1.5287999999999999</v>
      </c>
      <c r="W328">
        <v>1.5287999999999999</v>
      </c>
      <c r="X328">
        <v>0</v>
      </c>
      <c r="Y328">
        <v>9738</v>
      </c>
      <c r="Z328" t="s">
        <v>4053</v>
      </c>
      <c r="AA328" t="s">
        <v>4027</v>
      </c>
      <c r="AB328" t="s">
        <v>234</v>
      </c>
      <c r="AC328" t="s">
        <v>17</v>
      </c>
      <c r="AD328" t="s">
        <v>235</v>
      </c>
      <c r="AE328">
        <v>3</v>
      </c>
      <c r="AF328">
        <v>5</v>
      </c>
      <c r="AG328">
        <v>1.5287999999999999</v>
      </c>
      <c r="AH328">
        <v>1.5287999999999999</v>
      </c>
      <c r="AI328">
        <v>1226100194</v>
      </c>
      <c r="AJ328">
        <v>0</v>
      </c>
      <c r="AK328">
        <v>7</v>
      </c>
      <c r="AN328">
        <v>0</v>
      </c>
    </row>
    <row r="329" spans="1:40" x14ac:dyDescent="0.25">
      <c r="A329" t="s">
        <v>15</v>
      </c>
      <c r="B329" t="s">
        <v>24</v>
      </c>
      <c r="C329">
        <v>20150316</v>
      </c>
      <c r="D329">
        <v>0</v>
      </c>
      <c r="F329">
        <v>62500</v>
      </c>
      <c r="G329" t="s">
        <v>17</v>
      </c>
      <c r="I329" t="s">
        <v>16</v>
      </c>
      <c r="J329" t="s">
        <v>180</v>
      </c>
      <c r="K329" t="s">
        <v>25</v>
      </c>
      <c r="L329">
        <v>132757294</v>
      </c>
      <c r="R329">
        <v>9738</v>
      </c>
      <c r="S329" t="s">
        <v>233</v>
      </c>
      <c r="T329">
        <v>2</v>
      </c>
      <c r="U329">
        <v>-3</v>
      </c>
      <c r="V329">
        <v>1.5287999999999999</v>
      </c>
      <c r="W329">
        <v>1.5287999999999999</v>
      </c>
      <c r="X329">
        <v>0</v>
      </c>
    </row>
    <row r="330" spans="1:40" x14ac:dyDescent="0.25">
      <c r="A330" t="s">
        <v>15</v>
      </c>
      <c r="B330" t="s">
        <v>24</v>
      </c>
      <c r="C330">
        <v>20150316</v>
      </c>
      <c r="D330">
        <v>0</v>
      </c>
      <c r="F330">
        <v>62500</v>
      </c>
      <c r="G330" t="s">
        <v>17</v>
      </c>
      <c r="I330" t="s">
        <v>16</v>
      </c>
      <c r="J330" t="s">
        <v>180</v>
      </c>
      <c r="K330" t="s">
        <v>25</v>
      </c>
      <c r="L330">
        <v>132757294</v>
      </c>
      <c r="R330">
        <v>9738</v>
      </c>
      <c r="S330" t="s">
        <v>37</v>
      </c>
      <c r="T330">
        <v>5</v>
      </c>
      <c r="U330">
        <v>0</v>
      </c>
      <c r="V330">
        <v>1.5287999999999999</v>
      </c>
      <c r="W330">
        <v>1.5287999999999999</v>
      </c>
      <c r="X330">
        <v>0</v>
      </c>
    </row>
    <row r="331" spans="1:40" x14ac:dyDescent="0.25">
      <c r="A331" t="s">
        <v>15</v>
      </c>
      <c r="B331" t="s">
        <v>24</v>
      </c>
      <c r="C331">
        <v>20150316</v>
      </c>
      <c r="D331">
        <v>0</v>
      </c>
      <c r="F331">
        <v>62500</v>
      </c>
      <c r="G331" t="s">
        <v>17</v>
      </c>
      <c r="I331" t="s">
        <v>16</v>
      </c>
      <c r="J331" t="s">
        <v>180</v>
      </c>
      <c r="K331" t="s">
        <v>25</v>
      </c>
      <c r="L331">
        <v>132757294</v>
      </c>
      <c r="R331">
        <v>9738</v>
      </c>
      <c r="S331" t="s">
        <v>37</v>
      </c>
      <c r="T331">
        <v>5</v>
      </c>
      <c r="U331">
        <v>0</v>
      </c>
      <c r="V331">
        <v>1.5287999999999999</v>
      </c>
      <c r="W331">
        <v>1.5287999999999999</v>
      </c>
      <c r="X331">
        <v>0</v>
      </c>
    </row>
    <row r="332" spans="1:40" x14ac:dyDescent="0.25">
      <c r="A332" t="s">
        <v>15</v>
      </c>
      <c r="B332" t="s">
        <v>24</v>
      </c>
      <c r="C332">
        <v>20150316</v>
      </c>
      <c r="D332">
        <v>0</v>
      </c>
      <c r="F332">
        <v>62500</v>
      </c>
      <c r="G332" t="s">
        <v>17</v>
      </c>
      <c r="I332" t="s">
        <v>16</v>
      </c>
      <c r="J332" t="s">
        <v>180</v>
      </c>
      <c r="K332" t="s">
        <v>25</v>
      </c>
      <c r="L332">
        <v>132757294</v>
      </c>
      <c r="R332">
        <v>9738</v>
      </c>
      <c r="S332" t="s">
        <v>37</v>
      </c>
      <c r="T332">
        <v>5</v>
      </c>
      <c r="U332">
        <v>0</v>
      </c>
      <c r="V332">
        <v>1.5287999999999999</v>
      </c>
      <c r="W332">
        <v>1.5287999999999999</v>
      </c>
      <c r="X332">
        <v>0</v>
      </c>
    </row>
    <row r="333" spans="1:40" x14ac:dyDescent="0.25">
      <c r="A333" t="s">
        <v>15</v>
      </c>
      <c r="B333" t="s">
        <v>24</v>
      </c>
      <c r="C333">
        <v>20150316</v>
      </c>
      <c r="D333">
        <v>0</v>
      </c>
      <c r="F333">
        <v>62500</v>
      </c>
      <c r="G333" t="s">
        <v>17</v>
      </c>
      <c r="I333" t="s">
        <v>16</v>
      </c>
      <c r="J333" t="s">
        <v>180</v>
      </c>
      <c r="K333" t="s">
        <v>25</v>
      </c>
      <c r="L333">
        <v>132757294</v>
      </c>
      <c r="R333">
        <v>9738</v>
      </c>
      <c r="S333" t="s">
        <v>37</v>
      </c>
      <c r="T333">
        <v>5</v>
      </c>
      <c r="U333">
        <v>0</v>
      </c>
      <c r="V333">
        <v>1.5287999999999999</v>
      </c>
      <c r="W333">
        <v>1.5287999999999999</v>
      </c>
      <c r="X333">
        <v>0</v>
      </c>
    </row>
    <row r="334" spans="1:40" x14ac:dyDescent="0.25">
      <c r="A334" t="s">
        <v>15</v>
      </c>
      <c r="B334" t="s">
        <v>24</v>
      </c>
      <c r="C334">
        <v>20150316</v>
      </c>
      <c r="D334">
        <v>0</v>
      </c>
      <c r="F334">
        <v>62500</v>
      </c>
      <c r="G334" t="s">
        <v>17</v>
      </c>
      <c r="I334" t="s">
        <v>16</v>
      </c>
      <c r="J334" t="s">
        <v>180</v>
      </c>
      <c r="K334" t="s">
        <v>25</v>
      </c>
      <c r="L334">
        <v>132757294</v>
      </c>
      <c r="R334">
        <v>9738</v>
      </c>
      <c r="S334" t="s">
        <v>37</v>
      </c>
      <c r="T334">
        <v>5</v>
      </c>
      <c r="U334">
        <v>0</v>
      </c>
      <c r="V334">
        <v>1.5287999999999999</v>
      </c>
      <c r="W334">
        <v>1.5287999999999999</v>
      </c>
      <c r="X334">
        <v>0</v>
      </c>
    </row>
    <row r="335" spans="1:40" x14ac:dyDescent="0.25">
      <c r="A335" t="s">
        <v>15</v>
      </c>
      <c r="B335" t="s">
        <v>24</v>
      </c>
      <c r="C335">
        <v>20150316</v>
      </c>
      <c r="D335">
        <v>0</v>
      </c>
      <c r="F335">
        <v>62500</v>
      </c>
      <c r="G335" t="s">
        <v>17</v>
      </c>
      <c r="I335" t="s">
        <v>16</v>
      </c>
      <c r="J335" t="s">
        <v>180</v>
      </c>
      <c r="K335" t="s">
        <v>25</v>
      </c>
      <c r="L335">
        <v>132757294</v>
      </c>
      <c r="R335">
        <v>9739</v>
      </c>
      <c r="S335" t="s">
        <v>232</v>
      </c>
      <c r="T335">
        <v>0</v>
      </c>
      <c r="U335">
        <v>5</v>
      </c>
      <c r="V335">
        <v>0</v>
      </c>
      <c r="W335">
        <v>0</v>
      </c>
      <c r="X335">
        <v>0</v>
      </c>
    </row>
    <row r="336" spans="1:40" x14ac:dyDescent="0.25">
      <c r="A336" t="s">
        <v>15</v>
      </c>
      <c r="B336" t="s">
        <v>24</v>
      </c>
      <c r="C336">
        <v>20150316</v>
      </c>
      <c r="D336">
        <v>0</v>
      </c>
      <c r="F336">
        <v>62500</v>
      </c>
      <c r="G336" t="s">
        <v>17</v>
      </c>
      <c r="I336" t="s">
        <v>16</v>
      </c>
      <c r="J336" t="s">
        <v>180</v>
      </c>
      <c r="K336" t="s">
        <v>25</v>
      </c>
      <c r="L336">
        <v>132757294</v>
      </c>
      <c r="R336">
        <v>9739</v>
      </c>
      <c r="S336" t="s">
        <v>232</v>
      </c>
      <c r="T336">
        <v>0</v>
      </c>
      <c r="U336">
        <v>5</v>
      </c>
      <c r="V336">
        <v>0</v>
      </c>
      <c r="W336">
        <v>0</v>
      </c>
      <c r="X336">
        <v>0</v>
      </c>
    </row>
    <row r="337" spans="1:24" x14ac:dyDescent="0.25">
      <c r="A337" t="s">
        <v>15</v>
      </c>
      <c r="B337" t="s">
        <v>24</v>
      </c>
      <c r="C337">
        <v>20150316</v>
      </c>
      <c r="D337">
        <v>0</v>
      </c>
      <c r="F337">
        <v>62500</v>
      </c>
      <c r="G337" t="s">
        <v>17</v>
      </c>
      <c r="I337" t="s">
        <v>16</v>
      </c>
      <c r="J337" t="s">
        <v>180</v>
      </c>
      <c r="K337" t="s">
        <v>25</v>
      </c>
      <c r="L337">
        <v>132757294</v>
      </c>
      <c r="R337">
        <v>9739</v>
      </c>
      <c r="S337" t="s">
        <v>233</v>
      </c>
      <c r="T337">
        <v>0</v>
      </c>
      <c r="U337">
        <v>5</v>
      </c>
      <c r="V337">
        <v>0</v>
      </c>
      <c r="W337">
        <v>0</v>
      </c>
      <c r="X337">
        <v>0</v>
      </c>
    </row>
    <row r="338" spans="1:24" x14ac:dyDescent="0.25">
      <c r="A338" t="s">
        <v>15</v>
      </c>
      <c r="B338" t="s">
        <v>24</v>
      </c>
      <c r="C338">
        <v>20150316</v>
      </c>
      <c r="D338">
        <v>0</v>
      </c>
      <c r="F338">
        <v>62500</v>
      </c>
      <c r="G338" t="s">
        <v>17</v>
      </c>
      <c r="I338" t="s">
        <v>16</v>
      </c>
      <c r="J338" t="s">
        <v>180</v>
      </c>
      <c r="K338" t="s">
        <v>25</v>
      </c>
      <c r="L338">
        <v>132757294</v>
      </c>
      <c r="R338">
        <v>9739</v>
      </c>
      <c r="S338" t="s">
        <v>223</v>
      </c>
      <c r="T338">
        <v>0</v>
      </c>
      <c r="U338">
        <v>5</v>
      </c>
      <c r="V338">
        <v>0</v>
      </c>
      <c r="W338">
        <v>0</v>
      </c>
      <c r="X338">
        <v>0</v>
      </c>
    </row>
    <row r="339" spans="1:24" x14ac:dyDescent="0.25">
      <c r="A339" t="s">
        <v>15</v>
      </c>
      <c r="B339" t="s">
        <v>24</v>
      </c>
      <c r="C339">
        <v>20150316</v>
      </c>
      <c r="D339">
        <v>0</v>
      </c>
      <c r="F339">
        <v>62500</v>
      </c>
      <c r="G339" t="s">
        <v>17</v>
      </c>
      <c r="I339" t="s">
        <v>16</v>
      </c>
      <c r="J339" t="s">
        <v>180</v>
      </c>
      <c r="K339" t="s">
        <v>25</v>
      </c>
      <c r="L339">
        <v>132757294</v>
      </c>
      <c r="R339">
        <v>9739</v>
      </c>
      <c r="S339" t="s">
        <v>224</v>
      </c>
      <c r="T339">
        <v>0</v>
      </c>
      <c r="U339">
        <v>5</v>
      </c>
      <c r="V339">
        <v>0</v>
      </c>
      <c r="W339">
        <v>0</v>
      </c>
      <c r="X339">
        <v>0</v>
      </c>
    </row>
    <row r="340" spans="1:24" x14ac:dyDescent="0.25">
      <c r="A340" t="s">
        <v>15</v>
      </c>
      <c r="B340" t="s">
        <v>24</v>
      </c>
      <c r="C340">
        <v>20150316</v>
      </c>
      <c r="D340">
        <v>0</v>
      </c>
      <c r="F340">
        <v>62500</v>
      </c>
      <c r="G340" t="s">
        <v>17</v>
      </c>
      <c r="I340" t="s">
        <v>16</v>
      </c>
      <c r="J340" t="s">
        <v>180</v>
      </c>
      <c r="K340" t="s">
        <v>25</v>
      </c>
      <c r="L340">
        <v>132757294</v>
      </c>
      <c r="R340">
        <v>9740</v>
      </c>
      <c r="S340" t="s">
        <v>232</v>
      </c>
      <c r="T340">
        <v>0</v>
      </c>
      <c r="U340">
        <v>17</v>
      </c>
      <c r="V340">
        <v>0</v>
      </c>
      <c r="W340">
        <v>0</v>
      </c>
      <c r="X340">
        <v>0</v>
      </c>
    </row>
    <row r="341" spans="1:24" x14ac:dyDescent="0.25">
      <c r="A341" t="s">
        <v>15</v>
      </c>
      <c r="B341" t="s">
        <v>24</v>
      </c>
      <c r="C341">
        <v>20150316</v>
      </c>
      <c r="D341">
        <v>0</v>
      </c>
      <c r="F341">
        <v>62500</v>
      </c>
      <c r="G341" t="s">
        <v>17</v>
      </c>
      <c r="I341" t="s">
        <v>16</v>
      </c>
      <c r="J341" t="s">
        <v>180</v>
      </c>
      <c r="K341" t="s">
        <v>25</v>
      </c>
      <c r="L341">
        <v>132757294</v>
      </c>
      <c r="R341">
        <v>9733</v>
      </c>
      <c r="S341" t="s">
        <v>223</v>
      </c>
      <c r="T341">
        <v>0</v>
      </c>
      <c r="U341">
        <v>14</v>
      </c>
      <c r="V341">
        <v>0</v>
      </c>
      <c r="W341">
        <v>0</v>
      </c>
      <c r="X341">
        <v>0</v>
      </c>
    </row>
    <row r="342" spans="1:24" x14ac:dyDescent="0.25">
      <c r="A342" t="s">
        <v>15</v>
      </c>
      <c r="B342" t="s">
        <v>24</v>
      </c>
      <c r="C342">
        <v>20150316</v>
      </c>
      <c r="D342">
        <v>0</v>
      </c>
      <c r="F342">
        <v>62500</v>
      </c>
      <c r="G342" t="s">
        <v>17</v>
      </c>
      <c r="I342" t="s">
        <v>16</v>
      </c>
      <c r="J342" t="s">
        <v>180</v>
      </c>
      <c r="K342" t="s">
        <v>25</v>
      </c>
      <c r="L342">
        <v>132757294</v>
      </c>
      <c r="R342">
        <v>9733</v>
      </c>
      <c r="S342" t="s">
        <v>224</v>
      </c>
      <c r="T342">
        <v>0</v>
      </c>
      <c r="U342">
        <v>14</v>
      </c>
      <c r="V342">
        <v>0</v>
      </c>
      <c r="W342">
        <v>0</v>
      </c>
      <c r="X342">
        <v>0</v>
      </c>
    </row>
    <row r="343" spans="1:24" x14ac:dyDescent="0.25">
      <c r="A343" t="s">
        <v>15</v>
      </c>
      <c r="B343" t="s">
        <v>24</v>
      </c>
      <c r="C343">
        <v>20150316</v>
      </c>
      <c r="D343">
        <v>0</v>
      </c>
      <c r="F343">
        <v>62500</v>
      </c>
      <c r="G343" t="s">
        <v>17</v>
      </c>
      <c r="I343" t="s">
        <v>16</v>
      </c>
      <c r="J343" t="s">
        <v>180</v>
      </c>
      <c r="K343" t="s">
        <v>25</v>
      </c>
      <c r="L343">
        <v>132757294</v>
      </c>
      <c r="R343">
        <v>9734</v>
      </c>
      <c r="S343" t="s">
        <v>223</v>
      </c>
      <c r="T343">
        <v>0</v>
      </c>
      <c r="U343">
        <v>14</v>
      </c>
      <c r="V343">
        <v>0</v>
      </c>
      <c r="W343">
        <v>0</v>
      </c>
      <c r="X343">
        <v>0</v>
      </c>
    </row>
    <row r="344" spans="1:24" x14ac:dyDescent="0.25">
      <c r="A344" t="s">
        <v>15</v>
      </c>
      <c r="B344" t="s">
        <v>24</v>
      </c>
      <c r="C344">
        <v>20150316</v>
      </c>
      <c r="D344">
        <v>0</v>
      </c>
      <c r="F344">
        <v>62500</v>
      </c>
      <c r="G344" t="s">
        <v>17</v>
      </c>
      <c r="I344" t="s">
        <v>16</v>
      </c>
      <c r="J344" t="s">
        <v>180</v>
      </c>
      <c r="K344" t="s">
        <v>25</v>
      </c>
      <c r="L344">
        <v>132757294</v>
      </c>
      <c r="R344">
        <v>9734</v>
      </c>
      <c r="S344" t="s">
        <v>224</v>
      </c>
      <c r="T344">
        <v>0</v>
      </c>
      <c r="U344">
        <v>14</v>
      </c>
      <c r="V344">
        <v>0</v>
      </c>
      <c r="W344">
        <v>0</v>
      </c>
      <c r="X344">
        <v>0</v>
      </c>
    </row>
    <row r="345" spans="1:24" x14ac:dyDescent="0.25">
      <c r="A345" t="s">
        <v>15</v>
      </c>
      <c r="B345" t="s">
        <v>24</v>
      </c>
      <c r="C345">
        <v>20150316</v>
      </c>
      <c r="D345">
        <v>0</v>
      </c>
      <c r="F345">
        <v>62500</v>
      </c>
      <c r="G345" t="s">
        <v>17</v>
      </c>
      <c r="I345" t="s">
        <v>16</v>
      </c>
      <c r="J345" t="s">
        <v>180</v>
      </c>
      <c r="K345" t="s">
        <v>25</v>
      </c>
      <c r="L345">
        <v>132757294</v>
      </c>
      <c r="R345">
        <v>9740</v>
      </c>
      <c r="S345" t="s">
        <v>232</v>
      </c>
      <c r="T345">
        <v>0</v>
      </c>
      <c r="U345">
        <v>17</v>
      </c>
      <c r="V345">
        <v>0</v>
      </c>
      <c r="W345">
        <v>0</v>
      </c>
      <c r="X345">
        <v>0</v>
      </c>
    </row>
    <row r="346" spans="1:24" x14ac:dyDescent="0.25">
      <c r="A346" t="s">
        <v>15</v>
      </c>
      <c r="B346" t="s">
        <v>24</v>
      </c>
      <c r="C346">
        <v>20150316</v>
      </c>
      <c r="D346">
        <v>0</v>
      </c>
      <c r="F346">
        <v>62500</v>
      </c>
      <c r="G346" t="s">
        <v>17</v>
      </c>
      <c r="I346" t="s">
        <v>16</v>
      </c>
      <c r="J346" t="s">
        <v>180</v>
      </c>
      <c r="K346" t="s">
        <v>25</v>
      </c>
      <c r="L346">
        <v>132757294</v>
      </c>
      <c r="R346">
        <v>9740</v>
      </c>
      <c r="S346" t="s">
        <v>192</v>
      </c>
      <c r="T346">
        <v>0</v>
      </c>
      <c r="U346">
        <v>17</v>
      </c>
      <c r="V346">
        <v>0</v>
      </c>
      <c r="W346">
        <v>0</v>
      </c>
      <c r="X346">
        <v>0</v>
      </c>
    </row>
    <row r="347" spans="1:24" x14ac:dyDescent="0.25">
      <c r="A347" t="s">
        <v>15</v>
      </c>
      <c r="B347" t="s">
        <v>24</v>
      </c>
      <c r="C347">
        <v>20150316</v>
      </c>
      <c r="D347">
        <v>0</v>
      </c>
      <c r="F347">
        <v>62500</v>
      </c>
      <c r="G347" t="s">
        <v>17</v>
      </c>
      <c r="I347" t="s">
        <v>16</v>
      </c>
      <c r="J347" t="s">
        <v>180</v>
      </c>
      <c r="K347" t="s">
        <v>25</v>
      </c>
      <c r="L347">
        <v>132757294</v>
      </c>
      <c r="R347">
        <v>9741</v>
      </c>
      <c r="S347" t="s">
        <v>232</v>
      </c>
      <c r="T347">
        <v>0</v>
      </c>
      <c r="U347">
        <v>-16</v>
      </c>
      <c r="V347">
        <v>0</v>
      </c>
      <c r="W347">
        <v>0</v>
      </c>
      <c r="X347">
        <v>0</v>
      </c>
    </row>
    <row r="348" spans="1:24" x14ac:dyDescent="0.25">
      <c r="A348" t="s">
        <v>15</v>
      </c>
      <c r="B348" t="s">
        <v>24</v>
      </c>
      <c r="C348">
        <v>20150316</v>
      </c>
      <c r="D348">
        <v>0</v>
      </c>
      <c r="F348">
        <v>62500</v>
      </c>
      <c r="G348" t="s">
        <v>17</v>
      </c>
      <c r="I348" t="s">
        <v>16</v>
      </c>
      <c r="J348" t="s">
        <v>180</v>
      </c>
      <c r="K348" t="s">
        <v>25</v>
      </c>
      <c r="L348">
        <v>132757294</v>
      </c>
      <c r="R348">
        <v>9741</v>
      </c>
      <c r="S348" t="s">
        <v>232</v>
      </c>
      <c r="T348">
        <v>0</v>
      </c>
      <c r="U348">
        <v>-16</v>
      </c>
      <c r="V348">
        <v>0</v>
      </c>
      <c r="W348">
        <v>0</v>
      </c>
      <c r="X348">
        <v>0</v>
      </c>
    </row>
    <row r="349" spans="1:24" x14ac:dyDescent="0.25">
      <c r="A349" t="s">
        <v>15</v>
      </c>
      <c r="B349" t="s">
        <v>24</v>
      </c>
      <c r="C349">
        <v>20150316</v>
      </c>
      <c r="D349">
        <v>0</v>
      </c>
      <c r="F349">
        <v>62500</v>
      </c>
      <c r="G349" t="s">
        <v>17</v>
      </c>
      <c r="I349" t="s">
        <v>16</v>
      </c>
      <c r="J349" t="s">
        <v>180</v>
      </c>
      <c r="K349" t="s">
        <v>25</v>
      </c>
      <c r="L349">
        <v>132757294</v>
      </c>
      <c r="R349">
        <v>9741</v>
      </c>
      <c r="S349" t="s">
        <v>192</v>
      </c>
      <c r="T349">
        <v>0</v>
      </c>
      <c r="U349">
        <v>16</v>
      </c>
      <c r="V349">
        <v>0</v>
      </c>
      <c r="W349">
        <v>0</v>
      </c>
      <c r="X349">
        <v>0</v>
      </c>
    </row>
    <row r="350" spans="1:24" x14ac:dyDescent="0.25">
      <c r="A350" t="s">
        <v>15</v>
      </c>
      <c r="B350" t="s">
        <v>24</v>
      </c>
      <c r="C350">
        <v>20150316</v>
      </c>
      <c r="D350">
        <v>0</v>
      </c>
      <c r="F350">
        <v>62500</v>
      </c>
      <c r="G350" t="s">
        <v>17</v>
      </c>
      <c r="I350" t="s">
        <v>16</v>
      </c>
      <c r="J350" t="s">
        <v>180</v>
      </c>
      <c r="K350" t="s">
        <v>25</v>
      </c>
      <c r="L350">
        <v>132757294</v>
      </c>
      <c r="R350">
        <v>9742</v>
      </c>
      <c r="S350" t="s">
        <v>232</v>
      </c>
      <c r="T350">
        <v>0</v>
      </c>
      <c r="U350">
        <v>5</v>
      </c>
      <c r="V350">
        <v>0</v>
      </c>
      <c r="W350">
        <v>0</v>
      </c>
      <c r="X350">
        <v>0</v>
      </c>
    </row>
    <row r="351" spans="1:24" x14ac:dyDescent="0.25">
      <c r="A351" t="s">
        <v>15</v>
      </c>
      <c r="B351" t="s">
        <v>24</v>
      </c>
      <c r="C351">
        <v>20150316</v>
      </c>
      <c r="D351">
        <v>0</v>
      </c>
      <c r="F351">
        <v>62500</v>
      </c>
      <c r="G351" t="s">
        <v>17</v>
      </c>
      <c r="I351" t="s">
        <v>16</v>
      </c>
      <c r="J351" t="s">
        <v>180</v>
      </c>
      <c r="K351" t="s">
        <v>25</v>
      </c>
      <c r="L351">
        <v>132757294</v>
      </c>
      <c r="R351">
        <v>9742</v>
      </c>
      <c r="S351" t="s">
        <v>232</v>
      </c>
      <c r="T351">
        <v>0</v>
      </c>
      <c r="U351">
        <v>5</v>
      </c>
      <c r="V351">
        <v>0</v>
      </c>
      <c r="W351">
        <v>0</v>
      </c>
      <c r="X351">
        <v>0</v>
      </c>
    </row>
    <row r="352" spans="1:24" x14ac:dyDescent="0.25">
      <c r="A352" t="s">
        <v>15</v>
      </c>
      <c r="B352" t="s">
        <v>24</v>
      </c>
      <c r="C352">
        <v>20150316</v>
      </c>
      <c r="D352">
        <v>0</v>
      </c>
      <c r="F352">
        <v>62500</v>
      </c>
      <c r="G352" t="s">
        <v>17</v>
      </c>
      <c r="I352" t="s">
        <v>16</v>
      </c>
      <c r="J352" t="s">
        <v>180</v>
      </c>
      <c r="K352" t="s">
        <v>25</v>
      </c>
      <c r="L352">
        <v>132757294</v>
      </c>
      <c r="R352">
        <v>9742</v>
      </c>
      <c r="S352" t="s">
        <v>233</v>
      </c>
      <c r="T352">
        <v>0</v>
      </c>
      <c r="U352">
        <v>5</v>
      </c>
      <c r="V352">
        <v>0</v>
      </c>
      <c r="W352">
        <v>0</v>
      </c>
      <c r="X352">
        <v>0</v>
      </c>
    </row>
    <row r="353" spans="1:40" x14ac:dyDescent="0.25">
      <c r="A353" t="s">
        <v>15</v>
      </c>
      <c r="B353" t="s">
        <v>24</v>
      </c>
      <c r="C353">
        <v>20150316</v>
      </c>
      <c r="D353">
        <v>0</v>
      </c>
      <c r="F353">
        <v>62500</v>
      </c>
      <c r="G353" t="s">
        <v>17</v>
      </c>
      <c r="I353" t="s">
        <v>16</v>
      </c>
      <c r="J353" t="s">
        <v>180</v>
      </c>
      <c r="K353" t="s">
        <v>25</v>
      </c>
      <c r="L353">
        <v>132757294</v>
      </c>
      <c r="R353">
        <v>9742</v>
      </c>
      <c r="S353" t="s">
        <v>223</v>
      </c>
      <c r="T353">
        <v>0</v>
      </c>
      <c r="U353">
        <v>5</v>
      </c>
      <c r="V353">
        <v>0</v>
      </c>
      <c r="W353">
        <v>0</v>
      </c>
      <c r="X353">
        <v>0</v>
      </c>
    </row>
    <row r="354" spans="1:40" x14ac:dyDescent="0.25">
      <c r="A354" t="s">
        <v>15</v>
      </c>
      <c r="B354" t="s">
        <v>24</v>
      </c>
      <c r="C354">
        <v>20150316</v>
      </c>
      <c r="D354">
        <v>0</v>
      </c>
      <c r="F354">
        <v>62500</v>
      </c>
      <c r="G354" t="s">
        <v>17</v>
      </c>
      <c r="I354" t="s">
        <v>16</v>
      </c>
      <c r="J354" t="s">
        <v>180</v>
      </c>
      <c r="K354" t="s">
        <v>25</v>
      </c>
      <c r="L354">
        <v>132757294</v>
      </c>
      <c r="R354">
        <v>9742</v>
      </c>
      <c r="S354" t="s">
        <v>224</v>
      </c>
      <c r="T354">
        <v>0</v>
      </c>
      <c r="U354">
        <v>5</v>
      </c>
      <c r="V354">
        <v>0</v>
      </c>
      <c r="W354">
        <v>0</v>
      </c>
      <c r="X354">
        <v>0</v>
      </c>
    </row>
    <row r="355" spans="1:40" x14ac:dyDescent="0.25">
      <c r="A355" t="s">
        <v>15</v>
      </c>
      <c r="B355" t="s">
        <v>24</v>
      </c>
      <c r="C355">
        <v>20150316</v>
      </c>
      <c r="D355">
        <v>0</v>
      </c>
      <c r="F355">
        <v>62500</v>
      </c>
      <c r="G355" t="s">
        <v>17</v>
      </c>
      <c r="I355" t="s">
        <v>16</v>
      </c>
      <c r="J355" t="s">
        <v>180</v>
      </c>
      <c r="K355" t="s">
        <v>25</v>
      </c>
      <c r="L355">
        <v>132757294</v>
      </c>
      <c r="R355">
        <v>9743</v>
      </c>
      <c r="S355" t="s">
        <v>232</v>
      </c>
      <c r="T355">
        <v>0</v>
      </c>
      <c r="U355">
        <v>5</v>
      </c>
      <c r="V355">
        <v>0</v>
      </c>
      <c r="W355">
        <v>0</v>
      </c>
      <c r="X355">
        <v>0</v>
      </c>
    </row>
    <row r="356" spans="1:40" x14ac:dyDescent="0.25">
      <c r="A356" t="s">
        <v>15</v>
      </c>
      <c r="B356" t="s">
        <v>24</v>
      </c>
      <c r="C356">
        <v>20150316</v>
      </c>
      <c r="D356">
        <v>0</v>
      </c>
      <c r="F356">
        <v>62500</v>
      </c>
      <c r="G356" t="s">
        <v>17</v>
      </c>
      <c r="I356" t="s">
        <v>16</v>
      </c>
      <c r="J356" t="s">
        <v>180</v>
      </c>
      <c r="K356" t="s">
        <v>25</v>
      </c>
      <c r="L356">
        <v>132757294</v>
      </c>
      <c r="R356">
        <v>9743</v>
      </c>
      <c r="S356" t="s">
        <v>232</v>
      </c>
      <c r="T356">
        <v>0</v>
      </c>
      <c r="U356">
        <v>5</v>
      </c>
      <c r="V356">
        <v>0</v>
      </c>
      <c r="W356">
        <v>0</v>
      </c>
      <c r="X356">
        <v>0</v>
      </c>
    </row>
    <row r="357" spans="1:40" x14ac:dyDescent="0.25">
      <c r="A357" t="s">
        <v>15</v>
      </c>
      <c r="B357" t="s">
        <v>24</v>
      </c>
      <c r="C357">
        <v>20150316</v>
      </c>
      <c r="D357">
        <v>0</v>
      </c>
      <c r="F357">
        <v>62500</v>
      </c>
      <c r="G357" t="s">
        <v>17</v>
      </c>
      <c r="I357" t="s">
        <v>16</v>
      </c>
      <c r="J357" t="s">
        <v>180</v>
      </c>
      <c r="K357" t="s">
        <v>25</v>
      </c>
      <c r="L357">
        <v>132757294</v>
      </c>
      <c r="R357">
        <v>9743</v>
      </c>
      <c r="S357" t="s">
        <v>233</v>
      </c>
      <c r="T357">
        <v>0</v>
      </c>
      <c r="U357">
        <v>5</v>
      </c>
      <c r="V357">
        <v>0</v>
      </c>
      <c r="W357">
        <v>0</v>
      </c>
      <c r="X357">
        <v>0</v>
      </c>
    </row>
    <row r="358" spans="1:40" x14ac:dyDescent="0.25">
      <c r="A358" t="s">
        <v>15</v>
      </c>
      <c r="B358" t="s">
        <v>24</v>
      </c>
      <c r="C358">
        <v>20150316</v>
      </c>
      <c r="D358">
        <v>0</v>
      </c>
      <c r="F358">
        <v>62500</v>
      </c>
      <c r="G358" t="s">
        <v>17</v>
      </c>
      <c r="I358" t="s">
        <v>16</v>
      </c>
      <c r="J358" t="s">
        <v>180</v>
      </c>
      <c r="K358" t="s">
        <v>25</v>
      </c>
      <c r="L358">
        <v>132757294</v>
      </c>
      <c r="R358">
        <v>9743</v>
      </c>
      <c r="S358" t="s">
        <v>223</v>
      </c>
      <c r="T358">
        <v>0</v>
      </c>
      <c r="U358">
        <v>5</v>
      </c>
      <c r="V358">
        <v>0</v>
      </c>
      <c r="W358">
        <v>0</v>
      </c>
      <c r="X358">
        <v>0</v>
      </c>
    </row>
    <row r="359" spans="1:40" x14ac:dyDescent="0.25">
      <c r="A359" t="s">
        <v>15</v>
      </c>
      <c r="B359" t="s">
        <v>24</v>
      </c>
      <c r="C359">
        <v>20150316</v>
      </c>
      <c r="D359">
        <v>0</v>
      </c>
      <c r="F359">
        <v>62500</v>
      </c>
      <c r="G359" t="s">
        <v>17</v>
      </c>
      <c r="I359" t="s">
        <v>16</v>
      </c>
      <c r="J359" t="s">
        <v>180</v>
      </c>
      <c r="K359" t="s">
        <v>25</v>
      </c>
      <c r="L359">
        <v>132757294</v>
      </c>
      <c r="R359">
        <v>9743</v>
      </c>
      <c r="S359" t="s">
        <v>224</v>
      </c>
      <c r="T359">
        <v>0</v>
      </c>
      <c r="U359">
        <v>5</v>
      </c>
      <c r="V359">
        <v>0</v>
      </c>
      <c r="W359">
        <v>0</v>
      </c>
      <c r="X359">
        <v>0</v>
      </c>
    </row>
    <row r="360" spans="1:40" x14ac:dyDescent="0.25">
      <c r="A360" t="s">
        <v>15</v>
      </c>
      <c r="B360" t="s">
        <v>24</v>
      </c>
      <c r="C360">
        <v>20150316</v>
      </c>
      <c r="D360">
        <v>0</v>
      </c>
      <c r="F360">
        <v>62500</v>
      </c>
      <c r="G360" t="s">
        <v>17</v>
      </c>
      <c r="I360" t="s">
        <v>16</v>
      </c>
      <c r="J360" t="s">
        <v>180</v>
      </c>
      <c r="K360" t="s">
        <v>25</v>
      </c>
      <c r="L360">
        <v>132757294</v>
      </c>
      <c r="R360">
        <v>9744</v>
      </c>
      <c r="S360" t="s">
        <v>232</v>
      </c>
      <c r="T360">
        <v>0</v>
      </c>
      <c r="U360">
        <v>5</v>
      </c>
      <c r="V360">
        <v>0</v>
      </c>
      <c r="W360">
        <v>0</v>
      </c>
      <c r="X360">
        <v>0</v>
      </c>
    </row>
    <row r="361" spans="1:40" x14ac:dyDescent="0.25">
      <c r="A361" t="s">
        <v>15</v>
      </c>
      <c r="B361" t="s">
        <v>24</v>
      </c>
      <c r="C361">
        <v>20150316</v>
      </c>
      <c r="D361">
        <v>0</v>
      </c>
      <c r="F361">
        <v>62500</v>
      </c>
      <c r="G361" t="s">
        <v>17</v>
      </c>
      <c r="I361" t="s">
        <v>16</v>
      </c>
      <c r="J361" t="s">
        <v>180</v>
      </c>
      <c r="K361" t="s">
        <v>25</v>
      </c>
      <c r="L361">
        <v>132757294</v>
      </c>
      <c r="R361">
        <v>9744</v>
      </c>
      <c r="S361" t="s">
        <v>232</v>
      </c>
      <c r="T361">
        <v>0</v>
      </c>
      <c r="U361">
        <v>3</v>
      </c>
      <c r="V361">
        <v>0</v>
      </c>
      <c r="W361">
        <v>0</v>
      </c>
      <c r="X361">
        <v>0</v>
      </c>
      <c r="Y361">
        <v>9744</v>
      </c>
      <c r="Z361" t="s">
        <v>4298</v>
      </c>
      <c r="AA361" t="s">
        <v>4299</v>
      </c>
      <c r="AB361" t="s">
        <v>234</v>
      </c>
      <c r="AC361" t="s">
        <v>17</v>
      </c>
      <c r="AD361" t="s">
        <v>235</v>
      </c>
      <c r="AE361">
        <v>1</v>
      </c>
      <c r="AF361">
        <v>1</v>
      </c>
      <c r="AG361">
        <v>1.5290999999999999</v>
      </c>
      <c r="AH361">
        <v>1.5290999999999999</v>
      </c>
      <c r="AI361">
        <v>1226100200</v>
      </c>
      <c r="AJ361">
        <v>0</v>
      </c>
      <c r="AK361">
        <v>7</v>
      </c>
      <c r="AN361">
        <v>0</v>
      </c>
    </row>
    <row r="362" spans="1:40" x14ac:dyDescent="0.25">
      <c r="A362" t="s">
        <v>15</v>
      </c>
      <c r="B362" t="s">
        <v>24</v>
      </c>
      <c r="C362">
        <v>20150316</v>
      </c>
      <c r="D362">
        <v>0</v>
      </c>
      <c r="F362">
        <v>62500</v>
      </c>
      <c r="G362" t="s">
        <v>17</v>
      </c>
      <c r="I362" t="s">
        <v>16</v>
      </c>
      <c r="J362" t="s">
        <v>180</v>
      </c>
      <c r="K362" t="s">
        <v>25</v>
      </c>
      <c r="L362">
        <v>132757294</v>
      </c>
      <c r="R362">
        <v>9744</v>
      </c>
      <c r="S362" t="s">
        <v>232</v>
      </c>
      <c r="T362">
        <v>0</v>
      </c>
      <c r="U362">
        <v>3</v>
      </c>
      <c r="V362">
        <v>0</v>
      </c>
      <c r="W362">
        <v>0</v>
      </c>
      <c r="X362">
        <v>0</v>
      </c>
    </row>
    <row r="363" spans="1:40" x14ac:dyDescent="0.25">
      <c r="A363" t="s">
        <v>15</v>
      </c>
      <c r="B363" t="s">
        <v>24</v>
      </c>
      <c r="C363">
        <v>20150316</v>
      </c>
      <c r="D363">
        <v>0</v>
      </c>
      <c r="F363">
        <v>62500</v>
      </c>
      <c r="G363" t="s">
        <v>17</v>
      </c>
      <c r="I363" t="s">
        <v>16</v>
      </c>
      <c r="J363" t="s">
        <v>180</v>
      </c>
      <c r="K363" t="s">
        <v>25</v>
      </c>
      <c r="L363">
        <v>132757294</v>
      </c>
      <c r="R363">
        <v>9744</v>
      </c>
      <c r="S363" t="s">
        <v>236</v>
      </c>
      <c r="T363">
        <v>1</v>
      </c>
      <c r="U363">
        <v>4</v>
      </c>
      <c r="V363">
        <v>1.5290999999999999</v>
      </c>
      <c r="W363">
        <v>1.5290999999999999</v>
      </c>
      <c r="X363">
        <v>0</v>
      </c>
    </row>
    <row r="364" spans="1:40" x14ac:dyDescent="0.25">
      <c r="A364" t="s">
        <v>15</v>
      </c>
      <c r="B364" t="s">
        <v>24</v>
      </c>
      <c r="C364">
        <v>20150316</v>
      </c>
      <c r="D364">
        <v>0</v>
      </c>
      <c r="F364">
        <v>62500</v>
      </c>
      <c r="G364" t="s">
        <v>17</v>
      </c>
      <c r="I364" t="s">
        <v>16</v>
      </c>
      <c r="J364" t="s">
        <v>180</v>
      </c>
      <c r="K364" t="s">
        <v>25</v>
      </c>
      <c r="L364">
        <v>132757294</v>
      </c>
      <c r="R364">
        <v>9744</v>
      </c>
      <c r="S364" t="s">
        <v>236</v>
      </c>
      <c r="T364">
        <v>1</v>
      </c>
      <c r="U364">
        <v>4</v>
      </c>
      <c r="V364">
        <v>1.5290999999999999</v>
      </c>
      <c r="W364">
        <v>1.5290999999999999</v>
      </c>
      <c r="X364">
        <v>0</v>
      </c>
    </row>
    <row r="365" spans="1:40" x14ac:dyDescent="0.25">
      <c r="A365" t="s">
        <v>15</v>
      </c>
      <c r="B365" t="s">
        <v>24</v>
      </c>
      <c r="C365">
        <v>20150316</v>
      </c>
      <c r="D365">
        <v>0</v>
      </c>
      <c r="F365">
        <v>62500</v>
      </c>
      <c r="G365" t="s">
        <v>17</v>
      </c>
      <c r="I365" t="s">
        <v>16</v>
      </c>
      <c r="J365" t="s">
        <v>180</v>
      </c>
      <c r="K365" t="s">
        <v>25</v>
      </c>
      <c r="L365">
        <v>132757294</v>
      </c>
      <c r="R365">
        <v>9744</v>
      </c>
      <c r="S365" t="s">
        <v>233</v>
      </c>
      <c r="T365">
        <v>1</v>
      </c>
      <c r="U365">
        <v>4</v>
      </c>
      <c r="V365">
        <v>1.5290999999999999</v>
      </c>
      <c r="W365">
        <v>1.5290999999999999</v>
      </c>
      <c r="X365">
        <v>0</v>
      </c>
    </row>
    <row r="366" spans="1:40" x14ac:dyDescent="0.25">
      <c r="A366" t="s">
        <v>15</v>
      </c>
      <c r="B366" t="s">
        <v>24</v>
      </c>
      <c r="C366">
        <v>20150316</v>
      </c>
      <c r="D366">
        <v>0</v>
      </c>
      <c r="F366">
        <v>62500</v>
      </c>
      <c r="G366" t="s">
        <v>17</v>
      </c>
      <c r="I366" t="s">
        <v>16</v>
      </c>
      <c r="J366" t="s">
        <v>180</v>
      </c>
      <c r="K366" t="s">
        <v>25</v>
      </c>
      <c r="L366">
        <v>132757294</v>
      </c>
      <c r="R366">
        <v>9744</v>
      </c>
      <c r="S366" t="s">
        <v>233</v>
      </c>
      <c r="T366">
        <v>1</v>
      </c>
      <c r="U366">
        <v>4</v>
      </c>
      <c r="V366">
        <v>1.5290999999999999</v>
      </c>
      <c r="W366">
        <v>1.5290999999999999</v>
      </c>
      <c r="X366">
        <v>0</v>
      </c>
    </row>
    <row r="367" spans="1:40" x14ac:dyDescent="0.25">
      <c r="A367" t="s">
        <v>15</v>
      </c>
      <c r="B367" t="s">
        <v>24</v>
      </c>
      <c r="C367">
        <v>20150316</v>
      </c>
      <c r="D367">
        <v>0</v>
      </c>
      <c r="F367">
        <v>62500</v>
      </c>
      <c r="G367" t="s">
        <v>17</v>
      </c>
      <c r="I367" t="s">
        <v>16</v>
      </c>
      <c r="J367" t="s">
        <v>180</v>
      </c>
      <c r="K367" t="s">
        <v>25</v>
      </c>
      <c r="L367">
        <v>132757294</v>
      </c>
      <c r="R367">
        <v>9744</v>
      </c>
      <c r="S367" t="s">
        <v>233</v>
      </c>
      <c r="T367">
        <v>1</v>
      </c>
      <c r="U367">
        <v>4</v>
      </c>
      <c r="V367">
        <v>1.5290999999999999</v>
      </c>
      <c r="W367">
        <v>1.5290999999999999</v>
      </c>
      <c r="X367">
        <v>0</v>
      </c>
    </row>
    <row r="368" spans="1:40" x14ac:dyDescent="0.25">
      <c r="A368" t="s">
        <v>15</v>
      </c>
      <c r="B368" t="s">
        <v>24</v>
      </c>
      <c r="C368">
        <v>20150316</v>
      </c>
      <c r="D368">
        <v>0</v>
      </c>
      <c r="F368">
        <v>62500</v>
      </c>
      <c r="G368" t="s">
        <v>17</v>
      </c>
      <c r="I368" t="s">
        <v>16</v>
      </c>
      <c r="J368" t="s">
        <v>180</v>
      </c>
      <c r="K368" t="s">
        <v>25</v>
      </c>
      <c r="L368">
        <v>132757294</v>
      </c>
      <c r="R368">
        <v>9744</v>
      </c>
      <c r="S368" t="s">
        <v>233</v>
      </c>
      <c r="T368">
        <v>1</v>
      </c>
      <c r="U368">
        <v>2</v>
      </c>
      <c r="V368">
        <v>1.5290999999999999</v>
      </c>
      <c r="W368">
        <v>1.5290999999999999</v>
      </c>
      <c r="X368">
        <v>0</v>
      </c>
      <c r="Y368">
        <v>9744</v>
      </c>
      <c r="Z368" t="s">
        <v>4326</v>
      </c>
      <c r="AA368" t="s">
        <v>4299</v>
      </c>
      <c r="AB368" t="s">
        <v>234</v>
      </c>
      <c r="AC368" t="s">
        <v>17</v>
      </c>
      <c r="AD368" t="s">
        <v>235</v>
      </c>
      <c r="AE368">
        <v>1</v>
      </c>
      <c r="AF368">
        <v>2</v>
      </c>
      <c r="AG368">
        <v>1.5290999999999999</v>
      </c>
      <c r="AH368">
        <v>1.5290999999999999</v>
      </c>
      <c r="AI368">
        <v>1226100200</v>
      </c>
      <c r="AJ368">
        <v>0</v>
      </c>
      <c r="AK368">
        <v>7</v>
      </c>
      <c r="AN368">
        <v>0</v>
      </c>
    </row>
    <row r="369" spans="1:40" x14ac:dyDescent="0.25">
      <c r="A369" t="s">
        <v>15</v>
      </c>
      <c r="B369" t="s">
        <v>24</v>
      </c>
      <c r="C369">
        <v>20150316</v>
      </c>
      <c r="D369">
        <v>0</v>
      </c>
      <c r="F369">
        <v>62500</v>
      </c>
      <c r="G369" t="s">
        <v>17</v>
      </c>
      <c r="I369" t="s">
        <v>16</v>
      </c>
      <c r="J369" t="s">
        <v>180</v>
      </c>
      <c r="K369" t="s">
        <v>25</v>
      </c>
      <c r="L369">
        <v>132757294</v>
      </c>
      <c r="R369">
        <v>9744</v>
      </c>
      <c r="S369" t="s">
        <v>233</v>
      </c>
      <c r="T369">
        <v>1</v>
      </c>
      <c r="U369">
        <v>2</v>
      </c>
      <c r="V369">
        <v>1.5290999999999999</v>
      </c>
      <c r="W369">
        <v>1.5290999999999999</v>
      </c>
      <c r="X369">
        <v>0</v>
      </c>
    </row>
    <row r="370" spans="1:40" x14ac:dyDescent="0.25">
      <c r="A370" t="s">
        <v>15</v>
      </c>
      <c r="B370" t="s">
        <v>24</v>
      </c>
      <c r="C370">
        <v>20150316</v>
      </c>
      <c r="D370">
        <v>0</v>
      </c>
      <c r="F370">
        <v>62500</v>
      </c>
      <c r="G370" t="s">
        <v>17</v>
      </c>
      <c r="I370" t="s">
        <v>16</v>
      </c>
      <c r="J370" t="s">
        <v>180</v>
      </c>
      <c r="K370" t="s">
        <v>25</v>
      </c>
      <c r="L370">
        <v>132757294</v>
      </c>
      <c r="R370">
        <v>9744</v>
      </c>
      <c r="S370" t="s">
        <v>233</v>
      </c>
      <c r="T370">
        <v>2</v>
      </c>
      <c r="U370">
        <v>3</v>
      </c>
      <c r="V370">
        <v>1.5290999999999999</v>
      </c>
      <c r="W370">
        <v>1.5290999999999999</v>
      </c>
      <c r="X370">
        <v>0</v>
      </c>
    </row>
    <row r="371" spans="1:40" x14ac:dyDescent="0.25">
      <c r="A371" t="s">
        <v>15</v>
      </c>
      <c r="B371" t="s">
        <v>24</v>
      </c>
      <c r="C371">
        <v>20150316</v>
      </c>
      <c r="D371">
        <v>0</v>
      </c>
      <c r="F371">
        <v>62500</v>
      </c>
      <c r="G371" t="s">
        <v>17</v>
      </c>
      <c r="I371" t="s">
        <v>16</v>
      </c>
      <c r="J371" t="s">
        <v>180</v>
      </c>
      <c r="K371" t="s">
        <v>25</v>
      </c>
      <c r="L371">
        <v>132757294</v>
      </c>
      <c r="R371">
        <v>9744</v>
      </c>
      <c r="S371" t="s">
        <v>233</v>
      </c>
      <c r="T371">
        <v>2</v>
      </c>
      <c r="U371">
        <v>3</v>
      </c>
      <c r="V371">
        <v>1.5290999999999999</v>
      </c>
      <c r="W371">
        <v>1.5290999999999999</v>
      </c>
      <c r="X371">
        <v>0</v>
      </c>
    </row>
    <row r="372" spans="1:40" x14ac:dyDescent="0.25">
      <c r="A372" t="s">
        <v>15</v>
      </c>
      <c r="B372" t="s">
        <v>24</v>
      </c>
      <c r="C372">
        <v>20150316</v>
      </c>
      <c r="D372">
        <v>0</v>
      </c>
      <c r="F372">
        <v>62500</v>
      </c>
      <c r="G372" t="s">
        <v>17</v>
      </c>
      <c r="I372" t="s">
        <v>16</v>
      </c>
      <c r="J372" t="s">
        <v>180</v>
      </c>
      <c r="K372" t="s">
        <v>25</v>
      </c>
      <c r="L372">
        <v>132757294</v>
      </c>
      <c r="R372">
        <v>9744</v>
      </c>
      <c r="S372" t="s">
        <v>233</v>
      </c>
      <c r="T372">
        <v>2</v>
      </c>
      <c r="U372">
        <v>3</v>
      </c>
      <c r="V372">
        <v>1.5290999999999999</v>
      </c>
      <c r="W372">
        <v>1.5290999999999999</v>
      </c>
      <c r="X372">
        <v>0</v>
      </c>
    </row>
    <row r="373" spans="1:40" x14ac:dyDescent="0.25">
      <c r="A373" t="s">
        <v>15</v>
      </c>
      <c r="B373" t="s">
        <v>24</v>
      </c>
      <c r="C373">
        <v>20150316</v>
      </c>
      <c r="D373">
        <v>0</v>
      </c>
      <c r="F373">
        <v>62500</v>
      </c>
      <c r="G373" t="s">
        <v>17</v>
      </c>
      <c r="I373" t="s">
        <v>16</v>
      </c>
      <c r="J373" t="s">
        <v>180</v>
      </c>
      <c r="K373" t="s">
        <v>25</v>
      </c>
      <c r="L373">
        <v>132757294</v>
      </c>
      <c r="R373">
        <v>9744</v>
      </c>
      <c r="S373" t="s">
        <v>233</v>
      </c>
      <c r="T373">
        <v>2</v>
      </c>
      <c r="U373">
        <v>-3</v>
      </c>
      <c r="V373">
        <v>1.5290999999999999</v>
      </c>
      <c r="W373">
        <v>1.5290999999999999</v>
      </c>
      <c r="X373">
        <v>0</v>
      </c>
      <c r="Y373">
        <v>9744</v>
      </c>
      <c r="Z373" t="s">
        <v>4432</v>
      </c>
      <c r="AA373" t="s">
        <v>4433</v>
      </c>
      <c r="AB373" t="s">
        <v>234</v>
      </c>
      <c r="AC373" t="s">
        <v>17</v>
      </c>
      <c r="AD373" t="s">
        <v>235</v>
      </c>
      <c r="AE373">
        <v>3</v>
      </c>
      <c r="AF373">
        <v>5</v>
      </c>
      <c r="AG373">
        <v>1.5290999999999999</v>
      </c>
      <c r="AH373">
        <v>1.5290999999999999</v>
      </c>
      <c r="AI373">
        <v>1226100200</v>
      </c>
      <c r="AJ373">
        <v>0</v>
      </c>
      <c r="AK373">
        <v>7</v>
      </c>
      <c r="AN373">
        <v>0</v>
      </c>
    </row>
    <row r="374" spans="1:40" x14ac:dyDescent="0.25">
      <c r="A374" t="s">
        <v>15</v>
      </c>
      <c r="B374" t="s">
        <v>24</v>
      </c>
      <c r="C374">
        <v>20150316</v>
      </c>
      <c r="D374">
        <v>0</v>
      </c>
      <c r="F374">
        <v>62500</v>
      </c>
      <c r="G374" t="s">
        <v>17</v>
      </c>
      <c r="I374" t="s">
        <v>16</v>
      </c>
      <c r="J374" t="s">
        <v>180</v>
      </c>
      <c r="K374" t="s">
        <v>25</v>
      </c>
      <c r="L374">
        <v>132757294</v>
      </c>
      <c r="R374">
        <v>9744</v>
      </c>
      <c r="S374" t="s">
        <v>233</v>
      </c>
      <c r="T374">
        <v>2</v>
      </c>
      <c r="U374">
        <v>-3</v>
      </c>
      <c r="V374">
        <v>1.5290999999999999</v>
      </c>
      <c r="W374">
        <v>1.5290999999999999</v>
      </c>
      <c r="X374">
        <v>0</v>
      </c>
    </row>
    <row r="375" spans="1:40" x14ac:dyDescent="0.25">
      <c r="A375" t="s">
        <v>15</v>
      </c>
      <c r="B375" t="s">
        <v>24</v>
      </c>
      <c r="C375">
        <v>20150316</v>
      </c>
      <c r="D375">
        <v>0</v>
      </c>
      <c r="F375">
        <v>62500</v>
      </c>
      <c r="G375" t="s">
        <v>17</v>
      </c>
      <c r="I375" t="s">
        <v>16</v>
      </c>
      <c r="J375" t="s">
        <v>180</v>
      </c>
      <c r="K375" t="s">
        <v>25</v>
      </c>
      <c r="L375">
        <v>132757294</v>
      </c>
      <c r="R375">
        <v>9744</v>
      </c>
      <c r="S375" t="s">
        <v>37</v>
      </c>
      <c r="T375">
        <v>5</v>
      </c>
      <c r="U375">
        <v>0</v>
      </c>
      <c r="V375">
        <v>1.5290999999999999</v>
      </c>
      <c r="W375">
        <v>1.5290999999999999</v>
      </c>
      <c r="X375">
        <v>0</v>
      </c>
    </row>
    <row r="376" spans="1:40" x14ac:dyDescent="0.25">
      <c r="A376" t="s">
        <v>15</v>
      </c>
      <c r="B376" t="s">
        <v>24</v>
      </c>
      <c r="C376">
        <v>20150316</v>
      </c>
      <c r="D376">
        <v>0</v>
      </c>
      <c r="F376">
        <v>62500</v>
      </c>
      <c r="G376" t="s">
        <v>17</v>
      </c>
      <c r="I376" t="s">
        <v>16</v>
      </c>
      <c r="J376" t="s">
        <v>180</v>
      </c>
      <c r="K376" t="s">
        <v>25</v>
      </c>
      <c r="L376">
        <v>132757294</v>
      </c>
      <c r="R376">
        <v>9744</v>
      </c>
      <c r="S376" t="s">
        <v>37</v>
      </c>
      <c r="T376">
        <v>5</v>
      </c>
      <c r="U376">
        <v>0</v>
      </c>
      <c r="V376">
        <v>1.5290999999999999</v>
      </c>
      <c r="W376">
        <v>1.5290999999999999</v>
      </c>
      <c r="X376">
        <v>0</v>
      </c>
    </row>
    <row r="377" spans="1:40" x14ac:dyDescent="0.25">
      <c r="A377" t="s">
        <v>15</v>
      </c>
      <c r="B377" t="s">
        <v>24</v>
      </c>
      <c r="C377">
        <v>20150316</v>
      </c>
      <c r="D377">
        <v>0</v>
      </c>
      <c r="F377">
        <v>62500</v>
      </c>
      <c r="G377" t="s">
        <v>17</v>
      </c>
      <c r="I377" t="s">
        <v>16</v>
      </c>
      <c r="J377" t="s">
        <v>180</v>
      </c>
      <c r="K377" t="s">
        <v>25</v>
      </c>
      <c r="L377">
        <v>132757294</v>
      </c>
      <c r="R377">
        <v>9745</v>
      </c>
      <c r="S377" t="s">
        <v>232</v>
      </c>
      <c r="T377">
        <v>0</v>
      </c>
      <c r="U377">
        <v>5</v>
      </c>
      <c r="V377">
        <v>0</v>
      </c>
      <c r="W377">
        <v>0</v>
      </c>
      <c r="X377">
        <v>0</v>
      </c>
    </row>
    <row r="378" spans="1:40" x14ac:dyDescent="0.25">
      <c r="A378" t="s">
        <v>15</v>
      </c>
      <c r="B378" t="s">
        <v>24</v>
      </c>
      <c r="C378">
        <v>20150316</v>
      </c>
      <c r="D378">
        <v>0</v>
      </c>
      <c r="F378">
        <v>62500</v>
      </c>
      <c r="G378" t="s">
        <v>17</v>
      </c>
      <c r="I378" t="s">
        <v>16</v>
      </c>
      <c r="J378" t="s">
        <v>180</v>
      </c>
      <c r="K378" t="s">
        <v>25</v>
      </c>
      <c r="L378">
        <v>132757294</v>
      </c>
      <c r="R378">
        <v>9744</v>
      </c>
      <c r="S378" t="s">
        <v>37</v>
      </c>
      <c r="T378">
        <v>5</v>
      </c>
      <c r="U378">
        <v>0</v>
      </c>
      <c r="V378">
        <v>1.5290999999999999</v>
      </c>
      <c r="W378">
        <v>1.5290999999999999</v>
      </c>
      <c r="X378">
        <v>0</v>
      </c>
    </row>
    <row r="379" spans="1:40" x14ac:dyDescent="0.25">
      <c r="A379" t="s">
        <v>15</v>
      </c>
      <c r="B379" t="s">
        <v>24</v>
      </c>
      <c r="C379">
        <v>20150316</v>
      </c>
      <c r="D379">
        <v>0</v>
      </c>
      <c r="F379">
        <v>62500</v>
      </c>
      <c r="G379" t="s">
        <v>17</v>
      </c>
      <c r="I379" t="s">
        <v>16</v>
      </c>
      <c r="J379" t="s">
        <v>180</v>
      </c>
      <c r="K379" t="s">
        <v>25</v>
      </c>
      <c r="L379">
        <v>132757294</v>
      </c>
      <c r="R379">
        <v>9744</v>
      </c>
      <c r="S379" t="s">
        <v>37</v>
      </c>
      <c r="T379">
        <v>5</v>
      </c>
      <c r="U379">
        <v>0</v>
      </c>
      <c r="V379">
        <v>1.5290999999999999</v>
      </c>
      <c r="W379">
        <v>1.5290999999999999</v>
      </c>
      <c r="X379">
        <v>0</v>
      </c>
    </row>
    <row r="380" spans="1:40" x14ac:dyDescent="0.25">
      <c r="A380" t="s">
        <v>15</v>
      </c>
      <c r="B380" t="s">
        <v>24</v>
      </c>
      <c r="C380">
        <v>20150316</v>
      </c>
      <c r="D380">
        <v>0</v>
      </c>
      <c r="F380">
        <v>62500</v>
      </c>
      <c r="G380" t="s">
        <v>17</v>
      </c>
      <c r="I380" t="s">
        <v>16</v>
      </c>
      <c r="J380" t="s">
        <v>180</v>
      </c>
      <c r="K380" t="s">
        <v>25</v>
      </c>
      <c r="L380">
        <v>132757294</v>
      </c>
      <c r="R380">
        <v>9744</v>
      </c>
      <c r="S380" t="s">
        <v>37</v>
      </c>
      <c r="T380">
        <v>5</v>
      </c>
      <c r="U380">
        <v>0</v>
      </c>
      <c r="V380">
        <v>1.5290999999999999</v>
      </c>
      <c r="W380">
        <v>1.5290999999999999</v>
      </c>
      <c r="X380">
        <v>0</v>
      </c>
    </row>
    <row r="381" spans="1:40" x14ac:dyDescent="0.25">
      <c r="A381" t="s">
        <v>15</v>
      </c>
      <c r="B381" t="s">
        <v>24</v>
      </c>
      <c r="C381">
        <v>20150316</v>
      </c>
      <c r="D381">
        <v>0</v>
      </c>
      <c r="F381">
        <v>62500</v>
      </c>
      <c r="G381" t="s">
        <v>17</v>
      </c>
      <c r="I381" t="s">
        <v>16</v>
      </c>
      <c r="J381" t="s">
        <v>180</v>
      </c>
      <c r="K381" t="s">
        <v>25</v>
      </c>
      <c r="L381">
        <v>132757294</v>
      </c>
      <c r="R381">
        <v>9745</v>
      </c>
      <c r="S381" t="s">
        <v>232</v>
      </c>
      <c r="T381">
        <v>0</v>
      </c>
      <c r="U381">
        <v>-5</v>
      </c>
      <c r="V381">
        <v>0</v>
      </c>
      <c r="W381">
        <v>0</v>
      </c>
      <c r="X381">
        <v>0</v>
      </c>
      <c r="Y381">
        <v>9745</v>
      </c>
      <c r="Z381" t="s">
        <v>4463</v>
      </c>
      <c r="AA381" t="s">
        <v>4464</v>
      </c>
      <c r="AB381" t="s">
        <v>234</v>
      </c>
      <c r="AC381" t="s">
        <v>17</v>
      </c>
      <c r="AD381" t="s">
        <v>235</v>
      </c>
      <c r="AE381">
        <v>5</v>
      </c>
      <c r="AF381">
        <v>5</v>
      </c>
      <c r="AG381">
        <v>1.5290999999999999</v>
      </c>
      <c r="AH381">
        <v>1.5290999999999999</v>
      </c>
      <c r="AI381">
        <v>1226100201</v>
      </c>
      <c r="AJ381">
        <v>0</v>
      </c>
      <c r="AK381">
        <v>7</v>
      </c>
      <c r="AN381">
        <v>0</v>
      </c>
    </row>
    <row r="382" spans="1:40" x14ac:dyDescent="0.25">
      <c r="A382" t="s">
        <v>15</v>
      </c>
      <c r="B382" t="s">
        <v>24</v>
      </c>
      <c r="C382">
        <v>20150316</v>
      </c>
      <c r="D382">
        <v>0</v>
      </c>
      <c r="F382">
        <v>62500</v>
      </c>
      <c r="G382" t="s">
        <v>17</v>
      </c>
      <c r="I382" t="s">
        <v>16</v>
      </c>
      <c r="J382" t="s">
        <v>180</v>
      </c>
      <c r="K382" t="s">
        <v>25</v>
      </c>
      <c r="L382">
        <v>132757294</v>
      </c>
      <c r="R382">
        <v>9745</v>
      </c>
      <c r="S382" t="s">
        <v>232</v>
      </c>
      <c r="T382">
        <v>0</v>
      </c>
      <c r="U382">
        <v>-5</v>
      </c>
      <c r="V382">
        <v>0</v>
      </c>
      <c r="W382">
        <v>0</v>
      </c>
      <c r="X382">
        <v>0</v>
      </c>
    </row>
    <row r="383" spans="1:40" x14ac:dyDescent="0.25">
      <c r="A383" t="s">
        <v>15</v>
      </c>
      <c r="B383" t="s">
        <v>24</v>
      </c>
      <c r="C383">
        <v>20150316</v>
      </c>
      <c r="D383">
        <v>0</v>
      </c>
      <c r="F383">
        <v>62500</v>
      </c>
      <c r="G383" t="s">
        <v>17</v>
      </c>
      <c r="I383" t="s">
        <v>16</v>
      </c>
      <c r="J383" t="s">
        <v>180</v>
      </c>
      <c r="K383" t="s">
        <v>25</v>
      </c>
      <c r="L383">
        <v>132757294</v>
      </c>
      <c r="R383">
        <v>9745</v>
      </c>
      <c r="S383" t="s">
        <v>37</v>
      </c>
      <c r="T383">
        <v>5</v>
      </c>
      <c r="U383">
        <v>0</v>
      </c>
      <c r="V383">
        <v>1.5290999999999999</v>
      </c>
      <c r="W383">
        <v>1.5290999999999999</v>
      </c>
      <c r="X383">
        <v>0</v>
      </c>
    </row>
    <row r="384" spans="1:40" x14ac:dyDescent="0.25">
      <c r="A384" t="s">
        <v>15</v>
      </c>
      <c r="B384" t="s">
        <v>24</v>
      </c>
      <c r="C384">
        <v>20150316</v>
      </c>
      <c r="D384">
        <v>0</v>
      </c>
      <c r="F384">
        <v>62500</v>
      </c>
      <c r="G384" t="s">
        <v>17</v>
      </c>
      <c r="I384" t="s">
        <v>16</v>
      </c>
      <c r="J384" t="s">
        <v>180</v>
      </c>
      <c r="K384" t="s">
        <v>25</v>
      </c>
      <c r="L384">
        <v>132757294</v>
      </c>
      <c r="R384">
        <v>9745</v>
      </c>
      <c r="S384" t="s">
        <v>37</v>
      </c>
      <c r="T384">
        <v>5</v>
      </c>
      <c r="U384">
        <v>0</v>
      </c>
      <c r="V384">
        <v>1.5290999999999999</v>
      </c>
      <c r="W384">
        <v>1.5290999999999999</v>
      </c>
      <c r="X384">
        <v>0</v>
      </c>
    </row>
    <row r="385" spans="1:40" x14ac:dyDescent="0.25">
      <c r="A385" t="s">
        <v>15</v>
      </c>
      <c r="B385" t="s">
        <v>24</v>
      </c>
      <c r="C385">
        <v>20150316</v>
      </c>
      <c r="D385">
        <v>0</v>
      </c>
      <c r="F385">
        <v>62500</v>
      </c>
      <c r="G385" t="s">
        <v>17</v>
      </c>
      <c r="I385" t="s">
        <v>16</v>
      </c>
      <c r="J385" t="s">
        <v>180</v>
      </c>
      <c r="K385" t="s">
        <v>25</v>
      </c>
      <c r="L385">
        <v>132757294</v>
      </c>
      <c r="R385">
        <v>9745</v>
      </c>
      <c r="S385" t="s">
        <v>37</v>
      </c>
      <c r="T385">
        <v>5</v>
      </c>
      <c r="U385">
        <v>0</v>
      </c>
      <c r="V385">
        <v>1.5290999999999999</v>
      </c>
      <c r="W385">
        <v>1.5290999999999999</v>
      </c>
      <c r="X385">
        <v>0</v>
      </c>
    </row>
    <row r="386" spans="1:40" x14ac:dyDescent="0.25">
      <c r="A386" t="s">
        <v>15</v>
      </c>
      <c r="B386" t="s">
        <v>24</v>
      </c>
      <c r="C386">
        <v>20150316</v>
      </c>
      <c r="D386">
        <v>0</v>
      </c>
      <c r="F386">
        <v>62500</v>
      </c>
      <c r="G386" t="s">
        <v>17</v>
      </c>
      <c r="I386" t="s">
        <v>16</v>
      </c>
      <c r="J386" t="s">
        <v>180</v>
      </c>
      <c r="K386" t="s">
        <v>25</v>
      </c>
      <c r="L386">
        <v>132757294</v>
      </c>
      <c r="R386">
        <v>9745</v>
      </c>
      <c r="S386" t="s">
        <v>37</v>
      </c>
      <c r="T386">
        <v>5</v>
      </c>
      <c r="U386">
        <v>0</v>
      </c>
      <c r="V386">
        <v>1.5290999999999999</v>
      </c>
      <c r="W386">
        <v>1.5290999999999999</v>
      </c>
      <c r="X386">
        <v>0</v>
      </c>
    </row>
    <row r="387" spans="1:40" x14ac:dyDescent="0.25">
      <c r="A387" t="s">
        <v>15</v>
      </c>
      <c r="B387" t="s">
        <v>24</v>
      </c>
      <c r="C387">
        <v>20150316</v>
      </c>
      <c r="D387">
        <v>0</v>
      </c>
      <c r="F387">
        <v>62500</v>
      </c>
      <c r="G387" t="s">
        <v>17</v>
      </c>
      <c r="I387" t="s">
        <v>16</v>
      </c>
      <c r="J387" t="s">
        <v>180</v>
      </c>
      <c r="K387" t="s">
        <v>25</v>
      </c>
      <c r="L387">
        <v>132757294</v>
      </c>
      <c r="R387">
        <v>9745</v>
      </c>
      <c r="S387" t="s">
        <v>37</v>
      </c>
      <c r="T387">
        <v>5</v>
      </c>
      <c r="U387">
        <v>0</v>
      </c>
      <c r="V387">
        <v>1.5290999999999999</v>
      </c>
      <c r="W387">
        <v>1.5290999999999999</v>
      </c>
      <c r="X387">
        <v>0</v>
      </c>
    </row>
    <row r="388" spans="1:40" x14ac:dyDescent="0.25">
      <c r="A388" t="s">
        <v>15</v>
      </c>
      <c r="B388" t="s">
        <v>24</v>
      </c>
      <c r="C388">
        <v>20150316</v>
      </c>
      <c r="D388">
        <v>0</v>
      </c>
      <c r="F388">
        <v>62500</v>
      </c>
      <c r="G388" t="s">
        <v>17</v>
      </c>
      <c r="I388" t="s">
        <v>16</v>
      </c>
      <c r="J388" t="s">
        <v>180</v>
      </c>
      <c r="K388" t="s">
        <v>25</v>
      </c>
      <c r="L388">
        <v>132757294</v>
      </c>
      <c r="R388">
        <v>9745</v>
      </c>
      <c r="S388" t="s">
        <v>37</v>
      </c>
      <c r="T388">
        <v>5</v>
      </c>
      <c r="U388">
        <v>0</v>
      </c>
      <c r="V388">
        <v>1.5290999999999999</v>
      </c>
      <c r="W388">
        <v>1.5290999999999999</v>
      </c>
      <c r="X388">
        <v>0</v>
      </c>
    </row>
    <row r="389" spans="1:40" x14ac:dyDescent="0.25">
      <c r="A389" t="s">
        <v>15</v>
      </c>
      <c r="B389" t="s">
        <v>24</v>
      </c>
      <c r="C389">
        <v>20150316</v>
      </c>
      <c r="D389">
        <v>0</v>
      </c>
      <c r="F389">
        <v>62500</v>
      </c>
      <c r="G389" t="s">
        <v>17</v>
      </c>
      <c r="I389" t="s">
        <v>16</v>
      </c>
      <c r="J389" t="s">
        <v>180</v>
      </c>
      <c r="K389" t="s">
        <v>25</v>
      </c>
      <c r="L389">
        <v>132757294</v>
      </c>
      <c r="R389">
        <v>9745</v>
      </c>
      <c r="S389" t="s">
        <v>37</v>
      </c>
      <c r="T389">
        <v>5</v>
      </c>
      <c r="U389">
        <v>0</v>
      </c>
      <c r="V389">
        <v>1.5290999999999999</v>
      </c>
      <c r="W389">
        <v>1.5290999999999999</v>
      </c>
      <c r="X389">
        <v>0</v>
      </c>
    </row>
    <row r="390" spans="1:40" x14ac:dyDescent="0.25">
      <c r="A390" t="s">
        <v>15</v>
      </c>
      <c r="B390" t="s">
        <v>24</v>
      </c>
      <c r="C390">
        <v>20150316</v>
      </c>
      <c r="D390">
        <v>0</v>
      </c>
      <c r="F390">
        <v>62500</v>
      </c>
      <c r="G390" t="s">
        <v>17</v>
      </c>
      <c r="I390" t="s">
        <v>16</v>
      </c>
      <c r="J390" t="s">
        <v>180</v>
      </c>
      <c r="K390" t="s">
        <v>25</v>
      </c>
      <c r="L390">
        <v>132757294</v>
      </c>
      <c r="R390">
        <v>9745</v>
      </c>
      <c r="S390" t="s">
        <v>37</v>
      </c>
      <c r="T390">
        <v>5</v>
      </c>
      <c r="U390">
        <v>0</v>
      </c>
      <c r="V390">
        <v>1.5290999999999999</v>
      </c>
      <c r="W390">
        <v>1.5290999999999999</v>
      </c>
      <c r="X390">
        <v>0</v>
      </c>
    </row>
    <row r="391" spans="1:40" x14ac:dyDescent="0.25">
      <c r="A391" t="s">
        <v>15</v>
      </c>
      <c r="B391" t="s">
        <v>24</v>
      </c>
      <c r="C391">
        <v>20150316</v>
      </c>
      <c r="D391">
        <v>0</v>
      </c>
      <c r="F391">
        <v>62500</v>
      </c>
      <c r="G391" t="s">
        <v>17</v>
      </c>
      <c r="I391" t="s">
        <v>16</v>
      </c>
      <c r="J391" t="s">
        <v>180</v>
      </c>
      <c r="K391" t="s">
        <v>25</v>
      </c>
      <c r="L391">
        <v>132757294</v>
      </c>
      <c r="R391">
        <v>9746</v>
      </c>
      <c r="S391" t="s">
        <v>232</v>
      </c>
      <c r="T391">
        <v>0</v>
      </c>
      <c r="U391">
        <v>5</v>
      </c>
      <c r="V391">
        <v>0</v>
      </c>
      <c r="W391">
        <v>0</v>
      </c>
      <c r="X391">
        <v>0</v>
      </c>
    </row>
    <row r="392" spans="1:40" x14ac:dyDescent="0.25">
      <c r="A392" t="s">
        <v>15</v>
      </c>
      <c r="B392" t="s">
        <v>24</v>
      </c>
      <c r="C392">
        <v>20150316</v>
      </c>
      <c r="D392">
        <v>0</v>
      </c>
      <c r="F392">
        <v>62500</v>
      </c>
      <c r="G392" t="s">
        <v>17</v>
      </c>
      <c r="I392" t="s">
        <v>16</v>
      </c>
      <c r="J392" t="s">
        <v>180</v>
      </c>
      <c r="K392" t="s">
        <v>25</v>
      </c>
      <c r="L392">
        <v>132757294</v>
      </c>
      <c r="R392">
        <v>9747</v>
      </c>
      <c r="S392" t="s">
        <v>232</v>
      </c>
      <c r="T392">
        <v>0</v>
      </c>
      <c r="U392">
        <v>21</v>
      </c>
      <c r="V392">
        <v>0</v>
      </c>
      <c r="W392">
        <v>0</v>
      </c>
      <c r="X392">
        <v>0</v>
      </c>
    </row>
    <row r="393" spans="1:40" x14ac:dyDescent="0.25">
      <c r="A393" t="s">
        <v>15</v>
      </c>
      <c r="B393" t="s">
        <v>24</v>
      </c>
      <c r="C393">
        <v>20150316</v>
      </c>
      <c r="D393">
        <v>0</v>
      </c>
      <c r="F393">
        <v>62500</v>
      </c>
      <c r="G393" t="s">
        <v>17</v>
      </c>
      <c r="I393" t="s">
        <v>16</v>
      </c>
      <c r="J393" t="s">
        <v>180</v>
      </c>
      <c r="K393" t="s">
        <v>25</v>
      </c>
      <c r="L393">
        <v>132757294</v>
      </c>
      <c r="R393">
        <v>9746</v>
      </c>
      <c r="S393" t="s">
        <v>232</v>
      </c>
      <c r="T393">
        <v>0</v>
      </c>
      <c r="U393">
        <v>1</v>
      </c>
      <c r="V393">
        <v>0</v>
      </c>
      <c r="W393">
        <v>0</v>
      </c>
      <c r="X393">
        <v>0</v>
      </c>
      <c r="Y393">
        <v>9746</v>
      </c>
      <c r="Z393" t="s">
        <v>4534</v>
      </c>
      <c r="AA393" t="s">
        <v>4535</v>
      </c>
      <c r="AB393" t="s">
        <v>234</v>
      </c>
      <c r="AC393" t="s">
        <v>17</v>
      </c>
      <c r="AD393" t="s">
        <v>235</v>
      </c>
      <c r="AE393">
        <v>2</v>
      </c>
      <c r="AF393">
        <v>2</v>
      </c>
      <c r="AG393">
        <v>1.5289999999999999</v>
      </c>
      <c r="AH393">
        <v>1.5289999999999999</v>
      </c>
      <c r="AI393">
        <v>1226100202</v>
      </c>
      <c r="AJ393">
        <v>0</v>
      </c>
      <c r="AK393">
        <v>7</v>
      </c>
      <c r="AN393">
        <v>0</v>
      </c>
    </row>
    <row r="394" spans="1:40" x14ac:dyDescent="0.25">
      <c r="A394" t="s">
        <v>15</v>
      </c>
      <c r="B394" t="s">
        <v>24</v>
      </c>
      <c r="C394">
        <v>20150316</v>
      </c>
      <c r="D394">
        <v>0</v>
      </c>
      <c r="F394">
        <v>62500</v>
      </c>
      <c r="G394" t="s">
        <v>17</v>
      </c>
      <c r="I394" t="s">
        <v>16</v>
      </c>
      <c r="J394" t="s">
        <v>180</v>
      </c>
      <c r="K394" t="s">
        <v>25</v>
      </c>
      <c r="L394">
        <v>132757294</v>
      </c>
      <c r="R394">
        <v>9746</v>
      </c>
      <c r="S394" t="s">
        <v>232</v>
      </c>
      <c r="T394">
        <v>0</v>
      </c>
      <c r="U394">
        <v>1</v>
      </c>
      <c r="V394">
        <v>0</v>
      </c>
      <c r="W394">
        <v>0</v>
      </c>
      <c r="X394">
        <v>0</v>
      </c>
    </row>
    <row r="395" spans="1:40" x14ac:dyDescent="0.25">
      <c r="A395" t="s">
        <v>15</v>
      </c>
      <c r="B395" t="s">
        <v>24</v>
      </c>
      <c r="C395">
        <v>20150316</v>
      </c>
      <c r="D395">
        <v>0</v>
      </c>
      <c r="F395">
        <v>62500</v>
      </c>
      <c r="G395" t="s">
        <v>17</v>
      </c>
      <c r="I395" t="s">
        <v>16</v>
      </c>
      <c r="J395" t="s">
        <v>180</v>
      </c>
      <c r="K395" t="s">
        <v>25</v>
      </c>
      <c r="L395">
        <v>132757294</v>
      </c>
      <c r="R395">
        <v>9746</v>
      </c>
      <c r="S395" t="s">
        <v>236</v>
      </c>
      <c r="T395">
        <v>2</v>
      </c>
      <c r="U395">
        <v>3</v>
      </c>
      <c r="V395">
        <v>1.5289999999999999</v>
      </c>
      <c r="W395">
        <v>1.5289999999999999</v>
      </c>
      <c r="X395">
        <v>0</v>
      </c>
    </row>
    <row r="396" spans="1:40" x14ac:dyDescent="0.25">
      <c r="A396" t="s">
        <v>15</v>
      </c>
      <c r="B396" t="s">
        <v>24</v>
      </c>
      <c r="C396">
        <v>20150316</v>
      </c>
      <c r="D396">
        <v>0</v>
      </c>
      <c r="F396">
        <v>62500</v>
      </c>
      <c r="G396" t="s">
        <v>17</v>
      </c>
      <c r="I396" t="s">
        <v>16</v>
      </c>
      <c r="J396" t="s">
        <v>180</v>
      </c>
      <c r="K396" t="s">
        <v>25</v>
      </c>
      <c r="L396">
        <v>132757294</v>
      </c>
      <c r="R396">
        <v>9746</v>
      </c>
      <c r="S396" t="s">
        <v>236</v>
      </c>
      <c r="T396">
        <v>2</v>
      </c>
      <c r="U396">
        <v>3</v>
      </c>
      <c r="V396">
        <v>1.5289999999999999</v>
      </c>
      <c r="W396">
        <v>1.5289999999999999</v>
      </c>
      <c r="X396">
        <v>0</v>
      </c>
    </row>
    <row r="397" spans="1:40" x14ac:dyDescent="0.25">
      <c r="A397" t="s">
        <v>15</v>
      </c>
      <c r="B397" t="s">
        <v>24</v>
      </c>
      <c r="C397">
        <v>20150316</v>
      </c>
      <c r="D397">
        <v>0</v>
      </c>
      <c r="F397">
        <v>62500</v>
      </c>
      <c r="G397" t="s">
        <v>17</v>
      </c>
      <c r="I397" t="s">
        <v>16</v>
      </c>
      <c r="J397" t="s">
        <v>180</v>
      </c>
      <c r="K397" t="s">
        <v>25</v>
      </c>
      <c r="L397">
        <v>132757294</v>
      </c>
      <c r="R397">
        <v>9746</v>
      </c>
      <c r="S397" t="s">
        <v>233</v>
      </c>
      <c r="T397">
        <v>2</v>
      </c>
      <c r="U397">
        <v>3</v>
      </c>
      <c r="V397">
        <v>1.5289999999999999</v>
      </c>
      <c r="W397">
        <v>1.5289999999999999</v>
      </c>
      <c r="X397">
        <v>0</v>
      </c>
    </row>
    <row r="398" spans="1:40" x14ac:dyDescent="0.25">
      <c r="A398" t="s">
        <v>15</v>
      </c>
      <c r="B398" t="s">
        <v>24</v>
      </c>
      <c r="C398">
        <v>20150316</v>
      </c>
      <c r="D398">
        <v>0</v>
      </c>
      <c r="F398">
        <v>62500</v>
      </c>
      <c r="G398" t="s">
        <v>17</v>
      </c>
      <c r="I398" t="s">
        <v>16</v>
      </c>
      <c r="J398" t="s">
        <v>180</v>
      </c>
      <c r="K398" t="s">
        <v>25</v>
      </c>
      <c r="L398">
        <v>132757294</v>
      </c>
      <c r="R398">
        <v>9746</v>
      </c>
      <c r="S398" t="s">
        <v>233</v>
      </c>
      <c r="T398">
        <v>2</v>
      </c>
      <c r="U398">
        <v>3</v>
      </c>
      <c r="V398">
        <v>1.5289999999999999</v>
      </c>
      <c r="W398">
        <v>1.5289999999999999</v>
      </c>
      <c r="X398">
        <v>0</v>
      </c>
    </row>
    <row r="399" spans="1:40" x14ac:dyDescent="0.25">
      <c r="A399" t="s">
        <v>15</v>
      </c>
      <c r="B399" t="s">
        <v>24</v>
      </c>
      <c r="C399">
        <v>20150316</v>
      </c>
      <c r="D399">
        <v>0</v>
      </c>
      <c r="F399">
        <v>62500</v>
      </c>
      <c r="G399" t="s">
        <v>17</v>
      </c>
      <c r="I399" t="s">
        <v>16</v>
      </c>
      <c r="J399" t="s">
        <v>180</v>
      </c>
      <c r="K399" t="s">
        <v>25</v>
      </c>
      <c r="L399">
        <v>132757294</v>
      </c>
      <c r="R399">
        <v>9746</v>
      </c>
      <c r="S399" t="s">
        <v>233</v>
      </c>
      <c r="T399">
        <v>2</v>
      </c>
      <c r="U399">
        <v>3</v>
      </c>
      <c r="V399">
        <v>1.5289999999999999</v>
      </c>
      <c r="W399">
        <v>1.5289999999999999</v>
      </c>
      <c r="X399">
        <v>0</v>
      </c>
    </row>
    <row r="400" spans="1:40" x14ac:dyDescent="0.25">
      <c r="A400" t="s">
        <v>15</v>
      </c>
      <c r="B400" t="s">
        <v>24</v>
      </c>
      <c r="C400">
        <v>20150316</v>
      </c>
      <c r="D400">
        <v>0</v>
      </c>
      <c r="F400">
        <v>62500</v>
      </c>
      <c r="G400" t="s">
        <v>17</v>
      </c>
      <c r="I400" t="s">
        <v>16</v>
      </c>
      <c r="J400" t="s">
        <v>180</v>
      </c>
      <c r="K400" t="s">
        <v>25</v>
      </c>
      <c r="L400">
        <v>132757294</v>
      </c>
      <c r="R400">
        <v>9740</v>
      </c>
      <c r="S400" t="s">
        <v>223</v>
      </c>
      <c r="T400">
        <v>0</v>
      </c>
      <c r="U400">
        <v>17</v>
      </c>
      <c r="V400">
        <v>0</v>
      </c>
      <c r="W400">
        <v>0</v>
      </c>
      <c r="X400">
        <v>0</v>
      </c>
    </row>
    <row r="401" spans="1:40" x14ac:dyDescent="0.25">
      <c r="A401" t="s">
        <v>15</v>
      </c>
      <c r="B401" t="s">
        <v>24</v>
      </c>
      <c r="C401">
        <v>20150316</v>
      </c>
      <c r="D401">
        <v>0</v>
      </c>
      <c r="F401">
        <v>62500</v>
      </c>
      <c r="G401" t="s">
        <v>17</v>
      </c>
      <c r="I401" t="s">
        <v>16</v>
      </c>
      <c r="J401" t="s">
        <v>180</v>
      </c>
      <c r="K401" t="s">
        <v>25</v>
      </c>
      <c r="L401">
        <v>132757294</v>
      </c>
      <c r="R401">
        <v>9740</v>
      </c>
      <c r="S401" t="s">
        <v>224</v>
      </c>
      <c r="T401">
        <v>0</v>
      </c>
      <c r="U401">
        <v>17</v>
      </c>
      <c r="V401">
        <v>0</v>
      </c>
      <c r="W401">
        <v>0</v>
      </c>
      <c r="X401">
        <v>0</v>
      </c>
    </row>
    <row r="402" spans="1:40" x14ac:dyDescent="0.25">
      <c r="A402" t="s">
        <v>15</v>
      </c>
      <c r="B402" t="s">
        <v>24</v>
      </c>
      <c r="C402">
        <v>20150316</v>
      </c>
      <c r="D402">
        <v>0</v>
      </c>
      <c r="F402">
        <v>62500</v>
      </c>
      <c r="G402" t="s">
        <v>17</v>
      </c>
      <c r="I402" t="s">
        <v>16</v>
      </c>
      <c r="J402" t="s">
        <v>180</v>
      </c>
      <c r="K402" t="s">
        <v>25</v>
      </c>
      <c r="L402">
        <v>132757294</v>
      </c>
      <c r="R402">
        <v>9741</v>
      </c>
      <c r="S402" t="s">
        <v>223</v>
      </c>
      <c r="T402">
        <v>0</v>
      </c>
      <c r="U402">
        <v>16</v>
      </c>
      <c r="V402">
        <v>0</v>
      </c>
      <c r="W402">
        <v>0</v>
      </c>
      <c r="X402">
        <v>0</v>
      </c>
    </row>
    <row r="403" spans="1:40" x14ac:dyDescent="0.25">
      <c r="A403" t="s">
        <v>15</v>
      </c>
      <c r="B403" t="s">
        <v>24</v>
      </c>
      <c r="C403">
        <v>20150316</v>
      </c>
      <c r="D403">
        <v>0</v>
      </c>
      <c r="F403">
        <v>62500</v>
      </c>
      <c r="G403" t="s">
        <v>17</v>
      </c>
      <c r="I403" t="s">
        <v>16</v>
      </c>
      <c r="J403" t="s">
        <v>180</v>
      </c>
      <c r="K403" t="s">
        <v>25</v>
      </c>
      <c r="L403">
        <v>132757294</v>
      </c>
      <c r="R403">
        <v>9741</v>
      </c>
      <c r="S403" t="s">
        <v>224</v>
      </c>
      <c r="T403">
        <v>0</v>
      </c>
      <c r="U403">
        <v>16</v>
      </c>
      <c r="V403">
        <v>0</v>
      </c>
      <c r="W403">
        <v>0</v>
      </c>
      <c r="X403">
        <v>0</v>
      </c>
    </row>
    <row r="404" spans="1:40" x14ac:dyDescent="0.25">
      <c r="A404" t="s">
        <v>15</v>
      </c>
      <c r="B404" t="s">
        <v>24</v>
      </c>
      <c r="C404">
        <v>20150316</v>
      </c>
      <c r="D404">
        <v>0</v>
      </c>
      <c r="F404">
        <v>62500</v>
      </c>
      <c r="G404" t="s">
        <v>17</v>
      </c>
      <c r="I404" t="s">
        <v>16</v>
      </c>
      <c r="J404" t="s">
        <v>180</v>
      </c>
      <c r="K404" t="s">
        <v>25</v>
      </c>
      <c r="L404">
        <v>132757294</v>
      </c>
      <c r="R404">
        <v>9747</v>
      </c>
      <c r="S404" t="s">
        <v>232</v>
      </c>
      <c r="T404">
        <v>0</v>
      </c>
      <c r="U404">
        <v>21</v>
      </c>
      <c r="V404">
        <v>0</v>
      </c>
      <c r="W404">
        <v>0</v>
      </c>
      <c r="X404">
        <v>0</v>
      </c>
    </row>
    <row r="405" spans="1:40" x14ac:dyDescent="0.25">
      <c r="A405" t="s">
        <v>15</v>
      </c>
      <c r="B405" t="s">
        <v>24</v>
      </c>
      <c r="C405">
        <v>20150316</v>
      </c>
      <c r="D405">
        <v>0</v>
      </c>
      <c r="F405">
        <v>62500</v>
      </c>
      <c r="G405" t="s">
        <v>17</v>
      </c>
      <c r="I405" t="s">
        <v>16</v>
      </c>
      <c r="J405" t="s">
        <v>180</v>
      </c>
      <c r="K405" t="s">
        <v>25</v>
      </c>
      <c r="L405">
        <v>132757294</v>
      </c>
      <c r="R405">
        <v>9747</v>
      </c>
      <c r="S405" t="s">
        <v>192</v>
      </c>
      <c r="T405">
        <v>0</v>
      </c>
      <c r="U405">
        <v>21</v>
      </c>
      <c r="V405">
        <v>0</v>
      </c>
      <c r="W405">
        <v>0</v>
      </c>
      <c r="X405">
        <v>0</v>
      </c>
    </row>
    <row r="406" spans="1:40" x14ac:dyDescent="0.25">
      <c r="A406" t="s">
        <v>15</v>
      </c>
      <c r="B406" t="s">
        <v>24</v>
      </c>
      <c r="C406">
        <v>20150316</v>
      </c>
      <c r="D406">
        <v>0</v>
      </c>
      <c r="F406">
        <v>62500</v>
      </c>
      <c r="G406" t="s">
        <v>17</v>
      </c>
      <c r="I406" t="s">
        <v>16</v>
      </c>
      <c r="J406" t="s">
        <v>180</v>
      </c>
      <c r="K406" t="s">
        <v>25</v>
      </c>
      <c r="L406">
        <v>132757294</v>
      </c>
      <c r="R406">
        <v>9748</v>
      </c>
      <c r="S406" t="s">
        <v>232</v>
      </c>
      <c r="T406">
        <v>0</v>
      </c>
      <c r="U406">
        <v>24</v>
      </c>
      <c r="V406">
        <v>0</v>
      </c>
      <c r="W406">
        <v>0</v>
      </c>
      <c r="X406">
        <v>0</v>
      </c>
    </row>
    <row r="407" spans="1:40" x14ac:dyDescent="0.25">
      <c r="A407" t="s">
        <v>15</v>
      </c>
      <c r="B407" t="s">
        <v>24</v>
      </c>
      <c r="C407">
        <v>20150316</v>
      </c>
      <c r="D407">
        <v>0</v>
      </c>
      <c r="F407">
        <v>62500</v>
      </c>
      <c r="G407" t="s">
        <v>17</v>
      </c>
      <c r="I407" t="s">
        <v>16</v>
      </c>
      <c r="J407" t="s">
        <v>180</v>
      </c>
      <c r="K407" t="s">
        <v>25</v>
      </c>
      <c r="L407">
        <v>132757294</v>
      </c>
      <c r="R407">
        <v>9746</v>
      </c>
      <c r="S407" t="s">
        <v>233</v>
      </c>
      <c r="T407">
        <v>2</v>
      </c>
      <c r="U407">
        <v>-3</v>
      </c>
      <c r="V407">
        <v>1.5289999999999999</v>
      </c>
      <c r="W407">
        <v>1.5289999999999999</v>
      </c>
      <c r="X407">
        <v>0</v>
      </c>
      <c r="Y407">
        <v>9746</v>
      </c>
      <c r="Z407" t="s">
        <v>4615</v>
      </c>
      <c r="AA407" t="s">
        <v>4616</v>
      </c>
      <c r="AB407" t="s">
        <v>234</v>
      </c>
      <c r="AC407" t="s">
        <v>17</v>
      </c>
      <c r="AD407" t="s">
        <v>235</v>
      </c>
      <c r="AE407">
        <v>3</v>
      </c>
      <c r="AF407">
        <v>5</v>
      </c>
      <c r="AG407">
        <v>1.5289999999999999</v>
      </c>
      <c r="AH407">
        <v>1.5289999999999999</v>
      </c>
      <c r="AI407">
        <v>1226100202</v>
      </c>
      <c r="AJ407">
        <v>0</v>
      </c>
      <c r="AK407">
        <v>7</v>
      </c>
      <c r="AN407">
        <v>0</v>
      </c>
    </row>
    <row r="408" spans="1:40" x14ac:dyDescent="0.25">
      <c r="A408" t="s">
        <v>15</v>
      </c>
      <c r="B408" t="s">
        <v>24</v>
      </c>
      <c r="C408">
        <v>20150316</v>
      </c>
      <c r="D408">
        <v>0</v>
      </c>
      <c r="F408">
        <v>62500</v>
      </c>
      <c r="G408" t="s">
        <v>17</v>
      </c>
      <c r="I408" t="s">
        <v>16</v>
      </c>
      <c r="J408" t="s">
        <v>180</v>
      </c>
      <c r="K408" t="s">
        <v>25</v>
      </c>
      <c r="L408">
        <v>132757294</v>
      </c>
      <c r="R408">
        <v>9746</v>
      </c>
      <c r="S408" t="s">
        <v>233</v>
      </c>
      <c r="T408">
        <v>2</v>
      </c>
      <c r="U408">
        <v>-3</v>
      </c>
      <c r="V408">
        <v>1.5289999999999999</v>
      </c>
      <c r="W408">
        <v>1.5289999999999999</v>
      </c>
      <c r="X408">
        <v>0</v>
      </c>
    </row>
    <row r="409" spans="1:40" x14ac:dyDescent="0.25">
      <c r="A409" t="s">
        <v>15</v>
      </c>
      <c r="B409" t="s">
        <v>24</v>
      </c>
      <c r="C409">
        <v>20150316</v>
      </c>
      <c r="D409">
        <v>0</v>
      </c>
      <c r="F409">
        <v>62500</v>
      </c>
      <c r="G409" t="s">
        <v>17</v>
      </c>
      <c r="I409" t="s">
        <v>16</v>
      </c>
      <c r="J409" t="s">
        <v>180</v>
      </c>
      <c r="K409" t="s">
        <v>25</v>
      </c>
      <c r="L409">
        <v>132757294</v>
      </c>
      <c r="R409">
        <v>9746</v>
      </c>
      <c r="S409" t="s">
        <v>37</v>
      </c>
      <c r="T409">
        <v>5</v>
      </c>
      <c r="U409">
        <v>0</v>
      </c>
      <c r="V409">
        <v>1.5289999999999999</v>
      </c>
      <c r="W409">
        <v>1.5289999999999999</v>
      </c>
      <c r="X409">
        <v>0</v>
      </c>
    </row>
    <row r="410" spans="1:40" x14ac:dyDescent="0.25">
      <c r="A410" t="s">
        <v>15</v>
      </c>
      <c r="B410" t="s">
        <v>24</v>
      </c>
      <c r="C410">
        <v>20150316</v>
      </c>
      <c r="D410">
        <v>0</v>
      </c>
      <c r="F410">
        <v>62500</v>
      </c>
      <c r="G410" t="s">
        <v>17</v>
      </c>
      <c r="I410" t="s">
        <v>16</v>
      </c>
      <c r="J410" t="s">
        <v>180</v>
      </c>
      <c r="K410" t="s">
        <v>25</v>
      </c>
      <c r="L410">
        <v>132757294</v>
      </c>
      <c r="R410">
        <v>9746</v>
      </c>
      <c r="S410" t="s">
        <v>37</v>
      </c>
      <c r="T410">
        <v>5</v>
      </c>
      <c r="U410">
        <v>0</v>
      </c>
      <c r="V410">
        <v>1.5289999999999999</v>
      </c>
      <c r="W410">
        <v>1.5289999999999999</v>
      </c>
      <c r="X410">
        <v>0</v>
      </c>
    </row>
    <row r="411" spans="1:40" x14ac:dyDescent="0.25">
      <c r="A411" t="s">
        <v>15</v>
      </c>
      <c r="B411" t="s">
        <v>24</v>
      </c>
      <c r="C411">
        <v>20150316</v>
      </c>
      <c r="D411">
        <v>0</v>
      </c>
      <c r="F411">
        <v>62500</v>
      </c>
      <c r="G411" t="s">
        <v>17</v>
      </c>
      <c r="I411" t="s">
        <v>16</v>
      </c>
      <c r="J411" t="s">
        <v>180</v>
      </c>
      <c r="K411" t="s">
        <v>25</v>
      </c>
      <c r="L411">
        <v>132757294</v>
      </c>
      <c r="R411">
        <v>9746</v>
      </c>
      <c r="S411" t="s">
        <v>37</v>
      </c>
      <c r="T411">
        <v>5</v>
      </c>
      <c r="U411">
        <v>0</v>
      </c>
      <c r="V411">
        <v>1.5289999999999999</v>
      </c>
      <c r="W411">
        <v>1.5289999999999999</v>
      </c>
      <c r="X411">
        <v>0</v>
      </c>
    </row>
    <row r="412" spans="1:40" x14ac:dyDescent="0.25">
      <c r="A412" t="s">
        <v>15</v>
      </c>
      <c r="B412" t="s">
        <v>24</v>
      </c>
      <c r="C412">
        <v>20150316</v>
      </c>
      <c r="D412">
        <v>0</v>
      </c>
      <c r="F412">
        <v>62500</v>
      </c>
      <c r="G412" t="s">
        <v>17</v>
      </c>
      <c r="I412" t="s">
        <v>16</v>
      </c>
      <c r="J412" t="s">
        <v>180</v>
      </c>
      <c r="K412" t="s">
        <v>25</v>
      </c>
      <c r="L412">
        <v>132757294</v>
      </c>
      <c r="R412">
        <v>9746</v>
      </c>
      <c r="S412" t="s">
        <v>37</v>
      </c>
      <c r="T412">
        <v>5</v>
      </c>
      <c r="U412">
        <v>0</v>
      </c>
      <c r="V412">
        <v>1.5289999999999999</v>
      </c>
      <c r="W412">
        <v>1.5289999999999999</v>
      </c>
      <c r="X412">
        <v>0</v>
      </c>
    </row>
    <row r="413" spans="1:40" x14ac:dyDescent="0.25">
      <c r="A413" t="s">
        <v>15</v>
      </c>
      <c r="B413" t="s">
        <v>24</v>
      </c>
      <c r="C413">
        <v>20150316</v>
      </c>
      <c r="D413">
        <v>0</v>
      </c>
      <c r="F413">
        <v>62500</v>
      </c>
      <c r="G413" t="s">
        <v>17</v>
      </c>
      <c r="I413" t="s">
        <v>16</v>
      </c>
      <c r="J413" t="s">
        <v>180</v>
      </c>
      <c r="K413" t="s">
        <v>25</v>
      </c>
      <c r="L413">
        <v>132757294</v>
      </c>
      <c r="R413">
        <v>9746</v>
      </c>
      <c r="S413" t="s">
        <v>37</v>
      </c>
      <c r="T413">
        <v>5</v>
      </c>
      <c r="U413">
        <v>0</v>
      </c>
      <c r="V413">
        <v>1.5289999999999999</v>
      </c>
      <c r="W413">
        <v>1.5289999999999999</v>
      </c>
      <c r="X413">
        <v>0</v>
      </c>
    </row>
    <row r="414" spans="1:40" x14ac:dyDescent="0.25">
      <c r="A414" t="s">
        <v>15</v>
      </c>
      <c r="B414" t="s">
        <v>24</v>
      </c>
      <c r="C414">
        <v>20150316</v>
      </c>
      <c r="D414">
        <v>0</v>
      </c>
      <c r="F414">
        <v>62500</v>
      </c>
      <c r="G414" t="s">
        <v>17</v>
      </c>
      <c r="I414" t="s">
        <v>16</v>
      </c>
      <c r="J414" t="s">
        <v>180</v>
      </c>
      <c r="K414" t="s">
        <v>25</v>
      </c>
      <c r="L414">
        <v>132757294</v>
      </c>
      <c r="R414">
        <v>9747</v>
      </c>
      <c r="S414" t="s">
        <v>223</v>
      </c>
      <c r="T414">
        <v>0</v>
      </c>
      <c r="U414">
        <v>21</v>
      </c>
      <c r="V414">
        <v>0</v>
      </c>
      <c r="W414">
        <v>0</v>
      </c>
      <c r="X414">
        <v>0</v>
      </c>
    </row>
    <row r="415" spans="1:40" x14ac:dyDescent="0.25">
      <c r="A415" t="s">
        <v>15</v>
      </c>
      <c r="B415" t="s">
        <v>24</v>
      </c>
      <c r="C415">
        <v>20150316</v>
      </c>
      <c r="D415">
        <v>0</v>
      </c>
      <c r="F415">
        <v>62500</v>
      </c>
      <c r="G415" t="s">
        <v>17</v>
      </c>
      <c r="I415" t="s">
        <v>16</v>
      </c>
      <c r="J415" t="s">
        <v>180</v>
      </c>
      <c r="K415" t="s">
        <v>25</v>
      </c>
      <c r="L415">
        <v>132757294</v>
      </c>
      <c r="R415">
        <v>9747</v>
      </c>
      <c r="S415" t="s">
        <v>224</v>
      </c>
      <c r="T415">
        <v>0</v>
      </c>
      <c r="U415">
        <v>21</v>
      </c>
      <c r="V415">
        <v>0</v>
      </c>
      <c r="W415">
        <v>0</v>
      </c>
      <c r="X415">
        <v>0</v>
      </c>
    </row>
    <row r="416" spans="1:40" x14ac:dyDescent="0.25">
      <c r="A416" t="s">
        <v>15</v>
      </c>
      <c r="B416" t="s">
        <v>24</v>
      </c>
      <c r="C416">
        <v>20150316</v>
      </c>
      <c r="D416">
        <v>0</v>
      </c>
      <c r="F416">
        <v>62500</v>
      </c>
      <c r="G416" t="s">
        <v>17</v>
      </c>
      <c r="I416" t="s">
        <v>16</v>
      </c>
      <c r="J416" t="s">
        <v>180</v>
      </c>
      <c r="K416" t="s">
        <v>25</v>
      </c>
      <c r="L416">
        <v>132757294</v>
      </c>
      <c r="R416">
        <v>9748</v>
      </c>
      <c r="S416" t="s">
        <v>232</v>
      </c>
      <c r="T416">
        <v>0</v>
      </c>
      <c r="U416">
        <v>24</v>
      </c>
      <c r="V416">
        <v>0</v>
      </c>
      <c r="W416">
        <v>0</v>
      </c>
      <c r="X416">
        <v>0</v>
      </c>
    </row>
    <row r="417" spans="1:40" x14ac:dyDescent="0.25">
      <c r="A417" t="s">
        <v>15</v>
      </c>
      <c r="B417" t="s">
        <v>24</v>
      </c>
      <c r="C417">
        <v>20150316</v>
      </c>
      <c r="D417">
        <v>0</v>
      </c>
      <c r="F417">
        <v>62500</v>
      </c>
      <c r="G417" t="s">
        <v>17</v>
      </c>
      <c r="I417" t="s">
        <v>16</v>
      </c>
      <c r="J417" t="s">
        <v>180</v>
      </c>
      <c r="K417" t="s">
        <v>25</v>
      </c>
      <c r="L417">
        <v>132757294</v>
      </c>
      <c r="R417">
        <v>9748</v>
      </c>
      <c r="S417" t="s">
        <v>192</v>
      </c>
      <c r="T417">
        <v>0</v>
      </c>
      <c r="U417">
        <v>24</v>
      </c>
      <c r="V417">
        <v>0</v>
      </c>
      <c r="W417">
        <v>0</v>
      </c>
      <c r="X417">
        <v>0</v>
      </c>
    </row>
    <row r="418" spans="1:40" x14ac:dyDescent="0.25">
      <c r="A418" t="s">
        <v>15</v>
      </c>
      <c r="B418" t="s">
        <v>24</v>
      </c>
      <c r="C418">
        <v>20150316</v>
      </c>
      <c r="D418">
        <v>0</v>
      </c>
      <c r="F418">
        <v>62500</v>
      </c>
      <c r="G418" t="s">
        <v>17</v>
      </c>
      <c r="I418" t="s">
        <v>16</v>
      </c>
      <c r="J418" t="s">
        <v>180</v>
      </c>
      <c r="K418" t="s">
        <v>25</v>
      </c>
      <c r="L418">
        <v>132757294</v>
      </c>
      <c r="R418">
        <v>9749</v>
      </c>
      <c r="S418" t="s">
        <v>232</v>
      </c>
      <c r="T418">
        <v>0</v>
      </c>
      <c r="U418">
        <v>5</v>
      </c>
      <c r="V418">
        <v>0</v>
      </c>
      <c r="W418">
        <v>0</v>
      </c>
      <c r="X418">
        <v>0</v>
      </c>
    </row>
    <row r="419" spans="1:40" x14ac:dyDescent="0.25">
      <c r="A419" t="s">
        <v>15</v>
      </c>
      <c r="B419" t="s">
        <v>24</v>
      </c>
      <c r="C419">
        <v>20150316</v>
      </c>
      <c r="D419">
        <v>0</v>
      </c>
      <c r="F419">
        <v>62500</v>
      </c>
      <c r="G419" t="s">
        <v>17</v>
      </c>
      <c r="I419" t="s">
        <v>16</v>
      </c>
      <c r="J419" t="s">
        <v>180</v>
      </c>
      <c r="K419" t="s">
        <v>25</v>
      </c>
      <c r="L419">
        <v>132757294</v>
      </c>
      <c r="R419">
        <v>9749</v>
      </c>
      <c r="S419" t="s">
        <v>232</v>
      </c>
      <c r="T419">
        <v>0</v>
      </c>
      <c r="U419">
        <v>5</v>
      </c>
      <c r="V419">
        <v>0</v>
      </c>
      <c r="W419">
        <v>0</v>
      </c>
      <c r="X419">
        <v>0</v>
      </c>
    </row>
    <row r="420" spans="1:40" x14ac:dyDescent="0.25">
      <c r="A420" t="s">
        <v>15</v>
      </c>
      <c r="B420" t="s">
        <v>24</v>
      </c>
      <c r="C420">
        <v>20150316</v>
      </c>
      <c r="D420">
        <v>0</v>
      </c>
      <c r="F420">
        <v>62500</v>
      </c>
      <c r="G420" t="s">
        <v>17</v>
      </c>
      <c r="I420" t="s">
        <v>16</v>
      </c>
      <c r="J420" t="s">
        <v>180</v>
      </c>
      <c r="K420" t="s">
        <v>25</v>
      </c>
      <c r="L420">
        <v>132757294</v>
      </c>
      <c r="R420">
        <v>9749</v>
      </c>
      <c r="S420" t="s">
        <v>233</v>
      </c>
      <c r="T420">
        <v>0</v>
      </c>
      <c r="U420">
        <v>5</v>
      </c>
      <c r="V420">
        <v>0</v>
      </c>
      <c r="W420">
        <v>0</v>
      </c>
      <c r="X420">
        <v>0</v>
      </c>
    </row>
    <row r="421" spans="1:40" x14ac:dyDescent="0.25">
      <c r="A421" t="s">
        <v>15</v>
      </c>
      <c r="B421" t="s">
        <v>24</v>
      </c>
      <c r="C421">
        <v>20150316</v>
      </c>
      <c r="D421">
        <v>0</v>
      </c>
      <c r="F421">
        <v>62500</v>
      </c>
      <c r="G421" t="s">
        <v>17</v>
      </c>
      <c r="I421" t="s">
        <v>16</v>
      </c>
      <c r="J421" t="s">
        <v>180</v>
      </c>
      <c r="K421" t="s">
        <v>25</v>
      </c>
      <c r="L421">
        <v>132757294</v>
      </c>
      <c r="R421">
        <v>9750</v>
      </c>
      <c r="S421" t="s">
        <v>232</v>
      </c>
      <c r="T421">
        <v>0</v>
      </c>
      <c r="U421">
        <v>-25</v>
      </c>
      <c r="V421">
        <v>0</v>
      </c>
      <c r="W421">
        <v>0</v>
      </c>
      <c r="X421">
        <v>0</v>
      </c>
    </row>
    <row r="422" spans="1:40" x14ac:dyDescent="0.25">
      <c r="A422" t="s">
        <v>15</v>
      </c>
      <c r="B422" t="s">
        <v>24</v>
      </c>
      <c r="C422">
        <v>20150316</v>
      </c>
      <c r="D422">
        <v>0</v>
      </c>
      <c r="F422">
        <v>62500</v>
      </c>
      <c r="G422" t="s">
        <v>17</v>
      </c>
      <c r="I422" t="s">
        <v>16</v>
      </c>
      <c r="J422" t="s">
        <v>180</v>
      </c>
      <c r="K422" t="s">
        <v>25</v>
      </c>
      <c r="L422">
        <v>132757294</v>
      </c>
      <c r="R422">
        <v>9750</v>
      </c>
      <c r="S422" t="s">
        <v>232</v>
      </c>
      <c r="T422">
        <v>0</v>
      </c>
      <c r="U422">
        <v>-25</v>
      </c>
      <c r="V422">
        <v>0</v>
      </c>
      <c r="W422">
        <v>0</v>
      </c>
      <c r="X422">
        <v>0</v>
      </c>
    </row>
    <row r="423" spans="1:40" x14ac:dyDescent="0.25">
      <c r="A423" t="s">
        <v>15</v>
      </c>
      <c r="B423" t="s">
        <v>24</v>
      </c>
      <c r="C423">
        <v>20150316</v>
      </c>
      <c r="D423">
        <v>0</v>
      </c>
      <c r="F423">
        <v>62500</v>
      </c>
      <c r="G423" t="s">
        <v>17</v>
      </c>
      <c r="I423" t="s">
        <v>16</v>
      </c>
      <c r="J423" t="s">
        <v>180</v>
      </c>
      <c r="K423" t="s">
        <v>25</v>
      </c>
      <c r="L423">
        <v>132757294</v>
      </c>
      <c r="R423">
        <v>9750</v>
      </c>
      <c r="S423" t="s">
        <v>192</v>
      </c>
      <c r="T423">
        <v>0</v>
      </c>
      <c r="U423">
        <v>25</v>
      </c>
      <c r="V423">
        <v>0</v>
      </c>
      <c r="W423">
        <v>0</v>
      </c>
      <c r="X423">
        <v>0</v>
      </c>
    </row>
    <row r="424" spans="1:40" x14ac:dyDescent="0.25">
      <c r="A424" t="s">
        <v>15</v>
      </c>
      <c r="B424" t="s">
        <v>24</v>
      </c>
      <c r="C424">
        <v>20150316</v>
      </c>
      <c r="D424">
        <v>0</v>
      </c>
      <c r="F424">
        <v>62500</v>
      </c>
      <c r="G424" t="s">
        <v>17</v>
      </c>
      <c r="I424" t="s">
        <v>16</v>
      </c>
      <c r="J424" t="s">
        <v>180</v>
      </c>
      <c r="K424" t="s">
        <v>25</v>
      </c>
      <c r="L424">
        <v>132757294</v>
      </c>
      <c r="R424">
        <v>9749</v>
      </c>
      <c r="S424" t="s">
        <v>223</v>
      </c>
      <c r="T424">
        <v>0</v>
      </c>
      <c r="U424">
        <v>5</v>
      </c>
      <c r="V424">
        <v>0</v>
      </c>
      <c r="W424">
        <v>0</v>
      </c>
      <c r="X424">
        <v>0</v>
      </c>
    </row>
    <row r="425" spans="1:40" x14ac:dyDescent="0.25">
      <c r="A425" t="s">
        <v>15</v>
      </c>
      <c r="B425" t="s">
        <v>24</v>
      </c>
      <c r="C425">
        <v>20150316</v>
      </c>
      <c r="D425">
        <v>0</v>
      </c>
      <c r="F425">
        <v>62500</v>
      </c>
      <c r="G425" t="s">
        <v>17</v>
      </c>
      <c r="I425" t="s">
        <v>16</v>
      </c>
      <c r="J425" t="s">
        <v>180</v>
      </c>
      <c r="K425" t="s">
        <v>25</v>
      </c>
      <c r="L425">
        <v>132757294</v>
      </c>
      <c r="R425">
        <v>9749</v>
      </c>
      <c r="S425" t="s">
        <v>224</v>
      </c>
      <c r="T425">
        <v>0</v>
      </c>
      <c r="U425">
        <v>5</v>
      </c>
      <c r="V425">
        <v>0</v>
      </c>
      <c r="W425">
        <v>0</v>
      </c>
      <c r="X425">
        <v>0</v>
      </c>
    </row>
    <row r="426" spans="1:40" x14ac:dyDescent="0.25">
      <c r="A426" t="s">
        <v>15</v>
      </c>
      <c r="B426" t="s">
        <v>24</v>
      </c>
      <c r="C426">
        <v>20150316</v>
      </c>
      <c r="D426">
        <v>0</v>
      </c>
      <c r="F426">
        <v>62500</v>
      </c>
      <c r="G426" t="s">
        <v>17</v>
      </c>
      <c r="I426" t="s">
        <v>16</v>
      </c>
      <c r="J426" t="s">
        <v>180</v>
      </c>
      <c r="K426" t="s">
        <v>25</v>
      </c>
      <c r="L426">
        <v>132757294</v>
      </c>
      <c r="R426">
        <v>9751</v>
      </c>
      <c r="S426" t="s">
        <v>232</v>
      </c>
      <c r="T426">
        <v>0</v>
      </c>
      <c r="U426">
        <v>5</v>
      </c>
      <c r="V426">
        <v>0</v>
      </c>
      <c r="W426">
        <v>0</v>
      </c>
      <c r="X426">
        <v>0</v>
      </c>
    </row>
    <row r="427" spans="1:40" x14ac:dyDescent="0.25">
      <c r="A427" t="s">
        <v>15</v>
      </c>
      <c r="B427" t="s">
        <v>24</v>
      </c>
      <c r="C427">
        <v>20150316</v>
      </c>
      <c r="D427">
        <v>0</v>
      </c>
      <c r="F427">
        <v>62500</v>
      </c>
      <c r="G427" t="s">
        <v>17</v>
      </c>
      <c r="I427" t="s">
        <v>16</v>
      </c>
      <c r="J427" t="s">
        <v>180</v>
      </c>
      <c r="K427" t="s">
        <v>25</v>
      </c>
      <c r="L427">
        <v>132757294</v>
      </c>
      <c r="R427">
        <v>9751</v>
      </c>
      <c r="S427" t="s">
        <v>232</v>
      </c>
      <c r="T427">
        <v>0</v>
      </c>
      <c r="U427">
        <v>5</v>
      </c>
      <c r="V427">
        <v>0</v>
      </c>
      <c r="W427">
        <v>0</v>
      </c>
      <c r="X427">
        <v>0</v>
      </c>
    </row>
    <row r="428" spans="1:40" x14ac:dyDescent="0.25">
      <c r="A428" t="s">
        <v>15</v>
      </c>
      <c r="B428" t="s">
        <v>24</v>
      </c>
      <c r="C428">
        <v>20150316</v>
      </c>
      <c r="D428">
        <v>0</v>
      </c>
      <c r="F428">
        <v>62500</v>
      </c>
      <c r="G428" t="s">
        <v>17</v>
      </c>
      <c r="I428" t="s">
        <v>16</v>
      </c>
      <c r="J428" t="s">
        <v>180</v>
      </c>
      <c r="K428" t="s">
        <v>25</v>
      </c>
      <c r="L428">
        <v>132757294</v>
      </c>
      <c r="R428">
        <v>9751</v>
      </c>
      <c r="S428" t="s">
        <v>233</v>
      </c>
      <c r="T428">
        <v>0</v>
      </c>
      <c r="U428">
        <v>5</v>
      </c>
      <c r="V428">
        <v>0</v>
      </c>
      <c r="W428">
        <v>0</v>
      </c>
      <c r="X428">
        <v>0</v>
      </c>
    </row>
    <row r="429" spans="1:40" x14ac:dyDescent="0.25">
      <c r="A429" t="s">
        <v>15</v>
      </c>
      <c r="B429" t="s">
        <v>24</v>
      </c>
      <c r="C429">
        <v>20150316</v>
      </c>
      <c r="D429">
        <v>0</v>
      </c>
      <c r="F429">
        <v>62500</v>
      </c>
      <c r="G429" t="s">
        <v>17</v>
      </c>
      <c r="I429" t="s">
        <v>16</v>
      </c>
      <c r="J429" t="s">
        <v>180</v>
      </c>
      <c r="K429" t="s">
        <v>25</v>
      </c>
      <c r="L429">
        <v>132757294</v>
      </c>
      <c r="R429">
        <v>9751</v>
      </c>
      <c r="S429" t="s">
        <v>233</v>
      </c>
      <c r="T429">
        <v>0</v>
      </c>
      <c r="U429">
        <v>-5</v>
      </c>
      <c r="V429">
        <v>0</v>
      </c>
      <c r="W429">
        <v>0</v>
      </c>
      <c r="X429">
        <v>0</v>
      </c>
      <c r="Y429">
        <v>9751</v>
      </c>
      <c r="Z429" t="s">
        <v>4783</v>
      </c>
      <c r="AA429" t="s">
        <v>4784</v>
      </c>
      <c r="AB429" t="s">
        <v>234</v>
      </c>
      <c r="AC429" t="s">
        <v>17</v>
      </c>
      <c r="AD429" t="s">
        <v>235</v>
      </c>
      <c r="AE429">
        <v>5</v>
      </c>
      <c r="AF429">
        <v>5</v>
      </c>
      <c r="AG429">
        <v>1.5289999999999999</v>
      </c>
      <c r="AH429">
        <v>1.5289999999999999</v>
      </c>
      <c r="AI429">
        <v>1226100207</v>
      </c>
      <c r="AJ429">
        <v>0</v>
      </c>
      <c r="AK429">
        <v>7</v>
      </c>
      <c r="AN429">
        <v>0</v>
      </c>
    </row>
    <row r="430" spans="1:40" x14ac:dyDescent="0.25">
      <c r="A430" t="s">
        <v>15</v>
      </c>
      <c r="B430" t="s">
        <v>24</v>
      </c>
      <c r="C430">
        <v>20150316</v>
      </c>
      <c r="D430">
        <v>0</v>
      </c>
      <c r="F430">
        <v>62500</v>
      </c>
      <c r="G430" t="s">
        <v>17</v>
      </c>
      <c r="I430" t="s">
        <v>16</v>
      </c>
      <c r="J430" t="s">
        <v>180</v>
      </c>
      <c r="K430" t="s">
        <v>25</v>
      </c>
      <c r="L430">
        <v>132757294</v>
      </c>
      <c r="R430">
        <v>9751</v>
      </c>
      <c r="S430" t="s">
        <v>233</v>
      </c>
      <c r="T430">
        <v>0</v>
      </c>
      <c r="U430">
        <v>-5</v>
      </c>
      <c r="V430">
        <v>0</v>
      </c>
      <c r="W430">
        <v>0</v>
      </c>
      <c r="X430">
        <v>0</v>
      </c>
    </row>
    <row r="431" spans="1:40" x14ac:dyDescent="0.25">
      <c r="A431" t="s">
        <v>15</v>
      </c>
      <c r="B431" t="s">
        <v>24</v>
      </c>
      <c r="C431">
        <v>20150316</v>
      </c>
      <c r="D431">
        <v>0</v>
      </c>
      <c r="F431">
        <v>62500</v>
      </c>
      <c r="G431" t="s">
        <v>17</v>
      </c>
      <c r="I431" t="s">
        <v>16</v>
      </c>
      <c r="J431" t="s">
        <v>180</v>
      </c>
      <c r="K431" t="s">
        <v>25</v>
      </c>
      <c r="L431">
        <v>132757294</v>
      </c>
      <c r="R431">
        <v>9751</v>
      </c>
      <c r="S431" t="s">
        <v>37</v>
      </c>
      <c r="T431">
        <v>5</v>
      </c>
      <c r="U431">
        <v>0</v>
      </c>
      <c r="V431">
        <v>1.5289999999999999</v>
      </c>
      <c r="W431">
        <v>1.5289999999999999</v>
      </c>
      <c r="X431">
        <v>0</v>
      </c>
    </row>
    <row r="432" spans="1:40" x14ac:dyDescent="0.25">
      <c r="A432" t="s">
        <v>15</v>
      </c>
      <c r="B432" t="s">
        <v>24</v>
      </c>
      <c r="C432">
        <v>20150316</v>
      </c>
      <c r="D432">
        <v>0</v>
      </c>
      <c r="F432">
        <v>62500</v>
      </c>
      <c r="G432" t="s">
        <v>17</v>
      </c>
      <c r="I432" t="s">
        <v>16</v>
      </c>
      <c r="J432" t="s">
        <v>180</v>
      </c>
      <c r="K432" t="s">
        <v>25</v>
      </c>
      <c r="L432">
        <v>132757294</v>
      </c>
      <c r="R432">
        <v>9751</v>
      </c>
      <c r="S432" t="s">
        <v>37</v>
      </c>
      <c r="T432">
        <v>5</v>
      </c>
      <c r="U432">
        <v>0</v>
      </c>
      <c r="V432">
        <v>1.5289999999999999</v>
      </c>
      <c r="W432">
        <v>1.5289999999999999</v>
      </c>
      <c r="X432">
        <v>0</v>
      </c>
    </row>
    <row r="433" spans="1:40" x14ac:dyDescent="0.25">
      <c r="A433" t="s">
        <v>15</v>
      </c>
      <c r="B433" t="s">
        <v>24</v>
      </c>
      <c r="C433">
        <v>20150316</v>
      </c>
      <c r="D433">
        <v>0</v>
      </c>
      <c r="F433">
        <v>62500</v>
      </c>
      <c r="G433" t="s">
        <v>17</v>
      </c>
      <c r="I433" t="s">
        <v>16</v>
      </c>
      <c r="J433" t="s">
        <v>180</v>
      </c>
      <c r="K433" t="s">
        <v>25</v>
      </c>
      <c r="L433">
        <v>132757294</v>
      </c>
      <c r="R433">
        <v>9752</v>
      </c>
      <c r="S433" t="s">
        <v>232</v>
      </c>
      <c r="T433">
        <v>0</v>
      </c>
      <c r="U433">
        <v>5</v>
      </c>
      <c r="V433">
        <v>0</v>
      </c>
      <c r="W433">
        <v>0</v>
      </c>
      <c r="X433">
        <v>0</v>
      </c>
    </row>
    <row r="434" spans="1:40" x14ac:dyDescent="0.25">
      <c r="A434" t="s">
        <v>15</v>
      </c>
      <c r="B434" t="s">
        <v>24</v>
      </c>
      <c r="C434">
        <v>20150316</v>
      </c>
      <c r="D434">
        <v>0</v>
      </c>
      <c r="F434">
        <v>62500</v>
      </c>
      <c r="G434" t="s">
        <v>17</v>
      </c>
      <c r="I434" t="s">
        <v>16</v>
      </c>
      <c r="J434" t="s">
        <v>180</v>
      </c>
      <c r="K434" t="s">
        <v>25</v>
      </c>
      <c r="L434">
        <v>132757294</v>
      </c>
      <c r="R434">
        <v>9751</v>
      </c>
      <c r="S434" t="s">
        <v>37</v>
      </c>
      <c r="T434">
        <v>5</v>
      </c>
      <c r="U434">
        <v>0</v>
      </c>
      <c r="V434">
        <v>1.5289999999999999</v>
      </c>
      <c r="W434">
        <v>1.5289999999999999</v>
      </c>
      <c r="X434">
        <v>0</v>
      </c>
    </row>
    <row r="435" spans="1:40" x14ac:dyDescent="0.25">
      <c r="A435" t="s">
        <v>15</v>
      </c>
      <c r="B435" t="s">
        <v>24</v>
      </c>
      <c r="C435">
        <v>20150316</v>
      </c>
      <c r="D435">
        <v>0</v>
      </c>
      <c r="F435">
        <v>62500</v>
      </c>
      <c r="G435" t="s">
        <v>17</v>
      </c>
      <c r="I435" t="s">
        <v>16</v>
      </c>
      <c r="J435" t="s">
        <v>180</v>
      </c>
      <c r="K435" t="s">
        <v>25</v>
      </c>
      <c r="L435">
        <v>132757294</v>
      </c>
      <c r="R435">
        <v>9751</v>
      </c>
      <c r="S435" t="s">
        <v>37</v>
      </c>
      <c r="T435">
        <v>5</v>
      </c>
      <c r="U435">
        <v>0</v>
      </c>
      <c r="V435">
        <v>1.5289999999999999</v>
      </c>
      <c r="W435">
        <v>1.5289999999999999</v>
      </c>
      <c r="X435">
        <v>0</v>
      </c>
    </row>
    <row r="436" spans="1:40" x14ac:dyDescent="0.25">
      <c r="A436" t="s">
        <v>15</v>
      </c>
      <c r="B436" t="s">
        <v>24</v>
      </c>
      <c r="C436">
        <v>20150316</v>
      </c>
      <c r="D436">
        <v>0</v>
      </c>
      <c r="F436">
        <v>62500</v>
      </c>
      <c r="G436" t="s">
        <v>17</v>
      </c>
      <c r="I436" t="s">
        <v>16</v>
      </c>
      <c r="J436" t="s">
        <v>180</v>
      </c>
      <c r="K436" t="s">
        <v>25</v>
      </c>
      <c r="L436">
        <v>132757294</v>
      </c>
      <c r="R436">
        <v>9751</v>
      </c>
      <c r="S436" t="s">
        <v>37</v>
      </c>
      <c r="T436">
        <v>5</v>
      </c>
      <c r="U436">
        <v>0</v>
      </c>
      <c r="V436">
        <v>1.5289999999999999</v>
      </c>
      <c r="W436">
        <v>1.5289999999999999</v>
      </c>
      <c r="X436">
        <v>0</v>
      </c>
    </row>
    <row r="437" spans="1:40" x14ac:dyDescent="0.25">
      <c r="A437" t="s">
        <v>15</v>
      </c>
      <c r="B437" t="s">
        <v>24</v>
      </c>
      <c r="C437">
        <v>20150316</v>
      </c>
      <c r="D437">
        <v>0</v>
      </c>
      <c r="F437">
        <v>62500</v>
      </c>
      <c r="G437" t="s">
        <v>17</v>
      </c>
      <c r="I437" t="s">
        <v>16</v>
      </c>
      <c r="J437" t="s">
        <v>180</v>
      </c>
      <c r="K437" t="s">
        <v>25</v>
      </c>
      <c r="L437">
        <v>132757294</v>
      </c>
      <c r="R437">
        <v>9752</v>
      </c>
      <c r="S437" t="s">
        <v>232</v>
      </c>
      <c r="T437">
        <v>0</v>
      </c>
      <c r="U437">
        <v>1</v>
      </c>
      <c r="V437">
        <v>0</v>
      </c>
      <c r="W437">
        <v>0</v>
      </c>
      <c r="X437">
        <v>0</v>
      </c>
      <c r="Y437">
        <v>9752</v>
      </c>
      <c r="Z437" t="s">
        <v>4820</v>
      </c>
      <c r="AA437" t="s">
        <v>4821</v>
      </c>
      <c r="AB437" t="s">
        <v>234</v>
      </c>
      <c r="AC437" t="s">
        <v>17</v>
      </c>
      <c r="AD437" t="s">
        <v>235</v>
      </c>
      <c r="AE437">
        <v>2</v>
      </c>
      <c r="AF437">
        <v>2</v>
      </c>
      <c r="AG437">
        <v>1.5288999999999999</v>
      </c>
      <c r="AH437">
        <v>1.5288999999999999</v>
      </c>
      <c r="AI437">
        <v>1226100208</v>
      </c>
      <c r="AJ437">
        <v>0</v>
      </c>
      <c r="AK437">
        <v>7</v>
      </c>
      <c r="AN437">
        <v>0</v>
      </c>
    </row>
    <row r="438" spans="1:40" x14ac:dyDescent="0.25">
      <c r="A438" t="s">
        <v>15</v>
      </c>
      <c r="B438" t="s">
        <v>24</v>
      </c>
      <c r="C438">
        <v>20150316</v>
      </c>
      <c r="D438">
        <v>0</v>
      </c>
      <c r="F438">
        <v>62500</v>
      </c>
      <c r="G438" t="s">
        <v>17</v>
      </c>
      <c r="I438" t="s">
        <v>16</v>
      </c>
      <c r="J438" t="s">
        <v>180</v>
      </c>
      <c r="K438" t="s">
        <v>25</v>
      </c>
      <c r="L438">
        <v>132757294</v>
      </c>
      <c r="R438">
        <v>9752</v>
      </c>
      <c r="S438" t="s">
        <v>232</v>
      </c>
      <c r="T438">
        <v>0</v>
      </c>
      <c r="U438">
        <v>1</v>
      </c>
      <c r="V438">
        <v>0</v>
      </c>
      <c r="W438">
        <v>0</v>
      </c>
      <c r="X438">
        <v>0</v>
      </c>
    </row>
    <row r="439" spans="1:40" x14ac:dyDescent="0.25">
      <c r="A439" t="s">
        <v>15</v>
      </c>
      <c r="B439" t="s">
        <v>24</v>
      </c>
      <c r="C439">
        <v>20150316</v>
      </c>
      <c r="D439">
        <v>0</v>
      </c>
      <c r="F439">
        <v>62500</v>
      </c>
      <c r="G439" t="s">
        <v>17</v>
      </c>
      <c r="I439" t="s">
        <v>16</v>
      </c>
      <c r="J439" t="s">
        <v>180</v>
      </c>
      <c r="K439" t="s">
        <v>25</v>
      </c>
      <c r="L439">
        <v>132757294</v>
      </c>
      <c r="R439">
        <v>9752</v>
      </c>
      <c r="S439" t="s">
        <v>236</v>
      </c>
      <c r="T439">
        <v>2</v>
      </c>
      <c r="U439">
        <v>3</v>
      </c>
      <c r="V439">
        <v>1.5288999999999999</v>
      </c>
      <c r="W439">
        <v>1.5288999999999999</v>
      </c>
      <c r="X439">
        <v>0</v>
      </c>
    </row>
    <row r="440" spans="1:40" x14ac:dyDescent="0.25">
      <c r="A440" t="s">
        <v>15</v>
      </c>
      <c r="B440" t="s">
        <v>24</v>
      </c>
      <c r="C440">
        <v>20150316</v>
      </c>
      <c r="D440">
        <v>0</v>
      </c>
      <c r="F440">
        <v>62500</v>
      </c>
      <c r="G440" t="s">
        <v>17</v>
      </c>
      <c r="I440" t="s">
        <v>16</v>
      </c>
      <c r="J440" t="s">
        <v>180</v>
      </c>
      <c r="K440" t="s">
        <v>25</v>
      </c>
      <c r="L440">
        <v>132757294</v>
      </c>
      <c r="R440">
        <v>9752</v>
      </c>
      <c r="S440" t="s">
        <v>236</v>
      </c>
      <c r="T440">
        <v>2</v>
      </c>
      <c r="U440">
        <v>3</v>
      </c>
      <c r="V440">
        <v>1.5288999999999999</v>
      </c>
      <c r="W440">
        <v>1.5288999999999999</v>
      </c>
      <c r="X440">
        <v>0</v>
      </c>
    </row>
    <row r="441" spans="1:40" x14ac:dyDescent="0.25">
      <c r="A441" t="s">
        <v>15</v>
      </c>
      <c r="B441" t="s">
        <v>24</v>
      </c>
      <c r="C441">
        <v>20150316</v>
      </c>
      <c r="D441">
        <v>0</v>
      </c>
      <c r="F441">
        <v>62500</v>
      </c>
      <c r="G441" t="s">
        <v>17</v>
      </c>
      <c r="I441" t="s">
        <v>16</v>
      </c>
      <c r="J441" t="s">
        <v>180</v>
      </c>
      <c r="K441" t="s">
        <v>25</v>
      </c>
      <c r="L441">
        <v>132757294</v>
      </c>
      <c r="R441">
        <v>9752</v>
      </c>
      <c r="S441" t="s">
        <v>233</v>
      </c>
      <c r="T441">
        <v>2</v>
      </c>
      <c r="U441">
        <v>3</v>
      </c>
      <c r="V441">
        <v>1.5288999999999999</v>
      </c>
      <c r="W441">
        <v>1.5288999999999999</v>
      </c>
      <c r="X441">
        <v>0</v>
      </c>
    </row>
    <row r="442" spans="1:40" x14ac:dyDescent="0.25">
      <c r="A442" t="s">
        <v>15</v>
      </c>
      <c r="B442" t="s">
        <v>24</v>
      </c>
      <c r="C442">
        <v>20150316</v>
      </c>
      <c r="D442">
        <v>0</v>
      </c>
      <c r="F442">
        <v>62500</v>
      </c>
      <c r="G442" t="s">
        <v>17</v>
      </c>
      <c r="I442" t="s">
        <v>16</v>
      </c>
      <c r="J442" t="s">
        <v>180</v>
      </c>
      <c r="K442" t="s">
        <v>25</v>
      </c>
      <c r="L442">
        <v>132757294</v>
      </c>
      <c r="R442">
        <v>9752</v>
      </c>
      <c r="S442" t="s">
        <v>233</v>
      </c>
      <c r="T442">
        <v>2</v>
      </c>
      <c r="U442">
        <v>3</v>
      </c>
      <c r="V442">
        <v>1.5288999999999999</v>
      </c>
      <c r="W442">
        <v>1.5288999999999999</v>
      </c>
      <c r="X442">
        <v>0</v>
      </c>
    </row>
    <row r="443" spans="1:40" x14ac:dyDescent="0.25">
      <c r="A443" t="s">
        <v>15</v>
      </c>
      <c r="B443" t="s">
        <v>24</v>
      </c>
      <c r="C443">
        <v>20150316</v>
      </c>
      <c r="D443">
        <v>0</v>
      </c>
      <c r="F443">
        <v>62500</v>
      </c>
      <c r="G443" t="s">
        <v>17</v>
      </c>
      <c r="I443" t="s">
        <v>16</v>
      </c>
      <c r="J443" t="s">
        <v>180</v>
      </c>
      <c r="K443" t="s">
        <v>25</v>
      </c>
      <c r="L443">
        <v>132757294</v>
      </c>
      <c r="R443">
        <v>9752</v>
      </c>
      <c r="S443" t="s">
        <v>233</v>
      </c>
      <c r="T443">
        <v>2</v>
      </c>
      <c r="U443">
        <v>3</v>
      </c>
      <c r="V443">
        <v>1.5288999999999999</v>
      </c>
      <c r="W443">
        <v>1.5288999999999999</v>
      </c>
      <c r="X443">
        <v>0</v>
      </c>
    </row>
    <row r="444" spans="1:40" x14ac:dyDescent="0.25">
      <c r="A444" t="s">
        <v>15</v>
      </c>
      <c r="B444" t="s">
        <v>24</v>
      </c>
      <c r="C444">
        <v>20150316</v>
      </c>
      <c r="D444">
        <v>0</v>
      </c>
      <c r="F444">
        <v>62500</v>
      </c>
      <c r="G444" t="s">
        <v>17</v>
      </c>
      <c r="I444" t="s">
        <v>16</v>
      </c>
      <c r="J444" t="s">
        <v>180</v>
      </c>
      <c r="K444" t="s">
        <v>25</v>
      </c>
      <c r="L444">
        <v>132757294</v>
      </c>
      <c r="R444">
        <v>9752</v>
      </c>
      <c r="S444" t="s">
        <v>233</v>
      </c>
      <c r="T444">
        <v>2</v>
      </c>
      <c r="U444">
        <v>-3</v>
      </c>
      <c r="V444">
        <v>1.5288999999999999</v>
      </c>
      <c r="W444">
        <v>1.5288999999999999</v>
      </c>
      <c r="X444">
        <v>0</v>
      </c>
      <c r="Y444">
        <v>9752</v>
      </c>
      <c r="Z444" t="s">
        <v>4850</v>
      </c>
      <c r="AA444" t="s">
        <v>4821</v>
      </c>
      <c r="AB444" t="s">
        <v>234</v>
      </c>
      <c r="AC444" t="s">
        <v>17</v>
      </c>
      <c r="AD444" t="s">
        <v>235</v>
      </c>
      <c r="AE444">
        <v>3</v>
      </c>
      <c r="AF444">
        <v>5</v>
      </c>
      <c r="AG444">
        <v>1.5289999999999999</v>
      </c>
      <c r="AH444">
        <v>1.5289600000000001</v>
      </c>
      <c r="AI444">
        <v>1226100208</v>
      </c>
      <c r="AJ444">
        <v>0</v>
      </c>
      <c r="AK444">
        <v>7</v>
      </c>
      <c r="AN444">
        <v>0</v>
      </c>
    </row>
    <row r="445" spans="1:40" x14ac:dyDescent="0.25">
      <c r="A445" t="s">
        <v>15</v>
      </c>
      <c r="B445" t="s">
        <v>24</v>
      </c>
      <c r="C445">
        <v>20150316</v>
      </c>
      <c r="D445">
        <v>0</v>
      </c>
      <c r="F445">
        <v>62500</v>
      </c>
      <c r="G445" t="s">
        <v>17</v>
      </c>
      <c r="I445" t="s">
        <v>16</v>
      </c>
      <c r="J445" t="s">
        <v>180</v>
      </c>
      <c r="K445" t="s">
        <v>25</v>
      </c>
      <c r="L445">
        <v>132757294</v>
      </c>
      <c r="R445">
        <v>9752</v>
      </c>
      <c r="S445" t="s">
        <v>233</v>
      </c>
      <c r="T445">
        <v>2</v>
      </c>
      <c r="U445">
        <v>-3</v>
      </c>
      <c r="V445">
        <v>1.5288999999999999</v>
      </c>
      <c r="W445">
        <v>1.5288999999999999</v>
      </c>
      <c r="X445">
        <v>0</v>
      </c>
    </row>
    <row r="446" spans="1:40" x14ac:dyDescent="0.25">
      <c r="A446" t="s">
        <v>15</v>
      </c>
      <c r="B446" t="s">
        <v>24</v>
      </c>
      <c r="C446">
        <v>20150316</v>
      </c>
      <c r="D446">
        <v>0</v>
      </c>
      <c r="F446">
        <v>62500</v>
      </c>
      <c r="G446" t="s">
        <v>17</v>
      </c>
      <c r="I446" t="s">
        <v>16</v>
      </c>
      <c r="J446" t="s">
        <v>180</v>
      </c>
      <c r="K446" t="s">
        <v>25</v>
      </c>
      <c r="L446">
        <v>132757294</v>
      </c>
      <c r="R446">
        <v>9752</v>
      </c>
      <c r="S446" t="s">
        <v>37</v>
      </c>
      <c r="T446">
        <v>5</v>
      </c>
      <c r="U446">
        <v>0</v>
      </c>
      <c r="V446">
        <v>1.5289600000000001</v>
      </c>
      <c r="W446">
        <v>1.5289999999999999</v>
      </c>
      <c r="X446">
        <v>0</v>
      </c>
    </row>
    <row r="447" spans="1:40" x14ac:dyDescent="0.25">
      <c r="A447" t="s">
        <v>15</v>
      </c>
      <c r="B447" t="s">
        <v>24</v>
      </c>
      <c r="C447">
        <v>20150316</v>
      </c>
      <c r="D447">
        <v>0</v>
      </c>
      <c r="F447">
        <v>62500</v>
      </c>
      <c r="G447" t="s">
        <v>17</v>
      </c>
      <c r="I447" t="s">
        <v>16</v>
      </c>
      <c r="J447" t="s">
        <v>180</v>
      </c>
      <c r="K447" t="s">
        <v>25</v>
      </c>
      <c r="L447">
        <v>132757294</v>
      </c>
      <c r="R447">
        <v>9752</v>
      </c>
      <c r="S447" t="s">
        <v>37</v>
      </c>
      <c r="T447">
        <v>5</v>
      </c>
      <c r="U447">
        <v>0</v>
      </c>
      <c r="V447">
        <v>1.5289600000000001</v>
      </c>
      <c r="W447">
        <v>1.5289999999999999</v>
      </c>
      <c r="X447">
        <v>0</v>
      </c>
    </row>
    <row r="448" spans="1:40" x14ac:dyDescent="0.25">
      <c r="A448" t="s">
        <v>15</v>
      </c>
      <c r="B448" t="s">
        <v>24</v>
      </c>
      <c r="C448">
        <v>20150316</v>
      </c>
      <c r="D448">
        <v>0</v>
      </c>
      <c r="F448">
        <v>62500</v>
      </c>
      <c r="G448" t="s">
        <v>17</v>
      </c>
      <c r="I448" t="s">
        <v>16</v>
      </c>
      <c r="J448" t="s">
        <v>180</v>
      </c>
      <c r="K448" t="s">
        <v>25</v>
      </c>
      <c r="L448">
        <v>132757294</v>
      </c>
      <c r="R448">
        <v>9752</v>
      </c>
      <c r="S448" t="s">
        <v>37</v>
      </c>
      <c r="T448">
        <v>5</v>
      </c>
      <c r="U448">
        <v>0</v>
      </c>
      <c r="V448">
        <v>1.5289600000000001</v>
      </c>
      <c r="W448">
        <v>1.5289999999999999</v>
      </c>
      <c r="X448">
        <v>0</v>
      </c>
    </row>
    <row r="449" spans="1:24" x14ac:dyDescent="0.25">
      <c r="A449" t="s">
        <v>15</v>
      </c>
      <c r="B449" t="s">
        <v>24</v>
      </c>
      <c r="C449">
        <v>20150316</v>
      </c>
      <c r="D449">
        <v>0</v>
      </c>
      <c r="F449">
        <v>62500</v>
      </c>
      <c r="G449" t="s">
        <v>17</v>
      </c>
      <c r="I449" t="s">
        <v>16</v>
      </c>
      <c r="J449" t="s">
        <v>180</v>
      </c>
      <c r="K449" t="s">
        <v>25</v>
      </c>
      <c r="L449">
        <v>132757294</v>
      </c>
      <c r="R449">
        <v>9752</v>
      </c>
      <c r="S449" t="s">
        <v>37</v>
      </c>
      <c r="T449">
        <v>5</v>
      </c>
      <c r="U449">
        <v>0</v>
      </c>
      <c r="V449">
        <v>1.5289600000000001</v>
      </c>
      <c r="W449">
        <v>1.5289999999999999</v>
      </c>
      <c r="X449">
        <v>0</v>
      </c>
    </row>
    <row r="450" spans="1:24" x14ac:dyDescent="0.25">
      <c r="A450" t="s">
        <v>15</v>
      </c>
      <c r="B450" t="s">
        <v>24</v>
      </c>
      <c r="C450">
        <v>20150316</v>
      </c>
      <c r="D450">
        <v>0</v>
      </c>
      <c r="F450">
        <v>62500</v>
      </c>
      <c r="G450" t="s">
        <v>17</v>
      </c>
      <c r="I450" t="s">
        <v>16</v>
      </c>
      <c r="J450" t="s">
        <v>180</v>
      </c>
      <c r="K450" t="s">
        <v>25</v>
      </c>
      <c r="L450">
        <v>132757294</v>
      </c>
      <c r="R450">
        <v>9752</v>
      </c>
      <c r="S450" t="s">
        <v>37</v>
      </c>
      <c r="T450">
        <v>5</v>
      </c>
      <c r="U450">
        <v>0</v>
      </c>
      <c r="V450">
        <v>1.5289600000000001</v>
      </c>
      <c r="W450">
        <v>1.5289999999999999</v>
      </c>
      <c r="X450">
        <v>0</v>
      </c>
    </row>
    <row r="451" spans="1:24" x14ac:dyDescent="0.25">
      <c r="A451" t="s">
        <v>15</v>
      </c>
      <c r="B451" t="s">
        <v>24</v>
      </c>
      <c r="C451">
        <v>20150316</v>
      </c>
      <c r="D451">
        <v>0</v>
      </c>
      <c r="F451">
        <v>62500</v>
      </c>
      <c r="G451" t="s">
        <v>17</v>
      </c>
      <c r="I451" t="s">
        <v>16</v>
      </c>
      <c r="J451" t="s">
        <v>180</v>
      </c>
      <c r="K451" t="s">
        <v>25</v>
      </c>
      <c r="L451">
        <v>132757294</v>
      </c>
      <c r="R451">
        <v>9753</v>
      </c>
      <c r="S451" t="s">
        <v>232</v>
      </c>
      <c r="T451">
        <v>0</v>
      </c>
      <c r="U451">
        <v>36</v>
      </c>
      <c r="V451">
        <v>0</v>
      </c>
      <c r="W451">
        <v>0</v>
      </c>
      <c r="X451">
        <v>0</v>
      </c>
    </row>
    <row r="452" spans="1:24" x14ac:dyDescent="0.25">
      <c r="A452" t="s">
        <v>15</v>
      </c>
      <c r="B452" t="s">
        <v>24</v>
      </c>
      <c r="C452">
        <v>20150316</v>
      </c>
      <c r="D452">
        <v>0</v>
      </c>
      <c r="F452">
        <v>62500</v>
      </c>
      <c r="G452" t="s">
        <v>17</v>
      </c>
      <c r="I452" t="s">
        <v>16</v>
      </c>
      <c r="J452" t="s">
        <v>180</v>
      </c>
      <c r="K452" t="s">
        <v>25</v>
      </c>
      <c r="L452">
        <v>132757294</v>
      </c>
      <c r="R452">
        <v>9748</v>
      </c>
      <c r="S452" t="s">
        <v>223</v>
      </c>
      <c r="T452">
        <v>0</v>
      </c>
      <c r="U452">
        <v>24</v>
      </c>
      <c r="V452">
        <v>0</v>
      </c>
      <c r="W452">
        <v>0</v>
      </c>
      <c r="X452">
        <v>0</v>
      </c>
    </row>
    <row r="453" spans="1:24" x14ac:dyDescent="0.25">
      <c r="A453" t="s">
        <v>15</v>
      </c>
      <c r="B453" t="s">
        <v>24</v>
      </c>
      <c r="C453">
        <v>20150316</v>
      </c>
      <c r="D453">
        <v>0</v>
      </c>
      <c r="F453">
        <v>62500</v>
      </c>
      <c r="G453" t="s">
        <v>17</v>
      </c>
      <c r="I453" t="s">
        <v>16</v>
      </c>
      <c r="J453" t="s">
        <v>180</v>
      </c>
      <c r="K453" t="s">
        <v>25</v>
      </c>
      <c r="L453">
        <v>132757294</v>
      </c>
      <c r="R453">
        <v>9748</v>
      </c>
      <c r="S453" t="s">
        <v>224</v>
      </c>
      <c r="T453">
        <v>0</v>
      </c>
      <c r="U453">
        <v>24</v>
      </c>
      <c r="V453">
        <v>0</v>
      </c>
      <c r="W453">
        <v>0</v>
      </c>
      <c r="X453">
        <v>0</v>
      </c>
    </row>
    <row r="454" spans="1:24" x14ac:dyDescent="0.25">
      <c r="A454" t="s">
        <v>15</v>
      </c>
      <c r="B454" t="s">
        <v>24</v>
      </c>
      <c r="C454">
        <v>20150316</v>
      </c>
      <c r="D454">
        <v>0</v>
      </c>
      <c r="F454">
        <v>62500</v>
      </c>
      <c r="G454" t="s">
        <v>17</v>
      </c>
      <c r="I454" t="s">
        <v>16</v>
      </c>
      <c r="J454" t="s">
        <v>180</v>
      </c>
      <c r="K454" t="s">
        <v>25</v>
      </c>
      <c r="L454">
        <v>132757294</v>
      </c>
      <c r="R454">
        <v>9754</v>
      </c>
      <c r="S454" t="s">
        <v>232</v>
      </c>
      <c r="T454">
        <v>0</v>
      </c>
      <c r="U454">
        <v>-34</v>
      </c>
      <c r="V454">
        <v>0</v>
      </c>
      <c r="W454">
        <v>0</v>
      </c>
      <c r="X454">
        <v>0</v>
      </c>
    </row>
    <row r="455" spans="1:24" x14ac:dyDescent="0.25">
      <c r="A455" t="s">
        <v>15</v>
      </c>
      <c r="B455" t="s">
        <v>24</v>
      </c>
      <c r="C455">
        <v>20150316</v>
      </c>
      <c r="D455">
        <v>0</v>
      </c>
      <c r="F455">
        <v>62500</v>
      </c>
      <c r="G455" t="s">
        <v>17</v>
      </c>
      <c r="I455" t="s">
        <v>16</v>
      </c>
      <c r="J455" t="s">
        <v>180</v>
      </c>
      <c r="K455" t="s">
        <v>25</v>
      </c>
      <c r="L455">
        <v>132757294</v>
      </c>
      <c r="R455">
        <v>9750</v>
      </c>
      <c r="S455" t="s">
        <v>223</v>
      </c>
      <c r="T455">
        <v>0</v>
      </c>
      <c r="U455">
        <v>25</v>
      </c>
      <c r="V455">
        <v>0</v>
      </c>
      <c r="W455">
        <v>0</v>
      </c>
      <c r="X455">
        <v>0</v>
      </c>
    </row>
    <row r="456" spans="1:24" x14ac:dyDescent="0.25">
      <c r="A456" t="s">
        <v>15</v>
      </c>
      <c r="B456" t="s">
        <v>24</v>
      </c>
      <c r="C456">
        <v>20150316</v>
      </c>
      <c r="D456">
        <v>0</v>
      </c>
      <c r="F456">
        <v>62500</v>
      </c>
      <c r="G456" t="s">
        <v>17</v>
      </c>
      <c r="I456" t="s">
        <v>16</v>
      </c>
      <c r="J456" t="s">
        <v>180</v>
      </c>
      <c r="K456" t="s">
        <v>25</v>
      </c>
      <c r="L456">
        <v>132757294</v>
      </c>
      <c r="R456">
        <v>9750</v>
      </c>
      <c r="S456" t="s">
        <v>224</v>
      </c>
      <c r="T456">
        <v>0</v>
      </c>
      <c r="U456">
        <v>25</v>
      </c>
      <c r="V456">
        <v>0</v>
      </c>
      <c r="W456">
        <v>0</v>
      </c>
      <c r="X456">
        <v>0</v>
      </c>
    </row>
    <row r="457" spans="1:24" x14ac:dyDescent="0.25">
      <c r="A457" t="s">
        <v>15</v>
      </c>
      <c r="B457" t="s">
        <v>24</v>
      </c>
      <c r="C457">
        <v>20150316</v>
      </c>
      <c r="D457">
        <v>0</v>
      </c>
      <c r="F457">
        <v>62500</v>
      </c>
      <c r="G457" t="s">
        <v>17</v>
      </c>
      <c r="I457" t="s">
        <v>16</v>
      </c>
      <c r="J457" t="s">
        <v>180</v>
      </c>
      <c r="K457" t="s">
        <v>25</v>
      </c>
      <c r="L457">
        <v>132757294</v>
      </c>
      <c r="R457">
        <v>9753</v>
      </c>
      <c r="S457" t="s">
        <v>232</v>
      </c>
      <c r="T457">
        <v>0</v>
      </c>
      <c r="U457">
        <v>36</v>
      </c>
      <c r="V457">
        <v>0</v>
      </c>
      <c r="W457">
        <v>0</v>
      </c>
      <c r="X457">
        <v>0</v>
      </c>
    </row>
    <row r="458" spans="1:24" x14ac:dyDescent="0.25">
      <c r="A458" t="s">
        <v>15</v>
      </c>
      <c r="B458" t="s">
        <v>24</v>
      </c>
      <c r="C458">
        <v>20150316</v>
      </c>
      <c r="D458">
        <v>0</v>
      </c>
      <c r="F458">
        <v>62500</v>
      </c>
      <c r="G458" t="s">
        <v>17</v>
      </c>
      <c r="I458" t="s">
        <v>16</v>
      </c>
      <c r="J458" t="s">
        <v>180</v>
      </c>
      <c r="K458" t="s">
        <v>25</v>
      </c>
      <c r="L458">
        <v>132757294</v>
      </c>
      <c r="R458">
        <v>9753</v>
      </c>
      <c r="S458" t="s">
        <v>192</v>
      </c>
      <c r="T458">
        <v>0</v>
      </c>
      <c r="U458">
        <v>36</v>
      </c>
      <c r="V458">
        <v>0</v>
      </c>
      <c r="W458">
        <v>0</v>
      </c>
      <c r="X458">
        <v>0</v>
      </c>
    </row>
    <row r="459" spans="1:24" x14ac:dyDescent="0.25">
      <c r="A459" t="s">
        <v>15</v>
      </c>
      <c r="B459" t="s">
        <v>24</v>
      </c>
      <c r="C459">
        <v>20150316</v>
      </c>
      <c r="D459">
        <v>0</v>
      </c>
      <c r="F459">
        <v>62500</v>
      </c>
      <c r="G459" t="s">
        <v>17</v>
      </c>
      <c r="I459" t="s">
        <v>16</v>
      </c>
      <c r="J459" t="s">
        <v>180</v>
      </c>
      <c r="K459" t="s">
        <v>25</v>
      </c>
      <c r="L459">
        <v>132757294</v>
      </c>
      <c r="R459">
        <v>9754</v>
      </c>
      <c r="S459" t="s">
        <v>232</v>
      </c>
      <c r="T459">
        <v>0</v>
      </c>
      <c r="U459">
        <v>-34</v>
      </c>
      <c r="V459">
        <v>0</v>
      </c>
      <c r="W459">
        <v>0</v>
      </c>
      <c r="X459">
        <v>0</v>
      </c>
    </row>
    <row r="460" spans="1:24" x14ac:dyDescent="0.25">
      <c r="A460" t="s">
        <v>15</v>
      </c>
      <c r="B460" t="s">
        <v>24</v>
      </c>
      <c r="C460">
        <v>20150316</v>
      </c>
      <c r="D460">
        <v>0</v>
      </c>
      <c r="F460">
        <v>62500</v>
      </c>
      <c r="G460" t="s">
        <v>17</v>
      </c>
      <c r="I460" t="s">
        <v>16</v>
      </c>
      <c r="J460" t="s">
        <v>180</v>
      </c>
      <c r="K460" t="s">
        <v>25</v>
      </c>
      <c r="L460">
        <v>132757294</v>
      </c>
      <c r="R460">
        <v>9754</v>
      </c>
      <c r="S460" t="s">
        <v>192</v>
      </c>
      <c r="T460">
        <v>0</v>
      </c>
      <c r="U460">
        <v>34</v>
      </c>
      <c r="V460">
        <v>0</v>
      </c>
      <c r="W460">
        <v>0</v>
      </c>
      <c r="X460">
        <v>0</v>
      </c>
    </row>
    <row r="461" spans="1:24" x14ac:dyDescent="0.25">
      <c r="A461" t="s">
        <v>15</v>
      </c>
      <c r="B461" t="s">
        <v>24</v>
      </c>
      <c r="C461">
        <v>20150316</v>
      </c>
      <c r="D461">
        <v>0</v>
      </c>
      <c r="F461">
        <v>62500</v>
      </c>
      <c r="G461" t="s">
        <v>17</v>
      </c>
      <c r="I461" t="s">
        <v>16</v>
      </c>
      <c r="J461" t="s">
        <v>180</v>
      </c>
      <c r="K461" t="s">
        <v>25</v>
      </c>
      <c r="L461">
        <v>132757294</v>
      </c>
      <c r="R461">
        <v>9755</v>
      </c>
      <c r="S461" t="s">
        <v>232</v>
      </c>
      <c r="T461">
        <v>0</v>
      </c>
      <c r="U461">
        <v>-37</v>
      </c>
      <c r="V461">
        <v>0</v>
      </c>
      <c r="W461">
        <v>0</v>
      </c>
      <c r="X461">
        <v>0</v>
      </c>
    </row>
    <row r="462" spans="1:24" x14ac:dyDescent="0.25">
      <c r="A462" t="s">
        <v>15</v>
      </c>
      <c r="B462" t="s">
        <v>24</v>
      </c>
      <c r="C462">
        <v>20150316</v>
      </c>
      <c r="D462">
        <v>0</v>
      </c>
      <c r="F462">
        <v>62500</v>
      </c>
      <c r="G462" t="s">
        <v>17</v>
      </c>
      <c r="I462" t="s">
        <v>16</v>
      </c>
      <c r="J462" t="s">
        <v>180</v>
      </c>
      <c r="K462" t="s">
        <v>25</v>
      </c>
      <c r="L462">
        <v>132757294</v>
      </c>
      <c r="R462">
        <v>9754</v>
      </c>
      <c r="S462" t="s">
        <v>223</v>
      </c>
      <c r="T462">
        <v>0</v>
      </c>
      <c r="U462">
        <v>34</v>
      </c>
      <c r="V462">
        <v>0</v>
      </c>
      <c r="W462">
        <v>0</v>
      </c>
      <c r="X462">
        <v>0</v>
      </c>
    </row>
    <row r="463" spans="1:24" x14ac:dyDescent="0.25">
      <c r="A463" t="s">
        <v>15</v>
      </c>
      <c r="B463" t="s">
        <v>24</v>
      </c>
      <c r="C463">
        <v>20150316</v>
      </c>
      <c r="D463">
        <v>0</v>
      </c>
      <c r="F463">
        <v>62500</v>
      </c>
      <c r="G463" t="s">
        <v>17</v>
      </c>
      <c r="I463" t="s">
        <v>16</v>
      </c>
      <c r="J463" t="s">
        <v>180</v>
      </c>
      <c r="K463" t="s">
        <v>25</v>
      </c>
      <c r="L463">
        <v>132757294</v>
      </c>
      <c r="R463">
        <v>9754</v>
      </c>
      <c r="S463" t="s">
        <v>224</v>
      </c>
      <c r="T463">
        <v>0</v>
      </c>
      <c r="U463">
        <v>34</v>
      </c>
      <c r="V463">
        <v>0</v>
      </c>
      <c r="W463">
        <v>0</v>
      </c>
      <c r="X463">
        <v>0</v>
      </c>
    </row>
    <row r="464" spans="1:24" x14ac:dyDescent="0.25">
      <c r="A464" t="s">
        <v>15</v>
      </c>
      <c r="B464" t="s">
        <v>24</v>
      </c>
      <c r="C464">
        <v>20150316</v>
      </c>
      <c r="D464">
        <v>0</v>
      </c>
      <c r="F464">
        <v>62500</v>
      </c>
      <c r="G464" t="s">
        <v>17</v>
      </c>
      <c r="I464" t="s">
        <v>16</v>
      </c>
      <c r="J464" t="s">
        <v>180</v>
      </c>
      <c r="K464" t="s">
        <v>25</v>
      </c>
      <c r="L464">
        <v>132757294</v>
      </c>
      <c r="R464">
        <v>9755</v>
      </c>
      <c r="S464" t="s">
        <v>232</v>
      </c>
      <c r="T464">
        <v>0</v>
      </c>
      <c r="U464">
        <v>-37</v>
      </c>
      <c r="V464">
        <v>0</v>
      </c>
      <c r="W464">
        <v>0</v>
      </c>
      <c r="X464">
        <v>0</v>
      </c>
    </row>
    <row r="465" spans="1:24" x14ac:dyDescent="0.25">
      <c r="A465" t="s">
        <v>15</v>
      </c>
      <c r="B465" t="s">
        <v>24</v>
      </c>
      <c r="C465">
        <v>20150316</v>
      </c>
      <c r="D465">
        <v>0</v>
      </c>
      <c r="F465">
        <v>62500</v>
      </c>
      <c r="G465" t="s">
        <v>17</v>
      </c>
      <c r="I465" t="s">
        <v>16</v>
      </c>
      <c r="J465" t="s">
        <v>180</v>
      </c>
      <c r="K465" t="s">
        <v>25</v>
      </c>
      <c r="L465">
        <v>132757294</v>
      </c>
      <c r="R465">
        <v>9755</v>
      </c>
      <c r="S465" t="s">
        <v>192</v>
      </c>
      <c r="T465">
        <v>0</v>
      </c>
      <c r="U465">
        <v>37</v>
      </c>
      <c r="V465">
        <v>0</v>
      </c>
      <c r="W465">
        <v>0</v>
      </c>
      <c r="X465">
        <v>0</v>
      </c>
    </row>
    <row r="466" spans="1:24" x14ac:dyDescent="0.25">
      <c r="A466" t="s">
        <v>15</v>
      </c>
      <c r="B466" t="s">
        <v>24</v>
      </c>
      <c r="C466">
        <v>20150316</v>
      </c>
      <c r="D466">
        <v>0</v>
      </c>
      <c r="F466">
        <v>62500</v>
      </c>
      <c r="G466" t="s">
        <v>17</v>
      </c>
      <c r="I466" t="s">
        <v>16</v>
      </c>
      <c r="J466" t="s">
        <v>180</v>
      </c>
      <c r="K466" t="s">
        <v>25</v>
      </c>
      <c r="L466">
        <v>132757294</v>
      </c>
      <c r="R466">
        <v>9756</v>
      </c>
      <c r="S466" t="s">
        <v>232</v>
      </c>
      <c r="T466">
        <v>0</v>
      </c>
      <c r="U466">
        <v>-34</v>
      </c>
      <c r="V466">
        <v>0</v>
      </c>
      <c r="W466">
        <v>0</v>
      </c>
      <c r="X466">
        <v>0</v>
      </c>
    </row>
    <row r="467" spans="1:24" x14ac:dyDescent="0.25">
      <c r="A467" t="s">
        <v>15</v>
      </c>
      <c r="B467" t="s">
        <v>24</v>
      </c>
      <c r="C467">
        <v>20150316</v>
      </c>
      <c r="D467">
        <v>0</v>
      </c>
      <c r="F467">
        <v>62500</v>
      </c>
      <c r="G467" t="s">
        <v>17</v>
      </c>
      <c r="I467" t="s">
        <v>16</v>
      </c>
      <c r="J467" t="s">
        <v>180</v>
      </c>
      <c r="K467" t="s">
        <v>25</v>
      </c>
      <c r="L467">
        <v>132757294</v>
      </c>
      <c r="R467">
        <v>9755</v>
      </c>
      <c r="S467" t="s">
        <v>223</v>
      </c>
      <c r="T467">
        <v>0</v>
      </c>
      <c r="U467">
        <v>37</v>
      </c>
      <c r="V467">
        <v>0</v>
      </c>
      <c r="W467">
        <v>0</v>
      </c>
      <c r="X467">
        <v>0</v>
      </c>
    </row>
    <row r="468" spans="1:24" x14ac:dyDescent="0.25">
      <c r="A468" t="s">
        <v>15</v>
      </c>
      <c r="B468" t="s">
        <v>24</v>
      </c>
      <c r="C468">
        <v>20150316</v>
      </c>
      <c r="D468">
        <v>0</v>
      </c>
      <c r="F468">
        <v>62500</v>
      </c>
      <c r="G468" t="s">
        <v>17</v>
      </c>
      <c r="I468" t="s">
        <v>16</v>
      </c>
      <c r="J468" t="s">
        <v>180</v>
      </c>
      <c r="K468" t="s">
        <v>25</v>
      </c>
      <c r="L468">
        <v>132757294</v>
      </c>
      <c r="R468">
        <v>9755</v>
      </c>
      <c r="S468" t="s">
        <v>224</v>
      </c>
      <c r="T468">
        <v>0</v>
      </c>
      <c r="U468">
        <v>37</v>
      </c>
      <c r="V468">
        <v>0</v>
      </c>
      <c r="W468">
        <v>0</v>
      </c>
      <c r="X468">
        <v>0</v>
      </c>
    </row>
    <row r="469" spans="1:24" x14ac:dyDescent="0.25">
      <c r="A469" t="s">
        <v>15</v>
      </c>
      <c r="B469" t="s">
        <v>24</v>
      </c>
      <c r="C469">
        <v>20150316</v>
      </c>
      <c r="D469">
        <v>0</v>
      </c>
      <c r="F469">
        <v>62500</v>
      </c>
      <c r="G469" t="s">
        <v>17</v>
      </c>
      <c r="I469" t="s">
        <v>16</v>
      </c>
      <c r="J469" t="s">
        <v>180</v>
      </c>
      <c r="K469" t="s">
        <v>25</v>
      </c>
      <c r="L469">
        <v>132757294</v>
      </c>
      <c r="R469">
        <v>9756</v>
      </c>
      <c r="S469" t="s">
        <v>232</v>
      </c>
      <c r="T469">
        <v>0</v>
      </c>
      <c r="U469">
        <v>-34</v>
      </c>
      <c r="V469">
        <v>0</v>
      </c>
      <c r="W469">
        <v>0</v>
      </c>
      <c r="X469">
        <v>0</v>
      </c>
    </row>
    <row r="470" spans="1:24" x14ac:dyDescent="0.25">
      <c r="A470" t="s">
        <v>15</v>
      </c>
      <c r="B470" t="s">
        <v>24</v>
      </c>
      <c r="C470">
        <v>20150316</v>
      </c>
      <c r="D470">
        <v>0</v>
      </c>
      <c r="F470">
        <v>62500</v>
      </c>
      <c r="G470" t="s">
        <v>17</v>
      </c>
      <c r="I470" t="s">
        <v>16</v>
      </c>
      <c r="J470" t="s">
        <v>180</v>
      </c>
      <c r="K470" t="s">
        <v>25</v>
      </c>
      <c r="L470">
        <v>132757294</v>
      </c>
      <c r="R470">
        <v>9756</v>
      </c>
      <c r="S470" t="s">
        <v>192</v>
      </c>
      <c r="T470">
        <v>0</v>
      </c>
      <c r="U470">
        <v>34</v>
      </c>
      <c r="V470">
        <v>0</v>
      </c>
      <c r="W470">
        <v>0</v>
      </c>
      <c r="X470">
        <v>0</v>
      </c>
    </row>
    <row r="471" spans="1:24" x14ac:dyDescent="0.25">
      <c r="A471" t="s">
        <v>15</v>
      </c>
      <c r="B471" t="s">
        <v>24</v>
      </c>
      <c r="C471">
        <v>20150316</v>
      </c>
      <c r="D471">
        <v>0</v>
      </c>
      <c r="F471">
        <v>62500</v>
      </c>
      <c r="G471" t="s">
        <v>17</v>
      </c>
      <c r="I471" t="s">
        <v>16</v>
      </c>
      <c r="J471" t="s">
        <v>180</v>
      </c>
      <c r="K471" t="s">
        <v>25</v>
      </c>
      <c r="L471">
        <v>132757294</v>
      </c>
      <c r="R471">
        <v>9757</v>
      </c>
      <c r="S471" t="s">
        <v>232</v>
      </c>
      <c r="T471">
        <v>0</v>
      </c>
      <c r="U471">
        <v>-37</v>
      </c>
      <c r="V471">
        <v>0</v>
      </c>
      <c r="W471">
        <v>0</v>
      </c>
      <c r="X471">
        <v>0</v>
      </c>
    </row>
    <row r="472" spans="1:24" x14ac:dyDescent="0.25">
      <c r="A472" t="s">
        <v>15</v>
      </c>
      <c r="B472" t="s">
        <v>24</v>
      </c>
      <c r="C472">
        <v>20150316</v>
      </c>
      <c r="D472">
        <v>0</v>
      </c>
      <c r="F472">
        <v>62500</v>
      </c>
      <c r="G472" t="s">
        <v>17</v>
      </c>
      <c r="I472" t="s">
        <v>16</v>
      </c>
      <c r="J472" t="s">
        <v>180</v>
      </c>
      <c r="K472" t="s">
        <v>25</v>
      </c>
      <c r="L472">
        <v>132757294</v>
      </c>
      <c r="R472">
        <v>9756</v>
      </c>
      <c r="S472" t="s">
        <v>223</v>
      </c>
      <c r="T472">
        <v>0</v>
      </c>
      <c r="U472">
        <v>34</v>
      </c>
      <c r="V472">
        <v>0</v>
      </c>
      <c r="W472">
        <v>0</v>
      </c>
      <c r="X472">
        <v>0</v>
      </c>
    </row>
    <row r="473" spans="1:24" x14ac:dyDescent="0.25">
      <c r="A473" t="s">
        <v>15</v>
      </c>
      <c r="B473" t="s">
        <v>24</v>
      </c>
      <c r="C473">
        <v>20150316</v>
      </c>
      <c r="D473">
        <v>0</v>
      </c>
      <c r="F473">
        <v>62500</v>
      </c>
      <c r="G473" t="s">
        <v>17</v>
      </c>
      <c r="I473" t="s">
        <v>16</v>
      </c>
      <c r="J473" t="s">
        <v>180</v>
      </c>
      <c r="K473" t="s">
        <v>25</v>
      </c>
      <c r="L473">
        <v>132757294</v>
      </c>
      <c r="R473">
        <v>9756</v>
      </c>
      <c r="S473" t="s">
        <v>224</v>
      </c>
      <c r="T473">
        <v>0</v>
      </c>
      <c r="U473">
        <v>34</v>
      </c>
      <c r="V473">
        <v>0</v>
      </c>
      <c r="W473">
        <v>0</v>
      </c>
      <c r="X473">
        <v>0</v>
      </c>
    </row>
    <row r="474" spans="1:24" x14ac:dyDescent="0.25">
      <c r="A474" t="s">
        <v>15</v>
      </c>
      <c r="B474" t="s">
        <v>24</v>
      </c>
      <c r="C474">
        <v>20150316</v>
      </c>
      <c r="D474">
        <v>0</v>
      </c>
      <c r="F474">
        <v>62500</v>
      </c>
      <c r="G474" t="s">
        <v>17</v>
      </c>
      <c r="I474" t="s">
        <v>16</v>
      </c>
      <c r="J474" t="s">
        <v>180</v>
      </c>
      <c r="K474" t="s">
        <v>25</v>
      </c>
      <c r="L474">
        <v>132757294</v>
      </c>
      <c r="R474">
        <v>9757</v>
      </c>
      <c r="S474" t="s">
        <v>232</v>
      </c>
      <c r="T474">
        <v>0</v>
      </c>
      <c r="U474">
        <v>-37</v>
      </c>
      <c r="V474">
        <v>0</v>
      </c>
      <c r="W474">
        <v>0</v>
      </c>
      <c r="X474">
        <v>0</v>
      </c>
    </row>
    <row r="475" spans="1:24" x14ac:dyDescent="0.25">
      <c r="A475" t="s">
        <v>15</v>
      </c>
      <c r="B475" t="s">
        <v>24</v>
      </c>
      <c r="C475">
        <v>20150316</v>
      </c>
      <c r="D475">
        <v>0</v>
      </c>
      <c r="F475">
        <v>62500</v>
      </c>
      <c r="G475" t="s">
        <v>17</v>
      </c>
      <c r="I475" t="s">
        <v>16</v>
      </c>
      <c r="J475" t="s">
        <v>180</v>
      </c>
      <c r="K475" t="s">
        <v>25</v>
      </c>
      <c r="L475">
        <v>132757294</v>
      </c>
      <c r="R475">
        <v>9757</v>
      </c>
      <c r="S475" t="s">
        <v>192</v>
      </c>
      <c r="T475">
        <v>0</v>
      </c>
      <c r="U475">
        <v>37</v>
      </c>
      <c r="V475">
        <v>0</v>
      </c>
      <c r="W475">
        <v>0</v>
      </c>
      <c r="X475">
        <v>0</v>
      </c>
    </row>
    <row r="476" spans="1:24" x14ac:dyDescent="0.25">
      <c r="A476" t="s">
        <v>15</v>
      </c>
      <c r="B476" t="s">
        <v>24</v>
      </c>
      <c r="C476">
        <v>20150316</v>
      </c>
      <c r="D476">
        <v>0</v>
      </c>
      <c r="F476">
        <v>62500</v>
      </c>
      <c r="G476" t="s">
        <v>17</v>
      </c>
      <c r="I476" t="s">
        <v>16</v>
      </c>
      <c r="J476" t="s">
        <v>180</v>
      </c>
      <c r="K476" t="s">
        <v>25</v>
      </c>
      <c r="L476">
        <v>132757294</v>
      </c>
      <c r="R476">
        <v>9758</v>
      </c>
      <c r="S476" t="s">
        <v>232</v>
      </c>
      <c r="T476">
        <v>0</v>
      </c>
      <c r="U476">
        <v>5</v>
      </c>
      <c r="V476">
        <v>0</v>
      </c>
      <c r="W476">
        <v>0</v>
      </c>
      <c r="X476">
        <v>0</v>
      </c>
    </row>
    <row r="477" spans="1:24" x14ac:dyDescent="0.25">
      <c r="A477" t="s">
        <v>15</v>
      </c>
      <c r="B477" t="s">
        <v>24</v>
      </c>
      <c r="C477">
        <v>20150316</v>
      </c>
      <c r="D477">
        <v>0</v>
      </c>
      <c r="F477">
        <v>62500</v>
      </c>
      <c r="G477" t="s">
        <v>17</v>
      </c>
      <c r="I477" t="s">
        <v>16</v>
      </c>
      <c r="J477" t="s">
        <v>180</v>
      </c>
      <c r="K477" t="s">
        <v>25</v>
      </c>
      <c r="L477">
        <v>132757294</v>
      </c>
      <c r="R477">
        <v>9758</v>
      </c>
      <c r="S477" t="s">
        <v>232</v>
      </c>
      <c r="T477">
        <v>0</v>
      </c>
      <c r="U477">
        <v>5</v>
      </c>
      <c r="V477">
        <v>0</v>
      </c>
      <c r="W477">
        <v>0</v>
      </c>
      <c r="X477">
        <v>0</v>
      </c>
    </row>
    <row r="478" spans="1:24" x14ac:dyDescent="0.25">
      <c r="A478" t="s">
        <v>15</v>
      </c>
      <c r="B478" t="s">
        <v>24</v>
      </c>
      <c r="C478">
        <v>20150316</v>
      </c>
      <c r="D478">
        <v>0</v>
      </c>
      <c r="F478">
        <v>62500</v>
      </c>
      <c r="G478" t="s">
        <v>17</v>
      </c>
      <c r="I478" t="s">
        <v>16</v>
      </c>
      <c r="J478" t="s">
        <v>180</v>
      </c>
      <c r="K478" t="s">
        <v>25</v>
      </c>
      <c r="L478">
        <v>132757294</v>
      </c>
      <c r="R478">
        <v>9758</v>
      </c>
      <c r="S478" t="s">
        <v>233</v>
      </c>
      <c r="T478">
        <v>0</v>
      </c>
      <c r="U478">
        <v>5</v>
      </c>
      <c r="V478">
        <v>0</v>
      </c>
      <c r="W478">
        <v>0</v>
      </c>
      <c r="X478">
        <v>0</v>
      </c>
    </row>
    <row r="479" spans="1:24" x14ac:dyDescent="0.25">
      <c r="A479" t="s">
        <v>15</v>
      </c>
      <c r="B479" t="s">
        <v>24</v>
      </c>
      <c r="C479">
        <v>20150316</v>
      </c>
      <c r="D479">
        <v>0</v>
      </c>
      <c r="F479">
        <v>62500</v>
      </c>
      <c r="G479" t="s">
        <v>17</v>
      </c>
      <c r="I479" t="s">
        <v>16</v>
      </c>
      <c r="J479" t="s">
        <v>180</v>
      </c>
      <c r="K479" t="s">
        <v>25</v>
      </c>
      <c r="L479">
        <v>132757294</v>
      </c>
      <c r="R479">
        <v>9758</v>
      </c>
      <c r="S479" t="s">
        <v>223</v>
      </c>
      <c r="T479">
        <v>0</v>
      </c>
      <c r="U479">
        <v>5</v>
      </c>
      <c r="V479">
        <v>0</v>
      </c>
      <c r="W479">
        <v>0</v>
      </c>
      <c r="X479">
        <v>0</v>
      </c>
    </row>
    <row r="480" spans="1:24" x14ac:dyDescent="0.25">
      <c r="A480" t="s">
        <v>15</v>
      </c>
      <c r="B480" t="s">
        <v>24</v>
      </c>
      <c r="C480">
        <v>20150316</v>
      </c>
      <c r="D480">
        <v>0</v>
      </c>
      <c r="F480">
        <v>62500</v>
      </c>
      <c r="G480" t="s">
        <v>17</v>
      </c>
      <c r="I480" t="s">
        <v>16</v>
      </c>
      <c r="J480" t="s">
        <v>180</v>
      </c>
      <c r="K480" t="s">
        <v>25</v>
      </c>
      <c r="L480">
        <v>132757294</v>
      </c>
      <c r="R480">
        <v>9758</v>
      </c>
      <c r="S480" t="s">
        <v>224</v>
      </c>
      <c r="T480">
        <v>0</v>
      </c>
      <c r="U480">
        <v>5</v>
      </c>
      <c r="V480">
        <v>0</v>
      </c>
      <c r="W480">
        <v>0</v>
      </c>
      <c r="X480">
        <v>0</v>
      </c>
    </row>
    <row r="481" spans="1:40" x14ac:dyDescent="0.25">
      <c r="A481" t="s">
        <v>15</v>
      </c>
      <c r="B481" t="s">
        <v>24</v>
      </c>
      <c r="C481">
        <v>20150316</v>
      </c>
      <c r="D481">
        <v>0</v>
      </c>
      <c r="F481">
        <v>62500</v>
      </c>
      <c r="G481" t="s">
        <v>17</v>
      </c>
      <c r="I481" t="s">
        <v>16</v>
      </c>
      <c r="J481" t="s">
        <v>180</v>
      </c>
      <c r="K481" t="s">
        <v>25</v>
      </c>
      <c r="L481">
        <v>132757294</v>
      </c>
      <c r="R481">
        <v>9759</v>
      </c>
      <c r="S481" t="s">
        <v>232</v>
      </c>
      <c r="T481">
        <v>0</v>
      </c>
      <c r="U481">
        <v>5</v>
      </c>
      <c r="V481">
        <v>0</v>
      </c>
      <c r="W481">
        <v>0</v>
      </c>
      <c r="X481">
        <v>0</v>
      </c>
    </row>
    <row r="482" spans="1:40" x14ac:dyDescent="0.25">
      <c r="A482" t="s">
        <v>15</v>
      </c>
      <c r="B482" t="s">
        <v>24</v>
      </c>
      <c r="C482">
        <v>20150316</v>
      </c>
      <c r="D482">
        <v>0</v>
      </c>
      <c r="F482">
        <v>62500</v>
      </c>
      <c r="G482" t="s">
        <v>17</v>
      </c>
      <c r="I482" t="s">
        <v>16</v>
      </c>
      <c r="J482" t="s">
        <v>180</v>
      </c>
      <c r="K482" t="s">
        <v>25</v>
      </c>
      <c r="L482">
        <v>132757294</v>
      </c>
      <c r="R482">
        <v>9759</v>
      </c>
      <c r="S482" t="s">
        <v>232</v>
      </c>
      <c r="T482">
        <v>0</v>
      </c>
      <c r="U482">
        <v>-5</v>
      </c>
      <c r="V482">
        <v>0</v>
      </c>
      <c r="W482">
        <v>0</v>
      </c>
      <c r="X482">
        <v>0</v>
      </c>
      <c r="Y482">
        <v>9759</v>
      </c>
      <c r="Z482" t="s">
        <v>5146</v>
      </c>
      <c r="AA482" t="s">
        <v>5147</v>
      </c>
      <c r="AB482" t="s">
        <v>234</v>
      </c>
      <c r="AC482" t="s">
        <v>17</v>
      </c>
      <c r="AD482" t="s">
        <v>235</v>
      </c>
      <c r="AE482">
        <v>5</v>
      </c>
      <c r="AF482">
        <v>5</v>
      </c>
      <c r="AG482">
        <v>1.5289999999999999</v>
      </c>
      <c r="AH482">
        <v>1.5289999999999999</v>
      </c>
      <c r="AI482">
        <v>1226100215</v>
      </c>
      <c r="AJ482">
        <v>0</v>
      </c>
      <c r="AK482">
        <v>7</v>
      </c>
      <c r="AN482">
        <v>0</v>
      </c>
    </row>
    <row r="483" spans="1:40" x14ac:dyDescent="0.25">
      <c r="A483" t="s">
        <v>15</v>
      </c>
      <c r="B483" t="s">
        <v>24</v>
      </c>
      <c r="C483">
        <v>20150316</v>
      </c>
      <c r="D483">
        <v>0</v>
      </c>
      <c r="F483">
        <v>62500</v>
      </c>
      <c r="G483" t="s">
        <v>17</v>
      </c>
      <c r="I483" t="s">
        <v>16</v>
      </c>
      <c r="J483" t="s">
        <v>180</v>
      </c>
      <c r="K483" t="s">
        <v>25</v>
      </c>
      <c r="L483">
        <v>132757294</v>
      </c>
      <c r="R483">
        <v>9759</v>
      </c>
      <c r="S483" t="s">
        <v>232</v>
      </c>
      <c r="T483">
        <v>0</v>
      </c>
      <c r="U483">
        <v>-5</v>
      </c>
      <c r="V483">
        <v>0</v>
      </c>
      <c r="W483">
        <v>0</v>
      </c>
      <c r="X483">
        <v>0</v>
      </c>
    </row>
    <row r="484" spans="1:40" x14ac:dyDescent="0.25">
      <c r="A484" t="s">
        <v>15</v>
      </c>
      <c r="B484" t="s">
        <v>24</v>
      </c>
      <c r="C484">
        <v>20150316</v>
      </c>
      <c r="D484">
        <v>0</v>
      </c>
      <c r="F484">
        <v>62500</v>
      </c>
      <c r="G484" t="s">
        <v>17</v>
      </c>
      <c r="I484" t="s">
        <v>16</v>
      </c>
      <c r="J484" t="s">
        <v>180</v>
      </c>
      <c r="K484" t="s">
        <v>25</v>
      </c>
      <c r="L484">
        <v>132757294</v>
      </c>
      <c r="R484">
        <v>9759</v>
      </c>
      <c r="S484" t="s">
        <v>37</v>
      </c>
      <c r="T484">
        <v>5</v>
      </c>
      <c r="U484">
        <v>0</v>
      </c>
      <c r="V484">
        <v>1.5289999999999999</v>
      </c>
      <c r="W484">
        <v>1.5289999999999999</v>
      </c>
      <c r="X484">
        <v>0</v>
      </c>
    </row>
    <row r="485" spans="1:40" x14ac:dyDescent="0.25">
      <c r="A485" t="s">
        <v>15</v>
      </c>
      <c r="B485" t="s">
        <v>24</v>
      </c>
      <c r="C485">
        <v>20150316</v>
      </c>
      <c r="D485">
        <v>0</v>
      </c>
      <c r="F485">
        <v>62500</v>
      </c>
      <c r="G485" t="s">
        <v>17</v>
      </c>
      <c r="I485" t="s">
        <v>16</v>
      </c>
      <c r="J485" t="s">
        <v>180</v>
      </c>
      <c r="K485" t="s">
        <v>25</v>
      </c>
      <c r="L485">
        <v>132757294</v>
      </c>
      <c r="R485">
        <v>9759</v>
      </c>
      <c r="S485" t="s">
        <v>37</v>
      </c>
      <c r="T485">
        <v>5</v>
      </c>
      <c r="U485">
        <v>0</v>
      </c>
      <c r="V485">
        <v>1.5289999999999999</v>
      </c>
      <c r="W485">
        <v>1.5289999999999999</v>
      </c>
      <c r="X485">
        <v>0</v>
      </c>
    </row>
    <row r="486" spans="1:40" x14ac:dyDescent="0.25">
      <c r="A486" t="s">
        <v>15</v>
      </c>
      <c r="B486" t="s">
        <v>24</v>
      </c>
      <c r="C486">
        <v>20150316</v>
      </c>
      <c r="D486">
        <v>0</v>
      </c>
      <c r="F486">
        <v>62500</v>
      </c>
      <c r="G486" t="s">
        <v>17</v>
      </c>
      <c r="I486" t="s">
        <v>16</v>
      </c>
      <c r="J486" t="s">
        <v>180</v>
      </c>
      <c r="K486" t="s">
        <v>25</v>
      </c>
      <c r="L486">
        <v>132757294</v>
      </c>
      <c r="R486">
        <v>9759</v>
      </c>
      <c r="S486" t="s">
        <v>37</v>
      </c>
      <c r="T486">
        <v>5</v>
      </c>
      <c r="U486">
        <v>0</v>
      </c>
      <c r="V486">
        <v>1.5289999999999999</v>
      </c>
      <c r="W486">
        <v>1.5289999999999999</v>
      </c>
      <c r="X486">
        <v>0</v>
      </c>
    </row>
    <row r="487" spans="1:40" x14ac:dyDescent="0.25">
      <c r="A487" t="s">
        <v>15</v>
      </c>
      <c r="B487" t="s">
        <v>24</v>
      </c>
      <c r="C487">
        <v>20150316</v>
      </c>
      <c r="D487">
        <v>0</v>
      </c>
      <c r="F487">
        <v>62500</v>
      </c>
      <c r="G487" t="s">
        <v>17</v>
      </c>
      <c r="I487" t="s">
        <v>16</v>
      </c>
      <c r="J487" t="s">
        <v>180</v>
      </c>
      <c r="K487" t="s">
        <v>25</v>
      </c>
      <c r="L487">
        <v>132757294</v>
      </c>
      <c r="R487">
        <v>9759</v>
      </c>
      <c r="S487" t="s">
        <v>37</v>
      </c>
      <c r="T487">
        <v>5</v>
      </c>
      <c r="U487">
        <v>0</v>
      </c>
      <c r="V487">
        <v>1.5289999999999999</v>
      </c>
      <c r="W487">
        <v>1.5289999999999999</v>
      </c>
      <c r="X487">
        <v>0</v>
      </c>
    </row>
    <row r="488" spans="1:40" x14ac:dyDescent="0.25">
      <c r="A488" t="s">
        <v>15</v>
      </c>
      <c r="B488" t="s">
        <v>24</v>
      </c>
      <c r="C488">
        <v>20150316</v>
      </c>
      <c r="D488">
        <v>0</v>
      </c>
      <c r="F488">
        <v>62500</v>
      </c>
      <c r="G488" t="s">
        <v>17</v>
      </c>
      <c r="I488" t="s">
        <v>16</v>
      </c>
      <c r="J488" t="s">
        <v>180</v>
      </c>
      <c r="K488" t="s">
        <v>25</v>
      </c>
      <c r="L488">
        <v>132757294</v>
      </c>
      <c r="R488">
        <v>9759</v>
      </c>
      <c r="S488" t="s">
        <v>37</v>
      </c>
      <c r="T488">
        <v>5</v>
      </c>
      <c r="U488">
        <v>0</v>
      </c>
      <c r="V488">
        <v>1.5289999999999999</v>
      </c>
      <c r="W488">
        <v>1.5289999999999999</v>
      </c>
      <c r="X488">
        <v>0</v>
      </c>
    </row>
    <row r="489" spans="1:40" x14ac:dyDescent="0.25">
      <c r="A489" t="s">
        <v>15</v>
      </c>
      <c r="B489" t="s">
        <v>24</v>
      </c>
      <c r="C489">
        <v>20150316</v>
      </c>
      <c r="D489">
        <v>0</v>
      </c>
      <c r="F489">
        <v>62500</v>
      </c>
      <c r="G489" t="s">
        <v>17</v>
      </c>
      <c r="I489" t="s">
        <v>16</v>
      </c>
      <c r="J489" t="s">
        <v>180</v>
      </c>
      <c r="K489" t="s">
        <v>25</v>
      </c>
      <c r="L489">
        <v>132757294</v>
      </c>
      <c r="R489">
        <v>9759</v>
      </c>
      <c r="S489" t="s">
        <v>37</v>
      </c>
      <c r="T489">
        <v>5</v>
      </c>
      <c r="U489">
        <v>0</v>
      </c>
      <c r="V489">
        <v>1.5289999999999999</v>
      </c>
      <c r="W489">
        <v>1.5289999999999999</v>
      </c>
      <c r="X489">
        <v>0</v>
      </c>
    </row>
    <row r="490" spans="1:40" x14ac:dyDescent="0.25">
      <c r="A490" t="s">
        <v>15</v>
      </c>
      <c r="B490" t="s">
        <v>24</v>
      </c>
      <c r="C490">
        <v>20150316</v>
      </c>
      <c r="D490">
        <v>0</v>
      </c>
      <c r="F490">
        <v>62500</v>
      </c>
      <c r="G490" t="s">
        <v>17</v>
      </c>
      <c r="I490" t="s">
        <v>16</v>
      </c>
      <c r="J490" t="s">
        <v>180</v>
      </c>
      <c r="K490" t="s">
        <v>25</v>
      </c>
      <c r="L490">
        <v>132757294</v>
      </c>
      <c r="R490">
        <v>9759</v>
      </c>
      <c r="S490" t="s">
        <v>37</v>
      </c>
      <c r="T490">
        <v>5</v>
      </c>
      <c r="U490">
        <v>0</v>
      </c>
      <c r="V490">
        <v>1.5289999999999999</v>
      </c>
      <c r="W490">
        <v>1.5289999999999999</v>
      </c>
      <c r="X490">
        <v>0</v>
      </c>
    </row>
    <row r="491" spans="1:40" x14ac:dyDescent="0.25">
      <c r="A491" t="s">
        <v>15</v>
      </c>
      <c r="B491" t="s">
        <v>24</v>
      </c>
      <c r="C491">
        <v>20150316</v>
      </c>
      <c r="D491">
        <v>0</v>
      </c>
      <c r="F491">
        <v>62500</v>
      </c>
      <c r="G491" t="s">
        <v>17</v>
      </c>
      <c r="I491" t="s">
        <v>16</v>
      </c>
      <c r="J491" t="s">
        <v>180</v>
      </c>
      <c r="K491" t="s">
        <v>25</v>
      </c>
      <c r="L491">
        <v>132757294</v>
      </c>
      <c r="R491">
        <v>9759</v>
      </c>
      <c r="S491" t="s">
        <v>37</v>
      </c>
      <c r="T491">
        <v>5</v>
      </c>
      <c r="U491">
        <v>0</v>
      </c>
      <c r="V491">
        <v>1.5289999999999999</v>
      </c>
      <c r="W491">
        <v>1.5289999999999999</v>
      </c>
      <c r="X491">
        <v>0</v>
      </c>
    </row>
    <row r="492" spans="1:40" x14ac:dyDescent="0.25">
      <c r="A492" t="s">
        <v>15</v>
      </c>
      <c r="B492" t="s">
        <v>24</v>
      </c>
      <c r="C492">
        <v>20150316</v>
      </c>
      <c r="D492">
        <v>0</v>
      </c>
      <c r="F492">
        <v>62500</v>
      </c>
      <c r="G492" t="s">
        <v>17</v>
      </c>
      <c r="I492" t="s">
        <v>16</v>
      </c>
      <c r="J492" t="s">
        <v>180</v>
      </c>
      <c r="K492" t="s">
        <v>25</v>
      </c>
      <c r="L492">
        <v>132757294</v>
      </c>
      <c r="R492">
        <v>9760</v>
      </c>
      <c r="S492" t="s">
        <v>232</v>
      </c>
      <c r="T492">
        <v>0</v>
      </c>
      <c r="U492">
        <v>5</v>
      </c>
      <c r="V492">
        <v>0</v>
      </c>
      <c r="W492">
        <v>0</v>
      </c>
      <c r="X492">
        <v>0</v>
      </c>
    </row>
    <row r="493" spans="1:40" x14ac:dyDescent="0.25">
      <c r="A493" t="s">
        <v>15</v>
      </c>
      <c r="B493" t="s">
        <v>24</v>
      </c>
      <c r="C493">
        <v>20150316</v>
      </c>
      <c r="D493">
        <v>0</v>
      </c>
      <c r="F493">
        <v>62500</v>
      </c>
      <c r="G493" t="s">
        <v>17</v>
      </c>
      <c r="I493" t="s">
        <v>16</v>
      </c>
      <c r="J493" t="s">
        <v>180</v>
      </c>
      <c r="K493" t="s">
        <v>25</v>
      </c>
      <c r="L493">
        <v>132757294</v>
      </c>
      <c r="R493">
        <v>9760</v>
      </c>
      <c r="S493" t="s">
        <v>232</v>
      </c>
      <c r="T493">
        <v>0</v>
      </c>
      <c r="U493">
        <v>5</v>
      </c>
      <c r="V493">
        <v>0</v>
      </c>
      <c r="W493">
        <v>0</v>
      </c>
      <c r="X493">
        <v>0</v>
      </c>
    </row>
    <row r="494" spans="1:40" x14ac:dyDescent="0.25">
      <c r="A494" t="s">
        <v>15</v>
      </c>
      <c r="B494" t="s">
        <v>24</v>
      </c>
      <c r="C494">
        <v>20150316</v>
      </c>
      <c r="D494">
        <v>0</v>
      </c>
      <c r="F494">
        <v>62500</v>
      </c>
      <c r="G494" t="s">
        <v>17</v>
      </c>
      <c r="I494" t="s">
        <v>16</v>
      </c>
      <c r="J494" t="s">
        <v>180</v>
      </c>
      <c r="K494" t="s">
        <v>25</v>
      </c>
      <c r="L494">
        <v>132757294</v>
      </c>
      <c r="R494">
        <v>9760</v>
      </c>
      <c r="S494" t="s">
        <v>233</v>
      </c>
      <c r="T494">
        <v>0</v>
      </c>
      <c r="U494">
        <v>5</v>
      </c>
      <c r="V494">
        <v>0</v>
      </c>
      <c r="W494">
        <v>0</v>
      </c>
      <c r="X494">
        <v>0</v>
      </c>
    </row>
    <row r="495" spans="1:40" x14ac:dyDescent="0.25">
      <c r="A495" t="s">
        <v>15</v>
      </c>
      <c r="B495" t="s">
        <v>24</v>
      </c>
      <c r="C495">
        <v>20150316</v>
      </c>
      <c r="D495">
        <v>0</v>
      </c>
      <c r="F495">
        <v>62500</v>
      </c>
      <c r="G495" t="s">
        <v>17</v>
      </c>
      <c r="I495" t="s">
        <v>16</v>
      </c>
      <c r="J495" t="s">
        <v>180</v>
      </c>
      <c r="K495" t="s">
        <v>25</v>
      </c>
      <c r="L495">
        <v>132757294</v>
      </c>
      <c r="R495">
        <v>9761</v>
      </c>
      <c r="S495" t="s">
        <v>232</v>
      </c>
      <c r="T495">
        <v>0</v>
      </c>
      <c r="U495">
        <v>40</v>
      </c>
      <c r="V495">
        <v>0</v>
      </c>
      <c r="W495">
        <v>0</v>
      </c>
      <c r="X495">
        <v>0</v>
      </c>
    </row>
    <row r="496" spans="1:40" x14ac:dyDescent="0.25">
      <c r="A496" t="s">
        <v>15</v>
      </c>
      <c r="B496" t="s">
        <v>24</v>
      </c>
      <c r="C496">
        <v>20150316</v>
      </c>
      <c r="D496">
        <v>0</v>
      </c>
      <c r="F496">
        <v>62500</v>
      </c>
      <c r="G496" t="s">
        <v>17</v>
      </c>
      <c r="I496" t="s">
        <v>16</v>
      </c>
      <c r="J496" t="s">
        <v>180</v>
      </c>
      <c r="K496" t="s">
        <v>25</v>
      </c>
      <c r="L496">
        <v>132757294</v>
      </c>
      <c r="R496">
        <v>9753</v>
      </c>
      <c r="S496" t="s">
        <v>223</v>
      </c>
      <c r="T496">
        <v>0</v>
      </c>
      <c r="U496">
        <v>36</v>
      </c>
      <c r="V496">
        <v>0</v>
      </c>
      <c r="W496">
        <v>0</v>
      </c>
      <c r="X496">
        <v>0</v>
      </c>
    </row>
    <row r="497" spans="1:40" x14ac:dyDescent="0.25">
      <c r="A497" t="s">
        <v>15</v>
      </c>
      <c r="B497" t="s">
        <v>24</v>
      </c>
      <c r="C497">
        <v>20150316</v>
      </c>
      <c r="D497">
        <v>0</v>
      </c>
      <c r="F497">
        <v>62500</v>
      </c>
      <c r="G497" t="s">
        <v>17</v>
      </c>
      <c r="I497" t="s">
        <v>16</v>
      </c>
      <c r="J497" t="s">
        <v>180</v>
      </c>
      <c r="K497" t="s">
        <v>25</v>
      </c>
      <c r="L497">
        <v>132757294</v>
      </c>
      <c r="R497">
        <v>9753</v>
      </c>
      <c r="S497" t="s">
        <v>224</v>
      </c>
      <c r="T497">
        <v>0</v>
      </c>
      <c r="U497">
        <v>36</v>
      </c>
      <c r="V497">
        <v>0</v>
      </c>
      <c r="W497">
        <v>0</v>
      </c>
      <c r="X497">
        <v>0</v>
      </c>
    </row>
    <row r="498" spans="1:40" x14ac:dyDescent="0.25">
      <c r="A498" t="s">
        <v>15</v>
      </c>
      <c r="B498" t="s">
        <v>24</v>
      </c>
      <c r="C498">
        <v>20150316</v>
      </c>
      <c r="D498">
        <v>0</v>
      </c>
      <c r="F498">
        <v>62500</v>
      </c>
      <c r="G498" t="s">
        <v>17</v>
      </c>
      <c r="I498" t="s">
        <v>16</v>
      </c>
      <c r="J498" t="s">
        <v>180</v>
      </c>
      <c r="K498" t="s">
        <v>25</v>
      </c>
      <c r="L498">
        <v>132757294</v>
      </c>
      <c r="R498">
        <v>9757</v>
      </c>
      <c r="S498" t="s">
        <v>223</v>
      </c>
      <c r="T498">
        <v>0</v>
      </c>
      <c r="U498">
        <v>37</v>
      </c>
      <c r="V498">
        <v>0</v>
      </c>
      <c r="W498">
        <v>0</v>
      </c>
      <c r="X498">
        <v>0</v>
      </c>
    </row>
    <row r="499" spans="1:40" x14ac:dyDescent="0.25">
      <c r="A499" t="s">
        <v>15</v>
      </c>
      <c r="B499" t="s">
        <v>24</v>
      </c>
      <c r="C499">
        <v>20150316</v>
      </c>
      <c r="D499">
        <v>0</v>
      </c>
      <c r="F499">
        <v>62500</v>
      </c>
      <c r="G499" t="s">
        <v>17</v>
      </c>
      <c r="I499" t="s">
        <v>16</v>
      </c>
      <c r="J499" t="s">
        <v>180</v>
      </c>
      <c r="K499" t="s">
        <v>25</v>
      </c>
      <c r="L499">
        <v>132757294</v>
      </c>
      <c r="R499">
        <v>9757</v>
      </c>
      <c r="S499" t="s">
        <v>224</v>
      </c>
      <c r="T499">
        <v>0</v>
      </c>
      <c r="U499">
        <v>37</v>
      </c>
      <c r="V499">
        <v>0</v>
      </c>
      <c r="W499">
        <v>0</v>
      </c>
      <c r="X499">
        <v>0</v>
      </c>
    </row>
    <row r="500" spans="1:40" x14ac:dyDescent="0.25">
      <c r="A500" t="s">
        <v>15</v>
      </c>
      <c r="B500" t="s">
        <v>24</v>
      </c>
      <c r="C500">
        <v>20150316</v>
      </c>
      <c r="D500">
        <v>0</v>
      </c>
      <c r="F500">
        <v>62500</v>
      </c>
      <c r="G500" t="s">
        <v>17</v>
      </c>
      <c r="I500" t="s">
        <v>16</v>
      </c>
      <c r="J500" t="s">
        <v>180</v>
      </c>
      <c r="K500" t="s">
        <v>25</v>
      </c>
      <c r="L500">
        <v>132757294</v>
      </c>
      <c r="R500">
        <v>9761</v>
      </c>
      <c r="S500" t="s">
        <v>232</v>
      </c>
      <c r="T500">
        <v>0</v>
      </c>
      <c r="U500">
        <v>40</v>
      </c>
      <c r="V500">
        <v>0</v>
      </c>
      <c r="W500">
        <v>0</v>
      </c>
      <c r="X500">
        <v>0</v>
      </c>
    </row>
    <row r="501" spans="1:40" x14ac:dyDescent="0.25">
      <c r="A501" t="s">
        <v>15</v>
      </c>
      <c r="B501" t="s">
        <v>24</v>
      </c>
      <c r="C501">
        <v>20150316</v>
      </c>
      <c r="D501">
        <v>0</v>
      </c>
      <c r="F501">
        <v>62500</v>
      </c>
      <c r="G501" t="s">
        <v>17</v>
      </c>
      <c r="I501" t="s">
        <v>16</v>
      </c>
      <c r="J501" t="s">
        <v>180</v>
      </c>
      <c r="K501" t="s">
        <v>25</v>
      </c>
      <c r="L501">
        <v>132757294</v>
      </c>
      <c r="R501">
        <v>9761</v>
      </c>
      <c r="S501" t="s">
        <v>192</v>
      </c>
      <c r="T501">
        <v>0</v>
      </c>
      <c r="U501">
        <v>40</v>
      </c>
      <c r="V501">
        <v>0</v>
      </c>
      <c r="W501">
        <v>0</v>
      </c>
      <c r="X501">
        <v>0</v>
      </c>
    </row>
    <row r="502" spans="1:40" x14ac:dyDescent="0.25">
      <c r="A502" t="s">
        <v>15</v>
      </c>
      <c r="B502" t="s">
        <v>24</v>
      </c>
      <c r="C502">
        <v>20150316</v>
      </c>
      <c r="D502">
        <v>0</v>
      </c>
      <c r="F502">
        <v>62500</v>
      </c>
      <c r="G502" t="s">
        <v>17</v>
      </c>
      <c r="I502" t="s">
        <v>16</v>
      </c>
      <c r="J502" t="s">
        <v>180</v>
      </c>
      <c r="K502" t="s">
        <v>25</v>
      </c>
      <c r="L502">
        <v>132757294</v>
      </c>
      <c r="R502">
        <v>9760</v>
      </c>
      <c r="S502" t="s">
        <v>223</v>
      </c>
      <c r="T502">
        <v>0</v>
      </c>
      <c r="U502">
        <v>5</v>
      </c>
      <c r="V502">
        <v>0</v>
      </c>
      <c r="W502">
        <v>0</v>
      </c>
      <c r="X502">
        <v>0</v>
      </c>
    </row>
    <row r="503" spans="1:40" x14ac:dyDescent="0.25">
      <c r="A503" t="s">
        <v>15</v>
      </c>
      <c r="B503" t="s">
        <v>24</v>
      </c>
      <c r="C503">
        <v>20150316</v>
      </c>
      <c r="D503">
        <v>0</v>
      </c>
      <c r="F503">
        <v>62500</v>
      </c>
      <c r="G503" t="s">
        <v>17</v>
      </c>
      <c r="I503" t="s">
        <v>16</v>
      </c>
      <c r="J503" t="s">
        <v>180</v>
      </c>
      <c r="K503" t="s">
        <v>25</v>
      </c>
      <c r="L503">
        <v>132757294</v>
      </c>
      <c r="R503">
        <v>9760</v>
      </c>
      <c r="S503" t="s">
        <v>224</v>
      </c>
      <c r="T503">
        <v>0</v>
      </c>
      <c r="U503">
        <v>5</v>
      </c>
      <c r="V503">
        <v>0</v>
      </c>
      <c r="W503">
        <v>0</v>
      </c>
      <c r="X503">
        <v>0</v>
      </c>
    </row>
    <row r="504" spans="1:40" x14ac:dyDescent="0.25">
      <c r="A504" t="s">
        <v>15</v>
      </c>
      <c r="B504" t="s">
        <v>24</v>
      </c>
      <c r="C504">
        <v>20150316</v>
      </c>
      <c r="D504">
        <v>0</v>
      </c>
      <c r="F504">
        <v>62500</v>
      </c>
      <c r="G504" t="s">
        <v>17</v>
      </c>
      <c r="I504" t="s">
        <v>16</v>
      </c>
      <c r="J504" t="s">
        <v>180</v>
      </c>
      <c r="K504" t="s">
        <v>25</v>
      </c>
      <c r="L504">
        <v>132757294</v>
      </c>
      <c r="R504">
        <v>9762</v>
      </c>
      <c r="S504" t="s">
        <v>232</v>
      </c>
      <c r="T504">
        <v>0</v>
      </c>
      <c r="U504">
        <v>5</v>
      </c>
      <c r="V504">
        <v>0</v>
      </c>
      <c r="W504">
        <v>0</v>
      </c>
      <c r="X504">
        <v>0</v>
      </c>
    </row>
    <row r="505" spans="1:40" x14ac:dyDescent="0.25">
      <c r="A505" t="s">
        <v>15</v>
      </c>
      <c r="B505" t="s">
        <v>24</v>
      </c>
      <c r="C505">
        <v>20150316</v>
      </c>
      <c r="D505">
        <v>0</v>
      </c>
      <c r="F505">
        <v>62500</v>
      </c>
      <c r="G505" t="s">
        <v>17</v>
      </c>
      <c r="I505" t="s">
        <v>16</v>
      </c>
      <c r="J505" t="s">
        <v>180</v>
      </c>
      <c r="K505" t="s">
        <v>25</v>
      </c>
      <c r="L505">
        <v>132757294</v>
      </c>
      <c r="R505">
        <v>9762</v>
      </c>
      <c r="S505" t="s">
        <v>232</v>
      </c>
      <c r="T505">
        <v>0</v>
      </c>
      <c r="U505">
        <v>5</v>
      </c>
      <c r="V505">
        <v>0</v>
      </c>
      <c r="W505">
        <v>0</v>
      </c>
      <c r="X505">
        <v>0</v>
      </c>
    </row>
    <row r="506" spans="1:40" x14ac:dyDescent="0.25">
      <c r="A506" t="s">
        <v>15</v>
      </c>
      <c r="B506" t="s">
        <v>24</v>
      </c>
      <c r="C506">
        <v>20150316</v>
      </c>
      <c r="D506">
        <v>0</v>
      </c>
      <c r="F506">
        <v>62500</v>
      </c>
      <c r="G506" t="s">
        <v>17</v>
      </c>
      <c r="I506" t="s">
        <v>16</v>
      </c>
      <c r="J506" t="s">
        <v>180</v>
      </c>
      <c r="K506" t="s">
        <v>25</v>
      </c>
      <c r="L506">
        <v>132757294</v>
      </c>
      <c r="R506">
        <v>9762</v>
      </c>
      <c r="S506" t="s">
        <v>233</v>
      </c>
      <c r="T506">
        <v>0</v>
      </c>
      <c r="U506">
        <v>5</v>
      </c>
      <c r="V506">
        <v>0</v>
      </c>
      <c r="W506">
        <v>0</v>
      </c>
      <c r="X506">
        <v>0</v>
      </c>
    </row>
    <row r="507" spans="1:40" x14ac:dyDescent="0.25">
      <c r="A507" t="s">
        <v>15</v>
      </c>
      <c r="B507" t="s">
        <v>24</v>
      </c>
      <c r="C507">
        <v>20150316</v>
      </c>
      <c r="D507">
        <v>0</v>
      </c>
      <c r="F507">
        <v>62500</v>
      </c>
      <c r="G507" t="s">
        <v>17</v>
      </c>
      <c r="I507" t="s">
        <v>16</v>
      </c>
      <c r="J507" t="s">
        <v>180</v>
      </c>
      <c r="K507" t="s">
        <v>25</v>
      </c>
      <c r="L507">
        <v>132757294</v>
      </c>
      <c r="R507">
        <v>9762</v>
      </c>
      <c r="S507" t="s">
        <v>233</v>
      </c>
      <c r="T507">
        <v>0</v>
      </c>
      <c r="U507">
        <v>3</v>
      </c>
      <c r="V507">
        <v>0</v>
      </c>
      <c r="W507">
        <v>0</v>
      </c>
      <c r="X507">
        <v>0</v>
      </c>
      <c r="Y507">
        <v>9762</v>
      </c>
      <c r="Z507" t="s">
        <v>5400</v>
      </c>
      <c r="AA507" t="s">
        <v>5401</v>
      </c>
      <c r="AB507" t="s">
        <v>234</v>
      </c>
      <c r="AC507" t="s">
        <v>17</v>
      </c>
      <c r="AD507" t="s">
        <v>235</v>
      </c>
      <c r="AE507">
        <v>1</v>
      </c>
      <c r="AF507">
        <v>1</v>
      </c>
      <c r="AG507">
        <v>1.5289999999999999</v>
      </c>
      <c r="AH507">
        <v>1.5289999999999999</v>
      </c>
      <c r="AI507">
        <v>1226100218</v>
      </c>
      <c r="AJ507">
        <v>0</v>
      </c>
      <c r="AK507">
        <v>7</v>
      </c>
      <c r="AN507">
        <v>0</v>
      </c>
    </row>
    <row r="508" spans="1:40" x14ac:dyDescent="0.25">
      <c r="A508" t="s">
        <v>15</v>
      </c>
      <c r="B508" t="s">
        <v>24</v>
      </c>
      <c r="C508">
        <v>20150316</v>
      </c>
      <c r="D508">
        <v>0</v>
      </c>
      <c r="F508">
        <v>62500</v>
      </c>
      <c r="G508" t="s">
        <v>17</v>
      </c>
      <c r="I508" t="s">
        <v>16</v>
      </c>
      <c r="J508" t="s">
        <v>180</v>
      </c>
      <c r="K508" t="s">
        <v>25</v>
      </c>
      <c r="L508">
        <v>132757294</v>
      </c>
      <c r="R508">
        <v>9762</v>
      </c>
      <c r="S508" t="s">
        <v>233</v>
      </c>
      <c r="T508">
        <v>0</v>
      </c>
      <c r="U508">
        <v>3</v>
      </c>
      <c r="V508">
        <v>0</v>
      </c>
      <c r="W508">
        <v>0</v>
      </c>
      <c r="X508">
        <v>0</v>
      </c>
    </row>
    <row r="509" spans="1:40" x14ac:dyDescent="0.25">
      <c r="A509" t="s">
        <v>15</v>
      </c>
      <c r="B509" t="s">
        <v>24</v>
      </c>
      <c r="C509">
        <v>20150316</v>
      </c>
      <c r="D509">
        <v>0</v>
      </c>
      <c r="F509">
        <v>62500</v>
      </c>
      <c r="G509" t="s">
        <v>17</v>
      </c>
      <c r="I509" t="s">
        <v>16</v>
      </c>
      <c r="J509" t="s">
        <v>180</v>
      </c>
      <c r="K509" t="s">
        <v>25</v>
      </c>
      <c r="L509">
        <v>132757294</v>
      </c>
      <c r="R509">
        <v>9762</v>
      </c>
      <c r="S509" t="s">
        <v>233</v>
      </c>
      <c r="T509">
        <v>1</v>
      </c>
      <c r="U509">
        <v>4</v>
      </c>
      <c r="V509">
        <v>1.5289999999999999</v>
      </c>
      <c r="W509">
        <v>1.5289999999999999</v>
      </c>
      <c r="X509">
        <v>0</v>
      </c>
    </row>
    <row r="510" spans="1:40" x14ac:dyDescent="0.25">
      <c r="A510" t="s">
        <v>15</v>
      </c>
      <c r="B510" t="s">
        <v>24</v>
      </c>
      <c r="C510">
        <v>20150316</v>
      </c>
      <c r="D510">
        <v>0</v>
      </c>
      <c r="F510">
        <v>62500</v>
      </c>
      <c r="G510" t="s">
        <v>17</v>
      </c>
      <c r="I510" t="s">
        <v>16</v>
      </c>
      <c r="J510" t="s">
        <v>180</v>
      </c>
      <c r="K510" t="s">
        <v>25</v>
      </c>
      <c r="L510">
        <v>132757294</v>
      </c>
      <c r="R510">
        <v>9763</v>
      </c>
      <c r="S510" t="s">
        <v>232</v>
      </c>
      <c r="T510">
        <v>0</v>
      </c>
      <c r="U510">
        <v>-38</v>
      </c>
      <c r="V510">
        <v>0</v>
      </c>
      <c r="W510">
        <v>0</v>
      </c>
      <c r="X510">
        <v>0</v>
      </c>
    </row>
    <row r="511" spans="1:40" x14ac:dyDescent="0.25">
      <c r="A511" t="s">
        <v>15</v>
      </c>
      <c r="B511" t="s">
        <v>24</v>
      </c>
      <c r="C511">
        <v>20150316</v>
      </c>
      <c r="D511">
        <v>0</v>
      </c>
      <c r="F511">
        <v>62500</v>
      </c>
      <c r="G511" t="s">
        <v>17</v>
      </c>
      <c r="I511" t="s">
        <v>16</v>
      </c>
      <c r="J511" t="s">
        <v>180</v>
      </c>
      <c r="K511" t="s">
        <v>25</v>
      </c>
      <c r="L511">
        <v>132757294</v>
      </c>
      <c r="R511">
        <v>9762</v>
      </c>
      <c r="S511" t="s">
        <v>233</v>
      </c>
      <c r="T511">
        <v>1</v>
      </c>
      <c r="U511">
        <v>4</v>
      </c>
      <c r="V511">
        <v>1.5289999999999999</v>
      </c>
      <c r="W511">
        <v>1.5289999999999999</v>
      </c>
      <c r="X511">
        <v>0</v>
      </c>
    </row>
    <row r="512" spans="1:40" x14ac:dyDescent="0.25">
      <c r="A512" t="s">
        <v>15</v>
      </c>
      <c r="B512" t="s">
        <v>24</v>
      </c>
      <c r="C512">
        <v>20150316</v>
      </c>
      <c r="D512">
        <v>0</v>
      </c>
      <c r="F512">
        <v>62500</v>
      </c>
      <c r="G512" t="s">
        <v>17</v>
      </c>
      <c r="I512" t="s">
        <v>16</v>
      </c>
      <c r="J512" t="s">
        <v>180</v>
      </c>
      <c r="K512" t="s">
        <v>25</v>
      </c>
      <c r="L512">
        <v>132757294</v>
      </c>
      <c r="R512">
        <v>9762</v>
      </c>
      <c r="S512" t="s">
        <v>233</v>
      </c>
      <c r="T512">
        <v>1</v>
      </c>
      <c r="U512">
        <v>4</v>
      </c>
      <c r="V512">
        <v>1.5289999999999999</v>
      </c>
      <c r="W512">
        <v>1.5289999999999999</v>
      </c>
      <c r="X512">
        <v>0</v>
      </c>
    </row>
    <row r="513" spans="1:40" x14ac:dyDescent="0.25">
      <c r="A513" t="s">
        <v>15</v>
      </c>
      <c r="B513" t="s">
        <v>24</v>
      </c>
      <c r="C513">
        <v>20150316</v>
      </c>
      <c r="D513">
        <v>0</v>
      </c>
      <c r="F513">
        <v>62500</v>
      </c>
      <c r="G513" t="s">
        <v>17</v>
      </c>
      <c r="I513" t="s">
        <v>16</v>
      </c>
      <c r="J513" t="s">
        <v>180</v>
      </c>
      <c r="K513" t="s">
        <v>25</v>
      </c>
      <c r="L513">
        <v>132757294</v>
      </c>
      <c r="R513">
        <v>9763</v>
      </c>
      <c r="S513" t="s">
        <v>232</v>
      </c>
      <c r="T513">
        <v>0</v>
      </c>
      <c r="U513">
        <v>-38</v>
      </c>
      <c r="V513">
        <v>0</v>
      </c>
      <c r="W513">
        <v>0</v>
      </c>
      <c r="X513">
        <v>0</v>
      </c>
    </row>
    <row r="514" spans="1:40" x14ac:dyDescent="0.25">
      <c r="A514" t="s">
        <v>15</v>
      </c>
      <c r="B514" t="s">
        <v>24</v>
      </c>
      <c r="C514">
        <v>20150316</v>
      </c>
      <c r="D514">
        <v>0</v>
      </c>
      <c r="F514">
        <v>62500</v>
      </c>
      <c r="G514" t="s">
        <v>17</v>
      </c>
      <c r="I514" t="s">
        <v>16</v>
      </c>
      <c r="J514" t="s">
        <v>180</v>
      </c>
      <c r="K514" t="s">
        <v>25</v>
      </c>
      <c r="L514">
        <v>132757294</v>
      </c>
      <c r="R514">
        <v>9763</v>
      </c>
      <c r="S514" t="s">
        <v>192</v>
      </c>
      <c r="T514">
        <v>0</v>
      </c>
      <c r="U514">
        <v>38</v>
      </c>
      <c r="V514">
        <v>0</v>
      </c>
      <c r="W514">
        <v>0</v>
      </c>
      <c r="X514">
        <v>0</v>
      </c>
    </row>
    <row r="515" spans="1:40" x14ac:dyDescent="0.25">
      <c r="A515" t="s">
        <v>15</v>
      </c>
      <c r="B515" t="s">
        <v>24</v>
      </c>
      <c r="C515">
        <v>20150316</v>
      </c>
      <c r="D515">
        <v>0</v>
      </c>
      <c r="F515">
        <v>62500</v>
      </c>
      <c r="G515" t="s">
        <v>17</v>
      </c>
      <c r="I515" t="s">
        <v>16</v>
      </c>
      <c r="J515" t="s">
        <v>180</v>
      </c>
      <c r="K515" t="s">
        <v>25</v>
      </c>
      <c r="L515">
        <v>132757294</v>
      </c>
      <c r="R515">
        <v>9762</v>
      </c>
      <c r="S515" t="s">
        <v>233</v>
      </c>
      <c r="T515">
        <v>1</v>
      </c>
      <c r="U515">
        <v>-2</v>
      </c>
      <c r="V515">
        <v>1.5289999999999999</v>
      </c>
      <c r="W515">
        <v>1.5289999999999999</v>
      </c>
      <c r="X515">
        <v>0</v>
      </c>
      <c r="Y515">
        <v>9762</v>
      </c>
      <c r="Z515" t="s">
        <v>5442</v>
      </c>
      <c r="AA515" t="s">
        <v>5443</v>
      </c>
      <c r="AB515" t="s">
        <v>234</v>
      </c>
      <c r="AC515" t="s">
        <v>17</v>
      </c>
      <c r="AD515" t="s">
        <v>235</v>
      </c>
      <c r="AE515">
        <v>3</v>
      </c>
      <c r="AF515">
        <v>4</v>
      </c>
      <c r="AG515">
        <v>1.5289999999999999</v>
      </c>
      <c r="AH515">
        <v>1.5289999999999999</v>
      </c>
      <c r="AI515">
        <v>1226100218</v>
      </c>
      <c r="AJ515">
        <v>0</v>
      </c>
      <c r="AK515">
        <v>7</v>
      </c>
      <c r="AN515">
        <v>0</v>
      </c>
    </row>
    <row r="516" spans="1:40" x14ac:dyDescent="0.25">
      <c r="A516" t="s">
        <v>15</v>
      </c>
      <c r="B516" t="s">
        <v>24</v>
      </c>
      <c r="C516">
        <v>20150316</v>
      </c>
      <c r="D516">
        <v>0</v>
      </c>
      <c r="F516">
        <v>62500</v>
      </c>
      <c r="G516" t="s">
        <v>17</v>
      </c>
      <c r="I516" t="s">
        <v>16</v>
      </c>
      <c r="J516" t="s">
        <v>180</v>
      </c>
      <c r="K516" t="s">
        <v>25</v>
      </c>
      <c r="L516">
        <v>132757294</v>
      </c>
      <c r="R516">
        <v>9762</v>
      </c>
      <c r="S516" t="s">
        <v>233</v>
      </c>
      <c r="T516">
        <v>1</v>
      </c>
      <c r="U516">
        <v>-2</v>
      </c>
      <c r="V516">
        <v>1.5289999999999999</v>
      </c>
      <c r="W516">
        <v>1.5289999999999999</v>
      </c>
      <c r="X516">
        <v>0</v>
      </c>
    </row>
    <row r="517" spans="1:40" x14ac:dyDescent="0.25">
      <c r="A517" t="s">
        <v>15</v>
      </c>
      <c r="B517" t="s">
        <v>24</v>
      </c>
      <c r="C517">
        <v>20150316</v>
      </c>
      <c r="D517">
        <v>0</v>
      </c>
      <c r="F517">
        <v>62500</v>
      </c>
      <c r="G517" t="s">
        <v>17</v>
      </c>
      <c r="I517" t="s">
        <v>16</v>
      </c>
      <c r="J517" t="s">
        <v>180</v>
      </c>
      <c r="K517" t="s">
        <v>25</v>
      </c>
      <c r="L517">
        <v>132757294</v>
      </c>
      <c r="R517">
        <v>9762</v>
      </c>
      <c r="S517" t="s">
        <v>233</v>
      </c>
      <c r="T517">
        <v>4</v>
      </c>
      <c r="U517">
        <v>1</v>
      </c>
      <c r="V517">
        <v>1.5289999999999999</v>
      </c>
      <c r="W517">
        <v>1.5289999999999999</v>
      </c>
      <c r="X517">
        <v>0</v>
      </c>
    </row>
    <row r="518" spans="1:40" x14ac:dyDescent="0.25">
      <c r="A518" t="s">
        <v>15</v>
      </c>
      <c r="B518" t="s">
        <v>24</v>
      </c>
      <c r="C518">
        <v>20150316</v>
      </c>
      <c r="D518">
        <v>0</v>
      </c>
      <c r="F518">
        <v>62500</v>
      </c>
      <c r="G518" t="s">
        <v>17</v>
      </c>
      <c r="I518" t="s">
        <v>16</v>
      </c>
      <c r="J518" t="s">
        <v>180</v>
      </c>
      <c r="K518" t="s">
        <v>25</v>
      </c>
      <c r="L518">
        <v>132757294</v>
      </c>
      <c r="R518">
        <v>9762</v>
      </c>
      <c r="S518" t="s">
        <v>233</v>
      </c>
      <c r="T518">
        <v>4</v>
      </c>
      <c r="U518">
        <v>1</v>
      </c>
      <c r="V518">
        <v>1.5289999999999999</v>
      </c>
      <c r="W518">
        <v>1.5289999999999999</v>
      </c>
      <c r="X518">
        <v>0</v>
      </c>
    </row>
    <row r="519" spans="1:40" x14ac:dyDescent="0.25">
      <c r="A519" t="s">
        <v>15</v>
      </c>
      <c r="B519" t="s">
        <v>24</v>
      </c>
      <c r="C519">
        <v>20150316</v>
      </c>
      <c r="D519">
        <v>0</v>
      </c>
      <c r="F519">
        <v>62500</v>
      </c>
      <c r="G519" t="s">
        <v>17</v>
      </c>
      <c r="I519" t="s">
        <v>16</v>
      </c>
      <c r="J519" t="s">
        <v>180</v>
      </c>
      <c r="K519" t="s">
        <v>25</v>
      </c>
      <c r="L519">
        <v>132757294</v>
      </c>
      <c r="R519">
        <v>9762</v>
      </c>
      <c r="S519" t="s">
        <v>233</v>
      </c>
      <c r="T519">
        <v>4</v>
      </c>
      <c r="U519">
        <v>1</v>
      </c>
      <c r="V519">
        <v>1.5289999999999999</v>
      </c>
      <c r="W519">
        <v>1.5289999999999999</v>
      </c>
      <c r="X519">
        <v>0</v>
      </c>
    </row>
    <row r="520" spans="1:40" x14ac:dyDescent="0.25">
      <c r="A520" t="s">
        <v>15</v>
      </c>
      <c r="B520" t="s">
        <v>24</v>
      </c>
      <c r="C520">
        <v>20150316</v>
      </c>
      <c r="D520">
        <v>0</v>
      </c>
      <c r="F520">
        <v>62500</v>
      </c>
      <c r="G520" t="s">
        <v>17</v>
      </c>
      <c r="I520" t="s">
        <v>16</v>
      </c>
      <c r="J520" t="s">
        <v>180</v>
      </c>
      <c r="K520" t="s">
        <v>25</v>
      </c>
      <c r="L520">
        <v>132757294</v>
      </c>
      <c r="R520">
        <v>9764</v>
      </c>
      <c r="S520" t="s">
        <v>232</v>
      </c>
      <c r="T520">
        <v>0</v>
      </c>
      <c r="U520">
        <v>-42</v>
      </c>
      <c r="V520">
        <v>0</v>
      </c>
      <c r="W520">
        <v>0</v>
      </c>
      <c r="X520">
        <v>0</v>
      </c>
    </row>
    <row r="521" spans="1:40" x14ac:dyDescent="0.25">
      <c r="A521" t="s">
        <v>15</v>
      </c>
      <c r="B521" t="s">
        <v>24</v>
      </c>
      <c r="C521">
        <v>20150316</v>
      </c>
      <c r="D521">
        <v>0</v>
      </c>
      <c r="F521">
        <v>62500</v>
      </c>
      <c r="G521" t="s">
        <v>17</v>
      </c>
      <c r="I521" t="s">
        <v>16</v>
      </c>
      <c r="J521" t="s">
        <v>180</v>
      </c>
      <c r="K521" t="s">
        <v>25</v>
      </c>
      <c r="L521">
        <v>132757294</v>
      </c>
      <c r="R521">
        <v>9763</v>
      </c>
      <c r="S521" t="s">
        <v>223</v>
      </c>
      <c r="T521">
        <v>0</v>
      </c>
      <c r="U521">
        <v>38</v>
      </c>
      <c r="V521">
        <v>0</v>
      </c>
      <c r="W521">
        <v>0</v>
      </c>
      <c r="X521">
        <v>0</v>
      </c>
    </row>
    <row r="522" spans="1:40" x14ac:dyDescent="0.25">
      <c r="A522" t="s">
        <v>15</v>
      </c>
      <c r="B522" t="s">
        <v>24</v>
      </c>
      <c r="C522">
        <v>20150316</v>
      </c>
      <c r="D522">
        <v>0</v>
      </c>
      <c r="F522">
        <v>62500</v>
      </c>
      <c r="G522" t="s">
        <v>17</v>
      </c>
      <c r="I522" t="s">
        <v>16</v>
      </c>
      <c r="J522" t="s">
        <v>180</v>
      </c>
      <c r="K522" t="s">
        <v>25</v>
      </c>
      <c r="L522">
        <v>132757294</v>
      </c>
      <c r="R522">
        <v>9763</v>
      </c>
      <c r="S522" t="s">
        <v>224</v>
      </c>
      <c r="T522">
        <v>0</v>
      </c>
      <c r="U522">
        <v>38</v>
      </c>
      <c r="V522">
        <v>0</v>
      </c>
      <c r="W522">
        <v>0</v>
      </c>
      <c r="X522">
        <v>0</v>
      </c>
    </row>
    <row r="523" spans="1:40" x14ac:dyDescent="0.25">
      <c r="A523" t="s">
        <v>15</v>
      </c>
      <c r="B523" t="s">
        <v>24</v>
      </c>
      <c r="C523">
        <v>20150316</v>
      </c>
      <c r="D523">
        <v>0</v>
      </c>
      <c r="F523">
        <v>62500</v>
      </c>
      <c r="G523" t="s">
        <v>17</v>
      </c>
      <c r="I523" t="s">
        <v>16</v>
      </c>
      <c r="J523" t="s">
        <v>180</v>
      </c>
      <c r="K523" t="s">
        <v>25</v>
      </c>
      <c r="L523">
        <v>132757294</v>
      </c>
      <c r="R523">
        <v>9764</v>
      </c>
      <c r="S523" t="s">
        <v>232</v>
      </c>
      <c r="T523">
        <v>0</v>
      </c>
      <c r="U523">
        <v>-42</v>
      </c>
      <c r="V523">
        <v>0</v>
      </c>
      <c r="W523">
        <v>0</v>
      </c>
      <c r="X523">
        <v>0</v>
      </c>
    </row>
    <row r="524" spans="1:40" x14ac:dyDescent="0.25">
      <c r="A524" t="s">
        <v>15</v>
      </c>
      <c r="B524" t="s">
        <v>24</v>
      </c>
      <c r="C524">
        <v>20150316</v>
      </c>
      <c r="D524">
        <v>0</v>
      </c>
      <c r="F524">
        <v>62500</v>
      </c>
      <c r="G524" t="s">
        <v>17</v>
      </c>
      <c r="I524" t="s">
        <v>16</v>
      </c>
      <c r="J524" t="s">
        <v>180</v>
      </c>
      <c r="K524" t="s">
        <v>25</v>
      </c>
      <c r="L524">
        <v>132757294</v>
      </c>
      <c r="R524">
        <v>9764</v>
      </c>
      <c r="S524" t="s">
        <v>192</v>
      </c>
      <c r="T524">
        <v>0</v>
      </c>
      <c r="U524">
        <v>42</v>
      </c>
      <c r="V524">
        <v>0</v>
      </c>
      <c r="W524">
        <v>0</v>
      </c>
      <c r="X524">
        <v>0</v>
      </c>
    </row>
    <row r="525" spans="1:40" x14ac:dyDescent="0.25">
      <c r="A525" t="s">
        <v>15</v>
      </c>
      <c r="B525" t="s">
        <v>24</v>
      </c>
      <c r="C525">
        <v>20150316</v>
      </c>
      <c r="D525">
        <v>0</v>
      </c>
      <c r="F525">
        <v>62500</v>
      </c>
      <c r="G525" t="s">
        <v>17</v>
      </c>
      <c r="I525" t="s">
        <v>16</v>
      </c>
      <c r="J525" t="s">
        <v>180</v>
      </c>
      <c r="K525" t="s">
        <v>25</v>
      </c>
      <c r="L525">
        <v>132757294</v>
      </c>
      <c r="R525">
        <v>9762</v>
      </c>
      <c r="S525" t="s">
        <v>233</v>
      </c>
      <c r="T525">
        <v>4</v>
      </c>
      <c r="U525">
        <v>-1</v>
      </c>
      <c r="V525">
        <v>1.5289999999999999</v>
      </c>
      <c r="W525">
        <v>1.5289999999999999</v>
      </c>
      <c r="X525">
        <v>0</v>
      </c>
      <c r="Y525">
        <v>9762</v>
      </c>
      <c r="Z525" t="s">
        <v>5491</v>
      </c>
      <c r="AA525" t="s">
        <v>5492</v>
      </c>
      <c r="AB525" t="s">
        <v>234</v>
      </c>
      <c r="AC525" t="s">
        <v>17</v>
      </c>
      <c r="AD525" t="s">
        <v>235</v>
      </c>
      <c r="AE525">
        <v>1</v>
      </c>
      <c r="AF525">
        <v>5</v>
      </c>
      <c r="AG525">
        <v>1.5289999999999999</v>
      </c>
      <c r="AH525">
        <v>1.5289999999999999</v>
      </c>
      <c r="AI525">
        <v>1226100218</v>
      </c>
      <c r="AJ525">
        <v>0</v>
      </c>
      <c r="AK525">
        <v>7</v>
      </c>
      <c r="AN525">
        <v>0</v>
      </c>
    </row>
    <row r="526" spans="1:40" x14ac:dyDescent="0.25">
      <c r="A526" t="s">
        <v>15</v>
      </c>
      <c r="B526" t="s">
        <v>24</v>
      </c>
      <c r="C526">
        <v>20150316</v>
      </c>
      <c r="D526">
        <v>0</v>
      </c>
      <c r="F526">
        <v>62500</v>
      </c>
      <c r="G526" t="s">
        <v>17</v>
      </c>
      <c r="I526" t="s">
        <v>16</v>
      </c>
      <c r="J526" t="s">
        <v>180</v>
      </c>
      <c r="K526" t="s">
        <v>25</v>
      </c>
      <c r="L526">
        <v>132757294</v>
      </c>
      <c r="R526">
        <v>9762</v>
      </c>
      <c r="S526" t="s">
        <v>233</v>
      </c>
      <c r="T526">
        <v>4</v>
      </c>
      <c r="U526">
        <v>-1</v>
      </c>
      <c r="V526">
        <v>1.5289999999999999</v>
      </c>
      <c r="W526">
        <v>1.5289999999999999</v>
      </c>
      <c r="X526">
        <v>0</v>
      </c>
    </row>
    <row r="527" spans="1:40" x14ac:dyDescent="0.25">
      <c r="A527" t="s">
        <v>15</v>
      </c>
      <c r="B527" t="s">
        <v>24</v>
      </c>
      <c r="C527">
        <v>20150316</v>
      </c>
      <c r="D527">
        <v>0</v>
      </c>
      <c r="F527">
        <v>62500</v>
      </c>
      <c r="G527" t="s">
        <v>17</v>
      </c>
      <c r="I527" t="s">
        <v>16</v>
      </c>
      <c r="J527" t="s">
        <v>180</v>
      </c>
      <c r="K527" t="s">
        <v>25</v>
      </c>
      <c r="L527">
        <v>132757294</v>
      </c>
      <c r="R527">
        <v>9762</v>
      </c>
      <c r="S527" t="s">
        <v>37</v>
      </c>
      <c r="T527">
        <v>5</v>
      </c>
      <c r="U527">
        <v>0</v>
      </c>
      <c r="V527">
        <v>1.5289999999999999</v>
      </c>
      <c r="W527">
        <v>1.5289999999999999</v>
      </c>
      <c r="X527">
        <v>0</v>
      </c>
    </row>
    <row r="528" spans="1:40" x14ac:dyDescent="0.25">
      <c r="A528" t="s">
        <v>15</v>
      </c>
      <c r="B528" t="s">
        <v>24</v>
      </c>
      <c r="C528">
        <v>20150316</v>
      </c>
      <c r="D528">
        <v>0</v>
      </c>
      <c r="F528">
        <v>62500</v>
      </c>
      <c r="G528" t="s">
        <v>17</v>
      </c>
      <c r="I528" t="s">
        <v>16</v>
      </c>
      <c r="J528" t="s">
        <v>180</v>
      </c>
      <c r="K528" t="s">
        <v>25</v>
      </c>
      <c r="L528">
        <v>132757294</v>
      </c>
      <c r="R528">
        <v>9762</v>
      </c>
      <c r="S528" t="s">
        <v>37</v>
      </c>
      <c r="T528">
        <v>5</v>
      </c>
      <c r="U528">
        <v>0</v>
      </c>
      <c r="V528">
        <v>1.5289999999999999</v>
      </c>
      <c r="W528">
        <v>1.5289999999999999</v>
      </c>
      <c r="X528">
        <v>0</v>
      </c>
    </row>
    <row r="529" spans="1:40" x14ac:dyDescent="0.25">
      <c r="A529" t="s">
        <v>15</v>
      </c>
      <c r="B529" t="s">
        <v>24</v>
      </c>
      <c r="C529">
        <v>20150316</v>
      </c>
      <c r="D529">
        <v>0</v>
      </c>
      <c r="F529">
        <v>62500</v>
      </c>
      <c r="G529" t="s">
        <v>17</v>
      </c>
      <c r="I529" t="s">
        <v>16</v>
      </c>
      <c r="J529" t="s">
        <v>180</v>
      </c>
      <c r="K529" t="s">
        <v>25</v>
      </c>
      <c r="L529">
        <v>132757294</v>
      </c>
      <c r="R529">
        <v>9765</v>
      </c>
      <c r="S529" t="s">
        <v>232</v>
      </c>
      <c r="T529">
        <v>0</v>
      </c>
      <c r="U529">
        <v>3</v>
      </c>
      <c r="V529">
        <v>0</v>
      </c>
      <c r="W529">
        <v>0</v>
      </c>
      <c r="X529">
        <v>0</v>
      </c>
    </row>
    <row r="530" spans="1:40" x14ac:dyDescent="0.25">
      <c r="A530" t="s">
        <v>15</v>
      </c>
      <c r="B530" t="s">
        <v>24</v>
      </c>
      <c r="C530">
        <v>20150316</v>
      </c>
      <c r="D530">
        <v>0</v>
      </c>
      <c r="F530">
        <v>62500</v>
      </c>
      <c r="G530" t="s">
        <v>17</v>
      </c>
      <c r="I530" t="s">
        <v>16</v>
      </c>
      <c r="J530" t="s">
        <v>180</v>
      </c>
      <c r="K530" t="s">
        <v>25</v>
      </c>
      <c r="L530">
        <v>132757294</v>
      </c>
      <c r="R530">
        <v>9762</v>
      </c>
      <c r="S530" t="s">
        <v>37</v>
      </c>
      <c r="T530">
        <v>5</v>
      </c>
      <c r="U530">
        <v>0</v>
      </c>
      <c r="V530">
        <v>1.5289999999999999</v>
      </c>
      <c r="W530">
        <v>1.5289999999999999</v>
      </c>
      <c r="X530">
        <v>0</v>
      </c>
    </row>
    <row r="531" spans="1:40" x14ac:dyDescent="0.25">
      <c r="A531" t="s">
        <v>15</v>
      </c>
      <c r="B531" t="s">
        <v>24</v>
      </c>
      <c r="C531">
        <v>20150316</v>
      </c>
      <c r="D531">
        <v>0</v>
      </c>
      <c r="F531">
        <v>62500</v>
      </c>
      <c r="G531" t="s">
        <v>17</v>
      </c>
      <c r="I531" t="s">
        <v>16</v>
      </c>
      <c r="J531" t="s">
        <v>180</v>
      </c>
      <c r="K531" t="s">
        <v>25</v>
      </c>
      <c r="L531">
        <v>132757294</v>
      </c>
      <c r="R531">
        <v>9762</v>
      </c>
      <c r="S531" t="s">
        <v>37</v>
      </c>
      <c r="T531">
        <v>5</v>
      </c>
      <c r="U531">
        <v>0</v>
      </c>
      <c r="V531">
        <v>1.5289999999999999</v>
      </c>
      <c r="W531">
        <v>1.5289999999999999</v>
      </c>
      <c r="X531">
        <v>0</v>
      </c>
    </row>
    <row r="532" spans="1:40" x14ac:dyDescent="0.25">
      <c r="A532" t="s">
        <v>15</v>
      </c>
      <c r="B532" t="s">
        <v>24</v>
      </c>
      <c r="C532">
        <v>20150316</v>
      </c>
      <c r="D532">
        <v>0</v>
      </c>
      <c r="F532">
        <v>62500</v>
      </c>
      <c r="G532" t="s">
        <v>17</v>
      </c>
      <c r="I532" t="s">
        <v>16</v>
      </c>
      <c r="J532" t="s">
        <v>180</v>
      </c>
      <c r="K532" t="s">
        <v>25</v>
      </c>
      <c r="L532">
        <v>132757294</v>
      </c>
      <c r="R532">
        <v>9762</v>
      </c>
      <c r="S532" t="s">
        <v>37</v>
      </c>
      <c r="T532">
        <v>5</v>
      </c>
      <c r="U532">
        <v>0</v>
      </c>
      <c r="V532">
        <v>1.5289999999999999</v>
      </c>
      <c r="W532">
        <v>1.5289999999999999</v>
      </c>
      <c r="X532">
        <v>0</v>
      </c>
    </row>
    <row r="533" spans="1:40" x14ac:dyDescent="0.25">
      <c r="A533" t="s">
        <v>15</v>
      </c>
      <c r="B533" t="s">
        <v>24</v>
      </c>
      <c r="C533">
        <v>20150316</v>
      </c>
      <c r="D533">
        <v>0</v>
      </c>
      <c r="F533">
        <v>62500</v>
      </c>
      <c r="G533" t="s">
        <v>17</v>
      </c>
      <c r="I533" t="s">
        <v>16</v>
      </c>
      <c r="J533" t="s">
        <v>180</v>
      </c>
      <c r="K533" t="s">
        <v>25</v>
      </c>
      <c r="L533">
        <v>132757294</v>
      </c>
      <c r="R533">
        <v>9765</v>
      </c>
      <c r="S533" t="s">
        <v>232</v>
      </c>
      <c r="T533">
        <v>0</v>
      </c>
      <c r="U533">
        <v>-3</v>
      </c>
      <c r="V533">
        <v>0</v>
      </c>
      <c r="W533">
        <v>0</v>
      </c>
      <c r="X533">
        <v>0</v>
      </c>
      <c r="Y533">
        <v>9765</v>
      </c>
      <c r="Z533" t="s">
        <v>5526</v>
      </c>
      <c r="AA533" t="s">
        <v>5492</v>
      </c>
      <c r="AB533" t="s">
        <v>234</v>
      </c>
      <c r="AC533" t="s">
        <v>17</v>
      </c>
      <c r="AD533" t="s">
        <v>235</v>
      </c>
      <c r="AE533">
        <v>3</v>
      </c>
      <c r="AF533">
        <v>3</v>
      </c>
      <c r="AG533">
        <v>1.5288999999999999</v>
      </c>
      <c r="AH533">
        <v>1.5288999999999999</v>
      </c>
      <c r="AI533">
        <v>1226100221</v>
      </c>
      <c r="AJ533">
        <v>0</v>
      </c>
      <c r="AK533">
        <v>7</v>
      </c>
      <c r="AN533">
        <v>0</v>
      </c>
    </row>
    <row r="534" spans="1:40" x14ac:dyDescent="0.25">
      <c r="A534" t="s">
        <v>15</v>
      </c>
      <c r="B534" t="s">
        <v>24</v>
      </c>
      <c r="C534">
        <v>20150316</v>
      </c>
      <c r="D534">
        <v>0</v>
      </c>
      <c r="F534">
        <v>62500</v>
      </c>
      <c r="G534" t="s">
        <v>17</v>
      </c>
      <c r="I534" t="s">
        <v>16</v>
      </c>
      <c r="J534" t="s">
        <v>180</v>
      </c>
      <c r="K534" t="s">
        <v>25</v>
      </c>
      <c r="L534">
        <v>132757294</v>
      </c>
      <c r="R534">
        <v>9765</v>
      </c>
      <c r="S534" t="s">
        <v>232</v>
      </c>
      <c r="T534">
        <v>0</v>
      </c>
      <c r="U534">
        <v>-3</v>
      </c>
      <c r="V534">
        <v>0</v>
      </c>
      <c r="W534">
        <v>0</v>
      </c>
      <c r="X534">
        <v>0</v>
      </c>
    </row>
    <row r="535" spans="1:40" x14ac:dyDescent="0.25">
      <c r="A535" t="s">
        <v>15</v>
      </c>
      <c r="B535" t="s">
        <v>24</v>
      </c>
      <c r="C535">
        <v>20150316</v>
      </c>
      <c r="D535">
        <v>0</v>
      </c>
      <c r="F535">
        <v>62500</v>
      </c>
      <c r="G535" t="s">
        <v>17</v>
      </c>
      <c r="I535" t="s">
        <v>16</v>
      </c>
      <c r="J535" t="s">
        <v>180</v>
      </c>
      <c r="K535" t="s">
        <v>25</v>
      </c>
      <c r="L535">
        <v>132757294</v>
      </c>
      <c r="R535">
        <v>9765</v>
      </c>
      <c r="S535" t="s">
        <v>37</v>
      </c>
      <c r="T535">
        <v>3</v>
      </c>
      <c r="U535">
        <v>0</v>
      </c>
      <c r="V535">
        <v>1.5288999999999999</v>
      </c>
      <c r="W535">
        <v>1.5288999999999999</v>
      </c>
      <c r="X535">
        <v>0</v>
      </c>
    </row>
    <row r="536" spans="1:40" x14ac:dyDescent="0.25">
      <c r="A536" t="s">
        <v>15</v>
      </c>
      <c r="B536" t="s">
        <v>24</v>
      </c>
      <c r="C536">
        <v>20150316</v>
      </c>
      <c r="D536">
        <v>0</v>
      </c>
      <c r="F536">
        <v>62500</v>
      </c>
      <c r="G536" t="s">
        <v>17</v>
      </c>
      <c r="I536" t="s">
        <v>16</v>
      </c>
      <c r="J536" t="s">
        <v>180</v>
      </c>
      <c r="K536" t="s">
        <v>25</v>
      </c>
      <c r="L536">
        <v>132757294</v>
      </c>
      <c r="R536">
        <v>9765</v>
      </c>
      <c r="S536" t="s">
        <v>37</v>
      </c>
      <c r="T536">
        <v>3</v>
      </c>
      <c r="U536">
        <v>0</v>
      </c>
      <c r="V536">
        <v>1.5288999999999999</v>
      </c>
      <c r="W536">
        <v>1.5288999999999999</v>
      </c>
      <c r="X536">
        <v>0</v>
      </c>
    </row>
    <row r="537" spans="1:40" x14ac:dyDescent="0.25">
      <c r="A537" t="s">
        <v>15</v>
      </c>
      <c r="B537" t="s">
        <v>24</v>
      </c>
      <c r="C537">
        <v>20150316</v>
      </c>
      <c r="D537">
        <v>0</v>
      </c>
      <c r="F537">
        <v>62500</v>
      </c>
      <c r="G537" t="s">
        <v>17</v>
      </c>
      <c r="I537" t="s">
        <v>16</v>
      </c>
      <c r="J537" t="s">
        <v>180</v>
      </c>
      <c r="K537" t="s">
        <v>25</v>
      </c>
      <c r="L537">
        <v>132757294</v>
      </c>
      <c r="R537">
        <v>9765</v>
      </c>
      <c r="S537" t="s">
        <v>37</v>
      </c>
      <c r="T537">
        <v>3</v>
      </c>
      <c r="U537">
        <v>0</v>
      </c>
      <c r="V537">
        <v>1.5288999999999999</v>
      </c>
      <c r="W537">
        <v>1.5288999999999999</v>
      </c>
      <c r="X537">
        <v>0</v>
      </c>
    </row>
    <row r="538" spans="1:40" x14ac:dyDescent="0.25">
      <c r="A538" t="s">
        <v>15</v>
      </c>
      <c r="B538" t="s">
        <v>24</v>
      </c>
      <c r="C538">
        <v>20150316</v>
      </c>
      <c r="D538">
        <v>0</v>
      </c>
      <c r="F538">
        <v>62500</v>
      </c>
      <c r="G538" t="s">
        <v>17</v>
      </c>
      <c r="I538" t="s">
        <v>16</v>
      </c>
      <c r="J538" t="s">
        <v>180</v>
      </c>
      <c r="K538" t="s">
        <v>25</v>
      </c>
      <c r="L538">
        <v>132757294</v>
      </c>
      <c r="R538">
        <v>9765</v>
      </c>
      <c r="S538" t="s">
        <v>37</v>
      </c>
      <c r="T538">
        <v>3</v>
      </c>
      <c r="U538">
        <v>0</v>
      </c>
      <c r="V538">
        <v>1.5288999999999999</v>
      </c>
      <c r="W538">
        <v>1.5288999999999999</v>
      </c>
      <c r="X538">
        <v>0</v>
      </c>
    </row>
    <row r="539" spans="1:40" x14ac:dyDescent="0.25">
      <c r="A539" t="s">
        <v>15</v>
      </c>
      <c r="B539" t="s">
        <v>24</v>
      </c>
      <c r="C539">
        <v>20150316</v>
      </c>
      <c r="D539">
        <v>0</v>
      </c>
      <c r="F539">
        <v>62500</v>
      </c>
      <c r="G539" t="s">
        <v>17</v>
      </c>
      <c r="I539" t="s">
        <v>16</v>
      </c>
      <c r="J539" t="s">
        <v>180</v>
      </c>
      <c r="K539" t="s">
        <v>25</v>
      </c>
      <c r="L539">
        <v>132757294</v>
      </c>
      <c r="R539">
        <v>9765</v>
      </c>
      <c r="S539" t="s">
        <v>37</v>
      </c>
      <c r="T539">
        <v>3</v>
      </c>
      <c r="U539">
        <v>0</v>
      </c>
      <c r="V539">
        <v>1.5288999999999999</v>
      </c>
      <c r="W539">
        <v>1.5288999999999999</v>
      </c>
      <c r="X539">
        <v>0</v>
      </c>
    </row>
    <row r="540" spans="1:40" x14ac:dyDescent="0.25">
      <c r="A540" t="s">
        <v>15</v>
      </c>
      <c r="B540" t="s">
        <v>24</v>
      </c>
      <c r="C540">
        <v>20150316</v>
      </c>
      <c r="D540">
        <v>0</v>
      </c>
      <c r="F540">
        <v>62500</v>
      </c>
      <c r="G540" t="s">
        <v>17</v>
      </c>
      <c r="I540" t="s">
        <v>16</v>
      </c>
      <c r="J540" t="s">
        <v>180</v>
      </c>
      <c r="K540" t="s">
        <v>25</v>
      </c>
      <c r="L540">
        <v>132757294</v>
      </c>
      <c r="R540">
        <v>9765</v>
      </c>
      <c r="S540" t="s">
        <v>37</v>
      </c>
      <c r="T540">
        <v>3</v>
      </c>
      <c r="U540">
        <v>0</v>
      </c>
      <c r="V540">
        <v>1.5288999999999999</v>
      </c>
      <c r="W540">
        <v>1.5288999999999999</v>
      </c>
      <c r="X540">
        <v>0</v>
      </c>
    </row>
    <row r="541" spans="1:40" x14ac:dyDescent="0.25">
      <c r="A541" t="s">
        <v>15</v>
      </c>
      <c r="B541" t="s">
        <v>24</v>
      </c>
      <c r="C541">
        <v>20150316</v>
      </c>
      <c r="D541">
        <v>0</v>
      </c>
      <c r="F541">
        <v>62500</v>
      </c>
      <c r="G541" t="s">
        <v>17</v>
      </c>
      <c r="I541" t="s">
        <v>16</v>
      </c>
      <c r="J541" t="s">
        <v>180</v>
      </c>
      <c r="K541" t="s">
        <v>25</v>
      </c>
      <c r="L541">
        <v>132757294</v>
      </c>
      <c r="R541">
        <v>9765</v>
      </c>
      <c r="S541" t="s">
        <v>37</v>
      </c>
      <c r="T541">
        <v>3</v>
      </c>
      <c r="U541">
        <v>0</v>
      </c>
      <c r="V541">
        <v>1.5288999999999999</v>
      </c>
      <c r="W541">
        <v>1.5288999999999999</v>
      </c>
      <c r="X541">
        <v>0</v>
      </c>
    </row>
    <row r="542" spans="1:40" x14ac:dyDescent="0.25">
      <c r="A542" t="s">
        <v>15</v>
      </c>
      <c r="B542" t="s">
        <v>24</v>
      </c>
      <c r="C542">
        <v>20150316</v>
      </c>
      <c r="D542">
        <v>0</v>
      </c>
      <c r="F542">
        <v>62500</v>
      </c>
      <c r="G542" t="s">
        <v>17</v>
      </c>
      <c r="I542" t="s">
        <v>16</v>
      </c>
      <c r="J542" t="s">
        <v>180</v>
      </c>
      <c r="K542" t="s">
        <v>25</v>
      </c>
      <c r="L542">
        <v>132757294</v>
      </c>
      <c r="R542">
        <v>9765</v>
      </c>
      <c r="S542" t="s">
        <v>37</v>
      </c>
      <c r="T542">
        <v>3</v>
      </c>
      <c r="U542">
        <v>0</v>
      </c>
      <c r="V542">
        <v>1.5288999999999999</v>
      </c>
      <c r="W542">
        <v>1.5288999999999999</v>
      </c>
      <c r="X542">
        <v>0</v>
      </c>
    </row>
    <row r="543" spans="1:40" x14ac:dyDescent="0.25">
      <c r="A543" t="s">
        <v>15</v>
      </c>
      <c r="B543" t="s">
        <v>24</v>
      </c>
      <c r="C543">
        <v>20150316</v>
      </c>
      <c r="D543">
        <v>0</v>
      </c>
      <c r="F543">
        <v>62500</v>
      </c>
      <c r="G543" t="s">
        <v>17</v>
      </c>
      <c r="I543" t="s">
        <v>16</v>
      </c>
      <c r="J543" t="s">
        <v>180</v>
      </c>
      <c r="K543" t="s">
        <v>25</v>
      </c>
      <c r="L543">
        <v>132757294</v>
      </c>
      <c r="R543">
        <v>9766</v>
      </c>
      <c r="S543" t="s">
        <v>232</v>
      </c>
      <c r="T543">
        <v>0</v>
      </c>
      <c r="U543">
        <v>47</v>
      </c>
      <c r="V543">
        <v>0</v>
      </c>
      <c r="W543">
        <v>0</v>
      </c>
      <c r="X543">
        <v>0</v>
      </c>
    </row>
    <row r="544" spans="1:40" x14ac:dyDescent="0.25">
      <c r="A544" t="s">
        <v>15</v>
      </c>
      <c r="B544" t="s">
        <v>24</v>
      </c>
      <c r="C544">
        <v>20150316</v>
      </c>
      <c r="D544">
        <v>0</v>
      </c>
      <c r="F544">
        <v>62500</v>
      </c>
      <c r="G544" t="s">
        <v>17</v>
      </c>
      <c r="I544" t="s">
        <v>16</v>
      </c>
      <c r="J544" t="s">
        <v>180</v>
      </c>
      <c r="K544" t="s">
        <v>25</v>
      </c>
      <c r="L544">
        <v>132757294</v>
      </c>
      <c r="R544">
        <v>9761</v>
      </c>
      <c r="S544" t="s">
        <v>223</v>
      </c>
      <c r="T544">
        <v>0</v>
      </c>
      <c r="U544">
        <v>40</v>
      </c>
      <c r="V544">
        <v>0</v>
      </c>
      <c r="W544">
        <v>0</v>
      </c>
      <c r="X544">
        <v>0</v>
      </c>
    </row>
    <row r="545" spans="1:24" x14ac:dyDescent="0.25">
      <c r="A545" t="s">
        <v>15</v>
      </c>
      <c r="B545" t="s">
        <v>24</v>
      </c>
      <c r="C545">
        <v>20150316</v>
      </c>
      <c r="D545">
        <v>0</v>
      </c>
      <c r="F545">
        <v>62500</v>
      </c>
      <c r="G545" t="s">
        <v>17</v>
      </c>
      <c r="I545" t="s">
        <v>16</v>
      </c>
      <c r="J545" t="s">
        <v>180</v>
      </c>
      <c r="K545" t="s">
        <v>25</v>
      </c>
      <c r="L545">
        <v>132757294</v>
      </c>
      <c r="R545">
        <v>9761</v>
      </c>
      <c r="S545" t="s">
        <v>224</v>
      </c>
      <c r="T545">
        <v>0</v>
      </c>
      <c r="U545">
        <v>40</v>
      </c>
      <c r="V545">
        <v>0</v>
      </c>
      <c r="W545">
        <v>0</v>
      </c>
      <c r="X545">
        <v>0</v>
      </c>
    </row>
    <row r="546" spans="1:24" x14ac:dyDescent="0.25">
      <c r="A546" t="s">
        <v>15</v>
      </c>
      <c r="B546" t="s">
        <v>24</v>
      </c>
      <c r="C546">
        <v>20150316</v>
      </c>
      <c r="D546">
        <v>0</v>
      </c>
      <c r="F546">
        <v>62500</v>
      </c>
      <c r="G546" t="s">
        <v>17</v>
      </c>
      <c r="I546" t="s">
        <v>16</v>
      </c>
      <c r="J546" t="s">
        <v>180</v>
      </c>
      <c r="K546" t="s">
        <v>25</v>
      </c>
      <c r="L546">
        <v>132757294</v>
      </c>
      <c r="R546">
        <v>9764</v>
      </c>
      <c r="S546" t="s">
        <v>223</v>
      </c>
      <c r="T546">
        <v>0</v>
      </c>
      <c r="U546">
        <v>42</v>
      </c>
      <c r="V546">
        <v>0</v>
      </c>
      <c r="W546">
        <v>0</v>
      </c>
      <c r="X546">
        <v>0</v>
      </c>
    </row>
    <row r="547" spans="1:24" x14ac:dyDescent="0.25">
      <c r="A547" t="s">
        <v>15</v>
      </c>
      <c r="B547" t="s">
        <v>24</v>
      </c>
      <c r="C547">
        <v>20150316</v>
      </c>
      <c r="D547">
        <v>0</v>
      </c>
      <c r="F547">
        <v>62500</v>
      </c>
      <c r="G547" t="s">
        <v>17</v>
      </c>
      <c r="I547" t="s">
        <v>16</v>
      </c>
      <c r="J547" t="s">
        <v>180</v>
      </c>
      <c r="K547" t="s">
        <v>25</v>
      </c>
      <c r="L547">
        <v>132757294</v>
      </c>
      <c r="R547">
        <v>9764</v>
      </c>
      <c r="S547" t="s">
        <v>224</v>
      </c>
      <c r="T547">
        <v>0</v>
      </c>
      <c r="U547">
        <v>42</v>
      </c>
      <c r="V547">
        <v>0</v>
      </c>
      <c r="W547">
        <v>0</v>
      </c>
      <c r="X547">
        <v>0</v>
      </c>
    </row>
    <row r="548" spans="1:24" x14ac:dyDescent="0.25">
      <c r="A548" t="s">
        <v>15</v>
      </c>
      <c r="B548" t="s">
        <v>24</v>
      </c>
      <c r="C548">
        <v>20150316</v>
      </c>
      <c r="D548">
        <v>0</v>
      </c>
      <c r="F548">
        <v>62500</v>
      </c>
      <c r="G548" t="s">
        <v>17</v>
      </c>
      <c r="I548" t="s">
        <v>16</v>
      </c>
      <c r="J548" t="s">
        <v>180</v>
      </c>
      <c r="K548" t="s">
        <v>25</v>
      </c>
      <c r="L548">
        <v>132757294</v>
      </c>
      <c r="R548">
        <v>9766</v>
      </c>
      <c r="S548" t="s">
        <v>232</v>
      </c>
      <c r="T548">
        <v>0</v>
      </c>
      <c r="U548">
        <v>47</v>
      </c>
      <c r="V548">
        <v>0</v>
      </c>
      <c r="W548">
        <v>0</v>
      </c>
      <c r="X548">
        <v>0</v>
      </c>
    </row>
    <row r="549" spans="1:24" x14ac:dyDescent="0.25">
      <c r="A549" t="s">
        <v>15</v>
      </c>
      <c r="B549" t="s">
        <v>24</v>
      </c>
      <c r="C549">
        <v>20150316</v>
      </c>
      <c r="D549">
        <v>0</v>
      </c>
      <c r="F549">
        <v>62500</v>
      </c>
      <c r="G549" t="s">
        <v>17</v>
      </c>
      <c r="I549" t="s">
        <v>16</v>
      </c>
      <c r="J549" t="s">
        <v>180</v>
      </c>
      <c r="K549" t="s">
        <v>25</v>
      </c>
      <c r="L549">
        <v>132757294</v>
      </c>
      <c r="R549">
        <v>9766</v>
      </c>
      <c r="S549" t="s">
        <v>192</v>
      </c>
      <c r="T549">
        <v>0</v>
      </c>
      <c r="U549">
        <v>47</v>
      </c>
      <c r="V549">
        <v>0</v>
      </c>
      <c r="W549">
        <v>0</v>
      </c>
      <c r="X549">
        <v>0</v>
      </c>
    </row>
    <row r="550" spans="1:24" x14ac:dyDescent="0.25">
      <c r="A550" t="s">
        <v>15</v>
      </c>
      <c r="B550" t="s">
        <v>24</v>
      </c>
      <c r="C550">
        <v>20150316</v>
      </c>
      <c r="D550">
        <v>0</v>
      </c>
      <c r="F550">
        <v>62500</v>
      </c>
      <c r="G550" t="s">
        <v>17</v>
      </c>
      <c r="I550" t="s">
        <v>16</v>
      </c>
      <c r="J550" t="s">
        <v>180</v>
      </c>
      <c r="K550" t="s">
        <v>25</v>
      </c>
      <c r="L550">
        <v>132757294</v>
      </c>
      <c r="R550">
        <v>9767</v>
      </c>
      <c r="S550" t="s">
        <v>232</v>
      </c>
      <c r="T550">
        <v>0</v>
      </c>
      <c r="U550">
        <v>-46</v>
      </c>
      <c r="V550">
        <v>0</v>
      </c>
      <c r="W550">
        <v>0</v>
      </c>
      <c r="X550">
        <v>0</v>
      </c>
    </row>
    <row r="551" spans="1:24" x14ac:dyDescent="0.25">
      <c r="A551" t="s">
        <v>15</v>
      </c>
      <c r="B551" t="s">
        <v>24</v>
      </c>
      <c r="C551">
        <v>20150316</v>
      </c>
      <c r="D551">
        <v>0</v>
      </c>
      <c r="F551">
        <v>62500</v>
      </c>
      <c r="G551" t="s">
        <v>17</v>
      </c>
      <c r="I551" t="s">
        <v>16</v>
      </c>
      <c r="J551" t="s">
        <v>180</v>
      </c>
      <c r="K551" t="s">
        <v>25</v>
      </c>
      <c r="L551">
        <v>132757294</v>
      </c>
      <c r="R551">
        <v>9767</v>
      </c>
      <c r="S551" t="s">
        <v>232</v>
      </c>
      <c r="T551">
        <v>0</v>
      </c>
      <c r="U551">
        <v>-46</v>
      </c>
      <c r="V551">
        <v>0</v>
      </c>
      <c r="W551">
        <v>0</v>
      </c>
      <c r="X551">
        <v>0</v>
      </c>
    </row>
    <row r="552" spans="1:24" x14ac:dyDescent="0.25">
      <c r="A552" t="s">
        <v>15</v>
      </c>
      <c r="B552" t="s">
        <v>24</v>
      </c>
      <c r="C552">
        <v>20150316</v>
      </c>
      <c r="D552">
        <v>0</v>
      </c>
      <c r="F552">
        <v>62500</v>
      </c>
      <c r="G552" t="s">
        <v>17</v>
      </c>
      <c r="I552" t="s">
        <v>16</v>
      </c>
      <c r="J552" t="s">
        <v>180</v>
      </c>
      <c r="K552" t="s">
        <v>25</v>
      </c>
      <c r="L552">
        <v>132757294</v>
      </c>
      <c r="R552">
        <v>9767</v>
      </c>
      <c r="S552" t="s">
        <v>192</v>
      </c>
      <c r="T552">
        <v>0</v>
      </c>
      <c r="U552">
        <v>46</v>
      </c>
      <c r="V552">
        <v>0</v>
      </c>
      <c r="W552">
        <v>0</v>
      </c>
      <c r="X552">
        <v>0</v>
      </c>
    </row>
    <row r="553" spans="1:24" x14ac:dyDescent="0.25">
      <c r="A553" t="s">
        <v>15</v>
      </c>
      <c r="B553" t="s">
        <v>24</v>
      </c>
      <c r="C553">
        <v>20150316</v>
      </c>
      <c r="D553">
        <v>0</v>
      </c>
      <c r="F553">
        <v>62500</v>
      </c>
      <c r="G553" t="s">
        <v>17</v>
      </c>
      <c r="I553" t="s">
        <v>16</v>
      </c>
      <c r="J553" t="s">
        <v>180</v>
      </c>
      <c r="K553" t="s">
        <v>25</v>
      </c>
      <c r="L553">
        <v>132757294</v>
      </c>
      <c r="R553">
        <v>9768</v>
      </c>
      <c r="S553" t="s">
        <v>232</v>
      </c>
      <c r="T553">
        <v>0</v>
      </c>
      <c r="U553">
        <v>-49</v>
      </c>
      <c r="V553">
        <v>0</v>
      </c>
      <c r="W553">
        <v>0</v>
      </c>
      <c r="X553">
        <v>0</v>
      </c>
    </row>
    <row r="554" spans="1:24" x14ac:dyDescent="0.25">
      <c r="A554" t="s">
        <v>15</v>
      </c>
      <c r="B554" t="s">
        <v>24</v>
      </c>
      <c r="C554">
        <v>20150316</v>
      </c>
      <c r="D554">
        <v>0</v>
      </c>
      <c r="F554">
        <v>62500</v>
      </c>
      <c r="G554" t="s">
        <v>17</v>
      </c>
      <c r="I554" t="s">
        <v>16</v>
      </c>
      <c r="J554" t="s">
        <v>180</v>
      </c>
      <c r="K554" t="s">
        <v>25</v>
      </c>
      <c r="L554">
        <v>132757294</v>
      </c>
      <c r="R554">
        <v>9767</v>
      </c>
      <c r="S554" t="s">
        <v>223</v>
      </c>
      <c r="T554">
        <v>0</v>
      </c>
      <c r="U554">
        <v>46</v>
      </c>
      <c r="V554">
        <v>0</v>
      </c>
      <c r="W554">
        <v>0</v>
      </c>
      <c r="X554">
        <v>0</v>
      </c>
    </row>
    <row r="555" spans="1:24" x14ac:dyDescent="0.25">
      <c r="A555" t="s">
        <v>15</v>
      </c>
      <c r="B555" t="s">
        <v>24</v>
      </c>
      <c r="C555">
        <v>20150316</v>
      </c>
      <c r="D555">
        <v>0</v>
      </c>
      <c r="F555">
        <v>62500</v>
      </c>
      <c r="G555" t="s">
        <v>17</v>
      </c>
      <c r="I555" t="s">
        <v>16</v>
      </c>
      <c r="J555" t="s">
        <v>180</v>
      </c>
      <c r="K555" t="s">
        <v>25</v>
      </c>
      <c r="L555">
        <v>132757294</v>
      </c>
      <c r="R555">
        <v>9767</v>
      </c>
      <c r="S555" t="s">
        <v>224</v>
      </c>
      <c r="T555">
        <v>0</v>
      </c>
      <c r="U555">
        <v>46</v>
      </c>
      <c r="V555">
        <v>0</v>
      </c>
      <c r="W555">
        <v>0</v>
      </c>
      <c r="X555">
        <v>0</v>
      </c>
    </row>
    <row r="556" spans="1:24" x14ac:dyDescent="0.25">
      <c r="A556" t="s">
        <v>15</v>
      </c>
      <c r="B556" t="s">
        <v>24</v>
      </c>
      <c r="C556">
        <v>20150316</v>
      </c>
      <c r="D556">
        <v>0</v>
      </c>
      <c r="F556">
        <v>62500</v>
      </c>
      <c r="G556" t="s">
        <v>17</v>
      </c>
      <c r="I556" t="s">
        <v>16</v>
      </c>
      <c r="J556" t="s">
        <v>180</v>
      </c>
      <c r="K556" t="s">
        <v>25</v>
      </c>
      <c r="L556">
        <v>132757294</v>
      </c>
      <c r="R556">
        <v>9768</v>
      </c>
      <c r="S556" t="s">
        <v>232</v>
      </c>
      <c r="T556">
        <v>0</v>
      </c>
      <c r="U556">
        <v>-49</v>
      </c>
      <c r="V556">
        <v>0</v>
      </c>
      <c r="W556">
        <v>0</v>
      </c>
      <c r="X556">
        <v>0</v>
      </c>
    </row>
    <row r="557" spans="1:24" x14ac:dyDescent="0.25">
      <c r="A557" t="s">
        <v>15</v>
      </c>
      <c r="B557" t="s">
        <v>24</v>
      </c>
      <c r="C557">
        <v>20150316</v>
      </c>
      <c r="D557">
        <v>0</v>
      </c>
      <c r="F557">
        <v>62500</v>
      </c>
      <c r="G557" t="s">
        <v>17</v>
      </c>
      <c r="I557" t="s">
        <v>16</v>
      </c>
      <c r="J557" t="s">
        <v>180</v>
      </c>
      <c r="K557" t="s">
        <v>25</v>
      </c>
      <c r="L557">
        <v>132757294</v>
      </c>
      <c r="R557">
        <v>9768</v>
      </c>
      <c r="S557" t="s">
        <v>192</v>
      </c>
      <c r="T557">
        <v>0</v>
      </c>
      <c r="U557">
        <v>49</v>
      </c>
      <c r="V557">
        <v>0</v>
      </c>
      <c r="W557">
        <v>0</v>
      </c>
      <c r="X557">
        <v>0</v>
      </c>
    </row>
    <row r="558" spans="1:24" x14ac:dyDescent="0.25">
      <c r="A558" t="s">
        <v>15</v>
      </c>
      <c r="B558" t="s">
        <v>24</v>
      </c>
      <c r="C558">
        <v>20150316</v>
      </c>
      <c r="D558">
        <v>0</v>
      </c>
      <c r="F558">
        <v>62500</v>
      </c>
      <c r="G558" t="s">
        <v>17</v>
      </c>
      <c r="I558" t="s">
        <v>16</v>
      </c>
      <c r="J558" t="s">
        <v>180</v>
      </c>
      <c r="K558" t="s">
        <v>25</v>
      </c>
      <c r="L558">
        <v>132757294</v>
      </c>
      <c r="R558">
        <v>9769</v>
      </c>
      <c r="S558" t="s">
        <v>232</v>
      </c>
      <c r="T558">
        <v>0</v>
      </c>
      <c r="U558">
        <v>-46</v>
      </c>
      <c r="V558">
        <v>0</v>
      </c>
      <c r="W558">
        <v>0</v>
      </c>
      <c r="X558">
        <v>0</v>
      </c>
    </row>
    <row r="559" spans="1:24" x14ac:dyDescent="0.25">
      <c r="A559" t="s">
        <v>15</v>
      </c>
      <c r="B559" t="s">
        <v>24</v>
      </c>
      <c r="C559">
        <v>20150316</v>
      </c>
      <c r="D559">
        <v>0</v>
      </c>
      <c r="F559">
        <v>62500</v>
      </c>
      <c r="G559" t="s">
        <v>17</v>
      </c>
      <c r="I559" t="s">
        <v>16</v>
      </c>
      <c r="J559" t="s">
        <v>180</v>
      </c>
      <c r="K559" t="s">
        <v>25</v>
      </c>
      <c r="L559">
        <v>132757294</v>
      </c>
      <c r="R559">
        <v>9768</v>
      </c>
      <c r="S559" t="s">
        <v>223</v>
      </c>
      <c r="T559">
        <v>0</v>
      </c>
      <c r="U559">
        <v>49</v>
      </c>
      <c r="V559">
        <v>0</v>
      </c>
      <c r="W559">
        <v>0</v>
      </c>
      <c r="X559">
        <v>0</v>
      </c>
    </row>
    <row r="560" spans="1:24" x14ac:dyDescent="0.25">
      <c r="A560" t="s">
        <v>15</v>
      </c>
      <c r="B560" t="s">
        <v>24</v>
      </c>
      <c r="C560">
        <v>20150316</v>
      </c>
      <c r="D560">
        <v>0</v>
      </c>
      <c r="F560">
        <v>62500</v>
      </c>
      <c r="G560" t="s">
        <v>17</v>
      </c>
      <c r="I560" t="s">
        <v>16</v>
      </c>
      <c r="J560" t="s">
        <v>180</v>
      </c>
      <c r="K560" t="s">
        <v>25</v>
      </c>
      <c r="L560">
        <v>132757294</v>
      </c>
      <c r="R560">
        <v>9768</v>
      </c>
      <c r="S560" t="s">
        <v>224</v>
      </c>
      <c r="T560">
        <v>0</v>
      </c>
      <c r="U560">
        <v>49</v>
      </c>
      <c r="V560">
        <v>0</v>
      </c>
      <c r="W560">
        <v>0</v>
      </c>
      <c r="X560">
        <v>0</v>
      </c>
    </row>
    <row r="561" spans="1:24" x14ac:dyDescent="0.25">
      <c r="A561" t="s">
        <v>15</v>
      </c>
      <c r="B561" t="s">
        <v>24</v>
      </c>
      <c r="C561">
        <v>20150316</v>
      </c>
      <c r="D561">
        <v>0</v>
      </c>
      <c r="F561">
        <v>62500</v>
      </c>
      <c r="G561" t="s">
        <v>17</v>
      </c>
      <c r="I561" t="s">
        <v>16</v>
      </c>
      <c r="J561" t="s">
        <v>180</v>
      </c>
      <c r="K561" t="s">
        <v>25</v>
      </c>
      <c r="L561">
        <v>132757294</v>
      </c>
      <c r="R561">
        <v>9769</v>
      </c>
      <c r="S561" t="s">
        <v>232</v>
      </c>
      <c r="T561">
        <v>0</v>
      </c>
      <c r="U561">
        <v>-46</v>
      </c>
      <c r="V561">
        <v>0</v>
      </c>
      <c r="W561">
        <v>0</v>
      </c>
      <c r="X561">
        <v>0</v>
      </c>
    </row>
    <row r="562" spans="1:24" x14ac:dyDescent="0.25">
      <c r="A562" t="s">
        <v>15</v>
      </c>
      <c r="B562" t="s">
        <v>24</v>
      </c>
      <c r="C562">
        <v>20150316</v>
      </c>
      <c r="D562">
        <v>0</v>
      </c>
      <c r="F562">
        <v>62500</v>
      </c>
      <c r="G562" t="s">
        <v>17</v>
      </c>
      <c r="I562" t="s">
        <v>16</v>
      </c>
      <c r="J562" t="s">
        <v>180</v>
      </c>
      <c r="K562" t="s">
        <v>25</v>
      </c>
      <c r="L562">
        <v>132757294</v>
      </c>
      <c r="R562">
        <v>9769</v>
      </c>
      <c r="S562" t="s">
        <v>192</v>
      </c>
      <c r="T562">
        <v>0</v>
      </c>
      <c r="U562">
        <v>46</v>
      </c>
      <c r="V562">
        <v>0</v>
      </c>
      <c r="W562">
        <v>0</v>
      </c>
      <c r="X562">
        <v>0</v>
      </c>
    </row>
    <row r="563" spans="1:24" x14ac:dyDescent="0.25">
      <c r="A563" t="s">
        <v>15</v>
      </c>
      <c r="B563" t="s">
        <v>24</v>
      </c>
      <c r="C563">
        <v>20150316</v>
      </c>
      <c r="D563">
        <v>0</v>
      </c>
      <c r="F563">
        <v>62500</v>
      </c>
      <c r="G563" t="s">
        <v>17</v>
      </c>
      <c r="I563" t="s">
        <v>16</v>
      </c>
      <c r="J563" t="s">
        <v>180</v>
      </c>
      <c r="K563" t="s">
        <v>25</v>
      </c>
      <c r="L563">
        <v>132757294</v>
      </c>
      <c r="R563">
        <v>9770</v>
      </c>
      <c r="S563" t="s">
        <v>232</v>
      </c>
      <c r="T563">
        <v>0</v>
      </c>
      <c r="U563">
        <v>46</v>
      </c>
      <c r="V563">
        <v>0</v>
      </c>
      <c r="W563">
        <v>0</v>
      </c>
      <c r="X563">
        <v>0</v>
      </c>
    </row>
    <row r="564" spans="1:24" x14ac:dyDescent="0.25">
      <c r="A564" t="s">
        <v>15</v>
      </c>
      <c r="B564" t="s">
        <v>24</v>
      </c>
      <c r="C564">
        <v>20150316</v>
      </c>
      <c r="D564">
        <v>0</v>
      </c>
      <c r="F564">
        <v>62500</v>
      </c>
      <c r="G564" t="s">
        <v>17</v>
      </c>
      <c r="I564" t="s">
        <v>16</v>
      </c>
      <c r="J564" t="s">
        <v>180</v>
      </c>
      <c r="K564" t="s">
        <v>25</v>
      </c>
      <c r="L564">
        <v>132757294</v>
      </c>
      <c r="R564">
        <v>9766</v>
      </c>
      <c r="S564" t="s">
        <v>223</v>
      </c>
      <c r="T564">
        <v>0</v>
      </c>
      <c r="U564">
        <v>47</v>
      </c>
      <c r="V564">
        <v>0</v>
      </c>
      <c r="W564">
        <v>0</v>
      </c>
      <c r="X564">
        <v>0</v>
      </c>
    </row>
    <row r="565" spans="1:24" x14ac:dyDescent="0.25">
      <c r="A565" t="s">
        <v>15</v>
      </c>
      <c r="B565" t="s">
        <v>24</v>
      </c>
      <c r="C565">
        <v>20150316</v>
      </c>
      <c r="D565">
        <v>0</v>
      </c>
      <c r="F565">
        <v>62500</v>
      </c>
      <c r="G565" t="s">
        <v>17</v>
      </c>
      <c r="I565" t="s">
        <v>16</v>
      </c>
      <c r="J565" t="s">
        <v>180</v>
      </c>
      <c r="K565" t="s">
        <v>25</v>
      </c>
      <c r="L565">
        <v>132757294</v>
      </c>
      <c r="R565">
        <v>9766</v>
      </c>
      <c r="S565" t="s">
        <v>224</v>
      </c>
      <c r="T565">
        <v>0</v>
      </c>
      <c r="U565">
        <v>47</v>
      </c>
      <c r="V565">
        <v>0</v>
      </c>
      <c r="W565">
        <v>0</v>
      </c>
      <c r="X565">
        <v>0</v>
      </c>
    </row>
    <row r="566" spans="1:24" x14ac:dyDescent="0.25">
      <c r="A566" t="s">
        <v>15</v>
      </c>
      <c r="B566" t="s">
        <v>24</v>
      </c>
      <c r="C566">
        <v>20150316</v>
      </c>
      <c r="D566">
        <v>0</v>
      </c>
      <c r="F566">
        <v>62500</v>
      </c>
      <c r="G566" t="s">
        <v>17</v>
      </c>
      <c r="I566" t="s">
        <v>16</v>
      </c>
      <c r="J566" t="s">
        <v>180</v>
      </c>
      <c r="K566" t="s">
        <v>25</v>
      </c>
      <c r="L566">
        <v>132757294</v>
      </c>
      <c r="R566">
        <v>9769</v>
      </c>
      <c r="S566" t="s">
        <v>223</v>
      </c>
      <c r="T566">
        <v>0</v>
      </c>
      <c r="U566">
        <v>46</v>
      </c>
      <c r="V566">
        <v>0</v>
      </c>
      <c r="W566">
        <v>0</v>
      </c>
      <c r="X566">
        <v>0</v>
      </c>
    </row>
    <row r="567" spans="1:24" x14ac:dyDescent="0.25">
      <c r="A567" t="s">
        <v>15</v>
      </c>
      <c r="B567" t="s">
        <v>24</v>
      </c>
      <c r="C567">
        <v>20150316</v>
      </c>
      <c r="D567">
        <v>0</v>
      </c>
      <c r="F567">
        <v>62500</v>
      </c>
      <c r="G567" t="s">
        <v>17</v>
      </c>
      <c r="I567" t="s">
        <v>16</v>
      </c>
      <c r="J567" t="s">
        <v>180</v>
      </c>
      <c r="K567" t="s">
        <v>25</v>
      </c>
      <c r="L567">
        <v>132757294</v>
      </c>
      <c r="R567">
        <v>9769</v>
      </c>
      <c r="S567" t="s">
        <v>224</v>
      </c>
      <c r="T567">
        <v>0</v>
      </c>
      <c r="U567">
        <v>46</v>
      </c>
      <c r="V567">
        <v>0</v>
      </c>
      <c r="W567">
        <v>0</v>
      </c>
      <c r="X567">
        <v>0</v>
      </c>
    </row>
    <row r="568" spans="1:24" x14ac:dyDescent="0.25">
      <c r="A568" t="s">
        <v>15</v>
      </c>
      <c r="B568" t="s">
        <v>24</v>
      </c>
      <c r="C568">
        <v>20150316</v>
      </c>
      <c r="D568">
        <v>0</v>
      </c>
      <c r="F568">
        <v>62500</v>
      </c>
      <c r="G568" t="s">
        <v>17</v>
      </c>
      <c r="I568" t="s">
        <v>16</v>
      </c>
      <c r="J568" t="s">
        <v>180</v>
      </c>
      <c r="K568" t="s">
        <v>25</v>
      </c>
      <c r="L568">
        <v>132757294</v>
      </c>
      <c r="R568">
        <v>9770</v>
      </c>
      <c r="S568" t="s">
        <v>232</v>
      </c>
      <c r="T568">
        <v>0</v>
      </c>
      <c r="U568">
        <v>46</v>
      </c>
      <c r="V568">
        <v>0</v>
      </c>
      <c r="W568">
        <v>0</v>
      </c>
      <c r="X568">
        <v>0</v>
      </c>
    </row>
    <row r="569" spans="1:24" x14ac:dyDescent="0.25">
      <c r="A569" t="s">
        <v>15</v>
      </c>
      <c r="B569" t="s">
        <v>24</v>
      </c>
      <c r="C569">
        <v>20150316</v>
      </c>
      <c r="D569">
        <v>0</v>
      </c>
      <c r="F569">
        <v>62500</v>
      </c>
      <c r="G569" t="s">
        <v>17</v>
      </c>
      <c r="I569" t="s">
        <v>16</v>
      </c>
      <c r="J569" t="s">
        <v>180</v>
      </c>
      <c r="K569" t="s">
        <v>25</v>
      </c>
      <c r="L569">
        <v>132757294</v>
      </c>
      <c r="R569">
        <v>9770</v>
      </c>
      <c r="S569" t="s">
        <v>192</v>
      </c>
      <c r="T569">
        <v>0</v>
      </c>
      <c r="U569">
        <v>46</v>
      </c>
      <c r="V569">
        <v>0</v>
      </c>
      <c r="W569">
        <v>0</v>
      </c>
      <c r="X569">
        <v>0</v>
      </c>
    </row>
    <row r="570" spans="1:24" x14ac:dyDescent="0.25">
      <c r="A570" t="s">
        <v>15</v>
      </c>
      <c r="B570" t="s">
        <v>24</v>
      </c>
      <c r="C570">
        <v>20150316</v>
      </c>
      <c r="D570">
        <v>0</v>
      </c>
      <c r="F570">
        <v>62500</v>
      </c>
      <c r="G570" t="s">
        <v>17</v>
      </c>
      <c r="I570" t="s">
        <v>16</v>
      </c>
      <c r="J570" t="s">
        <v>180</v>
      </c>
      <c r="K570" t="s">
        <v>25</v>
      </c>
      <c r="L570">
        <v>132757294</v>
      </c>
      <c r="R570">
        <v>9771</v>
      </c>
      <c r="S570" t="s">
        <v>232</v>
      </c>
      <c r="T570">
        <v>0</v>
      </c>
      <c r="U570">
        <v>47</v>
      </c>
      <c r="V570">
        <v>0</v>
      </c>
      <c r="W570">
        <v>0</v>
      </c>
      <c r="X570">
        <v>0</v>
      </c>
    </row>
    <row r="571" spans="1:24" x14ac:dyDescent="0.25">
      <c r="A571" t="s">
        <v>15</v>
      </c>
      <c r="B571" t="s">
        <v>24</v>
      </c>
      <c r="C571">
        <v>20150316</v>
      </c>
      <c r="D571">
        <v>0</v>
      </c>
      <c r="F571">
        <v>62500</v>
      </c>
      <c r="G571" t="s">
        <v>17</v>
      </c>
      <c r="I571" t="s">
        <v>16</v>
      </c>
      <c r="J571" t="s">
        <v>180</v>
      </c>
      <c r="K571" t="s">
        <v>25</v>
      </c>
      <c r="L571">
        <v>132757294</v>
      </c>
      <c r="R571">
        <v>9770</v>
      </c>
      <c r="S571" t="s">
        <v>223</v>
      </c>
      <c r="T571">
        <v>0</v>
      </c>
      <c r="U571">
        <v>46</v>
      </c>
      <c r="V571">
        <v>0</v>
      </c>
      <c r="W571">
        <v>0</v>
      </c>
      <c r="X571">
        <v>0</v>
      </c>
    </row>
    <row r="572" spans="1:24" x14ac:dyDescent="0.25">
      <c r="A572" t="s">
        <v>15</v>
      </c>
      <c r="B572" t="s">
        <v>24</v>
      </c>
      <c r="C572">
        <v>20150316</v>
      </c>
      <c r="D572">
        <v>0</v>
      </c>
      <c r="F572">
        <v>62500</v>
      </c>
      <c r="G572" t="s">
        <v>17</v>
      </c>
      <c r="I572" t="s">
        <v>16</v>
      </c>
      <c r="J572" t="s">
        <v>180</v>
      </c>
      <c r="K572" t="s">
        <v>25</v>
      </c>
      <c r="L572">
        <v>132757294</v>
      </c>
      <c r="R572">
        <v>9770</v>
      </c>
      <c r="S572" t="s">
        <v>224</v>
      </c>
      <c r="T572">
        <v>0</v>
      </c>
      <c r="U572">
        <v>46</v>
      </c>
      <c r="V572">
        <v>0</v>
      </c>
      <c r="W572">
        <v>0</v>
      </c>
      <c r="X572">
        <v>0</v>
      </c>
    </row>
    <row r="573" spans="1:24" x14ac:dyDescent="0.25">
      <c r="A573" t="s">
        <v>15</v>
      </c>
      <c r="B573" t="s">
        <v>24</v>
      </c>
      <c r="C573">
        <v>20150316</v>
      </c>
      <c r="D573">
        <v>0</v>
      </c>
      <c r="F573">
        <v>62500</v>
      </c>
      <c r="G573" t="s">
        <v>17</v>
      </c>
      <c r="I573" t="s">
        <v>16</v>
      </c>
      <c r="J573" t="s">
        <v>180</v>
      </c>
      <c r="K573" t="s">
        <v>25</v>
      </c>
      <c r="L573">
        <v>132757294</v>
      </c>
      <c r="R573">
        <v>9771</v>
      </c>
      <c r="S573" t="s">
        <v>232</v>
      </c>
      <c r="T573">
        <v>0</v>
      </c>
      <c r="U573">
        <v>47</v>
      </c>
      <c r="V573">
        <v>0</v>
      </c>
      <c r="W573">
        <v>0</v>
      </c>
      <c r="X573">
        <v>0</v>
      </c>
    </row>
    <row r="574" spans="1:24" x14ac:dyDescent="0.25">
      <c r="A574" t="s">
        <v>15</v>
      </c>
      <c r="B574" t="s">
        <v>24</v>
      </c>
      <c r="C574">
        <v>20150316</v>
      </c>
      <c r="D574">
        <v>0</v>
      </c>
      <c r="F574">
        <v>62500</v>
      </c>
      <c r="G574" t="s">
        <v>17</v>
      </c>
      <c r="I574" t="s">
        <v>16</v>
      </c>
      <c r="J574" t="s">
        <v>180</v>
      </c>
      <c r="K574" t="s">
        <v>25</v>
      </c>
      <c r="L574">
        <v>132757294</v>
      </c>
      <c r="R574">
        <v>9771</v>
      </c>
      <c r="S574" t="s">
        <v>192</v>
      </c>
      <c r="T574">
        <v>0</v>
      </c>
      <c r="U574">
        <v>47</v>
      </c>
      <c r="V574">
        <v>0</v>
      </c>
      <c r="W574">
        <v>0</v>
      </c>
      <c r="X574">
        <v>0</v>
      </c>
    </row>
    <row r="575" spans="1:24" x14ac:dyDescent="0.25">
      <c r="A575" t="s">
        <v>15</v>
      </c>
      <c r="B575" t="s">
        <v>24</v>
      </c>
      <c r="C575">
        <v>20150316</v>
      </c>
      <c r="D575">
        <v>0</v>
      </c>
      <c r="F575">
        <v>62500</v>
      </c>
      <c r="G575" t="s">
        <v>17</v>
      </c>
      <c r="I575" t="s">
        <v>16</v>
      </c>
      <c r="J575" t="s">
        <v>180</v>
      </c>
      <c r="K575" t="s">
        <v>25</v>
      </c>
      <c r="L575">
        <v>132757294</v>
      </c>
      <c r="R575">
        <v>9772</v>
      </c>
      <c r="S575" t="s">
        <v>232</v>
      </c>
      <c r="T575">
        <v>0</v>
      </c>
      <c r="U575">
        <v>-47</v>
      </c>
      <c r="V575">
        <v>0</v>
      </c>
      <c r="W575">
        <v>0</v>
      </c>
      <c r="X575">
        <v>0</v>
      </c>
    </row>
    <row r="576" spans="1:24" x14ac:dyDescent="0.25">
      <c r="A576" t="s">
        <v>15</v>
      </c>
      <c r="B576" t="s">
        <v>24</v>
      </c>
      <c r="C576">
        <v>20150316</v>
      </c>
      <c r="D576">
        <v>0</v>
      </c>
      <c r="F576">
        <v>62500</v>
      </c>
      <c r="G576" t="s">
        <v>17</v>
      </c>
      <c r="I576" t="s">
        <v>16</v>
      </c>
      <c r="J576" t="s">
        <v>180</v>
      </c>
      <c r="K576" t="s">
        <v>25</v>
      </c>
      <c r="L576">
        <v>132757294</v>
      </c>
      <c r="R576">
        <v>9772</v>
      </c>
      <c r="S576" t="s">
        <v>232</v>
      </c>
      <c r="T576">
        <v>0</v>
      </c>
      <c r="U576">
        <v>-47</v>
      </c>
      <c r="V576">
        <v>0</v>
      </c>
      <c r="W576">
        <v>0</v>
      </c>
      <c r="X576">
        <v>0</v>
      </c>
    </row>
    <row r="577" spans="1:24" x14ac:dyDescent="0.25">
      <c r="A577" t="s">
        <v>15</v>
      </c>
      <c r="B577" t="s">
        <v>24</v>
      </c>
      <c r="C577">
        <v>20150316</v>
      </c>
      <c r="D577">
        <v>0</v>
      </c>
      <c r="F577">
        <v>62500</v>
      </c>
      <c r="G577" t="s">
        <v>17</v>
      </c>
      <c r="I577" t="s">
        <v>16</v>
      </c>
      <c r="J577" t="s">
        <v>180</v>
      </c>
      <c r="K577" t="s">
        <v>25</v>
      </c>
      <c r="L577">
        <v>132757294</v>
      </c>
      <c r="R577">
        <v>9772</v>
      </c>
      <c r="S577" t="s">
        <v>192</v>
      </c>
      <c r="T577">
        <v>0</v>
      </c>
      <c r="U577">
        <v>47</v>
      </c>
      <c r="V577">
        <v>0</v>
      </c>
      <c r="W577">
        <v>0</v>
      </c>
      <c r="X577">
        <v>0</v>
      </c>
    </row>
    <row r="578" spans="1:24" x14ac:dyDescent="0.25">
      <c r="A578" t="s">
        <v>15</v>
      </c>
      <c r="B578" t="s">
        <v>24</v>
      </c>
      <c r="C578">
        <v>20150316</v>
      </c>
      <c r="D578">
        <v>0</v>
      </c>
      <c r="F578">
        <v>62500</v>
      </c>
      <c r="G578" t="s">
        <v>17</v>
      </c>
      <c r="I578" t="s">
        <v>16</v>
      </c>
      <c r="J578" t="s">
        <v>180</v>
      </c>
      <c r="K578" t="s">
        <v>25</v>
      </c>
      <c r="L578">
        <v>132757294</v>
      </c>
      <c r="R578">
        <v>9773</v>
      </c>
      <c r="S578" t="s">
        <v>232</v>
      </c>
      <c r="T578">
        <v>0</v>
      </c>
      <c r="U578">
        <v>50</v>
      </c>
      <c r="V578">
        <v>0</v>
      </c>
      <c r="W578">
        <v>0</v>
      </c>
      <c r="X578">
        <v>0</v>
      </c>
    </row>
    <row r="579" spans="1:24" x14ac:dyDescent="0.25">
      <c r="A579" t="s">
        <v>15</v>
      </c>
      <c r="B579" t="s">
        <v>24</v>
      </c>
      <c r="C579">
        <v>20150316</v>
      </c>
      <c r="D579">
        <v>0</v>
      </c>
      <c r="F579">
        <v>62500</v>
      </c>
      <c r="G579" t="s">
        <v>17</v>
      </c>
      <c r="I579" t="s">
        <v>16</v>
      </c>
      <c r="J579" t="s">
        <v>180</v>
      </c>
      <c r="K579" t="s">
        <v>25</v>
      </c>
      <c r="L579">
        <v>132757294</v>
      </c>
      <c r="R579">
        <v>9771</v>
      </c>
      <c r="S579" t="s">
        <v>223</v>
      </c>
      <c r="T579">
        <v>0</v>
      </c>
      <c r="U579">
        <v>47</v>
      </c>
      <c r="V579">
        <v>0</v>
      </c>
      <c r="W579">
        <v>0</v>
      </c>
      <c r="X579">
        <v>0</v>
      </c>
    </row>
    <row r="580" spans="1:24" x14ac:dyDescent="0.25">
      <c r="A580" t="s">
        <v>15</v>
      </c>
      <c r="B580" t="s">
        <v>24</v>
      </c>
      <c r="C580">
        <v>20150316</v>
      </c>
      <c r="D580">
        <v>0</v>
      </c>
      <c r="F580">
        <v>62500</v>
      </c>
      <c r="G580" t="s">
        <v>17</v>
      </c>
      <c r="I580" t="s">
        <v>16</v>
      </c>
      <c r="J580" t="s">
        <v>180</v>
      </c>
      <c r="K580" t="s">
        <v>25</v>
      </c>
      <c r="L580">
        <v>132757294</v>
      </c>
      <c r="R580">
        <v>9771</v>
      </c>
      <c r="S580" t="s">
        <v>224</v>
      </c>
      <c r="T580">
        <v>0</v>
      </c>
      <c r="U580">
        <v>47</v>
      </c>
      <c r="V580">
        <v>0</v>
      </c>
      <c r="W580">
        <v>0</v>
      </c>
      <c r="X580">
        <v>0</v>
      </c>
    </row>
    <row r="581" spans="1:24" x14ac:dyDescent="0.25">
      <c r="A581" t="s">
        <v>15</v>
      </c>
      <c r="B581" t="s">
        <v>24</v>
      </c>
      <c r="C581">
        <v>20150316</v>
      </c>
      <c r="D581">
        <v>0</v>
      </c>
      <c r="F581">
        <v>62500</v>
      </c>
      <c r="G581" t="s">
        <v>17</v>
      </c>
      <c r="I581" t="s">
        <v>16</v>
      </c>
      <c r="J581" t="s">
        <v>180</v>
      </c>
      <c r="K581" t="s">
        <v>25</v>
      </c>
      <c r="L581">
        <v>132757294</v>
      </c>
      <c r="R581">
        <v>9772</v>
      </c>
      <c r="S581" t="s">
        <v>223</v>
      </c>
      <c r="T581">
        <v>0</v>
      </c>
      <c r="U581">
        <v>47</v>
      </c>
      <c r="V581">
        <v>0</v>
      </c>
      <c r="W581">
        <v>0</v>
      </c>
      <c r="X581">
        <v>0</v>
      </c>
    </row>
    <row r="582" spans="1:24" x14ac:dyDescent="0.25">
      <c r="A582" t="s">
        <v>15</v>
      </c>
      <c r="B582" t="s">
        <v>24</v>
      </c>
      <c r="C582">
        <v>20150316</v>
      </c>
      <c r="D582">
        <v>0</v>
      </c>
      <c r="F582">
        <v>62500</v>
      </c>
      <c r="G582" t="s">
        <v>17</v>
      </c>
      <c r="I582" t="s">
        <v>16</v>
      </c>
      <c r="J582" t="s">
        <v>180</v>
      </c>
      <c r="K582" t="s">
        <v>25</v>
      </c>
      <c r="L582">
        <v>132757294</v>
      </c>
      <c r="R582">
        <v>9772</v>
      </c>
      <c r="S582" t="s">
        <v>224</v>
      </c>
      <c r="T582">
        <v>0</v>
      </c>
      <c r="U582">
        <v>47</v>
      </c>
      <c r="V582">
        <v>0</v>
      </c>
      <c r="W582">
        <v>0</v>
      </c>
      <c r="X582">
        <v>0</v>
      </c>
    </row>
    <row r="583" spans="1:24" x14ac:dyDescent="0.25">
      <c r="A583" t="s">
        <v>15</v>
      </c>
      <c r="B583" t="s">
        <v>24</v>
      </c>
      <c r="C583">
        <v>20150316</v>
      </c>
      <c r="D583">
        <v>0</v>
      </c>
      <c r="F583">
        <v>62500</v>
      </c>
      <c r="G583" t="s">
        <v>17</v>
      </c>
      <c r="I583" t="s">
        <v>16</v>
      </c>
      <c r="J583" t="s">
        <v>180</v>
      </c>
      <c r="K583" t="s">
        <v>25</v>
      </c>
      <c r="L583">
        <v>132757294</v>
      </c>
      <c r="R583">
        <v>9773</v>
      </c>
      <c r="S583" t="s">
        <v>232</v>
      </c>
      <c r="T583">
        <v>0</v>
      </c>
      <c r="U583">
        <v>50</v>
      </c>
      <c r="V583">
        <v>0</v>
      </c>
      <c r="W583">
        <v>0</v>
      </c>
      <c r="X583">
        <v>0</v>
      </c>
    </row>
    <row r="584" spans="1:24" x14ac:dyDescent="0.25">
      <c r="A584" t="s">
        <v>15</v>
      </c>
      <c r="B584" t="s">
        <v>24</v>
      </c>
      <c r="C584">
        <v>20150316</v>
      </c>
      <c r="D584">
        <v>0</v>
      </c>
      <c r="F584">
        <v>62500</v>
      </c>
      <c r="G584" t="s">
        <v>17</v>
      </c>
      <c r="I584" t="s">
        <v>16</v>
      </c>
      <c r="J584" t="s">
        <v>180</v>
      </c>
      <c r="K584" t="s">
        <v>25</v>
      </c>
      <c r="L584">
        <v>132757294</v>
      </c>
      <c r="R584">
        <v>9773</v>
      </c>
      <c r="S584" t="s">
        <v>192</v>
      </c>
      <c r="T584">
        <v>0</v>
      </c>
      <c r="U584">
        <v>50</v>
      </c>
      <c r="V584">
        <v>0</v>
      </c>
      <c r="W584">
        <v>0</v>
      </c>
      <c r="X584">
        <v>0</v>
      </c>
    </row>
    <row r="585" spans="1:24" x14ac:dyDescent="0.25">
      <c r="A585" t="s">
        <v>15</v>
      </c>
      <c r="B585" t="s">
        <v>24</v>
      </c>
      <c r="C585">
        <v>20150316</v>
      </c>
      <c r="D585">
        <v>0</v>
      </c>
      <c r="F585">
        <v>62500</v>
      </c>
      <c r="G585" t="s">
        <v>17</v>
      </c>
      <c r="I585" t="s">
        <v>16</v>
      </c>
      <c r="J585" t="s">
        <v>180</v>
      </c>
      <c r="K585" t="s">
        <v>25</v>
      </c>
      <c r="L585">
        <v>132757294</v>
      </c>
      <c r="R585">
        <v>9774</v>
      </c>
      <c r="S585" t="s">
        <v>232</v>
      </c>
      <c r="T585">
        <v>0</v>
      </c>
      <c r="U585">
        <v>-48</v>
      </c>
      <c r="V585">
        <v>0</v>
      </c>
      <c r="W585">
        <v>0</v>
      </c>
      <c r="X585">
        <v>0</v>
      </c>
    </row>
    <row r="586" spans="1:24" x14ac:dyDescent="0.25">
      <c r="A586" t="s">
        <v>15</v>
      </c>
      <c r="B586" t="s">
        <v>24</v>
      </c>
      <c r="C586">
        <v>20150316</v>
      </c>
      <c r="D586">
        <v>0</v>
      </c>
      <c r="F586">
        <v>62500</v>
      </c>
      <c r="G586" t="s">
        <v>17</v>
      </c>
      <c r="I586" t="s">
        <v>16</v>
      </c>
      <c r="J586" t="s">
        <v>180</v>
      </c>
      <c r="K586" t="s">
        <v>25</v>
      </c>
      <c r="L586">
        <v>132757294</v>
      </c>
      <c r="R586">
        <v>9774</v>
      </c>
      <c r="S586" t="s">
        <v>232</v>
      </c>
      <c r="T586">
        <v>0</v>
      </c>
      <c r="U586">
        <v>-48</v>
      </c>
      <c r="V586">
        <v>0</v>
      </c>
      <c r="W586">
        <v>0</v>
      </c>
      <c r="X586">
        <v>0</v>
      </c>
    </row>
    <row r="587" spans="1:24" x14ac:dyDescent="0.25">
      <c r="A587" t="s">
        <v>15</v>
      </c>
      <c r="B587" t="s">
        <v>24</v>
      </c>
      <c r="C587">
        <v>20150316</v>
      </c>
      <c r="D587">
        <v>0</v>
      </c>
      <c r="F587">
        <v>62500</v>
      </c>
      <c r="G587" t="s">
        <v>17</v>
      </c>
      <c r="I587" t="s">
        <v>16</v>
      </c>
      <c r="J587" t="s">
        <v>180</v>
      </c>
      <c r="K587" t="s">
        <v>25</v>
      </c>
      <c r="L587">
        <v>132757294</v>
      </c>
      <c r="R587">
        <v>9774</v>
      </c>
      <c r="S587" t="s">
        <v>192</v>
      </c>
      <c r="T587">
        <v>0</v>
      </c>
      <c r="U587">
        <v>48</v>
      </c>
      <c r="V587">
        <v>0</v>
      </c>
      <c r="W587">
        <v>0</v>
      </c>
      <c r="X587">
        <v>0</v>
      </c>
    </row>
    <row r="588" spans="1:24" x14ac:dyDescent="0.25">
      <c r="A588" t="s">
        <v>15</v>
      </c>
      <c r="B588" t="s">
        <v>24</v>
      </c>
      <c r="C588">
        <v>20150316</v>
      </c>
      <c r="D588">
        <v>0</v>
      </c>
      <c r="F588">
        <v>62500</v>
      </c>
      <c r="G588" t="s">
        <v>17</v>
      </c>
      <c r="I588" t="s">
        <v>16</v>
      </c>
      <c r="J588" t="s">
        <v>180</v>
      </c>
      <c r="K588" t="s">
        <v>25</v>
      </c>
      <c r="L588">
        <v>132757294</v>
      </c>
      <c r="R588">
        <v>9775</v>
      </c>
      <c r="S588" t="s">
        <v>232</v>
      </c>
      <c r="T588">
        <v>0</v>
      </c>
      <c r="U588">
        <v>47</v>
      </c>
      <c r="V588">
        <v>0</v>
      </c>
      <c r="W588">
        <v>0</v>
      </c>
      <c r="X588">
        <v>0</v>
      </c>
    </row>
    <row r="589" spans="1:24" x14ac:dyDescent="0.25">
      <c r="A589" t="s">
        <v>15</v>
      </c>
      <c r="B589" t="s">
        <v>24</v>
      </c>
      <c r="C589">
        <v>20150316</v>
      </c>
      <c r="D589">
        <v>0</v>
      </c>
      <c r="F589">
        <v>62500</v>
      </c>
      <c r="G589" t="s">
        <v>17</v>
      </c>
      <c r="I589" t="s">
        <v>16</v>
      </c>
      <c r="J589" t="s">
        <v>180</v>
      </c>
      <c r="K589" t="s">
        <v>25</v>
      </c>
      <c r="L589">
        <v>132757294</v>
      </c>
      <c r="R589">
        <v>9773</v>
      </c>
      <c r="S589" t="s">
        <v>223</v>
      </c>
      <c r="T589">
        <v>0</v>
      </c>
      <c r="U589">
        <v>50</v>
      </c>
      <c r="V589">
        <v>0</v>
      </c>
      <c r="W589">
        <v>0</v>
      </c>
      <c r="X589">
        <v>0</v>
      </c>
    </row>
    <row r="590" spans="1:24" x14ac:dyDescent="0.25">
      <c r="A590" t="s">
        <v>15</v>
      </c>
      <c r="B590" t="s">
        <v>24</v>
      </c>
      <c r="C590">
        <v>20150316</v>
      </c>
      <c r="D590">
        <v>0</v>
      </c>
      <c r="F590">
        <v>62500</v>
      </c>
      <c r="G590" t="s">
        <v>17</v>
      </c>
      <c r="I590" t="s">
        <v>16</v>
      </c>
      <c r="J590" t="s">
        <v>180</v>
      </c>
      <c r="K590" t="s">
        <v>25</v>
      </c>
      <c r="L590">
        <v>132757294</v>
      </c>
      <c r="R590">
        <v>9773</v>
      </c>
      <c r="S590" t="s">
        <v>224</v>
      </c>
      <c r="T590">
        <v>0</v>
      </c>
      <c r="U590">
        <v>50</v>
      </c>
      <c r="V590">
        <v>0</v>
      </c>
      <c r="W590">
        <v>0</v>
      </c>
      <c r="X590">
        <v>0</v>
      </c>
    </row>
    <row r="591" spans="1:24" x14ac:dyDescent="0.25">
      <c r="A591" t="s">
        <v>15</v>
      </c>
      <c r="B591" t="s">
        <v>24</v>
      </c>
      <c r="C591">
        <v>20150316</v>
      </c>
      <c r="D591">
        <v>0</v>
      </c>
      <c r="F591">
        <v>62500</v>
      </c>
      <c r="G591" t="s">
        <v>17</v>
      </c>
      <c r="I591" t="s">
        <v>16</v>
      </c>
      <c r="J591" t="s">
        <v>180</v>
      </c>
      <c r="K591" t="s">
        <v>25</v>
      </c>
      <c r="L591">
        <v>132757294</v>
      </c>
      <c r="R591">
        <v>9775</v>
      </c>
      <c r="S591" t="s">
        <v>232</v>
      </c>
      <c r="T591">
        <v>0</v>
      </c>
      <c r="U591">
        <v>47</v>
      </c>
      <c r="V591">
        <v>0</v>
      </c>
      <c r="W591">
        <v>0</v>
      </c>
      <c r="X591">
        <v>0</v>
      </c>
    </row>
    <row r="592" spans="1:24" x14ac:dyDescent="0.25">
      <c r="A592" t="s">
        <v>15</v>
      </c>
      <c r="B592" t="s">
        <v>24</v>
      </c>
      <c r="C592">
        <v>20150316</v>
      </c>
      <c r="D592">
        <v>0</v>
      </c>
      <c r="F592">
        <v>62500</v>
      </c>
      <c r="G592" t="s">
        <v>17</v>
      </c>
      <c r="I592" t="s">
        <v>16</v>
      </c>
      <c r="J592" t="s">
        <v>180</v>
      </c>
      <c r="K592" t="s">
        <v>25</v>
      </c>
      <c r="L592">
        <v>132757294</v>
      </c>
      <c r="R592">
        <v>9775</v>
      </c>
      <c r="S592" t="s">
        <v>192</v>
      </c>
      <c r="T592">
        <v>0</v>
      </c>
      <c r="U592">
        <v>47</v>
      </c>
      <c r="V592">
        <v>0</v>
      </c>
      <c r="W592">
        <v>0</v>
      </c>
      <c r="X592">
        <v>0</v>
      </c>
    </row>
    <row r="593" spans="1:24" x14ac:dyDescent="0.25">
      <c r="A593" t="s">
        <v>15</v>
      </c>
      <c r="B593" t="s">
        <v>24</v>
      </c>
      <c r="C593">
        <v>20150316</v>
      </c>
      <c r="D593">
        <v>0</v>
      </c>
      <c r="F593">
        <v>62500</v>
      </c>
      <c r="G593" t="s">
        <v>17</v>
      </c>
      <c r="I593" t="s">
        <v>16</v>
      </c>
      <c r="J593" t="s">
        <v>180</v>
      </c>
      <c r="K593" t="s">
        <v>25</v>
      </c>
      <c r="L593">
        <v>132757294</v>
      </c>
      <c r="R593">
        <v>9776</v>
      </c>
      <c r="S593" t="s">
        <v>232</v>
      </c>
      <c r="T593">
        <v>0</v>
      </c>
      <c r="U593">
        <v>43</v>
      </c>
      <c r="V593">
        <v>0</v>
      </c>
      <c r="W593">
        <v>0</v>
      </c>
      <c r="X593">
        <v>0</v>
      </c>
    </row>
    <row r="594" spans="1:24" x14ac:dyDescent="0.25">
      <c r="A594" t="s">
        <v>15</v>
      </c>
      <c r="B594" t="s">
        <v>24</v>
      </c>
      <c r="C594">
        <v>20150316</v>
      </c>
      <c r="D594">
        <v>0</v>
      </c>
      <c r="F594">
        <v>62500</v>
      </c>
      <c r="G594" t="s">
        <v>17</v>
      </c>
      <c r="I594" t="s">
        <v>16</v>
      </c>
      <c r="J594" t="s">
        <v>180</v>
      </c>
      <c r="K594" t="s">
        <v>25</v>
      </c>
      <c r="L594">
        <v>132757294</v>
      </c>
      <c r="R594">
        <v>9775</v>
      </c>
      <c r="S594" t="s">
        <v>223</v>
      </c>
      <c r="T594">
        <v>0</v>
      </c>
      <c r="U594">
        <v>47</v>
      </c>
      <c r="V594">
        <v>0</v>
      </c>
      <c r="W594">
        <v>0</v>
      </c>
      <c r="X594">
        <v>0</v>
      </c>
    </row>
    <row r="595" spans="1:24" x14ac:dyDescent="0.25">
      <c r="A595" t="s">
        <v>15</v>
      </c>
      <c r="B595" t="s">
        <v>24</v>
      </c>
      <c r="C595">
        <v>20150316</v>
      </c>
      <c r="D595">
        <v>0</v>
      </c>
      <c r="F595">
        <v>62500</v>
      </c>
      <c r="G595" t="s">
        <v>17</v>
      </c>
      <c r="I595" t="s">
        <v>16</v>
      </c>
      <c r="J595" t="s">
        <v>180</v>
      </c>
      <c r="K595" t="s">
        <v>25</v>
      </c>
      <c r="L595">
        <v>132757294</v>
      </c>
      <c r="R595">
        <v>9775</v>
      </c>
      <c r="S595" t="s">
        <v>224</v>
      </c>
      <c r="T595">
        <v>0</v>
      </c>
      <c r="U595">
        <v>47</v>
      </c>
      <c r="V595">
        <v>0</v>
      </c>
      <c r="W595">
        <v>0</v>
      </c>
      <c r="X595">
        <v>0</v>
      </c>
    </row>
    <row r="596" spans="1:24" x14ac:dyDescent="0.25">
      <c r="A596" t="s">
        <v>15</v>
      </c>
      <c r="B596" t="s">
        <v>24</v>
      </c>
      <c r="C596">
        <v>20150316</v>
      </c>
      <c r="D596">
        <v>0</v>
      </c>
      <c r="F596">
        <v>62500</v>
      </c>
      <c r="G596" t="s">
        <v>17</v>
      </c>
      <c r="I596" t="s">
        <v>16</v>
      </c>
      <c r="J596" t="s">
        <v>180</v>
      </c>
      <c r="K596" t="s">
        <v>25</v>
      </c>
      <c r="L596">
        <v>132757294</v>
      </c>
      <c r="R596">
        <v>9774</v>
      </c>
      <c r="S596" t="s">
        <v>223</v>
      </c>
      <c r="T596">
        <v>0</v>
      </c>
      <c r="U596">
        <v>48</v>
      </c>
      <c r="V596">
        <v>0</v>
      </c>
      <c r="W596">
        <v>0</v>
      </c>
      <c r="X596">
        <v>0</v>
      </c>
    </row>
    <row r="597" spans="1:24" x14ac:dyDescent="0.25">
      <c r="A597" t="s">
        <v>15</v>
      </c>
      <c r="B597" t="s">
        <v>24</v>
      </c>
      <c r="C597">
        <v>20150316</v>
      </c>
      <c r="D597">
        <v>0</v>
      </c>
      <c r="F597">
        <v>62500</v>
      </c>
      <c r="G597" t="s">
        <v>17</v>
      </c>
      <c r="I597" t="s">
        <v>16</v>
      </c>
      <c r="J597" t="s">
        <v>180</v>
      </c>
      <c r="K597" t="s">
        <v>25</v>
      </c>
      <c r="L597">
        <v>132757294</v>
      </c>
      <c r="R597">
        <v>9774</v>
      </c>
      <c r="S597" t="s">
        <v>224</v>
      </c>
      <c r="T597">
        <v>0</v>
      </c>
      <c r="U597">
        <v>48</v>
      </c>
      <c r="V597">
        <v>0</v>
      </c>
      <c r="W597">
        <v>0</v>
      </c>
      <c r="X597">
        <v>0</v>
      </c>
    </row>
    <row r="598" spans="1:24" x14ac:dyDescent="0.25">
      <c r="A598" t="s">
        <v>15</v>
      </c>
      <c r="B598" t="s">
        <v>24</v>
      </c>
      <c r="C598">
        <v>20150316</v>
      </c>
      <c r="D598">
        <v>0</v>
      </c>
      <c r="F598">
        <v>62500</v>
      </c>
      <c r="G598" t="s">
        <v>17</v>
      </c>
      <c r="I598" t="s">
        <v>16</v>
      </c>
      <c r="J598" t="s">
        <v>180</v>
      </c>
      <c r="K598" t="s">
        <v>25</v>
      </c>
      <c r="L598">
        <v>132757294</v>
      </c>
      <c r="R598">
        <v>9776</v>
      </c>
      <c r="S598" t="s">
        <v>232</v>
      </c>
      <c r="T598">
        <v>0</v>
      </c>
      <c r="U598">
        <v>43</v>
      </c>
      <c r="V598">
        <v>0</v>
      </c>
      <c r="W598">
        <v>0</v>
      </c>
      <c r="X598">
        <v>0</v>
      </c>
    </row>
    <row r="599" spans="1:24" x14ac:dyDescent="0.25">
      <c r="A599" t="s">
        <v>15</v>
      </c>
      <c r="B599" t="s">
        <v>24</v>
      </c>
      <c r="C599">
        <v>20150316</v>
      </c>
      <c r="D599">
        <v>0</v>
      </c>
      <c r="F599">
        <v>62500</v>
      </c>
      <c r="G599" t="s">
        <v>17</v>
      </c>
      <c r="I599" t="s">
        <v>16</v>
      </c>
      <c r="J599" t="s">
        <v>180</v>
      </c>
      <c r="K599" t="s">
        <v>25</v>
      </c>
      <c r="L599">
        <v>132757294</v>
      </c>
      <c r="R599">
        <v>9776</v>
      </c>
      <c r="S599" t="s">
        <v>192</v>
      </c>
      <c r="T599">
        <v>0</v>
      </c>
      <c r="U599">
        <v>43</v>
      </c>
      <c r="V599">
        <v>0</v>
      </c>
      <c r="W599">
        <v>0</v>
      </c>
      <c r="X599">
        <v>0</v>
      </c>
    </row>
    <row r="600" spans="1:24" x14ac:dyDescent="0.25">
      <c r="A600" t="s">
        <v>15</v>
      </c>
      <c r="B600" t="s">
        <v>24</v>
      </c>
      <c r="C600">
        <v>20150316</v>
      </c>
      <c r="D600">
        <v>0</v>
      </c>
      <c r="F600">
        <v>62500</v>
      </c>
      <c r="G600" t="s">
        <v>17</v>
      </c>
      <c r="I600" t="s">
        <v>16</v>
      </c>
      <c r="J600" t="s">
        <v>180</v>
      </c>
      <c r="K600" t="s">
        <v>25</v>
      </c>
      <c r="L600">
        <v>132757294</v>
      </c>
      <c r="R600">
        <v>9777</v>
      </c>
      <c r="S600" t="s">
        <v>232</v>
      </c>
      <c r="T600">
        <v>0</v>
      </c>
      <c r="U600">
        <v>-42</v>
      </c>
      <c r="V600">
        <v>0</v>
      </c>
      <c r="W600">
        <v>0</v>
      </c>
      <c r="X600">
        <v>0</v>
      </c>
    </row>
    <row r="601" spans="1:24" x14ac:dyDescent="0.25">
      <c r="A601" t="s">
        <v>15</v>
      </c>
      <c r="B601" t="s">
        <v>24</v>
      </c>
      <c r="C601">
        <v>20150316</v>
      </c>
      <c r="D601">
        <v>0</v>
      </c>
      <c r="F601">
        <v>62500</v>
      </c>
      <c r="G601" t="s">
        <v>17</v>
      </c>
      <c r="I601" t="s">
        <v>16</v>
      </c>
      <c r="J601" t="s">
        <v>180</v>
      </c>
      <c r="K601" t="s">
        <v>25</v>
      </c>
      <c r="L601">
        <v>132757294</v>
      </c>
      <c r="R601">
        <v>9777</v>
      </c>
      <c r="S601" t="s">
        <v>232</v>
      </c>
      <c r="T601">
        <v>0</v>
      </c>
      <c r="U601">
        <v>-42</v>
      </c>
      <c r="V601">
        <v>0</v>
      </c>
      <c r="W601">
        <v>0</v>
      </c>
      <c r="X601">
        <v>0</v>
      </c>
    </row>
    <row r="602" spans="1:24" x14ac:dyDescent="0.25">
      <c r="A602" t="s">
        <v>15</v>
      </c>
      <c r="B602" t="s">
        <v>24</v>
      </c>
      <c r="C602">
        <v>20150316</v>
      </c>
      <c r="D602">
        <v>0</v>
      </c>
      <c r="F602">
        <v>62500</v>
      </c>
      <c r="G602" t="s">
        <v>17</v>
      </c>
      <c r="I602" t="s">
        <v>16</v>
      </c>
      <c r="J602" t="s">
        <v>180</v>
      </c>
      <c r="K602" t="s">
        <v>25</v>
      </c>
      <c r="L602">
        <v>132757294</v>
      </c>
      <c r="R602">
        <v>9777</v>
      </c>
      <c r="S602" t="s">
        <v>192</v>
      </c>
      <c r="T602">
        <v>0</v>
      </c>
      <c r="U602">
        <v>42</v>
      </c>
      <c r="V602">
        <v>0</v>
      </c>
      <c r="W602">
        <v>0</v>
      </c>
      <c r="X602">
        <v>0</v>
      </c>
    </row>
    <row r="603" spans="1:24" x14ac:dyDescent="0.25">
      <c r="A603" t="s">
        <v>15</v>
      </c>
      <c r="B603" t="s">
        <v>24</v>
      </c>
      <c r="C603">
        <v>20150316</v>
      </c>
      <c r="D603">
        <v>0</v>
      </c>
      <c r="F603">
        <v>62500</v>
      </c>
      <c r="G603" t="s">
        <v>17</v>
      </c>
      <c r="I603" t="s">
        <v>16</v>
      </c>
      <c r="J603" t="s">
        <v>180</v>
      </c>
      <c r="K603" t="s">
        <v>25</v>
      </c>
      <c r="L603">
        <v>132757294</v>
      </c>
      <c r="R603">
        <v>9778</v>
      </c>
      <c r="S603" t="s">
        <v>232</v>
      </c>
      <c r="T603">
        <v>0</v>
      </c>
      <c r="U603">
        <v>-45</v>
      </c>
      <c r="V603">
        <v>0</v>
      </c>
      <c r="W603">
        <v>0</v>
      </c>
      <c r="X603">
        <v>0</v>
      </c>
    </row>
    <row r="604" spans="1:24" x14ac:dyDescent="0.25">
      <c r="A604" t="s">
        <v>15</v>
      </c>
      <c r="B604" t="s">
        <v>24</v>
      </c>
      <c r="C604">
        <v>20150316</v>
      </c>
      <c r="D604">
        <v>0</v>
      </c>
      <c r="F604">
        <v>62500</v>
      </c>
      <c r="G604" t="s">
        <v>17</v>
      </c>
      <c r="I604" t="s">
        <v>16</v>
      </c>
      <c r="J604" t="s">
        <v>180</v>
      </c>
      <c r="K604" t="s">
        <v>25</v>
      </c>
      <c r="L604">
        <v>132757294</v>
      </c>
      <c r="R604">
        <v>9777</v>
      </c>
      <c r="S604" t="s">
        <v>223</v>
      </c>
      <c r="T604">
        <v>0</v>
      </c>
      <c r="U604">
        <v>42</v>
      </c>
      <c r="V604">
        <v>0</v>
      </c>
      <c r="W604">
        <v>0</v>
      </c>
      <c r="X604">
        <v>0</v>
      </c>
    </row>
    <row r="605" spans="1:24" x14ac:dyDescent="0.25">
      <c r="A605" t="s">
        <v>15</v>
      </c>
      <c r="B605" t="s">
        <v>24</v>
      </c>
      <c r="C605">
        <v>20150316</v>
      </c>
      <c r="D605">
        <v>0</v>
      </c>
      <c r="F605">
        <v>62500</v>
      </c>
      <c r="G605" t="s">
        <v>17</v>
      </c>
      <c r="I605" t="s">
        <v>16</v>
      </c>
      <c r="J605" t="s">
        <v>180</v>
      </c>
      <c r="K605" t="s">
        <v>25</v>
      </c>
      <c r="L605">
        <v>132757294</v>
      </c>
      <c r="R605">
        <v>9777</v>
      </c>
      <c r="S605" t="s">
        <v>224</v>
      </c>
      <c r="T605">
        <v>0</v>
      </c>
      <c r="U605">
        <v>42</v>
      </c>
      <c r="V605">
        <v>0</v>
      </c>
      <c r="W605">
        <v>0</v>
      </c>
      <c r="X605">
        <v>0</v>
      </c>
    </row>
    <row r="606" spans="1:24" x14ac:dyDescent="0.25">
      <c r="A606" t="s">
        <v>15</v>
      </c>
      <c r="B606" t="s">
        <v>24</v>
      </c>
      <c r="C606">
        <v>20150316</v>
      </c>
      <c r="D606">
        <v>0</v>
      </c>
      <c r="F606">
        <v>62500</v>
      </c>
      <c r="G606" t="s">
        <v>17</v>
      </c>
      <c r="I606" t="s">
        <v>16</v>
      </c>
      <c r="J606" t="s">
        <v>180</v>
      </c>
      <c r="K606" t="s">
        <v>25</v>
      </c>
      <c r="L606">
        <v>132757294</v>
      </c>
      <c r="R606">
        <v>9778</v>
      </c>
      <c r="S606" t="s">
        <v>232</v>
      </c>
      <c r="T606">
        <v>0</v>
      </c>
      <c r="U606">
        <v>-45</v>
      </c>
      <c r="V606">
        <v>0</v>
      </c>
      <c r="W606">
        <v>0</v>
      </c>
      <c r="X606">
        <v>0</v>
      </c>
    </row>
    <row r="607" spans="1:24" x14ac:dyDescent="0.25">
      <c r="A607" t="s">
        <v>15</v>
      </c>
      <c r="B607" t="s">
        <v>24</v>
      </c>
      <c r="C607">
        <v>20150316</v>
      </c>
      <c r="D607">
        <v>0</v>
      </c>
      <c r="F607">
        <v>62500</v>
      </c>
      <c r="G607" t="s">
        <v>17</v>
      </c>
      <c r="I607" t="s">
        <v>16</v>
      </c>
      <c r="J607" t="s">
        <v>180</v>
      </c>
      <c r="K607" t="s">
        <v>25</v>
      </c>
      <c r="L607">
        <v>132757294</v>
      </c>
      <c r="R607">
        <v>9778</v>
      </c>
      <c r="S607" t="s">
        <v>192</v>
      </c>
      <c r="T607">
        <v>0</v>
      </c>
      <c r="U607">
        <v>45</v>
      </c>
      <c r="V607">
        <v>0</v>
      </c>
      <c r="W607">
        <v>0</v>
      </c>
      <c r="X607">
        <v>0</v>
      </c>
    </row>
    <row r="608" spans="1:24" x14ac:dyDescent="0.25">
      <c r="A608" t="s">
        <v>15</v>
      </c>
      <c r="B608" t="s">
        <v>24</v>
      </c>
      <c r="C608">
        <v>20150316</v>
      </c>
      <c r="D608">
        <v>0</v>
      </c>
      <c r="F608">
        <v>62500</v>
      </c>
      <c r="G608" t="s">
        <v>17</v>
      </c>
      <c r="I608" t="s">
        <v>16</v>
      </c>
      <c r="J608" t="s">
        <v>180</v>
      </c>
      <c r="K608" t="s">
        <v>25</v>
      </c>
      <c r="L608">
        <v>132757294</v>
      </c>
      <c r="R608">
        <v>9779</v>
      </c>
      <c r="S608" t="s">
        <v>232</v>
      </c>
      <c r="T608">
        <v>0</v>
      </c>
      <c r="U608">
        <v>5</v>
      </c>
      <c r="V608">
        <v>0</v>
      </c>
      <c r="W608">
        <v>0</v>
      </c>
      <c r="X608">
        <v>0</v>
      </c>
    </row>
    <row r="609" spans="1:40" x14ac:dyDescent="0.25">
      <c r="A609" t="s">
        <v>15</v>
      </c>
      <c r="B609" t="s">
        <v>24</v>
      </c>
      <c r="C609">
        <v>20150316</v>
      </c>
      <c r="D609">
        <v>0</v>
      </c>
      <c r="F609">
        <v>62500</v>
      </c>
      <c r="G609" t="s">
        <v>17</v>
      </c>
      <c r="I609" t="s">
        <v>16</v>
      </c>
      <c r="J609" t="s">
        <v>180</v>
      </c>
      <c r="K609" t="s">
        <v>25</v>
      </c>
      <c r="L609">
        <v>132757294</v>
      </c>
      <c r="R609">
        <v>9779</v>
      </c>
      <c r="S609" t="s">
        <v>232</v>
      </c>
      <c r="T609">
        <v>0</v>
      </c>
      <c r="U609">
        <v>5</v>
      </c>
      <c r="V609">
        <v>0</v>
      </c>
      <c r="W609">
        <v>0</v>
      </c>
      <c r="X609">
        <v>0</v>
      </c>
    </row>
    <row r="610" spans="1:40" x14ac:dyDescent="0.25">
      <c r="A610" t="s">
        <v>15</v>
      </c>
      <c r="B610" t="s">
        <v>24</v>
      </c>
      <c r="C610">
        <v>20150316</v>
      </c>
      <c r="D610">
        <v>0</v>
      </c>
      <c r="F610">
        <v>62500</v>
      </c>
      <c r="G610" t="s">
        <v>17</v>
      </c>
      <c r="I610" t="s">
        <v>16</v>
      </c>
      <c r="J610" t="s">
        <v>180</v>
      </c>
      <c r="K610" t="s">
        <v>25</v>
      </c>
      <c r="L610">
        <v>132757294</v>
      </c>
      <c r="R610">
        <v>9779</v>
      </c>
      <c r="S610" t="s">
        <v>233</v>
      </c>
      <c r="T610">
        <v>0</v>
      </c>
      <c r="U610">
        <v>5</v>
      </c>
      <c r="V610">
        <v>0</v>
      </c>
      <c r="W610">
        <v>0</v>
      </c>
      <c r="X610">
        <v>0</v>
      </c>
    </row>
    <row r="611" spans="1:40" x14ac:dyDescent="0.25">
      <c r="A611" t="s">
        <v>15</v>
      </c>
      <c r="B611" t="s">
        <v>24</v>
      </c>
      <c r="C611">
        <v>20150316</v>
      </c>
      <c r="D611">
        <v>0</v>
      </c>
      <c r="F611">
        <v>62500</v>
      </c>
      <c r="G611" t="s">
        <v>17</v>
      </c>
      <c r="I611" t="s">
        <v>16</v>
      </c>
      <c r="J611" t="s">
        <v>180</v>
      </c>
      <c r="K611" t="s">
        <v>25</v>
      </c>
      <c r="L611">
        <v>132757294</v>
      </c>
      <c r="R611">
        <v>9779</v>
      </c>
      <c r="S611" t="s">
        <v>233</v>
      </c>
      <c r="T611">
        <v>0</v>
      </c>
      <c r="U611">
        <v>3</v>
      </c>
      <c r="V611">
        <v>0</v>
      </c>
      <c r="W611">
        <v>0</v>
      </c>
      <c r="X611">
        <v>0</v>
      </c>
      <c r="Y611">
        <v>9779</v>
      </c>
      <c r="Z611" t="s">
        <v>5976</v>
      </c>
      <c r="AA611" t="s">
        <v>5977</v>
      </c>
      <c r="AB611" t="s">
        <v>234</v>
      </c>
      <c r="AC611" t="s">
        <v>17</v>
      </c>
      <c r="AD611" t="s">
        <v>235</v>
      </c>
      <c r="AE611">
        <v>1</v>
      </c>
      <c r="AF611">
        <v>1</v>
      </c>
      <c r="AG611">
        <v>1.5286999999999999</v>
      </c>
      <c r="AH611">
        <v>1.5286999999999999</v>
      </c>
      <c r="AI611">
        <v>1226100238</v>
      </c>
      <c r="AJ611">
        <v>0</v>
      </c>
      <c r="AK611">
        <v>7</v>
      </c>
      <c r="AN611">
        <v>0</v>
      </c>
    </row>
    <row r="612" spans="1:40" x14ac:dyDescent="0.25">
      <c r="A612" t="s">
        <v>15</v>
      </c>
      <c r="B612" t="s">
        <v>24</v>
      </c>
      <c r="C612">
        <v>20150316</v>
      </c>
      <c r="D612">
        <v>0</v>
      </c>
      <c r="F612">
        <v>62500</v>
      </c>
      <c r="G612" t="s">
        <v>17</v>
      </c>
      <c r="I612" t="s">
        <v>16</v>
      </c>
      <c r="J612" t="s">
        <v>180</v>
      </c>
      <c r="K612" t="s">
        <v>25</v>
      </c>
      <c r="L612">
        <v>132757294</v>
      </c>
      <c r="R612">
        <v>9779</v>
      </c>
      <c r="S612" t="s">
        <v>233</v>
      </c>
      <c r="T612">
        <v>0</v>
      </c>
      <c r="U612">
        <v>3</v>
      </c>
      <c r="V612">
        <v>0</v>
      </c>
      <c r="W612">
        <v>0</v>
      </c>
      <c r="X612">
        <v>0</v>
      </c>
    </row>
    <row r="613" spans="1:40" x14ac:dyDescent="0.25">
      <c r="A613" t="s">
        <v>15</v>
      </c>
      <c r="B613" t="s">
        <v>24</v>
      </c>
      <c r="C613">
        <v>20150316</v>
      </c>
      <c r="D613">
        <v>0</v>
      </c>
      <c r="F613">
        <v>62500</v>
      </c>
      <c r="G613" t="s">
        <v>17</v>
      </c>
      <c r="I613" t="s">
        <v>16</v>
      </c>
      <c r="J613" t="s">
        <v>180</v>
      </c>
      <c r="K613" t="s">
        <v>25</v>
      </c>
      <c r="L613">
        <v>132757294</v>
      </c>
      <c r="R613">
        <v>9779</v>
      </c>
      <c r="S613" t="s">
        <v>233</v>
      </c>
      <c r="T613">
        <v>1</v>
      </c>
      <c r="U613">
        <v>4</v>
      </c>
      <c r="V613">
        <v>1.5286999999999999</v>
      </c>
      <c r="W613">
        <v>1.5286999999999999</v>
      </c>
      <c r="X613">
        <v>0</v>
      </c>
    </row>
    <row r="614" spans="1:40" x14ac:dyDescent="0.25">
      <c r="A614" t="s">
        <v>15</v>
      </c>
      <c r="B614" t="s">
        <v>24</v>
      </c>
      <c r="C614">
        <v>20150316</v>
      </c>
      <c r="D614">
        <v>0</v>
      </c>
      <c r="F614">
        <v>62500</v>
      </c>
      <c r="G614" t="s">
        <v>17</v>
      </c>
      <c r="I614" t="s">
        <v>16</v>
      </c>
      <c r="J614" t="s">
        <v>180</v>
      </c>
      <c r="K614" t="s">
        <v>25</v>
      </c>
      <c r="L614">
        <v>132757294</v>
      </c>
      <c r="R614">
        <v>9780</v>
      </c>
      <c r="S614" t="s">
        <v>232</v>
      </c>
      <c r="T614">
        <v>0</v>
      </c>
      <c r="U614">
        <v>-42</v>
      </c>
      <c r="V614">
        <v>0</v>
      </c>
      <c r="W614">
        <v>0</v>
      </c>
      <c r="X614">
        <v>0</v>
      </c>
    </row>
    <row r="615" spans="1:40" x14ac:dyDescent="0.25">
      <c r="A615" t="s">
        <v>15</v>
      </c>
      <c r="B615" t="s">
        <v>24</v>
      </c>
      <c r="C615">
        <v>20150316</v>
      </c>
      <c r="D615">
        <v>0</v>
      </c>
      <c r="F615">
        <v>62500</v>
      </c>
      <c r="G615" t="s">
        <v>17</v>
      </c>
      <c r="I615" t="s">
        <v>16</v>
      </c>
      <c r="J615" t="s">
        <v>180</v>
      </c>
      <c r="K615" t="s">
        <v>25</v>
      </c>
      <c r="L615">
        <v>132757294</v>
      </c>
      <c r="R615">
        <v>9779</v>
      </c>
      <c r="S615" t="s">
        <v>233</v>
      </c>
      <c r="T615">
        <v>1</v>
      </c>
      <c r="U615">
        <v>4</v>
      </c>
      <c r="V615">
        <v>1.5286999999999999</v>
      </c>
      <c r="W615">
        <v>1.5286999999999999</v>
      </c>
      <c r="X615">
        <v>0</v>
      </c>
    </row>
    <row r="616" spans="1:40" x14ac:dyDescent="0.25">
      <c r="A616" t="s">
        <v>15</v>
      </c>
      <c r="B616" t="s">
        <v>24</v>
      </c>
      <c r="C616">
        <v>20150316</v>
      </c>
      <c r="D616">
        <v>0</v>
      </c>
      <c r="F616">
        <v>62500</v>
      </c>
      <c r="G616" t="s">
        <v>17</v>
      </c>
      <c r="I616" t="s">
        <v>16</v>
      </c>
      <c r="J616" t="s">
        <v>180</v>
      </c>
      <c r="K616" t="s">
        <v>25</v>
      </c>
      <c r="L616">
        <v>132757294</v>
      </c>
      <c r="R616">
        <v>9779</v>
      </c>
      <c r="S616" t="s">
        <v>233</v>
      </c>
      <c r="T616">
        <v>1</v>
      </c>
      <c r="U616">
        <v>4</v>
      </c>
      <c r="V616">
        <v>1.5286999999999999</v>
      </c>
      <c r="W616">
        <v>1.5286999999999999</v>
      </c>
      <c r="X616">
        <v>0</v>
      </c>
    </row>
    <row r="617" spans="1:40" x14ac:dyDescent="0.25">
      <c r="A617" t="s">
        <v>15</v>
      </c>
      <c r="B617" t="s">
        <v>24</v>
      </c>
      <c r="C617">
        <v>20150316</v>
      </c>
      <c r="D617">
        <v>0</v>
      </c>
      <c r="F617">
        <v>62500</v>
      </c>
      <c r="G617" t="s">
        <v>17</v>
      </c>
      <c r="I617" t="s">
        <v>16</v>
      </c>
      <c r="J617" t="s">
        <v>180</v>
      </c>
      <c r="K617" t="s">
        <v>25</v>
      </c>
      <c r="L617">
        <v>132757294</v>
      </c>
      <c r="R617">
        <v>9779</v>
      </c>
      <c r="S617" t="s">
        <v>233</v>
      </c>
      <c r="T617">
        <v>1</v>
      </c>
      <c r="U617">
        <v>2</v>
      </c>
      <c r="V617">
        <v>1.5286999999999999</v>
      </c>
      <c r="W617">
        <v>1.5286999999999999</v>
      </c>
      <c r="X617">
        <v>0</v>
      </c>
      <c r="Y617">
        <v>9779</v>
      </c>
      <c r="Z617" t="s">
        <v>6004</v>
      </c>
      <c r="AA617" t="s">
        <v>5977</v>
      </c>
      <c r="AB617" t="s">
        <v>234</v>
      </c>
      <c r="AC617" t="s">
        <v>17</v>
      </c>
      <c r="AD617" t="s">
        <v>235</v>
      </c>
      <c r="AE617">
        <v>1</v>
      </c>
      <c r="AF617">
        <v>2</v>
      </c>
      <c r="AG617">
        <v>1.5286999999999999</v>
      </c>
      <c r="AH617">
        <v>1.5286999999999999</v>
      </c>
      <c r="AI617">
        <v>1226100238</v>
      </c>
      <c r="AJ617">
        <v>0</v>
      </c>
      <c r="AK617">
        <v>7</v>
      </c>
      <c r="AN617">
        <v>0</v>
      </c>
    </row>
    <row r="618" spans="1:40" x14ac:dyDescent="0.25">
      <c r="A618" t="s">
        <v>15</v>
      </c>
      <c r="B618" t="s">
        <v>24</v>
      </c>
      <c r="C618">
        <v>20150316</v>
      </c>
      <c r="D618">
        <v>0</v>
      </c>
      <c r="F618">
        <v>62500</v>
      </c>
      <c r="G618" t="s">
        <v>17</v>
      </c>
      <c r="I618" t="s">
        <v>16</v>
      </c>
      <c r="J618" t="s">
        <v>180</v>
      </c>
      <c r="K618" t="s">
        <v>25</v>
      </c>
      <c r="L618">
        <v>132757294</v>
      </c>
      <c r="R618">
        <v>9779</v>
      </c>
      <c r="S618" t="s">
        <v>233</v>
      </c>
      <c r="T618">
        <v>1</v>
      </c>
      <c r="U618">
        <v>2</v>
      </c>
      <c r="V618">
        <v>1.5286999999999999</v>
      </c>
      <c r="W618">
        <v>1.5286999999999999</v>
      </c>
      <c r="X618">
        <v>0</v>
      </c>
    </row>
    <row r="619" spans="1:40" x14ac:dyDescent="0.25">
      <c r="A619" t="s">
        <v>15</v>
      </c>
      <c r="B619" t="s">
        <v>24</v>
      </c>
      <c r="C619">
        <v>20150316</v>
      </c>
      <c r="D619">
        <v>0</v>
      </c>
      <c r="F619">
        <v>62500</v>
      </c>
      <c r="G619" t="s">
        <v>17</v>
      </c>
      <c r="I619" t="s">
        <v>16</v>
      </c>
      <c r="J619" t="s">
        <v>180</v>
      </c>
      <c r="K619" t="s">
        <v>25</v>
      </c>
      <c r="L619">
        <v>132757294</v>
      </c>
      <c r="R619">
        <v>9779</v>
      </c>
      <c r="S619" t="s">
        <v>233</v>
      </c>
      <c r="T619">
        <v>2</v>
      </c>
      <c r="U619">
        <v>3</v>
      </c>
      <c r="V619">
        <v>1.5286999999999999</v>
      </c>
      <c r="W619">
        <v>1.5286999999999999</v>
      </c>
      <c r="X619">
        <v>0</v>
      </c>
    </row>
    <row r="620" spans="1:40" x14ac:dyDescent="0.25">
      <c r="A620" t="s">
        <v>15</v>
      </c>
      <c r="B620" t="s">
        <v>24</v>
      </c>
      <c r="C620">
        <v>20150316</v>
      </c>
      <c r="D620">
        <v>0</v>
      </c>
      <c r="F620">
        <v>62500</v>
      </c>
      <c r="G620" t="s">
        <v>17</v>
      </c>
      <c r="I620" t="s">
        <v>16</v>
      </c>
      <c r="J620" t="s">
        <v>180</v>
      </c>
      <c r="K620" t="s">
        <v>25</v>
      </c>
      <c r="L620">
        <v>132757294</v>
      </c>
      <c r="R620">
        <v>9779</v>
      </c>
      <c r="S620" t="s">
        <v>233</v>
      </c>
      <c r="T620">
        <v>2</v>
      </c>
      <c r="U620">
        <v>3</v>
      </c>
      <c r="V620">
        <v>1.5286999999999999</v>
      </c>
      <c r="W620">
        <v>1.5286999999999999</v>
      </c>
      <c r="X620">
        <v>0</v>
      </c>
    </row>
    <row r="621" spans="1:40" x14ac:dyDescent="0.25">
      <c r="A621" t="s">
        <v>15</v>
      </c>
      <c r="B621" t="s">
        <v>24</v>
      </c>
      <c r="C621">
        <v>20150316</v>
      </c>
      <c r="D621">
        <v>0</v>
      </c>
      <c r="F621">
        <v>62500</v>
      </c>
      <c r="G621" t="s">
        <v>17</v>
      </c>
      <c r="I621" t="s">
        <v>16</v>
      </c>
      <c r="J621" t="s">
        <v>180</v>
      </c>
      <c r="K621" t="s">
        <v>25</v>
      </c>
      <c r="L621">
        <v>132757294</v>
      </c>
      <c r="R621">
        <v>9779</v>
      </c>
      <c r="S621" t="s">
        <v>233</v>
      </c>
      <c r="T621">
        <v>2</v>
      </c>
      <c r="U621">
        <v>3</v>
      </c>
      <c r="V621">
        <v>1.5286999999999999</v>
      </c>
      <c r="W621">
        <v>1.5286999999999999</v>
      </c>
      <c r="X621">
        <v>0</v>
      </c>
    </row>
    <row r="622" spans="1:40" x14ac:dyDescent="0.25">
      <c r="A622" t="s">
        <v>15</v>
      </c>
      <c r="B622" t="s">
        <v>24</v>
      </c>
      <c r="C622">
        <v>20150316</v>
      </c>
      <c r="D622">
        <v>0</v>
      </c>
      <c r="F622">
        <v>62500</v>
      </c>
      <c r="G622" t="s">
        <v>17</v>
      </c>
      <c r="I622" t="s">
        <v>16</v>
      </c>
      <c r="J622" t="s">
        <v>180</v>
      </c>
      <c r="K622" t="s">
        <v>25</v>
      </c>
      <c r="L622">
        <v>132757294</v>
      </c>
      <c r="R622">
        <v>9778</v>
      </c>
      <c r="S622" t="s">
        <v>223</v>
      </c>
      <c r="T622">
        <v>0</v>
      </c>
      <c r="U622">
        <v>45</v>
      </c>
      <c r="V622">
        <v>0</v>
      </c>
      <c r="W622">
        <v>0</v>
      </c>
      <c r="X622">
        <v>0</v>
      </c>
    </row>
    <row r="623" spans="1:40" x14ac:dyDescent="0.25">
      <c r="A623" t="s">
        <v>15</v>
      </c>
      <c r="B623" t="s">
        <v>24</v>
      </c>
      <c r="C623">
        <v>20150316</v>
      </c>
      <c r="D623">
        <v>0</v>
      </c>
      <c r="F623">
        <v>62500</v>
      </c>
      <c r="G623" t="s">
        <v>17</v>
      </c>
      <c r="I623" t="s">
        <v>16</v>
      </c>
      <c r="J623" t="s">
        <v>180</v>
      </c>
      <c r="K623" t="s">
        <v>25</v>
      </c>
      <c r="L623">
        <v>132757294</v>
      </c>
      <c r="R623">
        <v>9778</v>
      </c>
      <c r="S623" t="s">
        <v>224</v>
      </c>
      <c r="T623">
        <v>0</v>
      </c>
      <c r="U623">
        <v>45</v>
      </c>
      <c r="V623">
        <v>0</v>
      </c>
      <c r="W623">
        <v>0</v>
      </c>
      <c r="X623">
        <v>0</v>
      </c>
    </row>
    <row r="624" spans="1:40" x14ac:dyDescent="0.25">
      <c r="A624" t="s">
        <v>15</v>
      </c>
      <c r="B624" t="s">
        <v>24</v>
      </c>
      <c r="C624">
        <v>20150316</v>
      </c>
      <c r="D624">
        <v>0</v>
      </c>
      <c r="F624">
        <v>62500</v>
      </c>
      <c r="G624" t="s">
        <v>17</v>
      </c>
      <c r="I624" t="s">
        <v>16</v>
      </c>
      <c r="J624" t="s">
        <v>180</v>
      </c>
      <c r="K624" t="s">
        <v>25</v>
      </c>
      <c r="L624">
        <v>132757294</v>
      </c>
      <c r="R624">
        <v>9780</v>
      </c>
      <c r="S624" t="s">
        <v>232</v>
      </c>
      <c r="T624">
        <v>0</v>
      </c>
      <c r="U624">
        <v>-42</v>
      </c>
      <c r="V624">
        <v>0</v>
      </c>
      <c r="W624">
        <v>0</v>
      </c>
      <c r="X624">
        <v>0</v>
      </c>
    </row>
    <row r="625" spans="1:40" x14ac:dyDescent="0.25">
      <c r="A625" t="s">
        <v>15</v>
      </c>
      <c r="B625" t="s">
        <v>24</v>
      </c>
      <c r="C625">
        <v>20150316</v>
      </c>
      <c r="D625">
        <v>0</v>
      </c>
      <c r="F625">
        <v>62500</v>
      </c>
      <c r="G625" t="s">
        <v>17</v>
      </c>
      <c r="I625" t="s">
        <v>16</v>
      </c>
      <c r="J625" t="s">
        <v>180</v>
      </c>
      <c r="K625" t="s">
        <v>25</v>
      </c>
      <c r="L625">
        <v>132757294</v>
      </c>
      <c r="R625">
        <v>9780</v>
      </c>
      <c r="S625" t="s">
        <v>192</v>
      </c>
      <c r="T625">
        <v>0</v>
      </c>
      <c r="U625">
        <v>42</v>
      </c>
      <c r="V625">
        <v>0</v>
      </c>
      <c r="W625">
        <v>0</v>
      </c>
      <c r="X625">
        <v>0</v>
      </c>
    </row>
    <row r="626" spans="1:40" x14ac:dyDescent="0.25">
      <c r="A626" t="s">
        <v>15</v>
      </c>
      <c r="B626" t="s">
        <v>24</v>
      </c>
      <c r="C626">
        <v>20150316</v>
      </c>
      <c r="D626">
        <v>0</v>
      </c>
      <c r="F626">
        <v>62500</v>
      </c>
      <c r="G626" t="s">
        <v>17</v>
      </c>
      <c r="I626" t="s">
        <v>16</v>
      </c>
      <c r="J626" t="s">
        <v>180</v>
      </c>
      <c r="K626" t="s">
        <v>25</v>
      </c>
      <c r="L626">
        <v>132757294</v>
      </c>
      <c r="R626">
        <v>9779</v>
      </c>
      <c r="S626" t="s">
        <v>233</v>
      </c>
      <c r="T626">
        <v>2</v>
      </c>
      <c r="U626">
        <v>1</v>
      </c>
      <c r="V626">
        <v>1.5286999999999999</v>
      </c>
      <c r="W626">
        <v>1.5286999999999999</v>
      </c>
      <c r="X626">
        <v>0</v>
      </c>
      <c r="Y626">
        <v>9779</v>
      </c>
      <c r="Z626" t="s">
        <v>6121</v>
      </c>
      <c r="AA626" t="s">
        <v>6122</v>
      </c>
      <c r="AB626" t="s">
        <v>234</v>
      </c>
      <c r="AC626" t="s">
        <v>17</v>
      </c>
      <c r="AD626" t="s">
        <v>235</v>
      </c>
      <c r="AE626">
        <v>1</v>
      </c>
      <c r="AF626">
        <v>3</v>
      </c>
      <c r="AG626">
        <v>1.5286999999999999</v>
      </c>
      <c r="AH626">
        <v>1.5286999999999999</v>
      </c>
      <c r="AI626">
        <v>1226100238</v>
      </c>
      <c r="AJ626">
        <v>0</v>
      </c>
      <c r="AK626">
        <v>7</v>
      </c>
      <c r="AN626">
        <v>0</v>
      </c>
    </row>
    <row r="627" spans="1:40" x14ac:dyDescent="0.25">
      <c r="A627" t="s">
        <v>15</v>
      </c>
      <c r="B627" t="s">
        <v>24</v>
      </c>
      <c r="C627">
        <v>20150316</v>
      </c>
      <c r="D627">
        <v>0</v>
      </c>
      <c r="F627">
        <v>62500</v>
      </c>
      <c r="G627" t="s">
        <v>17</v>
      </c>
      <c r="I627" t="s">
        <v>16</v>
      </c>
      <c r="J627" t="s">
        <v>180</v>
      </c>
      <c r="K627" t="s">
        <v>25</v>
      </c>
      <c r="L627">
        <v>132757294</v>
      </c>
      <c r="R627">
        <v>9779</v>
      </c>
      <c r="S627" t="s">
        <v>233</v>
      </c>
      <c r="T627">
        <v>2</v>
      </c>
      <c r="U627">
        <v>1</v>
      </c>
      <c r="V627">
        <v>1.5286999999999999</v>
      </c>
      <c r="W627">
        <v>1.5286999999999999</v>
      </c>
      <c r="X627">
        <v>0</v>
      </c>
    </row>
    <row r="628" spans="1:40" x14ac:dyDescent="0.25">
      <c r="A628" t="s">
        <v>15</v>
      </c>
      <c r="B628" t="s">
        <v>24</v>
      </c>
      <c r="C628">
        <v>20150316</v>
      </c>
      <c r="D628">
        <v>0</v>
      </c>
      <c r="F628">
        <v>62500</v>
      </c>
      <c r="G628" t="s">
        <v>17</v>
      </c>
      <c r="I628" t="s">
        <v>16</v>
      </c>
      <c r="J628" t="s">
        <v>180</v>
      </c>
      <c r="K628" t="s">
        <v>25</v>
      </c>
      <c r="L628">
        <v>132757294</v>
      </c>
      <c r="R628">
        <v>9779</v>
      </c>
      <c r="S628" t="s">
        <v>233</v>
      </c>
      <c r="T628">
        <v>3</v>
      </c>
      <c r="U628">
        <v>2</v>
      </c>
      <c r="V628">
        <v>1.5286999999999999</v>
      </c>
      <c r="W628">
        <v>1.5286999999999999</v>
      </c>
      <c r="X628">
        <v>0</v>
      </c>
    </row>
    <row r="629" spans="1:40" x14ac:dyDescent="0.25">
      <c r="A629" t="s">
        <v>15</v>
      </c>
      <c r="B629" t="s">
        <v>24</v>
      </c>
      <c r="C629">
        <v>20150316</v>
      </c>
      <c r="D629">
        <v>0</v>
      </c>
      <c r="F629">
        <v>62500</v>
      </c>
      <c r="G629" t="s">
        <v>17</v>
      </c>
      <c r="I629" t="s">
        <v>16</v>
      </c>
      <c r="J629" t="s">
        <v>180</v>
      </c>
      <c r="K629" t="s">
        <v>25</v>
      </c>
      <c r="L629">
        <v>132757294</v>
      </c>
      <c r="R629">
        <v>9779</v>
      </c>
      <c r="S629" t="s">
        <v>233</v>
      </c>
      <c r="T629">
        <v>3</v>
      </c>
      <c r="U629">
        <v>0</v>
      </c>
      <c r="V629">
        <v>1.5286999999999999</v>
      </c>
      <c r="W629">
        <v>1.5286999999999999</v>
      </c>
      <c r="X629">
        <v>0</v>
      </c>
      <c r="Y629">
        <v>9779</v>
      </c>
      <c r="Z629" t="s">
        <v>6139</v>
      </c>
      <c r="AA629" t="s">
        <v>6122</v>
      </c>
      <c r="AB629" t="s">
        <v>234</v>
      </c>
      <c r="AC629" t="s">
        <v>17</v>
      </c>
      <c r="AD629" t="s">
        <v>235</v>
      </c>
      <c r="AE629">
        <v>1</v>
      </c>
      <c r="AF629">
        <v>4</v>
      </c>
      <c r="AG629">
        <v>1.5286999999999999</v>
      </c>
      <c r="AH629">
        <v>1.5286999999999999</v>
      </c>
      <c r="AI629">
        <v>1226100238</v>
      </c>
      <c r="AJ629">
        <v>0</v>
      </c>
      <c r="AK629">
        <v>7</v>
      </c>
      <c r="AN629">
        <v>0</v>
      </c>
    </row>
    <row r="630" spans="1:40" x14ac:dyDescent="0.25">
      <c r="A630" t="s">
        <v>15</v>
      </c>
      <c r="B630" t="s">
        <v>24</v>
      </c>
      <c r="C630">
        <v>20150316</v>
      </c>
      <c r="D630">
        <v>0</v>
      </c>
      <c r="F630">
        <v>62500</v>
      </c>
      <c r="G630" t="s">
        <v>17</v>
      </c>
      <c r="I630" t="s">
        <v>16</v>
      </c>
      <c r="J630" t="s">
        <v>180</v>
      </c>
      <c r="K630" t="s">
        <v>25</v>
      </c>
      <c r="L630">
        <v>132757294</v>
      </c>
      <c r="R630">
        <v>9779</v>
      </c>
      <c r="S630" t="s">
        <v>233</v>
      </c>
      <c r="T630">
        <v>3</v>
      </c>
      <c r="U630">
        <v>0</v>
      </c>
      <c r="V630">
        <v>1.5286999999999999</v>
      </c>
      <c r="W630">
        <v>1.5286999999999999</v>
      </c>
      <c r="X630">
        <v>0</v>
      </c>
    </row>
    <row r="631" spans="1:40" x14ac:dyDescent="0.25">
      <c r="A631" t="s">
        <v>15</v>
      </c>
      <c r="B631" t="s">
        <v>24</v>
      </c>
      <c r="C631">
        <v>20150316</v>
      </c>
      <c r="D631">
        <v>0</v>
      </c>
      <c r="F631">
        <v>62500</v>
      </c>
      <c r="G631" t="s">
        <v>17</v>
      </c>
      <c r="I631" t="s">
        <v>16</v>
      </c>
      <c r="J631" t="s">
        <v>180</v>
      </c>
      <c r="K631" t="s">
        <v>25</v>
      </c>
      <c r="L631">
        <v>132757294</v>
      </c>
      <c r="R631">
        <v>9779</v>
      </c>
      <c r="S631" t="s">
        <v>233</v>
      </c>
      <c r="T631">
        <v>4</v>
      </c>
      <c r="U631">
        <v>1</v>
      </c>
      <c r="V631">
        <v>1.5286999999999999</v>
      </c>
      <c r="W631">
        <v>1.5286999999999999</v>
      </c>
      <c r="X631">
        <v>0</v>
      </c>
    </row>
    <row r="632" spans="1:40" x14ac:dyDescent="0.25">
      <c r="A632" t="s">
        <v>15</v>
      </c>
      <c r="B632" t="s">
        <v>24</v>
      </c>
      <c r="C632">
        <v>20150316</v>
      </c>
      <c r="D632">
        <v>0</v>
      </c>
      <c r="F632">
        <v>62500</v>
      </c>
      <c r="G632" t="s">
        <v>17</v>
      </c>
      <c r="I632" t="s">
        <v>16</v>
      </c>
      <c r="J632" t="s">
        <v>180</v>
      </c>
      <c r="K632" t="s">
        <v>25</v>
      </c>
      <c r="L632">
        <v>132757294</v>
      </c>
      <c r="R632">
        <v>9779</v>
      </c>
      <c r="S632" t="s">
        <v>233</v>
      </c>
      <c r="T632">
        <v>4</v>
      </c>
      <c r="U632">
        <v>1</v>
      </c>
      <c r="V632">
        <v>1.5286999999999999</v>
      </c>
      <c r="W632">
        <v>1.5286999999999999</v>
      </c>
      <c r="X632">
        <v>0</v>
      </c>
    </row>
    <row r="633" spans="1:40" x14ac:dyDescent="0.25">
      <c r="A633" t="s">
        <v>15</v>
      </c>
      <c r="B633" t="s">
        <v>24</v>
      </c>
      <c r="C633">
        <v>20150316</v>
      </c>
      <c r="D633">
        <v>0</v>
      </c>
      <c r="F633">
        <v>62500</v>
      </c>
      <c r="G633" t="s">
        <v>17</v>
      </c>
      <c r="I633" t="s">
        <v>16</v>
      </c>
      <c r="J633" t="s">
        <v>180</v>
      </c>
      <c r="K633" t="s">
        <v>25</v>
      </c>
      <c r="L633">
        <v>132757294</v>
      </c>
      <c r="R633">
        <v>9779</v>
      </c>
      <c r="S633" t="s">
        <v>233</v>
      </c>
      <c r="T633">
        <v>4</v>
      </c>
      <c r="U633">
        <v>1</v>
      </c>
      <c r="V633">
        <v>1.5286999999999999</v>
      </c>
      <c r="W633">
        <v>1.5286999999999999</v>
      </c>
      <c r="X633">
        <v>0</v>
      </c>
    </row>
    <row r="634" spans="1:40" x14ac:dyDescent="0.25">
      <c r="A634" t="s">
        <v>15</v>
      </c>
      <c r="B634" t="s">
        <v>24</v>
      </c>
      <c r="C634">
        <v>20150316</v>
      </c>
      <c r="D634">
        <v>0</v>
      </c>
      <c r="F634">
        <v>62500</v>
      </c>
      <c r="G634" t="s">
        <v>17</v>
      </c>
      <c r="I634" t="s">
        <v>16</v>
      </c>
      <c r="J634" t="s">
        <v>180</v>
      </c>
      <c r="K634" t="s">
        <v>25</v>
      </c>
      <c r="L634">
        <v>132757294</v>
      </c>
      <c r="R634">
        <v>9779</v>
      </c>
      <c r="S634" t="s">
        <v>233</v>
      </c>
      <c r="T634">
        <v>4</v>
      </c>
      <c r="U634">
        <v>1</v>
      </c>
      <c r="V634">
        <v>1.5286999999999999</v>
      </c>
      <c r="W634">
        <v>1.5286999999999999</v>
      </c>
      <c r="X634">
        <v>0</v>
      </c>
    </row>
    <row r="635" spans="1:40" x14ac:dyDescent="0.25">
      <c r="A635" t="s">
        <v>15</v>
      </c>
      <c r="B635" t="s">
        <v>24</v>
      </c>
      <c r="C635">
        <v>20150316</v>
      </c>
      <c r="D635">
        <v>0</v>
      </c>
      <c r="F635">
        <v>62500</v>
      </c>
      <c r="G635" t="s">
        <v>17</v>
      </c>
      <c r="I635" t="s">
        <v>16</v>
      </c>
      <c r="J635" t="s">
        <v>180</v>
      </c>
      <c r="K635" t="s">
        <v>25</v>
      </c>
      <c r="L635">
        <v>132757294</v>
      </c>
      <c r="R635">
        <v>9779</v>
      </c>
      <c r="S635" t="s">
        <v>233</v>
      </c>
      <c r="T635">
        <v>4</v>
      </c>
      <c r="U635">
        <v>1</v>
      </c>
      <c r="V635">
        <v>1.5286999999999999</v>
      </c>
      <c r="W635">
        <v>1.5286999999999999</v>
      </c>
      <c r="X635">
        <v>0</v>
      </c>
    </row>
    <row r="636" spans="1:40" x14ac:dyDescent="0.25">
      <c r="A636" t="s">
        <v>15</v>
      </c>
      <c r="B636" t="s">
        <v>24</v>
      </c>
      <c r="C636">
        <v>20150316</v>
      </c>
      <c r="D636">
        <v>0</v>
      </c>
      <c r="F636">
        <v>62500</v>
      </c>
      <c r="G636" t="s">
        <v>17</v>
      </c>
      <c r="I636" t="s">
        <v>16</v>
      </c>
      <c r="J636" t="s">
        <v>180</v>
      </c>
      <c r="K636" t="s">
        <v>25</v>
      </c>
      <c r="L636">
        <v>132757294</v>
      </c>
      <c r="R636">
        <v>9781</v>
      </c>
      <c r="S636" t="s">
        <v>232</v>
      </c>
      <c r="T636">
        <v>0</v>
      </c>
      <c r="U636">
        <v>46</v>
      </c>
      <c r="V636">
        <v>0</v>
      </c>
      <c r="W636">
        <v>0</v>
      </c>
      <c r="X636">
        <v>0</v>
      </c>
    </row>
    <row r="637" spans="1:40" x14ac:dyDescent="0.25">
      <c r="A637" t="s">
        <v>15</v>
      </c>
      <c r="B637" t="s">
        <v>24</v>
      </c>
      <c r="C637">
        <v>20150316</v>
      </c>
      <c r="D637">
        <v>0</v>
      </c>
      <c r="F637">
        <v>62500</v>
      </c>
      <c r="G637" t="s">
        <v>17</v>
      </c>
      <c r="I637" t="s">
        <v>16</v>
      </c>
      <c r="J637" t="s">
        <v>180</v>
      </c>
      <c r="K637" t="s">
        <v>25</v>
      </c>
      <c r="L637">
        <v>132757294</v>
      </c>
      <c r="R637">
        <v>9776</v>
      </c>
      <c r="S637" t="s">
        <v>223</v>
      </c>
      <c r="T637">
        <v>0</v>
      </c>
      <c r="U637">
        <v>43</v>
      </c>
      <c r="V637">
        <v>0</v>
      </c>
      <c r="W637">
        <v>0</v>
      </c>
      <c r="X637">
        <v>0</v>
      </c>
    </row>
    <row r="638" spans="1:40" x14ac:dyDescent="0.25">
      <c r="A638" t="s">
        <v>15</v>
      </c>
      <c r="B638" t="s">
        <v>24</v>
      </c>
      <c r="C638">
        <v>20150316</v>
      </c>
      <c r="D638">
        <v>0</v>
      </c>
      <c r="F638">
        <v>62500</v>
      </c>
      <c r="G638" t="s">
        <v>17</v>
      </c>
      <c r="I638" t="s">
        <v>16</v>
      </c>
      <c r="J638" t="s">
        <v>180</v>
      </c>
      <c r="K638" t="s">
        <v>25</v>
      </c>
      <c r="L638">
        <v>132757294</v>
      </c>
      <c r="R638">
        <v>9776</v>
      </c>
      <c r="S638" t="s">
        <v>224</v>
      </c>
      <c r="T638">
        <v>0</v>
      </c>
      <c r="U638">
        <v>43</v>
      </c>
      <c r="V638">
        <v>0</v>
      </c>
      <c r="W638">
        <v>0</v>
      </c>
      <c r="X638">
        <v>0</v>
      </c>
    </row>
    <row r="639" spans="1:40" x14ac:dyDescent="0.25">
      <c r="A639" t="s">
        <v>15</v>
      </c>
      <c r="B639" t="s">
        <v>24</v>
      </c>
      <c r="C639">
        <v>20150316</v>
      </c>
      <c r="D639">
        <v>0</v>
      </c>
      <c r="F639">
        <v>62500</v>
      </c>
      <c r="G639" t="s">
        <v>17</v>
      </c>
      <c r="I639" t="s">
        <v>16</v>
      </c>
      <c r="J639" t="s">
        <v>180</v>
      </c>
      <c r="K639" t="s">
        <v>25</v>
      </c>
      <c r="L639">
        <v>132757294</v>
      </c>
      <c r="R639">
        <v>9780</v>
      </c>
      <c r="S639" t="s">
        <v>223</v>
      </c>
      <c r="T639">
        <v>0</v>
      </c>
      <c r="U639">
        <v>42</v>
      </c>
      <c r="V639">
        <v>0</v>
      </c>
      <c r="W639">
        <v>0</v>
      </c>
      <c r="X639">
        <v>0</v>
      </c>
    </row>
    <row r="640" spans="1:40" x14ac:dyDescent="0.25">
      <c r="A640" t="s">
        <v>15</v>
      </c>
      <c r="B640" t="s">
        <v>24</v>
      </c>
      <c r="C640">
        <v>20150316</v>
      </c>
      <c r="D640">
        <v>0</v>
      </c>
      <c r="F640">
        <v>62500</v>
      </c>
      <c r="G640" t="s">
        <v>17</v>
      </c>
      <c r="I640" t="s">
        <v>16</v>
      </c>
      <c r="J640" t="s">
        <v>180</v>
      </c>
      <c r="K640" t="s">
        <v>25</v>
      </c>
      <c r="L640">
        <v>132757294</v>
      </c>
      <c r="R640">
        <v>9780</v>
      </c>
      <c r="S640" t="s">
        <v>224</v>
      </c>
      <c r="T640">
        <v>0</v>
      </c>
      <c r="U640">
        <v>42</v>
      </c>
      <c r="V640">
        <v>0</v>
      </c>
      <c r="W640">
        <v>0</v>
      </c>
      <c r="X640">
        <v>0</v>
      </c>
    </row>
    <row r="641" spans="1:40" x14ac:dyDescent="0.25">
      <c r="A641" t="s">
        <v>15</v>
      </c>
      <c r="B641" t="s">
        <v>24</v>
      </c>
      <c r="C641">
        <v>20150316</v>
      </c>
      <c r="D641">
        <v>0</v>
      </c>
      <c r="F641">
        <v>62500</v>
      </c>
      <c r="G641" t="s">
        <v>17</v>
      </c>
      <c r="I641" t="s">
        <v>16</v>
      </c>
      <c r="J641" t="s">
        <v>180</v>
      </c>
      <c r="K641" t="s">
        <v>25</v>
      </c>
      <c r="L641">
        <v>132757294</v>
      </c>
      <c r="R641">
        <v>9781</v>
      </c>
      <c r="S641" t="s">
        <v>232</v>
      </c>
      <c r="T641">
        <v>0</v>
      </c>
      <c r="U641">
        <v>46</v>
      </c>
      <c r="V641">
        <v>0</v>
      </c>
      <c r="W641">
        <v>0</v>
      </c>
      <c r="X641">
        <v>0</v>
      </c>
    </row>
    <row r="642" spans="1:40" x14ac:dyDescent="0.25">
      <c r="A642" t="s">
        <v>15</v>
      </c>
      <c r="B642" t="s">
        <v>24</v>
      </c>
      <c r="C642">
        <v>20150316</v>
      </c>
      <c r="D642">
        <v>0</v>
      </c>
      <c r="F642">
        <v>62500</v>
      </c>
      <c r="G642" t="s">
        <v>17</v>
      </c>
      <c r="I642" t="s">
        <v>16</v>
      </c>
      <c r="J642" t="s">
        <v>180</v>
      </c>
      <c r="K642" t="s">
        <v>25</v>
      </c>
      <c r="L642">
        <v>132757294</v>
      </c>
      <c r="R642">
        <v>9781</v>
      </c>
      <c r="S642" t="s">
        <v>192</v>
      </c>
      <c r="T642">
        <v>0</v>
      </c>
      <c r="U642">
        <v>46</v>
      </c>
      <c r="V642">
        <v>0</v>
      </c>
      <c r="W642">
        <v>0</v>
      </c>
      <c r="X642">
        <v>0</v>
      </c>
    </row>
    <row r="643" spans="1:40" x14ac:dyDescent="0.25">
      <c r="A643" t="s">
        <v>15</v>
      </c>
      <c r="B643" t="s">
        <v>24</v>
      </c>
      <c r="C643">
        <v>20150316</v>
      </c>
      <c r="D643">
        <v>0</v>
      </c>
      <c r="F643">
        <v>62500</v>
      </c>
      <c r="G643" t="s">
        <v>17</v>
      </c>
      <c r="I643" t="s">
        <v>16</v>
      </c>
      <c r="J643" t="s">
        <v>180</v>
      </c>
      <c r="K643" t="s">
        <v>25</v>
      </c>
      <c r="L643">
        <v>132757294</v>
      </c>
      <c r="R643">
        <v>9779</v>
      </c>
      <c r="S643" t="s">
        <v>223</v>
      </c>
      <c r="T643">
        <v>4</v>
      </c>
      <c r="U643">
        <v>1</v>
      </c>
      <c r="V643">
        <v>1.5286999999999999</v>
      </c>
      <c r="W643">
        <v>1.5286999999999999</v>
      </c>
      <c r="X643">
        <v>0</v>
      </c>
    </row>
    <row r="644" spans="1:40" x14ac:dyDescent="0.25">
      <c r="A644" t="s">
        <v>15</v>
      </c>
      <c r="B644" t="s">
        <v>24</v>
      </c>
      <c r="C644">
        <v>20150316</v>
      </c>
      <c r="D644">
        <v>0</v>
      </c>
      <c r="F644">
        <v>62500</v>
      </c>
      <c r="G644" t="s">
        <v>17</v>
      </c>
      <c r="I644" t="s">
        <v>16</v>
      </c>
      <c r="J644" t="s">
        <v>180</v>
      </c>
      <c r="K644" t="s">
        <v>25</v>
      </c>
      <c r="L644">
        <v>132757294</v>
      </c>
      <c r="R644">
        <v>9779</v>
      </c>
      <c r="S644" t="s">
        <v>224</v>
      </c>
      <c r="T644">
        <v>4</v>
      </c>
      <c r="U644">
        <v>1</v>
      </c>
      <c r="V644">
        <v>1.5286999999999999</v>
      </c>
      <c r="W644">
        <v>1.5286999999999999</v>
      </c>
      <c r="X644">
        <v>0</v>
      </c>
    </row>
    <row r="645" spans="1:40" x14ac:dyDescent="0.25">
      <c r="A645" t="s">
        <v>15</v>
      </c>
      <c r="B645" t="s">
        <v>24</v>
      </c>
      <c r="C645">
        <v>20150316</v>
      </c>
      <c r="D645">
        <v>0</v>
      </c>
      <c r="F645">
        <v>62500</v>
      </c>
      <c r="G645" t="s">
        <v>17</v>
      </c>
      <c r="I645" t="s">
        <v>16</v>
      </c>
      <c r="J645" t="s">
        <v>180</v>
      </c>
      <c r="K645" t="s">
        <v>25</v>
      </c>
      <c r="L645">
        <v>132757294</v>
      </c>
      <c r="R645">
        <v>9782</v>
      </c>
      <c r="S645" t="s">
        <v>232</v>
      </c>
      <c r="T645">
        <v>0</v>
      </c>
      <c r="U645">
        <v>5</v>
      </c>
      <c r="V645">
        <v>0</v>
      </c>
      <c r="W645">
        <v>0</v>
      </c>
      <c r="X645">
        <v>0</v>
      </c>
    </row>
    <row r="646" spans="1:40" x14ac:dyDescent="0.25">
      <c r="A646" t="s">
        <v>15</v>
      </c>
      <c r="B646" t="s">
        <v>24</v>
      </c>
      <c r="C646">
        <v>20150316</v>
      </c>
      <c r="D646">
        <v>0</v>
      </c>
      <c r="F646">
        <v>62500</v>
      </c>
      <c r="G646" t="s">
        <v>17</v>
      </c>
      <c r="I646" t="s">
        <v>16</v>
      </c>
      <c r="J646" t="s">
        <v>180</v>
      </c>
      <c r="K646" t="s">
        <v>25</v>
      </c>
      <c r="L646">
        <v>132757294</v>
      </c>
      <c r="R646">
        <v>9782</v>
      </c>
      <c r="S646" t="s">
        <v>232</v>
      </c>
      <c r="T646">
        <v>0</v>
      </c>
      <c r="U646">
        <v>-5</v>
      </c>
      <c r="V646">
        <v>0</v>
      </c>
      <c r="W646">
        <v>0</v>
      </c>
      <c r="X646">
        <v>0</v>
      </c>
      <c r="Y646">
        <v>9782</v>
      </c>
      <c r="Z646" t="s">
        <v>6231</v>
      </c>
      <c r="AA646" t="s">
        <v>6232</v>
      </c>
      <c r="AB646" t="s">
        <v>234</v>
      </c>
      <c r="AC646" t="s">
        <v>17</v>
      </c>
      <c r="AD646" t="s">
        <v>235</v>
      </c>
      <c r="AE646">
        <v>5</v>
      </c>
      <c r="AF646">
        <v>5</v>
      </c>
      <c r="AG646">
        <v>1.5287999999999999</v>
      </c>
      <c r="AH646">
        <v>1.5287999999999999</v>
      </c>
      <c r="AI646">
        <v>1226100241</v>
      </c>
      <c r="AJ646">
        <v>0</v>
      </c>
      <c r="AK646">
        <v>7</v>
      </c>
      <c r="AN646">
        <v>0</v>
      </c>
    </row>
    <row r="647" spans="1:40" x14ac:dyDescent="0.25">
      <c r="A647" t="s">
        <v>15</v>
      </c>
      <c r="B647" t="s">
        <v>24</v>
      </c>
      <c r="C647">
        <v>20150316</v>
      </c>
      <c r="D647">
        <v>0</v>
      </c>
      <c r="F647">
        <v>62500</v>
      </c>
      <c r="G647" t="s">
        <v>17</v>
      </c>
      <c r="I647" t="s">
        <v>16</v>
      </c>
      <c r="J647" t="s">
        <v>180</v>
      </c>
      <c r="K647" t="s">
        <v>25</v>
      </c>
      <c r="L647">
        <v>132757294</v>
      </c>
      <c r="R647">
        <v>9782</v>
      </c>
      <c r="S647" t="s">
        <v>232</v>
      </c>
      <c r="T647">
        <v>0</v>
      </c>
      <c r="U647">
        <v>-5</v>
      </c>
      <c r="V647">
        <v>0</v>
      </c>
      <c r="W647">
        <v>0</v>
      </c>
      <c r="X647">
        <v>0</v>
      </c>
    </row>
    <row r="648" spans="1:40" x14ac:dyDescent="0.25">
      <c r="A648" t="s">
        <v>15</v>
      </c>
      <c r="B648" t="s">
        <v>24</v>
      </c>
      <c r="C648">
        <v>20150316</v>
      </c>
      <c r="D648">
        <v>0</v>
      </c>
      <c r="F648">
        <v>62500</v>
      </c>
      <c r="G648" t="s">
        <v>17</v>
      </c>
      <c r="I648" t="s">
        <v>16</v>
      </c>
      <c r="J648" t="s">
        <v>180</v>
      </c>
      <c r="K648" t="s">
        <v>25</v>
      </c>
      <c r="L648">
        <v>132757294</v>
      </c>
      <c r="R648">
        <v>9782</v>
      </c>
      <c r="S648" t="s">
        <v>37</v>
      </c>
      <c r="T648">
        <v>5</v>
      </c>
      <c r="U648">
        <v>0</v>
      </c>
      <c r="V648">
        <v>1.5287999999999999</v>
      </c>
      <c r="W648">
        <v>1.5287999999999999</v>
      </c>
      <c r="X648">
        <v>0</v>
      </c>
    </row>
    <row r="649" spans="1:40" x14ac:dyDescent="0.25">
      <c r="A649" t="s">
        <v>15</v>
      </c>
      <c r="B649" t="s">
        <v>24</v>
      </c>
      <c r="C649">
        <v>20150316</v>
      </c>
      <c r="D649">
        <v>0</v>
      </c>
      <c r="F649">
        <v>62500</v>
      </c>
      <c r="G649" t="s">
        <v>17</v>
      </c>
      <c r="I649" t="s">
        <v>16</v>
      </c>
      <c r="J649" t="s">
        <v>180</v>
      </c>
      <c r="K649" t="s">
        <v>25</v>
      </c>
      <c r="L649">
        <v>132757294</v>
      </c>
      <c r="R649">
        <v>9782</v>
      </c>
      <c r="S649" t="s">
        <v>37</v>
      </c>
      <c r="T649">
        <v>5</v>
      </c>
      <c r="U649">
        <v>0</v>
      </c>
      <c r="V649">
        <v>1.5287999999999999</v>
      </c>
      <c r="W649">
        <v>1.5287999999999999</v>
      </c>
      <c r="X649">
        <v>0</v>
      </c>
    </row>
    <row r="650" spans="1:40" x14ac:dyDescent="0.25">
      <c r="A650" t="s">
        <v>15</v>
      </c>
      <c r="B650" t="s">
        <v>24</v>
      </c>
      <c r="C650">
        <v>20150316</v>
      </c>
      <c r="D650">
        <v>0</v>
      </c>
      <c r="F650">
        <v>62500</v>
      </c>
      <c r="G650" t="s">
        <v>17</v>
      </c>
      <c r="I650" t="s">
        <v>16</v>
      </c>
      <c r="J650" t="s">
        <v>180</v>
      </c>
      <c r="K650" t="s">
        <v>25</v>
      </c>
      <c r="L650">
        <v>132757294</v>
      </c>
      <c r="R650">
        <v>9782</v>
      </c>
      <c r="S650" t="s">
        <v>37</v>
      </c>
      <c r="T650">
        <v>5</v>
      </c>
      <c r="U650">
        <v>0</v>
      </c>
      <c r="V650">
        <v>1.5287999999999999</v>
      </c>
      <c r="W650">
        <v>1.5287999999999999</v>
      </c>
      <c r="X650">
        <v>0</v>
      </c>
    </row>
    <row r="651" spans="1:40" x14ac:dyDescent="0.25">
      <c r="A651" t="s">
        <v>15</v>
      </c>
      <c r="B651" t="s">
        <v>24</v>
      </c>
      <c r="C651">
        <v>20150316</v>
      </c>
      <c r="D651">
        <v>0</v>
      </c>
      <c r="F651">
        <v>62500</v>
      </c>
      <c r="G651" t="s">
        <v>17</v>
      </c>
      <c r="I651" t="s">
        <v>16</v>
      </c>
      <c r="J651" t="s">
        <v>180</v>
      </c>
      <c r="K651" t="s">
        <v>25</v>
      </c>
      <c r="L651">
        <v>132757294</v>
      </c>
      <c r="R651">
        <v>9782</v>
      </c>
      <c r="S651" t="s">
        <v>37</v>
      </c>
      <c r="T651">
        <v>5</v>
      </c>
      <c r="U651">
        <v>0</v>
      </c>
      <c r="V651">
        <v>1.5287999999999999</v>
      </c>
      <c r="W651">
        <v>1.5287999999999999</v>
      </c>
      <c r="X651">
        <v>0</v>
      </c>
    </row>
    <row r="652" spans="1:40" x14ac:dyDescent="0.25">
      <c r="A652" t="s">
        <v>15</v>
      </c>
      <c r="B652" t="s">
        <v>24</v>
      </c>
      <c r="C652">
        <v>20150316</v>
      </c>
      <c r="D652">
        <v>0</v>
      </c>
      <c r="F652">
        <v>62500</v>
      </c>
      <c r="G652" t="s">
        <v>17</v>
      </c>
      <c r="I652" t="s">
        <v>16</v>
      </c>
      <c r="J652" t="s">
        <v>180</v>
      </c>
      <c r="K652" t="s">
        <v>25</v>
      </c>
      <c r="L652">
        <v>132757294</v>
      </c>
      <c r="R652">
        <v>9782</v>
      </c>
      <c r="S652" t="s">
        <v>37</v>
      </c>
      <c r="T652">
        <v>5</v>
      </c>
      <c r="U652">
        <v>0</v>
      </c>
      <c r="V652">
        <v>1.5287999999999999</v>
      </c>
      <c r="W652">
        <v>1.5287999999999999</v>
      </c>
      <c r="X652">
        <v>0</v>
      </c>
    </row>
    <row r="653" spans="1:40" x14ac:dyDescent="0.25">
      <c r="A653" t="s">
        <v>15</v>
      </c>
      <c r="B653" t="s">
        <v>24</v>
      </c>
      <c r="C653">
        <v>20150316</v>
      </c>
      <c r="D653">
        <v>0</v>
      </c>
      <c r="F653">
        <v>62500</v>
      </c>
      <c r="G653" t="s">
        <v>17</v>
      </c>
      <c r="I653" t="s">
        <v>16</v>
      </c>
      <c r="J653" t="s">
        <v>180</v>
      </c>
      <c r="K653" t="s">
        <v>25</v>
      </c>
      <c r="L653">
        <v>132757294</v>
      </c>
      <c r="R653">
        <v>9782</v>
      </c>
      <c r="S653" t="s">
        <v>37</v>
      </c>
      <c r="T653">
        <v>5</v>
      </c>
      <c r="U653">
        <v>0</v>
      </c>
      <c r="V653">
        <v>1.5287999999999999</v>
      </c>
      <c r="W653">
        <v>1.5287999999999999</v>
      </c>
      <c r="X653">
        <v>0</v>
      </c>
    </row>
    <row r="654" spans="1:40" x14ac:dyDescent="0.25">
      <c r="A654" t="s">
        <v>15</v>
      </c>
      <c r="B654" t="s">
        <v>24</v>
      </c>
      <c r="C654">
        <v>20150316</v>
      </c>
      <c r="D654">
        <v>0</v>
      </c>
      <c r="F654">
        <v>62500</v>
      </c>
      <c r="G654" t="s">
        <v>17</v>
      </c>
      <c r="I654" t="s">
        <v>16</v>
      </c>
      <c r="J654" t="s">
        <v>180</v>
      </c>
      <c r="K654" t="s">
        <v>25</v>
      </c>
      <c r="L654">
        <v>132757294</v>
      </c>
      <c r="R654">
        <v>9782</v>
      </c>
      <c r="S654" t="s">
        <v>37</v>
      </c>
      <c r="T654">
        <v>5</v>
      </c>
      <c r="U654">
        <v>0</v>
      </c>
      <c r="V654">
        <v>1.5287999999999999</v>
      </c>
      <c r="W654">
        <v>1.5287999999999999</v>
      </c>
      <c r="X654">
        <v>0</v>
      </c>
    </row>
    <row r="655" spans="1:40" x14ac:dyDescent="0.25">
      <c r="A655" t="s">
        <v>15</v>
      </c>
      <c r="B655" t="s">
        <v>24</v>
      </c>
      <c r="C655">
        <v>20150316</v>
      </c>
      <c r="D655">
        <v>0</v>
      </c>
      <c r="F655">
        <v>62500</v>
      </c>
      <c r="G655" t="s">
        <v>17</v>
      </c>
      <c r="I655" t="s">
        <v>16</v>
      </c>
      <c r="J655" t="s">
        <v>180</v>
      </c>
      <c r="K655" t="s">
        <v>25</v>
      </c>
      <c r="L655">
        <v>132757294</v>
      </c>
      <c r="R655">
        <v>9782</v>
      </c>
      <c r="S655" t="s">
        <v>37</v>
      </c>
      <c r="T655">
        <v>5</v>
      </c>
      <c r="U655">
        <v>0</v>
      </c>
      <c r="V655">
        <v>1.5287999999999999</v>
      </c>
      <c r="W655">
        <v>1.5287999999999999</v>
      </c>
      <c r="X655">
        <v>0</v>
      </c>
    </row>
    <row r="656" spans="1:40" x14ac:dyDescent="0.25">
      <c r="A656" t="s">
        <v>15</v>
      </c>
      <c r="B656" t="s">
        <v>24</v>
      </c>
      <c r="C656">
        <v>20150316</v>
      </c>
      <c r="D656">
        <v>0</v>
      </c>
      <c r="F656">
        <v>62500</v>
      </c>
      <c r="G656" t="s">
        <v>17</v>
      </c>
      <c r="I656" t="s">
        <v>16</v>
      </c>
      <c r="J656" t="s">
        <v>180</v>
      </c>
      <c r="K656" t="s">
        <v>25</v>
      </c>
      <c r="L656">
        <v>132757294</v>
      </c>
      <c r="R656">
        <v>9783</v>
      </c>
      <c r="S656" t="s">
        <v>232</v>
      </c>
      <c r="T656">
        <v>0</v>
      </c>
      <c r="U656">
        <v>1</v>
      </c>
      <c r="V656">
        <v>0</v>
      </c>
      <c r="W656">
        <v>0</v>
      </c>
      <c r="X656">
        <v>0</v>
      </c>
    </row>
    <row r="657" spans="1:24" x14ac:dyDescent="0.25">
      <c r="A657" t="s">
        <v>15</v>
      </c>
      <c r="B657" t="s">
        <v>24</v>
      </c>
      <c r="C657">
        <v>20150316</v>
      </c>
      <c r="D657">
        <v>0</v>
      </c>
      <c r="F657">
        <v>62500</v>
      </c>
      <c r="G657" t="s">
        <v>17</v>
      </c>
      <c r="I657" t="s">
        <v>16</v>
      </c>
      <c r="J657" t="s">
        <v>180</v>
      </c>
      <c r="K657" t="s">
        <v>25</v>
      </c>
      <c r="L657">
        <v>132757294</v>
      </c>
      <c r="R657">
        <v>9784</v>
      </c>
      <c r="S657" t="s">
        <v>232</v>
      </c>
      <c r="T657">
        <v>0</v>
      </c>
      <c r="U657">
        <v>-45</v>
      </c>
      <c r="V657">
        <v>0</v>
      </c>
      <c r="W657">
        <v>0</v>
      </c>
      <c r="X657">
        <v>0</v>
      </c>
    </row>
    <row r="658" spans="1:24" x14ac:dyDescent="0.25">
      <c r="A658" t="s">
        <v>15</v>
      </c>
      <c r="B658" t="s">
        <v>24</v>
      </c>
      <c r="C658">
        <v>20150316</v>
      </c>
      <c r="D658">
        <v>0</v>
      </c>
      <c r="F658">
        <v>62500</v>
      </c>
      <c r="G658" t="s">
        <v>17</v>
      </c>
      <c r="I658" t="s">
        <v>16</v>
      </c>
      <c r="J658" t="s">
        <v>180</v>
      </c>
      <c r="K658" t="s">
        <v>25</v>
      </c>
      <c r="L658">
        <v>132757294</v>
      </c>
      <c r="R658">
        <v>9783</v>
      </c>
      <c r="S658" t="s">
        <v>232</v>
      </c>
      <c r="T658">
        <v>0</v>
      </c>
      <c r="U658">
        <v>1</v>
      </c>
      <c r="V658">
        <v>0</v>
      </c>
      <c r="W658">
        <v>0</v>
      </c>
      <c r="X658">
        <v>0</v>
      </c>
    </row>
    <row r="659" spans="1:24" x14ac:dyDescent="0.25">
      <c r="A659" t="s">
        <v>15</v>
      </c>
      <c r="B659" t="s">
        <v>24</v>
      </c>
      <c r="C659">
        <v>20150316</v>
      </c>
      <c r="D659">
        <v>0</v>
      </c>
      <c r="F659">
        <v>62500</v>
      </c>
      <c r="G659" t="s">
        <v>17</v>
      </c>
      <c r="I659" t="s">
        <v>16</v>
      </c>
      <c r="J659" t="s">
        <v>180</v>
      </c>
      <c r="K659" t="s">
        <v>25</v>
      </c>
      <c r="L659">
        <v>132757294</v>
      </c>
      <c r="R659">
        <v>9783</v>
      </c>
      <c r="S659" t="s">
        <v>233</v>
      </c>
      <c r="T659">
        <v>0</v>
      </c>
      <c r="U659">
        <v>1</v>
      </c>
      <c r="V659">
        <v>0</v>
      </c>
      <c r="W659">
        <v>0</v>
      </c>
      <c r="X659">
        <v>0</v>
      </c>
    </row>
    <row r="660" spans="1:24" x14ac:dyDescent="0.25">
      <c r="A660" t="s">
        <v>15</v>
      </c>
      <c r="B660" t="s">
        <v>24</v>
      </c>
      <c r="C660">
        <v>20150316</v>
      </c>
      <c r="D660">
        <v>0</v>
      </c>
      <c r="F660">
        <v>62500</v>
      </c>
      <c r="G660" t="s">
        <v>17</v>
      </c>
      <c r="I660" t="s">
        <v>16</v>
      </c>
      <c r="J660" t="s">
        <v>180</v>
      </c>
      <c r="K660" t="s">
        <v>25</v>
      </c>
      <c r="L660">
        <v>132757294</v>
      </c>
      <c r="R660">
        <v>9784</v>
      </c>
      <c r="S660" t="s">
        <v>232</v>
      </c>
      <c r="T660">
        <v>0</v>
      </c>
      <c r="U660">
        <v>-45</v>
      </c>
      <c r="V660">
        <v>0</v>
      </c>
      <c r="W660">
        <v>0</v>
      </c>
      <c r="X660">
        <v>0</v>
      </c>
    </row>
    <row r="661" spans="1:24" x14ac:dyDescent="0.25">
      <c r="A661" t="s">
        <v>15</v>
      </c>
      <c r="B661" t="s">
        <v>24</v>
      </c>
      <c r="C661">
        <v>20150316</v>
      </c>
      <c r="D661">
        <v>0</v>
      </c>
      <c r="F661">
        <v>62500</v>
      </c>
      <c r="G661" t="s">
        <v>17</v>
      </c>
      <c r="I661" t="s">
        <v>16</v>
      </c>
      <c r="J661" t="s">
        <v>180</v>
      </c>
      <c r="K661" t="s">
        <v>25</v>
      </c>
      <c r="L661">
        <v>132757294</v>
      </c>
      <c r="R661">
        <v>9784</v>
      </c>
      <c r="S661" t="s">
        <v>192</v>
      </c>
      <c r="T661">
        <v>0</v>
      </c>
      <c r="U661">
        <v>45</v>
      </c>
      <c r="V661">
        <v>0</v>
      </c>
      <c r="W661">
        <v>0</v>
      </c>
      <c r="X661">
        <v>0</v>
      </c>
    </row>
    <row r="662" spans="1:24" x14ac:dyDescent="0.25">
      <c r="A662" t="s">
        <v>15</v>
      </c>
      <c r="B662" t="s">
        <v>24</v>
      </c>
      <c r="C662">
        <v>20150316</v>
      </c>
      <c r="D662">
        <v>0</v>
      </c>
      <c r="F662">
        <v>62500</v>
      </c>
      <c r="G662" t="s">
        <v>17</v>
      </c>
      <c r="I662" t="s">
        <v>16</v>
      </c>
      <c r="J662" t="s">
        <v>180</v>
      </c>
      <c r="K662" t="s">
        <v>25</v>
      </c>
      <c r="L662">
        <v>132757294</v>
      </c>
      <c r="R662">
        <v>9785</v>
      </c>
      <c r="S662" t="s">
        <v>232</v>
      </c>
      <c r="T662">
        <v>0</v>
      </c>
      <c r="U662">
        <v>52</v>
      </c>
      <c r="V662">
        <v>0</v>
      </c>
      <c r="W662">
        <v>0</v>
      </c>
      <c r="X662">
        <v>0</v>
      </c>
    </row>
    <row r="663" spans="1:24" x14ac:dyDescent="0.25">
      <c r="A663" t="s">
        <v>15</v>
      </c>
      <c r="B663" t="s">
        <v>24</v>
      </c>
      <c r="C663">
        <v>20150316</v>
      </c>
      <c r="D663">
        <v>0</v>
      </c>
      <c r="F663">
        <v>62500</v>
      </c>
      <c r="G663" t="s">
        <v>17</v>
      </c>
      <c r="I663" t="s">
        <v>16</v>
      </c>
      <c r="J663" t="s">
        <v>180</v>
      </c>
      <c r="K663" t="s">
        <v>25</v>
      </c>
      <c r="L663">
        <v>132757294</v>
      </c>
      <c r="R663">
        <v>9781</v>
      </c>
      <c r="S663" t="s">
        <v>223</v>
      </c>
      <c r="T663">
        <v>0</v>
      </c>
      <c r="U663">
        <v>46</v>
      </c>
      <c r="V663">
        <v>0</v>
      </c>
      <c r="W663">
        <v>0</v>
      </c>
      <c r="X663">
        <v>0</v>
      </c>
    </row>
    <row r="664" spans="1:24" x14ac:dyDescent="0.25">
      <c r="A664" t="s">
        <v>15</v>
      </c>
      <c r="B664" t="s">
        <v>24</v>
      </c>
      <c r="C664">
        <v>20150316</v>
      </c>
      <c r="D664">
        <v>0</v>
      </c>
      <c r="F664">
        <v>62500</v>
      </c>
      <c r="G664" t="s">
        <v>17</v>
      </c>
      <c r="I664" t="s">
        <v>16</v>
      </c>
      <c r="J664" t="s">
        <v>180</v>
      </c>
      <c r="K664" t="s">
        <v>25</v>
      </c>
      <c r="L664">
        <v>132757294</v>
      </c>
      <c r="R664">
        <v>9781</v>
      </c>
      <c r="S664" t="s">
        <v>224</v>
      </c>
      <c r="T664">
        <v>0</v>
      </c>
      <c r="U664">
        <v>46</v>
      </c>
      <c r="V664">
        <v>0</v>
      </c>
      <c r="W664">
        <v>0</v>
      </c>
      <c r="X664">
        <v>0</v>
      </c>
    </row>
    <row r="665" spans="1:24" x14ac:dyDescent="0.25">
      <c r="A665" t="s">
        <v>15</v>
      </c>
      <c r="B665" t="s">
        <v>24</v>
      </c>
      <c r="C665">
        <v>20150316</v>
      </c>
      <c r="D665">
        <v>0</v>
      </c>
      <c r="F665">
        <v>62500</v>
      </c>
      <c r="G665" t="s">
        <v>17</v>
      </c>
      <c r="I665" t="s">
        <v>16</v>
      </c>
      <c r="J665" t="s">
        <v>180</v>
      </c>
      <c r="K665" t="s">
        <v>25</v>
      </c>
      <c r="L665">
        <v>132757294</v>
      </c>
      <c r="R665">
        <v>9784</v>
      </c>
      <c r="S665" t="s">
        <v>223</v>
      </c>
      <c r="T665">
        <v>0</v>
      </c>
      <c r="U665">
        <v>45</v>
      </c>
      <c r="V665">
        <v>0</v>
      </c>
      <c r="W665">
        <v>0</v>
      </c>
      <c r="X665">
        <v>0</v>
      </c>
    </row>
    <row r="666" spans="1:24" x14ac:dyDescent="0.25">
      <c r="A666" t="s">
        <v>15</v>
      </c>
      <c r="B666" t="s">
        <v>24</v>
      </c>
      <c r="C666">
        <v>20150316</v>
      </c>
      <c r="D666">
        <v>0</v>
      </c>
      <c r="F666">
        <v>62500</v>
      </c>
      <c r="G666" t="s">
        <v>17</v>
      </c>
      <c r="I666" t="s">
        <v>16</v>
      </c>
      <c r="J666" t="s">
        <v>180</v>
      </c>
      <c r="K666" t="s">
        <v>25</v>
      </c>
      <c r="L666">
        <v>132757294</v>
      </c>
      <c r="R666">
        <v>9784</v>
      </c>
      <c r="S666" t="s">
        <v>224</v>
      </c>
      <c r="T666">
        <v>0</v>
      </c>
      <c r="U666">
        <v>45</v>
      </c>
      <c r="V666">
        <v>0</v>
      </c>
      <c r="W666">
        <v>0</v>
      </c>
      <c r="X666">
        <v>0</v>
      </c>
    </row>
    <row r="667" spans="1:24" x14ac:dyDescent="0.25">
      <c r="A667" t="s">
        <v>15</v>
      </c>
      <c r="B667" t="s">
        <v>24</v>
      </c>
      <c r="C667">
        <v>20150316</v>
      </c>
      <c r="D667">
        <v>0</v>
      </c>
      <c r="F667">
        <v>62500</v>
      </c>
      <c r="G667" t="s">
        <v>17</v>
      </c>
      <c r="I667" t="s">
        <v>16</v>
      </c>
      <c r="J667" t="s">
        <v>180</v>
      </c>
      <c r="K667" t="s">
        <v>25</v>
      </c>
      <c r="L667">
        <v>132757294</v>
      </c>
      <c r="R667">
        <v>9785</v>
      </c>
      <c r="S667" t="s">
        <v>232</v>
      </c>
      <c r="T667">
        <v>0</v>
      </c>
      <c r="U667">
        <v>52</v>
      </c>
      <c r="V667">
        <v>0</v>
      </c>
      <c r="W667">
        <v>0</v>
      </c>
      <c r="X667">
        <v>0</v>
      </c>
    </row>
    <row r="668" spans="1:24" x14ac:dyDescent="0.25">
      <c r="A668" t="s">
        <v>15</v>
      </c>
      <c r="B668" t="s">
        <v>24</v>
      </c>
      <c r="C668">
        <v>20150316</v>
      </c>
      <c r="D668">
        <v>0</v>
      </c>
      <c r="F668">
        <v>62500</v>
      </c>
      <c r="G668" t="s">
        <v>17</v>
      </c>
      <c r="I668" t="s">
        <v>16</v>
      </c>
      <c r="J668" t="s">
        <v>180</v>
      </c>
      <c r="K668" t="s">
        <v>25</v>
      </c>
      <c r="L668">
        <v>132757294</v>
      </c>
      <c r="R668">
        <v>9785</v>
      </c>
      <c r="S668" t="s">
        <v>192</v>
      </c>
      <c r="T668">
        <v>0</v>
      </c>
      <c r="U668">
        <v>52</v>
      </c>
      <c r="V668">
        <v>0</v>
      </c>
      <c r="W668">
        <v>0</v>
      </c>
      <c r="X668">
        <v>0</v>
      </c>
    </row>
    <row r="669" spans="1:24" x14ac:dyDescent="0.25">
      <c r="A669" t="s">
        <v>15</v>
      </c>
      <c r="B669" t="s">
        <v>24</v>
      </c>
      <c r="C669">
        <v>20150316</v>
      </c>
      <c r="D669">
        <v>0</v>
      </c>
      <c r="F669">
        <v>62500</v>
      </c>
      <c r="G669" t="s">
        <v>17</v>
      </c>
      <c r="I669" t="s">
        <v>16</v>
      </c>
      <c r="J669" t="s">
        <v>180</v>
      </c>
      <c r="K669" t="s">
        <v>25</v>
      </c>
      <c r="L669">
        <v>132757294</v>
      </c>
      <c r="R669">
        <v>9783</v>
      </c>
      <c r="S669" t="s">
        <v>223</v>
      </c>
      <c r="T669">
        <v>0</v>
      </c>
      <c r="U669">
        <v>1</v>
      </c>
      <c r="V669">
        <v>0</v>
      </c>
      <c r="W669">
        <v>0</v>
      </c>
      <c r="X669">
        <v>0</v>
      </c>
    </row>
    <row r="670" spans="1:24" x14ac:dyDescent="0.25">
      <c r="A670" t="s">
        <v>15</v>
      </c>
      <c r="B670" t="s">
        <v>24</v>
      </c>
      <c r="C670">
        <v>20150316</v>
      </c>
      <c r="D670">
        <v>0</v>
      </c>
      <c r="F670">
        <v>62500</v>
      </c>
      <c r="G670" t="s">
        <v>17</v>
      </c>
      <c r="I670" t="s">
        <v>16</v>
      </c>
      <c r="J670" t="s">
        <v>180</v>
      </c>
      <c r="K670" t="s">
        <v>25</v>
      </c>
      <c r="L670">
        <v>132757294</v>
      </c>
      <c r="R670">
        <v>9783</v>
      </c>
      <c r="S670" t="s">
        <v>224</v>
      </c>
      <c r="T670">
        <v>0</v>
      </c>
      <c r="U670">
        <v>1</v>
      </c>
      <c r="V670">
        <v>0</v>
      </c>
      <c r="W670">
        <v>0</v>
      </c>
      <c r="X670">
        <v>0</v>
      </c>
    </row>
    <row r="671" spans="1:24" x14ac:dyDescent="0.25">
      <c r="A671" t="s">
        <v>15</v>
      </c>
      <c r="B671" t="s">
        <v>24</v>
      </c>
      <c r="C671">
        <v>20150316</v>
      </c>
      <c r="D671">
        <v>0</v>
      </c>
      <c r="F671">
        <v>62500</v>
      </c>
      <c r="G671" t="s">
        <v>17</v>
      </c>
      <c r="I671" t="s">
        <v>16</v>
      </c>
      <c r="J671" t="s">
        <v>180</v>
      </c>
      <c r="K671" t="s">
        <v>25</v>
      </c>
      <c r="L671">
        <v>132757294</v>
      </c>
      <c r="R671">
        <v>9786</v>
      </c>
      <c r="S671" t="s">
        <v>232</v>
      </c>
      <c r="T671">
        <v>0</v>
      </c>
      <c r="U671">
        <v>1</v>
      </c>
      <c r="V671">
        <v>0</v>
      </c>
      <c r="W671">
        <v>0</v>
      </c>
      <c r="X671">
        <v>0</v>
      </c>
    </row>
    <row r="672" spans="1:24" x14ac:dyDescent="0.25">
      <c r="A672" t="s">
        <v>15</v>
      </c>
      <c r="B672" t="s">
        <v>24</v>
      </c>
      <c r="C672">
        <v>20150316</v>
      </c>
      <c r="D672">
        <v>0</v>
      </c>
      <c r="F672">
        <v>62500</v>
      </c>
      <c r="G672" t="s">
        <v>17</v>
      </c>
      <c r="I672" t="s">
        <v>16</v>
      </c>
      <c r="J672" t="s">
        <v>180</v>
      </c>
      <c r="K672" t="s">
        <v>25</v>
      </c>
      <c r="L672">
        <v>132757294</v>
      </c>
      <c r="R672">
        <v>9786</v>
      </c>
      <c r="S672" t="s">
        <v>232</v>
      </c>
      <c r="T672">
        <v>0</v>
      </c>
      <c r="U672">
        <v>1</v>
      </c>
      <c r="V672">
        <v>0</v>
      </c>
      <c r="W672">
        <v>0</v>
      </c>
      <c r="X672">
        <v>0</v>
      </c>
    </row>
    <row r="673" spans="1:40" x14ac:dyDescent="0.25">
      <c r="A673" t="s">
        <v>15</v>
      </c>
      <c r="B673" t="s">
        <v>24</v>
      </c>
      <c r="C673">
        <v>20150316</v>
      </c>
      <c r="D673">
        <v>0</v>
      </c>
      <c r="F673">
        <v>62500</v>
      </c>
      <c r="G673" t="s">
        <v>17</v>
      </c>
      <c r="I673" t="s">
        <v>16</v>
      </c>
      <c r="J673" t="s">
        <v>180</v>
      </c>
      <c r="K673" t="s">
        <v>25</v>
      </c>
      <c r="L673">
        <v>132757294</v>
      </c>
      <c r="R673">
        <v>9786</v>
      </c>
      <c r="S673" t="s">
        <v>233</v>
      </c>
      <c r="T673">
        <v>0</v>
      </c>
      <c r="U673">
        <v>1</v>
      </c>
      <c r="V673">
        <v>0</v>
      </c>
      <c r="W673">
        <v>0</v>
      </c>
      <c r="X673">
        <v>0</v>
      </c>
    </row>
    <row r="674" spans="1:40" x14ac:dyDescent="0.25">
      <c r="A674" t="s">
        <v>15</v>
      </c>
      <c r="B674" t="s">
        <v>24</v>
      </c>
      <c r="C674">
        <v>20150316</v>
      </c>
      <c r="D674">
        <v>0</v>
      </c>
      <c r="F674">
        <v>62500</v>
      </c>
      <c r="G674" t="s">
        <v>17</v>
      </c>
      <c r="I674" t="s">
        <v>16</v>
      </c>
      <c r="J674" t="s">
        <v>180</v>
      </c>
      <c r="K674" t="s">
        <v>25</v>
      </c>
      <c r="L674">
        <v>132757294</v>
      </c>
      <c r="R674">
        <v>9786</v>
      </c>
      <c r="S674" t="s">
        <v>223</v>
      </c>
      <c r="T674">
        <v>0</v>
      </c>
      <c r="U674">
        <v>1</v>
      </c>
      <c r="V674">
        <v>0</v>
      </c>
      <c r="W674">
        <v>0</v>
      </c>
      <c r="X674">
        <v>0</v>
      </c>
    </row>
    <row r="675" spans="1:40" x14ac:dyDescent="0.25">
      <c r="A675" t="s">
        <v>15</v>
      </c>
      <c r="B675" t="s">
        <v>24</v>
      </c>
      <c r="C675">
        <v>20150316</v>
      </c>
      <c r="D675">
        <v>0</v>
      </c>
      <c r="F675">
        <v>62500</v>
      </c>
      <c r="G675" t="s">
        <v>17</v>
      </c>
      <c r="I675" t="s">
        <v>16</v>
      </c>
      <c r="J675" t="s">
        <v>180</v>
      </c>
      <c r="K675" t="s">
        <v>25</v>
      </c>
      <c r="L675">
        <v>132757294</v>
      </c>
      <c r="R675">
        <v>9786</v>
      </c>
      <c r="S675" t="s">
        <v>224</v>
      </c>
      <c r="T675">
        <v>0</v>
      </c>
      <c r="U675">
        <v>1</v>
      </c>
      <c r="V675">
        <v>0</v>
      </c>
      <c r="W675">
        <v>0</v>
      </c>
      <c r="X675">
        <v>0</v>
      </c>
    </row>
    <row r="676" spans="1:40" x14ac:dyDescent="0.25">
      <c r="A676" t="s">
        <v>15</v>
      </c>
      <c r="B676" t="s">
        <v>24</v>
      </c>
      <c r="C676">
        <v>20150316</v>
      </c>
      <c r="D676">
        <v>0</v>
      </c>
      <c r="F676">
        <v>62500</v>
      </c>
      <c r="G676" t="s">
        <v>17</v>
      </c>
      <c r="I676" t="s">
        <v>16</v>
      </c>
      <c r="J676" t="s">
        <v>180</v>
      </c>
      <c r="K676" t="s">
        <v>25</v>
      </c>
      <c r="L676">
        <v>132757294</v>
      </c>
      <c r="R676">
        <v>9787</v>
      </c>
      <c r="S676" t="s">
        <v>232</v>
      </c>
      <c r="T676">
        <v>0</v>
      </c>
      <c r="U676">
        <v>1</v>
      </c>
      <c r="V676">
        <v>0</v>
      </c>
      <c r="W676">
        <v>0</v>
      </c>
      <c r="X676">
        <v>0</v>
      </c>
    </row>
    <row r="677" spans="1:40" x14ac:dyDescent="0.25">
      <c r="A677" t="s">
        <v>15</v>
      </c>
      <c r="B677" t="s">
        <v>24</v>
      </c>
      <c r="C677">
        <v>20150316</v>
      </c>
      <c r="D677">
        <v>0</v>
      </c>
      <c r="F677">
        <v>62500</v>
      </c>
      <c r="G677" t="s">
        <v>17</v>
      </c>
      <c r="I677" t="s">
        <v>16</v>
      </c>
      <c r="J677" t="s">
        <v>180</v>
      </c>
      <c r="K677" t="s">
        <v>25</v>
      </c>
      <c r="L677">
        <v>132757294</v>
      </c>
      <c r="R677">
        <v>9788</v>
      </c>
      <c r="S677" t="s">
        <v>232</v>
      </c>
      <c r="T677">
        <v>0</v>
      </c>
      <c r="U677">
        <v>-51</v>
      </c>
      <c r="V677">
        <v>0</v>
      </c>
      <c r="W677">
        <v>0</v>
      </c>
      <c r="X677">
        <v>0</v>
      </c>
    </row>
    <row r="678" spans="1:40" x14ac:dyDescent="0.25">
      <c r="A678" t="s">
        <v>15</v>
      </c>
      <c r="B678" t="s">
        <v>24</v>
      </c>
      <c r="C678">
        <v>20150316</v>
      </c>
      <c r="D678">
        <v>0</v>
      </c>
      <c r="F678">
        <v>62500</v>
      </c>
      <c r="G678" t="s">
        <v>17</v>
      </c>
      <c r="I678" t="s">
        <v>16</v>
      </c>
      <c r="J678" t="s">
        <v>180</v>
      </c>
      <c r="K678" t="s">
        <v>25</v>
      </c>
      <c r="L678">
        <v>132757294</v>
      </c>
      <c r="R678">
        <v>9787</v>
      </c>
      <c r="S678" t="s">
        <v>232</v>
      </c>
      <c r="T678">
        <v>0</v>
      </c>
      <c r="U678">
        <v>1</v>
      </c>
      <c r="V678">
        <v>0</v>
      </c>
      <c r="W678">
        <v>0</v>
      </c>
      <c r="X678">
        <v>0</v>
      </c>
    </row>
    <row r="679" spans="1:40" x14ac:dyDescent="0.25">
      <c r="A679" t="s">
        <v>15</v>
      </c>
      <c r="B679" t="s">
        <v>24</v>
      </c>
      <c r="C679">
        <v>20150316</v>
      </c>
      <c r="D679">
        <v>0</v>
      </c>
      <c r="F679">
        <v>62500</v>
      </c>
      <c r="G679" t="s">
        <v>17</v>
      </c>
      <c r="I679" t="s">
        <v>16</v>
      </c>
      <c r="J679" t="s">
        <v>180</v>
      </c>
      <c r="K679" t="s">
        <v>25</v>
      </c>
      <c r="L679">
        <v>132757294</v>
      </c>
      <c r="R679">
        <v>9787</v>
      </c>
      <c r="S679" t="s">
        <v>233</v>
      </c>
      <c r="T679">
        <v>0</v>
      </c>
      <c r="U679">
        <v>1</v>
      </c>
      <c r="V679">
        <v>0</v>
      </c>
      <c r="W679">
        <v>0</v>
      </c>
      <c r="X679">
        <v>0</v>
      </c>
    </row>
    <row r="680" spans="1:40" x14ac:dyDescent="0.25">
      <c r="A680" t="s">
        <v>15</v>
      </c>
      <c r="B680" t="s">
        <v>24</v>
      </c>
      <c r="C680">
        <v>20150316</v>
      </c>
      <c r="D680">
        <v>0</v>
      </c>
      <c r="F680">
        <v>62500</v>
      </c>
      <c r="G680" t="s">
        <v>17</v>
      </c>
      <c r="I680" t="s">
        <v>16</v>
      </c>
      <c r="J680" t="s">
        <v>180</v>
      </c>
      <c r="K680" t="s">
        <v>25</v>
      </c>
      <c r="L680">
        <v>132757294</v>
      </c>
      <c r="R680">
        <v>9788</v>
      </c>
      <c r="S680" t="s">
        <v>232</v>
      </c>
      <c r="T680">
        <v>0</v>
      </c>
      <c r="U680">
        <v>-51</v>
      </c>
      <c r="V680">
        <v>0</v>
      </c>
      <c r="W680">
        <v>0</v>
      </c>
      <c r="X680">
        <v>0</v>
      </c>
    </row>
    <row r="681" spans="1:40" x14ac:dyDescent="0.25">
      <c r="A681" t="s">
        <v>15</v>
      </c>
      <c r="B681" t="s">
        <v>24</v>
      </c>
      <c r="C681">
        <v>20150316</v>
      </c>
      <c r="D681">
        <v>0</v>
      </c>
      <c r="F681">
        <v>62500</v>
      </c>
      <c r="G681" t="s">
        <v>17</v>
      </c>
      <c r="I681" t="s">
        <v>16</v>
      </c>
      <c r="J681" t="s">
        <v>180</v>
      </c>
      <c r="K681" t="s">
        <v>25</v>
      </c>
      <c r="L681">
        <v>132757294</v>
      </c>
      <c r="R681">
        <v>9788</v>
      </c>
      <c r="S681" t="s">
        <v>192</v>
      </c>
      <c r="T681">
        <v>0</v>
      </c>
      <c r="U681">
        <v>51</v>
      </c>
      <c r="V681">
        <v>0</v>
      </c>
      <c r="W681">
        <v>0</v>
      </c>
      <c r="X681">
        <v>0</v>
      </c>
    </row>
    <row r="682" spans="1:40" x14ac:dyDescent="0.25">
      <c r="A682" t="s">
        <v>15</v>
      </c>
      <c r="B682" t="s">
        <v>24</v>
      </c>
      <c r="C682">
        <v>20150316</v>
      </c>
      <c r="D682">
        <v>0</v>
      </c>
      <c r="F682">
        <v>62500</v>
      </c>
      <c r="G682" t="s">
        <v>17</v>
      </c>
      <c r="I682" t="s">
        <v>16</v>
      </c>
      <c r="J682" t="s">
        <v>180</v>
      </c>
      <c r="K682" t="s">
        <v>25</v>
      </c>
      <c r="L682">
        <v>132757294</v>
      </c>
      <c r="R682">
        <v>9787</v>
      </c>
      <c r="S682" t="s">
        <v>233</v>
      </c>
      <c r="T682">
        <v>0</v>
      </c>
      <c r="U682">
        <v>-1</v>
      </c>
      <c r="V682">
        <v>0</v>
      </c>
      <c r="W682">
        <v>0</v>
      </c>
      <c r="X682">
        <v>0</v>
      </c>
      <c r="Y682">
        <v>9787</v>
      </c>
      <c r="Z682" t="s">
        <v>6487</v>
      </c>
      <c r="AA682" t="s">
        <v>6488</v>
      </c>
      <c r="AB682" t="s">
        <v>234</v>
      </c>
      <c r="AC682" t="s">
        <v>17</v>
      </c>
      <c r="AD682" t="s">
        <v>235</v>
      </c>
      <c r="AE682">
        <v>1</v>
      </c>
      <c r="AF682">
        <v>1</v>
      </c>
      <c r="AG682">
        <v>1.5288999999999999</v>
      </c>
      <c r="AH682">
        <v>1.5288999999999999</v>
      </c>
      <c r="AI682">
        <v>1226100246</v>
      </c>
      <c r="AJ682">
        <v>0</v>
      </c>
      <c r="AK682">
        <v>7</v>
      </c>
      <c r="AN682">
        <v>0</v>
      </c>
    </row>
    <row r="683" spans="1:40" x14ac:dyDescent="0.25">
      <c r="A683" t="s">
        <v>15</v>
      </c>
      <c r="B683" t="s">
        <v>24</v>
      </c>
      <c r="C683">
        <v>20150316</v>
      </c>
      <c r="D683">
        <v>0</v>
      </c>
      <c r="F683">
        <v>62500</v>
      </c>
      <c r="G683" t="s">
        <v>17</v>
      </c>
      <c r="I683" t="s">
        <v>16</v>
      </c>
      <c r="J683" t="s">
        <v>180</v>
      </c>
      <c r="K683" t="s">
        <v>25</v>
      </c>
      <c r="L683">
        <v>132757294</v>
      </c>
      <c r="R683">
        <v>9787</v>
      </c>
      <c r="S683" t="s">
        <v>233</v>
      </c>
      <c r="T683">
        <v>0</v>
      </c>
      <c r="U683">
        <v>-1</v>
      </c>
      <c r="V683">
        <v>0</v>
      </c>
      <c r="W683">
        <v>0</v>
      </c>
      <c r="X683">
        <v>0</v>
      </c>
    </row>
    <row r="684" spans="1:40" x14ac:dyDescent="0.25">
      <c r="A684" t="s">
        <v>15</v>
      </c>
      <c r="B684" t="s">
        <v>24</v>
      </c>
      <c r="C684">
        <v>20150316</v>
      </c>
      <c r="D684">
        <v>0</v>
      </c>
      <c r="F684">
        <v>62500</v>
      </c>
      <c r="G684" t="s">
        <v>17</v>
      </c>
      <c r="I684" t="s">
        <v>16</v>
      </c>
      <c r="J684" t="s">
        <v>180</v>
      </c>
      <c r="K684" t="s">
        <v>25</v>
      </c>
      <c r="L684">
        <v>132757294</v>
      </c>
      <c r="R684">
        <v>9787</v>
      </c>
      <c r="S684" t="s">
        <v>37</v>
      </c>
      <c r="T684">
        <v>1</v>
      </c>
      <c r="U684">
        <v>0</v>
      </c>
      <c r="V684">
        <v>1.5288999999999999</v>
      </c>
      <c r="W684">
        <v>1.5288999999999999</v>
      </c>
      <c r="X684">
        <v>0</v>
      </c>
    </row>
    <row r="685" spans="1:40" x14ac:dyDescent="0.25">
      <c r="A685" t="s">
        <v>15</v>
      </c>
      <c r="B685" t="s">
        <v>24</v>
      </c>
      <c r="C685">
        <v>20150316</v>
      </c>
      <c r="D685">
        <v>0</v>
      </c>
      <c r="F685">
        <v>62500</v>
      </c>
      <c r="G685" t="s">
        <v>17</v>
      </c>
      <c r="I685" t="s">
        <v>16</v>
      </c>
      <c r="J685" t="s">
        <v>180</v>
      </c>
      <c r="K685" t="s">
        <v>25</v>
      </c>
      <c r="L685">
        <v>132757294</v>
      </c>
      <c r="R685">
        <v>9787</v>
      </c>
      <c r="S685" t="s">
        <v>37</v>
      </c>
      <c r="T685">
        <v>1</v>
      </c>
      <c r="U685">
        <v>0</v>
      </c>
      <c r="V685">
        <v>1.5288999999999999</v>
      </c>
      <c r="W685">
        <v>1.5288999999999999</v>
      </c>
      <c r="X685">
        <v>0</v>
      </c>
    </row>
    <row r="686" spans="1:40" x14ac:dyDescent="0.25">
      <c r="A686" t="s">
        <v>15</v>
      </c>
      <c r="B686" t="s">
        <v>24</v>
      </c>
      <c r="C686">
        <v>20150316</v>
      </c>
      <c r="D686">
        <v>0</v>
      </c>
      <c r="F686">
        <v>62500</v>
      </c>
      <c r="G686" t="s">
        <v>17</v>
      </c>
      <c r="I686" t="s">
        <v>16</v>
      </c>
      <c r="J686" t="s">
        <v>180</v>
      </c>
      <c r="K686" t="s">
        <v>25</v>
      </c>
      <c r="L686">
        <v>132757294</v>
      </c>
      <c r="R686">
        <v>9789</v>
      </c>
      <c r="S686" t="s">
        <v>232</v>
      </c>
      <c r="T686">
        <v>0</v>
      </c>
      <c r="U686">
        <v>49</v>
      </c>
      <c r="V686">
        <v>0</v>
      </c>
      <c r="W686">
        <v>0</v>
      </c>
      <c r="X686">
        <v>0</v>
      </c>
    </row>
    <row r="687" spans="1:40" x14ac:dyDescent="0.25">
      <c r="A687" t="s">
        <v>15</v>
      </c>
      <c r="B687" t="s">
        <v>24</v>
      </c>
      <c r="C687">
        <v>20150316</v>
      </c>
      <c r="D687">
        <v>0</v>
      </c>
      <c r="F687">
        <v>62500</v>
      </c>
      <c r="G687" t="s">
        <v>17</v>
      </c>
      <c r="I687" t="s">
        <v>16</v>
      </c>
      <c r="J687" t="s">
        <v>180</v>
      </c>
      <c r="K687" t="s">
        <v>25</v>
      </c>
      <c r="L687">
        <v>132757294</v>
      </c>
      <c r="R687">
        <v>9787</v>
      </c>
      <c r="S687" t="s">
        <v>37</v>
      </c>
      <c r="T687">
        <v>1</v>
      </c>
      <c r="U687">
        <v>0</v>
      </c>
      <c r="V687">
        <v>1.5288999999999999</v>
      </c>
      <c r="W687">
        <v>1.5288999999999999</v>
      </c>
      <c r="X687">
        <v>0</v>
      </c>
    </row>
    <row r="688" spans="1:40" x14ac:dyDescent="0.25">
      <c r="A688" t="s">
        <v>15</v>
      </c>
      <c r="B688" t="s">
        <v>24</v>
      </c>
      <c r="C688">
        <v>20150316</v>
      </c>
      <c r="D688">
        <v>0</v>
      </c>
      <c r="F688">
        <v>62500</v>
      </c>
      <c r="G688" t="s">
        <v>17</v>
      </c>
      <c r="I688" t="s">
        <v>16</v>
      </c>
      <c r="J688" t="s">
        <v>180</v>
      </c>
      <c r="K688" t="s">
        <v>25</v>
      </c>
      <c r="L688">
        <v>132757294</v>
      </c>
      <c r="R688">
        <v>9787</v>
      </c>
      <c r="S688" t="s">
        <v>37</v>
      </c>
      <c r="T688">
        <v>1</v>
      </c>
      <c r="U688">
        <v>0</v>
      </c>
      <c r="V688">
        <v>1.5288999999999999</v>
      </c>
      <c r="W688">
        <v>1.5288999999999999</v>
      </c>
      <c r="X688">
        <v>0</v>
      </c>
    </row>
    <row r="689" spans="1:24" x14ac:dyDescent="0.25">
      <c r="A689" t="s">
        <v>15</v>
      </c>
      <c r="B689" t="s">
        <v>24</v>
      </c>
      <c r="C689">
        <v>20150316</v>
      </c>
      <c r="D689">
        <v>0</v>
      </c>
      <c r="F689">
        <v>62500</v>
      </c>
      <c r="G689" t="s">
        <v>17</v>
      </c>
      <c r="I689" t="s">
        <v>16</v>
      </c>
      <c r="J689" t="s">
        <v>180</v>
      </c>
      <c r="K689" t="s">
        <v>25</v>
      </c>
      <c r="L689">
        <v>132757294</v>
      </c>
      <c r="R689">
        <v>9787</v>
      </c>
      <c r="S689" t="s">
        <v>37</v>
      </c>
      <c r="T689">
        <v>1</v>
      </c>
      <c r="U689">
        <v>0</v>
      </c>
      <c r="V689">
        <v>1.5288999999999999</v>
      </c>
      <c r="W689">
        <v>1.5288999999999999</v>
      </c>
      <c r="X689">
        <v>0</v>
      </c>
    </row>
    <row r="690" spans="1:24" x14ac:dyDescent="0.25">
      <c r="A690" t="s">
        <v>15</v>
      </c>
      <c r="B690" t="s">
        <v>24</v>
      </c>
      <c r="C690">
        <v>20150316</v>
      </c>
      <c r="D690">
        <v>0</v>
      </c>
      <c r="F690">
        <v>62500</v>
      </c>
      <c r="G690" t="s">
        <v>17</v>
      </c>
      <c r="I690" t="s">
        <v>16</v>
      </c>
      <c r="J690" t="s">
        <v>180</v>
      </c>
      <c r="K690" t="s">
        <v>25</v>
      </c>
      <c r="L690">
        <v>132757294</v>
      </c>
      <c r="R690">
        <v>9785</v>
      </c>
      <c r="S690" t="s">
        <v>223</v>
      </c>
      <c r="T690">
        <v>0</v>
      </c>
      <c r="U690">
        <v>52</v>
      </c>
      <c r="V690">
        <v>0</v>
      </c>
      <c r="W690">
        <v>0</v>
      </c>
      <c r="X690">
        <v>0</v>
      </c>
    </row>
    <row r="691" spans="1:24" x14ac:dyDescent="0.25">
      <c r="A691" t="s">
        <v>15</v>
      </c>
      <c r="B691" t="s">
        <v>24</v>
      </c>
      <c r="C691">
        <v>20150316</v>
      </c>
      <c r="D691">
        <v>0</v>
      </c>
      <c r="F691">
        <v>62500</v>
      </c>
      <c r="G691" t="s">
        <v>17</v>
      </c>
      <c r="I691" t="s">
        <v>16</v>
      </c>
      <c r="J691" t="s">
        <v>180</v>
      </c>
      <c r="K691" t="s">
        <v>25</v>
      </c>
      <c r="L691">
        <v>132757294</v>
      </c>
      <c r="R691">
        <v>9785</v>
      </c>
      <c r="S691" t="s">
        <v>224</v>
      </c>
      <c r="T691">
        <v>0</v>
      </c>
      <c r="U691">
        <v>52</v>
      </c>
      <c r="V691">
        <v>0</v>
      </c>
      <c r="W691">
        <v>0</v>
      </c>
      <c r="X691">
        <v>0</v>
      </c>
    </row>
    <row r="692" spans="1:24" x14ac:dyDescent="0.25">
      <c r="A692" t="s">
        <v>15</v>
      </c>
      <c r="B692" t="s">
        <v>24</v>
      </c>
      <c r="C692">
        <v>20150316</v>
      </c>
      <c r="D692">
        <v>0</v>
      </c>
      <c r="F692">
        <v>62500</v>
      </c>
      <c r="G692" t="s">
        <v>17</v>
      </c>
      <c r="I692" t="s">
        <v>16</v>
      </c>
      <c r="J692" t="s">
        <v>180</v>
      </c>
      <c r="K692" t="s">
        <v>25</v>
      </c>
      <c r="L692">
        <v>132757294</v>
      </c>
      <c r="R692">
        <v>9789</v>
      </c>
      <c r="S692" t="s">
        <v>232</v>
      </c>
      <c r="T692">
        <v>0</v>
      </c>
      <c r="U692">
        <v>49</v>
      </c>
      <c r="V692">
        <v>0</v>
      </c>
      <c r="W692">
        <v>0</v>
      </c>
      <c r="X692">
        <v>0</v>
      </c>
    </row>
    <row r="693" spans="1:24" x14ac:dyDescent="0.25">
      <c r="A693" t="s">
        <v>15</v>
      </c>
      <c r="B693" t="s">
        <v>24</v>
      </c>
      <c r="C693">
        <v>20150316</v>
      </c>
      <c r="D693">
        <v>0</v>
      </c>
      <c r="F693">
        <v>62500</v>
      </c>
      <c r="G693" t="s">
        <v>17</v>
      </c>
      <c r="I693" t="s">
        <v>16</v>
      </c>
      <c r="J693" t="s">
        <v>180</v>
      </c>
      <c r="K693" t="s">
        <v>25</v>
      </c>
      <c r="L693">
        <v>132757294</v>
      </c>
      <c r="R693">
        <v>9789</v>
      </c>
      <c r="S693" t="s">
        <v>192</v>
      </c>
      <c r="T693">
        <v>0</v>
      </c>
      <c r="U693">
        <v>49</v>
      </c>
      <c r="V693">
        <v>0</v>
      </c>
      <c r="W693">
        <v>0</v>
      </c>
      <c r="X693">
        <v>0</v>
      </c>
    </row>
    <row r="694" spans="1:24" x14ac:dyDescent="0.25">
      <c r="A694" t="s">
        <v>15</v>
      </c>
      <c r="B694" t="s">
        <v>24</v>
      </c>
      <c r="C694">
        <v>20150316</v>
      </c>
      <c r="D694">
        <v>0</v>
      </c>
      <c r="F694">
        <v>62500</v>
      </c>
      <c r="G694" t="s">
        <v>17</v>
      </c>
      <c r="I694" t="s">
        <v>16</v>
      </c>
      <c r="J694" t="s">
        <v>180</v>
      </c>
      <c r="K694" t="s">
        <v>25</v>
      </c>
      <c r="L694">
        <v>132757294</v>
      </c>
      <c r="R694">
        <v>9790</v>
      </c>
      <c r="S694" t="s">
        <v>232</v>
      </c>
      <c r="T694">
        <v>0</v>
      </c>
      <c r="U694">
        <v>53</v>
      </c>
      <c r="V694">
        <v>0</v>
      </c>
      <c r="W694">
        <v>0</v>
      </c>
      <c r="X694">
        <v>0</v>
      </c>
    </row>
    <row r="695" spans="1:24" x14ac:dyDescent="0.25">
      <c r="A695" t="s">
        <v>15</v>
      </c>
      <c r="B695" t="s">
        <v>24</v>
      </c>
      <c r="C695">
        <v>20150316</v>
      </c>
      <c r="D695">
        <v>0</v>
      </c>
      <c r="F695">
        <v>62500</v>
      </c>
      <c r="G695" t="s">
        <v>17</v>
      </c>
      <c r="I695" t="s">
        <v>16</v>
      </c>
      <c r="J695" t="s">
        <v>180</v>
      </c>
      <c r="K695" t="s">
        <v>25</v>
      </c>
      <c r="L695">
        <v>132757294</v>
      </c>
      <c r="R695">
        <v>9789</v>
      </c>
      <c r="S695" t="s">
        <v>223</v>
      </c>
      <c r="T695">
        <v>0</v>
      </c>
      <c r="U695">
        <v>49</v>
      </c>
      <c r="V695">
        <v>0</v>
      </c>
      <c r="W695">
        <v>0</v>
      </c>
      <c r="X695">
        <v>0</v>
      </c>
    </row>
    <row r="696" spans="1:24" x14ac:dyDescent="0.25">
      <c r="A696" t="s">
        <v>15</v>
      </c>
      <c r="B696" t="s">
        <v>24</v>
      </c>
      <c r="C696">
        <v>20150316</v>
      </c>
      <c r="D696">
        <v>0</v>
      </c>
      <c r="F696">
        <v>62500</v>
      </c>
      <c r="G696" t="s">
        <v>17</v>
      </c>
      <c r="I696" t="s">
        <v>16</v>
      </c>
      <c r="J696" t="s">
        <v>180</v>
      </c>
      <c r="K696" t="s">
        <v>25</v>
      </c>
      <c r="L696">
        <v>132757294</v>
      </c>
      <c r="R696">
        <v>9789</v>
      </c>
      <c r="S696" t="s">
        <v>224</v>
      </c>
      <c r="T696">
        <v>0</v>
      </c>
      <c r="U696">
        <v>49</v>
      </c>
      <c r="V696">
        <v>0</v>
      </c>
      <c r="W696">
        <v>0</v>
      </c>
      <c r="X696">
        <v>0</v>
      </c>
    </row>
    <row r="697" spans="1:24" x14ac:dyDescent="0.25">
      <c r="A697" t="s">
        <v>15</v>
      </c>
      <c r="B697" t="s">
        <v>24</v>
      </c>
      <c r="C697">
        <v>20150316</v>
      </c>
      <c r="D697">
        <v>0</v>
      </c>
      <c r="F697">
        <v>62500</v>
      </c>
      <c r="G697" t="s">
        <v>17</v>
      </c>
      <c r="I697" t="s">
        <v>16</v>
      </c>
      <c r="J697" t="s">
        <v>180</v>
      </c>
      <c r="K697" t="s">
        <v>25</v>
      </c>
      <c r="L697">
        <v>132757294</v>
      </c>
      <c r="R697">
        <v>9790</v>
      </c>
      <c r="S697" t="s">
        <v>232</v>
      </c>
      <c r="T697">
        <v>0</v>
      </c>
      <c r="U697">
        <v>53</v>
      </c>
      <c r="V697">
        <v>0</v>
      </c>
      <c r="W697">
        <v>0</v>
      </c>
      <c r="X697">
        <v>0</v>
      </c>
    </row>
    <row r="698" spans="1:24" x14ac:dyDescent="0.25">
      <c r="A698" t="s">
        <v>15</v>
      </c>
      <c r="B698" t="s">
        <v>24</v>
      </c>
      <c r="C698">
        <v>20150316</v>
      </c>
      <c r="D698">
        <v>0</v>
      </c>
      <c r="F698">
        <v>62500</v>
      </c>
      <c r="G698" t="s">
        <v>17</v>
      </c>
      <c r="I698" t="s">
        <v>16</v>
      </c>
      <c r="J698" t="s">
        <v>180</v>
      </c>
      <c r="K698" t="s">
        <v>25</v>
      </c>
      <c r="L698">
        <v>132757294</v>
      </c>
      <c r="R698">
        <v>9790</v>
      </c>
      <c r="S698" t="s">
        <v>192</v>
      </c>
      <c r="T698">
        <v>0</v>
      </c>
      <c r="U698">
        <v>53</v>
      </c>
      <c r="V698">
        <v>0</v>
      </c>
      <c r="W698">
        <v>0</v>
      </c>
      <c r="X698">
        <v>0</v>
      </c>
    </row>
    <row r="699" spans="1:24" x14ac:dyDescent="0.25">
      <c r="A699" t="s">
        <v>15</v>
      </c>
      <c r="B699" t="s">
        <v>24</v>
      </c>
      <c r="C699">
        <v>20150316</v>
      </c>
      <c r="D699">
        <v>0</v>
      </c>
      <c r="F699">
        <v>62500</v>
      </c>
      <c r="G699" t="s">
        <v>17</v>
      </c>
      <c r="I699" t="s">
        <v>16</v>
      </c>
      <c r="J699" t="s">
        <v>180</v>
      </c>
      <c r="K699" t="s">
        <v>25</v>
      </c>
      <c r="L699">
        <v>132757294</v>
      </c>
      <c r="R699">
        <v>9791</v>
      </c>
      <c r="S699" t="s">
        <v>232</v>
      </c>
      <c r="T699">
        <v>0</v>
      </c>
      <c r="U699">
        <v>50</v>
      </c>
      <c r="V699">
        <v>0</v>
      </c>
      <c r="W699">
        <v>0</v>
      </c>
      <c r="X699">
        <v>0</v>
      </c>
    </row>
    <row r="700" spans="1:24" x14ac:dyDescent="0.25">
      <c r="A700" t="s">
        <v>15</v>
      </c>
      <c r="B700" t="s">
        <v>24</v>
      </c>
      <c r="C700">
        <v>20150316</v>
      </c>
      <c r="D700">
        <v>0</v>
      </c>
      <c r="F700">
        <v>62500</v>
      </c>
      <c r="G700" t="s">
        <v>17</v>
      </c>
      <c r="I700" t="s">
        <v>16</v>
      </c>
      <c r="J700" t="s">
        <v>180</v>
      </c>
      <c r="K700" t="s">
        <v>25</v>
      </c>
      <c r="L700">
        <v>132757294</v>
      </c>
      <c r="R700">
        <v>9790</v>
      </c>
      <c r="S700" t="s">
        <v>223</v>
      </c>
      <c r="T700">
        <v>0</v>
      </c>
      <c r="U700">
        <v>53</v>
      </c>
      <c r="V700">
        <v>0</v>
      </c>
      <c r="W700">
        <v>0</v>
      </c>
      <c r="X700">
        <v>0</v>
      </c>
    </row>
    <row r="701" spans="1:24" x14ac:dyDescent="0.25">
      <c r="A701" t="s">
        <v>15</v>
      </c>
      <c r="B701" t="s">
        <v>24</v>
      </c>
      <c r="C701">
        <v>20150316</v>
      </c>
      <c r="D701">
        <v>0</v>
      </c>
      <c r="F701">
        <v>62500</v>
      </c>
      <c r="G701" t="s">
        <v>17</v>
      </c>
      <c r="I701" t="s">
        <v>16</v>
      </c>
      <c r="J701" t="s">
        <v>180</v>
      </c>
      <c r="K701" t="s">
        <v>25</v>
      </c>
      <c r="L701">
        <v>132757294</v>
      </c>
      <c r="R701">
        <v>9790</v>
      </c>
      <c r="S701" t="s">
        <v>224</v>
      </c>
      <c r="T701">
        <v>0</v>
      </c>
      <c r="U701">
        <v>53</v>
      </c>
      <c r="V701">
        <v>0</v>
      </c>
      <c r="W701">
        <v>0</v>
      </c>
      <c r="X701">
        <v>0</v>
      </c>
    </row>
    <row r="702" spans="1:24" x14ac:dyDescent="0.25">
      <c r="A702" t="s">
        <v>15</v>
      </c>
      <c r="B702" t="s">
        <v>24</v>
      </c>
      <c r="C702">
        <v>20150316</v>
      </c>
      <c r="D702">
        <v>0</v>
      </c>
      <c r="F702">
        <v>62500</v>
      </c>
      <c r="G702" t="s">
        <v>17</v>
      </c>
      <c r="I702" t="s">
        <v>16</v>
      </c>
      <c r="J702" t="s">
        <v>180</v>
      </c>
      <c r="K702" t="s">
        <v>25</v>
      </c>
      <c r="L702">
        <v>132757294</v>
      </c>
      <c r="R702">
        <v>9791</v>
      </c>
      <c r="S702" t="s">
        <v>232</v>
      </c>
      <c r="T702">
        <v>0</v>
      </c>
      <c r="U702">
        <v>50</v>
      </c>
      <c r="V702">
        <v>0</v>
      </c>
      <c r="W702">
        <v>0</v>
      </c>
      <c r="X702">
        <v>0</v>
      </c>
    </row>
    <row r="703" spans="1:24" x14ac:dyDescent="0.25">
      <c r="A703" t="s">
        <v>15</v>
      </c>
      <c r="B703" t="s">
        <v>24</v>
      </c>
      <c r="C703">
        <v>20150316</v>
      </c>
      <c r="D703">
        <v>0</v>
      </c>
      <c r="F703">
        <v>62500</v>
      </c>
      <c r="G703" t="s">
        <v>17</v>
      </c>
      <c r="I703" t="s">
        <v>16</v>
      </c>
      <c r="J703" t="s">
        <v>180</v>
      </c>
      <c r="K703" t="s">
        <v>25</v>
      </c>
      <c r="L703">
        <v>132757294</v>
      </c>
      <c r="R703">
        <v>9791</v>
      </c>
      <c r="S703" t="s">
        <v>192</v>
      </c>
      <c r="T703">
        <v>0</v>
      </c>
      <c r="U703">
        <v>50</v>
      </c>
      <c r="V703">
        <v>0</v>
      </c>
      <c r="W703">
        <v>0</v>
      </c>
      <c r="X703">
        <v>0</v>
      </c>
    </row>
    <row r="704" spans="1:24" x14ac:dyDescent="0.25">
      <c r="A704" t="s">
        <v>15</v>
      </c>
      <c r="B704" t="s">
        <v>24</v>
      </c>
      <c r="C704">
        <v>20150316</v>
      </c>
      <c r="D704">
        <v>0</v>
      </c>
      <c r="F704">
        <v>62500</v>
      </c>
      <c r="G704" t="s">
        <v>17</v>
      </c>
      <c r="I704" t="s">
        <v>16</v>
      </c>
      <c r="J704" t="s">
        <v>180</v>
      </c>
      <c r="K704" t="s">
        <v>25</v>
      </c>
      <c r="L704">
        <v>132757294</v>
      </c>
      <c r="R704">
        <v>9792</v>
      </c>
      <c r="S704" t="s">
        <v>232</v>
      </c>
      <c r="T704">
        <v>0</v>
      </c>
      <c r="U704">
        <v>53</v>
      </c>
      <c r="V704">
        <v>0</v>
      </c>
      <c r="W704">
        <v>0</v>
      </c>
      <c r="X704">
        <v>0</v>
      </c>
    </row>
    <row r="705" spans="1:40" x14ac:dyDescent="0.25">
      <c r="A705" t="s">
        <v>15</v>
      </c>
      <c r="B705" t="s">
        <v>24</v>
      </c>
      <c r="C705">
        <v>20150316</v>
      </c>
      <c r="D705">
        <v>0</v>
      </c>
      <c r="F705">
        <v>62500</v>
      </c>
      <c r="G705" t="s">
        <v>17</v>
      </c>
      <c r="I705" t="s">
        <v>16</v>
      </c>
      <c r="J705" t="s">
        <v>180</v>
      </c>
      <c r="K705" t="s">
        <v>25</v>
      </c>
      <c r="L705">
        <v>132757294</v>
      </c>
      <c r="R705">
        <v>9791</v>
      </c>
      <c r="S705" t="s">
        <v>223</v>
      </c>
      <c r="T705">
        <v>0</v>
      </c>
      <c r="U705">
        <v>50</v>
      </c>
      <c r="V705">
        <v>0</v>
      </c>
      <c r="W705">
        <v>0</v>
      </c>
      <c r="X705">
        <v>0</v>
      </c>
    </row>
    <row r="706" spans="1:40" x14ac:dyDescent="0.25">
      <c r="A706" t="s">
        <v>15</v>
      </c>
      <c r="B706" t="s">
        <v>24</v>
      </c>
      <c r="C706">
        <v>20150316</v>
      </c>
      <c r="D706">
        <v>0</v>
      </c>
      <c r="F706">
        <v>62500</v>
      </c>
      <c r="G706" t="s">
        <v>17</v>
      </c>
      <c r="I706" t="s">
        <v>16</v>
      </c>
      <c r="J706" t="s">
        <v>180</v>
      </c>
      <c r="K706" t="s">
        <v>25</v>
      </c>
      <c r="L706">
        <v>132757294</v>
      </c>
      <c r="R706">
        <v>9791</v>
      </c>
      <c r="S706" t="s">
        <v>224</v>
      </c>
      <c r="T706">
        <v>0</v>
      </c>
      <c r="U706">
        <v>50</v>
      </c>
      <c r="V706">
        <v>0</v>
      </c>
      <c r="W706">
        <v>0</v>
      </c>
      <c r="X706">
        <v>0</v>
      </c>
    </row>
    <row r="707" spans="1:40" x14ac:dyDescent="0.25">
      <c r="A707" t="s">
        <v>15</v>
      </c>
      <c r="B707" t="s">
        <v>24</v>
      </c>
      <c r="C707">
        <v>20150316</v>
      </c>
      <c r="D707">
        <v>0</v>
      </c>
      <c r="F707">
        <v>62500</v>
      </c>
      <c r="G707" t="s">
        <v>17</v>
      </c>
      <c r="I707" t="s">
        <v>16</v>
      </c>
      <c r="J707" t="s">
        <v>180</v>
      </c>
      <c r="K707" t="s">
        <v>25</v>
      </c>
      <c r="L707">
        <v>132757294</v>
      </c>
      <c r="R707">
        <v>9792</v>
      </c>
      <c r="S707" t="s">
        <v>232</v>
      </c>
      <c r="T707">
        <v>0</v>
      </c>
      <c r="U707">
        <v>53</v>
      </c>
      <c r="V707">
        <v>0</v>
      </c>
      <c r="W707">
        <v>0</v>
      </c>
      <c r="X707">
        <v>0</v>
      </c>
    </row>
    <row r="708" spans="1:40" x14ac:dyDescent="0.25">
      <c r="A708" t="s">
        <v>15</v>
      </c>
      <c r="B708" t="s">
        <v>24</v>
      </c>
      <c r="C708">
        <v>20150316</v>
      </c>
      <c r="D708">
        <v>0</v>
      </c>
      <c r="F708">
        <v>62500</v>
      </c>
      <c r="G708" t="s">
        <v>17</v>
      </c>
      <c r="I708" t="s">
        <v>16</v>
      </c>
      <c r="J708" t="s">
        <v>180</v>
      </c>
      <c r="K708" t="s">
        <v>25</v>
      </c>
      <c r="L708">
        <v>132757294</v>
      </c>
      <c r="R708">
        <v>9792</v>
      </c>
      <c r="S708" t="s">
        <v>192</v>
      </c>
      <c r="T708">
        <v>0</v>
      </c>
      <c r="U708">
        <v>53</v>
      </c>
      <c r="V708">
        <v>0</v>
      </c>
      <c r="W708">
        <v>0</v>
      </c>
      <c r="X708">
        <v>0</v>
      </c>
    </row>
    <row r="709" spans="1:40" x14ac:dyDescent="0.25">
      <c r="A709" t="s">
        <v>15</v>
      </c>
      <c r="B709" t="s">
        <v>24</v>
      </c>
      <c r="C709">
        <v>20150316</v>
      </c>
      <c r="D709">
        <v>0</v>
      </c>
      <c r="F709">
        <v>62500</v>
      </c>
      <c r="G709" t="s">
        <v>17</v>
      </c>
      <c r="I709" t="s">
        <v>16</v>
      </c>
      <c r="J709" t="s">
        <v>180</v>
      </c>
      <c r="K709" t="s">
        <v>25</v>
      </c>
      <c r="L709">
        <v>132757294</v>
      </c>
      <c r="R709">
        <v>9788</v>
      </c>
      <c r="S709" t="s">
        <v>192</v>
      </c>
      <c r="T709">
        <v>0</v>
      </c>
      <c r="U709">
        <v>51</v>
      </c>
      <c r="V709">
        <v>0</v>
      </c>
      <c r="W709">
        <v>0</v>
      </c>
      <c r="X709">
        <v>0</v>
      </c>
    </row>
    <row r="710" spans="1:40" x14ac:dyDescent="0.25">
      <c r="A710" t="s">
        <v>15</v>
      </c>
      <c r="B710" t="s">
        <v>24</v>
      </c>
      <c r="C710">
        <v>20150316</v>
      </c>
      <c r="D710">
        <v>0</v>
      </c>
      <c r="F710">
        <v>62500</v>
      </c>
      <c r="G710" t="s">
        <v>17</v>
      </c>
      <c r="I710" t="s">
        <v>16</v>
      </c>
      <c r="J710" t="s">
        <v>180</v>
      </c>
      <c r="K710" t="s">
        <v>25</v>
      </c>
      <c r="L710">
        <v>132757294</v>
      </c>
      <c r="R710">
        <v>9788</v>
      </c>
      <c r="S710" t="s">
        <v>192</v>
      </c>
      <c r="T710">
        <v>0</v>
      </c>
      <c r="U710">
        <v>51</v>
      </c>
      <c r="V710">
        <v>0</v>
      </c>
      <c r="W710">
        <v>0</v>
      </c>
      <c r="X710">
        <v>0</v>
      </c>
    </row>
    <row r="711" spans="1:40" x14ac:dyDescent="0.25">
      <c r="A711" t="s">
        <v>15</v>
      </c>
      <c r="B711" t="s">
        <v>24</v>
      </c>
      <c r="C711">
        <v>20150316</v>
      </c>
      <c r="D711">
        <v>0</v>
      </c>
      <c r="F711">
        <v>62500</v>
      </c>
      <c r="G711" t="s">
        <v>17</v>
      </c>
      <c r="I711" t="s">
        <v>16</v>
      </c>
      <c r="J711" t="s">
        <v>180</v>
      </c>
      <c r="K711" t="s">
        <v>25</v>
      </c>
      <c r="L711">
        <v>132757294</v>
      </c>
      <c r="R711">
        <v>9788</v>
      </c>
      <c r="S711" t="s">
        <v>192</v>
      </c>
      <c r="T711">
        <v>0</v>
      </c>
      <c r="U711">
        <v>51</v>
      </c>
      <c r="V711">
        <v>0</v>
      </c>
      <c r="W711">
        <v>0</v>
      </c>
      <c r="X711">
        <v>0</v>
      </c>
      <c r="Y711">
        <v>9788</v>
      </c>
      <c r="Z711" t="s">
        <v>6757</v>
      </c>
      <c r="AA711" t="s">
        <v>6758</v>
      </c>
      <c r="AB711" t="s">
        <v>234</v>
      </c>
      <c r="AC711" t="s">
        <v>17</v>
      </c>
      <c r="AD711" t="s">
        <v>237</v>
      </c>
      <c r="AE711">
        <v>39</v>
      </c>
      <c r="AF711">
        <v>39</v>
      </c>
      <c r="AG711">
        <v>1.5285</v>
      </c>
      <c r="AH711">
        <v>1.5285</v>
      </c>
      <c r="AI711">
        <v>1226100247</v>
      </c>
      <c r="AJ711">
        <v>0</v>
      </c>
      <c r="AK711">
        <v>7</v>
      </c>
      <c r="AN711">
        <v>0</v>
      </c>
    </row>
    <row r="712" spans="1:40" x14ac:dyDescent="0.25">
      <c r="A712" t="s">
        <v>15</v>
      </c>
      <c r="B712" t="s">
        <v>24</v>
      </c>
      <c r="C712">
        <v>20150316</v>
      </c>
      <c r="D712">
        <v>0</v>
      </c>
      <c r="F712">
        <v>62500</v>
      </c>
      <c r="G712" t="s">
        <v>17</v>
      </c>
      <c r="I712" t="s">
        <v>16</v>
      </c>
      <c r="J712" t="s">
        <v>180</v>
      </c>
      <c r="K712" t="s">
        <v>25</v>
      </c>
      <c r="L712">
        <v>132757294</v>
      </c>
      <c r="R712">
        <v>9788</v>
      </c>
      <c r="S712" t="s">
        <v>192</v>
      </c>
      <c r="T712">
        <v>0</v>
      </c>
      <c r="U712">
        <v>51</v>
      </c>
      <c r="V712">
        <v>0</v>
      </c>
      <c r="W712">
        <v>0</v>
      </c>
      <c r="X712">
        <v>0</v>
      </c>
    </row>
    <row r="713" spans="1:40" x14ac:dyDescent="0.25">
      <c r="A713" t="s">
        <v>15</v>
      </c>
      <c r="B713" t="s">
        <v>24</v>
      </c>
      <c r="C713">
        <v>20150316</v>
      </c>
      <c r="D713">
        <v>0</v>
      </c>
      <c r="F713">
        <v>62500</v>
      </c>
      <c r="G713" t="s">
        <v>17</v>
      </c>
      <c r="I713" t="s">
        <v>16</v>
      </c>
      <c r="J713" t="s">
        <v>180</v>
      </c>
      <c r="K713" t="s">
        <v>25</v>
      </c>
      <c r="L713">
        <v>132757294</v>
      </c>
      <c r="R713">
        <v>9788</v>
      </c>
      <c r="S713" t="s">
        <v>192</v>
      </c>
      <c r="T713">
        <v>39</v>
      </c>
      <c r="U713">
        <v>12</v>
      </c>
      <c r="V713">
        <v>1.5285</v>
      </c>
      <c r="W713">
        <v>1.5285</v>
      </c>
      <c r="X713">
        <v>0</v>
      </c>
    </row>
    <row r="714" spans="1:40" x14ac:dyDescent="0.25">
      <c r="A714" t="s">
        <v>15</v>
      </c>
      <c r="B714" t="s">
        <v>24</v>
      </c>
      <c r="C714">
        <v>20150316</v>
      </c>
      <c r="D714">
        <v>0</v>
      </c>
      <c r="F714">
        <v>62500</v>
      </c>
      <c r="G714" t="s">
        <v>17</v>
      </c>
      <c r="I714" t="s">
        <v>16</v>
      </c>
      <c r="J714" t="s">
        <v>180</v>
      </c>
      <c r="K714" t="s">
        <v>25</v>
      </c>
      <c r="L714">
        <v>132757294</v>
      </c>
      <c r="R714">
        <v>9788</v>
      </c>
      <c r="S714" t="s">
        <v>192</v>
      </c>
      <c r="T714">
        <v>39</v>
      </c>
      <c r="U714">
        <v>12</v>
      </c>
      <c r="V714">
        <v>1.5285</v>
      </c>
      <c r="W714">
        <v>1.5285</v>
      </c>
      <c r="X714">
        <v>0</v>
      </c>
    </row>
    <row r="715" spans="1:40" x14ac:dyDescent="0.25">
      <c r="A715" t="s">
        <v>15</v>
      </c>
      <c r="B715" t="s">
        <v>24</v>
      </c>
      <c r="C715">
        <v>20150316</v>
      </c>
      <c r="D715">
        <v>0</v>
      </c>
      <c r="F715">
        <v>62500</v>
      </c>
      <c r="G715" t="s">
        <v>17</v>
      </c>
      <c r="I715" t="s">
        <v>16</v>
      </c>
      <c r="J715" t="s">
        <v>180</v>
      </c>
      <c r="K715" t="s">
        <v>25</v>
      </c>
      <c r="L715">
        <v>132757294</v>
      </c>
      <c r="R715">
        <v>9788</v>
      </c>
      <c r="S715" t="s">
        <v>233</v>
      </c>
      <c r="T715">
        <v>39</v>
      </c>
      <c r="U715">
        <v>12</v>
      </c>
      <c r="V715">
        <v>1.5285</v>
      </c>
      <c r="W715">
        <v>1.5285</v>
      </c>
      <c r="X715">
        <v>0</v>
      </c>
    </row>
    <row r="716" spans="1:40" x14ac:dyDescent="0.25">
      <c r="A716" t="s">
        <v>15</v>
      </c>
      <c r="B716" t="s">
        <v>24</v>
      </c>
      <c r="C716">
        <v>20150316</v>
      </c>
      <c r="D716">
        <v>0</v>
      </c>
      <c r="F716">
        <v>62500</v>
      </c>
      <c r="G716" t="s">
        <v>17</v>
      </c>
      <c r="I716" t="s">
        <v>16</v>
      </c>
      <c r="J716" t="s">
        <v>180</v>
      </c>
      <c r="K716" t="s">
        <v>25</v>
      </c>
      <c r="L716">
        <v>132757294</v>
      </c>
      <c r="R716">
        <v>9788</v>
      </c>
      <c r="S716" t="s">
        <v>233</v>
      </c>
      <c r="T716">
        <v>39</v>
      </c>
      <c r="U716">
        <v>12</v>
      </c>
      <c r="V716">
        <v>1.5285</v>
      </c>
      <c r="W716">
        <v>1.5285</v>
      </c>
      <c r="X716">
        <v>0</v>
      </c>
      <c r="Y716">
        <v>9788</v>
      </c>
      <c r="Z716" t="s">
        <v>6776</v>
      </c>
      <c r="AA716" t="s">
        <v>6758</v>
      </c>
      <c r="AB716" t="s">
        <v>234</v>
      </c>
      <c r="AC716" t="s">
        <v>17</v>
      </c>
      <c r="AD716" t="s">
        <v>237</v>
      </c>
      <c r="AE716">
        <v>12</v>
      </c>
      <c r="AF716">
        <v>51</v>
      </c>
      <c r="AG716">
        <v>1.5276000000000001</v>
      </c>
      <c r="AH716">
        <v>1.5282880000000001</v>
      </c>
      <c r="AI716">
        <v>1226100247</v>
      </c>
      <c r="AJ716">
        <v>0</v>
      </c>
      <c r="AK716">
        <v>7</v>
      </c>
      <c r="AN716">
        <v>0</v>
      </c>
    </row>
    <row r="717" spans="1:40" x14ac:dyDescent="0.25">
      <c r="A717" t="s">
        <v>15</v>
      </c>
      <c r="B717" t="s">
        <v>24</v>
      </c>
      <c r="C717">
        <v>20150316</v>
      </c>
      <c r="D717">
        <v>0</v>
      </c>
      <c r="F717">
        <v>62500</v>
      </c>
      <c r="G717" t="s">
        <v>17</v>
      </c>
      <c r="I717" t="s">
        <v>16</v>
      </c>
      <c r="J717" t="s">
        <v>180</v>
      </c>
      <c r="K717" t="s">
        <v>25</v>
      </c>
      <c r="L717">
        <v>132757294</v>
      </c>
      <c r="R717">
        <v>9788</v>
      </c>
      <c r="S717" t="s">
        <v>233</v>
      </c>
      <c r="T717">
        <v>39</v>
      </c>
      <c r="U717">
        <v>12</v>
      </c>
      <c r="V717">
        <v>1.5285</v>
      </c>
      <c r="W717">
        <v>1.5285</v>
      </c>
      <c r="X717">
        <v>0</v>
      </c>
    </row>
    <row r="718" spans="1:40" x14ac:dyDescent="0.25">
      <c r="A718" t="s">
        <v>15</v>
      </c>
      <c r="B718" t="s">
        <v>24</v>
      </c>
      <c r="C718">
        <v>20150316</v>
      </c>
      <c r="D718">
        <v>0</v>
      </c>
      <c r="F718">
        <v>62500</v>
      </c>
      <c r="G718" t="s">
        <v>17</v>
      </c>
      <c r="I718" t="s">
        <v>16</v>
      </c>
      <c r="J718" t="s">
        <v>180</v>
      </c>
      <c r="K718" t="s">
        <v>25</v>
      </c>
      <c r="L718">
        <v>132757294</v>
      </c>
      <c r="R718">
        <v>9788</v>
      </c>
      <c r="S718" t="s">
        <v>37</v>
      </c>
      <c r="T718">
        <v>51</v>
      </c>
      <c r="U718">
        <v>0</v>
      </c>
      <c r="V718">
        <v>1.5282880000000001</v>
      </c>
      <c r="W718">
        <v>1.5276000000000001</v>
      </c>
      <c r="X718">
        <v>0</v>
      </c>
    </row>
    <row r="719" spans="1:40" x14ac:dyDescent="0.25">
      <c r="A719" t="s">
        <v>15</v>
      </c>
      <c r="B719" t="s">
        <v>24</v>
      </c>
      <c r="C719">
        <v>20150316</v>
      </c>
      <c r="D719">
        <v>0</v>
      </c>
      <c r="F719">
        <v>62500</v>
      </c>
      <c r="G719" t="s">
        <v>17</v>
      </c>
      <c r="I719" t="s">
        <v>16</v>
      </c>
      <c r="J719" t="s">
        <v>180</v>
      </c>
      <c r="K719" t="s">
        <v>25</v>
      </c>
      <c r="L719">
        <v>132757294</v>
      </c>
      <c r="R719">
        <v>9788</v>
      </c>
      <c r="S719" t="s">
        <v>37</v>
      </c>
      <c r="T719">
        <v>51</v>
      </c>
      <c r="U719">
        <v>0</v>
      </c>
      <c r="V719">
        <v>1.5282880000000001</v>
      </c>
      <c r="W719">
        <v>1.5276000000000001</v>
      </c>
      <c r="X719">
        <v>0</v>
      </c>
    </row>
    <row r="720" spans="1:40" x14ac:dyDescent="0.25">
      <c r="A720" t="s">
        <v>15</v>
      </c>
      <c r="B720" t="s">
        <v>24</v>
      </c>
      <c r="C720">
        <v>20150316</v>
      </c>
      <c r="D720">
        <v>0</v>
      </c>
      <c r="F720">
        <v>62500</v>
      </c>
      <c r="G720" t="s">
        <v>17</v>
      </c>
      <c r="I720" t="s">
        <v>16</v>
      </c>
      <c r="J720" t="s">
        <v>180</v>
      </c>
      <c r="K720" t="s">
        <v>25</v>
      </c>
      <c r="L720">
        <v>132757294</v>
      </c>
      <c r="R720">
        <v>9788</v>
      </c>
      <c r="S720" t="s">
        <v>37</v>
      </c>
      <c r="T720">
        <v>51</v>
      </c>
      <c r="U720">
        <v>0</v>
      </c>
      <c r="V720">
        <v>1.5282880000000001</v>
      </c>
      <c r="W720">
        <v>1.5276000000000001</v>
      </c>
      <c r="X720">
        <v>0</v>
      </c>
    </row>
    <row r="721" spans="1:24" x14ac:dyDescent="0.25">
      <c r="A721" t="s">
        <v>15</v>
      </c>
      <c r="B721" t="s">
        <v>24</v>
      </c>
      <c r="C721">
        <v>20150316</v>
      </c>
      <c r="D721">
        <v>0</v>
      </c>
      <c r="F721">
        <v>62500</v>
      </c>
      <c r="G721" t="s">
        <v>17</v>
      </c>
      <c r="I721" t="s">
        <v>16</v>
      </c>
      <c r="J721" t="s">
        <v>180</v>
      </c>
      <c r="K721" t="s">
        <v>25</v>
      </c>
      <c r="L721">
        <v>132757294</v>
      </c>
      <c r="R721">
        <v>9788</v>
      </c>
      <c r="S721" t="s">
        <v>37</v>
      </c>
      <c r="T721">
        <v>51</v>
      </c>
      <c r="U721">
        <v>0</v>
      </c>
      <c r="V721">
        <v>1.5282880000000001</v>
      </c>
      <c r="W721">
        <v>1.5276000000000001</v>
      </c>
      <c r="X721">
        <v>0</v>
      </c>
    </row>
    <row r="722" spans="1:24" x14ac:dyDescent="0.25">
      <c r="A722" t="s">
        <v>15</v>
      </c>
      <c r="B722" t="s">
        <v>24</v>
      </c>
      <c r="C722">
        <v>20150316</v>
      </c>
      <c r="D722">
        <v>0</v>
      </c>
      <c r="F722">
        <v>62500</v>
      </c>
      <c r="G722" t="s">
        <v>17</v>
      </c>
      <c r="I722" t="s">
        <v>16</v>
      </c>
      <c r="J722" t="s">
        <v>180</v>
      </c>
      <c r="K722" t="s">
        <v>25</v>
      </c>
      <c r="L722">
        <v>132757294</v>
      </c>
      <c r="R722">
        <v>9788</v>
      </c>
      <c r="S722" t="s">
        <v>37</v>
      </c>
      <c r="T722">
        <v>51</v>
      </c>
      <c r="U722">
        <v>0</v>
      </c>
      <c r="V722">
        <v>1.5282880000000001</v>
      </c>
      <c r="W722">
        <v>1.5276000000000001</v>
      </c>
      <c r="X722">
        <v>0</v>
      </c>
    </row>
    <row r="723" spans="1:24" x14ac:dyDescent="0.25">
      <c r="A723" t="s">
        <v>15</v>
      </c>
      <c r="B723" t="s">
        <v>24</v>
      </c>
      <c r="C723">
        <v>20150316</v>
      </c>
      <c r="D723">
        <v>0</v>
      </c>
      <c r="F723">
        <v>62500</v>
      </c>
      <c r="G723" t="s">
        <v>17</v>
      </c>
      <c r="I723" t="s">
        <v>16</v>
      </c>
      <c r="J723" t="s">
        <v>180</v>
      </c>
      <c r="K723" t="s">
        <v>25</v>
      </c>
      <c r="L723">
        <v>132757294</v>
      </c>
      <c r="R723">
        <v>9788</v>
      </c>
      <c r="S723" t="s">
        <v>37</v>
      </c>
      <c r="T723">
        <v>51</v>
      </c>
      <c r="U723">
        <v>0</v>
      </c>
      <c r="V723">
        <v>1.5282880000000001</v>
      </c>
      <c r="W723">
        <v>1.5276000000000001</v>
      </c>
      <c r="X723">
        <v>0</v>
      </c>
    </row>
    <row r="724" spans="1:24" x14ac:dyDescent="0.25">
      <c r="A724" t="s">
        <v>15</v>
      </c>
      <c r="B724" t="s">
        <v>24</v>
      </c>
      <c r="C724">
        <v>20150316</v>
      </c>
      <c r="D724">
        <v>0</v>
      </c>
      <c r="F724">
        <v>62500</v>
      </c>
      <c r="G724" t="s">
        <v>17</v>
      </c>
      <c r="I724" t="s">
        <v>16</v>
      </c>
      <c r="J724" t="s">
        <v>180</v>
      </c>
      <c r="K724" t="s">
        <v>25</v>
      </c>
      <c r="L724">
        <v>132757294</v>
      </c>
      <c r="R724">
        <v>9788</v>
      </c>
      <c r="S724" t="s">
        <v>37</v>
      </c>
      <c r="T724">
        <v>51</v>
      </c>
      <c r="U724">
        <v>0</v>
      </c>
      <c r="V724">
        <v>1.5282880000000001</v>
      </c>
      <c r="W724">
        <v>1.5276000000000001</v>
      </c>
      <c r="X724">
        <v>0</v>
      </c>
    </row>
    <row r="725" spans="1:24" x14ac:dyDescent="0.25">
      <c r="A725" t="s">
        <v>15</v>
      </c>
      <c r="B725" t="s">
        <v>24</v>
      </c>
      <c r="C725">
        <v>20150316</v>
      </c>
      <c r="D725">
        <v>0</v>
      </c>
      <c r="F725">
        <v>62500</v>
      </c>
      <c r="G725" t="s">
        <v>17</v>
      </c>
      <c r="I725" t="s">
        <v>16</v>
      </c>
      <c r="J725" t="s">
        <v>180</v>
      </c>
      <c r="K725" t="s">
        <v>25</v>
      </c>
      <c r="L725">
        <v>132757294</v>
      </c>
      <c r="R725">
        <v>9788</v>
      </c>
      <c r="S725" t="s">
        <v>37</v>
      </c>
      <c r="T725">
        <v>51</v>
      </c>
      <c r="U725">
        <v>0</v>
      </c>
      <c r="V725">
        <v>1.5282880000000001</v>
      </c>
      <c r="W725">
        <v>1.5276000000000001</v>
      </c>
      <c r="X725">
        <v>0</v>
      </c>
    </row>
    <row r="726" spans="1:24" x14ac:dyDescent="0.25">
      <c r="A726" t="s">
        <v>15</v>
      </c>
      <c r="B726" t="s">
        <v>24</v>
      </c>
      <c r="C726">
        <v>20150316</v>
      </c>
      <c r="D726">
        <v>0</v>
      </c>
      <c r="F726">
        <v>62500</v>
      </c>
      <c r="G726" t="s">
        <v>17</v>
      </c>
      <c r="I726" t="s">
        <v>16</v>
      </c>
      <c r="J726" t="s">
        <v>180</v>
      </c>
      <c r="K726" t="s">
        <v>25</v>
      </c>
      <c r="L726">
        <v>132757294</v>
      </c>
      <c r="R726">
        <v>9793</v>
      </c>
      <c r="S726" t="s">
        <v>232</v>
      </c>
      <c r="T726">
        <v>0</v>
      </c>
      <c r="U726">
        <v>14</v>
      </c>
      <c r="V726">
        <v>0</v>
      </c>
      <c r="W726">
        <v>0</v>
      </c>
      <c r="X726">
        <v>0</v>
      </c>
    </row>
    <row r="727" spans="1:24" x14ac:dyDescent="0.25">
      <c r="A727" t="s">
        <v>15</v>
      </c>
      <c r="B727" t="s">
        <v>24</v>
      </c>
      <c r="C727">
        <v>20150316</v>
      </c>
      <c r="D727">
        <v>0</v>
      </c>
      <c r="F727">
        <v>62500</v>
      </c>
      <c r="G727" t="s">
        <v>17</v>
      </c>
      <c r="I727" t="s">
        <v>16</v>
      </c>
      <c r="J727" t="s">
        <v>180</v>
      </c>
      <c r="K727" t="s">
        <v>25</v>
      </c>
      <c r="L727">
        <v>132757294</v>
      </c>
      <c r="R727">
        <v>9792</v>
      </c>
      <c r="S727" t="s">
        <v>223</v>
      </c>
      <c r="T727">
        <v>0</v>
      </c>
      <c r="U727">
        <v>53</v>
      </c>
      <c r="V727">
        <v>0</v>
      </c>
      <c r="W727">
        <v>0</v>
      </c>
      <c r="X727">
        <v>0</v>
      </c>
    </row>
    <row r="728" spans="1:24" x14ac:dyDescent="0.25">
      <c r="A728" t="s">
        <v>15</v>
      </c>
      <c r="B728" t="s">
        <v>24</v>
      </c>
      <c r="C728">
        <v>20150316</v>
      </c>
      <c r="D728">
        <v>0</v>
      </c>
      <c r="F728">
        <v>62500</v>
      </c>
      <c r="G728" t="s">
        <v>17</v>
      </c>
      <c r="I728" t="s">
        <v>16</v>
      </c>
      <c r="J728" t="s">
        <v>180</v>
      </c>
      <c r="K728" t="s">
        <v>25</v>
      </c>
      <c r="L728">
        <v>132757294</v>
      </c>
      <c r="R728">
        <v>9792</v>
      </c>
      <c r="S728" t="s">
        <v>224</v>
      </c>
      <c r="T728">
        <v>0</v>
      </c>
      <c r="U728">
        <v>53</v>
      </c>
      <c r="V728">
        <v>0</v>
      </c>
      <c r="W728">
        <v>0</v>
      </c>
      <c r="X728">
        <v>0</v>
      </c>
    </row>
    <row r="729" spans="1:24" x14ac:dyDescent="0.25">
      <c r="A729" t="s">
        <v>15</v>
      </c>
      <c r="B729" t="s">
        <v>24</v>
      </c>
      <c r="C729">
        <v>20150316</v>
      </c>
      <c r="D729">
        <v>0</v>
      </c>
      <c r="F729">
        <v>62500</v>
      </c>
      <c r="G729" t="s">
        <v>17</v>
      </c>
      <c r="I729" t="s">
        <v>16</v>
      </c>
      <c r="J729" t="s">
        <v>180</v>
      </c>
      <c r="K729" t="s">
        <v>25</v>
      </c>
      <c r="L729">
        <v>132757294</v>
      </c>
      <c r="R729">
        <v>9793</v>
      </c>
      <c r="S729" t="s">
        <v>232</v>
      </c>
      <c r="T729">
        <v>0</v>
      </c>
      <c r="U729">
        <v>14</v>
      </c>
      <c r="V729">
        <v>0</v>
      </c>
      <c r="W729">
        <v>0</v>
      </c>
      <c r="X729">
        <v>0</v>
      </c>
    </row>
    <row r="730" spans="1:24" x14ac:dyDescent="0.25">
      <c r="A730" t="s">
        <v>15</v>
      </c>
      <c r="B730" t="s">
        <v>24</v>
      </c>
      <c r="C730">
        <v>20150316</v>
      </c>
      <c r="D730">
        <v>0</v>
      </c>
      <c r="F730">
        <v>62500</v>
      </c>
      <c r="G730" t="s">
        <v>17</v>
      </c>
      <c r="I730" t="s">
        <v>16</v>
      </c>
      <c r="J730" t="s">
        <v>180</v>
      </c>
      <c r="K730" t="s">
        <v>25</v>
      </c>
      <c r="L730">
        <v>132757294</v>
      </c>
      <c r="R730">
        <v>9793</v>
      </c>
      <c r="S730" t="s">
        <v>192</v>
      </c>
      <c r="T730">
        <v>0</v>
      </c>
      <c r="U730">
        <v>14</v>
      </c>
      <c r="V730">
        <v>0</v>
      </c>
      <c r="W730">
        <v>0</v>
      </c>
      <c r="X730">
        <v>0</v>
      </c>
    </row>
    <row r="731" spans="1:24" x14ac:dyDescent="0.25">
      <c r="A731" t="s">
        <v>15</v>
      </c>
      <c r="B731" t="s">
        <v>24</v>
      </c>
      <c r="C731">
        <v>20150316</v>
      </c>
      <c r="D731">
        <v>0</v>
      </c>
      <c r="F731">
        <v>62500</v>
      </c>
      <c r="G731" t="s">
        <v>17</v>
      </c>
      <c r="I731" t="s">
        <v>16</v>
      </c>
      <c r="J731" t="s">
        <v>180</v>
      </c>
      <c r="K731" t="s">
        <v>25</v>
      </c>
      <c r="L731">
        <v>132757294</v>
      </c>
      <c r="R731">
        <v>9794</v>
      </c>
      <c r="S731" t="s">
        <v>232</v>
      </c>
      <c r="T731">
        <v>0</v>
      </c>
      <c r="U731">
        <v>-14</v>
      </c>
      <c r="V731">
        <v>0</v>
      </c>
      <c r="W731">
        <v>0</v>
      </c>
      <c r="X731">
        <v>0</v>
      </c>
    </row>
    <row r="732" spans="1:24" x14ac:dyDescent="0.25">
      <c r="A732" t="s">
        <v>15</v>
      </c>
      <c r="B732" t="s">
        <v>24</v>
      </c>
      <c r="C732">
        <v>20150316</v>
      </c>
      <c r="D732">
        <v>0</v>
      </c>
      <c r="F732">
        <v>62500</v>
      </c>
      <c r="G732" t="s">
        <v>17</v>
      </c>
      <c r="I732" t="s">
        <v>16</v>
      </c>
      <c r="J732" t="s">
        <v>180</v>
      </c>
      <c r="K732" t="s">
        <v>25</v>
      </c>
      <c r="L732">
        <v>132757294</v>
      </c>
      <c r="R732">
        <v>9794</v>
      </c>
      <c r="S732" t="s">
        <v>232</v>
      </c>
      <c r="T732">
        <v>0</v>
      </c>
      <c r="U732">
        <v>-14</v>
      </c>
      <c r="V732">
        <v>0</v>
      </c>
      <c r="W732">
        <v>0</v>
      </c>
      <c r="X732">
        <v>0</v>
      </c>
    </row>
    <row r="733" spans="1:24" x14ac:dyDescent="0.25">
      <c r="A733" t="s">
        <v>15</v>
      </c>
      <c r="B733" t="s">
        <v>24</v>
      </c>
      <c r="C733">
        <v>20150316</v>
      </c>
      <c r="D733">
        <v>0</v>
      </c>
      <c r="F733">
        <v>62500</v>
      </c>
      <c r="G733" t="s">
        <v>17</v>
      </c>
      <c r="I733" t="s">
        <v>16</v>
      </c>
      <c r="J733" t="s">
        <v>180</v>
      </c>
      <c r="K733" t="s">
        <v>25</v>
      </c>
      <c r="L733">
        <v>132757294</v>
      </c>
      <c r="R733">
        <v>9794</v>
      </c>
      <c r="S733" t="s">
        <v>192</v>
      </c>
      <c r="T733">
        <v>0</v>
      </c>
      <c r="U733">
        <v>14</v>
      </c>
      <c r="V733">
        <v>0</v>
      </c>
      <c r="W733">
        <v>0</v>
      </c>
      <c r="X733">
        <v>0</v>
      </c>
    </row>
    <row r="734" spans="1:24" x14ac:dyDescent="0.25">
      <c r="A734" t="s">
        <v>15</v>
      </c>
      <c r="B734" t="s">
        <v>24</v>
      </c>
      <c r="C734">
        <v>20150316</v>
      </c>
      <c r="D734">
        <v>0</v>
      </c>
      <c r="F734">
        <v>62500</v>
      </c>
      <c r="G734" t="s">
        <v>17</v>
      </c>
      <c r="I734" t="s">
        <v>16</v>
      </c>
      <c r="J734" t="s">
        <v>180</v>
      </c>
      <c r="K734" t="s">
        <v>25</v>
      </c>
      <c r="L734">
        <v>132757294</v>
      </c>
      <c r="R734">
        <v>9795</v>
      </c>
      <c r="S734" t="s">
        <v>232</v>
      </c>
      <c r="T734">
        <v>0</v>
      </c>
      <c r="U734">
        <v>5</v>
      </c>
      <c r="V734">
        <v>0</v>
      </c>
      <c r="W734">
        <v>0</v>
      </c>
      <c r="X734">
        <v>0</v>
      </c>
    </row>
    <row r="735" spans="1:24" x14ac:dyDescent="0.25">
      <c r="A735" t="s">
        <v>15</v>
      </c>
      <c r="B735" t="s">
        <v>24</v>
      </c>
      <c r="C735">
        <v>20150316</v>
      </c>
      <c r="D735">
        <v>0</v>
      </c>
      <c r="F735">
        <v>62500</v>
      </c>
      <c r="G735" t="s">
        <v>17</v>
      </c>
      <c r="I735" t="s">
        <v>16</v>
      </c>
      <c r="J735" t="s">
        <v>180</v>
      </c>
      <c r="K735" t="s">
        <v>25</v>
      </c>
      <c r="L735">
        <v>132757294</v>
      </c>
      <c r="R735">
        <v>9795</v>
      </c>
      <c r="S735" t="s">
        <v>232</v>
      </c>
      <c r="T735">
        <v>0</v>
      </c>
      <c r="U735">
        <v>5</v>
      </c>
      <c r="V735">
        <v>0</v>
      </c>
      <c r="W735">
        <v>0</v>
      </c>
      <c r="X735">
        <v>0</v>
      </c>
    </row>
    <row r="736" spans="1:24" x14ac:dyDescent="0.25">
      <c r="A736" t="s">
        <v>15</v>
      </c>
      <c r="B736" t="s">
        <v>24</v>
      </c>
      <c r="C736">
        <v>20150316</v>
      </c>
      <c r="D736">
        <v>0</v>
      </c>
      <c r="F736">
        <v>62500</v>
      </c>
      <c r="G736" t="s">
        <v>17</v>
      </c>
      <c r="I736" t="s">
        <v>16</v>
      </c>
      <c r="J736" t="s">
        <v>180</v>
      </c>
      <c r="K736" t="s">
        <v>25</v>
      </c>
      <c r="L736">
        <v>132757294</v>
      </c>
      <c r="R736">
        <v>9795</v>
      </c>
      <c r="S736" t="s">
        <v>233</v>
      </c>
      <c r="T736">
        <v>0</v>
      </c>
      <c r="U736">
        <v>5</v>
      </c>
      <c r="V736">
        <v>0</v>
      </c>
      <c r="W736">
        <v>0</v>
      </c>
      <c r="X736">
        <v>0</v>
      </c>
    </row>
    <row r="737" spans="1:40" x14ac:dyDescent="0.25">
      <c r="A737" t="s">
        <v>15</v>
      </c>
      <c r="B737" t="s">
        <v>24</v>
      </c>
      <c r="C737">
        <v>20150316</v>
      </c>
      <c r="D737">
        <v>0</v>
      </c>
      <c r="F737">
        <v>62500</v>
      </c>
      <c r="G737" t="s">
        <v>17</v>
      </c>
      <c r="I737" t="s">
        <v>16</v>
      </c>
      <c r="J737" t="s">
        <v>180</v>
      </c>
      <c r="K737" t="s">
        <v>25</v>
      </c>
      <c r="L737">
        <v>132757294</v>
      </c>
      <c r="R737">
        <v>9795</v>
      </c>
      <c r="S737" t="s">
        <v>223</v>
      </c>
      <c r="T737">
        <v>0</v>
      </c>
      <c r="U737">
        <v>5</v>
      </c>
      <c r="V737">
        <v>0</v>
      </c>
      <c r="W737">
        <v>0</v>
      </c>
      <c r="X737">
        <v>0</v>
      </c>
    </row>
    <row r="738" spans="1:40" x14ac:dyDescent="0.25">
      <c r="A738" t="s">
        <v>15</v>
      </c>
      <c r="B738" t="s">
        <v>24</v>
      </c>
      <c r="C738">
        <v>20150316</v>
      </c>
      <c r="D738">
        <v>0</v>
      </c>
      <c r="F738">
        <v>62500</v>
      </c>
      <c r="G738" t="s">
        <v>17</v>
      </c>
      <c r="I738" t="s">
        <v>16</v>
      </c>
      <c r="J738" t="s">
        <v>180</v>
      </c>
      <c r="K738" t="s">
        <v>25</v>
      </c>
      <c r="L738">
        <v>132757294</v>
      </c>
      <c r="R738">
        <v>9795</v>
      </c>
      <c r="S738" t="s">
        <v>224</v>
      </c>
      <c r="T738">
        <v>0</v>
      </c>
      <c r="U738">
        <v>5</v>
      </c>
      <c r="V738">
        <v>0</v>
      </c>
      <c r="W738">
        <v>0</v>
      </c>
      <c r="X738">
        <v>0</v>
      </c>
    </row>
    <row r="739" spans="1:40" x14ac:dyDescent="0.25">
      <c r="A739" t="s">
        <v>15</v>
      </c>
      <c r="B739" t="s">
        <v>24</v>
      </c>
      <c r="C739">
        <v>20150316</v>
      </c>
      <c r="D739">
        <v>0</v>
      </c>
      <c r="F739">
        <v>62500</v>
      </c>
      <c r="G739" t="s">
        <v>17</v>
      </c>
      <c r="I739" t="s">
        <v>16</v>
      </c>
      <c r="J739" t="s">
        <v>180</v>
      </c>
      <c r="K739" t="s">
        <v>25</v>
      </c>
      <c r="L739">
        <v>132757294</v>
      </c>
      <c r="R739">
        <v>9796</v>
      </c>
      <c r="S739" t="s">
        <v>232</v>
      </c>
      <c r="T739">
        <v>0</v>
      </c>
      <c r="U739">
        <v>5</v>
      </c>
      <c r="V739">
        <v>0</v>
      </c>
      <c r="W739">
        <v>0</v>
      </c>
      <c r="X739">
        <v>0</v>
      </c>
    </row>
    <row r="740" spans="1:40" x14ac:dyDescent="0.25">
      <c r="A740" t="s">
        <v>15</v>
      </c>
      <c r="B740" t="s">
        <v>24</v>
      </c>
      <c r="C740">
        <v>20150316</v>
      </c>
      <c r="D740">
        <v>0</v>
      </c>
      <c r="F740">
        <v>62500</v>
      </c>
      <c r="G740" t="s">
        <v>17</v>
      </c>
      <c r="I740" t="s">
        <v>16</v>
      </c>
      <c r="J740" t="s">
        <v>180</v>
      </c>
      <c r="K740" t="s">
        <v>25</v>
      </c>
      <c r="L740">
        <v>132757294</v>
      </c>
      <c r="R740">
        <v>9796</v>
      </c>
      <c r="S740" t="s">
        <v>232</v>
      </c>
      <c r="T740">
        <v>0</v>
      </c>
      <c r="U740">
        <v>5</v>
      </c>
      <c r="V740">
        <v>0</v>
      </c>
      <c r="W740">
        <v>0</v>
      </c>
      <c r="X740">
        <v>0</v>
      </c>
    </row>
    <row r="741" spans="1:40" x14ac:dyDescent="0.25">
      <c r="A741" t="s">
        <v>15</v>
      </c>
      <c r="B741" t="s">
        <v>24</v>
      </c>
      <c r="C741">
        <v>20150316</v>
      </c>
      <c r="D741">
        <v>0</v>
      </c>
      <c r="F741">
        <v>62500</v>
      </c>
      <c r="G741" t="s">
        <v>17</v>
      </c>
      <c r="I741" t="s">
        <v>16</v>
      </c>
      <c r="J741" t="s">
        <v>180</v>
      </c>
      <c r="K741" t="s">
        <v>25</v>
      </c>
      <c r="L741">
        <v>132757294</v>
      </c>
      <c r="R741">
        <v>9796</v>
      </c>
      <c r="S741" t="s">
        <v>238</v>
      </c>
      <c r="T741">
        <v>0</v>
      </c>
      <c r="U741">
        <v>5</v>
      </c>
      <c r="V741">
        <v>0</v>
      </c>
      <c r="W741">
        <v>0</v>
      </c>
      <c r="X741">
        <v>0</v>
      </c>
    </row>
    <row r="742" spans="1:40" x14ac:dyDescent="0.25">
      <c r="A742" t="s">
        <v>15</v>
      </c>
      <c r="B742" t="s">
        <v>24</v>
      </c>
      <c r="C742">
        <v>20150316</v>
      </c>
      <c r="D742">
        <v>0</v>
      </c>
      <c r="F742">
        <v>62500</v>
      </c>
      <c r="G742" t="s">
        <v>17</v>
      </c>
      <c r="I742" t="s">
        <v>16</v>
      </c>
      <c r="J742" t="s">
        <v>180</v>
      </c>
      <c r="K742" t="s">
        <v>25</v>
      </c>
      <c r="L742">
        <v>132757294</v>
      </c>
      <c r="R742">
        <v>9796</v>
      </c>
      <c r="S742" t="s">
        <v>223</v>
      </c>
      <c r="T742">
        <v>0</v>
      </c>
      <c r="U742">
        <v>5</v>
      </c>
      <c r="V742">
        <v>0</v>
      </c>
      <c r="W742">
        <v>0</v>
      </c>
      <c r="X742">
        <v>0</v>
      </c>
    </row>
    <row r="743" spans="1:40" x14ac:dyDescent="0.25">
      <c r="A743" t="s">
        <v>15</v>
      </c>
      <c r="B743" t="s">
        <v>24</v>
      </c>
      <c r="C743">
        <v>20150316</v>
      </c>
      <c r="D743">
        <v>0</v>
      </c>
      <c r="F743">
        <v>62500</v>
      </c>
      <c r="G743" t="s">
        <v>17</v>
      </c>
      <c r="I743" t="s">
        <v>16</v>
      </c>
      <c r="J743" t="s">
        <v>180</v>
      </c>
      <c r="K743" t="s">
        <v>25</v>
      </c>
      <c r="L743">
        <v>132757294</v>
      </c>
      <c r="R743">
        <v>9796</v>
      </c>
      <c r="S743" t="s">
        <v>224</v>
      </c>
      <c r="T743">
        <v>0</v>
      </c>
      <c r="U743">
        <v>5</v>
      </c>
      <c r="V743">
        <v>0</v>
      </c>
      <c r="W743">
        <v>0</v>
      </c>
      <c r="X743">
        <v>0</v>
      </c>
    </row>
    <row r="744" spans="1:40" x14ac:dyDescent="0.25">
      <c r="A744" t="s">
        <v>15</v>
      </c>
      <c r="B744" t="s">
        <v>24</v>
      </c>
      <c r="C744">
        <v>20150316</v>
      </c>
      <c r="D744">
        <v>0</v>
      </c>
      <c r="F744">
        <v>62500</v>
      </c>
      <c r="G744" t="s">
        <v>17</v>
      </c>
      <c r="I744" t="s">
        <v>16</v>
      </c>
      <c r="J744" t="s">
        <v>180</v>
      </c>
      <c r="K744" t="s">
        <v>25</v>
      </c>
      <c r="L744">
        <v>132757294</v>
      </c>
      <c r="R744">
        <v>9797</v>
      </c>
      <c r="S744" t="s">
        <v>232</v>
      </c>
      <c r="T744">
        <v>0</v>
      </c>
      <c r="U744">
        <v>5</v>
      </c>
      <c r="V744">
        <v>0</v>
      </c>
      <c r="W744">
        <v>0</v>
      </c>
      <c r="X744">
        <v>0</v>
      </c>
    </row>
    <row r="745" spans="1:40" x14ac:dyDescent="0.25">
      <c r="A745" t="s">
        <v>15</v>
      </c>
      <c r="B745" t="s">
        <v>24</v>
      </c>
      <c r="C745">
        <v>20150316</v>
      </c>
      <c r="D745">
        <v>0</v>
      </c>
      <c r="F745">
        <v>62500</v>
      </c>
      <c r="G745" t="s">
        <v>17</v>
      </c>
      <c r="I745" t="s">
        <v>16</v>
      </c>
      <c r="J745" t="s">
        <v>180</v>
      </c>
      <c r="K745" t="s">
        <v>25</v>
      </c>
      <c r="L745">
        <v>132757294</v>
      </c>
      <c r="R745">
        <v>9797</v>
      </c>
      <c r="S745" t="s">
        <v>232</v>
      </c>
      <c r="T745">
        <v>0</v>
      </c>
      <c r="U745">
        <v>5</v>
      </c>
      <c r="V745">
        <v>0</v>
      </c>
      <c r="W745">
        <v>0</v>
      </c>
      <c r="X745">
        <v>0</v>
      </c>
    </row>
    <row r="746" spans="1:40" x14ac:dyDescent="0.25">
      <c r="A746" t="s">
        <v>15</v>
      </c>
      <c r="B746" t="s">
        <v>24</v>
      </c>
      <c r="C746">
        <v>20150316</v>
      </c>
      <c r="D746">
        <v>0</v>
      </c>
      <c r="F746">
        <v>62500</v>
      </c>
      <c r="G746" t="s">
        <v>17</v>
      </c>
      <c r="I746" t="s">
        <v>16</v>
      </c>
      <c r="J746" t="s">
        <v>180</v>
      </c>
      <c r="K746" t="s">
        <v>25</v>
      </c>
      <c r="L746">
        <v>132757294</v>
      </c>
      <c r="R746">
        <v>9797</v>
      </c>
      <c r="S746" t="s">
        <v>238</v>
      </c>
      <c r="T746">
        <v>0</v>
      </c>
      <c r="U746">
        <v>5</v>
      </c>
      <c r="V746">
        <v>0</v>
      </c>
      <c r="W746">
        <v>0</v>
      </c>
      <c r="X746">
        <v>0</v>
      </c>
    </row>
    <row r="747" spans="1:40" x14ac:dyDescent="0.25">
      <c r="A747" t="s">
        <v>15</v>
      </c>
      <c r="B747" t="s">
        <v>24</v>
      </c>
      <c r="C747">
        <v>20150316</v>
      </c>
      <c r="D747">
        <v>0</v>
      </c>
      <c r="F747">
        <v>62500</v>
      </c>
      <c r="G747" t="s">
        <v>17</v>
      </c>
      <c r="I747" t="s">
        <v>16</v>
      </c>
      <c r="J747" t="s">
        <v>180</v>
      </c>
      <c r="K747" t="s">
        <v>25</v>
      </c>
      <c r="L747">
        <v>132757294</v>
      </c>
      <c r="R747">
        <v>9797</v>
      </c>
      <c r="S747" t="s">
        <v>223</v>
      </c>
      <c r="T747">
        <v>0</v>
      </c>
      <c r="U747">
        <v>5</v>
      </c>
      <c r="V747">
        <v>0</v>
      </c>
      <c r="W747">
        <v>0</v>
      </c>
      <c r="X747">
        <v>0</v>
      </c>
    </row>
    <row r="748" spans="1:40" x14ac:dyDescent="0.25">
      <c r="A748" t="s">
        <v>15</v>
      </c>
      <c r="B748" t="s">
        <v>24</v>
      </c>
      <c r="C748">
        <v>20150316</v>
      </c>
      <c r="D748">
        <v>0</v>
      </c>
      <c r="F748">
        <v>62500</v>
      </c>
      <c r="G748" t="s">
        <v>17</v>
      </c>
      <c r="I748" t="s">
        <v>16</v>
      </c>
      <c r="J748" t="s">
        <v>180</v>
      </c>
      <c r="K748" t="s">
        <v>25</v>
      </c>
      <c r="L748">
        <v>132757294</v>
      </c>
      <c r="R748">
        <v>9797</v>
      </c>
      <c r="S748" t="s">
        <v>224</v>
      </c>
      <c r="T748">
        <v>0</v>
      </c>
      <c r="U748">
        <v>5</v>
      </c>
      <c r="V748">
        <v>0</v>
      </c>
      <c r="W748">
        <v>0</v>
      </c>
      <c r="X748">
        <v>0</v>
      </c>
    </row>
    <row r="749" spans="1:40" x14ac:dyDescent="0.25">
      <c r="A749" t="s">
        <v>15</v>
      </c>
      <c r="B749" t="s">
        <v>24</v>
      </c>
      <c r="C749">
        <v>20150316</v>
      </c>
      <c r="D749">
        <v>0</v>
      </c>
      <c r="F749">
        <v>62500</v>
      </c>
      <c r="G749" t="s">
        <v>17</v>
      </c>
      <c r="I749" t="s">
        <v>16</v>
      </c>
      <c r="J749" t="s">
        <v>180</v>
      </c>
      <c r="K749" t="s">
        <v>25</v>
      </c>
      <c r="L749">
        <v>132757294</v>
      </c>
      <c r="R749">
        <v>9798</v>
      </c>
      <c r="S749" t="s">
        <v>232</v>
      </c>
      <c r="T749">
        <v>0</v>
      </c>
      <c r="U749">
        <v>5</v>
      </c>
      <c r="V749">
        <v>0</v>
      </c>
      <c r="W749">
        <v>0</v>
      </c>
      <c r="X749">
        <v>0</v>
      </c>
    </row>
    <row r="750" spans="1:40" x14ac:dyDescent="0.25">
      <c r="A750" t="s">
        <v>15</v>
      </c>
      <c r="B750" t="s">
        <v>24</v>
      </c>
      <c r="C750">
        <v>20150316</v>
      </c>
      <c r="D750">
        <v>0</v>
      </c>
      <c r="F750">
        <v>62500</v>
      </c>
      <c r="G750" t="s">
        <v>17</v>
      </c>
      <c r="I750" t="s">
        <v>16</v>
      </c>
      <c r="J750" t="s">
        <v>180</v>
      </c>
      <c r="K750" t="s">
        <v>25</v>
      </c>
      <c r="L750">
        <v>132757294</v>
      </c>
      <c r="R750">
        <v>9798</v>
      </c>
      <c r="S750" t="s">
        <v>232</v>
      </c>
      <c r="T750">
        <v>0</v>
      </c>
      <c r="U750">
        <v>-1</v>
      </c>
      <c r="V750">
        <v>0</v>
      </c>
      <c r="W750">
        <v>0</v>
      </c>
      <c r="X750">
        <v>0</v>
      </c>
      <c r="Y750">
        <v>9798</v>
      </c>
      <c r="Z750" t="s">
        <v>7096</v>
      </c>
      <c r="AA750" t="s">
        <v>7097</v>
      </c>
      <c r="AB750" t="s">
        <v>234</v>
      </c>
      <c r="AC750" t="s">
        <v>17</v>
      </c>
      <c r="AD750" t="s">
        <v>235</v>
      </c>
      <c r="AE750">
        <v>3</v>
      </c>
      <c r="AF750">
        <v>3</v>
      </c>
      <c r="AG750">
        <v>1.5289999999999999</v>
      </c>
      <c r="AH750">
        <v>1.5289999999999999</v>
      </c>
      <c r="AI750">
        <v>1226100257</v>
      </c>
      <c r="AJ750">
        <v>0</v>
      </c>
      <c r="AK750">
        <v>7</v>
      </c>
      <c r="AN750">
        <v>0</v>
      </c>
    </row>
    <row r="751" spans="1:40" x14ac:dyDescent="0.25">
      <c r="A751" t="s">
        <v>15</v>
      </c>
      <c r="B751" t="s">
        <v>24</v>
      </c>
      <c r="C751">
        <v>20150316</v>
      </c>
      <c r="D751">
        <v>0</v>
      </c>
      <c r="F751">
        <v>62500</v>
      </c>
      <c r="G751" t="s">
        <v>17</v>
      </c>
      <c r="I751" t="s">
        <v>16</v>
      </c>
      <c r="J751" t="s">
        <v>180</v>
      </c>
      <c r="K751" t="s">
        <v>25</v>
      </c>
      <c r="L751">
        <v>132757294</v>
      </c>
      <c r="R751">
        <v>9798</v>
      </c>
      <c r="S751" t="s">
        <v>232</v>
      </c>
      <c r="T751">
        <v>0</v>
      </c>
      <c r="U751">
        <v>-1</v>
      </c>
      <c r="V751">
        <v>0</v>
      </c>
      <c r="W751">
        <v>0</v>
      </c>
      <c r="X751">
        <v>0</v>
      </c>
    </row>
    <row r="752" spans="1:40" x14ac:dyDescent="0.25">
      <c r="A752" t="s">
        <v>15</v>
      </c>
      <c r="B752" t="s">
        <v>24</v>
      </c>
      <c r="C752">
        <v>20150316</v>
      </c>
      <c r="D752">
        <v>0</v>
      </c>
      <c r="F752">
        <v>62500</v>
      </c>
      <c r="G752" t="s">
        <v>17</v>
      </c>
      <c r="I752" t="s">
        <v>16</v>
      </c>
      <c r="J752" t="s">
        <v>180</v>
      </c>
      <c r="K752" t="s">
        <v>25</v>
      </c>
      <c r="L752">
        <v>132757294</v>
      </c>
      <c r="R752">
        <v>9798</v>
      </c>
      <c r="S752" t="s">
        <v>236</v>
      </c>
      <c r="T752">
        <v>3</v>
      </c>
      <c r="U752">
        <v>2</v>
      </c>
      <c r="V752">
        <v>1.5289999999999999</v>
      </c>
      <c r="W752">
        <v>1.5289999999999999</v>
      </c>
      <c r="X752">
        <v>0</v>
      </c>
    </row>
    <row r="753" spans="1:24" x14ac:dyDescent="0.25">
      <c r="A753" t="s">
        <v>15</v>
      </c>
      <c r="B753" t="s">
        <v>24</v>
      </c>
      <c r="C753">
        <v>20150316</v>
      </c>
      <c r="D753">
        <v>0</v>
      </c>
      <c r="F753">
        <v>62500</v>
      </c>
      <c r="G753" t="s">
        <v>17</v>
      </c>
      <c r="I753" t="s">
        <v>16</v>
      </c>
      <c r="J753" t="s">
        <v>180</v>
      </c>
      <c r="K753" t="s">
        <v>25</v>
      </c>
      <c r="L753">
        <v>132757294</v>
      </c>
      <c r="R753">
        <v>9798</v>
      </c>
      <c r="S753" t="s">
        <v>236</v>
      </c>
      <c r="T753">
        <v>3</v>
      </c>
      <c r="U753">
        <v>2</v>
      </c>
      <c r="V753">
        <v>1.5289999999999999</v>
      </c>
      <c r="W753">
        <v>1.5289999999999999</v>
      </c>
      <c r="X753">
        <v>0</v>
      </c>
    </row>
    <row r="754" spans="1:24" x14ac:dyDescent="0.25">
      <c r="A754" t="s">
        <v>15</v>
      </c>
      <c r="B754" t="s">
        <v>24</v>
      </c>
      <c r="C754">
        <v>20150316</v>
      </c>
      <c r="D754">
        <v>0</v>
      </c>
      <c r="F754">
        <v>62500</v>
      </c>
      <c r="G754" t="s">
        <v>17</v>
      </c>
      <c r="I754" t="s">
        <v>16</v>
      </c>
      <c r="J754" t="s">
        <v>180</v>
      </c>
      <c r="K754" t="s">
        <v>25</v>
      </c>
      <c r="L754">
        <v>132757294</v>
      </c>
      <c r="R754">
        <v>9798</v>
      </c>
      <c r="S754" t="s">
        <v>233</v>
      </c>
      <c r="T754">
        <v>3</v>
      </c>
      <c r="U754">
        <v>2</v>
      </c>
      <c r="V754">
        <v>1.5289999999999999</v>
      </c>
      <c r="W754">
        <v>1.5289999999999999</v>
      </c>
      <c r="X754">
        <v>0</v>
      </c>
    </row>
    <row r="755" spans="1:24" x14ac:dyDescent="0.25">
      <c r="A755" t="s">
        <v>15</v>
      </c>
      <c r="B755" t="s">
        <v>24</v>
      </c>
      <c r="C755">
        <v>20150316</v>
      </c>
      <c r="D755">
        <v>0</v>
      </c>
      <c r="F755">
        <v>62500</v>
      </c>
      <c r="G755" t="s">
        <v>17</v>
      </c>
      <c r="I755" t="s">
        <v>16</v>
      </c>
      <c r="J755" t="s">
        <v>180</v>
      </c>
      <c r="K755" t="s">
        <v>25</v>
      </c>
      <c r="L755">
        <v>132757294</v>
      </c>
      <c r="R755">
        <v>9798</v>
      </c>
      <c r="S755" t="s">
        <v>233</v>
      </c>
      <c r="T755">
        <v>3</v>
      </c>
      <c r="U755">
        <v>2</v>
      </c>
      <c r="V755">
        <v>1.5289999999999999</v>
      </c>
      <c r="W755">
        <v>1.5289999999999999</v>
      </c>
      <c r="X755">
        <v>0</v>
      </c>
    </row>
    <row r="756" spans="1:24" x14ac:dyDescent="0.25">
      <c r="A756" t="s">
        <v>15</v>
      </c>
      <c r="B756" t="s">
        <v>24</v>
      </c>
      <c r="C756">
        <v>20150316</v>
      </c>
      <c r="D756">
        <v>0</v>
      </c>
      <c r="F756">
        <v>62500</v>
      </c>
      <c r="G756" t="s">
        <v>17</v>
      </c>
      <c r="I756" t="s">
        <v>16</v>
      </c>
      <c r="J756" t="s">
        <v>180</v>
      </c>
      <c r="K756" t="s">
        <v>25</v>
      </c>
      <c r="L756">
        <v>132757294</v>
      </c>
      <c r="R756">
        <v>9798</v>
      </c>
      <c r="S756" t="s">
        <v>233</v>
      </c>
      <c r="T756">
        <v>3</v>
      </c>
      <c r="U756">
        <v>2</v>
      </c>
      <c r="V756">
        <v>1.5289999999999999</v>
      </c>
      <c r="W756">
        <v>1.5289999999999999</v>
      </c>
      <c r="X756">
        <v>0</v>
      </c>
    </row>
    <row r="5001" spans="1:40" x14ac:dyDescent="0.25">
      <c r="A5001" t="s">
        <v>15</v>
      </c>
      <c r="B5001" t="s">
        <v>24</v>
      </c>
      <c r="C5001">
        <v>20150316</v>
      </c>
      <c r="D5001">
        <v>0</v>
      </c>
      <c r="F5001">
        <v>62500</v>
      </c>
      <c r="G5001" t="s">
        <v>17</v>
      </c>
      <c r="I5001" t="s">
        <v>16</v>
      </c>
      <c r="J5001" t="s">
        <v>180</v>
      </c>
      <c r="K5001" t="s">
        <v>25</v>
      </c>
      <c r="L5001">
        <v>132757294</v>
      </c>
      <c r="R5001">
        <v>9536</v>
      </c>
      <c r="S5001" t="s">
        <v>192</v>
      </c>
      <c r="T5001">
        <v>0</v>
      </c>
      <c r="U5001">
        <v>16</v>
      </c>
      <c r="V5001">
        <v>0</v>
      </c>
      <c r="W5001">
        <v>0</v>
      </c>
      <c r="X5001">
        <v>0</v>
      </c>
    </row>
    <row r="5002" spans="1:40" x14ac:dyDescent="0.25">
      <c r="A5002" t="s">
        <v>15</v>
      </c>
      <c r="B5002" t="s">
        <v>24</v>
      </c>
      <c r="C5002">
        <v>20150316</v>
      </c>
      <c r="D5002">
        <v>0</v>
      </c>
      <c r="F5002">
        <v>62500</v>
      </c>
      <c r="G5002" t="s">
        <v>17</v>
      </c>
      <c r="I5002" t="s">
        <v>16</v>
      </c>
      <c r="J5002" t="s">
        <v>180</v>
      </c>
      <c r="K5002" t="s">
        <v>25</v>
      </c>
      <c r="L5002">
        <v>132757294</v>
      </c>
      <c r="R5002">
        <v>9537</v>
      </c>
      <c r="S5002" t="s">
        <v>232</v>
      </c>
      <c r="T5002">
        <v>0</v>
      </c>
      <c r="U5002">
        <v>-5</v>
      </c>
      <c r="V5002">
        <v>0</v>
      </c>
      <c r="W5002">
        <v>0</v>
      </c>
      <c r="X5002">
        <v>0</v>
      </c>
    </row>
    <row r="5003" spans="1:40" x14ac:dyDescent="0.25">
      <c r="A5003" t="s">
        <v>15</v>
      </c>
      <c r="B5003" t="s">
        <v>24</v>
      </c>
      <c r="C5003">
        <v>20150316</v>
      </c>
      <c r="D5003">
        <v>0</v>
      </c>
      <c r="F5003">
        <v>62500</v>
      </c>
      <c r="G5003" t="s">
        <v>17</v>
      </c>
      <c r="I5003" t="s">
        <v>16</v>
      </c>
      <c r="J5003" t="s">
        <v>180</v>
      </c>
      <c r="K5003" t="s">
        <v>25</v>
      </c>
      <c r="L5003">
        <v>132757294</v>
      </c>
      <c r="R5003">
        <v>9537</v>
      </c>
      <c r="S5003" t="s">
        <v>232</v>
      </c>
      <c r="T5003">
        <v>0</v>
      </c>
      <c r="U5003">
        <v>-5</v>
      </c>
      <c r="V5003">
        <v>0</v>
      </c>
      <c r="W5003">
        <v>0</v>
      </c>
      <c r="X5003">
        <v>0</v>
      </c>
      <c r="Y5003">
        <v>9537</v>
      </c>
      <c r="Z5003" t="s">
        <v>241</v>
      </c>
      <c r="AA5003" t="s">
        <v>242</v>
      </c>
      <c r="AB5003" t="s">
        <v>234</v>
      </c>
      <c r="AC5003" t="s">
        <v>17</v>
      </c>
      <c r="AD5003" t="s">
        <v>237</v>
      </c>
      <c r="AE5003">
        <v>5</v>
      </c>
      <c r="AF5003">
        <v>5</v>
      </c>
      <c r="AG5003">
        <v>1.5248999999999999</v>
      </c>
      <c r="AH5003">
        <v>1.5248999999999999</v>
      </c>
      <c r="AI5003">
        <v>415886570</v>
      </c>
      <c r="AJ5003">
        <v>0</v>
      </c>
      <c r="AK5003">
        <v>7</v>
      </c>
      <c r="AN5003">
        <v>0</v>
      </c>
    </row>
    <row r="5004" spans="1:40" x14ac:dyDescent="0.25">
      <c r="A5004" t="s">
        <v>15</v>
      </c>
      <c r="B5004" t="s">
        <v>24</v>
      </c>
      <c r="C5004">
        <v>20150316</v>
      </c>
      <c r="D5004">
        <v>0</v>
      </c>
      <c r="F5004">
        <v>62500</v>
      </c>
      <c r="G5004" t="s">
        <v>17</v>
      </c>
      <c r="I5004" t="s">
        <v>16</v>
      </c>
      <c r="J5004" t="s">
        <v>180</v>
      </c>
      <c r="K5004" t="s">
        <v>25</v>
      </c>
      <c r="L5004">
        <v>132757294</v>
      </c>
      <c r="R5004">
        <v>9537</v>
      </c>
      <c r="S5004" t="s">
        <v>232</v>
      </c>
      <c r="T5004">
        <v>0</v>
      </c>
      <c r="U5004">
        <v>-5</v>
      </c>
      <c r="V5004">
        <v>0</v>
      </c>
      <c r="W5004">
        <v>0</v>
      </c>
      <c r="X5004">
        <v>0</v>
      </c>
    </row>
    <row r="5005" spans="1:40" x14ac:dyDescent="0.25">
      <c r="A5005" t="s">
        <v>15</v>
      </c>
      <c r="B5005" t="s">
        <v>24</v>
      </c>
      <c r="C5005">
        <v>20150316</v>
      </c>
      <c r="D5005">
        <v>0</v>
      </c>
      <c r="F5005">
        <v>62500</v>
      </c>
      <c r="G5005" t="s">
        <v>17</v>
      </c>
      <c r="I5005" t="s">
        <v>16</v>
      </c>
      <c r="J5005" t="s">
        <v>180</v>
      </c>
      <c r="K5005" t="s">
        <v>25</v>
      </c>
      <c r="L5005">
        <v>132757294</v>
      </c>
      <c r="R5005">
        <v>9537</v>
      </c>
      <c r="S5005" t="s">
        <v>37</v>
      </c>
      <c r="T5005">
        <v>5</v>
      </c>
      <c r="U5005">
        <v>0</v>
      </c>
      <c r="V5005">
        <v>1.5248999999999999</v>
      </c>
      <c r="W5005">
        <v>1.5248999999999999</v>
      </c>
      <c r="X5005">
        <v>0</v>
      </c>
    </row>
    <row r="5006" spans="1:40" x14ac:dyDescent="0.25">
      <c r="A5006" t="s">
        <v>15</v>
      </c>
      <c r="B5006" t="s">
        <v>24</v>
      </c>
      <c r="C5006">
        <v>20150316</v>
      </c>
      <c r="D5006">
        <v>0</v>
      </c>
      <c r="F5006">
        <v>62500</v>
      </c>
      <c r="G5006" t="s">
        <v>17</v>
      </c>
      <c r="I5006" t="s">
        <v>16</v>
      </c>
      <c r="J5006" t="s">
        <v>180</v>
      </c>
      <c r="K5006" t="s">
        <v>25</v>
      </c>
      <c r="L5006">
        <v>132757294</v>
      </c>
      <c r="R5006">
        <v>9537</v>
      </c>
      <c r="S5006" t="s">
        <v>37</v>
      </c>
      <c r="T5006">
        <v>5</v>
      </c>
      <c r="U5006">
        <v>0</v>
      </c>
      <c r="V5006">
        <v>1.5248999999999999</v>
      </c>
      <c r="W5006">
        <v>1.5248999999999999</v>
      </c>
      <c r="X5006">
        <v>0</v>
      </c>
    </row>
    <row r="5007" spans="1:40" x14ac:dyDescent="0.25">
      <c r="A5007" t="s">
        <v>15</v>
      </c>
      <c r="B5007" t="s">
        <v>24</v>
      </c>
      <c r="C5007">
        <v>20150316</v>
      </c>
      <c r="D5007">
        <v>0</v>
      </c>
      <c r="F5007">
        <v>62500</v>
      </c>
      <c r="G5007" t="s">
        <v>17</v>
      </c>
      <c r="I5007" t="s">
        <v>16</v>
      </c>
      <c r="J5007" t="s">
        <v>180</v>
      </c>
      <c r="K5007" t="s">
        <v>25</v>
      </c>
      <c r="L5007">
        <v>132757294</v>
      </c>
      <c r="R5007">
        <v>9537</v>
      </c>
      <c r="S5007" t="s">
        <v>37</v>
      </c>
      <c r="T5007">
        <v>5</v>
      </c>
      <c r="U5007">
        <v>0</v>
      </c>
      <c r="V5007">
        <v>1.5248999999999999</v>
      </c>
      <c r="W5007">
        <v>1.5248999999999999</v>
      </c>
      <c r="X5007">
        <v>0</v>
      </c>
    </row>
    <row r="5008" spans="1:40" x14ac:dyDescent="0.25">
      <c r="A5008" t="s">
        <v>15</v>
      </c>
      <c r="B5008" t="s">
        <v>24</v>
      </c>
      <c r="C5008">
        <v>20150316</v>
      </c>
      <c r="D5008">
        <v>0</v>
      </c>
      <c r="F5008">
        <v>62500</v>
      </c>
      <c r="G5008" t="s">
        <v>17</v>
      </c>
      <c r="I5008" t="s">
        <v>16</v>
      </c>
      <c r="J5008" t="s">
        <v>180</v>
      </c>
      <c r="K5008" t="s">
        <v>25</v>
      </c>
      <c r="L5008">
        <v>132757294</v>
      </c>
      <c r="R5008">
        <v>9537</v>
      </c>
      <c r="S5008" t="s">
        <v>37</v>
      </c>
      <c r="T5008">
        <v>5</v>
      </c>
      <c r="U5008">
        <v>0</v>
      </c>
      <c r="V5008">
        <v>1.5248999999999999</v>
      </c>
      <c r="W5008">
        <v>1.5248999999999999</v>
      </c>
      <c r="X5008">
        <v>0</v>
      </c>
    </row>
    <row r="5009" spans="1:40" x14ac:dyDescent="0.25">
      <c r="A5009" t="s">
        <v>15</v>
      </c>
      <c r="B5009" t="s">
        <v>24</v>
      </c>
      <c r="C5009">
        <v>20150316</v>
      </c>
      <c r="D5009">
        <v>0</v>
      </c>
      <c r="F5009">
        <v>62500</v>
      </c>
      <c r="G5009" t="s">
        <v>17</v>
      </c>
      <c r="I5009" t="s">
        <v>16</v>
      </c>
      <c r="J5009" t="s">
        <v>180</v>
      </c>
      <c r="K5009" t="s">
        <v>25</v>
      </c>
      <c r="L5009">
        <v>132757294</v>
      </c>
      <c r="R5009">
        <v>9537</v>
      </c>
      <c r="S5009" t="s">
        <v>37</v>
      </c>
      <c r="T5009">
        <v>5</v>
      </c>
      <c r="U5009">
        <v>0</v>
      </c>
      <c r="V5009">
        <v>1.5248999999999999</v>
      </c>
      <c r="W5009">
        <v>1.5248999999999999</v>
      </c>
      <c r="X5009">
        <v>0</v>
      </c>
    </row>
    <row r="5010" spans="1:40" x14ac:dyDescent="0.25">
      <c r="A5010" t="s">
        <v>15</v>
      </c>
      <c r="B5010" t="s">
        <v>24</v>
      </c>
      <c r="C5010">
        <v>20150316</v>
      </c>
      <c r="D5010">
        <v>0</v>
      </c>
      <c r="F5010">
        <v>62500</v>
      </c>
      <c r="G5010" t="s">
        <v>17</v>
      </c>
      <c r="I5010" t="s">
        <v>16</v>
      </c>
      <c r="J5010" t="s">
        <v>180</v>
      </c>
      <c r="K5010" t="s">
        <v>25</v>
      </c>
      <c r="L5010">
        <v>132757294</v>
      </c>
      <c r="R5010">
        <v>9537</v>
      </c>
      <c r="S5010" t="s">
        <v>37</v>
      </c>
      <c r="T5010">
        <v>5</v>
      </c>
      <c r="U5010">
        <v>0</v>
      </c>
      <c r="V5010">
        <v>1.5248999999999999</v>
      </c>
      <c r="W5010">
        <v>1.5248999999999999</v>
      </c>
      <c r="X5010">
        <v>0</v>
      </c>
    </row>
    <row r="5011" spans="1:40" x14ac:dyDescent="0.25">
      <c r="A5011" t="s">
        <v>15</v>
      </c>
      <c r="B5011" t="s">
        <v>24</v>
      </c>
      <c r="C5011">
        <v>20150316</v>
      </c>
      <c r="D5011">
        <v>0</v>
      </c>
      <c r="F5011">
        <v>62500</v>
      </c>
      <c r="G5011" t="s">
        <v>17</v>
      </c>
      <c r="I5011" t="s">
        <v>16</v>
      </c>
      <c r="J5011" t="s">
        <v>180</v>
      </c>
      <c r="K5011" t="s">
        <v>25</v>
      </c>
      <c r="L5011">
        <v>132757294</v>
      </c>
      <c r="R5011">
        <v>9537</v>
      </c>
      <c r="S5011" t="s">
        <v>37</v>
      </c>
      <c r="T5011">
        <v>5</v>
      </c>
      <c r="U5011">
        <v>0</v>
      </c>
      <c r="V5011">
        <v>1.5248999999999999</v>
      </c>
      <c r="W5011">
        <v>1.5248999999999999</v>
      </c>
      <c r="X5011">
        <v>0</v>
      </c>
    </row>
    <row r="5012" spans="1:40" x14ac:dyDescent="0.25">
      <c r="A5012" t="s">
        <v>15</v>
      </c>
      <c r="B5012" t="s">
        <v>24</v>
      </c>
      <c r="C5012">
        <v>20150316</v>
      </c>
      <c r="D5012">
        <v>0</v>
      </c>
      <c r="F5012">
        <v>62500</v>
      </c>
      <c r="G5012" t="s">
        <v>17</v>
      </c>
      <c r="I5012" t="s">
        <v>16</v>
      </c>
      <c r="J5012" t="s">
        <v>180</v>
      </c>
      <c r="K5012" t="s">
        <v>25</v>
      </c>
      <c r="L5012">
        <v>132757294</v>
      </c>
      <c r="R5012">
        <v>9537</v>
      </c>
      <c r="S5012" t="s">
        <v>37</v>
      </c>
      <c r="T5012">
        <v>5</v>
      </c>
      <c r="U5012">
        <v>0</v>
      </c>
      <c r="V5012">
        <v>1.5248999999999999</v>
      </c>
      <c r="W5012">
        <v>1.5248999999999999</v>
      </c>
      <c r="X5012">
        <v>0</v>
      </c>
    </row>
    <row r="5013" spans="1:40" x14ac:dyDescent="0.25">
      <c r="A5013" t="s">
        <v>15</v>
      </c>
      <c r="B5013" t="s">
        <v>24</v>
      </c>
      <c r="C5013">
        <v>20150316</v>
      </c>
      <c r="D5013">
        <v>0</v>
      </c>
      <c r="F5013">
        <v>62500</v>
      </c>
      <c r="G5013" t="s">
        <v>17</v>
      </c>
      <c r="I5013" t="s">
        <v>16</v>
      </c>
      <c r="J5013" t="s">
        <v>180</v>
      </c>
      <c r="K5013" t="s">
        <v>25</v>
      </c>
      <c r="L5013">
        <v>132757294</v>
      </c>
      <c r="R5013">
        <v>9538</v>
      </c>
      <c r="S5013" t="s">
        <v>232</v>
      </c>
      <c r="T5013">
        <v>0</v>
      </c>
      <c r="U5013">
        <v>-5</v>
      </c>
      <c r="V5013">
        <v>0</v>
      </c>
      <c r="W5013">
        <v>0</v>
      </c>
      <c r="X5013">
        <v>0</v>
      </c>
    </row>
    <row r="5014" spans="1:40" x14ac:dyDescent="0.25">
      <c r="A5014" t="s">
        <v>15</v>
      </c>
      <c r="B5014" t="s">
        <v>24</v>
      </c>
      <c r="C5014">
        <v>20150316</v>
      </c>
      <c r="D5014">
        <v>0</v>
      </c>
      <c r="F5014">
        <v>62500</v>
      </c>
      <c r="G5014" t="s">
        <v>17</v>
      </c>
      <c r="I5014" t="s">
        <v>16</v>
      </c>
      <c r="J5014" t="s">
        <v>180</v>
      </c>
      <c r="K5014" t="s">
        <v>25</v>
      </c>
      <c r="L5014">
        <v>132757294</v>
      </c>
      <c r="R5014">
        <v>9538</v>
      </c>
      <c r="S5014" t="s">
        <v>232</v>
      </c>
      <c r="T5014">
        <v>0</v>
      </c>
      <c r="U5014">
        <v>-5</v>
      </c>
      <c r="V5014">
        <v>0</v>
      </c>
      <c r="W5014">
        <v>0</v>
      </c>
      <c r="X5014">
        <v>0</v>
      </c>
      <c r="Y5014">
        <v>9538</v>
      </c>
      <c r="Z5014" t="s">
        <v>243</v>
      </c>
      <c r="AA5014" t="s">
        <v>244</v>
      </c>
      <c r="AB5014" t="s">
        <v>234</v>
      </c>
      <c r="AC5014" t="s">
        <v>17</v>
      </c>
      <c r="AD5014" t="s">
        <v>237</v>
      </c>
      <c r="AE5014">
        <v>5</v>
      </c>
      <c r="AF5014">
        <v>5</v>
      </c>
      <c r="AG5014">
        <v>1.5248999999999999</v>
      </c>
      <c r="AH5014">
        <v>1.5248999999999999</v>
      </c>
      <c r="AI5014">
        <v>415886571</v>
      </c>
      <c r="AJ5014">
        <v>0</v>
      </c>
      <c r="AK5014">
        <v>7</v>
      </c>
      <c r="AN5014">
        <v>0</v>
      </c>
    </row>
    <row r="5015" spans="1:40" x14ac:dyDescent="0.25">
      <c r="A5015" t="s">
        <v>15</v>
      </c>
      <c r="B5015" t="s">
        <v>24</v>
      </c>
      <c r="C5015">
        <v>20150316</v>
      </c>
      <c r="D5015">
        <v>0</v>
      </c>
      <c r="F5015">
        <v>62500</v>
      </c>
      <c r="G5015" t="s">
        <v>17</v>
      </c>
      <c r="I5015" t="s">
        <v>16</v>
      </c>
      <c r="J5015" t="s">
        <v>180</v>
      </c>
      <c r="K5015" t="s">
        <v>25</v>
      </c>
      <c r="L5015">
        <v>132757294</v>
      </c>
      <c r="R5015">
        <v>9538</v>
      </c>
      <c r="S5015" t="s">
        <v>232</v>
      </c>
      <c r="T5015">
        <v>0</v>
      </c>
      <c r="U5015">
        <v>-5</v>
      </c>
      <c r="V5015">
        <v>0</v>
      </c>
      <c r="W5015">
        <v>0</v>
      </c>
      <c r="X5015">
        <v>0</v>
      </c>
    </row>
    <row r="5016" spans="1:40" x14ac:dyDescent="0.25">
      <c r="A5016" t="s">
        <v>15</v>
      </c>
      <c r="B5016" t="s">
        <v>24</v>
      </c>
      <c r="C5016">
        <v>20150316</v>
      </c>
      <c r="D5016">
        <v>0</v>
      </c>
      <c r="F5016">
        <v>62500</v>
      </c>
      <c r="G5016" t="s">
        <v>17</v>
      </c>
      <c r="I5016" t="s">
        <v>16</v>
      </c>
      <c r="J5016" t="s">
        <v>180</v>
      </c>
      <c r="K5016" t="s">
        <v>25</v>
      </c>
      <c r="L5016">
        <v>132757294</v>
      </c>
      <c r="R5016">
        <v>9538</v>
      </c>
      <c r="S5016" t="s">
        <v>37</v>
      </c>
      <c r="T5016">
        <v>5</v>
      </c>
      <c r="U5016">
        <v>0</v>
      </c>
      <c r="V5016">
        <v>1.5248999999999999</v>
      </c>
      <c r="W5016">
        <v>1.5248999999999999</v>
      </c>
      <c r="X5016">
        <v>0</v>
      </c>
    </row>
    <row r="5017" spans="1:40" x14ac:dyDescent="0.25">
      <c r="A5017" t="s">
        <v>15</v>
      </c>
      <c r="B5017" t="s">
        <v>24</v>
      </c>
      <c r="C5017">
        <v>20150316</v>
      </c>
      <c r="D5017">
        <v>0</v>
      </c>
      <c r="F5017">
        <v>62500</v>
      </c>
      <c r="G5017" t="s">
        <v>17</v>
      </c>
      <c r="I5017" t="s">
        <v>16</v>
      </c>
      <c r="J5017" t="s">
        <v>180</v>
      </c>
      <c r="K5017" t="s">
        <v>25</v>
      </c>
      <c r="L5017">
        <v>132757294</v>
      </c>
      <c r="R5017">
        <v>9538</v>
      </c>
      <c r="S5017" t="s">
        <v>37</v>
      </c>
      <c r="T5017">
        <v>5</v>
      </c>
      <c r="U5017">
        <v>0</v>
      </c>
      <c r="V5017">
        <v>1.5248999999999999</v>
      </c>
      <c r="W5017">
        <v>1.5248999999999999</v>
      </c>
      <c r="X5017">
        <v>0</v>
      </c>
    </row>
    <row r="5018" spans="1:40" x14ac:dyDescent="0.25">
      <c r="A5018" t="s">
        <v>15</v>
      </c>
      <c r="B5018" t="s">
        <v>24</v>
      </c>
      <c r="C5018">
        <v>20150316</v>
      </c>
      <c r="D5018">
        <v>0</v>
      </c>
      <c r="F5018">
        <v>62500</v>
      </c>
      <c r="G5018" t="s">
        <v>17</v>
      </c>
      <c r="I5018" t="s">
        <v>16</v>
      </c>
      <c r="J5018" t="s">
        <v>180</v>
      </c>
      <c r="K5018" t="s">
        <v>25</v>
      </c>
      <c r="L5018">
        <v>132757294</v>
      </c>
      <c r="R5018">
        <v>9538</v>
      </c>
      <c r="S5018" t="s">
        <v>37</v>
      </c>
      <c r="T5018">
        <v>5</v>
      </c>
      <c r="U5018">
        <v>0</v>
      </c>
      <c r="V5018">
        <v>1.5248999999999999</v>
      </c>
      <c r="W5018">
        <v>1.5248999999999999</v>
      </c>
      <c r="X5018">
        <v>0</v>
      </c>
    </row>
    <row r="5019" spans="1:40" x14ac:dyDescent="0.25">
      <c r="A5019" t="s">
        <v>15</v>
      </c>
      <c r="B5019" t="s">
        <v>24</v>
      </c>
      <c r="C5019">
        <v>20150316</v>
      </c>
      <c r="D5019">
        <v>0</v>
      </c>
      <c r="F5019">
        <v>62500</v>
      </c>
      <c r="G5019" t="s">
        <v>17</v>
      </c>
      <c r="I5019" t="s">
        <v>16</v>
      </c>
      <c r="J5019" t="s">
        <v>180</v>
      </c>
      <c r="K5019" t="s">
        <v>25</v>
      </c>
      <c r="L5019">
        <v>132757294</v>
      </c>
      <c r="R5019">
        <v>9538</v>
      </c>
      <c r="S5019" t="s">
        <v>37</v>
      </c>
      <c r="T5019">
        <v>5</v>
      </c>
      <c r="U5019">
        <v>0</v>
      </c>
      <c r="V5019">
        <v>1.5248999999999999</v>
      </c>
      <c r="W5019">
        <v>1.5248999999999999</v>
      </c>
      <c r="X5019">
        <v>0</v>
      </c>
    </row>
    <row r="5020" spans="1:40" x14ac:dyDescent="0.25">
      <c r="A5020" t="s">
        <v>15</v>
      </c>
      <c r="B5020" t="s">
        <v>24</v>
      </c>
      <c r="C5020">
        <v>20150316</v>
      </c>
      <c r="D5020">
        <v>0</v>
      </c>
      <c r="F5020">
        <v>62500</v>
      </c>
      <c r="G5020" t="s">
        <v>17</v>
      </c>
      <c r="I5020" t="s">
        <v>16</v>
      </c>
      <c r="J5020" t="s">
        <v>180</v>
      </c>
      <c r="K5020" t="s">
        <v>25</v>
      </c>
      <c r="L5020">
        <v>132757294</v>
      </c>
      <c r="R5020">
        <v>9538</v>
      </c>
      <c r="S5020" t="s">
        <v>37</v>
      </c>
      <c r="T5020">
        <v>5</v>
      </c>
      <c r="U5020">
        <v>0</v>
      </c>
      <c r="V5020">
        <v>1.5248999999999999</v>
      </c>
      <c r="W5020">
        <v>1.5248999999999999</v>
      </c>
      <c r="X5020">
        <v>0</v>
      </c>
    </row>
    <row r="5021" spans="1:40" x14ac:dyDescent="0.25">
      <c r="A5021" t="s">
        <v>15</v>
      </c>
      <c r="B5021" t="s">
        <v>24</v>
      </c>
      <c r="C5021">
        <v>20150316</v>
      </c>
      <c r="D5021">
        <v>0</v>
      </c>
      <c r="F5021">
        <v>62500</v>
      </c>
      <c r="G5021" t="s">
        <v>17</v>
      </c>
      <c r="I5021" t="s">
        <v>16</v>
      </c>
      <c r="J5021" t="s">
        <v>180</v>
      </c>
      <c r="K5021" t="s">
        <v>25</v>
      </c>
      <c r="L5021">
        <v>132757294</v>
      </c>
      <c r="R5021">
        <v>9538</v>
      </c>
      <c r="S5021" t="s">
        <v>37</v>
      </c>
      <c r="T5021">
        <v>5</v>
      </c>
      <c r="U5021">
        <v>0</v>
      </c>
      <c r="V5021">
        <v>1.5248999999999999</v>
      </c>
      <c r="W5021">
        <v>1.5248999999999999</v>
      </c>
      <c r="X5021">
        <v>0</v>
      </c>
    </row>
    <row r="5022" spans="1:40" x14ac:dyDescent="0.25">
      <c r="A5022" t="s">
        <v>15</v>
      </c>
      <c r="B5022" t="s">
        <v>24</v>
      </c>
      <c r="C5022">
        <v>20150316</v>
      </c>
      <c r="D5022">
        <v>0</v>
      </c>
      <c r="F5022">
        <v>62500</v>
      </c>
      <c r="G5022" t="s">
        <v>17</v>
      </c>
      <c r="I5022" t="s">
        <v>16</v>
      </c>
      <c r="J5022" t="s">
        <v>180</v>
      </c>
      <c r="K5022" t="s">
        <v>25</v>
      </c>
      <c r="L5022">
        <v>132757294</v>
      </c>
      <c r="R5022">
        <v>9538</v>
      </c>
      <c r="S5022" t="s">
        <v>37</v>
      </c>
      <c r="T5022">
        <v>5</v>
      </c>
      <c r="U5022">
        <v>0</v>
      </c>
      <c r="V5022">
        <v>1.5248999999999999</v>
      </c>
      <c r="W5022">
        <v>1.5248999999999999</v>
      </c>
      <c r="X5022">
        <v>0</v>
      </c>
    </row>
    <row r="5023" spans="1:40" x14ac:dyDescent="0.25">
      <c r="A5023" t="s">
        <v>15</v>
      </c>
      <c r="B5023" t="s">
        <v>24</v>
      </c>
      <c r="C5023">
        <v>20150316</v>
      </c>
      <c r="D5023">
        <v>0</v>
      </c>
      <c r="F5023">
        <v>62500</v>
      </c>
      <c r="G5023" t="s">
        <v>17</v>
      </c>
      <c r="I5023" t="s">
        <v>16</v>
      </c>
      <c r="J5023" t="s">
        <v>180</v>
      </c>
      <c r="K5023" t="s">
        <v>25</v>
      </c>
      <c r="L5023">
        <v>132757294</v>
      </c>
      <c r="R5023">
        <v>9538</v>
      </c>
      <c r="S5023" t="s">
        <v>37</v>
      </c>
      <c r="T5023">
        <v>5</v>
      </c>
      <c r="U5023">
        <v>0</v>
      </c>
      <c r="V5023">
        <v>1.5248999999999999</v>
      </c>
      <c r="W5023">
        <v>1.5248999999999999</v>
      </c>
      <c r="X5023">
        <v>0</v>
      </c>
    </row>
    <row r="5024" spans="1:40" x14ac:dyDescent="0.25">
      <c r="A5024" t="s">
        <v>15</v>
      </c>
      <c r="B5024" t="s">
        <v>24</v>
      </c>
      <c r="C5024">
        <v>20150316</v>
      </c>
      <c r="D5024">
        <v>0</v>
      </c>
      <c r="F5024">
        <v>62500</v>
      </c>
      <c r="G5024" t="s">
        <v>17</v>
      </c>
      <c r="I5024" t="s">
        <v>16</v>
      </c>
      <c r="J5024" t="s">
        <v>180</v>
      </c>
      <c r="K5024" t="s">
        <v>25</v>
      </c>
      <c r="L5024">
        <v>132757294</v>
      </c>
      <c r="R5024">
        <v>9539</v>
      </c>
      <c r="S5024" t="s">
        <v>232</v>
      </c>
      <c r="T5024">
        <v>0</v>
      </c>
      <c r="U5024">
        <v>-5</v>
      </c>
      <c r="V5024">
        <v>0</v>
      </c>
      <c r="W5024">
        <v>0</v>
      </c>
      <c r="X5024">
        <v>0</v>
      </c>
    </row>
    <row r="5025" spans="1:40" x14ac:dyDescent="0.25">
      <c r="A5025" t="s">
        <v>15</v>
      </c>
      <c r="B5025" t="s">
        <v>24</v>
      </c>
      <c r="C5025">
        <v>20150316</v>
      </c>
      <c r="D5025">
        <v>0</v>
      </c>
      <c r="F5025">
        <v>62500</v>
      </c>
      <c r="G5025" t="s">
        <v>17</v>
      </c>
      <c r="I5025" t="s">
        <v>16</v>
      </c>
      <c r="J5025" t="s">
        <v>180</v>
      </c>
      <c r="K5025" t="s">
        <v>25</v>
      </c>
      <c r="L5025">
        <v>132757294</v>
      </c>
      <c r="R5025">
        <v>9539</v>
      </c>
      <c r="S5025" t="s">
        <v>232</v>
      </c>
      <c r="T5025">
        <v>0</v>
      </c>
      <c r="U5025">
        <v>-5</v>
      </c>
      <c r="V5025">
        <v>0</v>
      </c>
      <c r="W5025">
        <v>0</v>
      </c>
      <c r="X5025">
        <v>0</v>
      </c>
      <c r="Y5025">
        <v>9539</v>
      </c>
      <c r="Z5025" t="s">
        <v>245</v>
      </c>
      <c r="AA5025" t="s">
        <v>246</v>
      </c>
      <c r="AB5025" t="s">
        <v>234</v>
      </c>
      <c r="AC5025" t="s">
        <v>17</v>
      </c>
      <c r="AD5025" t="s">
        <v>237</v>
      </c>
      <c r="AE5025">
        <v>5</v>
      </c>
      <c r="AF5025">
        <v>5</v>
      </c>
      <c r="AG5025">
        <v>1.5248999999999999</v>
      </c>
      <c r="AH5025">
        <v>1.5248999999999999</v>
      </c>
      <c r="AI5025">
        <v>415886572</v>
      </c>
      <c r="AJ5025">
        <v>0</v>
      </c>
      <c r="AK5025">
        <v>7</v>
      </c>
      <c r="AN5025">
        <v>0</v>
      </c>
    </row>
    <row r="5026" spans="1:40" x14ac:dyDescent="0.25">
      <c r="A5026" t="s">
        <v>15</v>
      </c>
      <c r="B5026" t="s">
        <v>24</v>
      </c>
      <c r="C5026">
        <v>20150316</v>
      </c>
      <c r="D5026">
        <v>0</v>
      </c>
      <c r="F5026">
        <v>62500</v>
      </c>
      <c r="G5026" t="s">
        <v>17</v>
      </c>
      <c r="I5026" t="s">
        <v>16</v>
      </c>
      <c r="J5026" t="s">
        <v>180</v>
      </c>
      <c r="K5026" t="s">
        <v>25</v>
      </c>
      <c r="L5026">
        <v>132757294</v>
      </c>
      <c r="R5026">
        <v>9539</v>
      </c>
      <c r="S5026" t="s">
        <v>232</v>
      </c>
      <c r="T5026">
        <v>0</v>
      </c>
      <c r="U5026">
        <v>-5</v>
      </c>
      <c r="V5026">
        <v>0</v>
      </c>
      <c r="W5026">
        <v>0</v>
      </c>
      <c r="X5026">
        <v>0</v>
      </c>
    </row>
    <row r="5027" spans="1:40" x14ac:dyDescent="0.25">
      <c r="A5027" t="s">
        <v>15</v>
      </c>
      <c r="B5027" t="s">
        <v>24</v>
      </c>
      <c r="C5027">
        <v>20150316</v>
      </c>
      <c r="D5027">
        <v>0</v>
      </c>
      <c r="F5027">
        <v>62500</v>
      </c>
      <c r="G5027" t="s">
        <v>17</v>
      </c>
      <c r="I5027" t="s">
        <v>16</v>
      </c>
      <c r="J5027" t="s">
        <v>180</v>
      </c>
      <c r="K5027" t="s">
        <v>25</v>
      </c>
      <c r="L5027">
        <v>132757294</v>
      </c>
      <c r="R5027">
        <v>9539</v>
      </c>
      <c r="S5027" t="s">
        <v>37</v>
      </c>
      <c r="T5027">
        <v>5</v>
      </c>
      <c r="U5027">
        <v>0</v>
      </c>
      <c r="V5027">
        <v>1.5248999999999999</v>
      </c>
      <c r="W5027">
        <v>1.5248999999999999</v>
      </c>
      <c r="X5027">
        <v>0</v>
      </c>
    </row>
    <row r="5028" spans="1:40" x14ac:dyDescent="0.25">
      <c r="A5028" t="s">
        <v>15</v>
      </c>
      <c r="B5028" t="s">
        <v>24</v>
      </c>
      <c r="C5028">
        <v>20150316</v>
      </c>
      <c r="D5028">
        <v>0</v>
      </c>
      <c r="F5028">
        <v>62500</v>
      </c>
      <c r="G5028" t="s">
        <v>17</v>
      </c>
      <c r="I5028" t="s">
        <v>16</v>
      </c>
      <c r="J5028" t="s">
        <v>180</v>
      </c>
      <c r="K5028" t="s">
        <v>25</v>
      </c>
      <c r="L5028">
        <v>132757294</v>
      </c>
      <c r="R5028">
        <v>9539</v>
      </c>
      <c r="S5028" t="s">
        <v>37</v>
      </c>
      <c r="T5028">
        <v>5</v>
      </c>
      <c r="U5028">
        <v>0</v>
      </c>
      <c r="V5028">
        <v>1.5248999999999999</v>
      </c>
      <c r="W5028">
        <v>1.5248999999999999</v>
      </c>
      <c r="X5028">
        <v>0</v>
      </c>
    </row>
    <row r="5029" spans="1:40" x14ac:dyDescent="0.25">
      <c r="A5029" t="s">
        <v>15</v>
      </c>
      <c r="B5029" t="s">
        <v>24</v>
      </c>
      <c r="C5029">
        <v>20150316</v>
      </c>
      <c r="D5029">
        <v>0</v>
      </c>
      <c r="F5029">
        <v>62500</v>
      </c>
      <c r="G5029" t="s">
        <v>17</v>
      </c>
      <c r="I5029" t="s">
        <v>16</v>
      </c>
      <c r="J5029" t="s">
        <v>180</v>
      </c>
      <c r="K5029" t="s">
        <v>25</v>
      </c>
      <c r="L5029">
        <v>132757294</v>
      </c>
      <c r="R5029">
        <v>9539</v>
      </c>
      <c r="S5029" t="s">
        <v>37</v>
      </c>
      <c r="T5029">
        <v>5</v>
      </c>
      <c r="U5029">
        <v>0</v>
      </c>
      <c r="V5029">
        <v>1.5248999999999999</v>
      </c>
      <c r="W5029">
        <v>1.5248999999999999</v>
      </c>
      <c r="X5029">
        <v>0</v>
      </c>
    </row>
    <row r="5030" spans="1:40" x14ac:dyDescent="0.25">
      <c r="A5030" t="s">
        <v>15</v>
      </c>
      <c r="B5030" t="s">
        <v>24</v>
      </c>
      <c r="C5030">
        <v>20150316</v>
      </c>
      <c r="D5030">
        <v>0</v>
      </c>
      <c r="F5030">
        <v>62500</v>
      </c>
      <c r="G5030" t="s">
        <v>17</v>
      </c>
      <c r="I5030" t="s">
        <v>16</v>
      </c>
      <c r="J5030" t="s">
        <v>180</v>
      </c>
      <c r="K5030" t="s">
        <v>25</v>
      </c>
      <c r="L5030">
        <v>132757294</v>
      </c>
      <c r="R5030">
        <v>9539</v>
      </c>
      <c r="S5030" t="s">
        <v>37</v>
      </c>
      <c r="T5030">
        <v>5</v>
      </c>
      <c r="U5030">
        <v>0</v>
      </c>
      <c r="V5030">
        <v>1.5248999999999999</v>
      </c>
      <c r="W5030">
        <v>1.5248999999999999</v>
      </c>
      <c r="X5030">
        <v>0</v>
      </c>
    </row>
    <row r="5031" spans="1:40" x14ac:dyDescent="0.25">
      <c r="A5031" t="s">
        <v>15</v>
      </c>
      <c r="B5031" t="s">
        <v>24</v>
      </c>
      <c r="C5031">
        <v>20150316</v>
      </c>
      <c r="D5031">
        <v>0</v>
      </c>
      <c r="F5031">
        <v>62500</v>
      </c>
      <c r="G5031" t="s">
        <v>17</v>
      </c>
      <c r="I5031" t="s">
        <v>16</v>
      </c>
      <c r="J5031" t="s">
        <v>180</v>
      </c>
      <c r="K5031" t="s">
        <v>25</v>
      </c>
      <c r="L5031">
        <v>132757294</v>
      </c>
      <c r="R5031">
        <v>9539</v>
      </c>
      <c r="S5031" t="s">
        <v>37</v>
      </c>
      <c r="T5031">
        <v>5</v>
      </c>
      <c r="U5031">
        <v>0</v>
      </c>
      <c r="V5031">
        <v>1.5248999999999999</v>
      </c>
      <c r="W5031">
        <v>1.5248999999999999</v>
      </c>
      <c r="X5031">
        <v>0</v>
      </c>
    </row>
    <row r="5032" spans="1:40" x14ac:dyDescent="0.25">
      <c r="A5032" t="s">
        <v>15</v>
      </c>
      <c r="B5032" t="s">
        <v>24</v>
      </c>
      <c r="C5032">
        <v>20150316</v>
      </c>
      <c r="D5032">
        <v>0</v>
      </c>
      <c r="F5032">
        <v>62500</v>
      </c>
      <c r="G5032" t="s">
        <v>17</v>
      </c>
      <c r="I5032" t="s">
        <v>16</v>
      </c>
      <c r="J5032" t="s">
        <v>180</v>
      </c>
      <c r="K5032" t="s">
        <v>25</v>
      </c>
      <c r="L5032">
        <v>132757294</v>
      </c>
      <c r="R5032">
        <v>9539</v>
      </c>
      <c r="S5032" t="s">
        <v>37</v>
      </c>
      <c r="T5032">
        <v>5</v>
      </c>
      <c r="U5032">
        <v>0</v>
      </c>
      <c r="V5032">
        <v>1.5248999999999999</v>
      </c>
      <c r="W5032">
        <v>1.5248999999999999</v>
      </c>
      <c r="X5032">
        <v>0</v>
      </c>
    </row>
    <row r="5033" spans="1:40" x14ac:dyDescent="0.25">
      <c r="A5033" t="s">
        <v>15</v>
      </c>
      <c r="B5033" t="s">
        <v>24</v>
      </c>
      <c r="C5033">
        <v>20150316</v>
      </c>
      <c r="D5033">
        <v>0</v>
      </c>
      <c r="F5033">
        <v>62500</v>
      </c>
      <c r="G5033" t="s">
        <v>17</v>
      </c>
      <c r="I5033" t="s">
        <v>16</v>
      </c>
      <c r="J5033" t="s">
        <v>180</v>
      </c>
      <c r="K5033" t="s">
        <v>25</v>
      </c>
      <c r="L5033">
        <v>132757294</v>
      </c>
      <c r="R5033">
        <v>9539</v>
      </c>
      <c r="S5033" t="s">
        <v>37</v>
      </c>
      <c r="T5033">
        <v>5</v>
      </c>
      <c r="U5033">
        <v>0</v>
      </c>
      <c r="V5033">
        <v>1.5248999999999999</v>
      </c>
      <c r="W5033">
        <v>1.5248999999999999</v>
      </c>
      <c r="X5033">
        <v>0</v>
      </c>
    </row>
    <row r="5034" spans="1:40" x14ac:dyDescent="0.25">
      <c r="A5034" t="s">
        <v>15</v>
      </c>
      <c r="B5034" t="s">
        <v>24</v>
      </c>
      <c r="C5034">
        <v>20150316</v>
      </c>
      <c r="D5034">
        <v>0</v>
      </c>
      <c r="F5034">
        <v>62500</v>
      </c>
      <c r="G5034" t="s">
        <v>17</v>
      </c>
      <c r="I5034" t="s">
        <v>16</v>
      </c>
      <c r="J5034" t="s">
        <v>180</v>
      </c>
      <c r="K5034" t="s">
        <v>25</v>
      </c>
      <c r="L5034">
        <v>132757294</v>
      </c>
      <c r="R5034">
        <v>9539</v>
      </c>
      <c r="S5034" t="s">
        <v>37</v>
      </c>
      <c r="T5034">
        <v>5</v>
      </c>
      <c r="U5034">
        <v>0</v>
      </c>
      <c r="V5034">
        <v>1.5248999999999999</v>
      </c>
      <c r="W5034">
        <v>1.5248999999999999</v>
      </c>
      <c r="X5034">
        <v>0</v>
      </c>
    </row>
    <row r="5035" spans="1:40" x14ac:dyDescent="0.25">
      <c r="A5035" t="s">
        <v>15</v>
      </c>
      <c r="B5035" t="s">
        <v>24</v>
      </c>
      <c r="C5035">
        <v>20150316</v>
      </c>
      <c r="D5035">
        <v>0</v>
      </c>
      <c r="F5035">
        <v>62500</v>
      </c>
      <c r="G5035" t="s">
        <v>17</v>
      </c>
      <c r="I5035" t="s">
        <v>16</v>
      </c>
      <c r="J5035" t="s">
        <v>180</v>
      </c>
      <c r="K5035" t="s">
        <v>25</v>
      </c>
      <c r="L5035">
        <v>132757294</v>
      </c>
      <c r="R5035">
        <v>9540</v>
      </c>
      <c r="S5035" t="s">
        <v>232</v>
      </c>
      <c r="T5035">
        <v>0</v>
      </c>
      <c r="U5035">
        <v>-5</v>
      </c>
      <c r="V5035">
        <v>0</v>
      </c>
      <c r="W5035">
        <v>0</v>
      </c>
      <c r="X5035">
        <v>0</v>
      </c>
    </row>
    <row r="5036" spans="1:40" x14ac:dyDescent="0.25">
      <c r="A5036" t="s">
        <v>15</v>
      </c>
      <c r="B5036" t="s">
        <v>24</v>
      </c>
      <c r="C5036">
        <v>20150316</v>
      </c>
      <c r="D5036">
        <v>0</v>
      </c>
      <c r="F5036">
        <v>62500</v>
      </c>
      <c r="G5036" t="s">
        <v>17</v>
      </c>
      <c r="I5036" t="s">
        <v>16</v>
      </c>
      <c r="J5036" t="s">
        <v>180</v>
      </c>
      <c r="K5036" t="s">
        <v>25</v>
      </c>
      <c r="L5036">
        <v>132757294</v>
      </c>
      <c r="R5036">
        <v>9540</v>
      </c>
      <c r="S5036" t="s">
        <v>232</v>
      </c>
      <c r="T5036">
        <v>0</v>
      </c>
      <c r="U5036">
        <v>-5</v>
      </c>
      <c r="V5036">
        <v>0</v>
      </c>
      <c r="W5036">
        <v>0</v>
      </c>
      <c r="X5036">
        <v>0</v>
      </c>
      <c r="Y5036">
        <v>9540</v>
      </c>
      <c r="Z5036" t="s">
        <v>247</v>
      </c>
      <c r="AA5036" t="s">
        <v>246</v>
      </c>
      <c r="AB5036" t="s">
        <v>234</v>
      </c>
      <c r="AC5036" t="s">
        <v>17</v>
      </c>
      <c r="AD5036" t="s">
        <v>237</v>
      </c>
      <c r="AE5036">
        <v>5</v>
      </c>
      <c r="AF5036">
        <v>5</v>
      </c>
      <c r="AG5036">
        <v>1.5248999999999999</v>
      </c>
      <c r="AH5036">
        <v>1.5248999999999999</v>
      </c>
      <c r="AI5036">
        <v>415886573</v>
      </c>
      <c r="AJ5036">
        <v>0</v>
      </c>
      <c r="AK5036">
        <v>7</v>
      </c>
      <c r="AN5036">
        <v>0</v>
      </c>
    </row>
    <row r="5037" spans="1:40" x14ac:dyDescent="0.25">
      <c r="A5037" t="s">
        <v>15</v>
      </c>
      <c r="B5037" t="s">
        <v>24</v>
      </c>
      <c r="C5037">
        <v>20150316</v>
      </c>
      <c r="D5037">
        <v>0</v>
      </c>
      <c r="F5037">
        <v>62500</v>
      </c>
      <c r="G5037" t="s">
        <v>17</v>
      </c>
      <c r="I5037" t="s">
        <v>16</v>
      </c>
      <c r="J5037" t="s">
        <v>180</v>
      </c>
      <c r="K5037" t="s">
        <v>25</v>
      </c>
      <c r="L5037">
        <v>132757294</v>
      </c>
      <c r="R5037">
        <v>9540</v>
      </c>
      <c r="S5037" t="s">
        <v>232</v>
      </c>
      <c r="T5037">
        <v>0</v>
      </c>
      <c r="U5037">
        <v>-5</v>
      </c>
      <c r="V5037">
        <v>0</v>
      </c>
      <c r="W5037">
        <v>0</v>
      </c>
      <c r="X5037">
        <v>0</v>
      </c>
    </row>
    <row r="5038" spans="1:40" x14ac:dyDescent="0.25">
      <c r="A5038" t="s">
        <v>15</v>
      </c>
      <c r="B5038" t="s">
        <v>24</v>
      </c>
      <c r="C5038">
        <v>20150316</v>
      </c>
      <c r="D5038">
        <v>0</v>
      </c>
      <c r="F5038">
        <v>62500</v>
      </c>
      <c r="G5038" t="s">
        <v>17</v>
      </c>
      <c r="I5038" t="s">
        <v>16</v>
      </c>
      <c r="J5038" t="s">
        <v>180</v>
      </c>
      <c r="K5038" t="s">
        <v>25</v>
      </c>
      <c r="L5038">
        <v>132757294</v>
      </c>
      <c r="R5038">
        <v>9540</v>
      </c>
      <c r="S5038" t="s">
        <v>37</v>
      </c>
      <c r="T5038">
        <v>5</v>
      </c>
      <c r="U5038">
        <v>0</v>
      </c>
      <c r="V5038">
        <v>1.5248999999999999</v>
      </c>
      <c r="W5038">
        <v>1.5248999999999999</v>
      </c>
      <c r="X5038">
        <v>0</v>
      </c>
    </row>
    <row r="5039" spans="1:40" x14ac:dyDescent="0.25">
      <c r="A5039" t="s">
        <v>15</v>
      </c>
      <c r="B5039" t="s">
        <v>24</v>
      </c>
      <c r="C5039">
        <v>20150316</v>
      </c>
      <c r="D5039">
        <v>0</v>
      </c>
      <c r="F5039">
        <v>62500</v>
      </c>
      <c r="G5039" t="s">
        <v>17</v>
      </c>
      <c r="I5039" t="s">
        <v>16</v>
      </c>
      <c r="J5039" t="s">
        <v>180</v>
      </c>
      <c r="K5039" t="s">
        <v>25</v>
      </c>
      <c r="L5039">
        <v>132757294</v>
      </c>
      <c r="R5039">
        <v>9540</v>
      </c>
      <c r="S5039" t="s">
        <v>37</v>
      </c>
      <c r="T5039">
        <v>5</v>
      </c>
      <c r="U5039">
        <v>0</v>
      </c>
      <c r="V5039">
        <v>1.5248999999999999</v>
      </c>
      <c r="W5039">
        <v>1.5248999999999999</v>
      </c>
      <c r="X5039">
        <v>0</v>
      </c>
    </row>
    <row r="5040" spans="1:40" x14ac:dyDescent="0.25">
      <c r="A5040" t="s">
        <v>15</v>
      </c>
      <c r="B5040" t="s">
        <v>24</v>
      </c>
      <c r="C5040">
        <v>20150316</v>
      </c>
      <c r="D5040">
        <v>0</v>
      </c>
      <c r="F5040">
        <v>62500</v>
      </c>
      <c r="G5040" t="s">
        <v>17</v>
      </c>
      <c r="I5040" t="s">
        <v>16</v>
      </c>
      <c r="J5040" t="s">
        <v>180</v>
      </c>
      <c r="K5040" t="s">
        <v>25</v>
      </c>
      <c r="L5040">
        <v>132757294</v>
      </c>
      <c r="R5040">
        <v>9540</v>
      </c>
      <c r="S5040" t="s">
        <v>37</v>
      </c>
      <c r="T5040">
        <v>5</v>
      </c>
      <c r="U5040">
        <v>0</v>
      </c>
      <c r="V5040">
        <v>1.5248999999999999</v>
      </c>
      <c r="W5040">
        <v>1.5248999999999999</v>
      </c>
      <c r="X5040">
        <v>0</v>
      </c>
    </row>
    <row r="5041" spans="1:40" x14ac:dyDescent="0.25">
      <c r="A5041" t="s">
        <v>15</v>
      </c>
      <c r="B5041" t="s">
        <v>24</v>
      </c>
      <c r="C5041">
        <v>20150316</v>
      </c>
      <c r="D5041">
        <v>0</v>
      </c>
      <c r="F5041">
        <v>62500</v>
      </c>
      <c r="G5041" t="s">
        <v>17</v>
      </c>
      <c r="I5041" t="s">
        <v>16</v>
      </c>
      <c r="J5041" t="s">
        <v>180</v>
      </c>
      <c r="K5041" t="s">
        <v>25</v>
      </c>
      <c r="L5041">
        <v>132757294</v>
      </c>
      <c r="R5041">
        <v>9540</v>
      </c>
      <c r="S5041" t="s">
        <v>37</v>
      </c>
      <c r="T5041">
        <v>5</v>
      </c>
      <c r="U5041">
        <v>0</v>
      </c>
      <c r="V5041">
        <v>1.5248999999999999</v>
      </c>
      <c r="W5041">
        <v>1.5248999999999999</v>
      </c>
      <c r="X5041">
        <v>0</v>
      </c>
    </row>
    <row r="5042" spans="1:40" x14ac:dyDescent="0.25">
      <c r="A5042" t="s">
        <v>15</v>
      </c>
      <c r="B5042" t="s">
        <v>24</v>
      </c>
      <c r="C5042">
        <v>20150316</v>
      </c>
      <c r="D5042">
        <v>0</v>
      </c>
      <c r="F5042">
        <v>62500</v>
      </c>
      <c r="G5042" t="s">
        <v>17</v>
      </c>
      <c r="I5042" t="s">
        <v>16</v>
      </c>
      <c r="J5042" t="s">
        <v>180</v>
      </c>
      <c r="K5042" t="s">
        <v>25</v>
      </c>
      <c r="L5042">
        <v>132757294</v>
      </c>
      <c r="R5042">
        <v>9540</v>
      </c>
      <c r="S5042" t="s">
        <v>37</v>
      </c>
      <c r="T5042">
        <v>5</v>
      </c>
      <c r="U5042">
        <v>0</v>
      </c>
      <c r="V5042">
        <v>1.5248999999999999</v>
      </c>
      <c r="W5042">
        <v>1.5248999999999999</v>
      </c>
      <c r="X5042">
        <v>0</v>
      </c>
    </row>
    <row r="5043" spans="1:40" x14ac:dyDescent="0.25">
      <c r="A5043" t="s">
        <v>15</v>
      </c>
      <c r="B5043" t="s">
        <v>24</v>
      </c>
      <c r="C5043">
        <v>20150316</v>
      </c>
      <c r="D5043">
        <v>0</v>
      </c>
      <c r="F5043">
        <v>62500</v>
      </c>
      <c r="G5043" t="s">
        <v>17</v>
      </c>
      <c r="I5043" t="s">
        <v>16</v>
      </c>
      <c r="J5043" t="s">
        <v>180</v>
      </c>
      <c r="K5043" t="s">
        <v>25</v>
      </c>
      <c r="L5043">
        <v>132757294</v>
      </c>
      <c r="R5043">
        <v>9540</v>
      </c>
      <c r="S5043" t="s">
        <v>37</v>
      </c>
      <c r="T5043">
        <v>5</v>
      </c>
      <c r="U5043">
        <v>0</v>
      </c>
      <c r="V5043">
        <v>1.5248999999999999</v>
      </c>
      <c r="W5043">
        <v>1.5248999999999999</v>
      </c>
      <c r="X5043">
        <v>0</v>
      </c>
    </row>
    <row r="5044" spans="1:40" x14ac:dyDescent="0.25">
      <c r="A5044" t="s">
        <v>15</v>
      </c>
      <c r="B5044" t="s">
        <v>24</v>
      </c>
      <c r="C5044">
        <v>20150316</v>
      </c>
      <c r="D5044">
        <v>0</v>
      </c>
      <c r="F5044">
        <v>62500</v>
      </c>
      <c r="G5044" t="s">
        <v>17</v>
      </c>
      <c r="I5044" t="s">
        <v>16</v>
      </c>
      <c r="J5044" t="s">
        <v>180</v>
      </c>
      <c r="K5044" t="s">
        <v>25</v>
      </c>
      <c r="L5044">
        <v>132757294</v>
      </c>
      <c r="R5044">
        <v>9540</v>
      </c>
      <c r="S5044" t="s">
        <v>37</v>
      </c>
      <c r="T5044">
        <v>5</v>
      </c>
      <c r="U5044">
        <v>0</v>
      </c>
      <c r="V5044">
        <v>1.5248999999999999</v>
      </c>
      <c r="W5044">
        <v>1.5248999999999999</v>
      </c>
      <c r="X5044">
        <v>0</v>
      </c>
    </row>
    <row r="5045" spans="1:40" x14ac:dyDescent="0.25">
      <c r="A5045" t="s">
        <v>15</v>
      </c>
      <c r="B5045" t="s">
        <v>24</v>
      </c>
      <c r="C5045">
        <v>20150316</v>
      </c>
      <c r="D5045">
        <v>0</v>
      </c>
      <c r="F5045">
        <v>62500</v>
      </c>
      <c r="G5045" t="s">
        <v>17</v>
      </c>
      <c r="I5045" t="s">
        <v>16</v>
      </c>
      <c r="J5045" t="s">
        <v>180</v>
      </c>
      <c r="K5045" t="s">
        <v>25</v>
      </c>
      <c r="L5045">
        <v>132757294</v>
      </c>
      <c r="R5045">
        <v>9540</v>
      </c>
      <c r="S5045" t="s">
        <v>37</v>
      </c>
      <c r="T5045">
        <v>5</v>
      </c>
      <c r="U5045">
        <v>0</v>
      </c>
      <c r="V5045">
        <v>1.5248999999999999</v>
      </c>
      <c r="W5045">
        <v>1.5248999999999999</v>
      </c>
      <c r="X5045">
        <v>0</v>
      </c>
    </row>
    <row r="5046" spans="1:40" x14ac:dyDescent="0.25">
      <c r="A5046" t="s">
        <v>15</v>
      </c>
      <c r="B5046" t="s">
        <v>24</v>
      </c>
      <c r="C5046">
        <v>20150316</v>
      </c>
      <c r="D5046">
        <v>0</v>
      </c>
      <c r="F5046">
        <v>62500</v>
      </c>
      <c r="G5046" t="s">
        <v>17</v>
      </c>
      <c r="I5046" t="s">
        <v>16</v>
      </c>
      <c r="J5046" t="s">
        <v>180</v>
      </c>
      <c r="K5046" t="s">
        <v>25</v>
      </c>
      <c r="L5046">
        <v>132757294</v>
      </c>
      <c r="R5046">
        <v>9541</v>
      </c>
      <c r="S5046" t="s">
        <v>232</v>
      </c>
      <c r="T5046">
        <v>0</v>
      </c>
      <c r="U5046">
        <v>-5</v>
      </c>
      <c r="V5046">
        <v>0</v>
      </c>
      <c r="W5046">
        <v>0</v>
      </c>
      <c r="X5046">
        <v>0</v>
      </c>
    </row>
    <row r="5047" spans="1:40" x14ac:dyDescent="0.25">
      <c r="A5047" t="s">
        <v>15</v>
      </c>
      <c r="B5047" t="s">
        <v>24</v>
      </c>
      <c r="C5047">
        <v>20150316</v>
      </c>
      <c r="D5047">
        <v>0</v>
      </c>
      <c r="F5047">
        <v>62500</v>
      </c>
      <c r="G5047" t="s">
        <v>17</v>
      </c>
      <c r="I5047" t="s">
        <v>16</v>
      </c>
      <c r="J5047" t="s">
        <v>180</v>
      </c>
      <c r="K5047" t="s">
        <v>25</v>
      </c>
      <c r="L5047">
        <v>132757294</v>
      </c>
      <c r="R5047">
        <v>9541</v>
      </c>
      <c r="S5047" t="s">
        <v>232</v>
      </c>
      <c r="T5047">
        <v>0</v>
      </c>
      <c r="U5047">
        <v>-5</v>
      </c>
      <c r="V5047">
        <v>0</v>
      </c>
      <c r="W5047">
        <v>0</v>
      </c>
      <c r="X5047">
        <v>0</v>
      </c>
      <c r="Y5047">
        <v>9541</v>
      </c>
      <c r="Z5047" t="s">
        <v>248</v>
      </c>
      <c r="AA5047" t="s">
        <v>249</v>
      </c>
      <c r="AB5047" t="s">
        <v>234</v>
      </c>
      <c r="AC5047" t="s">
        <v>17</v>
      </c>
      <c r="AD5047" t="s">
        <v>237</v>
      </c>
      <c r="AE5047">
        <v>5</v>
      </c>
      <c r="AF5047">
        <v>5</v>
      </c>
      <c r="AG5047">
        <v>1.5248999999999999</v>
      </c>
      <c r="AH5047">
        <v>1.5248999999999999</v>
      </c>
      <c r="AI5047">
        <v>415886574</v>
      </c>
      <c r="AJ5047">
        <v>0</v>
      </c>
      <c r="AK5047">
        <v>7</v>
      </c>
      <c r="AN5047">
        <v>0</v>
      </c>
    </row>
    <row r="5048" spans="1:40" x14ac:dyDescent="0.25">
      <c r="A5048" t="s">
        <v>15</v>
      </c>
      <c r="B5048" t="s">
        <v>24</v>
      </c>
      <c r="C5048">
        <v>20150316</v>
      </c>
      <c r="D5048">
        <v>0</v>
      </c>
      <c r="F5048">
        <v>62500</v>
      </c>
      <c r="G5048" t="s">
        <v>17</v>
      </c>
      <c r="I5048" t="s">
        <v>16</v>
      </c>
      <c r="J5048" t="s">
        <v>180</v>
      </c>
      <c r="K5048" t="s">
        <v>25</v>
      </c>
      <c r="L5048">
        <v>132757294</v>
      </c>
      <c r="R5048">
        <v>9541</v>
      </c>
      <c r="S5048" t="s">
        <v>232</v>
      </c>
      <c r="T5048">
        <v>0</v>
      </c>
      <c r="U5048">
        <v>-5</v>
      </c>
      <c r="V5048">
        <v>0</v>
      </c>
      <c r="W5048">
        <v>0</v>
      </c>
      <c r="X5048">
        <v>0</v>
      </c>
    </row>
    <row r="5049" spans="1:40" x14ac:dyDescent="0.25">
      <c r="A5049" t="s">
        <v>15</v>
      </c>
      <c r="B5049" t="s">
        <v>24</v>
      </c>
      <c r="C5049">
        <v>20150316</v>
      </c>
      <c r="D5049">
        <v>0</v>
      </c>
      <c r="F5049">
        <v>62500</v>
      </c>
      <c r="G5049" t="s">
        <v>17</v>
      </c>
      <c r="I5049" t="s">
        <v>16</v>
      </c>
      <c r="J5049" t="s">
        <v>180</v>
      </c>
      <c r="K5049" t="s">
        <v>25</v>
      </c>
      <c r="L5049">
        <v>132757294</v>
      </c>
      <c r="R5049">
        <v>9541</v>
      </c>
      <c r="S5049" t="s">
        <v>37</v>
      </c>
      <c r="T5049">
        <v>5</v>
      </c>
      <c r="U5049">
        <v>0</v>
      </c>
      <c r="V5049">
        <v>1.5248999999999999</v>
      </c>
      <c r="W5049">
        <v>1.5248999999999999</v>
      </c>
      <c r="X5049">
        <v>0</v>
      </c>
    </row>
    <row r="5050" spans="1:40" x14ac:dyDescent="0.25">
      <c r="A5050" t="s">
        <v>15</v>
      </c>
      <c r="B5050" t="s">
        <v>24</v>
      </c>
      <c r="C5050">
        <v>20150316</v>
      </c>
      <c r="D5050">
        <v>0</v>
      </c>
      <c r="F5050">
        <v>62500</v>
      </c>
      <c r="G5050" t="s">
        <v>17</v>
      </c>
      <c r="I5050" t="s">
        <v>16</v>
      </c>
      <c r="J5050" t="s">
        <v>180</v>
      </c>
      <c r="K5050" t="s">
        <v>25</v>
      </c>
      <c r="L5050">
        <v>132757294</v>
      </c>
      <c r="R5050">
        <v>9541</v>
      </c>
      <c r="S5050" t="s">
        <v>37</v>
      </c>
      <c r="T5050">
        <v>5</v>
      </c>
      <c r="U5050">
        <v>0</v>
      </c>
      <c r="V5050">
        <v>1.5248999999999999</v>
      </c>
      <c r="W5050">
        <v>1.5248999999999999</v>
      </c>
      <c r="X5050">
        <v>0</v>
      </c>
    </row>
    <row r="5051" spans="1:40" x14ac:dyDescent="0.25">
      <c r="A5051" t="s">
        <v>15</v>
      </c>
      <c r="B5051" t="s">
        <v>24</v>
      </c>
      <c r="C5051">
        <v>20150316</v>
      </c>
      <c r="D5051">
        <v>0</v>
      </c>
      <c r="F5051">
        <v>62500</v>
      </c>
      <c r="G5051" t="s">
        <v>17</v>
      </c>
      <c r="I5051" t="s">
        <v>16</v>
      </c>
      <c r="J5051" t="s">
        <v>180</v>
      </c>
      <c r="K5051" t="s">
        <v>25</v>
      </c>
      <c r="L5051">
        <v>132757294</v>
      </c>
      <c r="R5051">
        <v>9541</v>
      </c>
      <c r="S5051" t="s">
        <v>37</v>
      </c>
      <c r="T5051">
        <v>5</v>
      </c>
      <c r="U5051">
        <v>0</v>
      </c>
      <c r="V5051">
        <v>1.5248999999999999</v>
      </c>
      <c r="W5051">
        <v>1.5248999999999999</v>
      </c>
      <c r="X5051">
        <v>0</v>
      </c>
    </row>
    <row r="5052" spans="1:40" x14ac:dyDescent="0.25">
      <c r="A5052" t="s">
        <v>15</v>
      </c>
      <c r="B5052" t="s">
        <v>24</v>
      </c>
      <c r="C5052">
        <v>20150316</v>
      </c>
      <c r="D5052">
        <v>0</v>
      </c>
      <c r="F5052">
        <v>62500</v>
      </c>
      <c r="G5052" t="s">
        <v>17</v>
      </c>
      <c r="I5052" t="s">
        <v>16</v>
      </c>
      <c r="J5052" t="s">
        <v>180</v>
      </c>
      <c r="K5052" t="s">
        <v>25</v>
      </c>
      <c r="L5052">
        <v>132757294</v>
      </c>
      <c r="R5052">
        <v>9541</v>
      </c>
      <c r="S5052" t="s">
        <v>37</v>
      </c>
      <c r="T5052">
        <v>5</v>
      </c>
      <c r="U5052">
        <v>0</v>
      </c>
      <c r="V5052">
        <v>1.5248999999999999</v>
      </c>
      <c r="W5052">
        <v>1.5248999999999999</v>
      </c>
      <c r="X5052">
        <v>0</v>
      </c>
    </row>
    <row r="5053" spans="1:40" x14ac:dyDescent="0.25">
      <c r="A5053" t="s">
        <v>15</v>
      </c>
      <c r="B5053" t="s">
        <v>24</v>
      </c>
      <c r="C5053">
        <v>20150316</v>
      </c>
      <c r="D5053">
        <v>0</v>
      </c>
      <c r="F5053">
        <v>62500</v>
      </c>
      <c r="G5053" t="s">
        <v>17</v>
      </c>
      <c r="I5053" t="s">
        <v>16</v>
      </c>
      <c r="J5053" t="s">
        <v>180</v>
      </c>
      <c r="K5053" t="s">
        <v>25</v>
      </c>
      <c r="L5053">
        <v>132757294</v>
      </c>
      <c r="R5053">
        <v>9541</v>
      </c>
      <c r="S5053" t="s">
        <v>37</v>
      </c>
      <c r="T5053">
        <v>5</v>
      </c>
      <c r="U5053">
        <v>0</v>
      </c>
      <c r="V5053">
        <v>1.5248999999999999</v>
      </c>
      <c r="W5053">
        <v>1.5248999999999999</v>
      </c>
      <c r="X5053">
        <v>0</v>
      </c>
    </row>
    <row r="5054" spans="1:40" x14ac:dyDescent="0.25">
      <c r="A5054" t="s">
        <v>15</v>
      </c>
      <c r="B5054" t="s">
        <v>24</v>
      </c>
      <c r="C5054">
        <v>20150316</v>
      </c>
      <c r="D5054">
        <v>0</v>
      </c>
      <c r="F5054">
        <v>62500</v>
      </c>
      <c r="G5054" t="s">
        <v>17</v>
      </c>
      <c r="I5054" t="s">
        <v>16</v>
      </c>
      <c r="J5054" t="s">
        <v>180</v>
      </c>
      <c r="K5054" t="s">
        <v>25</v>
      </c>
      <c r="L5054">
        <v>132757294</v>
      </c>
      <c r="R5054">
        <v>9541</v>
      </c>
      <c r="S5054" t="s">
        <v>37</v>
      </c>
      <c r="T5054">
        <v>5</v>
      </c>
      <c r="U5054">
        <v>0</v>
      </c>
      <c r="V5054">
        <v>1.5248999999999999</v>
      </c>
      <c r="W5054">
        <v>1.5248999999999999</v>
      </c>
      <c r="X5054">
        <v>0</v>
      </c>
    </row>
    <row r="5055" spans="1:40" x14ac:dyDescent="0.25">
      <c r="A5055" t="s">
        <v>15</v>
      </c>
      <c r="B5055" t="s">
        <v>24</v>
      </c>
      <c r="C5055">
        <v>20150316</v>
      </c>
      <c r="D5055">
        <v>0</v>
      </c>
      <c r="F5055">
        <v>62500</v>
      </c>
      <c r="G5055" t="s">
        <v>17</v>
      </c>
      <c r="I5055" t="s">
        <v>16</v>
      </c>
      <c r="J5055" t="s">
        <v>180</v>
      </c>
      <c r="K5055" t="s">
        <v>25</v>
      </c>
      <c r="L5055">
        <v>132757294</v>
      </c>
      <c r="R5055">
        <v>9541</v>
      </c>
      <c r="S5055" t="s">
        <v>37</v>
      </c>
      <c r="T5055">
        <v>5</v>
      </c>
      <c r="U5055">
        <v>0</v>
      </c>
      <c r="V5055">
        <v>1.5248999999999999</v>
      </c>
      <c r="W5055">
        <v>1.5248999999999999</v>
      </c>
      <c r="X5055">
        <v>0</v>
      </c>
    </row>
    <row r="5056" spans="1:40" x14ac:dyDescent="0.25">
      <c r="A5056" t="s">
        <v>15</v>
      </c>
      <c r="B5056" t="s">
        <v>24</v>
      </c>
      <c r="C5056">
        <v>20150316</v>
      </c>
      <c r="D5056">
        <v>0</v>
      </c>
      <c r="F5056">
        <v>62500</v>
      </c>
      <c r="G5056" t="s">
        <v>17</v>
      </c>
      <c r="I5056" t="s">
        <v>16</v>
      </c>
      <c r="J5056" t="s">
        <v>180</v>
      </c>
      <c r="K5056" t="s">
        <v>25</v>
      </c>
      <c r="L5056">
        <v>132757294</v>
      </c>
      <c r="R5056">
        <v>9541</v>
      </c>
      <c r="S5056" t="s">
        <v>37</v>
      </c>
      <c r="T5056">
        <v>5</v>
      </c>
      <c r="U5056">
        <v>0</v>
      </c>
      <c r="V5056">
        <v>1.5248999999999999</v>
      </c>
      <c r="W5056">
        <v>1.5248999999999999</v>
      </c>
      <c r="X5056">
        <v>0</v>
      </c>
    </row>
    <row r="5057" spans="1:24" x14ac:dyDescent="0.25">
      <c r="A5057" t="s">
        <v>15</v>
      </c>
      <c r="B5057" t="s">
        <v>24</v>
      </c>
      <c r="C5057">
        <v>20150316</v>
      </c>
      <c r="D5057">
        <v>0</v>
      </c>
      <c r="F5057">
        <v>62500</v>
      </c>
      <c r="G5057" t="s">
        <v>17</v>
      </c>
      <c r="I5057" t="s">
        <v>16</v>
      </c>
      <c r="J5057" t="s">
        <v>180</v>
      </c>
      <c r="K5057" t="s">
        <v>25</v>
      </c>
      <c r="L5057">
        <v>132757294</v>
      </c>
      <c r="R5057">
        <v>9542</v>
      </c>
      <c r="S5057" t="s">
        <v>232</v>
      </c>
      <c r="T5057">
        <v>0</v>
      </c>
      <c r="U5057">
        <v>31</v>
      </c>
      <c r="V5057">
        <v>0</v>
      </c>
      <c r="W5057">
        <v>0</v>
      </c>
      <c r="X5057">
        <v>0</v>
      </c>
    </row>
    <row r="5058" spans="1:24" x14ac:dyDescent="0.25">
      <c r="A5058" t="s">
        <v>15</v>
      </c>
      <c r="B5058" t="s">
        <v>24</v>
      </c>
      <c r="C5058">
        <v>20150316</v>
      </c>
      <c r="D5058">
        <v>0</v>
      </c>
      <c r="F5058">
        <v>62500</v>
      </c>
      <c r="G5058" t="s">
        <v>17</v>
      </c>
      <c r="I5058" t="s">
        <v>16</v>
      </c>
      <c r="J5058" t="s">
        <v>180</v>
      </c>
      <c r="K5058" t="s">
        <v>25</v>
      </c>
      <c r="L5058">
        <v>132757294</v>
      </c>
      <c r="R5058">
        <v>9536</v>
      </c>
      <c r="S5058" t="s">
        <v>223</v>
      </c>
      <c r="T5058">
        <v>0</v>
      </c>
      <c r="U5058">
        <v>16</v>
      </c>
      <c r="V5058">
        <v>0</v>
      </c>
      <c r="W5058">
        <v>0</v>
      </c>
      <c r="X5058">
        <v>0</v>
      </c>
    </row>
    <row r="5059" spans="1:24" x14ac:dyDescent="0.25">
      <c r="A5059" t="s">
        <v>15</v>
      </c>
      <c r="B5059" t="s">
        <v>24</v>
      </c>
      <c r="C5059">
        <v>20150316</v>
      </c>
      <c r="D5059">
        <v>0</v>
      </c>
      <c r="F5059">
        <v>62500</v>
      </c>
      <c r="G5059" t="s">
        <v>17</v>
      </c>
      <c r="I5059" t="s">
        <v>16</v>
      </c>
      <c r="J5059" t="s">
        <v>180</v>
      </c>
      <c r="K5059" t="s">
        <v>25</v>
      </c>
      <c r="L5059">
        <v>132757294</v>
      </c>
      <c r="R5059">
        <v>9536</v>
      </c>
      <c r="S5059" t="s">
        <v>224</v>
      </c>
      <c r="T5059">
        <v>0</v>
      </c>
      <c r="U5059">
        <v>16</v>
      </c>
      <c r="V5059">
        <v>0</v>
      </c>
      <c r="W5059">
        <v>0</v>
      </c>
      <c r="X5059">
        <v>0</v>
      </c>
    </row>
    <row r="5060" spans="1:24" x14ac:dyDescent="0.25">
      <c r="A5060" t="s">
        <v>15</v>
      </c>
      <c r="B5060" t="s">
        <v>24</v>
      </c>
      <c r="C5060">
        <v>20150316</v>
      </c>
      <c r="D5060">
        <v>0</v>
      </c>
      <c r="F5060">
        <v>62500</v>
      </c>
      <c r="G5060" t="s">
        <v>17</v>
      </c>
      <c r="I5060" t="s">
        <v>16</v>
      </c>
      <c r="J5060" t="s">
        <v>180</v>
      </c>
      <c r="K5060" t="s">
        <v>25</v>
      </c>
      <c r="L5060">
        <v>132757294</v>
      </c>
      <c r="R5060">
        <v>9542</v>
      </c>
      <c r="S5060" t="s">
        <v>232</v>
      </c>
      <c r="T5060">
        <v>0</v>
      </c>
      <c r="U5060">
        <v>31</v>
      </c>
      <c r="V5060">
        <v>0</v>
      </c>
      <c r="W5060">
        <v>0</v>
      </c>
      <c r="X5060">
        <v>0</v>
      </c>
    </row>
    <row r="5061" spans="1:24" x14ac:dyDescent="0.25">
      <c r="A5061" t="s">
        <v>15</v>
      </c>
      <c r="B5061" t="s">
        <v>24</v>
      </c>
      <c r="C5061">
        <v>20150316</v>
      </c>
      <c r="D5061">
        <v>0</v>
      </c>
      <c r="F5061">
        <v>62500</v>
      </c>
      <c r="G5061" t="s">
        <v>17</v>
      </c>
      <c r="I5061" t="s">
        <v>16</v>
      </c>
      <c r="J5061" t="s">
        <v>180</v>
      </c>
      <c r="K5061" t="s">
        <v>25</v>
      </c>
      <c r="L5061">
        <v>132757294</v>
      </c>
      <c r="R5061">
        <v>9542</v>
      </c>
      <c r="S5061" t="s">
        <v>192</v>
      </c>
      <c r="T5061">
        <v>0</v>
      </c>
      <c r="U5061">
        <v>31</v>
      </c>
      <c r="V5061">
        <v>0</v>
      </c>
      <c r="W5061">
        <v>0</v>
      </c>
      <c r="X5061">
        <v>0</v>
      </c>
    </row>
    <row r="5062" spans="1:24" x14ac:dyDescent="0.25">
      <c r="A5062" t="s">
        <v>15</v>
      </c>
      <c r="B5062" t="s">
        <v>24</v>
      </c>
      <c r="C5062">
        <v>20150316</v>
      </c>
      <c r="D5062">
        <v>0</v>
      </c>
      <c r="F5062">
        <v>62500</v>
      </c>
      <c r="G5062" t="s">
        <v>17</v>
      </c>
      <c r="I5062" t="s">
        <v>16</v>
      </c>
      <c r="J5062" t="s">
        <v>180</v>
      </c>
      <c r="K5062" t="s">
        <v>25</v>
      </c>
      <c r="L5062">
        <v>132757294</v>
      </c>
      <c r="R5062">
        <v>9543</v>
      </c>
      <c r="S5062" t="s">
        <v>232</v>
      </c>
      <c r="T5062">
        <v>0</v>
      </c>
      <c r="U5062">
        <v>-31</v>
      </c>
      <c r="V5062">
        <v>0</v>
      </c>
      <c r="W5062">
        <v>0</v>
      </c>
      <c r="X5062">
        <v>0</v>
      </c>
    </row>
    <row r="5063" spans="1:24" x14ac:dyDescent="0.25">
      <c r="A5063" t="s">
        <v>15</v>
      </c>
      <c r="B5063" t="s">
        <v>24</v>
      </c>
      <c r="C5063">
        <v>20150316</v>
      </c>
      <c r="D5063">
        <v>0</v>
      </c>
      <c r="F5063">
        <v>62500</v>
      </c>
      <c r="G5063" t="s">
        <v>17</v>
      </c>
      <c r="I5063" t="s">
        <v>16</v>
      </c>
      <c r="J5063" t="s">
        <v>180</v>
      </c>
      <c r="K5063" t="s">
        <v>25</v>
      </c>
      <c r="L5063">
        <v>132757294</v>
      </c>
      <c r="R5063">
        <v>9543</v>
      </c>
      <c r="S5063" t="s">
        <v>232</v>
      </c>
      <c r="T5063">
        <v>0</v>
      </c>
      <c r="U5063">
        <v>-31</v>
      </c>
      <c r="V5063">
        <v>0</v>
      </c>
      <c r="W5063">
        <v>0</v>
      </c>
      <c r="X5063">
        <v>0</v>
      </c>
    </row>
    <row r="5064" spans="1:24" x14ac:dyDescent="0.25">
      <c r="A5064" t="s">
        <v>15</v>
      </c>
      <c r="B5064" t="s">
        <v>24</v>
      </c>
      <c r="C5064">
        <v>20150316</v>
      </c>
      <c r="D5064">
        <v>0</v>
      </c>
      <c r="F5064">
        <v>62500</v>
      </c>
      <c r="G5064" t="s">
        <v>17</v>
      </c>
      <c r="I5064" t="s">
        <v>16</v>
      </c>
      <c r="J5064" t="s">
        <v>180</v>
      </c>
      <c r="K5064" t="s">
        <v>25</v>
      </c>
      <c r="L5064">
        <v>132757294</v>
      </c>
      <c r="R5064">
        <v>9543</v>
      </c>
      <c r="S5064" t="s">
        <v>192</v>
      </c>
      <c r="T5064">
        <v>0</v>
      </c>
      <c r="U5064">
        <v>31</v>
      </c>
      <c r="V5064">
        <v>0</v>
      </c>
      <c r="W5064">
        <v>0</v>
      </c>
      <c r="X5064">
        <v>0</v>
      </c>
    </row>
    <row r="5065" spans="1:24" x14ac:dyDescent="0.25">
      <c r="A5065" t="s">
        <v>15</v>
      </c>
      <c r="B5065" t="s">
        <v>24</v>
      </c>
      <c r="C5065">
        <v>20150316</v>
      </c>
      <c r="D5065">
        <v>0</v>
      </c>
      <c r="F5065">
        <v>62500</v>
      </c>
      <c r="G5065" t="s">
        <v>17</v>
      </c>
      <c r="I5065" t="s">
        <v>16</v>
      </c>
      <c r="J5065" t="s">
        <v>180</v>
      </c>
      <c r="K5065" t="s">
        <v>25</v>
      </c>
      <c r="L5065">
        <v>132757294</v>
      </c>
      <c r="R5065">
        <v>9544</v>
      </c>
      <c r="S5065" t="s">
        <v>232</v>
      </c>
      <c r="T5065">
        <v>0</v>
      </c>
      <c r="U5065">
        <v>28</v>
      </c>
      <c r="V5065">
        <v>0</v>
      </c>
      <c r="W5065">
        <v>0</v>
      </c>
      <c r="X5065">
        <v>0</v>
      </c>
    </row>
    <row r="5066" spans="1:24" x14ac:dyDescent="0.25">
      <c r="A5066" t="s">
        <v>15</v>
      </c>
      <c r="B5066" t="s">
        <v>24</v>
      </c>
      <c r="C5066">
        <v>20150316</v>
      </c>
      <c r="D5066">
        <v>0</v>
      </c>
      <c r="F5066">
        <v>62500</v>
      </c>
      <c r="G5066" t="s">
        <v>17</v>
      </c>
      <c r="I5066" t="s">
        <v>16</v>
      </c>
      <c r="J5066" t="s">
        <v>180</v>
      </c>
      <c r="K5066" t="s">
        <v>25</v>
      </c>
      <c r="L5066">
        <v>132757294</v>
      </c>
      <c r="R5066">
        <v>9542</v>
      </c>
      <c r="S5066" t="s">
        <v>223</v>
      </c>
      <c r="T5066">
        <v>0</v>
      </c>
      <c r="U5066">
        <v>31</v>
      </c>
      <c r="V5066">
        <v>0</v>
      </c>
      <c r="W5066">
        <v>0</v>
      </c>
      <c r="X5066">
        <v>0</v>
      </c>
    </row>
    <row r="5067" spans="1:24" x14ac:dyDescent="0.25">
      <c r="A5067" t="s">
        <v>15</v>
      </c>
      <c r="B5067" t="s">
        <v>24</v>
      </c>
      <c r="C5067">
        <v>20150316</v>
      </c>
      <c r="D5067">
        <v>0</v>
      </c>
      <c r="F5067">
        <v>62500</v>
      </c>
      <c r="G5067" t="s">
        <v>17</v>
      </c>
      <c r="I5067" t="s">
        <v>16</v>
      </c>
      <c r="J5067" t="s">
        <v>180</v>
      </c>
      <c r="K5067" t="s">
        <v>25</v>
      </c>
      <c r="L5067">
        <v>132757294</v>
      </c>
      <c r="R5067">
        <v>9542</v>
      </c>
      <c r="S5067" t="s">
        <v>224</v>
      </c>
      <c r="T5067">
        <v>0</v>
      </c>
      <c r="U5067">
        <v>31</v>
      </c>
      <c r="V5067">
        <v>0</v>
      </c>
      <c r="W5067">
        <v>0</v>
      </c>
      <c r="X5067">
        <v>0</v>
      </c>
    </row>
    <row r="5068" spans="1:24" x14ac:dyDescent="0.25">
      <c r="A5068" t="s">
        <v>15</v>
      </c>
      <c r="B5068" t="s">
        <v>24</v>
      </c>
      <c r="C5068">
        <v>20150316</v>
      </c>
      <c r="D5068">
        <v>0</v>
      </c>
      <c r="F5068">
        <v>62500</v>
      </c>
      <c r="G5068" t="s">
        <v>17</v>
      </c>
      <c r="I5068" t="s">
        <v>16</v>
      </c>
      <c r="J5068" t="s">
        <v>180</v>
      </c>
      <c r="K5068" t="s">
        <v>25</v>
      </c>
      <c r="L5068">
        <v>132757294</v>
      </c>
      <c r="R5068">
        <v>9543</v>
      </c>
      <c r="S5068" t="s">
        <v>223</v>
      </c>
      <c r="T5068">
        <v>0</v>
      </c>
      <c r="U5068">
        <v>31</v>
      </c>
      <c r="V5068">
        <v>0</v>
      </c>
      <c r="W5068">
        <v>0</v>
      </c>
      <c r="X5068">
        <v>0</v>
      </c>
    </row>
    <row r="5069" spans="1:24" x14ac:dyDescent="0.25">
      <c r="A5069" t="s">
        <v>15</v>
      </c>
      <c r="B5069" t="s">
        <v>24</v>
      </c>
      <c r="C5069">
        <v>20150316</v>
      </c>
      <c r="D5069">
        <v>0</v>
      </c>
      <c r="F5069">
        <v>62500</v>
      </c>
      <c r="G5069" t="s">
        <v>17</v>
      </c>
      <c r="I5069" t="s">
        <v>16</v>
      </c>
      <c r="J5069" t="s">
        <v>180</v>
      </c>
      <c r="K5069" t="s">
        <v>25</v>
      </c>
      <c r="L5069">
        <v>132757294</v>
      </c>
      <c r="R5069">
        <v>9543</v>
      </c>
      <c r="S5069" t="s">
        <v>224</v>
      </c>
      <c r="T5069">
        <v>0</v>
      </c>
      <c r="U5069">
        <v>31</v>
      </c>
      <c r="V5069">
        <v>0</v>
      </c>
      <c r="W5069">
        <v>0</v>
      </c>
      <c r="X5069">
        <v>0</v>
      </c>
    </row>
    <row r="5070" spans="1:24" x14ac:dyDescent="0.25">
      <c r="A5070" t="s">
        <v>15</v>
      </c>
      <c r="B5070" t="s">
        <v>24</v>
      </c>
      <c r="C5070">
        <v>20150316</v>
      </c>
      <c r="D5070">
        <v>0</v>
      </c>
      <c r="F5070">
        <v>62500</v>
      </c>
      <c r="G5070" t="s">
        <v>17</v>
      </c>
      <c r="I5070" t="s">
        <v>16</v>
      </c>
      <c r="J5070" t="s">
        <v>180</v>
      </c>
      <c r="K5070" t="s">
        <v>25</v>
      </c>
      <c r="L5070">
        <v>132757294</v>
      </c>
      <c r="R5070">
        <v>9544</v>
      </c>
      <c r="S5070" t="s">
        <v>232</v>
      </c>
      <c r="T5070">
        <v>0</v>
      </c>
      <c r="U5070">
        <v>28</v>
      </c>
      <c r="V5070">
        <v>0</v>
      </c>
      <c r="W5070">
        <v>0</v>
      </c>
      <c r="X5070">
        <v>0</v>
      </c>
    </row>
    <row r="5071" spans="1:24" x14ac:dyDescent="0.25">
      <c r="A5071" t="s">
        <v>15</v>
      </c>
      <c r="B5071" t="s">
        <v>24</v>
      </c>
      <c r="C5071">
        <v>20150316</v>
      </c>
      <c r="D5071">
        <v>0</v>
      </c>
      <c r="F5071">
        <v>62500</v>
      </c>
      <c r="G5071" t="s">
        <v>17</v>
      </c>
      <c r="I5071" t="s">
        <v>16</v>
      </c>
      <c r="J5071" t="s">
        <v>180</v>
      </c>
      <c r="K5071" t="s">
        <v>25</v>
      </c>
      <c r="L5071">
        <v>132757294</v>
      </c>
      <c r="R5071">
        <v>9544</v>
      </c>
      <c r="S5071" t="s">
        <v>192</v>
      </c>
      <c r="T5071">
        <v>0</v>
      </c>
      <c r="U5071">
        <v>28</v>
      </c>
      <c r="V5071">
        <v>0</v>
      </c>
      <c r="W5071">
        <v>0</v>
      </c>
      <c r="X5071">
        <v>0</v>
      </c>
    </row>
    <row r="5072" spans="1:24" x14ac:dyDescent="0.25">
      <c r="A5072" t="s">
        <v>15</v>
      </c>
      <c r="B5072" t="s">
        <v>24</v>
      </c>
      <c r="C5072">
        <v>20150316</v>
      </c>
      <c r="D5072">
        <v>0</v>
      </c>
      <c r="F5072">
        <v>62500</v>
      </c>
      <c r="G5072" t="s">
        <v>17</v>
      </c>
      <c r="I5072" t="s">
        <v>16</v>
      </c>
      <c r="J5072" t="s">
        <v>180</v>
      </c>
      <c r="K5072" t="s">
        <v>25</v>
      </c>
      <c r="L5072">
        <v>132757294</v>
      </c>
      <c r="R5072">
        <v>9545</v>
      </c>
      <c r="S5072" t="s">
        <v>232</v>
      </c>
      <c r="T5072">
        <v>0</v>
      </c>
      <c r="U5072">
        <v>-28</v>
      </c>
      <c r="V5072">
        <v>0</v>
      </c>
      <c r="W5072">
        <v>0</v>
      </c>
      <c r="X5072">
        <v>0</v>
      </c>
    </row>
    <row r="5073" spans="1:40" x14ac:dyDescent="0.25">
      <c r="A5073" t="s">
        <v>15</v>
      </c>
      <c r="B5073" t="s">
        <v>24</v>
      </c>
      <c r="C5073">
        <v>20150316</v>
      </c>
      <c r="D5073">
        <v>0</v>
      </c>
      <c r="F5073">
        <v>62500</v>
      </c>
      <c r="G5073" t="s">
        <v>17</v>
      </c>
      <c r="I5073" t="s">
        <v>16</v>
      </c>
      <c r="J5073" t="s">
        <v>180</v>
      </c>
      <c r="K5073" t="s">
        <v>25</v>
      </c>
      <c r="L5073">
        <v>132757294</v>
      </c>
      <c r="R5073">
        <v>9545</v>
      </c>
      <c r="S5073" t="s">
        <v>232</v>
      </c>
      <c r="T5073">
        <v>0</v>
      </c>
      <c r="U5073">
        <v>-28</v>
      </c>
      <c r="V5073">
        <v>0</v>
      </c>
      <c r="W5073">
        <v>0</v>
      </c>
      <c r="X5073">
        <v>0</v>
      </c>
    </row>
    <row r="5074" spans="1:40" x14ac:dyDescent="0.25">
      <c r="A5074" t="s">
        <v>15</v>
      </c>
      <c r="B5074" t="s">
        <v>24</v>
      </c>
      <c r="C5074">
        <v>20150316</v>
      </c>
      <c r="D5074">
        <v>0</v>
      </c>
      <c r="F5074">
        <v>62500</v>
      </c>
      <c r="G5074" t="s">
        <v>17</v>
      </c>
      <c r="I5074" t="s">
        <v>16</v>
      </c>
      <c r="J5074" t="s">
        <v>180</v>
      </c>
      <c r="K5074" t="s">
        <v>25</v>
      </c>
      <c r="L5074">
        <v>132757294</v>
      </c>
      <c r="R5074">
        <v>9545</v>
      </c>
      <c r="S5074" t="s">
        <v>192</v>
      </c>
      <c r="T5074">
        <v>0</v>
      </c>
      <c r="U5074">
        <v>28</v>
      </c>
      <c r="V5074">
        <v>0</v>
      </c>
      <c r="W5074">
        <v>0</v>
      </c>
      <c r="X5074">
        <v>0</v>
      </c>
    </row>
    <row r="5075" spans="1:40" x14ac:dyDescent="0.25">
      <c r="A5075" t="s">
        <v>15</v>
      </c>
      <c r="B5075" t="s">
        <v>24</v>
      </c>
      <c r="C5075">
        <v>20150316</v>
      </c>
      <c r="D5075">
        <v>0</v>
      </c>
      <c r="F5075">
        <v>62500</v>
      </c>
      <c r="G5075" t="s">
        <v>17</v>
      </c>
      <c r="I5075" t="s">
        <v>16</v>
      </c>
      <c r="J5075" t="s">
        <v>180</v>
      </c>
      <c r="K5075" t="s">
        <v>25</v>
      </c>
      <c r="L5075">
        <v>132757294</v>
      </c>
      <c r="R5075">
        <v>9546</v>
      </c>
      <c r="S5075" t="s">
        <v>232</v>
      </c>
      <c r="T5075">
        <v>0</v>
      </c>
      <c r="U5075">
        <v>5</v>
      </c>
      <c r="V5075">
        <v>0</v>
      </c>
      <c r="W5075">
        <v>0</v>
      </c>
      <c r="X5075">
        <v>0</v>
      </c>
    </row>
    <row r="5076" spans="1:40" x14ac:dyDescent="0.25">
      <c r="A5076" t="s">
        <v>15</v>
      </c>
      <c r="B5076" t="s">
        <v>24</v>
      </c>
      <c r="C5076">
        <v>20150316</v>
      </c>
      <c r="D5076">
        <v>0</v>
      </c>
      <c r="F5076">
        <v>62500</v>
      </c>
      <c r="G5076" t="s">
        <v>17</v>
      </c>
      <c r="I5076" t="s">
        <v>16</v>
      </c>
      <c r="J5076" t="s">
        <v>180</v>
      </c>
      <c r="K5076" t="s">
        <v>25</v>
      </c>
      <c r="L5076">
        <v>132757294</v>
      </c>
      <c r="R5076">
        <v>9546</v>
      </c>
      <c r="S5076" t="s">
        <v>232</v>
      </c>
      <c r="T5076">
        <v>0</v>
      </c>
      <c r="U5076">
        <v>5</v>
      </c>
      <c r="V5076">
        <v>0</v>
      </c>
      <c r="W5076">
        <v>0</v>
      </c>
      <c r="X5076">
        <v>0</v>
      </c>
    </row>
    <row r="5077" spans="1:40" x14ac:dyDescent="0.25">
      <c r="A5077" t="s">
        <v>15</v>
      </c>
      <c r="B5077" t="s">
        <v>24</v>
      </c>
      <c r="C5077">
        <v>20150316</v>
      </c>
      <c r="D5077">
        <v>0</v>
      </c>
      <c r="F5077">
        <v>62500</v>
      </c>
      <c r="G5077" t="s">
        <v>17</v>
      </c>
      <c r="I5077" t="s">
        <v>16</v>
      </c>
      <c r="J5077" t="s">
        <v>180</v>
      </c>
      <c r="K5077" t="s">
        <v>25</v>
      </c>
      <c r="L5077">
        <v>132757294</v>
      </c>
      <c r="R5077">
        <v>9546</v>
      </c>
      <c r="S5077" t="s">
        <v>233</v>
      </c>
      <c r="T5077">
        <v>0</v>
      </c>
      <c r="U5077">
        <v>5</v>
      </c>
      <c r="V5077">
        <v>0</v>
      </c>
      <c r="W5077">
        <v>0</v>
      </c>
      <c r="X5077">
        <v>0</v>
      </c>
    </row>
    <row r="5078" spans="1:40" x14ac:dyDescent="0.25">
      <c r="A5078" t="s">
        <v>15</v>
      </c>
      <c r="B5078" t="s">
        <v>24</v>
      </c>
      <c r="C5078">
        <v>20150316</v>
      </c>
      <c r="D5078">
        <v>0</v>
      </c>
      <c r="F5078">
        <v>62500</v>
      </c>
      <c r="G5078" t="s">
        <v>17</v>
      </c>
      <c r="I5078" t="s">
        <v>16</v>
      </c>
      <c r="J5078" t="s">
        <v>180</v>
      </c>
      <c r="K5078" t="s">
        <v>25</v>
      </c>
      <c r="L5078">
        <v>132757294</v>
      </c>
      <c r="R5078">
        <v>9546</v>
      </c>
      <c r="S5078" t="s">
        <v>223</v>
      </c>
      <c r="T5078">
        <v>0</v>
      </c>
      <c r="U5078">
        <v>5</v>
      </c>
      <c r="V5078">
        <v>0</v>
      </c>
      <c r="W5078">
        <v>0</v>
      </c>
      <c r="X5078">
        <v>0</v>
      </c>
    </row>
    <row r="5079" spans="1:40" x14ac:dyDescent="0.25">
      <c r="A5079" t="s">
        <v>15</v>
      </c>
      <c r="B5079" t="s">
        <v>24</v>
      </c>
      <c r="C5079">
        <v>20150316</v>
      </c>
      <c r="D5079">
        <v>0</v>
      </c>
      <c r="F5079">
        <v>62500</v>
      </c>
      <c r="G5079" t="s">
        <v>17</v>
      </c>
      <c r="I5079" t="s">
        <v>16</v>
      </c>
      <c r="J5079" t="s">
        <v>180</v>
      </c>
      <c r="K5079" t="s">
        <v>25</v>
      </c>
      <c r="L5079">
        <v>132757294</v>
      </c>
      <c r="R5079">
        <v>9546</v>
      </c>
      <c r="S5079" t="s">
        <v>224</v>
      </c>
      <c r="T5079">
        <v>0</v>
      </c>
      <c r="U5079">
        <v>5</v>
      </c>
      <c r="V5079">
        <v>0</v>
      </c>
      <c r="W5079">
        <v>0</v>
      </c>
      <c r="X5079">
        <v>0</v>
      </c>
    </row>
    <row r="5080" spans="1:40" x14ac:dyDescent="0.25">
      <c r="A5080" t="s">
        <v>15</v>
      </c>
      <c r="B5080" t="s">
        <v>24</v>
      </c>
      <c r="C5080">
        <v>20150316</v>
      </c>
      <c r="D5080">
        <v>0</v>
      </c>
      <c r="F5080">
        <v>62500</v>
      </c>
      <c r="G5080" t="s">
        <v>17</v>
      </c>
      <c r="I5080" t="s">
        <v>16</v>
      </c>
      <c r="J5080" t="s">
        <v>180</v>
      </c>
      <c r="K5080" t="s">
        <v>25</v>
      </c>
      <c r="L5080">
        <v>132757294</v>
      </c>
      <c r="R5080">
        <v>9544</v>
      </c>
      <c r="S5080" t="s">
        <v>192</v>
      </c>
      <c r="T5080">
        <v>0</v>
      </c>
      <c r="U5080">
        <v>28</v>
      </c>
      <c r="V5080">
        <v>0</v>
      </c>
      <c r="W5080">
        <v>0</v>
      </c>
      <c r="X5080">
        <v>0</v>
      </c>
    </row>
    <row r="5081" spans="1:40" x14ac:dyDescent="0.25">
      <c r="A5081" t="s">
        <v>15</v>
      </c>
      <c r="B5081" t="s">
        <v>24</v>
      </c>
      <c r="C5081">
        <v>20150316</v>
      </c>
      <c r="D5081">
        <v>0</v>
      </c>
      <c r="F5081">
        <v>62500</v>
      </c>
      <c r="G5081" t="s">
        <v>17</v>
      </c>
      <c r="I5081" t="s">
        <v>16</v>
      </c>
      <c r="J5081" t="s">
        <v>180</v>
      </c>
      <c r="K5081" t="s">
        <v>25</v>
      </c>
      <c r="L5081">
        <v>132757294</v>
      </c>
      <c r="R5081">
        <v>9544</v>
      </c>
      <c r="S5081" t="s">
        <v>192</v>
      </c>
      <c r="T5081">
        <v>0</v>
      </c>
      <c r="U5081">
        <v>28</v>
      </c>
      <c r="V5081">
        <v>0</v>
      </c>
      <c r="W5081">
        <v>0</v>
      </c>
      <c r="X5081">
        <v>0</v>
      </c>
    </row>
    <row r="5082" spans="1:40" x14ac:dyDescent="0.25">
      <c r="A5082" t="s">
        <v>15</v>
      </c>
      <c r="B5082" t="s">
        <v>24</v>
      </c>
      <c r="C5082">
        <v>20150316</v>
      </c>
      <c r="D5082">
        <v>0</v>
      </c>
      <c r="F5082">
        <v>62500</v>
      </c>
      <c r="G5082" t="s">
        <v>17</v>
      </c>
      <c r="I5082" t="s">
        <v>16</v>
      </c>
      <c r="J5082" t="s">
        <v>180</v>
      </c>
      <c r="K5082" t="s">
        <v>25</v>
      </c>
      <c r="L5082">
        <v>132757294</v>
      </c>
      <c r="R5082">
        <v>9547</v>
      </c>
      <c r="S5082" t="s">
        <v>232</v>
      </c>
      <c r="T5082">
        <v>0</v>
      </c>
      <c r="U5082">
        <v>5</v>
      </c>
      <c r="V5082">
        <v>0</v>
      </c>
      <c r="W5082">
        <v>0</v>
      </c>
      <c r="X5082">
        <v>0</v>
      </c>
    </row>
    <row r="5083" spans="1:40" x14ac:dyDescent="0.25">
      <c r="A5083" t="s">
        <v>15</v>
      </c>
      <c r="B5083" t="s">
        <v>24</v>
      </c>
      <c r="C5083">
        <v>20150316</v>
      </c>
      <c r="D5083">
        <v>0</v>
      </c>
      <c r="F5083">
        <v>62500</v>
      </c>
      <c r="G5083" t="s">
        <v>17</v>
      </c>
      <c r="I5083" t="s">
        <v>16</v>
      </c>
      <c r="J5083" t="s">
        <v>180</v>
      </c>
      <c r="K5083" t="s">
        <v>25</v>
      </c>
      <c r="L5083">
        <v>132757294</v>
      </c>
      <c r="R5083">
        <v>9544</v>
      </c>
      <c r="S5083" t="s">
        <v>192</v>
      </c>
      <c r="T5083">
        <v>0</v>
      </c>
      <c r="U5083">
        <v>-14</v>
      </c>
      <c r="V5083">
        <v>0</v>
      </c>
      <c r="W5083">
        <v>0</v>
      </c>
      <c r="X5083">
        <v>0</v>
      </c>
      <c r="Y5083">
        <v>9544</v>
      </c>
      <c r="Z5083" t="s">
        <v>250</v>
      </c>
      <c r="AA5083" t="s">
        <v>251</v>
      </c>
      <c r="AB5083" t="s">
        <v>234</v>
      </c>
      <c r="AC5083" t="s">
        <v>17</v>
      </c>
      <c r="AD5083" t="s">
        <v>235</v>
      </c>
      <c r="AE5083">
        <v>21</v>
      </c>
      <c r="AF5083">
        <v>21</v>
      </c>
      <c r="AG5083">
        <v>1.5250999999999999</v>
      </c>
      <c r="AH5083">
        <v>1.5250999999999999</v>
      </c>
      <c r="AI5083">
        <v>415886577</v>
      </c>
      <c r="AJ5083">
        <v>0</v>
      </c>
      <c r="AK5083">
        <v>7</v>
      </c>
      <c r="AN5083">
        <v>0</v>
      </c>
    </row>
    <row r="5084" spans="1:40" x14ac:dyDescent="0.25">
      <c r="A5084" t="s">
        <v>15</v>
      </c>
      <c r="B5084" t="s">
        <v>24</v>
      </c>
      <c r="C5084">
        <v>20150316</v>
      </c>
      <c r="D5084">
        <v>0</v>
      </c>
      <c r="F5084">
        <v>62500</v>
      </c>
      <c r="G5084" t="s">
        <v>17</v>
      </c>
      <c r="I5084" t="s">
        <v>16</v>
      </c>
      <c r="J5084" t="s">
        <v>180</v>
      </c>
      <c r="K5084" t="s">
        <v>25</v>
      </c>
      <c r="L5084">
        <v>132757294</v>
      </c>
      <c r="R5084">
        <v>9544</v>
      </c>
      <c r="S5084" t="s">
        <v>192</v>
      </c>
      <c r="T5084">
        <v>0</v>
      </c>
      <c r="U5084">
        <v>-14</v>
      </c>
      <c r="V5084">
        <v>0</v>
      </c>
      <c r="W5084">
        <v>0</v>
      </c>
      <c r="X5084">
        <v>0</v>
      </c>
    </row>
    <row r="5085" spans="1:40" x14ac:dyDescent="0.25">
      <c r="A5085" t="s">
        <v>15</v>
      </c>
      <c r="B5085" t="s">
        <v>24</v>
      </c>
      <c r="C5085">
        <v>20150316</v>
      </c>
      <c r="D5085">
        <v>0</v>
      </c>
      <c r="F5085">
        <v>62500</v>
      </c>
      <c r="G5085" t="s">
        <v>17</v>
      </c>
      <c r="I5085" t="s">
        <v>16</v>
      </c>
      <c r="J5085" t="s">
        <v>180</v>
      </c>
      <c r="K5085" t="s">
        <v>25</v>
      </c>
      <c r="L5085">
        <v>132757294</v>
      </c>
      <c r="R5085">
        <v>9544</v>
      </c>
      <c r="S5085" t="s">
        <v>192</v>
      </c>
      <c r="T5085">
        <v>21</v>
      </c>
      <c r="U5085">
        <v>7</v>
      </c>
      <c r="V5085">
        <v>1.5250999999999999</v>
      </c>
      <c r="W5085">
        <v>1.5250999999999999</v>
      </c>
      <c r="X5085">
        <v>0</v>
      </c>
    </row>
    <row r="5086" spans="1:40" x14ac:dyDescent="0.25">
      <c r="A5086" t="s">
        <v>15</v>
      </c>
      <c r="B5086" t="s">
        <v>24</v>
      </c>
      <c r="C5086">
        <v>20150316</v>
      </c>
      <c r="D5086">
        <v>0</v>
      </c>
      <c r="F5086">
        <v>62500</v>
      </c>
      <c r="G5086" t="s">
        <v>17</v>
      </c>
      <c r="I5086" t="s">
        <v>16</v>
      </c>
      <c r="J5086" t="s">
        <v>180</v>
      </c>
      <c r="K5086" t="s">
        <v>25</v>
      </c>
      <c r="L5086">
        <v>132757294</v>
      </c>
      <c r="R5086">
        <v>9544</v>
      </c>
      <c r="S5086" t="s">
        <v>192</v>
      </c>
      <c r="T5086">
        <v>21</v>
      </c>
      <c r="U5086">
        <v>7</v>
      </c>
      <c r="V5086">
        <v>1.5250999999999999</v>
      </c>
      <c r="W5086">
        <v>1.5250999999999999</v>
      </c>
      <c r="X5086">
        <v>0</v>
      </c>
    </row>
    <row r="5087" spans="1:40" x14ac:dyDescent="0.25">
      <c r="A5087" t="s">
        <v>15</v>
      </c>
      <c r="B5087" t="s">
        <v>24</v>
      </c>
      <c r="C5087">
        <v>20150316</v>
      </c>
      <c r="D5087">
        <v>0</v>
      </c>
      <c r="F5087">
        <v>62500</v>
      </c>
      <c r="G5087" t="s">
        <v>17</v>
      </c>
      <c r="I5087" t="s">
        <v>16</v>
      </c>
      <c r="J5087" t="s">
        <v>180</v>
      </c>
      <c r="K5087" t="s">
        <v>25</v>
      </c>
      <c r="L5087">
        <v>132757294</v>
      </c>
      <c r="R5087">
        <v>9544</v>
      </c>
      <c r="S5087" t="s">
        <v>233</v>
      </c>
      <c r="T5087">
        <v>21</v>
      </c>
      <c r="U5087">
        <v>7</v>
      </c>
      <c r="V5087">
        <v>1.5250999999999999</v>
      </c>
      <c r="W5087">
        <v>1.5250999999999999</v>
      </c>
      <c r="X5087">
        <v>0</v>
      </c>
    </row>
    <row r="5088" spans="1:40" x14ac:dyDescent="0.25">
      <c r="A5088" t="s">
        <v>15</v>
      </c>
      <c r="B5088" t="s">
        <v>24</v>
      </c>
      <c r="C5088">
        <v>20150316</v>
      </c>
      <c r="D5088">
        <v>0</v>
      </c>
      <c r="F5088">
        <v>62500</v>
      </c>
      <c r="G5088" t="s">
        <v>17</v>
      </c>
      <c r="I5088" t="s">
        <v>16</v>
      </c>
      <c r="J5088" t="s">
        <v>180</v>
      </c>
      <c r="K5088" t="s">
        <v>25</v>
      </c>
      <c r="L5088">
        <v>132757294</v>
      </c>
      <c r="R5088">
        <v>9544</v>
      </c>
      <c r="S5088" t="s">
        <v>233</v>
      </c>
      <c r="T5088">
        <v>21</v>
      </c>
      <c r="U5088">
        <v>7</v>
      </c>
      <c r="V5088">
        <v>1.5250999999999999</v>
      </c>
      <c r="W5088">
        <v>1.5250999999999999</v>
      </c>
      <c r="X5088">
        <v>0</v>
      </c>
    </row>
    <row r="5089" spans="1:40" x14ac:dyDescent="0.25">
      <c r="A5089" t="s">
        <v>15</v>
      </c>
      <c r="B5089" t="s">
        <v>24</v>
      </c>
      <c r="C5089">
        <v>20150316</v>
      </c>
      <c r="D5089">
        <v>0</v>
      </c>
      <c r="F5089">
        <v>62500</v>
      </c>
      <c r="G5089" t="s">
        <v>17</v>
      </c>
      <c r="I5089" t="s">
        <v>16</v>
      </c>
      <c r="J5089" t="s">
        <v>180</v>
      </c>
      <c r="K5089" t="s">
        <v>25</v>
      </c>
      <c r="L5089">
        <v>132757294</v>
      </c>
      <c r="R5089">
        <v>9544</v>
      </c>
      <c r="S5089" t="s">
        <v>233</v>
      </c>
      <c r="T5089">
        <v>21</v>
      </c>
      <c r="U5089">
        <v>7</v>
      </c>
      <c r="V5089">
        <v>1.5250999999999999</v>
      </c>
      <c r="W5089">
        <v>1.5250999999999999</v>
      </c>
      <c r="X5089">
        <v>0</v>
      </c>
    </row>
    <row r="5090" spans="1:40" x14ac:dyDescent="0.25">
      <c r="A5090" t="s">
        <v>15</v>
      </c>
      <c r="B5090" t="s">
        <v>24</v>
      </c>
      <c r="C5090">
        <v>20150316</v>
      </c>
      <c r="D5090">
        <v>0</v>
      </c>
      <c r="F5090">
        <v>62500</v>
      </c>
      <c r="G5090" t="s">
        <v>17</v>
      </c>
      <c r="I5090" t="s">
        <v>16</v>
      </c>
      <c r="J5090" t="s">
        <v>180</v>
      </c>
      <c r="K5090" t="s">
        <v>25</v>
      </c>
      <c r="L5090">
        <v>132757294</v>
      </c>
      <c r="R5090">
        <v>9544</v>
      </c>
      <c r="S5090" t="s">
        <v>233</v>
      </c>
      <c r="T5090">
        <v>21</v>
      </c>
      <c r="U5090">
        <v>-7</v>
      </c>
      <c r="V5090">
        <v>1.5250999999999999</v>
      </c>
      <c r="W5090">
        <v>1.5250999999999999</v>
      </c>
      <c r="X5090">
        <v>0</v>
      </c>
      <c r="Y5090">
        <v>9544</v>
      </c>
      <c r="Z5090" t="s">
        <v>252</v>
      </c>
      <c r="AA5090" t="s">
        <v>251</v>
      </c>
      <c r="AB5090" t="s">
        <v>234</v>
      </c>
      <c r="AC5090" t="s">
        <v>17</v>
      </c>
      <c r="AD5090" t="s">
        <v>235</v>
      </c>
      <c r="AE5090">
        <v>7</v>
      </c>
      <c r="AF5090">
        <v>28</v>
      </c>
      <c r="AG5090">
        <v>1.526</v>
      </c>
      <c r="AH5090">
        <v>1.525325</v>
      </c>
      <c r="AI5090">
        <v>415886577</v>
      </c>
      <c r="AJ5090">
        <v>0</v>
      </c>
      <c r="AK5090">
        <v>7</v>
      </c>
      <c r="AN5090">
        <v>0</v>
      </c>
    </row>
    <row r="5091" spans="1:40" x14ac:dyDescent="0.25">
      <c r="A5091" t="s">
        <v>15</v>
      </c>
      <c r="B5091" t="s">
        <v>24</v>
      </c>
      <c r="C5091">
        <v>20150316</v>
      </c>
      <c r="D5091">
        <v>0</v>
      </c>
      <c r="F5091">
        <v>62500</v>
      </c>
      <c r="G5091" t="s">
        <v>17</v>
      </c>
      <c r="I5091" t="s">
        <v>16</v>
      </c>
      <c r="J5091" t="s">
        <v>180</v>
      </c>
      <c r="K5091" t="s">
        <v>25</v>
      </c>
      <c r="L5091">
        <v>132757294</v>
      </c>
      <c r="R5091">
        <v>9544</v>
      </c>
      <c r="S5091" t="s">
        <v>233</v>
      </c>
      <c r="T5091">
        <v>21</v>
      </c>
      <c r="U5091">
        <v>-7</v>
      </c>
      <c r="V5091">
        <v>1.5250999999999999</v>
      </c>
      <c r="W5091">
        <v>1.5250999999999999</v>
      </c>
      <c r="X5091">
        <v>0</v>
      </c>
    </row>
    <row r="5092" spans="1:40" x14ac:dyDescent="0.25">
      <c r="A5092" t="s">
        <v>15</v>
      </c>
      <c r="B5092" t="s">
        <v>24</v>
      </c>
      <c r="C5092">
        <v>20150316</v>
      </c>
      <c r="D5092">
        <v>0</v>
      </c>
      <c r="F5092">
        <v>62500</v>
      </c>
      <c r="G5092" t="s">
        <v>17</v>
      </c>
      <c r="I5092" t="s">
        <v>16</v>
      </c>
      <c r="J5092" t="s">
        <v>180</v>
      </c>
      <c r="K5092" t="s">
        <v>25</v>
      </c>
      <c r="L5092">
        <v>132757294</v>
      </c>
      <c r="R5092">
        <v>9544</v>
      </c>
      <c r="S5092" t="s">
        <v>37</v>
      </c>
      <c r="T5092">
        <v>28</v>
      </c>
      <c r="U5092">
        <v>0</v>
      </c>
      <c r="V5092">
        <v>1.525325</v>
      </c>
      <c r="W5092">
        <v>1.526</v>
      </c>
      <c r="X5092">
        <v>0</v>
      </c>
    </row>
    <row r="5093" spans="1:40" x14ac:dyDescent="0.25">
      <c r="A5093" t="s">
        <v>15</v>
      </c>
      <c r="B5093" t="s">
        <v>24</v>
      </c>
      <c r="C5093">
        <v>20150316</v>
      </c>
      <c r="D5093">
        <v>0</v>
      </c>
      <c r="F5093">
        <v>62500</v>
      </c>
      <c r="G5093" t="s">
        <v>17</v>
      </c>
      <c r="I5093" t="s">
        <v>16</v>
      </c>
      <c r="J5093" t="s">
        <v>180</v>
      </c>
      <c r="K5093" t="s">
        <v>25</v>
      </c>
      <c r="L5093">
        <v>132757294</v>
      </c>
      <c r="R5093">
        <v>9544</v>
      </c>
      <c r="S5093" t="s">
        <v>37</v>
      </c>
      <c r="T5093">
        <v>28</v>
      </c>
      <c r="U5093">
        <v>0</v>
      </c>
      <c r="V5093">
        <v>1.525325</v>
      </c>
      <c r="W5093">
        <v>1.526</v>
      </c>
      <c r="X5093">
        <v>0</v>
      </c>
    </row>
    <row r="5094" spans="1:40" x14ac:dyDescent="0.25">
      <c r="A5094" t="s">
        <v>15</v>
      </c>
      <c r="B5094" t="s">
        <v>24</v>
      </c>
      <c r="C5094">
        <v>20150316</v>
      </c>
      <c r="D5094">
        <v>0</v>
      </c>
      <c r="F5094">
        <v>62500</v>
      </c>
      <c r="G5094" t="s">
        <v>17</v>
      </c>
      <c r="I5094" t="s">
        <v>16</v>
      </c>
      <c r="J5094" t="s">
        <v>180</v>
      </c>
      <c r="K5094" t="s">
        <v>25</v>
      </c>
      <c r="L5094">
        <v>132757294</v>
      </c>
      <c r="R5094">
        <v>9544</v>
      </c>
      <c r="S5094" t="s">
        <v>37</v>
      </c>
      <c r="T5094">
        <v>28</v>
      </c>
      <c r="U5094">
        <v>0</v>
      </c>
      <c r="V5094">
        <v>1.525325</v>
      </c>
      <c r="W5094">
        <v>1.526</v>
      </c>
      <c r="X5094">
        <v>0</v>
      </c>
    </row>
    <row r="5095" spans="1:40" x14ac:dyDescent="0.25">
      <c r="A5095" t="s">
        <v>15</v>
      </c>
      <c r="B5095" t="s">
        <v>24</v>
      </c>
      <c r="C5095">
        <v>20150316</v>
      </c>
      <c r="D5095">
        <v>0</v>
      </c>
      <c r="F5095">
        <v>62500</v>
      </c>
      <c r="G5095" t="s">
        <v>17</v>
      </c>
      <c r="I5095" t="s">
        <v>16</v>
      </c>
      <c r="J5095" t="s">
        <v>180</v>
      </c>
      <c r="K5095" t="s">
        <v>25</v>
      </c>
      <c r="L5095">
        <v>132757294</v>
      </c>
      <c r="R5095">
        <v>9544</v>
      </c>
      <c r="S5095" t="s">
        <v>37</v>
      </c>
      <c r="T5095">
        <v>28</v>
      </c>
      <c r="U5095">
        <v>0</v>
      </c>
      <c r="V5095">
        <v>1.525325</v>
      </c>
      <c r="W5095">
        <v>1.526</v>
      </c>
      <c r="X5095">
        <v>0</v>
      </c>
    </row>
    <row r="5096" spans="1:40" x14ac:dyDescent="0.25">
      <c r="A5096" t="s">
        <v>15</v>
      </c>
      <c r="B5096" t="s">
        <v>24</v>
      </c>
      <c r="C5096">
        <v>20150316</v>
      </c>
      <c r="D5096">
        <v>0</v>
      </c>
      <c r="F5096">
        <v>62500</v>
      </c>
      <c r="G5096" t="s">
        <v>17</v>
      </c>
      <c r="I5096" t="s">
        <v>16</v>
      </c>
      <c r="J5096" t="s">
        <v>180</v>
      </c>
      <c r="K5096" t="s">
        <v>25</v>
      </c>
      <c r="L5096">
        <v>132757294</v>
      </c>
      <c r="R5096">
        <v>9544</v>
      </c>
      <c r="S5096" t="s">
        <v>37</v>
      </c>
      <c r="T5096">
        <v>28</v>
      </c>
      <c r="U5096">
        <v>0</v>
      </c>
      <c r="V5096">
        <v>1.525325</v>
      </c>
      <c r="W5096">
        <v>1.526</v>
      </c>
      <c r="X5096">
        <v>0</v>
      </c>
    </row>
    <row r="5097" spans="1:40" x14ac:dyDescent="0.25">
      <c r="A5097" t="s">
        <v>15</v>
      </c>
      <c r="B5097" t="s">
        <v>24</v>
      </c>
      <c r="C5097">
        <v>20150316</v>
      </c>
      <c r="D5097">
        <v>0</v>
      </c>
      <c r="F5097">
        <v>62500</v>
      </c>
      <c r="G5097" t="s">
        <v>17</v>
      </c>
      <c r="I5097" t="s">
        <v>16</v>
      </c>
      <c r="J5097" t="s">
        <v>180</v>
      </c>
      <c r="K5097" t="s">
        <v>25</v>
      </c>
      <c r="L5097">
        <v>132757294</v>
      </c>
      <c r="R5097">
        <v>9547</v>
      </c>
      <c r="S5097" t="s">
        <v>232</v>
      </c>
      <c r="T5097">
        <v>0</v>
      </c>
      <c r="U5097">
        <v>5</v>
      </c>
      <c r="V5097">
        <v>0</v>
      </c>
      <c r="W5097">
        <v>0</v>
      </c>
      <c r="X5097">
        <v>0</v>
      </c>
    </row>
    <row r="5098" spans="1:40" x14ac:dyDescent="0.25">
      <c r="A5098" t="s">
        <v>15</v>
      </c>
      <c r="B5098" t="s">
        <v>24</v>
      </c>
      <c r="C5098">
        <v>20150316</v>
      </c>
      <c r="D5098">
        <v>0</v>
      </c>
      <c r="F5098">
        <v>62500</v>
      </c>
      <c r="G5098" t="s">
        <v>17</v>
      </c>
      <c r="I5098" t="s">
        <v>16</v>
      </c>
      <c r="J5098" t="s">
        <v>180</v>
      </c>
      <c r="K5098" t="s">
        <v>25</v>
      </c>
      <c r="L5098">
        <v>132757294</v>
      </c>
      <c r="R5098">
        <v>9547</v>
      </c>
      <c r="S5098" t="s">
        <v>233</v>
      </c>
      <c r="T5098">
        <v>0</v>
      </c>
      <c r="U5098">
        <v>5</v>
      </c>
      <c r="V5098">
        <v>0</v>
      </c>
      <c r="W5098">
        <v>0</v>
      </c>
      <c r="X5098">
        <v>0</v>
      </c>
    </row>
    <row r="5099" spans="1:40" x14ac:dyDescent="0.25">
      <c r="A5099" t="s">
        <v>15</v>
      </c>
      <c r="B5099" t="s">
        <v>24</v>
      </c>
      <c r="C5099">
        <v>20150316</v>
      </c>
      <c r="D5099">
        <v>0</v>
      </c>
      <c r="F5099">
        <v>62500</v>
      </c>
      <c r="G5099" t="s">
        <v>17</v>
      </c>
      <c r="I5099" t="s">
        <v>16</v>
      </c>
      <c r="J5099" t="s">
        <v>180</v>
      </c>
      <c r="K5099" t="s">
        <v>25</v>
      </c>
      <c r="L5099">
        <v>132757294</v>
      </c>
      <c r="R5099">
        <v>9548</v>
      </c>
      <c r="S5099" t="s">
        <v>232</v>
      </c>
      <c r="T5099">
        <v>0</v>
      </c>
      <c r="U5099">
        <v>13</v>
      </c>
      <c r="V5099">
        <v>0</v>
      </c>
      <c r="W5099">
        <v>0</v>
      </c>
      <c r="X5099">
        <v>0</v>
      </c>
    </row>
    <row r="5100" spans="1:40" x14ac:dyDescent="0.25">
      <c r="A5100" t="s">
        <v>15</v>
      </c>
      <c r="B5100" t="s">
        <v>24</v>
      </c>
      <c r="C5100">
        <v>20150316</v>
      </c>
      <c r="D5100">
        <v>0</v>
      </c>
      <c r="F5100">
        <v>62500</v>
      </c>
      <c r="G5100" t="s">
        <v>17</v>
      </c>
      <c r="I5100" t="s">
        <v>16</v>
      </c>
      <c r="J5100" t="s">
        <v>180</v>
      </c>
      <c r="K5100" t="s">
        <v>25</v>
      </c>
      <c r="L5100">
        <v>132757294</v>
      </c>
      <c r="R5100">
        <v>9549</v>
      </c>
      <c r="S5100" t="s">
        <v>232</v>
      </c>
      <c r="T5100">
        <v>0</v>
      </c>
      <c r="U5100">
        <v>-11</v>
      </c>
      <c r="V5100">
        <v>0</v>
      </c>
      <c r="W5100">
        <v>0</v>
      </c>
      <c r="X5100">
        <v>0</v>
      </c>
    </row>
    <row r="5101" spans="1:40" x14ac:dyDescent="0.25">
      <c r="A5101" t="s">
        <v>15</v>
      </c>
      <c r="B5101" t="s">
        <v>24</v>
      </c>
      <c r="C5101">
        <v>20150316</v>
      </c>
      <c r="D5101">
        <v>0</v>
      </c>
      <c r="F5101">
        <v>62500</v>
      </c>
      <c r="G5101" t="s">
        <v>17</v>
      </c>
      <c r="I5101" t="s">
        <v>16</v>
      </c>
      <c r="J5101" t="s">
        <v>180</v>
      </c>
      <c r="K5101" t="s">
        <v>25</v>
      </c>
      <c r="L5101">
        <v>132757294</v>
      </c>
      <c r="R5101">
        <v>9547</v>
      </c>
      <c r="S5101" t="s">
        <v>223</v>
      </c>
      <c r="T5101">
        <v>0</v>
      </c>
      <c r="U5101">
        <v>5</v>
      </c>
      <c r="V5101">
        <v>0</v>
      </c>
      <c r="W5101">
        <v>0</v>
      </c>
      <c r="X5101">
        <v>0</v>
      </c>
    </row>
    <row r="5102" spans="1:40" x14ac:dyDescent="0.25">
      <c r="A5102" t="s">
        <v>15</v>
      </c>
      <c r="B5102" t="s">
        <v>24</v>
      </c>
      <c r="C5102">
        <v>20150316</v>
      </c>
      <c r="D5102">
        <v>0</v>
      </c>
      <c r="F5102">
        <v>62500</v>
      </c>
      <c r="G5102" t="s">
        <v>17</v>
      </c>
      <c r="I5102" t="s">
        <v>16</v>
      </c>
      <c r="J5102" t="s">
        <v>180</v>
      </c>
      <c r="K5102" t="s">
        <v>25</v>
      </c>
      <c r="L5102">
        <v>132757294</v>
      </c>
      <c r="R5102">
        <v>9547</v>
      </c>
      <c r="S5102" t="s">
        <v>224</v>
      </c>
      <c r="T5102">
        <v>0</v>
      </c>
      <c r="U5102">
        <v>5</v>
      </c>
      <c r="V5102">
        <v>0</v>
      </c>
      <c r="W5102">
        <v>0</v>
      </c>
      <c r="X5102">
        <v>0</v>
      </c>
    </row>
    <row r="5103" spans="1:40" x14ac:dyDescent="0.25">
      <c r="A5103" t="s">
        <v>15</v>
      </c>
      <c r="B5103" t="s">
        <v>24</v>
      </c>
      <c r="C5103">
        <v>20150316</v>
      </c>
      <c r="D5103">
        <v>0</v>
      </c>
      <c r="F5103">
        <v>62500</v>
      </c>
      <c r="G5103" t="s">
        <v>17</v>
      </c>
      <c r="I5103" t="s">
        <v>16</v>
      </c>
      <c r="J5103" t="s">
        <v>180</v>
      </c>
      <c r="K5103" t="s">
        <v>25</v>
      </c>
      <c r="L5103">
        <v>132757294</v>
      </c>
      <c r="R5103">
        <v>9545</v>
      </c>
      <c r="S5103" t="s">
        <v>223</v>
      </c>
      <c r="T5103">
        <v>0</v>
      </c>
      <c r="U5103">
        <v>28</v>
      </c>
      <c r="V5103">
        <v>0</v>
      </c>
      <c r="W5103">
        <v>0</v>
      </c>
      <c r="X5103">
        <v>0</v>
      </c>
    </row>
    <row r="5104" spans="1:40" x14ac:dyDescent="0.25">
      <c r="A5104" t="s">
        <v>15</v>
      </c>
      <c r="B5104" t="s">
        <v>24</v>
      </c>
      <c r="C5104">
        <v>20150316</v>
      </c>
      <c r="D5104">
        <v>0</v>
      </c>
      <c r="F5104">
        <v>62500</v>
      </c>
      <c r="G5104" t="s">
        <v>17</v>
      </c>
      <c r="I5104" t="s">
        <v>16</v>
      </c>
      <c r="J5104" t="s">
        <v>180</v>
      </c>
      <c r="K5104" t="s">
        <v>25</v>
      </c>
      <c r="L5104">
        <v>132757294</v>
      </c>
      <c r="R5104">
        <v>9545</v>
      </c>
      <c r="S5104" t="s">
        <v>224</v>
      </c>
      <c r="T5104">
        <v>0</v>
      </c>
      <c r="U5104">
        <v>28</v>
      </c>
      <c r="V5104">
        <v>0</v>
      </c>
      <c r="W5104">
        <v>0</v>
      </c>
      <c r="X5104">
        <v>0</v>
      </c>
    </row>
    <row r="5105" spans="1:40" x14ac:dyDescent="0.25">
      <c r="A5105" t="s">
        <v>15</v>
      </c>
      <c r="B5105" t="s">
        <v>24</v>
      </c>
      <c r="C5105">
        <v>20150316</v>
      </c>
      <c r="D5105">
        <v>0</v>
      </c>
      <c r="F5105">
        <v>62500</v>
      </c>
      <c r="G5105" t="s">
        <v>17</v>
      </c>
      <c r="I5105" t="s">
        <v>16</v>
      </c>
      <c r="J5105" t="s">
        <v>180</v>
      </c>
      <c r="K5105" t="s">
        <v>25</v>
      </c>
      <c r="L5105">
        <v>132757294</v>
      </c>
      <c r="R5105">
        <v>9548</v>
      </c>
      <c r="S5105" t="s">
        <v>232</v>
      </c>
      <c r="T5105">
        <v>0</v>
      </c>
      <c r="U5105">
        <v>13</v>
      </c>
      <c r="V5105">
        <v>0</v>
      </c>
      <c r="W5105">
        <v>0</v>
      </c>
      <c r="X5105">
        <v>0</v>
      </c>
    </row>
    <row r="5106" spans="1:40" x14ac:dyDescent="0.25">
      <c r="A5106" t="s">
        <v>15</v>
      </c>
      <c r="B5106" t="s">
        <v>24</v>
      </c>
      <c r="C5106">
        <v>20150316</v>
      </c>
      <c r="D5106">
        <v>0</v>
      </c>
      <c r="F5106">
        <v>62500</v>
      </c>
      <c r="G5106" t="s">
        <v>17</v>
      </c>
      <c r="I5106" t="s">
        <v>16</v>
      </c>
      <c r="J5106" t="s">
        <v>180</v>
      </c>
      <c r="K5106" t="s">
        <v>25</v>
      </c>
      <c r="L5106">
        <v>132757294</v>
      </c>
      <c r="R5106">
        <v>9548</v>
      </c>
      <c r="S5106" t="s">
        <v>192</v>
      </c>
      <c r="T5106">
        <v>0</v>
      </c>
      <c r="U5106">
        <v>13</v>
      </c>
      <c r="V5106">
        <v>0</v>
      </c>
      <c r="W5106">
        <v>0</v>
      </c>
      <c r="X5106">
        <v>0</v>
      </c>
    </row>
    <row r="5107" spans="1:40" x14ac:dyDescent="0.25">
      <c r="A5107" t="s">
        <v>15</v>
      </c>
      <c r="B5107" t="s">
        <v>24</v>
      </c>
      <c r="C5107">
        <v>20150316</v>
      </c>
      <c r="D5107">
        <v>0</v>
      </c>
      <c r="F5107">
        <v>62500</v>
      </c>
      <c r="G5107" t="s">
        <v>17</v>
      </c>
      <c r="I5107" t="s">
        <v>16</v>
      </c>
      <c r="J5107" t="s">
        <v>180</v>
      </c>
      <c r="K5107" t="s">
        <v>25</v>
      </c>
      <c r="L5107">
        <v>132757294</v>
      </c>
      <c r="R5107">
        <v>9549</v>
      </c>
      <c r="S5107" t="s">
        <v>232</v>
      </c>
      <c r="T5107">
        <v>0</v>
      </c>
      <c r="U5107">
        <v>-11</v>
      </c>
      <c r="V5107">
        <v>0</v>
      </c>
      <c r="W5107">
        <v>0</v>
      </c>
      <c r="X5107">
        <v>0</v>
      </c>
    </row>
    <row r="5108" spans="1:40" x14ac:dyDescent="0.25">
      <c r="A5108" t="s">
        <v>15</v>
      </c>
      <c r="B5108" t="s">
        <v>24</v>
      </c>
      <c r="C5108">
        <v>20150316</v>
      </c>
      <c r="D5108">
        <v>0</v>
      </c>
      <c r="F5108">
        <v>62500</v>
      </c>
      <c r="G5108" t="s">
        <v>17</v>
      </c>
      <c r="I5108" t="s">
        <v>16</v>
      </c>
      <c r="J5108" t="s">
        <v>180</v>
      </c>
      <c r="K5108" t="s">
        <v>25</v>
      </c>
      <c r="L5108">
        <v>132757294</v>
      </c>
      <c r="R5108">
        <v>9549</v>
      </c>
      <c r="S5108" t="s">
        <v>192</v>
      </c>
      <c r="T5108">
        <v>0</v>
      </c>
      <c r="U5108">
        <v>11</v>
      </c>
      <c r="V5108">
        <v>0</v>
      </c>
      <c r="W5108">
        <v>0</v>
      </c>
      <c r="X5108">
        <v>0</v>
      </c>
    </row>
    <row r="5109" spans="1:40" x14ac:dyDescent="0.25">
      <c r="A5109" t="s">
        <v>15</v>
      </c>
      <c r="B5109" t="s">
        <v>24</v>
      </c>
      <c r="C5109">
        <v>20150316</v>
      </c>
      <c r="D5109">
        <v>0</v>
      </c>
      <c r="F5109">
        <v>62500</v>
      </c>
      <c r="G5109" t="s">
        <v>17</v>
      </c>
      <c r="I5109" t="s">
        <v>16</v>
      </c>
      <c r="J5109" t="s">
        <v>180</v>
      </c>
      <c r="K5109" t="s">
        <v>25</v>
      </c>
      <c r="L5109">
        <v>132757294</v>
      </c>
      <c r="R5109">
        <v>9550</v>
      </c>
      <c r="S5109" t="s">
        <v>232</v>
      </c>
      <c r="T5109">
        <v>0</v>
      </c>
      <c r="U5109">
        <v>5</v>
      </c>
      <c r="V5109">
        <v>0</v>
      </c>
      <c r="W5109">
        <v>0</v>
      </c>
      <c r="X5109">
        <v>0</v>
      </c>
    </row>
    <row r="5110" spans="1:40" x14ac:dyDescent="0.25">
      <c r="A5110" t="s">
        <v>15</v>
      </c>
      <c r="B5110" t="s">
        <v>24</v>
      </c>
      <c r="C5110">
        <v>20150316</v>
      </c>
      <c r="D5110">
        <v>0</v>
      </c>
      <c r="F5110">
        <v>62500</v>
      </c>
      <c r="G5110" t="s">
        <v>17</v>
      </c>
      <c r="I5110" t="s">
        <v>16</v>
      </c>
      <c r="J5110" t="s">
        <v>180</v>
      </c>
      <c r="K5110" t="s">
        <v>25</v>
      </c>
      <c r="L5110">
        <v>132757294</v>
      </c>
      <c r="R5110">
        <v>9550</v>
      </c>
      <c r="S5110" t="s">
        <v>232</v>
      </c>
      <c r="T5110">
        <v>0</v>
      </c>
      <c r="U5110">
        <v>-1</v>
      </c>
      <c r="V5110">
        <v>0</v>
      </c>
      <c r="W5110">
        <v>0</v>
      </c>
      <c r="X5110">
        <v>0</v>
      </c>
      <c r="Y5110">
        <v>9550</v>
      </c>
      <c r="Z5110" t="s">
        <v>253</v>
      </c>
      <c r="AA5110" t="s">
        <v>254</v>
      </c>
      <c r="AB5110" t="s">
        <v>234</v>
      </c>
      <c r="AC5110" t="s">
        <v>17</v>
      </c>
      <c r="AD5110" t="s">
        <v>235</v>
      </c>
      <c r="AE5110">
        <v>3</v>
      </c>
      <c r="AF5110">
        <v>3</v>
      </c>
      <c r="AG5110">
        <v>1.5251999999999999</v>
      </c>
      <c r="AH5110">
        <v>1.5251999999999999</v>
      </c>
      <c r="AI5110">
        <v>415886583</v>
      </c>
      <c r="AJ5110">
        <v>0</v>
      </c>
      <c r="AK5110">
        <v>7</v>
      </c>
      <c r="AN5110">
        <v>0</v>
      </c>
    </row>
    <row r="5111" spans="1:40" x14ac:dyDescent="0.25">
      <c r="A5111" t="s">
        <v>15</v>
      </c>
      <c r="B5111" t="s">
        <v>24</v>
      </c>
      <c r="C5111">
        <v>20150316</v>
      </c>
      <c r="D5111">
        <v>0</v>
      </c>
      <c r="F5111">
        <v>62500</v>
      </c>
      <c r="G5111" t="s">
        <v>17</v>
      </c>
      <c r="I5111" t="s">
        <v>16</v>
      </c>
      <c r="J5111" t="s">
        <v>180</v>
      </c>
      <c r="K5111" t="s">
        <v>25</v>
      </c>
      <c r="L5111">
        <v>132757294</v>
      </c>
      <c r="R5111">
        <v>9550</v>
      </c>
      <c r="S5111" t="s">
        <v>232</v>
      </c>
      <c r="T5111">
        <v>0</v>
      </c>
      <c r="U5111">
        <v>-1</v>
      </c>
      <c r="V5111">
        <v>0</v>
      </c>
      <c r="W5111">
        <v>0</v>
      </c>
      <c r="X5111">
        <v>0</v>
      </c>
    </row>
    <row r="5112" spans="1:40" x14ac:dyDescent="0.25">
      <c r="A5112" t="s">
        <v>15</v>
      </c>
      <c r="B5112" t="s">
        <v>24</v>
      </c>
      <c r="C5112">
        <v>20150316</v>
      </c>
      <c r="D5112">
        <v>0</v>
      </c>
      <c r="F5112">
        <v>62500</v>
      </c>
      <c r="G5112" t="s">
        <v>17</v>
      </c>
      <c r="I5112" t="s">
        <v>16</v>
      </c>
      <c r="J5112" t="s">
        <v>180</v>
      </c>
      <c r="K5112" t="s">
        <v>25</v>
      </c>
      <c r="L5112">
        <v>132757294</v>
      </c>
      <c r="R5112">
        <v>9550</v>
      </c>
      <c r="S5112" t="s">
        <v>236</v>
      </c>
      <c r="T5112">
        <v>3</v>
      </c>
      <c r="U5112">
        <v>2</v>
      </c>
      <c r="V5112">
        <v>1.5251999999999999</v>
      </c>
      <c r="W5112">
        <v>1.5251999999999999</v>
      </c>
      <c r="X5112">
        <v>0</v>
      </c>
    </row>
    <row r="5113" spans="1:40" x14ac:dyDescent="0.25">
      <c r="A5113" t="s">
        <v>15</v>
      </c>
      <c r="B5113" t="s">
        <v>24</v>
      </c>
      <c r="C5113">
        <v>20150316</v>
      </c>
      <c r="D5113">
        <v>0</v>
      </c>
      <c r="F5113">
        <v>62500</v>
      </c>
      <c r="G5113" t="s">
        <v>17</v>
      </c>
      <c r="I5113" t="s">
        <v>16</v>
      </c>
      <c r="J5113" t="s">
        <v>180</v>
      </c>
      <c r="K5113" t="s">
        <v>25</v>
      </c>
      <c r="L5113">
        <v>132757294</v>
      </c>
      <c r="R5113">
        <v>9550</v>
      </c>
      <c r="S5113" t="s">
        <v>236</v>
      </c>
      <c r="T5113">
        <v>3</v>
      </c>
      <c r="U5113">
        <v>2</v>
      </c>
      <c r="V5113">
        <v>1.5251999999999999</v>
      </c>
      <c r="W5113">
        <v>1.5251999999999999</v>
      </c>
      <c r="X5113">
        <v>0</v>
      </c>
    </row>
    <row r="5114" spans="1:40" x14ac:dyDescent="0.25">
      <c r="A5114" t="s">
        <v>15</v>
      </c>
      <c r="B5114" t="s">
        <v>24</v>
      </c>
      <c r="C5114">
        <v>20150316</v>
      </c>
      <c r="D5114">
        <v>0</v>
      </c>
      <c r="F5114">
        <v>62500</v>
      </c>
      <c r="G5114" t="s">
        <v>17</v>
      </c>
      <c r="I5114" t="s">
        <v>16</v>
      </c>
      <c r="J5114" t="s">
        <v>180</v>
      </c>
      <c r="K5114" t="s">
        <v>25</v>
      </c>
      <c r="L5114">
        <v>132757294</v>
      </c>
      <c r="R5114">
        <v>9550</v>
      </c>
      <c r="S5114" t="s">
        <v>233</v>
      </c>
      <c r="T5114">
        <v>3</v>
      </c>
      <c r="U5114">
        <v>2</v>
      </c>
      <c r="V5114">
        <v>1.5251999999999999</v>
      </c>
      <c r="W5114">
        <v>1.5251999999999999</v>
      </c>
      <c r="X5114">
        <v>0</v>
      </c>
    </row>
    <row r="5115" spans="1:40" x14ac:dyDescent="0.25">
      <c r="A5115" t="s">
        <v>15</v>
      </c>
      <c r="B5115" t="s">
        <v>24</v>
      </c>
      <c r="C5115">
        <v>20150316</v>
      </c>
      <c r="D5115">
        <v>0</v>
      </c>
      <c r="F5115">
        <v>62500</v>
      </c>
      <c r="G5115" t="s">
        <v>17</v>
      </c>
      <c r="I5115" t="s">
        <v>16</v>
      </c>
      <c r="J5115" t="s">
        <v>180</v>
      </c>
      <c r="K5115" t="s">
        <v>25</v>
      </c>
      <c r="L5115">
        <v>132757294</v>
      </c>
      <c r="R5115">
        <v>9550</v>
      </c>
      <c r="S5115" t="s">
        <v>233</v>
      </c>
      <c r="T5115">
        <v>3</v>
      </c>
      <c r="U5115">
        <v>2</v>
      </c>
      <c r="V5115">
        <v>1.5251999999999999</v>
      </c>
      <c r="W5115">
        <v>1.5251999999999999</v>
      </c>
      <c r="X5115">
        <v>0</v>
      </c>
    </row>
    <row r="5116" spans="1:40" x14ac:dyDescent="0.25">
      <c r="A5116" t="s">
        <v>15</v>
      </c>
      <c r="B5116" t="s">
        <v>24</v>
      </c>
      <c r="C5116">
        <v>20150316</v>
      </c>
      <c r="D5116">
        <v>0</v>
      </c>
      <c r="F5116">
        <v>62500</v>
      </c>
      <c r="G5116" t="s">
        <v>17</v>
      </c>
      <c r="I5116" t="s">
        <v>16</v>
      </c>
      <c r="J5116" t="s">
        <v>180</v>
      </c>
      <c r="K5116" t="s">
        <v>25</v>
      </c>
      <c r="L5116">
        <v>132757294</v>
      </c>
      <c r="R5116">
        <v>9550</v>
      </c>
      <c r="S5116" t="s">
        <v>233</v>
      </c>
      <c r="T5116">
        <v>3</v>
      </c>
      <c r="U5116">
        <v>2</v>
      </c>
      <c r="V5116">
        <v>1.5251999999999999</v>
      </c>
      <c r="W5116">
        <v>1.5251999999999999</v>
      </c>
      <c r="X5116">
        <v>0</v>
      </c>
    </row>
    <row r="5117" spans="1:40" x14ac:dyDescent="0.25">
      <c r="A5117" t="s">
        <v>15</v>
      </c>
      <c r="B5117" t="s">
        <v>24</v>
      </c>
      <c r="C5117">
        <v>20150316</v>
      </c>
      <c r="D5117">
        <v>0</v>
      </c>
      <c r="F5117">
        <v>62500</v>
      </c>
      <c r="G5117" t="s">
        <v>17</v>
      </c>
      <c r="I5117" t="s">
        <v>16</v>
      </c>
      <c r="J5117" t="s">
        <v>180</v>
      </c>
      <c r="K5117" t="s">
        <v>25</v>
      </c>
      <c r="L5117">
        <v>132757294</v>
      </c>
      <c r="R5117">
        <v>9550</v>
      </c>
      <c r="S5117" t="s">
        <v>233</v>
      </c>
      <c r="T5117">
        <v>3</v>
      </c>
      <c r="U5117">
        <v>-2</v>
      </c>
      <c r="V5117">
        <v>1.5251999999999999</v>
      </c>
      <c r="W5117">
        <v>1.5251999999999999</v>
      </c>
      <c r="X5117">
        <v>0</v>
      </c>
      <c r="Y5117">
        <v>9550</v>
      </c>
      <c r="Z5117" t="s">
        <v>255</v>
      </c>
      <c r="AA5117" t="s">
        <v>254</v>
      </c>
      <c r="AB5117" t="s">
        <v>234</v>
      </c>
      <c r="AC5117" t="s">
        <v>17</v>
      </c>
      <c r="AD5117" t="s">
        <v>235</v>
      </c>
      <c r="AE5117">
        <v>2</v>
      </c>
      <c r="AF5117">
        <v>5</v>
      </c>
      <c r="AG5117">
        <v>1.5253000000000001</v>
      </c>
      <c r="AH5117">
        <v>1.5252399999999999</v>
      </c>
      <c r="AI5117">
        <v>415886583</v>
      </c>
      <c r="AJ5117">
        <v>0</v>
      </c>
      <c r="AK5117">
        <v>7</v>
      </c>
      <c r="AN5117">
        <v>0</v>
      </c>
    </row>
    <row r="5118" spans="1:40" x14ac:dyDescent="0.25">
      <c r="A5118" t="s">
        <v>15</v>
      </c>
      <c r="B5118" t="s">
        <v>24</v>
      </c>
      <c r="C5118">
        <v>20150316</v>
      </c>
      <c r="D5118">
        <v>0</v>
      </c>
      <c r="F5118">
        <v>62500</v>
      </c>
      <c r="G5118" t="s">
        <v>17</v>
      </c>
      <c r="I5118" t="s">
        <v>16</v>
      </c>
      <c r="J5118" t="s">
        <v>180</v>
      </c>
      <c r="K5118" t="s">
        <v>25</v>
      </c>
      <c r="L5118">
        <v>132757294</v>
      </c>
      <c r="R5118">
        <v>9550</v>
      </c>
      <c r="S5118" t="s">
        <v>233</v>
      </c>
      <c r="T5118">
        <v>3</v>
      </c>
      <c r="U5118">
        <v>-2</v>
      </c>
      <c r="V5118">
        <v>1.5251999999999999</v>
      </c>
      <c r="W5118">
        <v>1.5251999999999999</v>
      </c>
      <c r="X5118">
        <v>0</v>
      </c>
    </row>
    <row r="5119" spans="1:40" x14ac:dyDescent="0.25">
      <c r="A5119" t="s">
        <v>15</v>
      </c>
      <c r="B5119" t="s">
        <v>24</v>
      </c>
      <c r="C5119">
        <v>20150316</v>
      </c>
      <c r="D5119">
        <v>0</v>
      </c>
      <c r="F5119">
        <v>62500</v>
      </c>
      <c r="G5119" t="s">
        <v>17</v>
      </c>
      <c r="I5119" t="s">
        <v>16</v>
      </c>
      <c r="J5119" t="s">
        <v>180</v>
      </c>
      <c r="K5119" t="s">
        <v>25</v>
      </c>
      <c r="L5119">
        <v>132757294</v>
      </c>
      <c r="R5119">
        <v>9550</v>
      </c>
      <c r="S5119" t="s">
        <v>37</v>
      </c>
      <c r="T5119">
        <v>5</v>
      </c>
      <c r="U5119">
        <v>0</v>
      </c>
      <c r="V5119">
        <v>1.5252399999999999</v>
      </c>
      <c r="W5119">
        <v>1.5253000000000001</v>
      </c>
      <c r="X5119">
        <v>0</v>
      </c>
    </row>
    <row r="5120" spans="1:40" x14ac:dyDescent="0.25">
      <c r="A5120" t="s">
        <v>15</v>
      </c>
      <c r="B5120" t="s">
        <v>24</v>
      </c>
      <c r="C5120">
        <v>20150316</v>
      </c>
      <c r="D5120">
        <v>0</v>
      </c>
      <c r="F5120">
        <v>62500</v>
      </c>
      <c r="G5120" t="s">
        <v>17</v>
      </c>
      <c r="I5120" t="s">
        <v>16</v>
      </c>
      <c r="J5120" t="s">
        <v>180</v>
      </c>
      <c r="K5120" t="s">
        <v>25</v>
      </c>
      <c r="L5120">
        <v>132757294</v>
      </c>
      <c r="R5120">
        <v>9550</v>
      </c>
      <c r="S5120" t="s">
        <v>37</v>
      </c>
      <c r="T5120">
        <v>5</v>
      </c>
      <c r="U5120">
        <v>0</v>
      </c>
      <c r="V5120">
        <v>1.5252399999999999</v>
      </c>
      <c r="W5120">
        <v>1.5253000000000001</v>
      </c>
      <c r="X5120">
        <v>0</v>
      </c>
    </row>
    <row r="5121" spans="1:40" x14ac:dyDescent="0.25">
      <c r="A5121" t="s">
        <v>15</v>
      </c>
      <c r="B5121" t="s">
        <v>24</v>
      </c>
      <c r="C5121">
        <v>20150316</v>
      </c>
      <c r="D5121">
        <v>0</v>
      </c>
      <c r="F5121">
        <v>62500</v>
      </c>
      <c r="G5121" t="s">
        <v>17</v>
      </c>
      <c r="I5121" t="s">
        <v>16</v>
      </c>
      <c r="J5121" t="s">
        <v>180</v>
      </c>
      <c r="K5121" t="s">
        <v>25</v>
      </c>
      <c r="L5121">
        <v>132757294</v>
      </c>
      <c r="R5121">
        <v>9550</v>
      </c>
      <c r="S5121" t="s">
        <v>37</v>
      </c>
      <c r="T5121">
        <v>5</v>
      </c>
      <c r="U5121">
        <v>0</v>
      </c>
      <c r="V5121">
        <v>1.5252399999999999</v>
      </c>
      <c r="W5121">
        <v>1.5253000000000001</v>
      </c>
      <c r="X5121">
        <v>0</v>
      </c>
    </row>
    <row r="5122" spans="1:40" x14ac:dyDescent="0.25">
      <c r="A5122" t="s">
        <v>15</v>
      </c>
      <c r="B5122" t="s">
        <v>24</v>
      </c>
      <c r="C5122">
        <v>20150316</v>
      </c>
      <c r="D5122">
        <v>0</v>
      </c>
      <c r="F5122">
        <v>62500</v>
      </c>
      <c r="G5122" t="s">
        <v>17</v>
      </c>
      <c r="I5122" t="s">
        <v>16</v>
      </c>
      <c r="J5122" t="s">
        <v>180</v>
      </c>
      <c r="K5122" t="s">
        <v>25</v>
      </c>
      <c r="L5122">
        <v>132757294</v>
      </c>
      <c r="R5122">
        <v>9550</v>
      </c>
      <c r="S5122" t="s">
        <v>37</v>
      </c>
      <c r="T5122">
        <v>5</v>
      </c>
      <c r="U5122">
        <v>0</v>
      </c>
      <c r="V5122">
        <v>1.5252399999999999</v>
      </c>
      <c r="W5122">
        <v>1.5253000000000001</v>
      </c>
      <c r="X5122">
        <v>0</v>
      </c>
    </row>
    <row r="5123" spans="1:40" x14ac:dyDescent="0.25">
      <c r="A5123" t="s">
        <v>15</v>
      </c>
      <c r="B5123" t="s">
        <v>24</v>
      </c>
      <c r="C5123">
        <v>20150316</v>
      </c>
      <c r="D5123">
        <v>0</v>
      </c>
      <c r="F5123">
        <v>62500</v>
      </c>
      <c r="G5123" t="s">
        <v>17</v>
      </c>
      <c r="I5123" t="s">
        <v>16</v>
      </c>
      <c r="J5123" t="s">
        <v>180</v>
      </c>
      <c r="K5123" t="s">
        <v>25</v>
      </c>
      <c r="L5123">
        <v>132757294</v>
      </c>
      <c r="R5123">
        <v>9550</v>
      </c>
      <c r="S5123" t="s">
        <v>37</v>
      </c>
      <c r="T5123">
        <v>5</v>
      </c>
      <c r="U5123">
        <v>0</v>
      </c>
      <c r="V5123">
        <v>1.5252399999999999</v>
      </c>
      <c r="W5123">
        <v>1.5253000000000001</v>
      </c>
      <c r="X5123">
        <v>0</v>
      </c>
    </row>
    <row r="5124" spans="1:40" x14ac:dyDescent="0.25">
      <c r="A5124" t="s">
        <v>15</v>
      </c>
      <c r="B5124" t="s">
        <v>24</v>
      </c>
      <c r="C5124">
        <v>20150316</v>
      </c>
      <c r="D5124">
        <v>0</v>
      </c>
      <c r="F5124">
        <v>62500</v>
      </c>
      <c r="G5124" t="s">
        <v>17</v>
      </c>
      <c r="I5124" t="s">
        <v>16</v>
      </c>
      <c r="J5124" t="s">
        <v>180</v>
      </c>
      <c r="K5124" t="s">
        <v>25</v>
      </c>
      <c r="L5124">
        <v>132757294</v>
      </c>
      <c r="R5124">
        <v>9551</v>
      </c>
      <c r="S5124" t="s">
        <v>232</v>
      </c>
      <c r="T5124">
        <v>0</v>
      </c>
      <c r="U5124">
        <v>5</v>
      </c>
      <c r="V5124">
        <v>0</v>
      </c>
      <c r="W5124">
        <v>0</v>
      </c>
      <c r="X5124">
        <v>0</v>
      </c>
    </row>
    <row r="5125" spans="1:40" x14ac:dyDescent="0.25">
      <c r="A5125" t="s">
        <v>15</v>
      </c>
      <c r="B5125" t="s">
        <v>24</v>
      </c>
      <c r="C5125">
        <v>20150316</v>
      </c>
      <c r="D5125">
        <v>0</v>
      </c>
      <c r="F5125">
        <v>62500</v>
      </c>
      <c r="G5125" t="s">
        <v>17</v>
      </c>
      <c r="I5125" t="s">
        <v>16</v>
      </c>
      <c r="J5125" t="s">
        <v>180</v>
      </c>
      <c r="K5125" t="s">
        <v>25</v>
      </c>
      <c r="L5125">
        <v>132757294</v>
      </c>
      <c r="R5125">
        <v>9551</v>
      </c>
      <c r="S5125" t="s">
        <v>232</v>
      </c>
      <c r="T5125">
        <v>0</v>
      </c>
      <c r="U5125">
        <v>5</v>
      </c>
      <c r="V5125">
        <v>0</v>
      </c>
      <c r="W5125">
        <v>0</v>
      </c>
      <c r="X5125">
        <v>0</v>
      </c>
    </row>
    <row r="5126" spans="1:40" x14ac:dyDescent="0.25">
      <c r="A5126" t="s">
        <v>15</v>
      </c>
      <c r="B5126" t="s">
        <v>24</v>
      </c>
      <c r="C5126">
        <v>20150316</v>
      </c>
      <c r="D5126">
        <v>0</v>
      </c>
      <c r="F5126">
        <v>62500</v>
      </c>
      <c r="G5126" t="s">
        <v>17</v>
      </c>
      <c r="I5126" t="s">
        <v>16</v>
      </c>
      <c r="J5126" t="s">
        <v>180</v>
      </c>
      <c r="K5126" t="s">
        <v>25</v>
      </c>
      <c r="L5126">
        <v>132757294</v>
      </c>
      <c r="R5126">
        <v>9551</v>
      </c>
      <c r="S5126" t="s">
        <v>233</v>
      </c>
      <c r="T5126">
        <v>0</v>
      </c>
      <c r="U5126">
        <v>5</v>
      </c>
      <c r="V5126">
        <v>0</v>
      </c>
      <c r="W5126">
        <v>0</v>
      </c>
      <c r="X5126">
        <v>0</v>
      </c>
    </row>
    <row r="5127" spans="1:40" x14ac:dyDescent="0.25">
      <c r="A5127" t="s">
        <v>15</v>
      </c>
      <c r="B5127" t="s">
        <v>24</v>
      </c>
      <c r="C5127">
        <v>20150316</v>
      </c>
      <c r="D5127">
        <v>0</v>
      </c>
      <c r="F5127">
        <v>62500</v>
      </c>
      <c r="G5127" t="s">
        <v>17</v>
      </c>
      <c r="I5127" t="s">
        <v>16</v>
      </c>
      <c r="J5127" t="s">
        <v>180</v>
      </c>
      <c r="K5127" t="s">
        <v>25</v>
      </c>
      <c r="L5127">
        <v>132757294</v>
      </c>
      <c r="R5127">
        <v>9551</v>
      </c>
      <c r="S5127" t="s">
        <v>233</v>
      </c>
      <c r="T5127">
        <v>0</v>
      </c>
      <c r="U5127">
        <v>1</v>
      </c>
      <c r="V5127">
        <v>0</v>
      </c>
      <c r="W5127">
        <v>0</v>
      </c>
      <c r="X5127">
        <v>0</v>
      </c>
      <c r="Y5127">
        <v>9551</v>
      </c>
      <c r="Z5127" t="s">
        <v>256</v>
      </c>
      <c r="AA5127" t="s">
        <v>257</v>
      </c>
      <c r="AB5127" t="s">
        <v>234</v>
      </c>
      <c r="AC5127" t="s">
        <v>17</v>
      </c>
      <c r="AD5127" t="s">
        <v>235</v>
      </c>
      <c r="AE5127">
        <v>2</v>
      </c>
      <c r="AF5127">
        <v>2</v>
      </c>
      <c r="AG5127">
        <v>1.5250999999999999</v>
      </c>
      <c r="AH5127">
        <v>1.5250999999999999</v>
      </c>
      <c r="AI5127">
        <v>415886584</v>
      </c>
      <c r="AJ5127">
        <v>0</v>
      </c>
      <c r="AK5127">
        <v>7</v>
      </c>
      <c r="AN5127">
        <v>0</v>
      </c>
    </row>
    <row r="5128" spans="1:40" x14ac:dyDescent="0.25">
      <c r="A5128" t="s">
        <v>15</v>
      </c>
      <c r="B5128" t="s">
        <v>24</v>
      </c>
      <c r="C5128">
        <v>20150316</v>
      </c>
      <c r="D5128">
        <v>0</v>
      </c>
      <c r="F5128">
        <v>62500</v>
      </c>
      <c r="G5128" t="s">
        <v>17</v>
      </c>
      <c r="I5128" t="s">
        <v>16</v>
      </c>
      <c r="J5128" t="s">
        <v>180</v>
      </c>
      <c r="K5128" t="s">
        <v>25</v>
      </c>
      <c r="L5128">
        <v>132757294</v>
      </c>
      <c r="R5128">
        <v>9551</v>
      </c>
      <c r="S5128" t="s">
        <v>233</v>
      </c>
      <c r="T5128">
        <v>0</v>
      </c>
      <c r="U5128">
        <v>1</v>
      </c>
      <c r="V5128">
        <v>0</v>
      </c>
      <c r="W5128">
        <v>0</v>
      </c>
      <c r="X5128">
        <v>0</v>
      </c>
    </row>
    <row r="5129" spans="1:40" x14ac:dyDescent="0.25">
      <c r="A5129" t="s">
        <v>15</v>
      </c>
      <c r="B5129" t="s">
        <v>24</v>
      </c>
      <c r="C5129">
        <v>20150316</v>
      </c>
      <c r="D5129">
        <v>0</v>
      </c>
      <c r="F5129">
        <v>62500</v>
      </c>
      <c r="G5129" t="s">
        <v>17</v>
      </c>
      <c r="I5129" t="s">
        <v>16</v>
      </c>
      <c r="J5129" t="s">
        <v>180</v>
      </c>
      <c r="K5129" t="s">
        <v>25</v>
      </c>
      <c r="L5129">
        <v>132757294</v>
      </c>
      <c r="R5129">
        <v>9551</v>
      </c>
      <c r="S5129" t="s">
        <v>233</v>
      </c>
      <c r="T5129">
        <v>2</v>
      </c>
      <c r="U5129">
        <v>3</v>
      </c>
      <c r="V5129">
        <v>1.5250999999999999</v>
      </c>
      <c r="W5129">
        <v>1.5250999999999999</v>
      </c>
      <c r="X5129">
        <v>0</v>
      </c>
    </row>
    <row r="5130" spans="1:40" x14ac:dyDescent="0.25">
      <c r="A5130" t="s">
        <v>15</v>
      </c>
      <c r="B5130" t="s">
        <v>24</v>
      </c>
      <c r="C5130">
        <v>20150316</v>
      </c>
      <c r="D5130">
        <v>0</v>
      </c>
      <c r="F5130">
        <v>62500</v>
      </c>
      <c r="G5130" t="s">
        <v>17</v>
      </c>
      <c r="I5130" t="s">
        <v>16</v>
      </c>
      <c r="J5130" t="s">
        <v>180</v>
      </c>
      <c r="K5130" t="s">
        <v>25</v>
      </c>
      <c r="L5130">
        <v>132757294</v>
      </c>
      <c r="R5130">
        <v>9551</v>
      </c>
      <c r="S5130" t="s">
        <v>233</v>
      </c>
      <c r="T5130">
        <v>2</v>
      </c>
      <c r="U5130">
        <v>3</v>
      </c>
      <c r="V5130">
        <v>1.5250999999999999</v>
      </c>
      <c r="W5130">
        <v>1.5250999999999999</v>
      </c>
      <c r="X5130">
        <v>0</v>
      </c>
    </row>
    <row r="5131" spans="1:40" x14ac:dyDescent="0.25">
      <c r="A5131" t="s">
        <v>15</v>
      </c>
      <c r="B5131" t="s">
        <v>24</v>
      </c>
      <c r="C5131">
        <v>20150316</v>
      </c>
      <c r="D5131">
        <v>0</v>
      </c>
      <c r="F5131">
        <v>62500</v>
      </c>
      <c r="G5131" t="s">
        <v>17</v>
      </c>
      <c r="I5131" t="s">
        <v>16</v>
      </c>
      <c r="J5131" t="s">
        <v>180</v>
      </c>
      <c r="K5131" t="s">
        <v>25</v>
      </c>
      <c r="L5131">
        <v>132757294</v>
      </c>
      <c r="R5131">
        <v>9551</v>
      </c>
      <c r="S5131" t="s">
        <v>233</v>
      </c>
      <c r="T5131">
        <v>2</v>
      </c>
      <c r="U5131">
        <v>3</v>
      </c>
      <c r="V5131">
        <v>1.5250999999999999</v>
      </c>
      <c r="W5131">
        <v>1.5250999999999999</v>
      </c>
      <c r="X5131">
        <v>0</v>
      </c>
    </row>
    <row r="5132" spans="1:40" x14ac:dyDescent="0.25">
      <c r="A5132" t="s">
        <v>15</v>
      </c>
      <c r="B5132" t="s">
        <v>24</v>
      </c>
      <c r="C5132">
        <v>20150316</v>
      </c>
      <c r="D5132">
        <v>0</v>
      </c>
      <c r="F5132">
        <v>62500</v>
      </c>
      <c r="G5132" t="s">
        <v>17</v>
      </c>
      <c r="I5132" t="s">
        <v>16</v>
      </c>
      <c r="J5132" t="s">
        <v>180</v>
      </c>
      <c r="K5132" t="s">
        <v>25</v>
      </c>
      <c r="L5132">
        <v>132757294</v>
      </c>
      <c r="R5132">
        <v>9551</v>
      </c>
      <c r="S5132" t="s">
        <v>233</v>
      </c>
      <c r="T5132">
        <v>2</v>
      </c>
      <c r="U5132">
        <v>-1</v>
      </c>
      <c r="V5132">
        <v>1.5250999999999999</v>
      </c>
      <c r="W5132">
        <v>1.5250999999999999</v>
      </c>
      <c r="X5132">
        <v>0</v>
      </c>
      <c r="Y5132">
        <v>9551</v>
      </c>
      <c r="Z5132" t="s">
        <v>258</v>
      </c>
      <c r="AA5132" t="s">
        <v>259</v>
      </c>
      <c r="AB5132" t="s">
        <v>234</v>
      </c>
      <c r="AC5132" t="s">
        <v>17</v>
      </c>
      <c r="AD5132" t="s">
        <v>235</v>
      </c>
      <c r="AE5132">
        <v>2</v>
      </c>
      <c r="AF5132">
        <v>4</v>
      </c>
      <c r="AG5132">
        <v>1.5250999999999999</v>
      </c>
      <c r="AH5132">
        <v>1.5250999999999999</v>
      </c>
      <c r="AI5132">
        <v>415886584</v>
      </c>
      <c r="AJ5132">
        <v>0</v>
      </c>
      <c r="AK5132">
        <v>7</v>
      </c>
      <c r="AN5132">
        <v>0</v>
      </c>
    </row>
    <row r="5133" spans="1:40" x14ac:dyDescent="0.25">
      <c r="A5133" t="s">
        <v>15</v>
      </c>
      <c r="B5133" t="s">
        <v>24</v>
      </c>
      <c r="C5133">
        <v>20150316</v>
      </c>
      <c r="D5133">
        <v>0</v>
      </c>
      <c r="F5133">
        <v>62500</v>
      </c>
      <c r="G5133" t="s">
        <v>17</v>
      </c>
      <c r="I5133" t="s">
        <v>16</v>
      </c>
      <c r="J5133" t="s">
        <v>180</v>
      </c>
      <c r="K5133" t="s">
        <v>25</v>
      </c>
      <c r="L5133">
        <v>132757294</v>
      </c>
      <c r="R5133">
        <v>9551</v>
      </c>
      <c r="S5133" t="s">
        <v>233</v>
      </c>
      <c r="T5133">
        <v>2</v>
      </c>
      <c r="U5133">
        <v>-1</v>
      </c>
      <c r="V5133">
        <v>1.5250999999999999</v>
      </c>
      <c r="W5133">
        <v>1.5250999999999999</v>
      </c>
      <c r="X5133">
        <v>0</v>
      </c>
    </row>
    <row r="5134" spans="1:40" x14ac:dyDescent="0.25">
      <c r="A5134" t="s">
        <v>15</v>
      </c>
      <c r="B5134" t="s">
        <v>24</v>
      </c>
      <c r="C5134">
        <v>20150316</v>
      </c>
      <c r="D5134">
        <v>0</v>
      </c>
      <c r="F5134">
        <v>62500</v>
      </c>
      <c r="G5134" t="s">
        <v>17</v>
      </c>
      <c r="I5134" t="s">
        <v>16</v>
      </c>
      <c r="J5134" t="s">
        <v>180</v>
      </c>
      <c r="K5134" t="s">
        <v>25</v>
      </c>
      <c r="L5134">
        <v>132757294</v>
      </c>
      <c r="R5134">
        <v>9551</v>
      </c>
      <c r="S5134" t="s">
        <v>233</v>
      </c>
      <c r="T5134">
        <v>4</v>
      </c>
      <c r="U5134">
        <v>1</v>
      </c>
      <c r="V5134">
        <v>1.5250999999999999</v>
      </c>
      <c r="W5134">
        <v>1.5250999999999999</v>
      </c>
      <c r="X5134">
        <v>0</v>
      </c>
    </row>
    <row r="5135" spans="1:40" x14ac:dyDescent="0.25">
      <c r="A5135" t="s">
        <v>15</v>
      </c>
      <c r="B5135" t="s">
        <v>24</v>
      </c>
      <c r="C5135">
        <v>20150316</v>
      </c>
      <c r="D5135">
        <v>0</v>
      </c>
      <c r="F5135">
        <v>62500</v>
      </c>
      <c r="G5135" t="s">
        <v>17</v>
      </c>
      <c r="I5135" t="s">
        <v>16</v>
      </c>
      <c r="J5135" t="s">
        <v>180</v>
      </c>
      <c r="K5135" t="s">
        <v>25</v>
      </c>
      <c r="L5135">
        <v>132757294</v>
      </c>
      <c r="R5135">
        <v>9551</v>
      </c>
      <c r="S5135" t="s">
        <v>233</v>
      </c>
      <c r="T5135">
        <v>4</v>
      </c>
      <c r="U5135">
        <v>1</v>
      </c>
      <c r="V5135">
        <v>1.5250999999999999</v>
      </c>
      <c r="W5135">
        <v>1.5250999999999999</v>
      </c>
      <c r="X5135">
        <v>0</v>
      </c>
    </row>
    <row r="5136" spans="1:40" x14ac:dyDescent="0.25">
      <c r="A5136" t="s">
        <v>15</v>
      </c>
      <c r="B5136" t="s">
        <v>24</v>
      </c>
      <c r="C5136">
        <v>20150316</v>
      </c>
      <c r="D5136">
        <v>0</v>
      </c>
      <c r="F5136">
        <v>62500</v>
      </c>
      <c r="G5136" t="s">
        <v>17</v>
      </c>
      <c r="I5136" t="s">
        <v>16</v>
      </c>
      <c r="J5136" t="s">
        <v>180</v>
      </c>
      <c r="K5136" t="s">
        <v>25</v>
      </c>
      <c r="L5136">
        <v>132757294</v>
      </c>
      <c r="R5136">
        <v>9551</v>
      </c>
      <c r="S5136" t="s">
        <v>233</v>
      </c>
      <c r="T5136">
        <v>4</v>
      </c>
      <c r="U5136">
        <v>1</v>
      </c>
      <c r="V5136">
        <v>1.5250999999999999</v>
      </c>
      <c r="W5136">
        <v>1.5250999999999999</v>
      </c>
      <c r="X5136">
        <v>0</v>
      </c>
    </row>
    <row r="5137" spans="1:40" x14ac:dyDescent="0.25">
      <c r="A5137" t="s">
        <v>15</v>
      </c>
      <c r="B5137" t="s">
        <v>24</v>
      </c>
      <c r="C5137">
        <v>20150316</v>
      </c>
      <c r="D5137">
        <v>0</v>
      </c>
      <c r="F5137">
        <v>62500</v>
      </c>
      <c r="G5137" t="s">
        <v>17</v>
      </c>
      <c r="I5137" t="s">
        <v>16</v>
      </c>
      <c r="J5137" t="s">
        <v>180</v>
      </c>
      <c r="K5137" t="s">
        <v>25</v>
      </c>
      <c r="L5137">
        <v>132757294</v>
      </c>
      <c r="R5137">
        <v>9551</v>
      </c>
      <c r="S5137" t="s">
        <v>233</v>
      </c>
      <c r="T5137">
        <v>4</v>
      </c>
      <c r="U5137">
        <v>-1</v>
      </c>
      <c r="V5137">
        <v>1.5250999999999999</v>
      </c>
      <c r="W5137">
        <v>1.5250999999999999</v>
      </c>
      <c r="X5137">
        <v>0</v>
      </c>
      <c r="Y5137">
        <v>9551</v>
      </c>
      <c r="Z5137" t="s">
        <v>260</v>
      </c>
      <c r="AA5137" t="s">
        <v>261</v>
      </c>
      <c r="AB5137" t="s">
        <v>234</v>
      </c>
      <c r="AC5137" t="s">
        <v>17</v>
      </c>
      <c r="AD5137" t="s">
        <v>235</v>
      </c>
      <c r="AE5137">
        <v>1</v>
      </c>
      <c r="AF5137">
        <v>5</v>
      </c>
      <c r="AG5137">
        <v>1.5250999999999999</v>
      </c>
      <c r="AH5137">
        <v>1.5250999999999999</v>
      </c>
      <c r="AI5137">
        <v>415886584</v>
      </c>
      <c r="AJ5137">
        <v>0</v>
      </c>
      <c r="AK5137">
        <v>7</v>
      </c>
      <c r="AN5137">
        <v>0</v>
      </c>
    </row>
    <row r="5138" spans="1:40" x14ac:dyDescent="0.25">
      <c r="A5138" t="s">
        <v>15</v>
      </c>
      <c r="B5138" t="s">
        <v>24</v>
      </c>
      <c r="C5138">
        <v>20150316</v>
      </c>
      <c r="D5138">
        <v>0</v>
      </c>
      <c r="F5138">
        <v>62500</v>
      </c>
      <c r="G5138" t="s">
        <v>17</v>
      </c>
      <c r="I5138" t="s">
        <v>16</v>
      </c>
      <c r="J5138" t="s">
        <v>180</v>
      </c>
      <c r="K5138" t="s">
        <v>25</v>
      </c>
      <c r="L5138">
        <v>132757294</v>
      </c>
      <c r="R5138">
        <v>9551</v>
      </c>
      <c r="S5138" t="s">
        <v>233</v>
      </c>
      <c r="T5138">
        <v>4</v>
      </c>
      <c r="U5138">
        <v>-1</v>
      </c>
      <c r="V5138">
        <v>1.5250999999999999</v>
      </c>
      <c r="W5138">
        <v>1.5250999999999999</v>
      </c>
      <c r="X5138">
        <v>0</v>
      </c>
    </row>
    <row r="5139" spans="1:40" x14ac:dyDescent="0.25">
      <c r="A5139" t="s">
        <v>15</v>
      </c>
      <c r="B5139" t="s">
        <v>24</v>
      </c>
      <c r="C5139">
        <v>20150316</v>
      </c>
      <c r="D5139">
        <v>0</v>
      </c>
      <c r="F5139">
        <v>62500</v>
      </c>
      <c r="G5139" t="s">
        <v>17</v>
      </c>
      <c r="I5139" t="s">
        <v>16</v>
      </c>
      <c r="J5139" t="s">
        <v>180</v>
      </c>
      <c r="K5139" t="s">
        <v>25</v>
      </c>
      <c r="L5139">
        <v>132757294</v>
      </c>
      <c r="R5139">
        <v>9551</v>
      </c>
      <c r="S5139" t="s">
        <v>37</v>
      </c>
      <c r="T5139">
        <v>5</v>
      </c>
      <c r="U5139">
        <v>0</v>
      </c>
      <c r="V5139">
        <v>1.5250999999999999</v>
      </c>
      <c r="W5139">
        <v>1.5250999999999999</v>
      </c>
      <c r="X5139">
        <v>0</v>
      </c>
    </row>
    <row r="5140" spans="1:40" x14ac:dyDescent="0.25">
      <c r="A5140" t="s">
        <v>15</v>
      </c>
      <c r="B5140" t="s">
        <v>24</v>
      </c>
      <c r="C5140">
        <v>20150316</v>
      </c>
      <c r="D5140">
        <v>0</v>
      </c>
      <c r="F5140">
        <v>62500</v>
      </c>
      <c r="G5140" t="s">
        <v>17</v>
      </c>
      <c r="I5140" t="s">
        <v>16</v>
      </c>
      <c r="J5140" t="s">
        <v>180</v>
      </c>
      <c r="K5140" t="s">
        <v>25</v>
      </c>
      <c r="L5140">
        <v>132757294</v>
      </c>
      <c r="R5140">
        <v>9551</v>
      </c>
      <c r="S5140" t="s">
        <v>37</v>
      </c>
      <c r="T5140">
        <v>5</v>
      </c>
      <c r="U5140">
        <v>0</v>
      </c>
      <c r="V5140">
        <v>1.5250999999999999</v>
      </c>
      <c r="W5140">
        <v>1.5250999999999999</v>
      </c>
      <c r="X5140">
        <v>0</v>
      </c>
    </row>
    <row r="5141" spans="1:40" x14ac:dyDescent="0.25">
      <c r="A5141" t="s">
        <v>15</v>
      </c>
      <c r="B5141" t="s">
        <v>24</v>
      </c>
      <c r="C5141">
        <v>20150316</v>
      </c>
      <c r="D5141">
        <v>0</v>
      </c>
      <c r="F5141">
        <v>62500</v>
      </c>
      <c r="G5141" t="s">
        <v>17</v>
      </c>
      <c r="I5141" t="s">
        <v>16</v>
      </c>
      <c r="J5141" t="s">
        <v>180</v>
      </c>
      <c r="K5141" t="s">
        <v>25</v>
      </c>
      <c r="L5141">
        <v>132757294</v>
      </c>
      <c r="R5141">
        <v>9551</v>
      </c>
      <c r="S5141" t="s">
        <v>37</v>
      </c>
      <c r="T5141">
        <v>5</v>
      </c>
      <c r="U5141">
        <v>0</v>
      </c>
      <c r="V5141">
        <v>1.5250999999999999</v>
      </c>
      <c r="W5141">
        <v>1.5250999999999999</v>
      </c>
      <c r="X5141">
        <v>0</v>
      </c>
    </row>
    <row r="5142" spans="1:40" x14ac:dyDescent="0.25">
      <c r="A5142" t="s">
        <v>15</v>
      </c>
      <c r="B5142" t="s">
        <v>24</v>
      </c>
      <c r="C5142">
        <v>20150316</v>
      </c>
      <c r="D5142">
        <v>0</v>
      </c>
      <c r="F5142">
        <v>62500</v>
      </c>
      <c r="G5142" t="s">
        <v>17</v>
      </c>
      <c r="I5142" t="s">
        <v>16</v>
      </c>
      <c r="J5142" t="s">
        <v>180</v>
      </c>
      <c r="K5142" t="s">
        <v>25</v>
      </c>
      <c r="L5142">
        <v>132757294</v>
      </c>
      <c r="R5142">
        <v>9551</v>
      </c>
      <c r="S5142" t="s">
        <v>37</v>
      </c>
      <c r="T5142">
        <v>5</v>
      </c>
      <c r="U5142">
        <v>0</v>
      </c>
      <c r="V5142">
        <v>1.5250999999999999</v>
      </c>
      <c r="W5142">
        <v>1.5250999999999999</v>
      </c>
      <c r="X5142">
        <v>0</v>
      </c>
    </row>
    <row r="5143" spans="1:40" x14ac:dyDescent="0.25">
      <c r="A5143" t="s">
        <v>15</v>
      </c>
      <c r="B5143" t="s">
        <v>24</v>
      </c>
      <c r="C5143">
        <v>20150316</v>
      </c>
      <c r="D5143">
        <v>0</v>
      </c>
      <c r="F5143">
        <v>62500</v>
      </c>
      <c r="G5143" t="s">
        <v>17</v>
      </c>
      <c r="I5143" t="s">
        <v>16</v>
      </c>
      <c r="J5143" t="s">
        <v>180</v>
      </c>
      <c r="K5143" t="s">
        <v>25</v>
      </c>
      <c r="L5143">
        <v>132757294</v>
      </c>
      <c r="R5143">
        <v>9551</v>
      </c>
      <c r="S5143" t="s">
        <v>37</v>
      </c>
      <c r="T5143">
        <v>5</v>
      </c>
      <c r="U5143">
        <v>0</v>
      </c>
      <c r="V5143">
        <v>1.5250999999999999</v>
      </c>
      <c r="W5143">
        <v>1.5250999999999999</v>
      </c>
      <c r="X5143">
        <v>0</v>
      </c>
    </row>
    <row r="5144" spans="1:40" x14ac:dyDescent="0.25">
      <c r="A5144" t="s">
        <v>15</v>
      </c>
      <c r="B5144" t="s">
        <v>24</v>
      </c>
      <c r="C5144">
        <v>20150316</v>
      </c>
      <c r="D5144">
        <v>0</v>
      </c>
      <c r="F5144">
        <v>62500</v>
      </c>
      <c r="G5144" t="s">
        <v>17</v>
      </c>
      <c r="I5144" t="s">
        <v>16</v>
      </c>
      <c r="J5144" t="s">
        <v>180</v>
      </c>
      <c r="K5144" t="s">
        <v>25</v>
      </c>
      <c r="L5144">
        <v>132757294</v>
      </c>
      <c r="R5144">
        <v>9552</v>
      </c>
      <c r="S5144" t="s">
        <v>232</v>
      </c>
      <c r="T5144">
        <v>0</v>
      </c>
      <c r="U5144">
        <v>5</v>
      </c>
      <c r="V5144">
        <v>0</v>
      </c>
      <c r="W5144">
        <v>0</v>
      </c>
      <c r="X5144">
        <v>0</v>
      </c>
    </row>
    <row r="5145" spans="1:40" x14ac:dyDescent="0.25">
      <c r="A5145" t="s">
        <v>15</v>
      </c>
      <c r="B5145" t="s">
        <v>24</v>
      </c>
      <c r="C5145">
        <v>20150316</v>
      </c>
      <c r="D5145">
        <v>0</v>
      </c>
      <c r="F5145">
        <v>62500</v>
      </c>
      <c r="G5145" t="s">
        <v>17</v>
      </c>
      <c r="I5145" t="s">
        <v>16</v>
      </c>
      <c r="J5145" t="s">
        <v>180</v>
      </c>
      <c r="K5145" t="s">
        <v>25</v>
      </c>
      <c r="L5145">
        <v>132757294</v>
      </c>
      <c r="R5145">
        <v>9552</v>
      </c>
      <c r="S5145" t="s">
        <v>232</v>
      </c>
      <c r="T5145">
        <v>0</v>
      </c>
      <c r="U5145">
        <v>5</v>
      </c>
      <c r="V5145">
        <v>0</v>
      </c>
      <c r="W5145">
        <v>0</v>
      </c>
      <c r="X5145">
        <v>0</v>
      </c>
    </row>
    <row r="5146" spans="1:40" x14ac:dyDescent="0.25">
      <c r="A5146" t="s">
        <v>15</v>
      </c>
      <c r="B5146" t="s">
        <v>24</v>
      </c>
      <c r="C5146">
        <v>20150316</v>
      </c>
      <c r="D5146">
        <v>0</v>
      </c>
      <c r="F5146">
        <v>62500</v>
      </c>
      <c r="G5146" t="s">
        <v>17</v>
      </c>
      <c r="I5146" t="s">
        <v>16</v>
      </c>
      <c r="J5146" t="s">
        <v>180</v>
      </c>
      <c r="K5146" t="s">
        <v>25</v>
      </c>
      <c r="L5146">
        <v>132757294</v>
      </c>
      <c r="R5146">
        <v>9552</v>
      </c>
      <c r="S5146" t="s">
        <v>233</v>
      </c>
      <c r="T5146">
        <v>0</v>
      </c>
      <c r="U5146">
        <v>5</v>
      </c>
      <c r="V5146">
        <v>0</v>
      </c>
      <c r="W5146">
        <v>0</v>
      </c>
      <c r="X5146">
        <v>0</v>
      </c>
    </row>
    <row r="5147" spans="1:40" x14ac:dyDescent="0.25">
      <c r="A5147" t="s">
        <v>15</v>
      </c>
      <c r="B5147" t="s">
        <v>24</v>
      </c>
      <c r="C5147">
        <v>20150316</v>
      </c>
      <c r="D5147">
        <v>0</v>
      </c>
      <c r="F5147">
        <v>62500</v>
      </c>
      <c r="G5147" t="s">
        <v>17</v>
      </c>
      <c r="I5147" t="s">
        <v>16</v>
      </c>
      <c r="J5147" t="s">
        <v>180</v>
      </c>
      <c r="K5147" t="s">
        <v>25</v>
      </c>
      <c r="L5147">
        <v>132757294</v>
      </c>
      <c r="R5147">
        <v>9552</v>
      </c>
      <c r="S5147" t="s">
        <v>233</v>
      </c>
      <c r="T5147">
        <v>0</v>
      </c>
      <c r="U5147">
        <v>1</v>
      </c>
      <c r="V5147">
        <v>0</v>
      </c>
      <c r="W5147">
        <v>0</v>
      </c>
      <c r="X5147">
        <v>0</v>
      </c>
      <c r="Y5147">
        <v>9552</v>
      </c>
      <c r="Z5147" t="s">
        <v>262</v>
      </c>
      <c r="AA5147" t="s">
        <v>263</v>
      </c>
      <c r="AB5147" t="s">
        <v>234</v>
      </c>
      <c r="AC5147" t="s">
        <v>17</v>
      </c>
      <c r="AD5147" t="s">
        <v>235</v>
      </c>
      <c r="AE5147">
        <v>2</v>
      </c>
      <c r="AF5147">
        <v>2</v>
      </c>
      <c r="AG5147">
        <v>1.5249999999999999</v>
      </c>
      <c r="AH5147">
        <v>1.5249999999999999</v>
      </c>
      <c r="AI5147">
        <v>415886585</v>
      </c>
      <c r="AJ5147">
        <v>0</v>
      </c>
      <c r="AK5147">
        <v>7</v>
      </c>
      <c r="AN5147">
        <v>0</v>
      </c>
    </row>
    <row r="5148" spans="1:40" x14ac:dyDescent="0.25">
      <c r="A5148" t="s">
        <v>15</v>
      </c>
      <c r="B5148" t="s">
        <v>24</v>
      </c>
      <c r="C5148">
        <v>20150316</v>
      </c>
      <c r="D5148">
        <v>0</v>
      </c>
      <c r="F5148">
        <v>62500</v>
      </c>
      <c r="G5148" t="s">
        <v>17</v>
      </c>
      <c r="I5148" t="s">
        <v>16</v>
      </c>
      <c r="J5148" t="s">
        <v>180</v>
      </c>
      <c r="K5148" t="s">
        <v>25</v>
      </c>
      <c r="L5148">
        <v>132757294</v>
      </c>
      <c r="R5148">
        <v>9552</v>
      </c>
      <c r="S5148" t="s">
        <v>233</v>
      </c>
      <c r="T5148">
        <v>0</v>
      </c>
      <c r="U5148">
        <v>1</v>
      </c>
      <c r="V5148">
        <v>0</v>
      </c>
      <c r="W5148">
        <v>0</v>
      </c>
      <c r="X5148">
        <v>0</v>
      </c>
    </row>
    <row r="5149" spans="1:40" x14ac:dyDescent="0.25">
      <c r="A5149" t="s">
        <v>15</v>
      </c>
      <c r="B5149" t="s">
        <v>24</v>
      </c>
      <c r="C5149">
        <v>20150316</v>
      </c>
      <c r="D5149">
        <v>0</v>
      </c>
      <c r="F5149">
        <v>62500</v>
      </c>
      <c r="G5149" t="s">
        <v>17</v>
      </c>
      <c r="I5149" t="s">
        <v>16</v>
      </c>
      <c r="J5149" t="s">
        <v>180</v>
      </c>
      <c r="K5149" t="s">
        <v>25</v>
      </c>
      <c r="L5149">
        <v>132757294</v>
      </c>
      <c r="R5149">
        <v>9552</v>
      </c>
      <c r="S5149" t="s">
        <v>233</v>
      </c>
      <c r="T5149">
        <v>2</v>
      </c>
      <c r="U5149">
        <v>3</v>
      </c>
      <c r="V5149">
        <v>1.5249999999999999</v>
      </c>
      <c r="W5149">
        <v>1.5249999999999999</v>
      </c>
      <c r="X5149">
        <v>0</v>
      </c>
    </row>
    <row r="5150" spans="1:40" x14ac:dyDescent="0.25">
      <c r="A5150" t="s">
        <v>15</v>
      </c>
      <c r="B5150" t="s">
        <v>24</v>
      </c>
      <c r="C5150">
        <v>20150316</v>
      </c>
      <c r="D5150">
        <v>0</v>
      </c>
      <c r="F5150">
        <v>62500</v>
      </c>
      <c r="G5150" t="s">
        <v>17</v>
      </c>
      <c r="I5150" t="s">
        <v>16</v>
      </c>
      <c r="J5150" t="s">
        <v>180</v>
      </c>
      <c r="K5150" t="s">
        <v>25</v>
      </c>
      <c r="L5150">
        <v>132757294</v>
      </c>
      <c r="R5150">
        <v>9553</v>
      </c>
      <c r="S5150" t="s">
        <v>232</v>
      </c>
      <c r="T5150">
        <v>0</v>
      </c>
      <c r="U5150">
        <v>16</v>
      </c>
      <c r="V5150">
        <v>0</v>
      </c>
      <c r="W5150">
        <v>0</v>
      </c>
      <c r="X5150">
        <v>0</v>
      </c>
    </row>
    <row r="5151" spans="1:40" x14ac:dyDescent="0.25">
      <c r="A5151" t="s">
        <v>15</v>
      </c>
      <c r="B5151" t="s">
        <v>24</v>
      </c>
      <c r="C5151">
        <v>20150316</v>
      </c>
      <c r="D5151">
        <v>0</v>
      </c>
      <c r="F5151">
        <v>62500</v>
      </c>
      <c r="G5151" t="s">
        <v>17</v>
      </c>
      <c r="I5151" t="s">
        <v>16</v>
      </c>
      <c r="J5151" t="s">
        <v>180</v>
      </c>
      <c r="K5151" t="s">
        <v>25</v>
      </c>
      <c r="L5151">
        <v>132757294</v>
      </c>
      <c r="R5151">
        <v>9552</v>
      </c>
      <c r="S5151" t="s">
        <v>233</v>
      </c>
      <c r="T5151">
        <v>2</v>
      </c>
      <c r="U5151">
        <v>3</v>
      </c>
      <c r="V5151">
        <v>1.5249999999999999</v>
      </c>
      <c r="W5151">
        <v>1.5249999999999999</v>
      </c>
      <c r="X5151">
        <v>0</v>
      </c>
    </row>
    <row r="5152" spans="1:40" x14ac:dyDescent="0.25">
      <c r="A5152" t="s">
        <v>15</v>
      </c>
      <c r="B5152" t="s">
        <v>24</v>
      </c>
      <c r="C5152">
        <v>20150316</v>
      </c>
      <c r="D5152">
        <v>0</v>
      </c>
      <c r="F5152">
        <v>62500</v>
      </c>
      <c r="G5152" t="s">
        <v>17</v>
      </c>
      <c r="I5152" t="s">
        <v>16</v>
      </c>
      <c r="J5152" t="s">
        <v>180</v>
      </c>
      <c r="K5152" t="s">
        <v>25</v>
      </c>
      <c r="L5152">
        <v>132757294</v>
      </c>
      <c r="R5152">
        <v>9552</v>
      </c>
      <c r="S5152" t="s">
        <v>233</v>
      </c>
      <c r="T5152">
        <v>2</v>
      </c>
      <c r="U5152">
        <v>3</v>
      </c>
      <c r="V5152">
        <v>1.5249999999999999</v>
      </c>
      <c r="W5152">
        <v>1.5249999999999999</v>
      </c>
      <c r="X5152">
        <v>0</v>
      </c>
    </row>
    <row r="5153" spans="1:40" x14ac:dyDescent="0.25">
      <c r="A5153" t="s">
        <v>15</v>
      </c>
      <c r="B5153" t="s">
        <v>24</v>
      </c>
      <c r="C5153">
        <v>20150316</v>
      </c>
      <c r="D5153">
        <v>0</v>
      </c>
      <c r="F5153">
        <v>62500</v>
      </c>
      <c r="G5153" t="s">
        <v>17</v>
      </c>
      <c r="I5153" t="s">
        <v>16</v>
      </c>
      <c r="J5153" t="s">
        <v>180</v>
      </c>
      <c r="K5153" t="s">
        <v>25</v>
      </c>
      <c r="L5153">
        <v>132757294</v>
      </c>
      <c r="R5153">
        <v>9552</v>
      </c>
      <c r="S5153" t="s">
        <v>233</v>
      </c>
      <c r="T5153">
        <v>2</v>
      </c>
      <c r="U5153">
        <v>-1</v>
      </c>
      <c r="V5153">
        <v>1.5249999999999999</v>
      </c>
      <c r="W5153">
        <v>1.5249999999999999</v>
      </c>
      <c r="X5153">
        <v>0</v>
      </c>
      <c r="Y5153">
        <v>9552</v>
      </c>
      <c r="Z5153" t="s">
        <v>264</v>
      </c>
      <c r="AA5153" t="s">
        <v>265</v>
      </c>
      <c r="AB5153" t="s">
        <v>234</v>
      </c>
      <c r="AC5153" t="s">
        <v>17</v>
      </c>
      <c r="AD5153" t="s">
        <v>235</v>
      </c>
      <c r="AE5153">
        <v>2</v>
      </c>
      <c r="AF5153">
        <v>4</v>
      </c>
      <c r="AG5153">
        <v>1.5249999999999999</v>
      </c>
      <c r="AH5153">
        <v>1.5249999999999999</v>
      </c>
      <c r="AI5153">
        <v>415886585</v>
      </c>
      <c r="AJ5153">
        <v>0</v>
      </c>
      <c r="AK5153">
        <v>7</v>
      </c>
      <c r="AN5153">
        <v>0</v>
      </c>
    </row>
    <row r="5154" spans="1:40" x14ac:dyDescent="0.25">
      <c r="A5154" t="s">
        <v>15</v>
      </c>
      <c r="B5154" t="s">
        <v>24</v>
      </c>
      <c r="C5154">
        <v>20150316</v>
      </c>
      <c r="D5154">
        <v>0</v>
      </c>
      <c r="F5154">
        <v>62500</v>
      </c>
      <c r="G5154" t="s">
        <v>17</v>
      </c>
      <c r="I5154" t="s">
        <v>16</v>
      </c>
      <c r="J5154" t="s">
        <v>180</v>
      </c>
      <c r="K5154" t="s">
        <v>25</v>
      </c>
      <c r="L5154">
        <v>132757294</v>
      </c>
      <c r="R5154">
        <v>9552</v>
      </c>
      <c r="S5154" t="s">
        <v>233</v>
      </c>
      <c r="T5154">
        <v>2</v>
      </c>
      <c r="U5154">
        <v>-1</v>
      </c>
      <c r="V5154">
        <v>1.5249999999999999</v>
      </c>
      <c r="W5154">
        <v>1.5249999999999999</v>
      </c>
      <c r="X5154">
        <v>0</v>
      </c>
    </row>
    <row r="5155" spans="1:40" x14ac:dyDescent="0.25">
      <c r="A5155" t="s">
        <v>15</v>
      </c>
      <c r="B5155" t="s">
        <v>24</v>
      </c>
      <c r="C5155">
        <v>20150316</v>
      </c>
      <c r="D5155">
        <v>0</v>
      </c>
      <c r="F5155">
        <v>62500</v>
      </c>
      <c r="G5155" t="s">
        <v>17</v>
      </c>
      <c r="I5155" t="s">
        <v>16</v>
      </c>
      <c r="J5155" t="s">
        <v>180</v>
      </c>
      <c r="K5155" t="s">
        <v>25</v>
      </c>
      <c r="L5155">
        <v>132757294</v>
      </c>
      <c r="R5155">
        <v>9552</v>
      </c>
      <c r="S5155" t="s">
        <v>233</v>
      </c>
      <c r="T5155">
        <v>4</v>
      </c>
      <c r="U5155">
        <v>1</v>
      </c>
      <c r="V5155">
        <v>1.5249999999999999</v>
      </c>
      <c r="W5155">
        <v>1.5249999999999999</v>
      </c>
      <c r="X5155">
        <v>0</v>
      </c>
    </row>
    <row r="5156" spans="1:40" x14ac:dyDescent="0.25">
      <c r="A5156" t="s">
        <v>15</v>
      </c>
      <c r="B5156" t="s">
        <v>24</v>
      </c>
      <c r="C5156">
        <v>20150316</v>
      </c>
      <c r="D5156">
        <v>0</v>
      </c>
      <c r="F5156">
        <v>62500</v>
      </c>
      <c r="G5156" t="s">
        <v>17</v>
      </c>
      <c r="I5156" t="s">
        <v>16</v>
      </c>
      <c r="J5156" t="s">
        <v>180</v>
      </c>
      <c r="K5156" t="s">
        <v>25</v>
      </c>
      <c r="L5156">
        <v>132757294</v>
      </c>
      <c r="R5156">
        <v>9552</v>
      </c>
      <c r="S5156" t="s">
        <v>233</v>
      </c>
      <c r="T5156">
        <v>4</v>
      </c>
      <c r="U5156">
        <v>1</v>
      </c>
      <c r="V5156">
        <v>1.5249999999999999</v>
      </c>
      <c r="W5156">
        <v>1.5249999999999999</v>
      </c>
      <c r="X5156">
        <v>0</v>
      </c>
    </row>
    <row r="5157" spans="1:40" x14ac:dyDescent="0.25">
      <c r="A5157" t="s">
        <v>15</v>
      </c>
      <c r="B5157" t="s">
        <v>24</v>
      </c>
      <c r="C5157">
        <v>20150316</v>
      </c>
      <c r="D5157">
        <v>0</v>
      </c>
      <c r="F5157">
        <v>62500</v>
      </c>
      <c r="G5157" t="s">
        <v>17</v>
      </c>
      <c r="I5157" t="s">
        <v>16</v>
      </c>
      <c r="J5157" t="s">
        <v>180</v>
      </c>
      <c r="K5157" t="s">
        <v>25</v>
      </c>
      <c r="L5157">
        <v>132757294</v>
      </c>
      <c r="R5157">
        <v>9552</v>
      </c>
      <c r="S5157" t="s">
        <v>233</v>
      </c>
      <c r="T5157">
        <v>4</v>
      </c>
      <c r="U5157">
        <v>1</v>
      </c>
      <c r="V5157">
        <v>1.5249999999999999</v>
      </c>
      <c r="W5157">
        <v>1.5249999999999999</v>
      </c>
      <c r="X5157">
        <v>0</v>
      </c>
    </row>
    <row r="5158" spans="1:40" x14ac:dyDescent="0.25">
      <c r="A5158" t="s">
        <v>15</v>
      </c>
      <c r="B5158" t="s">
        <v>24</v>
      </c>
      <c r="C5158">
        <v>20150316</v>
      </c>
      <c r="D5158">
        <v>0</v>
      </c>
      <c r="F5158">
        <v>62500</v>
      </c>
      <c r="G5158" t="s">
        <v>17</v>
      </c>
      <c r="I5158" t="s">
        <v>16</v>
      </c>
      <c r="J5158" t="s">
        <v>180</v>
      </c>
      <c r="K5158" t="s">
        <v>25</v>
      </c>
      <c r="L5158">
        <v>132757294</v>
      </c>
      <c r="R5158">
        <v>9554</v>
      </c>
      <c r="S5158" t="s">
        <v>232</v>
      </c>
      <c r="T5158">
        <v>0</v>
      </c>
      <c r="U5158">
        <v>-16</v>
      </c>
      <c r="V5158">
        <v>0</v>
      </c>
      <c r="W5158">
        <v>0</v>
      </c>
      <c r="X5158">
        <v>0</v>
      </c>
    </row>
    <row r="5159" spans="1:40" x14ac:dyDescent="0.25">
      <c r="A5159" t="s">
        <v>15</v>
      </c>
      <c r="B5159" t="s">
        <v>24</v>
      </c>
      <c r="C5159">
        <v>20150316</v>
      </c>
      <c r="D5159">
        <v>0</v>
      </c>
      <c r="F5159">
        <v>62500</v>
      </c>
      <c r="G5159" t="s">
        <v>17</v>
      </c>
      <c r="I5159" t="s">
        <v>16</v>
      </c>
      <c r="J5159" t="s">
        <v>180</v>
      </c>
      <c r="K5159" t="s">
        <v>25</v>
      </c>
      <c r="L5159">
        <v>132757294</v>
      </c>
      <c r="R5159">
        <v>9548</v>
      </c>
      <c r="S5159" t="s">
        <v>223</v>
      </c>
      <c r="T5159">
        <v>0</v>
      </c>
      <c r="U5159">
        <v>13</v>
      </c>
      <c r="V5159">
        <v>0</v>
      </c>
      <c r="W5159">
        <v>0</v>
      </c>
      <c r="X5159">
        <v>0</v>
      </c>
    </row>
    <row r="5160" spans="1:40" x14ac:dyDescent="0.25">
      <c r="A5160" t="s">
        <v>15</v>
      </c>
      <c r="B5160" t="s">
        <v>24</v>
      </c>
      <c r="C5160">
        <v>20150316</v>
      </c>
      <c r="D5160">
        <v>0</v>
      </c>
      <c r="F5160">
        <v>62500</v>
      </c>
      <c r="G5160" t="s">
        <v>17</v>
      </c>
      <c r="I5160" t="s">
        <v>16</v>
      </c>
      <c r="J5160" t="s">
        <v>180</v>
      </c>
      <c r="K5160" t="s">
        <v>25</v>
      </c>
      <c r="L5160">
        <v>132757294</v>
      </c>
      <c r="R5160">
        <v>9548</v>
      </c>
      <c r="S5160" t="s">
        <v>224</v>
      </c>
      <c r="T5160">
        <v>0</v>
      </c>
      <c r="U5160">
        <v>13</v>
      </c>
      <c r="V5160">
        <v>0</v>
      </c>
      <c r="W5160">
        <v>0</v>
      </c>
      <c r="X5160">
        <v>0</v>
      </c>
    </row>
    <row r="5161" spans="1:40" x14ac:dyDescent="0.25">
      <c r="A5161" t="s">
        <v>15</v>
      </c>
      <c r="B5161" t="s">
        <v>24</v>
      </c>
      <c r="C5161">
        <v>20150316</v>
      </c>
      <c r="D5161">
        <v>0</v>
      </c>
      <c r="F5161">
        <v>62500</v>
      </c>
      <c r="G5161" t="s">
        <v>17</v>
      </c>
      <c r="I5161" t="s">
        <v>16</v>
      </c>
      <c r="J5161" t="s">
        <v>180</v>
      </c>
      <c r="K5161" t="s">
        <v>25</v>
      </c>
      <c r="L5161">
        <v>132757294</v>
      </c>
      <c r="R5161">
        <v>9549</v>
      </c>
      <c r="S5161" t="s">
        <v>223</v>
      </c>
      <c r="T5161">
        <v>0</v>
      </c>
      <c r="U5161">
        <v>11</v>
      </c>
      <c r="V5161">
        <v>0</v>
      </c>
      <c r="W5161">
        <v>0</v>
      </c>
      <c r="X5161">
        <v>0</v>
      </c>
    </row>
    <row r="5162" spans="1:40" x14ac:dyDescent="0.25">
      <c r="A5162" t="s">
        <v>15</v>
      </c>
      <c r="B5162" t="s">
        <v>24</v>
      </c>
      <c r="C5162">
        <v>20150316</v>
      </c>
      <c r="D5162">
        <v>0</v>
      </c>
      <c r="F5162">
        <v>62500</v>
      </c>
      <c r="G5162" t="s">
        <v>17</v>
      </c>
      <c r="I5162" t="s">
        <v>16</v>
      </c>
      <c r="J5162" t="s">
        <v>180</v>
      </c>
      <c r="K5162" t="s">
        <v>25</v>
      </c>
      <c r="L5162">
        <v>132757294</v>
      </c>
      <c r="R5162">
        <v>9549</v>
      </c>
      <c r="S5162" t="s">
        <v>224</v>
      </c>
      <c r="T5162">
        <v>0</v>
      </c>
      <c r="U5162">
        <v>11</v>
      </c>
      <c r="V5162">
        <v>0</v>
      </c>
      <c r="W5162">
        <v>0</v>
      </c>
      <c r="X5162">
        <v>0</v>
      </c>
    </row>
    <row r="5163" spans="1:40" x14ac:dyDescent="0.25">
      <c r="A5163" t="s">
        <v>15</v>
      </c>
      <c r="B5163" t="s">
        <v>24</v>
      </c>
      <c r="C5163">
        <v>20150316</v>
      </c>
      <c r="D5163">
        <v>0</v>
      </c>
      <c r="F5163">
        <v>62500</v>
      </c>
      <c r="G5163" t="s">
        <v>17</v>
      </c>
      <c r="I5163" t="s">
        <v>16</v>
      </c>
      <c r="J5163" t="s">
        <v>180</v>
      </c>
      <c r="K5163" t="s">
        <v>25</v>
      </c>
      <c r="L5163">
        <v>132757294</v>
      </c>
      <c r="R5163">
        <v>9553</v>
      </c>
      <c r="S5163" t="s">
        <v>232</v>
      </c>
      <c r="T5163">
        <v>0</v>
      </c>
      <c r="U5163">
        <v>16</v>
      </c>
      <c r="V5163">
        <v>0</v>
      </c>
      <c r="W5163">
        <v>0</v>
      </c>
      <c r="X5163">
        <v>0</v>
      </c>
    </row>
    <row r="5164" spans="1:40" x14ac:dyDescent="0.25">
      <c r="A5164" t="s">
        <v>15</v>
      </c>
      <c r="B5164" t="s">
        <v>24</v>
      </c>
      <c r="C5164">
        <v>20150316</v>
      </c>
      <c r="D5164">
        <v>0</v>
      </c>
      <c r="F5164">
        <v>62500</v>
      </c>
      <c r="G5164" t="s">
        <v>17</v>
      </c>
      <c r="I5164" t="s">
        <v>16</v>
      </c>
      <c r="J5164" t="s">
        <v>180</v>
      </c>
      <c r="K5164" t="s">
        <v>25</v>
      </c>
      <c r="L5164">
        <v>132757294</v>
      </c>
      <c r="R5164">
        <v>9553</v>
      </c>
      <c r="S5164" t="s">
        <v>192</v>
      </c>
      <c r="T5164">
        <v>0</v>
      </c>
      <c r="U5164">
        <v>16</v>
      </c>
      <c r="V5164">
        <v>0</v>
      </c>
      <c r="W5164">
        <v>0</v>
      </c>
      <c r="X5164">
        <v>0</v>
      </c>
    </row>
    <row r="5165" spans="1:40" x14ac:dyDescent="0.25">
      <c r="A5165" t="s">
        <v>15</v>
      </c>
      <c r="B5165" t="s">
        <v>24</v>
      </c>
      <c r="C5165">
        <v>20150316</v>
      </c>
      <c r="D5165">
        <v>0</v>
      </c>
      <c r="F5165">
        <v>62500</v>
      </c>
      <c r="G5165" t="s">
        <v>17</v>
      </c>
      <c r="I5165" t="s">
        <v>16</v>
      </c>
      <c r="J5165" t="s">
        <v>180</v>
      </c>
      <c r="K5165" t="s">
        <v>25</v>
      </c>
      <c r="L5165">
        <v>132757294</v>
      </c>
      <c r="R5165">
        <v>9552</v>
      </c>
      <c r="S5165" t="s">
        <v>223</v>
      </c>
      <c r="T5165">
        <v>4</v>
      </c>
      <c r="U5165">
        <v>1</v>
      </c>
      <c r="V5165">
        <v>1.5249999999999999</v>
      </c>
      <c r="W5165">
        <v>1.5249999999999999</v>
      </c>
      <c r="X5165">
        <v>0</v>
      </c>
    </row>
    <row r="5166" spans="1:40" x14ac:dyDescent="0.25">
      <c r="A5166" t="s">
        <v>15</v>
      </c>
      <c r="B5166" t="s">
        <v>24</v>
      </c>
      <c r="C5166">
        <v>20150316</v>
      </c>
      <c r="D5166">
        <v>0</v>
      </c>
      <c r="F5166">
        <v>62500</v>
      </c>
      <c r="G5166" t="s">
        <v>17</v>
      </c>
      <c r="I5166" t="s">
        <v>16</v>
      </c>
      <c r="J5166" t="s">
        <v>180</v>
      </c>
      <c r="K5166" t="s">
        <v>25</v>
      </c>
      <c r="L5166">
        <v>132757294</v>
      </c>
      <c r="R5166">
        <v>9552</v>
      </c>
      <c r="S5166" t="s">
        <v>224</v>
      </c>
      <c r="T5166">
        <v>4</v>
      </c>
      <c r="U5166">
        <v>1</v>
      </c>
      <c r="V5166">
        <v>1.5249999999999999</v>
      </c>
      <c r="W5166">
        <v>1.5249999999999999</v>
      </c>
      <c r="X5166">
        <v>0</v>
      </c>
    </row>
    <row r="5167" spans="1:40" x14ac:dyDescent="0.25">
      <c r="A5167" t="s">
        <v>15</v>
      </c>
      <c r="B5167" t="s">
        <v>24</v>
      </c>
      <c r="C5167">
        <v>20150316</v>
      </c>
      <c r="D5167">
        <v>0</v>
      </c>
      <c r="F5167">
        <v>62500</v>
      </c>
      <c r="G5167" t="s">
        <v>17</v>
      </c>
      <c r="I5167" t="s">
        <v>16</v>
      </c>
      <c r="J5167" t="s">
        <v>180</v>
      </c>
      <c r="K5167" t="s">
        <v>25</v>
      </c>
      <c r="L5167">
        <v>132757294</v>
      </c>
      <c r="R5167">
        <v>9554</v>
      </c>
      <c r="S5167" t="s">
        <v>232</v>
      </c>
      <c r="T5167">
        <v>0</v>
      </c>
      <c r="U5167">
        <v>-16</v>
      </c>
      <c r="V5167">
        <v>0</v>
      </c>
      <c r="W5167">
        <v>0</v>
      </c>
      <c r="X5167">
        <v>0</v>
      </c>
    </row>
    <row r="5168" spans="1:40" x14ac:dyDescent="0.25">
      <c r="A5168" t="s">
        <v>15</v>
      </c>
      <c r="B5168" t="s">
        <v>24</v>
      </c>
      <c r="C5168">
        <v>20150316</v>
      </c>
      <c r="D5168">
        <v>0</v>
      </c>
      <c r="F5168">
        <v>62500</v>
      </c>
      <c r="G5168" t="s">
        <v>17</v>
      </c>
      <c r="I5168" t="s">
        <v>16</v>
      </c>
      <c r="J5168" t="s">
        <v>180</v>
      </c>
      <c r="K5168" t="s">
        <v>25</v>
      </c>
      <c r="L5168">
        <v>132757294</v>
      </c>
      <c r="R5168">
        <v>9554</v>
      </c>
      <c r="S5168" t="s">
        <v>192</v>
      </c>
      <c r="T5168">
        <v>0</v>
      </c>
      <c r="U5168">
        <v>16</v>
      </c>
      <c r="V5168">
        <v>0</v>
      </c>
      <c r="W5168">
        <v>0</v>
      </c>
      <c r="X5168">
        <v>0</v>
      </c>
    </row>
    <row r="5169" spans="1:40" x14ac:dyDescent="0.25">
      <c r="A5169" t="s">
        <v>15</v>
      </c>
      <c r="B5169" t="s">
        <v>24</v>
      </c>
      <c r="C5169">
        <v>20150316</v>
      </c>
      <c r="D5169">
        <v>0</v>
      </c>
      <c r="F5169">
        <v>62500</v>
      </c>
      <c r="G5169" t="s">
        <v>17</v>
      </c>
      <c r="I5169" t="s">
        <v>16</v>
      </c>
      <c r="J5169" t="s">
        <v>180</v>
      </c>
      <c r="K5169" t="s">
        <v>25</v>
      </c>
      <c r="L5169">
        <v>132757294</v>
      </c>
      <c r="R5169">
        <v>9555</v>
      </c>
      <c r="S5169" t="s">
        <v>232</v>
      </c>
      <c r="T5169">
        <v>0</v>
      </c>
      <c r="U5169">
        <v>-5</v>
      </c>
      <c r="V5169">
        <v>0</v>
      </c>
      <c r="W5169">
        <v>0</v>
      </c>
      <c r="X5169">
        <v>0</v>
      </c>
    </row>
    <row r="5170" spans="1:40" x14ac:dyDescent="0.25">
      <c r="A5170" t="s">
        <v>15</v>
      </c>
      <c r="B5170" t="s">
        <v>24</v>
      </c>
      <c r="C5170">
        <v>20150316</v>
      </c>
      <c r="D5170">
        <v>0</v>
      </c>
      <c r="F5170">
        <v>62500</v>
      </c>
      <c r="G5170" t="s">
        <v>17</v>
      </c>
      <c r="I5170" t="s">
        <v>16</v>
      </c>
      <c r="J5170" t="s">
        <v>180</v>
      </c>
      <c r="K5170" t="s">
        <v>25</v>
      </c>
      <c r="L5170">
        <v>132757294</v>
      </c>
      <c r="R5170">
        <v>9555</v>
      </c>
      <c r="S5170" t="s">
        <v>232</v>
      </c>
      <c r="T5170">
        <v>0</v>
      </c>
      <c r="U5170">
        <v>-5</v>
      </c>
      <c r="V5170">
        <v>0</v>
      </c>
      <c r="W5170">
        <v>0</v>
      </c>
      <c r="X5170">
        <v>0</v>
      </c>
      <c r="Y5170">
        <v>9555</v>
      </c>
      <c r="Z5170" t="s">
        <v>266</v>
      </c>
      <c r="AA5170" t="s">
        <v>267</v>
      </c>
      <c r="AB5170" t="s">
        <v>234</v>
      </c>
      <c r="AC5170" t="s">
        <v>17</v>
      </c>
      <c r="AD5170" t="s">
        <v>237</v>
      </c>
      <c r="AE5170">
        <v>5</v>
      </c>
      <c r="AF5170">
        <v>5</v>
      </c>
      <c r="AG5170">
        <v>1.5247999999999999</v>
      </c>
      <c r="AH5170">
        <v>1.5247999999999999</v>
      </c>
      <c r="AI5170">
        <v>415886588</v>
      </c>
      <c r="AJ5170">
        <v>0</v>
      </c>
      <c r="AK5170">
        <v>7</v>
      </c>
      <c r="AN5170">
        <v>0</v>
      </c>
    </row>
    <row r="5171" spans="1:40" x14ac:dyDescent="0.25">
      <c r="A5171" t="s">
        <v>15</v>
      </c>
      <c r="B5171" t="s">
        <v>24</v>
      </c>
      <c r="C5171">
        <v>20150316</v>
      </c>
      <c r="D5171">
        <v>0</v>
      </c>
      <c r="F5171">
        <v>62500</v>
      </c>
      <c r="G5171" t="s">
        <v>17</v>
      </c>
      <c r="I5171" t="s">
        <v>16</v>
      </c>
      <c r="J5171" t="s">
        <v>180</v>
      </c>
      <c r="K5171" t="s">
        <v>25</v>
      </c>
      <c r="L5171">
        <v>132757294</v>
      </c>
      <c r="R5171">
        <v>9555</v>
      </c>
      <c r="S5171" t="s">
        <v>232</v>
      </c>
      <c r="T5171">
        <v>0</v>
      </c>
      <c r="U5171">
        <v>-5</v>
      </c>
      <c r="V5171">
        <v>0</v>
      </c>
      <c r="W5171">
        <v>0</v>
      </c>
      <c r="X5171">
        <v>0</v>
      </c>
    </row>
    <row r="5172" spans="1:40" x14ac:dyDescent="0.25">
      <c r="A5172" t="s">
        <v>15</v>
      </c>
      <c r="B5172" t="s">
        <v>24</v>
      </c>
      <c r="C5172">
        <v>20150316</v>
      </c>
      <c r="D5172">
        <v>0</v>
      </c>
      <c r="F5172">
        <v>62500</v>
      </c>
      <c r="G5172" t="s">
        <v>17</v>
      </c>
      <c r="I5172" t="s">
        <v>16</v>
      </c>
      <c r="J5172" t="s">
        <v>180</v>
      </c>
      <c r="K5172" t="s">
        <v>25</v>
      </c>
      <c r="L5172">
        <v>132757294</v>
      </c>
      <c r="R5172">
        <v>9555</v>
      </c>
      <c r="S5172" t="s">
        <v>37</v>
      </c>
      <c r="T5172">
        <v>5</v>
      </c>
      <c r="U5172">
        <v>0</v>
      </c>
      <c r="V5172">
        <v>1.5247999999999999</v>
      </c>
      <c r="W5172">
        <v>1.5247999999999999</v>
      </c>
      <c r="X5172">
        <v>0</v>
      </c>
    </row>
    <row r="5173" spans="1:40" x14ac:dyDescent="0.25">
      <c r="A5173" t="s">
        <v>15</v>
      </c>
      <c r="B5173" t="s">
        <v>24</v>
      </c>
      <c r="C5173">
        <v>20150316</v>
      </c>
      <c r="D5173">
        <v>0</v>
      </c>
      <c r="F5173">
        <v>62500</v>
      </c>
      <c r="G5173" t="s">
        <v>17</v>
      </c>
      <c r="I5173" t="s">
        <v>16</v>
      </c>
      <c r="J5173" t="s">
        <v>180</v>
      </c>
      <c r="K5173" t="s">
        <v>25</v>
      </c>
      <c r="L5173">
        <v>132757294</v>
      </c>
      <c r="R5173">
        <v>9555</v>
      </c>
      <c r="S5173" t="s">
        <v>37</v>
      </c>
      <c r="T5173">
        <v>5</v>
      </c>
      <c r="U5173">
        <v>0</v>
      </c>
      <c r="V5173">
        <v>1.5247999999999999</v>
      </c>
      <c r="W5173">
        <v>1.5247999999999999</v>
      </c>
      <c r="X5173">
        <v>0</v>
      </c>
    </row>
    <row r="5174" spans="1:40" x14ac:dyDescent="0.25">
      <c r="A5174" t="s">
        <v>15</v>
      </c>
      <c r="B5174" t="s">
        <v>24</v>
      </c>
      <c r="C5174">
        <v>20150316</v>
      </c>
      <c r="D5174">
        <v>0</v>
      </c>
      <c r="F5174">
        <v>62500</v>
      </c>
      <c r="G5174" t="s">
        <v>17</v>
      </c>
      <c r="I5174" t="s">
        <v>16</v>
      </c>
      <c r="J5174" t="s">
        <v>180</v>
      </c>
      <c r="K5174" t="s">
        <v>25</v>
      </c>
      <c r="L5174">
        <v>132757294</v>
      </c>
      <c r="R5174">
        <v>9555</v>
      </c>
      <c r="S5174" t="s">
        <v>37</v>
      </c>
      <c r="T5174">
        <v>5</v>
      </c>
      <c r="U5174">
        <v>0</v>
      </c>
      <c r="V5174">
        <v>1.5247999999999999</v>
      </c>
      <c r="W5174">
        <v>1.5247999999999999</v>
      </c>
      <c r="X5174">
        <v>0</v>
      </c>
    </row>
    <row r="5175" spans="1:40" x14ac:dyDescent="0.25">
      <c r="A5175" t="s">
        <v>15</v>
      </c>
      <c r="B5175" t="s">
        <v>24</v>
      </c>
      <c r="C5175">
        <v>20150316</v>
      </c>
      <c r="D5175">
        <v>0</v>
      </c>
      <c r="F5175">
        <v>62500</v>
      </c>
      <c r="G5175" t="s">
        <v>17</v>
      </c>
      <c r="I5175" t="s">
        <v>16</v>
      </c>
      <c r="J5175" t="s">
        <v>180</v>
      </c>
      <c r="K5175" t="s">
        <v>25</v>
      </c>
      <c r="L5175">
        <v>132757294</v>
      </c>
      <c r="R5175">
        <v>9555</v>
      </c>
      <c r="S5175" t="s">
        <v>37</v>
      </c>
      <c r="T5175">
        <v>5</v>
      </c>
      <c r="U5175">
        <v>0</v>
      </c>
      <c r="V5175">
        <v>1.5247999999999999</v>
      </c>
      <c r="W5175">
        <v>1.5247999999999999</v>
      </c>
      <c r="X5175">
        <v>0</v>
      </c>
    </row>
    <row r="5176" spans="1:40" x14ac:dyDescent="0.25">
      <c r="A5176" t="s">
        <v>15</v>
      </c>
      <c r="B5176" t="s">
        <v>24</v>
      </c>
      <c r="C5176">
        <v>20150316</v>
      </c>
      <c r="D5176">
        <v>0</v>
      </c>
      <c r="F5176">
        <v>62500</v>
      </c>
      <c r="G5176" t="s">
        <v>17</v>
      </c>
      <c r="I5176" t="s">
        <v>16</v>
      </c>
      <c r="J5176" t="s">
        <v>180</v>
      </c>
      <c r="K5176" t="s">
        <v>25</v>
      </c>
      <c r="L5176">
        <v>132757294</v>
      </c>
      <c r="R5176">
        <v>9555</v>
      </c>
      <c r="S5176" t="s">
        <v>37</v>
      </c>
      <c r="T5176">
        <v>5</v>
      </c>
      <c r="U5176">
        <v>0</v>
      </c>
      <c r="V5176">
        <v>1.5247999999999999</v>
      </c>
      <c r="W5176">
        <v>1.5247999999999999</v>
      </c>
      <c r="X5176">
        <v>0</v>
      </c>
    </row>
    <row r="5177" spans="1:40" x14ac:dyDescent="0.25">
      <c r="A5177" t="s">
        <v>15</v>
      </c>
      <c r="B5177" t="s">
        <v>24</v>
      </c>
      <c r="C5177">
        <v>20150316</v>
      </c>
      <c r="D5177">
        <v>0</v>
      </c>
      <c r="F5177">
        <v>62500</v>
      </c>
      <c r="G5177" t="s">
        <v>17</v>
      </c>
      <c r="I5177" t="s">
        <v>16</v>
      </c>
      <c r="J5177" t="s">
        <v>180</v>
      </c>
      <c r="K5177" t="s">
        <v>25</v>
      </c>
      <c r="L5177">
        <v>132757294</v>
      </c>
      <c r="R5177">
        <v>9555</v>
      </c>
      <c r="S5177" t="s">
        <v>37</v>
      </c>
      <c r="T5177">
        <v>5</v>
      </c>
      <c r="U5177">
        <v>0</v>
      </c>
      <c r="V5177">
        <v>1.5247999999999999</v>
      </c>
      <c r="W5177">
        <v>1.5247999999999999</v>
      </c>
      <c r="X5177">
        <v>0</v>
      </c>
    </row>
    <row r="5178" spans="1:40" x14ac:dyDescent="0.25">
      <c r="A5178" t="s">
        <v>15</v>
      </c>
      <c r="B5178" t="s">
        <v>24</v>
      </c>
      <c r="C5178">
        <v>20150316</v>
      </c>
      <c r="D5178">
        <v>0</v>
      </c>
      <c r="F5178">
        <v>62500</v>
      </c>
      <c r="G5178" t="s">
        <v>17</v>
      </c>
      <c r="I5178" t="s">
        <v>16</v>
      </c>
      <c r="J5178" t="s">
        <v>180</v>
      </c>
      <c r="K5178" t="s">
        <v>25</v>
      </c>
      <c r="L5178">
        <v>132757294</v>
      </c>
      <c r="R5178">
        <v>9555</v>
      </c>
      <c r="S5178" t="s">
        <v>37</v>
      </c>
      <c r="T5178">
        <v>5</v>
      </c>
      <c r="U5178">
        <v>0</v>
      </c>
      <c r="V5178">
        <v>1.5247999999999999</v>
      </c>
      <c r="W5178">
        <v>1.5247999999999999</v>
      </c>
      <c r="X5178">
        <v>0</v>
      </c>
    </row>
    <row r="5179" spans="1:40" x14ac:dyDescent="0.25">
      <c r="A5179" t="s">
        <v>15</v>
      </c>
      <c r="B5179" t="s">
        <v>24</v>
      </c>
      <c r="C5179">
        <v>20150316</v>
      </c>
      <c r="D5179">
        <v>0</v>
      </c>
      <c r="F5179">
        <v>62500</v>
      </c>
      <c r="G5179" t="s">
        <v>17</v>
      </c>
      <c r="I5179" t="s">
        <v>16</v>
      </c>
      <c r="J5179" t="s">
        <v>180</v>
      </c>
      <c r="K5179" t="s">
        <v>25</v>
      </c>
      <c r="L5179">
        <v>132757294</v>
      </c>
      <c r="R5179">
        <v>9555</v>
      </c>
      <c r="S5179" t="s">
        <v>37</v>
      </c>
      <c r="T5179">
        <v>5</v>
      </c>
      <c r="U5179">
        <v>0</v>
      </c>
      <c r="V5179">
        <v>1.5247999999999999</v>
      </c>
      <c r="W5179">
        <v>1.5247999999999999</v>
      </c>
      <c r="X5179">
        <v>0</v>
      </c>
    </row>
    <row r="5180" spans="1:40" x14ac:dyDescent="0.25">
      <c r="A5180" t="s">
        <v>15</v>
      </c>
      <c r="B5180" t="s">
        <v>24</v>
      </c>
      <c r="C5180">
        <v>20150316</v>
      </c>
      <c r="D5180">
        <v>0</v>
      </c>
      <c r="F5180">
        <v>62500</v>
      </c>
      <c r="G5180" t="s">
        <v>17</v>
      </c>
      <c r="I5180" t="s">
        <v>16</v>
      </c>
      <c r="J5180" t="s">
        <v>180</v>
      </c>
      <c r="K5180" t="s">
        <v>25</v>
      </c>
      <c r="L5180">
        <v>132757294</v>
      </c>
      <c r="R5180">
        <v>9553</v>
      </c>
      <c r="S5180" t="s">
        <v>223</v>
      </c>
      <c r="T5180">
        <v>0</v>
      </c>
      <c r="U5180">
        <v>16</v>
      </c>
      <c r="V5180">
        <v>0</v>
      </c>
      <c r="W5180">
        <v>0</v>
      </c>
      <c r="X5180">
        <v>0</v>
      </c>
    </row>
    <row r="5181" spans="1:40" x14ac:dyDescent="0.25">
      <c r="A5181" t="s">
        <v>15</v>
      </c>
      <c r="B5181" t="s">
        <v>24</v>
      </c>
      <c r="C5181">
        <v>20150316</v>
      </c>
      <c r="D5181">
        <v>0</v>
      </c>
      <c r="F5181">
        <v>62500</v>
      </c>
      <c r="G5181" t="s">
        <v>17</v>
      </c>
      <c r="I5181" t="s">
        <v>16</v>
      </c>
      <c r="J5181" t="s">
        <v>180</v>
      </c>
      <c r="K5181" t="s">
        <v>25</v>
      </c>
      <c r="L5181">
        <v>132757294</v>
      </c>
      <c r="R5181">
        <v>9553</v>
      </c>
      <c r="S5181" t="s">
        <v>224</v>
      </c>
      <c r="T5181">
        <v>0</v>
      </c>
      <c r="U5181">
        <v>16</v>
      </c>
      <c r="V5181">
        <v>0</v>
      </c>
      <c r="W5181">
        <v>0</v>
      </c>
      <c r="X5181">
        <v>0</v>
      </c>
    </row>
    <row r="5182" spans="1:40" x14ac:dyDescent="0.25">
      <c r="A5182" t="s">
        <v>15</v>
      </c>
      <c r="B5182" t="s">
        <v>24</v>
      </c>
      <c r="C5182">
        <v>20150316</v>
      </c>
      <c r="D5182">
        <v>0</v>
      </c>
      <c r="F5182">
        <v>62500</v>
      </c>
      <c r="G5182" t="s">
        <v>17</v>
      </c>
      <c r="I5182" t="s">
        <v>16</v>
      </c>
      <c r="J5182" t="s">
        <v>180</v>
      </c>
      <c r="K5182" t="s">
        <v>25</v>
      </c>
      <c r="L5182">
        <v>132757294</v>
      </c>
      <c r="R5182">
        <v>9554</v>
      </c>
      <c r="S5182" t="s">
        <v>223</v>
      </c>
      <c r="T5182">
        <v>0</v>
      </c>
      <c r="U5182">
        <v>16</v>
      </c>
      <c r="V5182">
        <v>0</v>
      </c>
      <c r="W5182">
        <v>0</v>
      </c>
      <c r="X5182">
        <v>0</v>
      </c>
    </row>
    <row r="5183" spans="1:40" x14ac:dyDescent="0.25">
      <c r="A5183" t="s">
        <v>15</v>
      </c>
      <c r="B5183" t="s">
        <v>24</v>
      </c>
      <c r="C5183">
        <v>20150316</v>
      </c>
      <c r="D5183">
        <v>0</v>
      </c>
      <c r="F5183">
        <v>62500</v>
      </c>
      <c r="G5183" t="s">
        <v>17</v>
      </c>
      <c r="I5183" t="s">
        <v>16</v>
      </c>
      <c r="J5183" t="s">
        <v>180</v>
      </c>
      <c r="K5183" t="s">
        <v>25</v>
      </c>
      <c r="L5183">
        <v>132757294</v>
      </c>
      <c r="R5183">
        <v>9554</v>
      </c>
      <c r="S5183" t="s">
        <v>224</v>
      </c>
      <c r="T5183">
        <v>0</v>
      </c>
      <c r="U5183">
        <v>16</v>
      </c>
      <c r="V5183">
        <v>0</v>
      </c>
      <c r="W5183">
        <v>0</v>
      </c>
      <c r="X5183">
        <v>0</v>
      </c>
    </row>
    <row r="5184" spans="1:40" x14ac:dyDescent="0.25">
      <c r="A5184" t="s">
        <v>15</v>
      </c>
      <c r="B5184" t="s">
        <v>24</v>
      </c>
      <c r="C5184">
        <v>20150316</v>
      </c>
      <c r="D5184">
        <v>0</v>
      </c>
      <c r="F5184">
        <v>62500</v>
      </c>
      <c r="G5184" t="s">
        <v>17</v>
      </c>
      <c r="I5184" t="s">
        <v>16</v>
      </c>
      <c r="J5184" t="s">
        <v>180</v>
      </c>
      <c r="K5184" t="s">
        <v>25</v>
      </c>
      <c r="L5184">
        <v>132757294</v>
      </c>
      <c r="R5184">
        <v>9556</v>
      </c>
      <c r="S5184" t="s">
        <v>232</v>
      </c>
      <c r="T5184">
        <v>0</v>
      </c>
      <c r="U5184">
        <v>-5</v>
      </c>
      <c r="V5184">
        <v>0</v>
      </c>
      <c r="W5184">
        <v>0</v>
      </c>
      <c r="X5184">
        <v>0</v>
      </c>
    </row>
    <row r="5185" spans="1:40" x14ac:dyDescent="0.25">
      <c r="A5185" t="s">
        <v>15</v>
      </c>
      <c r="B5185" t="s">
        <v>24</v>
      </c>
      <c r="C5185">
        <v>20150316</v>
      </c>
      <c r="D5185">
        <v>0</v>
      </c>
      <c r="F5185">
        <v>62500</v>
      </c>
      <c r="G5185" t="s">
        <v>17</v>
      </c>
      <c r="I5185" t="s">
        <v>16</v>
      </c>
      <c r="J5185" t="s">
        <v>180</v>
      </c>
      <c r="K5185" t="s">
        <v>25</v>
      </c>
      <c r="L5185">
        <v>132757294</v>
      </c>
      <c r="R5185">
        <v>9556</v>
      </c>
      <c r="S5185" t="s">
        <v>232</v>
      </c>
      <c r="T5185">
        <v>0</v>
      </c>
      <c r="U5185">
        <v>-5</v>
      </c>
      <c r="V5185">
        <v>0</v>
      </c>
      <c r="W5185">
        <v>0</v>
      </c>
      <c r="X5185">
        <v>0</v>
      </c>
      <c r="Y5185">
        <v>9556</v>
      </c>
      <c r="Z5185" t="s">
        <v>268</v>
      </c>
      <c r="AA5185" t="s">
        <v>269</v>
      </c>
      <c r="AB5185" t="s">
        <v>234</v>
      </c>
      <c r="AC5185" t="s">
        <v>17</v>
      </c>
      <c r="AD5185" t="s">
        <v>237</v>
      </c>
      <c r="AE5185">
        <v>5</v>
      </c>
      <c r="AF5185">
        <v>5</v>
      </c>
      <c r="AG5185">
        <v>1.5247999999999999</v>
      </c>
      <c r="AH5185">
        <v>1.5247999999999999</v>
      </c>
      <c r="AI5185">
        <v>415886589</v>
      </c>
      <c r="AJ5185">
        <v>0</v>
      </c>
      <c r="AK5185">
        <v>7</v>
      </c>
      <c r="AN5185">
        <v>0</v>
      </c>
    </row>
    <row r="5186" spans="1:40" x14ac:dyDescent="0.25">
      <c r="A5186" t="s">
        <v>15</v>
      </c>
      <c r="B5186" t="s">
        <v>24</v>
      </c>
      <c r="C5186">
        <v>20150316</v>
      </c>
      <c r="D5186">
        <v>0</v>
      </c>
      <c r="F5186">
        <v>62500</v>
      </c>
      <c r="G5186" t="s">
        <v>17</v>
      </c>
      <c r="I5186" t="s">
        <v>16</v>
      </c>
      <c r="J5186" t="s">
        <v>180</v>
      </c>
      <c r="K5186" t="s">
        <v>25</v>
      </c>
      <c r="L5186">
        <v>132757294</v>
      </c>
      <c r="R5186">
        <v>9556</v>
      </c>
      <c r="S5186" t="s">
        <v>232</v>
      </c>
      <c r="T5186">
        <v>0</v>
      </c>
      <c r="U5186">
        <v>-5</v>
      </c>
      <c r="V5186">
        <v>0</v>
      </c>
      <c r="W5186">
        <v>0</v>
      </c>
      <c r="X5186">
        <v>0</v>
      </c>
    </row>
    <row r="5187" spans="1:40" x14ac:dyDescent="0.25">
      <c r="A5187" t="s">
        <v>15</v>
      </c>
      <c r="B5187" t="s">
        <v>24</v>
      </c>
      <c r="C5187">
        <v>20150316</v>
      </c>
      <c r="D5187">
        <v>0</v>
      </c>
      <c r="F5187">
        <v>62500</v>
      </c>
      <c r="G5187" t="s">
        <v>17</v>
      </c>
      <c r="I5187" t="s">
        <v>16</v>
      </c>
      <c r="J5187" t="s">
        <v>180</v>
      </c>
      <c r="K5187" t="s">
        <v>25</v>
      </c>
      <c r="L5187">
        <v>132757294</v>
      </c>
      <c r="R5187">
        <v>9556</v>
      </c>
      <c r="S5187" t="s">
        <v>37</v>
      </c>
      <c r="T5187">
        <v>5</v>
      </c>
      <c r="U5187">
        <v>0</v>
      </c>
      <c r="V5187">
        <v>1.5247999999999999</v>
      </c>
      <c r="W5187">
        <v>1.5247999999999999</v>
      </c>
      <c r="X5187">
        <v>0</v>
      </c>
    </row>
    <row r="5188" spans="1:40" x14ac:dyDescent="0.25">
      <c r="A5188" t="s">
        <v>15</v>
      </c>
      <c r="B5188" t="s">
        <v>24</v>
      </c>
      <c r="C5188">
        <v>20150316</v>
      </c>
      <c r="D5188">
        <v>0</v>
      </c>
      <c r="F5188">
        <v>62500</v>
      </c>
      <c r="G5188" t="s">
        <v>17</v>
      </c>
      <c r="I5188" t="s">
        <v>16</v>
      </c>
      <c r="J5188" t="s">
        <v>180</v>
      </c>
      <c r="K5188" t="s">
        <v>25</v>
      </c>
      <c r="L5188">
        <v>132757294</v>
      </c>
      <c r="R5188">
        <v>9556</v>
      </c>
      <c r="S5188" t="s">
        <v>37</v>
      </c>
      <c r="T5188">
        <v>5</v>
      </c>
      <c r="U5188">
        <v>0</v>
      </c>
      <c r="V5188">
        <v>1.5247999999999999</v>
      </c>
      <c r="W5188">
        <v>1.5247999999999999</v>
      </c>
      <c r="X5188">
        <v>0</v>
      </c>
    </row>
    <row r="5189" spans="1:40" x14ac:dyDescent="0.25">
      <c r="A5189" t="s">
        <v>15</v>
      </c>
      <c r="B5189" t="s">
        <v>24</v>
      </c>
      <c r="C5189">
        <v>20150316</v>
      </c>
      <c r="D5189">
        <v>0</v>
      </c>
      <c r="F5189">
        <v>62500</v>
      </c>
      <c r="G5189" t="s">
        <v>17</v>
      </c>
      <c r="I5189" t="s">
        <v>16</v>
      </c>
      <c r="J5189" t="s">
        <v>180</v>
      </c>
      <c r="K5189" t="s">
        <v>25</v>
      </c>
      <c r="L5189">
        <v>132757294</v>
      </c>
      <c r="R5189">
        <v>9556</v>
      </c>
      <c r="S5189" t="s">
        <v>37</v>
      </c>
      <c r="T5189">
        <v>5</v>
      </c>
      <c r="U5189">
        <v>0</v>
      </c>
      <c r="V5189">
        <v>1.5247999999999999</v>
      </c>
      <c r="W5189">
        <v>1.5247999999999999</v>
      </c>
      <c r="X5189">
        <v>0</v>
      </c>
    </row>
    <row r="5190" spans="1:40" x14ac:dyDescent="0.25">
      <c r="A5190" t="s">
        <v>15</v>
      </c>
      <c r="B5190" t="s">
        <v>24</v>
      </c>
      <c r="C5190">
        <v>20150316</v>
      </c>
      <c r="D5190">
        <v>0</v>
      </c>
      <c r="F5190">
        <v>62500</v>
      </c>
      <c r="G5190" t="s">
        <v>17</v>
      </c>
      <c r="I5190" t="s">
        <v>16</v>
      </c>
      <c r="J5190" t="s">
        <v>180</v>
      </c>
      <c r="K5190" t="s">
        <v>25</v>
      </c>
      <c r="L5190">
        <v>132757294</v>
      </c>
      <c r="R5190">
        <v>9556</v>
      </c>
      <c r="S5190" t="s">
        <v>37</v>
      </c>
      <c r="T5190">
        <v>5</v>
      </c>
      <c r="U5190">
        <v>0</v>
      </c>
      <c r="V5190">
        <v>1.5247999999999999</v>
      </c>
      <c r="W5190">
        <v>1.5247999999999999</v>
      </c>
      <c r="X5190">
        <v>0</v>
      </c>
    </row>
    <row r="5191" spans="1:40" x14ac:dyDescent="0.25">
      <c r="A5191" t="s">
        <v>15</v>
      </c>
      <c r="B5191" t="s">
        <v>24</v>
      </c>
      <c r="C5191">
        <v>20150316</v>
      </c>
      <c r="D5191">
        <v>0</v>
      </c>
      <c r="F5191">
        <v>62500</v>
      </c>
      <c r="G5191" t="s">
        <v>17</v>
      </c>
      <c r="I5191" t="s">
        <v>16</v>
      </c>
      <c r="J5191" t="s">
        <v>180</v>
      </c>
      <c r="K5191" t="s">
        <v>25</v>
      </c>
      <c r="L5191">
        <v>132757294</v>
      </c>
      <c r="R5191">
        <v>9556</v>
      </c>
      <c r="S5191" t="s">
        <v>37</v>
      </c>
      <c r="T5191">
        <v>5</v>
      </c>
      <c r="U5191">
        <v>0</v>
      </c>
      <c r="V5191">
        <v>1.5247999999999999</v>
      </c>
      <c r="W5191">
        <v>1.5247999999999999</v>
      </c>
      <c r="X5191">
        <v>0</v>
      </c>
    </row>
    <row r="5192" spans="1:40" x14ac:dyDescent="0.25">
      <c r="A5192" t="s">
        <v>15</v>
      </c>
      <c r="B5192" t="s">
        <v>24</v>
      </c>
      <c r="C5192">
        <v>20150316</v>
      </c>
      <c r="D5192">
        <v>0</v>
      </c>
      <c r="F5192">
        <v>62500</v>
      </c>
      <c r="G5192" t="s">
        <v>17</v>
      </c>
      <c r="I5192" t="s">
        <v>16</v>
      </c>
      <c r="J5192" t="s">
        <v>180</v>
      </c>
      <c r="K5192" t="s">
        <v>25</v>
      </c>
      <c r="L5192">
        <v>132757294</v>
      </c>
      <c r="R5192">
        <v>9556</v>
      </c>
      <c r="S5192" t="s">
        <v>37</v>
      </c>
      <c r="T5192">
        <v>5</v>
      </c>
      <c r="U5192">
        <v>0</v>
      </c>
      <c r="V5192">
        <v>1.5247999999999999</v>
      </c>
      <c r="W5192">
        <v>1.5247999999999999</v>
      </c>
      <c r="X5192">
        <v>0</v>
      </c>
    </row>
    <row r="5193" spans="1:40" x14ac:dyDescent="0.25">
      <c r="A5193" t="s">
        <v>15</v>
      </c>
      <c r="B5193" t="s">
        <v>24</v>
      </c>
      <c r="C5193">
        <v>20150316</v>
      </c>
      <c r="D5193">
        <v>0</v>
      </c>
      <c r="F5193">
        <v>62500</v>
      </c>
      <c r="G5193" t="s">
        <v>17</v>
      </c>
      <c r="I5193" t="s">
        <v>16</v>
      </c>
      <c r="J5193" t="s">
        <v>180</v>
      </c>
      <c r="K5193" t="s">
        <v>25</v>
      </c>
      <c r="L5193">
        <v>132757294</v>
      </c>
      <c r="R5193">
        <v>9556</v>
      </c>
      <c r="S5193" t="s">
        <v>37</v>
      </c>
      <c r="T5193">
        <v>5</v>
      </c>
      <c r="U5193">
        <v>0</v>
      </c>
      <c r="V5193">
        <v>1.5247999999999999</v>
      </c>
      <c r="W5193">
        <v>1.5247999999999999</v>
      </c>
      <c r="X5193">
        <v>0</v>
      </c>
    </row>
    <row r="5194" spans="1:40" x14ac:dyDescent="0.25">
      <c r="A5194" t="s">
        <v>15</v>
      </c>
      <c r="B5194" t="s">
        <v>24</v>
      </c>
      <c r="C5194">
        <v>20150316</v>
      </c>
      <c r="D5194">
        <v>0</v>
      </c>
      <c r="F5194">
        <v>62500</v>
      </c>
      <c r="G5194" t="s">
        <v>17</v>
      </c>
      <c r="I5194" t="s">
        <v>16</v>
      </c>
      <c r="J5194" t="s">
        <v>180</v>
      </c>
      <c r="K5194" t="s">
        <v>25</v>
      </c>
      <c r="L5194">
        <v>132757294</v>
      </c>
      <c r="R5194">
        <v>9556</v>
      </c>
      <c r="S5194" t="s">
        <v>37</v>
      </c>
      <c r="T5194">
        <v>5</v>
      </c>
      <c r="U5194">
        <v>0</v>
      </c>
      <c r="V5194">
        <v>1.5247999999999999</v>
      </c>
      <c r="W5194">
        <v>1.5247999999999999</v>
      </c>
      <c r="X5194">
        <v>0</v>
      </c>
    </row>
    <row r="5195" spans="1:40" x14ac:dyDescent="0.25">
      <c r="A5195" t="s">
        <v>15</v>
      </c>
      <c r="B5195" t="s">
        <v>24</v>
      </c>
      <c r="C5195">
        <v>20150316</v>
      </c>
      <c r="D5195">
        <v>0</v>
      </c>
      <c r="F5195">
        <v>62500</v>
      </c>
      <c r="G5195" t="s">
        <v>17</v>
      </c>
      <c r="I5195" t="s">
        <v>16</v>
      </c>
      <c r="J5195" t="s">
        <v>180</v>
      </c>
      <c r="K5195" t="s">
        <v>25</v>
      </c>
      <c r="L5195">
        <v>132757294</v>
      </c>
      <c r="R5195">
        <v>9557</v>
      </c>
      <c r="S5195" t="s">
        <v>232</v>
      </c>
      <c r="T5195">
        <v>0</v>
      </c>
      <c r="U5195">
        <v>-5</v>
      </c>
      <c r="V5195">
        <v>0</v>
      </c>
      <c r="W5195">
        <v>0</v>
      </c>
      <c r="X5195">
        <v>0</v>
      </c>
    </row>
    <row r="5196" spans="1:40" x14ac:dyDescent="0.25">
      <c r="A5196" t="s">
        <v>15</v>
      </c>
      <c r="B5196" t="s">
        <v>24</v>
      </c>
      <c r="C5196">
        <v>20150316</v>
      </c>
      <c r="D5196">
        <v>0</v>
      </c>
      <c r="F5196">
        <v>62500</v>
      </c>
      <c r="G5196" t="s">
        <v>17</v>
      </c>
      <c r="I5196" t="s">
        <v>16</v>
      </c>
      <c r="J5196" t="s">
        <v>180</v>
      </c>
      <c r="K5196" t="s">
        <v>25</v>
      </c>
      <c r="L5196">
        <v>132757294</v>
      </c>
      <c r="R5196">
        <v>9557</v>
      </c>
      <c r="S5196" t="s">
        <v>232</v>
      </c>
      <c r="T5196">
        <v>0</v>
      </c>
      <c r="U5196">
        <v>-5</v>
      </c>
      <c r="V5196">
        <v>0</v>
      </c>
      <c r="W5196">
        <v>0</v>
      </c>
      <c r="X5196">
        <v>0</v>
      </c>
      <c r="Y5196">
        <v>9557</v>
      </c>
      <c r="Z5196" t="s">
        <v>270</v>
      </c>
      <c r="AA5196" t="s">
        <v>271</v>
      </c>
      <c r="AB5196" t="s">
        <v>234</v>
      </c>
      <c r="AC5196" t="s">
        <v>17</v>
      </c>
      <c r="AD5196" t="s">
        <v>237</v>
      </c>
      <c r="AE5196">
        <v>5</v>
      </c>
      <c r="AF5196">
        <v>5</v>
      </c>
      <c r="AG5196">
        <v>1.5247999999999999</v>
      </c>
      <c r="AH5196">
        <v>1.5247999999999999</v>
      </c>
      <c r="AI5196">
        <v>415886590</v>
      </c>
      <c r="AJ5196">
        <v>0</v>
      </c>
      <c r="AK5196">
        <v>7</v>
      </c>
      <c r="AN5196">
        <v>0</v>
      </c>
    </row>
    <row r="5197" spans="1:40" x14ac:dyDescent="0.25">
      <c r="A5197" t="s">
        <v>15</v>
      </c>
      <c r="B5197" t="s">
        <v>24</v>
      </c>
      <c r="C5197">
        <v>20150316</v>
      </c>
      <c r="D5197">
        <v>0</v>
      </c>
      <c r="F5197">
        <v>62500</v>
      </c>
      <c r="G5197" t="s">
        <v>17</v>
      </c>
      <c r="I5197" t="s">
        <v>16</v>
      </c>
      <c r="J5197" t="s">
        <v>180</v>
      </c>
      <c r="K5197" t="s">
        <v>25</v>
      </c>
      <c r="L5197">
        <v>132757294</v>
      </c>
      <c r="R5197">
        <v>9557</v>
      </c>
      <c r="S5197" t="s">
        <v>232</v>
      </c>
      <c r="T5197">
        <v>0</v>
      </c>
      <c r="U5197">
        <v>-5</v>
      </c>
      <c r="V5197">
        <v>0</v>
      </c>
      <c r="W5197">
        <v>0</v>
      </c>
      <c r="X5197">
        <v>0</v>
      </c>
    </row>
    <row r="5198" spans="1:40" x14ac:dyDescent="0.25">
      <c r="A5198" t="s">
        <v>15</v>
      </c>
      <c r="B5198" t="s">
        <v>24</v>
      </c>
      <c r="C5198">
        <v>20150316</v>
      </c>
      <c r="D5198">
        <v>0</v>
      </c>
      <c r="F5198">
        <v>62500</v>
      </c>
      <c r="G5198" t="s">
        <v>17</v>
      </c>
      <c r="I5198" t="s">
        <v>16</v>
      </c>
      <c r="J5198" t="s">
        <v>180</v>
      </c>
      <c r="K5198" t="s">
        <v>25</v>
      </c>
      <c r="L5198">
        <v>132757294</v>
      </c>
      <c r="R5198">
        <v>9557</v>
      </c>
      <c r="S5198" t="s">
        <v>37</v>
      </c>
      <c r="T5198">
        <v>5</v>
      </c>
      <c r="U5198">
        <v>0</v>
      </c>
      <c r="V5198">
        <v>1.5247999999999999</v>
      </c>
      <c r="W5198">
        <v>1.5247999999999999</v>
      </c>
      <c r="X5198">
        <v>0</v>
      </c>
    </row>
    <row r="5199" spans="1:40" x14ac:dyDescent="0.25">
      <c r="A5199" t="s">
        <v>15</v>
      </c>
      <c r="B5199" t="s">
        <v>24</v>
      </c>
      <c r="C5199">
        <v>20150316</v>
      </c>
      <c r="D5199">
        <v>0</v>
      </c>
      <c r="F5199">
        <v>62500</v>
      </c>
      <c r="G5199" t="s">
        <v>17</v>
      </c>
      <c r="I5199" t="s">
        <v>16</v>
      </c>
      <c r="J5199" t="s">
        <v>180</v>
      </c>
      <c r="K5199" t="s">
        <v>25</v>
      </c>
      <c r="L5199">
        <v>132757294</v>
      </c>
      <c r="R5199">
        <v>9557</v>
      </c>
      <c r="S5199" t="s">
        <v>37</v>
      </c>
      <c r="T5199">
        <v>5</v>
      </c>
      <c r="U5199">
        <v>0</v>
      </c>
      <c r="V5199">
        <v>1.5247999999999999</v>
      </c>
      <c r="W5199">
        <v>1.5247999999999999</v>
      </c>
      <c r="X5199">
        <v>0</v>
      </c>
    </row>
    <row r="5200" spans="1:40" x14ac:dyDescent="0.25">
      <c r="A5200" t="s">
        <v>15</v>
      </c>
      <c r="B5200" t="s">
        <v>24</v>
      </c>
      <c r="C5200">
        <v>20150316</v>
      </c>
      <c r="D5200">
        <v>0</v>
      </c>
      <c r="F5200">
        <v>62500</v>
      </c>
      <c r="G5200" t="s">
        <v>17</v>
      </c>
      <c r="I5200" t="s">
        <v>16</v>
      </c>
      <c r="J5200" t="s">
        <v>180</v>
      </c>
      <c r="K5200" t="s">
        <v>25</v>
      </c>
      <c r="L5200">
        <v>132757294</v>
      </c>
      <c r="R5200">
        <v>9557</v>
      </c>
      <c r="S5200" t="s">
        <v>37</v>
      </c>
      <c r="T5200">
        <v>5</v>
      </c>
      <c r="U5200">
        <v>0</v>
      </c>
      <c r="V5200">
        <v>1.5247999999999999</v>
      </c>
      <c r="W5200">
        <v>1.5247999999999999</v>
      </c>
      <c r="X5200">
        <v>0</v>
      </c>
    </row>
    <row r="5201" spans="1:40" x14ac:dyDescent="0.25">
      <c r="A5201" t="s">
        <v>15</v>
      </c>
      <c r="B5201" t="s">
        <v>24</v>
      </c>
      <c r="C5201">
        <v>20150316</v>
      </c>
      <c r="D5201">
        <v>0</v>
      </c>
      <c r="F5201">
        <v>62500</v>
      </c>
      <c r="G5201" t="s">
        <v>17</v>
      </c>
      <c r="I5201" t="s">
        <v>16</v>
      </c>
      <c r="J5201" t="s">
        <v>180</v>
      </c>
      <c r="K5201" t="s">
        <v>25</v>
      </c>
      <c r="L5201">
        <v>132757294</v>
      </c>
      <c r="R5201">
        <v>9557</v>
      </c>
      <c r="S5201" t="s">
        <v>37</v>
      </c>
      <c r="T5201">
        <v>5</v>
      </c>
      <c r="U5201">
        <v>0</v>
      </c>
      <c r="V5201">
        <v>1.5247999999999999</v>
      </c>
      <c r="W5201">
        <v>1.5247999999999999</v>
      </c>
      <c r="X5201">
        <v>0</v>
      </c>
    </row>
    <row r="5202" spans="1:40" x14ac:dyDescent="0.25">
      <c r="A5202" t="s">
        <v>15</v>
      </c>
      <c r="B5202" t="s">
        <v>24</v>
      </c>
      <c r="C5202">
        <v>20150316</v>
      </c>
      <c r="D5202">
        <v>0</v>
      </c>
      <c r="F5202">
        <v>62500</v>
      </c>
      <c r="G5202" t="s">
        <v>17</v>
      </c>
      <c r="I5202" t="s">
        <v>16</v>
      </c>
      <c r="J5202" t="s">
        <v>180</v>
      </c>
      <c r="K5202" t="s">
        <v>25</v>
      </c>
      <c r="L5202">
        <v>132757294</v>
      </c>
      <c r="R5202">
        <v>9557</v>
      </c>
      <c r="S5202" t="s">
        <v>37</v>
      </c>
      <c r="T5202">
        <v>5</v>
      </c>
      <c r="U5202">
        <v>0</v>
      </c>
      <c r="V5202">
        <v>1.5247999999999999</v>
      </c>
      <c r="W5202">
        <v>1.5247999999999999</v>
      </c>
      <c r="X5202">
        <v>0</v>
      </c>
    </row>
    <row r="5203" spans="1:40" x14ac:dyDescent="0.25">
      <c r="A5203" t="s">
        <v>15</v>
      </c>
      <c r="B5203" t="s">
        <v>24</v>
      </c>
      <c r="C5203">
        <v>20150316</v>
      </c>
      <c r="D5203">
        <v>0</v>
      </c>
      <c r="F5203">
        <v>62500</v>
      </c>
      <c r="G5203" t="s">
        <v>17</v>
      </c>
      <c r="I5203" t="s">
        <v>16</v>
      </c>
      <c r="J5203" t="s">
        <v>180</v>
      </c>
      <c r="K5203" t="s">
        <v>25</v>
      </c>
      <c r="L5203">
        <v>132757294</v>
      </c>
      <c r="R5203">
        <v>9557</v>
      </c>
      <c r="S5203" t="s">
        <v>37</v>
      </c>
      <c r="T5203">
        <v>5</v>
      </c>
      <c r="U5203">
        <v>0</v>
      </c>
      <c r="V5203">
        <v>1.5247999999999999</v>
      </c>
      <c r="W5203">
        <v>1.5247999999999999</v>
      </c>
      <c r="X5203">
        <v>0</v>
      </c>
    </row>
    <row r="5204" spans="1:40" x14ac:dyDescent="0.25">
      <c r="A5204" t="s">
        <v>15</v>
      </c>
      <c r="B5204" t="s">
        <v>24</v>
      </c>
      <c r="C5204">
        <v>20150316</v>
      </c>
      <c r="D5204">
        <v>0</v>
      </c>
      <c r="F5204">
        <v>62500</v>
      </c>
      <c r="G5204" t="s">
        <v>17</v>
      </c>
      <c r="I5204" t="s">
        <v>16</v>
      </c>
      <c r="J5204" t="s">
        <v>180</v>
      </c>
      <c r="K5204" t="s">
        <v>25</v>
      </c>
      <c r="L5204">
        <v>132757294</v>
      </c>
      <c r="R5204">
        <v>9557</v>
      </c>
      <c r="S5204" t="s">
        <v>37</v>
      </c>
      <c r="T5204">
        <v>5</v>
      </c>
      <c r="U5204">
        <v>0</v>
      </c>
      <c r="V5204">
        <v>1.5247999999999999</v>
      </c>
      <c r="W5204">
        <v>1.5247999999999999</v>
      </c>
      <c r="X5204">
        <v>0</v>
      </c>
    </row>
    <row r="5205" spans="1:40" x14ac:dyDescent="0.25">
      <c r="A5205" t="s">
        <v>15</v>
      </c>
      <c r="B5205" t="s">
        <v>24</v>
      </c>
      <c r="C5205">
        <v>20150316</v>
      </c>
      <c r="D5205">
        <v>0</v>
      </c>
      <c r="F5205">
        <v>62500</v>
      </c>
      <c r="G5205" t="s">
        <v>17</v>
      </c>
      <c r="I5205" t="s">
        <v>16</v>
      </c>
      <c r="J5205" t="s">
        <v>180</v>
      </c>
      <c r="K5205" t="s">
        <v>25</v>
      </c>
      <c r="L5205">
        <v>132757294</v>
      </c>
      <c r="R5205">
        <v>9557</v>
      </c>
      <c r="S5205" t="s">
        <v>37</v>
      </c>
      <c r="T5205">
        <v>5</v>
      </c>
      <c r="U5205">
        <v>0</v>
      </c>
      <c r="V5205">
        <v>1.5247999999999999</v>
      </c>
      <c r="W5205">
        <v>1.5247999999999999</v>
      </c>
      <c r="X5205">
        <v>0</v>
      </c>
    </row>
    <row r="5206" spans="1:40" x14ac:dyDescent="0.25">
      <c r="A5206" t="s">
        <v>15</v>
      </c>
      <c r="B5206" t="s">
        <v>24</v>
      </c>
      <c r="C5206">
        <v>20150316</v>
      </c>
      <c r="D5206">
        <v>0</v>
      </c>
      <c r="F5206">
        <v>62500</v>
      </c>
      <c r="G5206" t="s">
        <v>17</v>
      </c>
      <c r="I5206" t="s">
        <v>16</v>
      </c>
      <c r="J5206" t="s">
        <v>180</v>
      </c>
      <c r="K5206" t="s">
        <v>25</v>
      </c>
      <c r="L5206">
        <v>132757294</v>
      </c>
      <c r="R5206">
        <v>9558</v>
      </c>
      <c r="S5206" t="s">
        <v>232</v>
      </c>
      <c r="T5206">
        <v>0</v>
      </c>
      <c r="U5206">
        <v>-5</v>
      </c>
      <c r="V5206">
        <v>0</v>
      </c>
      <c r="W5206">
        <v>0</v>
      </c>
      <c r="X5206">
        <v>0</v>
      </c>
    </row>
    <row r="5207" spans="1:40" x14ac:dyDescent="0.25">
      <c r="A5207" t="s">
        <v>15</v>
      </c>
      <c r="B5207" t="s">
        <v>24</v>
      </c>
      <c r="C5207">
        <v>20150316</v>
      </c>
      <c r="D5207">
        <v>0</v>
      </c>
      <c r="F5207">
        <v>62500</v>
      </c>
      <c r="G5207" t="s">
        <v>17</v>
      </c>
      <c r="I5207" t="s">
        <v>16</v>
      </c>
      <c r="J5207" t="s">
        <v>180</v>
      </c>
      <c r="K5207" t="s">
        <v>25</v>
      </c>
      <c r="L5207">
        <v>132757294</v>
      </c>
      <c r="R5207">
        <v>9558</v>
      </c>
      <c r="S5207" t="s">
        <v>232</v>
      </c>
      <c r="T5207">
        <v>0</v>
      </c>
      <c r="U5207">
        <v>-5</v>
      </c>
      <c r="V5207">
        <v>0</v>
      </c>
      <c r="W5207">
        <v>0</v>
      </c>
      <c r="X5207">
        <v>0</v>
      </c>
      <c r="Y5207">
        <v>9558</v>
      </c>
      <c r="Z5207" t="s">
        <v>272</v>
      </c>
      <c r="AA5207" t="s">
        <v>273</v>
      </c>
      <c r="AB5207" t="s">
        <v>234</v>
      </c>
      <c r="AC5207" t="s">
        <v>17</v>
      </c>
      <c r="AD5207" t="s">
        <v>237</v>
      </c>
      <c r="AE5207">
        <v>5</v>
      </c>
      <c r="AF5207">
        <v>5</v>
      </c>
      <c r="AG5207">
        <v>1.5247999999999999</v>
      </c>
      <c r="AH5207">
        <v>1.5247999999999999</v>
      </c>
      <c r="AI5207">
        <v>415886591</v>
      </c>
      <c r="AJ5207">
        <v>0</v>
      </c>
      <c r="AK5207">
        <v>7</v>
      </c>
      <c r="AN5207">
        <v>0</v>
      </c>
    </row>
    <row r="5208" spans="1:40" x14ac:dyDescent="0.25">
      <c r="A5208" t="s">
        <v>15</v>
      </c>
      <c r="B5208" t="s">
        <v>24</v>
      </c>
      <c r="C5208">
        <v>20150316</v>
      </c>
      <c r="D5208">
        <v>0</v>
      </c>
      <c r="F5208">
        <v>62500</v>
      </c>
      <c r="G5208" t="s">
        <v>17</v>
      </c>
      <c r="I5208" t="s">
        <v>16</v>
      </c>
      <c r="J5208" t="s">
        <v>180</v>
      </c>
      <c r="K5208" t="s">
        <v>25</v>
      </c>
      <c r="L5208">
        <v>132757294</v>
      </c>
      <c r="R5208">
        <v>9558</v>
      </c>
      <c r="S5208" t="s">
        <v>232</v>
      </c>
      <c r="T5208">
        <v>0</v>
      </c>
      <c r="U5208">
        <v>-5</v>
      </c>
      <c r="V5208">
        <v>0</v>
      </c>
      <c r="W5208">
        <v>0</v>
      </c>
      <c r="X5208">
        <v>0</v>
      </c>
    </row>
    <row r="5209" spans="1:40" x14ac:dyDescent="0.25">
      <c r="A5209" t="s">
        <v>15</v>
      </c>
      <c r="B5209" t="s">
        <v>24</v>
      </c>
      <c r="C5209">
        <v>20150316</v>
      </c>
      <c r="D5209">
        <v>0</v>
      </c>
      <c r="F5209">
        <v>62500</v>
      </c>
      <c r="G5209" t="s">
        <v>17</v>
      </c>
      <c r="I5209" t="s">
        <v>16</v>
      </c>
      <c r="J5209" t="s">
        <v>180</v>
      </c>
      <c r="K5209" t="s">
        <v>25</v>
      </c>
      <c r="L5209">
        <v>132757294</v>
      </c>
      <c r="R5209">
        <v>9558</v>
      </c>
      <c r="S5209" t="s">
        <v>37</v>
      </c>
      <c r="T5209">
        <v>5</v>
      </c>
      <c r="U5209">
        <v>0</v>
      </c>
      <c r="V5209">
        <v>1.5247999999999999</v>
      </c>
      <c r="W5209">
        <v>1.5247999999999999</v>
      </c>
      <c r="X5209">
        <v>0</v>
      </c>
    </row>
    <row r="5210" spans="1:40" x14ac:dyDescent="0.25">
      <c r="A5210" t="s">
        <v>15</v>
      </c>
      <c r="B5210" t="s">
        <v>24</v>
      </c>
      <c r="C5210">
        <v>20150316</v>
      </c>
      <c r="D5210">
        <v>0</v>
      </c>
      <c r="F5210">
        <v>62500</v>
      </c>
      <c r="G5210" t="s">
        <v>17</v>
      </c>
      <c r="I5210" t="s">
        <v>16</v>
      </c>
      <c r="J5210" t="s">
        <v>180</v>
      </c>
      <c r="K5210" t="s">
        <v>25</v>
      </c>
      <c r="L5210">
        <v>132757294</v>
      </c>
      <c r="R5210">
        <v>9558</v>
      </c>
      <c r="S5210" t="s">
        <v>37</v>
      </c>
      <c r="T5210">
        <v>5</v>
      </c>
      <c r="U5210">
        <v>0</v>
      </c>
      <c r="V5210">
        <v>1.5247999999999999</v>
      </c>
      <c r="W5210">
        <v>1.5247999999999999</v>
      </c>
      <c r="X5210">
        <v>0</v>
      </c>
    </row>
    <row r="5211" spans="1:40" x14ac:dyDescent="0.25">
      <c r="A5211" t="s">
        <v>15</v>
      </c>
      <c r="B5211" t="s">
        <v>24</v>
      </c>
      <c r="C5211">
        <v>20150316</v>
      </c>
      <c r="D5211">
        <v>0</v>
      </c>
      <c r="F5211">
        <v>62500</v>
      </c>
      <c r="G5211" t="s">
        <v>17</v>
      </c>
      <c r="I5211" t="s">
        <v>16</v>
      </c>
      <c r="J5211" t="s">
        <v>180</v>
      </c>
      <c r="K5211" t="s">
        <v>25</v>
      </c>
      <c r="L5211">
        <v>132757294</v>
      </c>
      <c r="R5211">
        <v>9558</v>
      </c>
      <c r="S5211" t="s">
        <v>37</v>
      </c>
      <c r="T5211">
        <v>5</v>
      </c>
      <c r="U5211">
        <v>0</v>
      </c>
      <c r="V5211">
        <v>1.5247999999999999</v>
      </c>
      <c r="W5211">
        <v>1.5247999999999999</v>
      </c>
      <c r="X5211">
        <v>0</v>
      </c>
    </row>
    <row r="5212" spans="1:40" x14ac:dyDescent="0.25">
      <c r="A5212" t="s">
        <v>15</v>
      </c>
      <c r="B5212" t="s">
        <v>24</v>
      </c>
      <c r="C5212">
        <v>20150316</v>
      </c>
      <c r="D5212">
        <v>0</v>
      </c>
      <c r="F5212">
        <v>62500</v>
      </c>
      <c r="G5212" t="s">
        <v>17</v>
      </c>
      <c r="I5212" t="s">
        <v>16</v>
      </c>
      <c r="J5212" t="s">
        <v>180</v>
      </c>
      <c r="K5212" t="s">
        <v>25</v>
      </c>
      <c r="L5212">
        <v>132757294</v>
      </c>
      <c r="R5212">
        <v>9558</v>
      </c>
      <c r="S5212" t="s">
        <v>37</v>
      </c>
      <c r="T5212">
        <v>5</v>
      </c>
      <c r="U5212">
        <v>0</v>
      </c>
      <c r="V5212">
        <v>1.5247999999999999</v>
      </c>
      <c r="W5212">
        <v>1.5247999999999999</v>
      </c>
      <c r="X5212">
        <v>0</v>
      </c>
    </row>
    <row r="5213" spans="1:40" x14ac:dyDescent="0.25">
      <c r="A5213" t="s">
        <v>15</v>
      </c>
      <c r="B5213" t="s">
        <v>24</v>
      </c>
      <c r="C5213">
        <v>20150316</v>
      </c>
      <c r="D5213">
        <v>0</v>
      </c>
      <c r="F5213">
        <v>62500</v>
      </c>
      <c r="G5213" t="s">
        <v>17</v>
      </c>
      <c r="I5213" t="s">
        <v>16</v>
      </c>
      <c r="J5213" t="s">
        <v>180</v>
      </c>
      <c r="K5213" t="s">
        <v>25</v>
      </c>
      <c r="L5213">
        <v>132757294</v>
      </c>
      <c r="R5213">
        <v>9558</v>
      </c>
      <c r="S5213" t="s">
        <v>37</v>
      </c>
      <c r="T5213">
        <v>5</v>
      </c>
      <c r="U5213">
        <v>0</v>
      </c>
      <c r="V5213">
        <v>1.5247999999999999</v>
      </c>
      <c r="W5213">
        <v>1.5247999999999999</v>
      </c>
      <c r="X5213">
        <v>0</v>
      </c>
    </row>
    <row r="5214" spans="1:40" x14ac:dyDescent="0.25">
      <c r="A5214" t="s">
        <v>15</v>
      </c>
      <c r="B5214" t="s">
        <v>24</v>
      </c>
      <c r="C5214">
        <v>20150316</v>
      </c>
      <c r="D5214">
        <v>0</v>
      </c>
      <c r="F5214">
        <v>62500</v>
      </c>
      <c r="G5214" t="s">
        <v>17</v>
      </c>
      <c r="I5214" t="s">
        <v>16</v>
      </c>
      <c r="J5214" t="s">
        <v>180</v>
      </c>
      <c r="K5214" t="s">
        <v>25</v>
      </c>
      <c r="L5214">
        <v>132757294</v>
      </c>
      <c r="R5214">
        <v>9558</v>
      </c>
      <c r="S5214" t="s">
        <v>37</v>
      </c>
      <c r="T5214">
        <v>5</v>
      </c>
      <c r="U5214">
        <v>0</v>
      </c>
      <c r="V5214">
        <v>1.5247999999999999</v>
      </c>
      <c r="W5214">
        <v>1.5247999999999999</v>
      </c>
      <c r="X5214">
        <v>0</v>
      </c>
    </row>
    <row r="5215" spans="1:40" x14ac:dyDescent="0.25">
      <c r="A5215" t="s">
        <v>15</v>
      </c>
      <c r="B5215" t="s">
        <v>24</v>
      </c>
      <c r="C5215">
        <v>20150316</v>
      </c>
      <c r="D5215">
        <v>0</v>
      </c>
      <c r="F5215">
        <v>62500</v>
      </c>
      <c r="G5215" t="s">
        <v>17</v>
      </c>
      <c r="I5215" t="s">
        <v>16</v>
      </c>
      <c r="J5215" t="s">
        <v>180</v>
      </c>
      <c r="K5215" t="s">
        <v>25</v>
      </c>
      <c r="L5215">
        <v>132757294</v>
      </c>
      <c r="R5215">
        <v>9558</v>
      </c>
      <c r="S5215" t="s">
        <v>37</v>
      </c>
      <c r="T5215">
        <v>5</v>
      </c>
      <c r="U5215">
        <v>0</v>
      </c>
      <c r="V5215">
        <v>1.5247999999999999</v>
      </c>
      <c r="W5215">
        <v>1.5247999999999999</v>
      </c>
      <c r="X5215">
        <v>0</v>
      </c>
    </row>
    <row r="5216" spans="1:40" x14ac:dyDescent="0.25">
      <c r="A5216" t="s">
        <v>15</v>
      </c>
      <c r="B5216" t="s">
        <v>24</v>
      </c>
      <c r="C5216">
        <v>20150316</v>
      </c>
      <c r="D5216">
        <v>0</v>
      </c>
      <c r="F5216">
        <v>62500</v>
      </c>
      <c r="G5216" t="s">
        <v>17</v>
      </c>
      <c r="I5216" t="s">
        <v>16</v>
      </c>
      <c r="J5216" t="s">
        <v>180</v>
      </c>
      <c r="K5216" t="s">
        <v>25</v>
      </c>
      <c r="L5216">
        <v>132757294</v>
      </c>
      <c r="R5216">
        <v>9558</v>
      </c>
      <c r="S5216" t="s">
        <v>37</v>
      </c>
      <c r="T5216">
        <v>5</v>
      </c>
      <c r="U5216">
        <v>0</v>
      </c>
      <c r="V5216">
        <v>1.5247999999999999</v>
      </c>
      <c r="W5216">
        <v>1.5247999999999999</v>
      </c>
      <c r="X5216">
        <v>0</v>
      </c>
    </row>
    <row r="5217" spans="1:40" x14ac:dyDescent="0.25">
      <c r="A5217" t="s">
        <v>15</v>
      </c>
      <c r="B5217" t="s">
        <v>24</v>
      </c>
      <c r="C5217">
        <v>20150316</v>
      </c>
      <c r="D5217">
        <v>0</v>
      </c>
      <c r="F5217">
        <v>62500</v>
      </c>
      <c r="G5217" t="s">
        <v>17</v>
      </c>
      <c r="I5217" t="s">
        <v>16</v>
      </c>
      <c r="J5217" t="s">
        <v>180</v>
      </c>
      <c r="K5217" t="s">
        <v>25</v>
      </c>
      <c r="L5217">
        <v>132757294</v>
      </c>
      <c r="R5217">
        <v>9559</v>
      </c>
      <c r="S5217" t="s">
        <v>232</v>
      </c>
      <c r="T5217">
        <v>0</v>
      </c>
      <c r="U5217">
        <v>-5</v>
      </c>
      <c r="V5217">
        <v>0</v>
      </c>
      <c r="W5217">
        <v>0</v>
      </c>
      <c r="X5217">
        <v>0</v>
      </c>
    </row>
    <row r="5218" spans="1:40" x14ac:dyDescent="0.25">
      <c r="A5218" t="s">
        <v>15</v>
      </c>
      <c r="B5218" t="s">
        <v>24</v>
      </c>
      <c r="C5218">
        <v>20150316</v>
      </c>
      <c r="D5218">
        <v>0</v>
      </c>
      <c r="F5218">
        <v>62500</v>
      </c>
      <c r="G5218" t="s">
        <v>17</v>
      </c>
      <c r="I5218" t="s">
        <v>16</v>
      </c>
      <c r="J5218" t="s">
        <v>180</v>
      </c>
      <c r="K5218" t="s">
        <v>25</v>
      </c>
      <c r="L5218">
        <v>132757294</v>
      </c>
      <c r="R5218">
        <v>9560</v>
      </c>
      <c r="S5218" t="s">
        <v>232</v>
      </c>
      <c r="T5218">
        <v>0</v>
      </c>
      <c r="U5218">
        <v>14</v>
      </c>
      <c r="V5218">
        <v>0</v>
      </c>
      <c r="W5218">
        <v>0</v>
      </c>
      <c r="X5218">
        <v>0</v>
      </c>
    </row>
    <row r="5219" spans="1:40" x14ac:dyDescent="0.25">
      <c r="A5219" t="s">
        <v>15</v>
      </c>
      <c r="B5219" t="s">
        <v>24</v>
      </c>
      <c r="C5219">
        <v>20150316</v>
      </c>
      <c r="D5219">
        <v>0</v>
      </c>
      <c r="F5219">
        <v>62500</v>
      </c>
      <c r="G5219" t="s">
        <v>17</v>
      </c>
      <c r="I5219" t="s">
        <v>16</v>
      </c>
      <c r="J5219" t="s">
        <v>180</v>
      </c>
      <c r="K5219" t="s">
        <v>25</v>
      </c>
      <c r="L5219">
        <v>132757294</v>
      </c>
      <c r="R5219">
        <v>9559</v>
      </c>
      <c r="S5219" t="s">
        <v>232</v>
      </c>
      <c r="T5219">
        <v>0</v>
      </c>
      <c r="U5219">
        <v>-5</v>
      </c>
      <c r="V5219">
        <v>0</v>
      </c>
      <c r="W5219">
        <v>0</v>
      </c>
      <c r="X5219">
        <v>0</v>
      </c>
      <c r="Y5219">
        <v>9559</v>
      </c>
      <c r="Z5219" t="s">
        <v>274</v>
      </c>
      <c r="AA5219" t="s">
        <v>275</v>
      </c>
      <c r="AB5219" t="s">
        <v>234</v>
      </c>
      <c r="AC5219" t="s">
        <v>17</v>
      </c>
      <c r="AD5219" t="s">
        <v>237</v>
      </c>
      <c r="AE5219">
        <v>1</v>
      </c>
      <c r="AF5219">
        <v>1</v>
      </c>
      <c r="AG5219">
        <v>1.5247999999999999</v>
      </c>
      <c r="AH5219">
        <v>1.5247999999999999</v>
      </c>
      <c r="AI5219">
        <v>415886592</v>
      </c>
      <c r="AJ5219">
        <v>0</v>
      </c>
      <c r="AK5219">
        <v>7</v>
      </c>
      <c r="AN5219">
        <v>0</v>
      </c>
    </row>
    <row r="5220" spans="1:40" x14ac:dyDescent="0.25">
      <c r="A5220" t="s">
        <v>15</v>
      </c>
      <c r="B5220" t="s">
        <v>24</v>
      </c>
      <c r="C5220">
        <v>20150316</v>
      </c>
      <c r="D5220">
        <v>0</v>
      </c>
      <c r="F5220">
        <v>62500</v>
      </c>
      <c r="G5220" t="s">
        <v>17</v>
      </c>
      <c r="I5220" t="s">
        <v>16</v>
      </c>
      <c r="J5220" t="s">
        <v>180</v>
      </c>
      <c r="K5220" t="s">
        <v>25</v>
      </c>
      <c r="L5220">
        <v>132757294</v>
      </c>
      <c r="R5220">
        <v>9559</v>
      </c>
      <c r="S5220" t="s">
        <v>232</v>
      </c>
      <c r="T5220">
        <v>0</v>
      </c>
      <c r="U5220">
        <v>-5</v>
      </c>
      <c r="V5220">
        <v>0</v>
      </c>
      <c r="W5220">
        <v>0</v>
      </c>
      <c r="X5220">
        <v>0</v>
      </c>
    </row>
    <row r="5221" spans="1:40" x14ac:dyDescent="0.25">
      <c r="A5221" t="s">
        <v>15</v>
      </c>
      <c r="B5221" t="s">
        <v>24</v>
      </c>
      <c r="C5221">
        <v>20150316</v>
      </c>
      <c r="D5221">
        <v>0</v>
      </c>
      <c r="F5221">
        <v>62500</v>
      </c>
      <c r="G5221" t="s">
        <v>17</v>
      </c>
      <c r="I5221" t="s">
        <v>16</v>
      </c>
      <c r="J5221" t="s">
        <v>180</v>
      </c>
      <c r="K5221" t="s">
        <v>25</v>
      </c>
      <c r="L5221">
        <v>132757294</v>
      </c>
      <c r="R5221">
        <v>9559</v>
      </c>
      <c r="S5221" t="s">
        <v>236</v>
      </c>
      <c r="T5221">
        <v>1</v>
      </c>
      <c r="U5221">
        <v>4</v>
      </c>
      <c r="V5221">
        <v>1.5247999999999999</v>
      </c>
      <c r="W5221">
        <v>1.5247999999999999</v>
      </c>
      <c r="X5221">
        <v>0</v>
      </c>
    </row>
    <row r="5222" spans="1:40" x14ac:dyDescent="0.25">
      <c r="A5222" t="s">
        <v>15</v>
      </c>
      <c r="B5222" t="s">
        <v>24</v>
      </c>
      <c r="C5222">
        <v>20150316</v>
      </c>
      <c r="D5222">
        <v>0</v>
      </c>
      <c r="F5222">
        <v>62500</v>
      </c>
      <c r="G5222" t="s">
        <v>17</v>
      </c>
      <c r="I5222" t="s">
        <v>16</v>
      </c>
      <c r="J5222" t="s">
        <v>180</v>
      </c>
      <c r="K5222" t="s">
        <v>25</v>
      </c>
      <c r="L5222">
        <v>132757294</v>
      </c>
      <c r="R5222">
        <v>9559</v>
      </c>
      <c r="S5222" t="s">
        <v>236</v>
      </c>
      <c r="T5222">
        <v>1</v>
      </c>
      <c r="U5222">
        <v>4</v>
      </c>
      <c r="V5222">
        <v>1.5247999999999999</v>
      </c>
      <c r="W5222">
        <v>1.5247999999999999</v>
      </c>
      <c r="X5222">
        <v>0</v>
      </c>
    </row>
    <row r="5223" spans="1:40" x14ac:dyDescent="0.25">
      <c r="A5223" t="s">
        <v>15</v>
      </c>
      <c r="B5223" t="s">
        <v>24</v>
      </c>
      <c r="C5223">
        <v>20150316</v>
      </c>
      <c r="D5223">
        <v>0</v>
      </c>
      <c r="F5223">
        <v>62500</v>
      </c>
      <c r="G5223" t="s">
        <v>17</v>
      </c>
      <c r="I5223" t="s">
        <v>16</v>
      </c>
      <c r="J5223" t="s">
        <v>180</v>
      </c>
      <c r="K5223" t="s">
        <v>25</v>
      </c>
      <c r="L5223">
        <v>132757294</v>
      </c>
      <c r="R5223">
        <v>9559</v>
      </c>
      <c r="S5223" t="s">
        <v>233</v>
      </c>
      <c r="T5223">
        <v>1</v>
      </c>
      <c r="U5223">
        <v>4</v>
      </c>
      <c r="V5223">
        <v>1.5247999999999999</v>
      </c>
      <c r="W5223">
        <v>1.5247999999999999</v>
      </c>
      <c r="X5223">
        <v>0</v>
      </c>
    </row>
    <row r="5224" spans="1:40" x14ac:dyDescent="0.25">
      <c r="A5224" t="s">
        <v>15</v>
      </c>
      <c r="B5224" t="s">
        <v>24</v>
      </c>
      <c r="C5224">
        <v>20150316</v>
      </c>
      <c r="D5224">
        <v>0</v>
      </c>
      <c r="F5224">
        <v>62500</v>
      </c>
      <c r="G5224" t="s">
        <v>17</v>
      </c>
      <c r="I5224" t="s">
        <v>16</v>
      </c>
      <c r="J5224" t="s">
        <v>180</v>
      </c>
      <c r="K5224" t="s">
        <v>25</v>
      </c>
      <c r="L5224">
        <v>132757294</v>
      </c>
      <c r="R5224">
        <v>9559</v>
      </c>
      <c r="S5224" t="s">
        <v>233</v>
      </c>
      <c r="T5224">
        <v>1</v>
      </c>
      <c r="U5224">
        <v>4</v>
      </c>
      <c r="V5224">
        <v>1.5247999999999999</v>
      </c>
      <c r="W5224">
        <v>1.5247999999999999</v>
      </c>
      <c r="X5224">
        <v>0</v>
      </c>
    </row>
    <row r="5225" spans="1:40" x14ac:dyDescent="0.25">
      <c r="A5225" t="s">
        <v>15</v>
      </c>
      <c r="B5225" t="s">
        <v>24</v>
      </c>
      <c r="C5225">
        <v>20150316</v>
      </c>
      <c r="D5225">
        <v>0</v>
      </c>
      <c r="F5225">
        <v>62500</v>
      </c>
      <c r="G5225" t="s">
        <v>17</v>
      </c>
      <c r="I5225" t="s">
        <v>16</v>
      </c>
      <c r="J5225" t="s">
        <v>180</v>
      </c>
      <c r="K5225" t="s">
        <v>25</v>
      </c>
      <c r="L5225">
        <v>132757294</v>
      </c>
      <c r="R5225">
        <v>9559</v>
      </c>
      <c r="S5225" t="s">
        <v>233</v>
      </c>
      <c r="T5225">
        <v>1</v>
      </c>
      <c r="U5225">
        <v>4</v>
      </c>
      <c r="V5225">
        <v>1.5247999999999999</v>
      </c>
      <c r="W5225">
        <v>1.5247999999999999</v>
      </c>
      <c r="X5225">
        <v>0</v>
      </c>
    </row>
    <row r="5226" spans="1:40" x14ac:dyDescent="0.25">
      <c r="A5226" t="s">
        <v>15</v>
      </c>
      <c r="B5226" t="s">
        <v>24</v>
      </c>
      <c r="C5226">
        <v>20150316</v>
      </c>
      <c r="D5226">
        <v>0</v>
      </c>
      <c r="F5226">
        <v>62500</v>
      </c>
      <c r="G5226" t="s">
        <v>17</v>
      </c>
      <c r="I5226" t="s">
        <v>16</v>
      </c>
      <c r="J5226" t="s">
        <v>180</v>
      </c>
      <c r="K5226" t="s">
        <v>25</v>
      </c>
      <c r="L5226">
        <v>132757294</v>
      </c>
      <c r="R5226">
        <v>9560</v>
      </c>
      <c r="S5226" t="s">
        <v>232</v>
      </c>
      <c r="T5226">
        <v>0</v>
      </c>
      <c r="U5226">
        <v>14</v>
      </c>
      <c r="V5226">
        <v>0</v>
      </c>
      <c r="W5226">
        <v>0</v>
      </c>
      <c r="X5226">
        <v>0</v>
      </c>
    </row>
    <row r="5227" spans="1:40" x14ac:dyDescent="0.25">
      <c r="A5227" t="s">
        <v>15</v>
      </c>
      <c r="B5227" t="s">
        <v>24</v>
      </c>
      <c r="C5227">
        <v>20150316</v>
      </c>
      <c r="D5227">
        <v>0</v>
      </c>
      <c r="F5227">
        <v>62500</v>
      </c>
      <c r="G5227" t="s">
        <v>17</v>
      </c>
      <c r="I5227" t="s">
        <v>16</v>
      </c>
      <c r="J5227" t="s">
        <v>180</v>
      </c>
      <c r="K5227" t="s">
        <v>25</v>
      </c>
      <c r="L5227">
        <v>132757294</v>
      </c>
      <c r="R5227">
        <v>9560</v>
      </c>
      <c r="S5227" t="s">
        <v>192</v>
      </c>
      <c r="T5227">
        <v>0</v>
      </c>
      <c r="U5227">
        <v>14</v>
      </c>
      <c r="V5227">
        <v>0</v>
      </c>
      <c r="W5227">
        <v>0</v>
      </c>
      <c r="X5227">
        <v>0</v>
      </c>
    </row>
    <row r="5228" spans="1:40" x14ac:dyDescent="0.25">
      <c r="A5228" t="s">
        <v>15</v>
      </c>
      <c r="B5228" t="s">
        <v>24</v>
      </c>
      <c r="C5228">
        <v>20150316</v>
      </c>
      <c r="D5228">
        <v>0</v>
      </c>
      <c r="F5228">
        <v>62500</v>
      </c>
      <c r="G5228" t="s">
        <v>17</v>
      </c>
      <c r="I5228" t="s">
        <v>16</v>
      </c>
      <c r="J5228" t="s">
        <v>180</v>
      </c>
      <c r="K5228" t="s">
        <v>25</v>
      </c>
      <c r="L5228">
        <v>132757294</v>
      </c>
      <c r="R5228">
        <v>9559</v>
      </c>
      <c r="S5228" t="s">
        <v>233</v>
      </c>
      <c r="T5228">
        <v>1</v>
      </c>
      <c r="U5228">
        <v>4</v>
      </c>
      <c r="V5228">
        <v>1.5247999999999999</v>
      </c>
      <c r="W5228">
        <v>1.5247999999999999</v>
      </c>
      <c r="X5228">
        <v>0</v>
      </c>
      <c r="Y5228">
        <v>9559</v>
      </c>
      <c r="Z5228" t="s">
        <v>276</v>
      </c>
      <c r="AA5228" t="s">
        <v>277</v>
      </c>
      <c r="AB5228" t="s">
        <v>234</v>
      </c>
      <c r="AC5228" t="s">
        <v>17</v>
      </c>
      <c r="AD5228" t="s">
        <v>237</v>
      </c>
      <c r="AE5228">
        <v>4</v>
      </c>
      <c r="AF5228">
        <v>5</v>
      </c>
      <c r="AG5228">
        <v>1.5246999999999999</v>
      </c>
      <c r="AH5228">
        <v>1.5247200000000001</v>
      </c>
      <c r="AI5228">
        <v>415886592</v>
      </c>
      <c r="AJ5228">
        <v>0</v>
      </c>
      <c r="AK5228">
        <v>7</v>
      </c>
      <c r="AN5228">
        <v>0</v>
      </c>
    </row>
    <row r="5229" spans="1:40" x14ac:dyDescent="0.25">
      <c r="A5229" t="s">
        <v>15</v>
      </c>
      <c r="B5229" t="s">
        <v>24</v>
      </c>
      <c r="C5229">
        <v>20150316</v>
      </c>
      <c r="D5229">
        <v>0</v>
      </c>
      <c r="F5229">
        <v>62500</v>
      </c>
      <c r="G5229" t="s">
        <v>17</v>
      </c>
      <c r="I5229" t="s">
        <v>16</v>
      </c>
      <c r="J5229" t="s">
        <v>180</v>
      </c>
      <c r="K5229" t="s">
        <v>25</v>
      </c>
      <c r="L5229">
        <v>132757294</v>
      </c>
      <c r="R5229">
        <v>9559</v>
      </c>
      <c r="S5229" t="s">
        <v>233</v>
      </c>
      <c r="T5229">
        <v>1</v>
      </c>
      <c r="U5229">
        <v>4</v>
      </c>
      <c r="V5229">
        <v>1.5247999999999999</v>
      </c>
      <c r="W5229">
        <v>1.5247999999999999</v>
      </c>
      <c r="X5229">
        <v>0</v>
      </c>
    </row>
    <row r="5230" spans="1:40" x14ac:dyDescent="0.25">
      <c r="A5230" t="s">
        <v>15</v>
      </c>
      <c r="B5230" t="s">
        <v>24</v>
      </c>
      <c r="C5230">
        <v>20150316</v>
      </c>
      <c r="D5230">
        <v>0</v>
      </c>
      <c r="F5230">
        <v>62500</v>
      </c>
      <c r="G5230" t="s">
        <v>17</v>
      </c>
      <c r="I5230" t="s">
        <v>16</v>
      </c>
      <c r="J5230" t="s">
        <v>180</v>
      </c>
      <c r="K5230" t="s">
        <v>25</v>
      </c>
      <c r="L5230">
        <v>132757294</v>
      </c>
      <c r="R5230">
        <v>9559</v>
      </c>
      <c r="S5230" t="s">
        <v>37</v>
      </c>
      <c r="T5230">
        <v>5</v>
      </c>
      <c r="U5230">
        <v>0</v>
      </c>
      <c r="V5230">
        <v>1.5247200000000001</v>
      </c>
      <c r="W5230">
        <v>1.5246999999999999</v>
      </c>
      <c r="X5230">
        <v>0</v>
      </c>
    </row>
    <row r="5231" spans="1:40" x14ac:dyDescent="0.25">
      <c r="A5231" t="s">
        <v>15</v>
      </c>
      <c r="B5231" t="s">
        <v>24</v>
      </c>
      <c r="C5231">
        <v>20150316</v>
      </c>
      <c r="D5231">
        <v>0</v>
      </c>
      <c r="F5231">
        <v>62500</v>
      </c>
      <c r="G5231" t="s">
        <v>17</v>
      </c>
      <c r="I5231" t="s">
        <v>16</v>
      </c>
      <c r="J5231" t="s">
        <v>180</v>
      </c>
      <c r="K5231" t="s">
        <v>25</v>
      </c>
      <c r="L5231">
        <v>132757294</v>
      </c>
      <c r="R5231">
        <v>9559</v>
      </c>
      <c r="S5231" t="s">
        <v>37</v>
      </c>
      <c r="T5231">
        <v>5</v>
      </c>
      <c r="U5231">
        <v>0</v>
      </c>
      <c r="V5231">
        <v>1.5247200000000001</v>
      </c>
      <c r="W5231">
        <v>1.5246999999999999</v>
      </c>
      <c r="X5231">
        <v>0</v>
      </c>
    </row>
    <row r="5232" spans="1:40" x14ac:dyDescent="0.25">
      <c r="A5232" t="s">
        <v>15</v>
      </c>
      <c r="B5232" t="s">
        <v>24</v>
      </c>
      <c r="C5232">
        <v>20150316</v>
      </c>
      <c r="D5232">
        <v>0</v>
      </c>
      <c r="F5232">
        <v>62500</v>
      </c>
      <c r="G5232" t="s">
        <v>17</v>
      </c>
      <c r="I5232" t="s">
        <v>16</v>
      </c>
      <c r="J5232" t="s">
        <v>180</v>
      </c>
      <c r="K5232" t="s">
        <v>25</v>
      </c>
      <c r="L5232">
        <v>132757294</v>
      </c>
      <c r="R5232">
        <v>9559</v>
      </c>
      <c r="S5232" t="s">
        <v>37</v>
      </c>
      <c r="T5232">
        <v>5</v>
      </c>
      <c r="U5232">
        <v>0</v>
      </c>
      <c r="V5232">
        <v>1.5247200000000001</v>
      </c>
      <c r="W5232">
        <v>1.5246999999999999</v>
      </c>
      <c r="X5232">
        <v>0</v>
      </c>
    </row>
    <row r="5233" spans="1:40" x14ac:dyDescent="0.25">
      <c r="A5233" t="s">
        <v>15</v>
      </c>
      <c r="B5233" t="s">
        <v>24</v>
      </c>
      <c r="C5233">
        <v>20150316</v>
      </c>
      <c r="D5233">
        <v>0</v>
      </c>
      <c r="F5233">
        <v>62500</v>
      </c>
      <c r="G5233" t="s">
        <v>17</v>
      </c>
      <c r="I5233" t="s">
        <v>16</v>
      </c>
      <c r="J5233" t="s">
        <v>180</v>
      </c>
      <c r="K5233" t="s">
        <v>25</v>
      </c>
      <c r="L5233">
        <v>132757294</v>
      </c>
      <c r="R5233">
        <v>9559</v>
      </c>
      <c r="S5233" t="s">
        <v>37</v>
      </c>
      <c r="T5233">
        <v>5</v>
      </c>
      <c r="U5233">
        <v>0</v>
      </c>
      <c r="V5233">
        <v>1.5247200000000001</v>
      </c>
      <c r="W5233">
        <v>1.5246999999999999</v>
      </c>
      <c r="X5233">
        <v>0</v>
      </c>
    </row>
    <row r="5234" spans="1:40" x14ac:dyDescent="0.25">
      <c r="A5234" t="s">
        <v>15</v>
      </c>
      <c r="B5234" t="s">
        <v>24</v>
      </c>
      <c r="C5234">
        <v>20150316</v>
      </c>
      <c r="D5234">
        <v>0</v>
      </c>
      <c r="F5234">
        <v>62500</v>
      </c>
      <c r="G5234" t="s">
        <v>17</v>
      </c>
      <c r="I5234" t="s">
        <v>16</v>
      </c>
      <c r="J5234" t="s">
        <v>180</v>
      </c>
      <c r="K5234" t="s">
        <v>25</v>
      </c>
      <c r="L5234">
        <v>132757294</v>
      </c>
      <c r="R5234">
        <v>9559</v>
      </c>
      <c r="S5234" t="s">
        <v>37</v>
      </c>
      <c r="T5234">
        <v>5</v>
      </c>
      <c r="U5234">
        <v>0</v>
      </c>
      <c r="V5234">
        <v>1.5247200000000001</v>
      </c>
      <c r="W5234">
        <v>1.5246999999999999</v>
      </c>
      <c r="X5234">
        <v>0</v>
      </c>
    </row>
    <row r="5235" spans="1:40" x14ac:dyDescent="0.25">
      <c r="A5235" t="s">
        <v>15</v>
      </c>
      <c r="B5235" t="s">
        <v>24</v>
      </c>
      <c r="C5235">
        <v>20150316</v>
      </c>
      <c r="D5235">
        <v>0</v>
      </c>
      <c r="F5235">
        <v>62500</v>
      </c>
      <c r="G5235" t="s">
        <v>17</v>
      </c>
      <c r="I5235" t="s">
        <v>16</v>
      </c>
      <c r="J5235" t="s">
        <v>180</v>
      </c>
      <c r="K5235" t="s">
        <v>25</v>
      </c>
      <c r="L5235">
        <v>132757294</v>
      </c>
      <c r="R5235">
        <v>9561</v>
      </c>
      <c r="S5235" t="s">
        <v>232</v>
      </c>
      <c r="T5235">
        <v>0</v>
      </c>
      <c r="U5235">
        <v>-5</v>
      </c>
      <c r="V5235">
        <v>0</v>
      </c>
      <c r="W5235">
        <v>0</v>
      </c>
      <c r="X5235">
        <v>0</v>
      </c>
    </row>
    <row r="5236" spans="1:40" x14ac:dyDescent="0.25">
      <c r="A5236" t="s">
        <v>15</v>
      </c>
      <c r="B5236" t="s">
        <v>24</v>
      </c>
      <c r="C5236">
        <v>20150316</v>
      </c>
      <c r="D5236">
        <v>0</v>
      </c>
      <c r="F5236">
        <v>62500</v>
      </c>
      <c r="G5236" t="s">
        <v>17</v>
      </c>
      <c r="I5236" t="s">
        <v>16</v>
      </c>
      <c r="J5236" t="s">
        <v>180</v>
      </c>
      <c r="K5236" t="s">
        <v>25</v>
      </c>
      <c r="L5236">
        <v>132757294</v>
      </c>
      <c r="R5236">
        <v>9562</v>
      </c>
      <c r="S5236" t="s">
        <v>232</v>
      </c>
      <c r="T5236">
        <v>0</v>
      </c>
      <c r="U5236">
        <v>-16</v>
      </c>
      <c r="V5236">
        <v>0</v>
      </c>
      <c r="W5236">
        <v>0</v>
      </c>
      <c r="X5236">
        <v>0</v>
      </c>
    </row>
    <row r="5237" spans="1:40" x14ac:dyDescent="0.25">
      <c r="A5237" t="s">
        <v>15</v>
      </c>
      <c r="B5237" t="s">
        <v>24</v>
      </c>
      <c r="C5237">
        <v>20150316</v>
      </c>
      <c r="D5237">
        <v>0</v>
      </c>
      <c r="F5237">
        <v>62500</v>
      </c>
      <c r="G5237" t="s">
        <v>17</v>
      </c>
      <c r="I5237" t="s">
        <v>16</v>
      </c>
      <c r="J5237" t="s">
        <v>180</v>
      </c>
      <c r="K5237" t="s">
        <v>25</v>
      </c>
      <c r="L5237">
        <v>132757294</v>
      </c>
      <c r="R5237">
        <v>9561</v>
      </c>
      <c r="S5237" t="s">
        <v>232</v>
      </c>
      <c r="T5237">
        <v>0</v>
      </c>
      <c r="U5237">
        <v>-5</v>
      </c>
      <c r="V5237">
        <v>0</v>
      </c>
      <c r="W5237">
        <v>0</v>
      </c>
      <c r="X5237">
        <v>0</v>
      </c>
      <c r="Y5237">
        <v>9561</v>
      </c>
      <c r="Z5237" t="s">
        <v>278</v>
      </c>
      <c r="AA5237" t="s">
        <v>279</v>
      </c>
      <c r="AB5237" t="s">
        <v>234</v>
      </c>
      <c r="AC5237" t="s">
        <v>17</v>
      </c>
      <c r="AD5237" t="s">
        <v>237</v>
      </c>
      <c r="AE5237">
        <v>2</v>
      </c>
      <c r="AF5237">
        <v>2</v>
      </c>
      <c r="AG5237">
        <v>1.5247999999999999</v>
      </c>
      <c r="AH5237">
        <v>1.5247999999999999</v>
      </c>
      <c r="AI5237">
        <v>415886594</v>
      </c>
      <c r="AJ5237">
        <v>0</v>
      </c>
      <c r="AK5237">
        <v>7</v>
      </c>
      <c r="AN5237">
        <v>0</v>
      </c>
    </row>
    <row r="5238" spans="1:40" x14ac:dyDescent="0.25">
      <c r="A5238" t="s">
        <v>15</v>
      </c>
      <c r="B5238" t="s">
        <v>24</v>
      </c>
      <c r="C5238">
        <v>20150316</v>
      </c>
      <c r="D5238">
        <v>0</v>
      </c>
      <c r="F5238">
        <v>62500</v>
      </c>
      <c r="G5238" t="s">
        <v>17</v>
      </c>
      <c r="I5238" t="s">
        <v>16</v>
      </c>
      <c r="J5238" t="s">
        <v>180</v>
      </c>
      <c r="K5238" t="s">
        <v>25</v>
      </c>
      <c r="L5238">
        <v>132757294</v>
      </c>
      <c r="R5238">
        <v>9561</v>
      </c>
      <c r="S5238" t="s">
        <v>232</v>
      </c>
      <c r="T5238">
        <v>0</v>
      </c>
      <c r="U5238">
        <v>-5</v>
      </c>
      <c r="V5238">
        <v>0</v>
      </c>
      <c r="W5238">
        <v>0</v>
      </c>
      <c r="X5238">
        <v>0</v>
      </c>
    </row>
    <row r="5239" spans="1:40" x14ac:dyDescent="0.25">
      <c r="A5239" t="s">
        <v>15</v>
      </c>
      <c r="B5239" t="s">
        <v>24</v>
      </c>
      <c r="C5239">
        <v>20150316</v>
      </c>
      <c r="D5239">
        <v>0</v>
      </c>
      <c r="F5239">
        <v>62500</v>
      </c>
      <c r="G5239" t="s">
        <v>17</v>
      </c>
      <c r="I5239" t="s">
        <v>16</v>
      </c>
      <c r="J5239" t="s">
        <v>180</v>
      </c>
      <c r="K5239" t="s">
        <v>25</v>
      </c>
      <c r="L5239">
        <v>132757294</v>
      </c>
      <c r="R5239">
        <v>9561</v>
      </c>
      <c r="S5239" t="s">
        <v>236</v>
      </c>
      <c r="T5239">
        <v>2</v>
      </c>
      <c r="U5239">
        <v>3</v>
      </c>
      <c r="V5239">
        <v>1.5247999999999999</v>
      </c>
      <c r="W5239">
        <v>1.5247999999999999</v>
      </c>
      <c r="X5239">
        <v>0</v>
      </c>
    </row>
    <row r="5240" spans="1:40" x14ac:dyDescent="0.25">
      <c r="A5240" t="s">
        <v>15</v>
      </c>
      <c r="B5240" t="s">
        <v>24</v>
      </c>
      <c r="C5240">
        <v>20150316</v>
      </c>
      <c r="D5240">
        <v>0</v>
      </c>
      <c r="F5240">
        <v>62500</v>
      </c>
      <c r="G5240" t="s">
        <v>17</v>
      </c>
      <c r="I5240" t="s">
        <v>16</v>
      </c>
      <c r="J5240" t="s">
        <v>180</v>
      </c>
      <c r="K5240" t="s">
        <v>25</v>
      </c>
      <c r="L5240">
        <v>132757294</v>
      </c>
      <c r="R5240">
        <v>9561</v>
      </c>
      <c r="S5240" t="s">
        <v>236</v>
      </c>
      <c r="T5240">
        <v>2</v>
      </c>
      <c r="U5240">
        <v>3</v>
      </c>
      <c r="V5240">
        <v>1.5247999999999999</v>
      </c>
      <c r="W5240">
        <v>1.5247999999999999</v>
      </c>
      <c r="X5240">
        <v>0</v>
      </c>
    </row>
    <row r="5241" spans="1:40" x14ac:dyDescent="0.25">
      <c r="A5241" t="s">
        <v>15</v>
      </c>
      <c r="B5241" t="s">
        <v>24</v>
      </c>
      <c r="C5241">
        <v>20150316</v>
      </c>
      <c r="D5241">
        <v>0</v>
      </c>
      <c r="F5241">
        <v>62500</v>
      </c>
      <c r="G5241" t="s">
        <v>17</v>
      </c>
      <c r="I5241" t="s">
        <v>16</v>
      </c>
      <c r="J5241" t="s">
        <v>180</v>
      </c>
      <c r="K5241" t="s">
        <v>25</v>
      </c>
      <c r="L5241">
        <v>132757294</v>
      </c>
      <c r="R5241">
        <v>9561</v>
      </c>
      <c r="S5241" t="s">
        <v>233</v>
      </c>
      <c r="T5241">
        <v>2</v>
      </c>
      <c r="U5241">
        <v>3</v>
      </c>
      <c r="V5241">
        <v>1.5247999999999999</v>
      </c>
      <c r="W5241">
        <v>1.5247999999999999</v>
      </c>
      <c r="X5241">
        <v>0</v>
      </c>
    </row>
    <row r="5242" spans="1:40" x14ac:dyDescent="0.25">
      <c r="A5242" t="s">
        <v>15</v>
      </c>
      <c r="B5242" t="s">
        <v>24</v>
      </c>
      <c r="C5242">
        <v>20150316</v>
      </c>
      <c r="D5242">
        <v>0</v>
      </c>
      <c r="F5242">
        <v>62500</v>
      </c>
      <c r="G5242" t="s">
        <v>17</v>
      </c>
      <c r="I5242" t="s">
        <v>16</v>
      </c>
      <c r="J5242" t="s">
        <v>180</v>
      </c>
      <c r="K5242" t="s">
        <v>25</v>
      </c>
      <c r="L5242">
        <v>132757294</v>
      </c>
      <c r="R5242">
        <v>9561</v>
      </c>
      <c r="S5242" t="s">
        <v>233</v>
      </c>
      <c r="T5242">
        <v>2</v>
      </c>
      <c r="U5242">
        <v>3</v>
      </c>
      <c r="V5242">
        <v>1.5247999999999999</v>
      </c>
      <c r="W5242">
        <v>1.5247999999999999</v>
      </c>
      <c r="X5242">
        <v>0</v>
      </c>
    </row>
    <row r="5243" spans="1:40" x14ac:dyDescent="0.25">
      <c r="A5243" t="s">
        <v>15</v>
      </c>
      <c r="B5243" t="s">
        <v>24</v>
      </c>
      <c r="C5243">
        <v>20150316</v>
      </c>
      <c r="D5243">
        <v>0</v>
      </c>
      <c r="F5243">
        <v>62500</v>
      </c>
      <c r="G5243" t="s">
        <v>17</v>
      </c>
      <c r="I5243" t="s">
        <v>16</v>
      </c>
      <c r="J5243" t="s">
        <v>180</v>
      </c>
      <c r="K5243" t="s">
        <v>25</v>
      </c>
      <c r="L5243">
        <v>132757294</v>
      </c>
      <c r="R5243">
        <v>9561</v>
      </c>
      <c r="S5243" t="s">
        <v>233</v>
      </c>
      <c r="T5243">
        <v>2</v>
      </c>
      <c r="U5243">
        <v>3</v>
      </c>
      <c r="V5243">
        <v>1.5247999999999999</v>
      </c>
      <c r="W5243">
        <v>1.5247999999999999</v>
      </c>
      <c r="X5243">
        <v>0</v>
      </c>
    </row>
    <row r="5244" spans="1:40" x14ac:dyDescent="0.25">
      <c r="A5244" t="s">
        <v>15</v>
      </c>
      <c r="B5244" t="s">
        <v>24</v>
      </c>
      <c r="C5244">
        <v>20150316</v>
      </c>
      <c r="D5244">
        <v>0</v>
      </c>
      <c r="F5244">
        <v>62500</v>
      </c>
      <c r="G5244" t="s">
        <v>17</v>
      </c>
      <c r="I5244" t="s">
        <v>16</v>
      </c>
      <c r="J5244" t="s">
        <v>180</v>
      </c>
      <c r="K5244" t="s">
        <v>25</v>
      </c>
      <c r="L5244">
        <v>132757294</v>
      </c>
      <c r="R5244">
        <v>9562</v>
      </c>
      <c r="S5244" t="s">
        <v>232</v>
      </c>
      <c r="T5244">
        <v>0</v>
      </c>
      <c r="U5244">
        <v>-16</v>
      </c>
      <c r="V5244">
        <v>0</v>
      </c>
      <c r="W5244">
        <v>0</v>
      </c>
      <c r="X5244">
        <v>0</v>
      </c>
    </row>
    <row r="5245" spans="1:40" x14ac:dyDescent="0.25">
      <c r="A5245" t="s">
        <v>15</v>
      </c>
      <c r="B5245" t="s">
        <v>24</v>
      </c>
      <c r="C5245">
        <v>20150316</v>
      </c>
      <c r="D5245">
        <v>0</v>
      </c>
      <c r="F5245">
        <v>62500</v>
      </c>
      <c r="G5245" t="s">
        <v>17</v>
      </c>
      <c r="I5245" t="s">
        <v>16</v>
      </c>
      <c r="J5245" t="s">
        <v>180</v>
      </c>
      <c r="K5245" t="s">
        <v>25</v>
      </c>
      <c r="L5245">
        <v>132757294</v>
      </c>
      <c r="R5245">
        <v>9562</v>
      </c>
      <c r="S5245" t="s">
        <v>192</v>
      </c>
      <c r="T5245">
        <v>0</v>
      </c>
      <c r="U5245">
        <v>16</v>
      </c>
      <c r="V5245">
        <v>0</v>
      </c>
      <c r="W5245">
        <v>0</v>
      </c>
      <c r="X5245">
        <v>0</v>
      </c>
    </row>
    <row r="5246" spans="1:40" x14ac:dyDescent="0.25">
      <c r="A5246" t="s">
        <v>15</v>
      </c>
      <c r="B5246" t="s">
        <v>24</v>
      </c>
      <c r="C5246">
        <v>20150316</v>
      </c>
      <c r="D5246">
        <v>0</v>
      </c>
      <c r="F5246">
        <v>62500</v>
      </c>
      <c r="G5246" t="s">
        <v>17</v>
      </c>
      <c r="I5246" t="s">
        <v>16</v>
      </c>
      <c r="J5246" t="s">
        <v>180</v>
      </c>
      <c r="K5246" t="s">
        <v>25</v>
      </c>
      <c r="L5246">
        <v>132757294</v>
      </c>
      <c r="R5246">
        <v>9561</v>
      </c>
      <c r="S5246" t="s">
        <v>233</v>
      </c>
      <c r="T5246">
        <v>2</v>
      </c>
      <c r="U5246">
        <v>3</v>
      </c>
      <c r="V5246">
        <v>1.5247999999999999</v>
      </c>
      <c r="W5246">
        <v>1.5247999999999999</v>
      </c>
      <c r="X5246">
        <v>0</v>
      </c>
      <c r="Y5246">
        <v>9561</v>
      </c>
      <c r="Z5246" t="s">
        <v>280</v>
      </c>
      <c r="AA5246" t="s">
        <v>281</v>
      </c>
      <c r="AB5246" t="s">
        <v>234</v>
      </c>
      <c r="AC5246" t="s">
        <v>17</v>
      </c>
      <c r="AD5246" t="s">
        <v>237</v>
      </c>
      <c r="AE5246">
        <v>1</v>
      </c>
      <c r="AF5246">
        <v>3</v>
      </c>
      <c r="AG5246">
        <v>1.5246999999999999</v>
      </c>
      <c r="AH5246">
        <v>1.524767</v>
      </c>
      <c r="AI5246">
        <v>415886594</v>
      </c>
      <c r="AJ5246">
        <v>0</v>
      </c>
      <c r="AK5246">
        <v>7</v>
      </c>
      <c r="AN5246">
        <v>0</v>
      </c>
    </row>
    <row r="5247" spans="1:40" x14ac:dyDescent="0.25">
      <c r="A5247" t="s">
        <v>15</v>
      </c>
      <c r="B5247" t="s">
        <v>24</v>
      </c>
      <c r="C5247">
        <v>20150316</v>
      </c>
      <c r="D5247">
        <v>0</v>
      </c>
      <c r="F5247">
        <v>62500</v>
      </c>
      <c r="G5247" t="s">
        <v>17</v>
      </c>
      <c r="I5247" t="s">
        <v>16</v>
      </c>
      <c r="J5247" t="s">
        <v>180</v>
      </c>
      <c r="K5247" t="s">
        <v>25</v>
      </c>
      <c r="L5247">
        <v>132757294</v>
      </c>
      <c r="R5247">
        <v>9561</v>
      </c>
      <c r="S5247" t="s">
        <v>233</v>
      </c>
      <c r="T5247">
        <v>2</v>
      </c>
      <c r="U5247">
        <v>3</v>
      </c>
      <c r="V5247">
        <v>1.5247999999999999</v>
      </c>
      <c r="W5247">
        <v>1.5247999999999999</v>
      </c>
      <c r="X5247">
        <v>0</v>
      </c>
    </row>
    <row r="5248" spans="1:40" x14ac:dyDescent="0.25">
      <c r="A5248" t="s">
        <v>15</v>
      </c>
      <c r="B5248" t="s">
        <v>24</v>
      </c>
      <c r="C5248">
        <v>20150316</v>
      </c>
      <c r="D5248">
        <v>0</v>
      </c>
      <c r="F5248">
        <v>62500</v>
      </c>
      <c r="G5248" t="s">
        <v>17</v>
      </c>
      <c r="I5248" t="s">
        <v>16</v>
      </c>
      <c r="J5248" t="s">
        <v>180</v>
      </c>
      <c r="K5248" t="s">
        <v>25</v>
      </c>
      <c r="L5248">
        <v>132757294</v>
      </c>
      <c r="R5248">
        <v>9561</v>
      </c>
      <c r="S5248" t="s">
        <v>233</v>
      </c>
      <c r="T5248">
        <v>3</v>
      </c>
      <c r="U5248">
        <v>2</v>
      </c>
      <c r="V5248">
        <v>1.524767</v>
      </c>
      <c r="W5248">
        <v>1.5246999999999999</v>
      </c>
      <c r="X5248">
        <v>0</v>
      </c>
    </row>
    <row r="5249" spans="1:40" x14ac:dyDescent="0.25">
      <c r="A5249" t="s">
        <v>15</v>
      </c>
      <c r="B5249" t="s">
        <v>24</v>
      </c>
      <c r="C5249">
        <v>20150316</v>
      </c>
      <c r="D5249">
        <v>0</v>
      </c>
      <c r="F5249">
        <v>62500</v>
      </c>
      <c r="G5249" t="s">
        <v>17</v>
      </c>
      <c r="I5249" t="s">
        <v>16</v>
      </c>
      <c r="J5249" t="s">
        <v>180</v>
      </c>
      <c r="K5249" t="s">
        <v>25</v>
      </c>
      <c r="L5249">
        <v>132757294</v>
      </c>
      <c r="R5249">
        <v>9561</v>
      </c>
      <c r="S5249" t="s">
        <v>233</v>
      </c>
      <c r="T5249">
        <v>3</v>
      </c>
      <c r="U5249">
        <v>2</v>
      </c>
      <c r="V5249">
        <v>1.524767</v>
      </c>
      <c r="W5249">
        <v>1.5246999999999999</v>
      </c>
      <c r="X5249">
        <v>0</v>
      </c>
      <c r="Y5249">
        <v>9561</v>
      </c>
      <c r="Z5249" t="s">
        <v>282</v>
      </c>
      <c r="AA5249" t="s">
        <v>281</v>
      </c>
      <c r="AB5249" t="s">
        <v>234</v>
      </c>
      <c r="AC5249" t="s">
        <v>17</v>
      </c>
      <c r="AD5249" t="s">
        <v>237</v>
      </c>
      <c r="AE5249">
        <v>2</v>
      </c>
      <c r="AF5249">
        <v>5</v>
      </c>
      <c r="AG5249">
        <v>1.5246999999999999</v>
      </c>
      <c r="AH5249">
        <v>1.52474</v>
      </c>
      <c r="AI5249">
        <v>415886594</v>
      </c>
      <c r="AJ5249">
        <v>0</v>
      </c>
      <c r="AK5249">
        <v>7</v>
      </c>
      <c r="AN5249">
        <v>0</v>
      </c>
    </row>
    <row r="5250" spans="1:40" x14ac:dyDescent="0.25">
      <c r="A5250" t="s">
        <v>15</v>
      </c>
      <c r="B5250" t="s">
        <v>24</v>
      </c>
      <c r="C5250">
        <v>20150316</v>
      </c>
      <c r="D5250">
        <v>0</v>
      </c>
      <c r="F5250">
        <v>62500</v>
      </c>
      <c r="G5250" t="s">
        <v>17</v>
      </c>
      <c r="I5250" t="s">
        <v>16</v>
      </c>
      <c r="J5250" t="s">
        <v>180</v>
      </c>
      <c r="K5250" t="s">
        <v>25</v>
      </c>
      <c r="L5250">
        <v>132757294</v>
      </c>
      <c r="R5250">
        <v>9561</v>
      </c>
      <c r="S5250" t="s">
        <v>233</v>
      </c>
      <c r="T5250">
        <v>3</v>
      </c>
      <c r="U5250">
        <v>2</v>
      </c>
      <c r="V5250">
        <v>1.524767</v>
      </c>
      <c r="W5250">
        <v>1.5246999999999999</v>
      </c>
      <c r="X5250">
        <v>0</v>
      </c>
    </row>
    <row r="5251" spans="1:40" x14ac:dyDescent="0.25">
      <c r="A5251" t="s">
        <v>15</v>
      </c>
      <c r="B5251" t="s">
        <v>24</v>
      </c>
      <c r="C5251">
        <v>20150316</v>
      </c>
      <c r="D5251">
        <v>0</v>
      </c>
      <c r="F5251">
        <v>62500</v>
      </c>
      <c r="G5251" t="s">
        <v>17</v>
      </c>
      <c r="I5251" t="s">
        <v>16</v>
      </c>
      <c r="J5251" t="s">
        <v>180</v>
      </c>
      <c r="K5251" t="s">
        <v>25</v>
      </c>
      <c r="L5251">
        <v>132757294</v>
      </c>
      <c r="R5251">
        <v>9561</v>
      </c>
      <c r="S5251" t="s">
        <v>37</v>
      </c>
      <c r="T5251">
        <v>5</v>
      </c>
      <c r="U5251">
        <v>0</v>
      </c>
      <c r="V5251">
        <v>1.52474</v>
      </c>
      <c r="W5251">
        <v>1.5246999999999999</v>
      </c>
      <c r="X5251">
        <v>0</v>
      </c>
    </row>
    <row r="5252" spans="1:40" x14ac:dyDescent="0.25">
      <c r="A5252" t="s">
        <v>15</v>
      </c>
      <c r="B5252" t="s">
        <v>24</v>
      </c>
      <c r="C5252">
        <v>20150316</v>
      </c>
      <c r="D5252">
        <v>0</v>
      </c>
      <c r="F5252">
        <v>62500</v>
      </c>
      <c r="G5252" t="s">
        <v>17</v>
      </c>
      <c r="I5252" t="s">
        <v>16</v>
      </c>
      <c r="J5252" t="s">
        <v>180</v>
      </c>
      <c r="K5252" t="s">
        <v>25</v>
      </c>
      <c r="L5252">
        <v>132757294</v>
      </c>
      <c r="R5252">
        <v>9561</v>
      </c>
      <c r="S5252" t="s">
        <v>37</v>
      </c>
      <c r="T5252">
        <v>5</v>
      </c>
      <c r="U5252">
        <v>0</v>
      </c>
      <c r="V5252">
        <v>1.52474</v>
      </c>
      <c r="W5252">
        <v>1.5246999999999999</v>
      </c>
      <c r="X5252">
        <v>0</v>
      </c>
    </row>
    <row r="5253" spans="1:40" x14ac:dyDescent="0.25">
      <c r="A5253" t="s">
        <v>15</v>
      </c>
      <c r="B5253" t="s">
        <v>24</v>
      </c>
      <c r="C5253">
        <v>20150316</v>
      </c>
      <c r="D5253">
        <v>0</v>
      </c>
      <c r="F5253">
        <v>62500</v>
      </c>
      <c r="G5253" t="s">
        <v>17</v>
      </c>
      <c r="I5253" t="s">
        <v>16</v>
      </c>
      <c r="J5253" t="s">
        <v>180</v>
      </c>
      <c r="K5253" t="s">
        <v>25</v>
      </c>
      <c r="L5253">
        <v>132757294</v>
      </c>
      <c r="R5253">
        <v>9561</v>
      </c>
      <c r="S5253" t="s">
        <v>37</v>
      </c>
      <c r="T5253">
        <v>5</v>
      </c>
      <c r="U5253">
        <v>0</v>
      </c>
      <c r="V5253">
        <v>1.52474</v>
      </c>
      <c r="W5253">
        <v>1.5246999999999999</v>
      </c>
      <c r="X5253">
        <v>0</v>
      </c>
    </row>
    <row r="5254" spans="1:40" x14ac:dyDescent="0.25">
      <c r="A5254" t="s">
        <v>15</v>
      </c>
      <c r="B5254" t="s">
        <v>24</v>
      </c>
      <c r="C5254">
        <v>20150316</v>
      </c>
      <c r="D5254">
        <v>0</v>
      </c>
      <c r="F5254">
        <v>62500</v>
      </c>
      <c r="G5254" t="s">
        <v>17</v>
      </c>
      <c r="I5254" t="s">
        <v>16</v>
      </c>
      <c r="J5254" t="s">
        <v>180</v>
      </c>
      <c r="K5254" t="s">
        <v>25</v>
      </c>
      <c r="L5254">
        <v>132757294</v>
      </c>
      <c r="R5254">
        <v>9561</v>
      </c>
      <c r="S5254" t="s">
        <v>37</v>
      </c>
      <c r="T5254">
        <v>5</v>
      </c>
      <c r="U5254">
        <v>0</v>
      </c>
      <c r="V5254">
        <v>1.52474</v>
      </c>
      <c r="W5254">
        <v>1.5246999999999999</v>
      </c>
      <c r="X5254">
        <v>0</v>
      </c>
    </row>
    <row r="5255" spans="1:40" x14ac:dyDescent="0.25">
      <c r="A5255" t="s">
        <v>15</v>
      </c>
      <c r="B5255" t="s">
        <v>24</v>
      </c>
      <c r="C5255">
        <v>20150316</v>
      </c>
      <c r="D5255">
        <v>0</v>
      </c>
      <c r="F5255">
        <v>62500</v>
      </c>
      <c r="G5255" t="s">
        <v>17</v>
      </c>
      <c r="I5255" t="s">
        <v>16</v>
      </c>
      <c r="J5255" t="s">
        <v>180</v>
      </c>
      <c r="K5255" t="s">
        <v>25</v>
      </c>
      <c r="L5255">
        <v>132757294</v>
      </c>
      <c r="R5255">
        <v>9561</v>
      </c>
      <c r="S5255" t="s">
        <v>37</v>
      </c>
      <c r="T5255">
        <v>5</v>
      </c>
      <c r="U5255">
        <v>0</v>
      </c>
      <c r="V5255">
        <v>1.52474</v>
      </c>
      <c r="W5255">
        <v>1.5246999999999999</v>
      </c>
      <c r="X5255">
        <v>0</v>
      </c>
    </row>
    <row r="5256" spans="1:40" x14ac:dyDescent="0.25">
      <c r="A5256" t="s">
        <v>15</v>
      </c>
      <c r="B5256" t="s">
        <v>24</v>
      </c>
      <c r="C5256">
        <v>20150316</v>
      </c>
      <c r="D5256">
        <v>0</v>
      </c>
      <c r="F5256">
        <v>62500</v>
      </c>
      <c r="G5256" t="s">
        <v>17</v>
      </c>
      <c r="I5256" t="s">
        <v>16</v>
      </c>
      <c r="J5256" t="s">
        <v>180</v>
      </c>
      <c r="K5256" t="s">
        <v>25</v>
      </c>
      <c r="L5256">
        <v>132757294</v>
      </c>
      <c r="R5256">
        <v>9561</v>
      </c>
      <c r="S5256" t="s">
        <v>37</v>
      </c>
      <c r="T5256">
        <v>5</v>
      </c>
      <c r="U5256">
        <v>0</v>
      </c>
      <c r="V5256">
        <v>1.52474</v>
      </c>
      <c r="W5256">
        <v>1.5246999999999999</v>
      </c>
      <c r="X5256">
        <v>0</v>
      </c>
    </row>
    <row r="5257" spans="1:40" x14ac:dyDescent="0.25">
      <c r="A5257" t="s">
        <v>15</v>
      </c>
      <c r="B5257" t="s">
        <v>24</v>
      </c>
      <c r="C5257">
        <v>20150316</v>
      </c>
      <c r="D5257">
        <v>0</v>
      </c>
      <c r="F5257">
        <v>62500</v>
      </c>
      <c r="G5257" t="s">
        <v>17</v>
      </c>
      <c r="I5257" t="s">
        <v>16</v>
      </c>
      <c r="J5257" t="s">
        <v>180</v>
      </c>
      <c r="K5257" t="s">
        <v>25</v>
      </c>
      <c r="L5257">
        <v>132757294</v>
      </c>
      <c r="R5257">
        <v>9561</v>
      </c>
      <c r="S5257" t="s">
        <v>37</v>
      </c>
      <c r="T5257">
        <v>5</v>
      </c>
      <c r="U5257">
        <v>0</v>
      </c>
      <c r="V5257">
        <v>1.52474</v>
      </c>
      <c r="W5257">
        <v>1.5246999999999999</v>
      </c>
      <c r="X5257">
        <v>0</v>
      </c>
    </row>
    <row r="5258" spans="1:40" x14ac:dyDescent="0.25">
      <c r="A5258" t="s">
        <v>15</v>
      </c>
      <c r="B5258" t="s">
        <v>24</v>
      </c>
      <c r="C5258">
        <v>20150316</v>
      </c>
      <c r="D5258">
        <v>0</v>
      </c>
      <c r="F5258">
        <v>62500</v>
      </c>
      <c r="G5258" t="s">
        <v>17</v>
      </c>
      <c r="I5258" t="s">
        <v>16</v>
      </c>
      <c r="J5258" t="s">
        <v>180</v>
      </c>
      <c r="K5258" t="s">
        <v>25</v>
      </c>
      <c r="L5258">
        <v>132757294</v>
      </c>
      <c r="R5258">
        <v>9561</v>
      </c>
      <c r="S5258" t="s">
        <v>37</v>
      </c>
      <c r="T5258">
        <v>5</v>
      </c>
      <c r="U5258">
        <v>0</v>
      </c>
      <c r="V5258">
        <v>1.52474</v>
      </c>
      <c r="W5258">
        <v>1.5246999999999999</v>
      </c>
      <c r="X5258">
        <v>0</v>
      </c>
    </row>
    <row r="5259" spans="1:40" x14ac:dyDescent="0.25">
      <c r="A5259" t="s">
        <v>15</v>
      </c>
      <c r="B5259" t="s">
        <v>24</v>
      </c>
      <c r="C5259">
        <v>20150316</v>
      </c>
      <c r="D5259">
        <v>0</v>
      </c>
      <c r="F5259">
        <v>62500</v>
      </c>
      <c r="G5259" t="s">
        <v>17</v>
      </c>
      <c r="I5259" t="s">
        <v>16</v>
      </c>
      <c r="J5259" t="s">
        <v>180</v>
      </c>
      <c r="K5259" t="s">
        <v>25</v>
      </c>
      <c r="L5259">
        <v>132757294</v>
      </c>
      <c r="R5259">
        <v>9563</v>
      </c>
      <c r="S5259" t="s">
        <v>232</v>
      </c>
      <c r="T5259">
        <v>0</v>
      </c>
      <c r="U5259">
        <v>-5</v>
      </c>
      <c r="V5259">
        <v>0</v>
      </c>
      <c r="W5259">
        <v>0</v>
      </c>
      <c r="X5259">
        <v>0</v>
      </c>
    </row>
    <row r="5260" spans="1:40" x14ac:dyDescent="0.25">
      <c r="A5260" t="s">
        <v>15</v>
      </c>
      <c r="B5260" t="s">
        <v>24</v>
      </c>
      <c r="C5260">
        <v>20150316</v>
      </c>
      <c r="D5260">
        <v>0</v>
      </c>
      <c r="F5260">
        <v>62500</v>
      </c>
      <c r="G5260" t="s">
        <v>17</v>
      </c>
      <c r="I5260" t="s">
        <v>16</v>
      </c>
      <c r="J5260" t="s">
        <v>180</v>
      </c>
      <c r="K5260" t="s">
        <v>25</v>
      </c>
      <c r="L5260">
        <v>132757294</v>
      </c>
      <c r="R5260">
        <v>9564</v>
      </c>
      <c r="S5260" t="s">
        <v>232</v>
      </c>
      <c r="T5260">
        <v>0</v>
      </c>
      <c r="U5260">
        <v>19</v>
      </c>
      <c r="V5260">
        <v>0</v>
      </c>
      <c r="W5260">
        <v>0</v>
      </c>
      <c r="X5260">
        <v>0</v>
      </c>
    </row>
    <row r="5261" spans="1:40" x14ac:dyDescent="0.25">
      <c r="A5261" t="s">
        <v>15</v>
      </c>
      <c r="B5261" t="s">
        <v>24</v>
      </c>
      <c r="C5261">
        <v>20150316</v>
      </c>
      <c r="D5261">
        <v>0</v>
      </c>
      <c r="F5261">
        <v>62500</v>
      </c>
      <c r="G5261" t="s">
        <v>17</v>
      </c>
      <c r="I5261" t="s">
        <v>16</v>
      </c>
      <c r="J5261" t="s">
        <v>180</v>
      </c>
      <c r="K5261" t="s">
        <v>25</v>
      </c>
      <c r="L5261">
        <v>132757294</v>
      </c>
      <c r="R5261">
        <v>9563</v>
      </c>
      <c r="S5261" t="s">
        <v>232</v>
      </c>
      <c r="T5261">
        <v>0</v>
      </c>
      <c r="U5261">
        <v>-5</v>
      </c>
      <c r="V5261">
        <v>0</v>
      </c>
      <c r="W5261">
        <v>0</v>
      </c>
      <c r="X5261">
        <v>0</v>
      </c>
      <c r="Y5261">
        <v>9563</v>
      </c>
      <c r="Z5261" t="s">
        <v>283</v>
      </c>
      <c r="AA5261" t="s">
        <v>284</v>
      </c>
      <c r="AB5261" t="s">
        <v>234</v>
      </c>
      <c r="AC5261" t="s">
        <v>17</v>
      </c>
      <c r="AD5261" t="s">
        <v>237</v>
      </c>
      <c r="AE5261">
        <v>2</v>
      </c>
      <c r="AF5261">
        <v>2</v>
      </c>
      <c r="AG5261">
        <v>1.5247999999999999</v>
      </c>
      <c r="AH5261">
        <v>1.5247999999999999</v>
      </c>
      <c r="AI5261">
        <v>415886596</v>
      </c>
      <c r="AJ5261">
        <v>0</v>
      </c>
      <c r="AK5261">
        <v>7</v>
      </c>
      <c r="AN5261">
        <v>0</v>
      </c>
    </row>
    <row r="5262" spans="1:40" x14ac:dyDescent="0.25">
      <c r="A5262" t="s">
        <v>15</v>
      </c>
      <c r="B5262" t="s">
        <v>24</v>
      </c>
      <c r="C5262">
        <v>20150316</v>
      </c>
      <c r="D5262">
        <v>0</v>
      </c>
      <c r="F5262">
        <v>62500</v>
      </c>
      <c r="G5262" t="s">
        <v>17</v>
      </c>
      <c r="I5262" t="s">
        <v>16</v>
      </c>
      <c r="J5262" t="s">
        <v>180</v>
      </c>
      <c r="K5262" t="s">
        <v>25</v>
      </c>
      <c r="L5262">
        <v>132757294</v>
      </c>
      <c r="R5262">
        <v>9563</v>
      </c>
      <c r="S5262" t="s">
        <v>232</v>
      </c>
      <c r="T5262">
        <v>0</v>
      </c>
      <c r="U5262">
        <v>-5</v>
      </c>
      <c r="V5262">
        <v>0</v>
      </c>
      <c r="W5262">
        <v>0</v>
      </c>
      <c r="X5262">
        <v>0</v>
      </c>
    </row>
    <row r="5263" spans="1:40" x14ac:dyDescent="0.25">
      <c r="A5263" t="s">
        <v>15</v>
      </c>
      <c r="B5263" t="s">
        <v>24</v>
      </c>
      <c r="C5263">
        <v>20150316</v>
      </c>
      <c r="D5263">
        <v>0</v>
      </c>
      <c r="F5263">
        <v>62500</v>
      </c>
      <c r="G5263" t="s">
        <v>17</v>
      </c>
      <c r="I5263" t="s">
        <v>16</v>
      </c>
      <c r="J5263" t="s">
        <v>180</v>
      </c>
      <c r="K5263" t="s">
        <v>25</v>
      </c>
      <c r="L5263">
        <v>132757294</v>
      </c>
      <c r="R5263">
        <v>9563</v>
      </c>
      <c r="S5263" t="s">
        <v>236</v>
      </c>
      <c r="T5263">
        <v>2</v>
      </c>
      <c r="U5263">
        <v>3</v>
      </c>
      <c r="V5263">
        <v>1.5247999999999999</v>
      </c>
      <c r="W5263">
        <v>1.5247999999999999</v>
      </c>
      <c r="X5263">
        <v>0</v>
      </c>
    </row>
    <row r="5264" spans="1:40" x14ac:dyDescent="0.25">
      <c r="A5264" t="s">
        <v>15</v>
      </c>
      <c r="B5264" t="s">
        <v>24</v>
      </c>
      <c r="C5264">
        <v>20150316</v>
      </c>
      <c r="D5264">
        <v>0</v>
      </c>
      <c r="F5264">
        <v>62500</v>
      </c>
      <c r="G5264" t="s">
        <v>17</v>
      </c>
      <c r="I5264" t="s">
        <v>16</v>
      </c>
      <c r="J5264" t="s">
        <v>180</v>
      </c>
      <c r="K5264" t="s">
        <v>25</v>
      </c>
      <c r="L5264">
        <v>132757294</v>
      </c>
      <c r="R5264">
        <v>9563</v>
      </c>
      <c r="S5264" t="s">
        <v>236</v>
      </c>
      <c r="T5264">
        <v>2</v>
      </c>
      <c r="U5264">
        <v>3</v>
      </c>
      <c r="V5264">
        <v>1.5247999999999999</v>
      </c>
      <c r="W5264">
        <v>1.5247999999999999</v>
      </c>
      <c r="X5264">
        <v>0</v>
      </c>
    </row>
    <row r="5265" spans="1:40" x14ac:dyDescent="0.25">
      <c r="A5265" t="s">
        <v>15</v>
      </c>
      <c r="B5265" t="s">
        <v>24</v>
      </c>
      <c r="C5265">
        <v>20150316</v>
      </c>
      <c r="D5265">
        <v>0</v>
      </c>
      <c r="F5265">
        <v>62500</v>
      </c>
      <c r="G5265" t="s">
        <v>17</v>
      </c>
      <c r="I5265" t="s">
        <v>16</v>
      </c>
      <c r="J5265" t="s">
        <v>180</v>
      </c>
      <c r="K5265" t="s">
        <v>25</v>
      </c>
      <c r="L5265">
        <v>132757294</v>
      </c>
      <c r="R5265">
        <v>9563</v>
      </c>
      <c r="S5265" t="s">
        <v>233</v>
      </c>
      <c r="T5265">
        <v>2</v>
      </c>
      <c r="U5265">
        <v>3</v>
      </c>
      <c r="V5265">
        <v>1.5247999999999999</v>
      </c>
      <c r="W5265">
        <v>1.5247999999999999</v>
      </c>
      <c r="X5265">
        <v>0</v>
      </c>
    </row>
    <row r="5266" spans="1:40" x14ac:dyDescent="0.25">
      <c r="A5266" t="s">
        <v>15</v>
      </c>
      <c r="B5266" t="s">
        <v>24</v>
      </c>
      <c r="C5266">
        <v>20150316</v>
      </c>
      <c r="D5266">
        <v>0</v>
      </c>
      <c r="F5266">
        <v>62500</v>
      </c>
      <c r="G5266" t="s">
        <v>17</v>
      </c>
      <c r="I5266" t="s">
        <v>16</v>
      </c>
      <c r="J5266" t="s">
        <v>180</v>
      </c>
      <c r="K5266" t="s">
        <v>25</v>
      </c>
      <c r="L5266">
        <v>132757294</v>
      </c>
      <c r="R5266">
        <v>9563</v>
      </c>
      <c r="S5266" t="s">
        <v>233</v>
      </c>
      <c r="T5266">
        <v>2</v>
      </c>
      <c r="U5266">
        <v>3</v>
      </c>
      <c r="V5266">
        <v>1.5247999999999999</v>
      </c>
      <c r="W5266">
        <v>1.5247999999999999</v>
      </c>
      <c r="X5266">
        <v>0</v>
      </c>
    </row>
    <row r="5267" spans="1:40" x14ac:dyDescent="0.25">
      <c r="A5267" t="s">
        <v>15</v>
      </c>
      <c r="B5267" t="s">
        <v>24</v>
      </c>
      <c r="C5267">
        <v>20150316</v>
      </c>
      <c r="D5267">
        <v>0</v>
      </c>
      <c r="F5267">
        <v>62500</v>
      </c>
      <c r="G5267" t="s">
        <v>17</v>
      </c>
      <c r="I5267" t="s">
        <v>16</v>
      </c>
      <c r="J5267" t="s">
        <v>180</v>
      </c>
      <c r="K5267" t="s">
        <v>25</v>
      </c>
      <c r="L5267">
        <v>132757294</v>
      </c>
      <c r="R5267">
        <v>9563</v>
      </c>
      <c r="S5267" t="s">
        <v>233</v>
      </c>
      <c r="T5267">
        <v>2</v>
      </c>
      <c r="U5267">
        <v>3</v>
      </c>
      <c r="V5267">
        <v>1.5247999999999999</v>
      </c>
      <c r="W5267">
        <v>1.5247999999999999</v>
      </c>
      <c r="X5267">
        <v>0</v>
      </c>
    </row>
    <row r="5268" spans="1:40" x14ac:dyDescent="0.25">
      <c r="A5268" t="s">
        <v>15</v>
      </c>
      <c r="B5268" t="s">
        <v>24</v>
      </c>
      <c r="C5268">
        <v>20150316</v>
      </c>
      <c r="D5268">
        <v>0</v>
      </c>
      <c r="F5268">
        <v>62500</v>
      </c>
      <c r="G5268" t="s">
        <v>17</v>
      </c>
      <c r="I5268" t="s">
        <v>16</v>
      </c>
      <c r="J5268" t="s">
        <v>180</v>
      </c>
      <c r="K5268" t="s">
        <v>25</v>
      </c>
      <c r="L5268">
        <v>132757294</v>
      </c>
      <c r="R5268">
        <v>9560</v>
      </c>
      <c r="S5268" t="s">
        <v>223</v>
      </c>
      <c r="T5268">
        <v>0</v>
      </c>
      <c r="U5268">
        <v>14</v>
      </c>
      <c r="V5268">
        <v>0</v>
      </c>
      <c r="W5268">
        <v>0</v>
      </c>
      <c r="X5268">
        <v>0</v>
      </c>
    </row>
    <row r="5269" spans="1:40" x14ac:dyDescent="0.25">
      <c r="A5269" t="s">
        <v>15</v>
      </c>
      <c r="B5269" t="s">
        <v>24</v>
      </c>
      <c r="C5269">
        <v>20150316</v>
      </c>
      <c r="D5269">
        <v>0</v>
      </c>
      <c r="F5269">
        <v>62500</v>
      </c>
      <c r="G5269" t="s">
        <v>17</v>
      </c>
      <c r="I5269" t="s">
        <v>16</v>
      </c>
      <c r="J5269" t="s">
        <v>180</v>
      </c>
      <c r="K5269" t="s">
        <v>25</v>
      </c>
      <c r="L5269">
        <v>132757294</v>
      </c>
      <c r="R5269">
        <v>9560</v>
      </c>
      <c r="S5269" t="s">
        <v>224</v>
      </c>
      <c r="T5269">
        <v>0</v>
      </c>
      <c r="U5269">
        <v>14</v>
      </c>
      <c r="V5269">
        <v>0</v>
      </c>
      <c r="W5269">
        <v>0</v>
      </c>
      <c r="X5269">
        <v>0</v>
      </c>
    </row>
    <row r="5270" spans="1:40" x14ac:dyDescent="0.25">
      <c r="A5270" t="s">
        <v>15</v>
      </c>
      <c r="B5270" t="s">
        <v>24</v>
      </c>
      <c r="C5270">
        <v>20150316</v>
      </c>
      <c r="D5270">
        <v>0</v>
      </c>
      <c r="F5270">
        <v>62500</v>
      </c>
      <c r="G5270" t="s">
        <v>17</v>
      </c>
      <c r="I5270" t="s">
        <v>16</v>
      </c>
      <c r="J5270" t="s">
        <v>180</v>
      </c>
      <c r="K5270" t="s">
        <v>25</v>
      </c>
      <c r="L5270">
        <v>132757294</v>
      </c>
      <c r="R5270">
        <v>9562</v>
      </c>
      <c r="S5270" t="s">
        <v>223</v>
      </c>
      <c r="T5270">
        <v>0</v>
      </c>
      <c r="U5270">
        <v>16</v>
      </c>
      <c r="V5270">
        <v>0</v>
      </c>
      <c r="W5270">
        <v>0</v>
      </c>
      <c r="X5270">
        <v>0</v>
      </c>
    </row>
    <row r="5271" spans="1:40" x14ac:dyDescent="0.25">
      <c r="A5271" t="s">
        <v>15</v>
      </c>
      <c r="B5271" t="s">
        <v>24</v>
      </c>
      <c r="C5271">
        <v>20150316</v>
      </c>
      <c r="D5271">
        <v>0</v>
      </c>
      <c r="F5271">
        <v>62500</v>
      </c>
      <c r="G5271" t="s">
        <v>17</v>
      </c>
      <c r="I5271" t="s">
        <v>16</v>
      </c>
      <c r="J5271" t="s">
        <v>180</v>
      </c>
      <c r="K5271" t="s">
        <v>25</v>
      </c>
      <c r="L5271">
        <v>132757294</v>
      </c>
      <c r="R5271">
        <v>9562</v>
      </c>
      <c r="S5271" t="s">
        <v>224</v>
      </c>
      <c r="T5271">
        <v>0</v>
      </c>
      <c r="U5271">
        <v>16</v>
      </c>
      <c r="V5271">
        <v>0</v>
      </c>
      <c r="W5271">
        <v>0</v>
      </c>
      <c r="X5271">
        <v>0</v>
      </c>
    </row>
    <row r="5272" spans="1:40" x14ac:dyDescent="0.25">
      <c r="A5272" t="s">
        <v>15</v>
      </c>
      <c r="B5272" t="s">
        <v>24</v>
      </c>
      <c r="C5272">
        <v>20150316</v>
      </c>
      <c r="D5272">
        <v>0</v>
      </c>
      <c r="F5272">
        <v>62500</v>
      </c>
      <c r="G5272" t="s">
        <v>17</v>
      </c>
      <c r="I5272" t="s">
        <v>16</v>
      </c>
      <c r="J5272" t="s">
        <v>180</v>
      </c>
      <c r="K5272" t="s">
        <v>25</v>
      </c>
      <c r="L5272">
        <v>132757294</v>
      </c>
      <c r="R5272">
        <v>9564</v>
      </c>
      <c r="S5272" t="s">
        <v>232</v>
      </c>
      <c r="T5272">
        <v>0</v>
      </c>
      <c r="U5272">
        <v>19</v>
      </c>
      <c r="V5272">
        <v>0</v>
      </c>
      <c r="W5272">
        <v>0</v>
      </c>
      <c r="X5272">
        <v>0</v>
      </c>
    </row>
    <row r="5273" spans="1:40" x14ac:dyDescent="0.25">
      <c r="A5273" t="s">
        <v>15</v>
      </c>
      <c r="B5273" t="s">
        <v>24</v>
      </c>
      <c r="C5273">
        <v>20150316</v>
      </c>
      <c r="D5273">
        <v>0</v>
      </c>
      <c r="F5273">
        <v>62500</v>
      </c>
      <c r="G5273" t="s">
        <v>17</v>
      </c>
      <c r="I5273" t="s">
        <v>16</v>
      </c>
      <c r="J5273" t="s">
        <v>180</v>
      </c>
      <c r="K5273" t="s">
        <v>25</v>
      </c>
      <c r="L5273">
        <v>132757294</v>
      </c>
      <c r="R5273">
        <v>9564</v>
      </c>
      <c r="S5273" t="s">
        <v>192</v>
      </c>
      <c r="T5273">
        <v>0</v>
      </c>
      <c r="U5273">
        <v>19</v>
      </c>
      <c r="V5273">
        <v>0</v>
      </c>
      <c r="W5273">
        <v>0</v>
      </c>
      <c r="X5273">
        <v>0</v>
      </c>
    </row>
    <row r="5274" spans="1:40" x14ac:dyDescent="0.25">
      <c r="A5274" t="s">
        <v>15</v>
      </c>
      <c r="B5274" t="s">
        <v>24</v>
      </c>
      <c r="C5274">
        <v>20150316</v>
      </c>
      <c r="D5274">
        <v>0</v>
      </c>
      <c r="F5274">
        <v>62500</v>
      </c>
      <c r="G5274" t="s">
        <v>17</v>
      </c>
      <c r="I5274" t="s">
        <v>16</v>
      </c>
      <c r="J5274" t="s">
        <v>180</v>
      </c>
      <c r="K5274" t="s">
        <v>25</v>
      </c>
      <c r="L5274">
        <v>132757294</v>
      </c>
      <c r="R5274">
        <v>9565</v>
      </c>
      <c r="S5274" t="s">
        <v>232</v>
      </c>
      <c r="T5274">
        <v>0</v>
      </c>
      <c r="U5274">
        <v>-20</v>
      </c>
      <c r="V5274">
        <v>0</v>
      </c>
      <c r="W5274">
        <v>0</v>
      </c>
      <c r="X5274">
        <v>0</v>
      </c>
    </row>
    <row r="5275" spans="1:40" x14ac:dyDescent="0.25">
      <c r="A5275" t="s">
        <v>15</v>
      </c>
      <c r="B5275" t="s">
        <v>24</v>
      </c>
      <c r="C5275">
        <v>20150316</v>
      </c>
      <c r="D5275">
        <v>0</v>
      </c>
      <c r="F5275">
        <v>62500</v>
      </c>
      <c r="G5275" t="s">
        <v>17</v>
      </c>
      <c r="I5275" t="s">
        <v>16</v>
      </c>
      <c r="J5275" t="s">
        <v>180</v>
      </c>
      <c r="K5275" t="s">
        <v>25</v>
      </c>
      <c r="L5275">
        <v>132757294</v>
      </c>
      <c r="R5275">
        <v>9563</v>
      </c>
      <c r="S5275" t="s">
        <v>233</v>
      </c>
      <c r="T5275">
        <v>2</v>
      </c>
      <c r="U5275">
        <v>3</v>
      </c>
      <c r="V5275">
        <v>1.5247999999999999</v>
      </c>
      <c r="W5275">
        <v>1.5247999999999999</v>
      </c>
      <c r="X5275">
        <v>0</v>
      </c>
      <c r="Y5275">
        <v>9563</v>
      </c>
      <c r="Z5275" t="s">
        <v>285</v>
      </c>
      <c r="AA5275" t="s">
        <v>286</v>
      </c>
      <c r="AB5275" t="s">
        <v>234</v>
      </c>
      <c r="AC5275" t="s">
        <v>17</v>
      </c>
      <c r="AD5275" t="s">
        <v>237</v>
      </c>
      <c r="AE5275">
        <v>2</v>
      </c>
      <c r="AF5275">
        <v>4</v>
      </c>
      <c r="AG5275">
        <v>1.5246999999999999</v>
      </c>
      <c r="AH5275">
        <v>1.52475</v>
      </c>
      <c r="AI5275">
        <v>415886596</v>
      </c>
      <c r="AJ5275">
        <v>0</v>
      </c>
      <c r="AK5275">
        <v>7</v>
      </c>
      <c r="AN5275">
        <v>0</v>
      </c>
    </row>
    <row r="5276" spans="1:40" x14ac:dyDescent="0.25">
      <c r="A5276" t="s">
        <v>15</v>
      </c>
      <c r="B5276" t="s">
        <v>24</v>
      </c>
      <c r="C5276">
        <v>20150316</v>
      </c>
      <c r="D5276">
        <v>0</v>
      </c>
      <c r="F5276">
        <v>62500</v>
      </c>
      <c r="G5276" t="s">
        <v>17</v>
      </c>
      <c r="I5276" t="s">
        <v>16</v>
      </c>
      <c r="J5276" t="s">
        <v>180</v>
      </c>
      <c r="K5276" t="s">
        <v>25</v>
      </c>
      <c r="L5276">
        <v>132757294</v>
      </c>
      <c r="R5276">
        <v>9563</v>
      </c>
      <c r="S5276" t="s">
        <v>233</v>
      </c>
      <c r="T5276">
        <v>2</v>
      </c>
      <c r="U5276">
        <v>3</v>
      </c>
      <c r="V5276">
        <v>1.5247999999999999</v>
      </c>
      <c r="W5276">
        <v>1.5247999999999999</v>
      </c>
      <c r="X5276">
        <v>0</v>
      </c>
    </row>
    <row r="5277" spans="1:40" x14ac:dyDescent="0.25">
      <c r="A5277" t="s">
        <v>15</v>
      </c>
      <c r="B5277" t="s">
        <v>24</v>
      </c>
      <c r="C5277">
        <v>20150316</v>
      </c>
      <c r="D5277">
        <v>0</v>
      </c>
      <c r="F5277">
        <v>62500</v>
      </c>
      <c r="G5277" t="s">
        <v>17</v>
      </c>
      <c r="I5277" t="s">
        <v>16</v>
      </c>
      <c r="J5277" t="s">
        <v>180</v>
      </c>
      <c r="K5277" t="s">
        <v>25</v>
      </c>
      <c r="L5277">
        <v>132757294</v>
      </c>
      <c r="R5277">
        <v>9563</v>
      </c>
      <c r="S5277" t="s">
        <v>233</v>
      </c>
      <c r="T5277">
        <v>4</v>
      </c>
      <c r="U5277">
        <v>1</v>
      </c>
      <c r="V5277">
        <v>1.52475</v>
      </c>
      <c r="W5277">
        <v>1.5246999999999999</v>
      </c>
      <c r="X5277">
        <v>0</v>
      </c>
    </row>
    <row r="5278" spans="1:40" x14ac:dyDescent="0.25">
      <c r="A5278" t="s">
        <v>15</v>
      </c>
      <c r="B5278" t="s">
        <v>24</v>
      </c>
      <c r="C5278">
        <v>20150316</v>
      </c>
      <c r="D5278">
        <v>0</v>
      </c>
      <c r="F5278">
        <v>62500</v>
      </c>
      <c r="G5278" t="s">
        <v>17</v>
      </c>
      <c r="I5278" t="s">
        <v>16</v>
      </c>
      <c r="J5278" t="s">
        <v>180</v>
      </c>
      <c r="K5278" t="s">
        <v>25</v>
      </c>
      <c r="L5278">
        <v>132757294</v>
      </c>
      <c r="R5278">
        <v>9563</v>
      </c>
      <c r="S5278" t="s">
        <v>233</v>
      </c>
      <c r="T5278">
        <v>4</v>
      </c>
      <c r="U5278">
        <v>1</v>
      </c>
      <c r="V5278">
        <v>1.52475</v>
      </c>
      <c r="W5278">
        <v>1.5246999999999999</v>
      </c>
      <c r="X5278">
        <v>0</v>
      </c>
    </row>
    <row r="5279" spans="1:40" x14ac:dyDescent="0.25">
      <c r="A5279" t="s">
        <v>15</v>
      </c>
      <c r="B5279" t="s">
        <v>24</v>
      </c>
      <c r="C5279">
        <v>20150316</v>
      </c>
      <c r="D5279">
        <v>0</v>
      </c>
      <c r="F5279">
        <v>62500</v>
      </c>
      <c r="G5279" t="s">
        <v>17</v>
      </c>
      <c r="I5279" t="s">
        <v>16</v>
      </c>
      <c r="J5279" t="s">
        <v>180</v>
      </c>
      <c r="K5279" t="s">
        <v>25</v>
      </c>
      <c r="L5279">
        <v>132757294</v>
      </c>
      <c r="R5279">
        <v>9563</v>
      </c>
      <c r="S5279" t="s">
        <v>233</v>
      </c>
      <c r="T5279">
        <v>4</v>
      </c>
      <c r="U5279">
        <v>1</v>
      </c>
      <c r="V5279">
        <v>1.52475</v>
      </c>
      <c r="W5279">
        <v>1.5246999999999999</v>
      </c>
      <c r="X5279">
        <v>0</v>
      </c>
    </row>
    <row r="5280" spans="1:40" x14ac:dyDescent="0.25">
      <c r="A5280" t="s">
        <v>15</v>
      </c>
      <c r="B5280" t="s">
        <v>24</v>
      </c>
      <c r="C5280">
        <v>20150316</v>
      </c>
      <c r="D5280">
        <v>0</v>
      </c>
      <c r="F5280">
        <v>62500</v>
      </c>
      <c r="G5280" t="s">
        <v>17</v>
      </c>
      <c r="I5280" t="s">
        <v>16</v>
      </c>
      <c r="J5280" t="s">
        <v>180</v>
      </c>
      <c r="K5280" t="s">
        <v>25</v>
      </c>
      <c r="L5280">
        <v>132757294</v>
      </c>
      <c r="R5280">
        <v>9565</v>
      </c>
      <c r="S5280" t="s">
        <v>232</v>
      </c>
      <c r="T5280">
        <v>0</v>
      </c>
      <c r="U5280">
        <v>-20</v>
      </c>
      <c r="V5280">
        <v>0</v>
      </c>
      <c r="W5280">
        <v>0</v>
      </c>
      <c r="X5280">
        <v>0</v>
      </c>
    </row>
    <row r="5281" spans="1:40" x14ac:dyDescent="0.25">
      <c r="A5281" t="s">
        <v>15</v>
      </c>
      <c r="B5281" t="s">
        <v>24</v>
      </c>
      <c r="C5281">
        <v>20150316</v>
      </c>
      <c r="D5281">
        <v>0</v>
      </c>
      <c r="F5281">
        <v>62500</v>
      </c>
      <c r="G5281" t="s">
        <v>17</v>
      </c>
      <c r="I5281" t="s">
        <v>16</v>
      </c>
      <c r="J5281" t="s">
        <v>180</v>
      </c>
      <c r="K5281" t="s">
        <v>25</v>
      </c>
      <c r="L5281">
        <v>132757294</v>
      </c>
      <c r="R5281">
        <v>9565</v>
      </c>
      <c r="S5281" t="s">
        <v>192</v>
      </c>
      <c r="T5281">
        <v>0</v>
      </c>
      <c r="U5281">
        <v>20</v>
      </c>
      <c r="V5281">
        <v>0</v>
      </c>
      <c r="W5281">
        <v>0</v>
      </c>
      <c r="X5281">
        <v>0</v>
      </c>
    </row>
    <row r="5282" spans="1:40" x14ac:dyDescent="0.25">
      <c r="A5282" t="s">
        <v>15</v>
      </c>
      <c r="B5282" t="s">
        <v>24</v>
      </c>
      <c r="C5282">
        <v>20150316</v>
      </c>
      <c r="D5282">
        <v>0</v>
      </c>
      <c r="F5282">
        <v>62500</v>
      </c>
      <c r="G5282" t="s">
        <v>17</v>
      </c>
      <c r="I5282" t="s">
        <v>16</v>
      </c>
      <c r="J5282" t="s">
        <v>180</v>
      </c>
      <c r="K5282" t="s">
        <v>25</v>
      </c>
      <c r="L5282">
        <v>132757294</v>
      </c>
      <c r="R5282">
        <v>9566</v>
      </c>
      <c r="S5282" t="s">
        <v>232</v>
      </c>
      <c r="T5282">
        <v>0</v>
      </c>
      <c r="U5282">
        <v>23</v>
      </c>
      <c r="V5282">
        <v>0</v>
      </c>
      <c r="W5282">
        <v>0</v>
      </c>
      <c r="X5282">
        <v>0</v>
      </c>
    </row>
    <row r="5283" spans="1:40" x14ac:dyDescent="0.25">
      <c r="A5283" t="s">
        <v>15</v>
      </c>
      <c r="B5283" t="s">
        <v>24</v>
      </c>
      <c r="C5283">
        <v>20150316</v>
      </c>
      <c r="D5283">
        <v>0</v>
      </c>
      <c r="F5283">
        <v>62500</v>
      </c>
      <c r="G5283" t="s">
        <v>17</v>
      </c>
      <c r="I5283" t="s">
        <v>16</v>
      </c>
      <c r="J5283" t="s">
        <v>180</v>
      </c>
      <c r="K5283" t="s">
        <v>25</v>
      </c>
      <c r="L5283">
        <v>132757294</v>
      </c>
      <c r="R5283">
        <v>9563</v>
      </c>
      <c r="S5283" t="s">
        <v>233</v>
      </c>
      <c r="T5283">
        <v>4</v>
      </c>
      <c r="U5283">
        <v>1</v>
      </c>
      <c r="V5283">
        <v>1.52475</v>
      </c>
      <c r="W5283">
        <v>1.5246999999999999</v>
      </c>
      <c r="X5283">
        <v>0</v>
      </c>
      <c r="Y5283">
        <v>9563</v>
      </c>
      <c r="Z5283" t="s">
        <v>287</v>
      </c>
      <c r="AA5283" t="s">
        <v>288</v>
      </c>
      <c r="AB5283" t="s">
        <v>234</v>
      </c>
      <c r="AC5283" t="s">
        <v>17</v>
      </c>
      <c r="AD5283" t="s">
        <v>237</v>
      </c>
      <c r="AE5283">
        <v>1</v>
      </c>
      <c r="AF5283">
        <v>5</v>
      </c>
      <c r="AG5283">
        <v>1.5246999999999999</v>
      </c>
      <c r="AH5283">
        <v>1.52474</v>
      </c>
      <c r="AI5283">
        <v>415886596</v>
      </c>
      <c r="AJ5283">
        <v>0</v>
      </c>
      <c r="AK5283">
        <v>7</v>
      </c>
      <c r="AN5283">
        <v>0</v>
      </c>
    </row>
    <row r="5284" spans="1:40" x14ac:dyDescent="0.25">
      <c r="A5284" t="s">
        <v>15</v>
      </c>
      <c r="B5284" t="s">
        <v>24</v>
      </c>
      <c r="C5284">
        <v>20150316</v>
      </c>
      <c r="D5284">
        <v>0</v>
      </c>
      <c r="F5284">
        <v>62500</v>
      </c>
      <c r="G5284" t="s">
        <v>17</v>
      </c>
      <c r="I5284" t="s">
        <v>16</v>
      </c>
      <c r="J5284" t="s">
        <v>180</v>
      </c>
      <c r="K5284" t="s">
        <v>25</v>
      </c>
      <c r="L5284">
        <v>132757294</v>
      </c>
      <c r="R5284">
        <v>9563</v>
      </c>
      <c r="S5284" t="s">
        <v>233</v>
      </c>
      <c r="T5284">
        <v>4</v>
      </c>
      <c r="U5284">
        <v>1</v>
      </c>
      <c r="V5284">
        <v>1.52475</v>
      </c>
      <c r="W5284">
        <v>1.5246999999999999</v>
      </c>
      <c r="X5284">
        <v>0</v>
      </c>
    </row>
    <row r="5285" spans="1:40" x14ac:dyDescent="0.25">
      <c r="A5285" t="s">
        <v>15</v>
      </c>
      <c r="B5285" t="s">
        <v>24</v>
      </c>
      <c r="C5285">
        <v>20150316</v>
      </c>
      <c r="D5285">
        <v>0</v>
      </c>
      <c r="F5285">
        <v>62500</v>
      </c>
      <c r="G5285" t="s">
        <v>17</v>
      </c>
      <c r="I5285" t="s">
        <v>16</v>
      </c>
      <c r="J5285" t="s">
        <v>180</v>
      </c>
      <c r="K5285" t="s">
        <v>25</v>
      </c>
      <c r="L5285">
        <v>132757294</v>
      </c>
      <c r="R5285">
        <v>9563</v>
      </c>
      <c r="S5285" t="s">
        <v>37</v>
      </c>
      <c r="T5285">
        <v>5</v>
      </c>
      <c r="U5285">
        <v>0</v>
      </c>
      <c r="V5285">
        <v>1.52474</v>
      </c>
      <c r="W5285">
        <v>1.5246999999999999</v>
      </c>
      <c r="X5285">
        <v>0</v>
      </c>
    </row>
    <row r="5286" spans="1:40" x14ac:dyDescent="0.25">
      <c r="A5286" t="s">
        <v>15</v>
      </c>
      <c r="B5286" t="s">
        <v>24</v>
      </c>
      <c r="C5286">
        <v>20150316</v>
      </c>
      <c r="D5286">
        <v>0</v>
      </c>
      <c r="F5286">
        <v>62500</v>
      </c>
      <c r="G5286" t="s">
        <v>17</v>
      </c>
      <c r="I5286" t="s">
        <v>16</v>
      </c>
      <c r="J5286" t="s">
        <v>180</v>
      </c>
      <c r="K5286" t="s">
        <v>25</v>
      </c>
      <c r="L5286">
        <v>132757294</v>
      </c>
      <c r="R5286">
        <v>9563</v>
      </c>
      <c r="S5286" t="s">
        <v>37</v>
      </c>
      <c r="T5286">
        <v>5</v>
      </c>
      <c r="U5286">
        <v>0</v>
      </c>
      <c r="V5286">
        <v>1.52474</v>
      </c>
      <c r="W5286">
        <v>1.5246999999999999</v>
      </c>
      <c r="X5286">
        <v>0</v>
      </c>
    </row>
    <row r="5287" spans="1:40" x14ac:dyDescent="0.25">
      <c r="A5287" t="s">
        <v>15</v>
      </c>
      <c r="B5287" t="s">
        <v>24</v>
      </c>
      <c r="C5287">
        <v>20150316</v>
      </c>
      <c r="D5287">
        <v>0</v>
      </c>
      <c r="F5287">
        <v>62500</v>
      </c>
      <c r="G5287" t="s">
        <v>17</v>
      </c>
      <c r="I5287" t="s">
        <v>16</v>
      </c>
      <c r="J5287" t="s">
        <v>180</v>
      </c>
      <c r="K5287" t="s">
        <v>25</v>
      </c>
      <c r="L5287">
        <v>132757294</v>
      </c>
      <c r="R5287">
        <v>9563</v>
      </c>
      <c r="S5287" t="s">
        <v>37</v>
      </c>
      <c r="T5287">
        <v>5</v>
      </c>
      <c r="U5287">
        <v>0</v>
      </c>
      <c r="V5287">
        <v>1.52474</v>
      </c>
      <c r="W5287">
        <v>1.5246999999999999</v>
      </c>
      <c r="X5287">
        <v>0</v>
      </c>
    </row>
    <row r="5288" spans="1:40" x14ac:dyDescent="0.25">
      <c r="A5288" t="s">
        <v>15</v>
      </c>
      <c r="B5288" t="s">
        <v>24</v>
      </c>
      <c r="C5288">
        <v>20150316</v>
      </c>
      <c r="D5288">
        <v>0</v>
      </c>
      <c r="F5288">
        <v>62500</v>
      </c>
      <c r="G5288" t="s">
        <v>17</v>
      </c>
      <c r="I5288" t="s">
        <v>16</v>
      </c>
      <c r="J5288" t="s">
        <v>180</v>
      </c>
      <c r="K5288" t="s">
        <v>25</v>
      </c>
      <c r="L5288">
        <v>132757294</v>
      </c>
      <c r="R5288">
        <v>9563</v>
      </c>
      <c r="S5288" t="s">
        <v>37</v>
      </c>
      <c r="T5288">
        <v>5</v>
      </c>
      <c r="U5288">
        <v>0</v>
      </c>
      <c r="V5288">
        <v>1.52474</v>
      </c>
      <c r="W5288">
        <v>1.5246999999999999</v>
      </c>
      <c r="X5288">
        <v>0</v>
      </c>
    </row>
    <row r="5289" spans="1:40" x14ac:dyDescent="0.25">
      <c r="A5289" t="s">
        <v>15</v>
      </c>
      <c r="B5289" t="s">
        <v>24</v>
      </c>
      <c r="C5289">
        <v>20150316</v>
      </c>
      <c r="D5289">
        <v>0</v>
      </c>
      <c r="F5289">
        <v>62500</v>
      </c>
      <c r="G5289" t="s">
        <v>17</v>
      </c>
      <c r="I5289" t="s">
        <v>16</v>
      </c>
      <c r="J5289" t="s">
        <v>180</v>
      </c>
      <c r="K5289" t="s">
        <v>25</v>
      </c>
      <c r="L5289">
        <v>132757294</v>
      </c>
      <c r="R5289">
        <v>9563</v>
      </c>
      <c r="S5289" t="s">
        <v>37</v>
      </c>
      <c r="T5289">
        <v>5</v>
      </c>
      <c r="U5289">
        <v>0</v>
      </c>
      <c r="V5289">
        <v>1.52474</v>
      </c>
      <c r="W5289">
        <v>1.5246999999999999</v>
      </c>
      <c r="X5289">
        <v>0</v>
      </c>
    </row>
    <row r="5290" spans="1:40" x14ac:dyDescent="0.25">
      <c r="A5290" t="s">
        <v>15</v>
      </c>
      <c r="B5290" t="s">
        <v>24</v>
      </c>
      <c r="C5290">
        <v>20150316</v>
      </c>
      <c r="D5290">
        <v>0</v>
      </c>
      <c r="F5290">
        <v>62500</v>
      </c>
      <c r="G5290" t="s">
        <v>17</v>
      </c>
      <c r="I5290" t="s">
        <v>16</v>
      </c>
      <c r="J5290" t="s">
        <v>180</v>
      </c>
      <c r="K5290" t="s">
        <v>25</v>
      </c>
      <c r="L5290">
        <v>132757294</v>
      </c>
      <c r="R5290">
        <v>9564</v>
      </c>
      <c r="S5290" t="s">
        <v>223</v>
      </c>
      <c r="T5290">
        <v>0</v>
      </c>
      <c r="U5290">
        <v>19</v>
      </c>
      <c r="V5290">
        <v>0</v>
      </c>
      <c r="W5290">
        <v>0</v>
      </c>
      <c r="X5290">
        <v>0</v>
      </c>
    </row>
    <row r="5291" spans="1:40" x14ac:dyDescent="0.25">
      <c r="A5291" t="s">
        <v>15</v>
      </c>
      <c r="B5291" t="s">
        <v>24</v>
      </c>
      <c r="C5291">
        <v>20150316</v>
      </c>
      <c r="D5291">
        <v>0</v>
      </c>
      <c r="F5291">
        <v>62500</v>
      </c>
      <c r="G5291" t="s">
        <v>17</v>
      </c>
      <c r="I5291" t="s">
        <v>16</v>
      </c>
      <c r="J5291" t="s">
        <v>180</v>
      </c>
      <c r="K5291" t="s">
        <v>25</v>
      </c>
      <c r="L5291">
        <v>132757294</v>
      </c>
      <c r="R5291">
        <v>9564</v>
      </c>
      <c r="S5291" t="s">
        <v>224</v>
      </c>
      <c r="T5291">
        <v>0</v>
      </c>
      <c r="U5291">
        <v>19</v>
      </c>
      <c r="V5291">
        <v>0</v>
      </c>
      <c r="W5291">
        <v>0</v>
      </c>
      <c r="X5291">
        <v>0</v>
      </c>
    </row>
    <row r="5292" spans="1:40" x14ac:dyDescent="0.25">
      <c r="A5292" t="s">
        <v>15</v>
      </c>
      <c r="B5292" t="s">
        <v>24</v>
      </c>
      <c r="C5292">
        <v>20150316</v>
      </c>
      <c r="D5292">
        <v>0</v>
      </c>
      <c r="F5292">
        <v>62500</v>
      </c>
      <c r="G5292" t="s">
        <v>17</v>
      </c>
      <c r="I5292" t="s">
        <v>16</v>
      </c>
      <c r="J5292" t="s">
        <v>180</v>
      </c>
      <c r="K5292" t="s">
        <v>25</v>
      </c>
      <c r="L5292">
        <v>132757294</v>
      </c>
      <c r="R5292">
        <v>9565</v>
      </c>
      <c r="S5292" t="s">
        <v>223</v>
      </c>
      <c r="T5292">
        <v>0</v>
      </c>
      <c r="U5292">
        <v>20</v>
      </c>
      <c r="V5292">
        <v>0</v>
      </c>
      <c r="W5292">
        <v>0</v>
      </c>
      <c r="X5292">
        <v>0</v>
      </c>
    </row>
    <row r="5293" spans="1:40" x14ac:dyDescent="0.25">
      <c r="A5293" t="s">
        <v>15</v>
      </c>
      <c r="B5293" t="s">
        <v>24</v>
      </c>
      <c r="C5293">
        <v>20150316</v>
      </c>
      <c r="D5293">
        <v>0</v>
      </c>
      <c r="F5293">
        <v>62500</v>
      </c>
      <c r="G5293" t="s">
        <v>17</v>
      </c>
      <c r="I5293" t="s">
        <v>16</v>
      </c>
      <c r="J5293" t="s">
        <v>180</v>
      </c>
      <c r="K5293" t="s">
        <v>25</v>
      </c>
      <c r="L5293">
        <v>132757294</v>
      </c>
      <c r="R5293">
        <v>9565</v>
      </c>
      <c r="S5293" t="s">
        <v>224</v>
      </c>
      <c r="T5293">
        <v>0</v>
      </c>
      <c r="U5293">
        <v>20</v>
      </c>
      <c r="V5293">
        <v>0</v>
      </c>
      <c r="W5293">
        <v>0</v>
      </c>
      <c r="X5293">
        <v>0</v>
      </c>
    </row>
    <row r="5294" spans="1:40" x14ac:dyDescent="0.25">
      <c r="A5294" t="s">
        <v>15</v>
      </c>
      <c r="B5294" t="s">
        <v>24</v>
      </c>
      <c r="C5294">
        <v>20150316</v>
      </c>
      <c r="D5294">
        <v>0</v>
      </c>
      <c r="F5294">
        <v>62500</v>
      </c>
      <c r="G5294" t="s">
        <v>17</v>
      </c>
      <c r="I5294" t="s">
        <v>16</v>
      </c>
      <c r="J5294" t="s">
        <v>180</v>
      </c>
      <c r="K5294" t="s">
        <v>25</v>
      </c>
      <c r="L5294">
        <v>132757294</v>
      </c>
      <c r="R5294">
        <v>9566</v>
      </c>
      <c r="S5294" t="s">
        <v>232</v>
      </c>
      <c r="T5294">
        <v>0</v>
      </c>
      <c r="U5294">
        <v>23</v>
      </c>
      <c r="V5294">
        <v>0</v>
      </c>
      <c r="W5294">
        <v>0</v>
      </c>
      <c r="X5294">
        <v>0</v>
      </c>
    </row>
    <row r="5295" spans="1:40" x14ac:dyDescent="0.25">
      <c r="A5295" t="s">
        <v>15</v>
      </c>
      <c r="B5295" t="s">
        <v>24</v>
      </c>
      <c r="C5295">
        <v>20150316</v>
      </c>
      <c r="D5295">
        <v>0</v>
      </c>
      <c r="F5295">
        <v>62500</v>
      </c>
      <c r="G5295" t="s">
        <v>17</v>
      </c>
      <c r="I5295" t="s">
        <v>16</v>
      </c>
      <c r="J5295" t="s">
        <v>180</v>
      </c>
      <c r="K5295" t="s">
        <v>25</v>
      </c>
      <c r="L5295">
        <v>132757294</v>
      </c>
      <c r="R5295">
        <v>9566</v>
      </c>
      <c r="S5295" t="s">
        <v>192</v>
      </c>
      <c r="T5295">
        <v>0</v>
      </c>
      <c r="U5295">
        <v>23</v>
      </c>
      <c r="V5295">
        <v>0</v>
      </c>
      <c r="W5295">
        <v>0</v>
      </c>
      <c r="X5295">
        <v>0</v>
      </c>
    </row>
    <row r="5296" spans="1:40" x14ac:dyDescent="0.25">
      <c r="A5296" t="s">
        <v>15</v>
      </c>
      <c r="B5296" t="s">
        <v>24</v>
      </c>
      <c r="C5296">
        <v>20150316</v>
      </c>
      <c r="D5296">
        <v>0</v>
      </c>
      <c r="F5296">
        <v>62500</v>
      </c>
      <c r="G5296" t="s">
        <v>17</v>
      </c>
      <c r="I5296" t="s">
        <v>16</v>
      </c>
      <c r="J5296" t="s">
        <v>180</v>
      </c>
      <c r="K5296" t="s">
        <v>25</v>
      </c>
      <c r="L5296">
        <v>132757294</v>
      </c>
      <c r="R5296">
        <v>9567</v>
      </c>
      <c r="S5296" t="s">
        <v>232</v>
      </c>
      <c r="T5296">
        <v>0</v>
      </c>
      <c r="U5296">
        <v>-5</v>
      </c>
      <c r="V5296">
        <v>0</v>
      </c>
      <c r="W5296">
        <v>0</v>
      </c>
      <c r="X5296">
        <v>0</v>
      </c>
    </row>
    <row r="5297" spans="1:40" x14ac:dyDescent="0.25">
      <c r="A5297" t="s">
        <v>15</v>
      </c>
      <c r="B5297" t="s">
        <v>24</v>
      </c>
      <c r="C5297">
        <v>20150316</v>
      </c>
      <c r="D5297">
        <v>0</v>
      </c>
      <c r="F5297">
        <v>62500</v>
      </c>
      <c r="G5297" t="s">
        <v>17</v>
      </c>
      <c r="I5297" t="s">
        <v>16</v>
      </c>
      <c r="J5297" t="s">
        <v>180</v>
      </c>
      <c r="K5297" t="s">
        <v>25</v>
      </c>
      <c r="L5297">
        <v>132757294</v>
      </c>
      <c r="R5297">
        <v>9567</v>
      </c>
      <c r="S5297" t="s">
        <v>232</v>
      </c>
      <c r="T5297">
        <v>0</v>
      </c>
      <c r="U5297">
        <v>-5</v>
      </c>
      <c r="V5297">
        <v>0</v>
      </c>
      <c r="W5297">
        <v>0</v>
      </c>
      <c r="X5297">
        <v>0</v>
      </c>
      <c r="Y5297">
        <v>9567</v>
      </c>
      <c r="Z5297" t="s">
        <v>289</v>
      </c>
      <c r="AA5297" t="s">
        <v>290</v>
      </c>
      <c r="AB5297" t="s">
        <v>234</v>
      </c>
      <c r="AC5297" t="s">
        <v>17</v>
      </c>
      <c r="AD5297" t="s">
        <v>237</v>
      </c>
      <c r="AE5297">
        <v>3</v>
      </c>
      <c r="AF5297">
        <v>3</v>
      </c>
      <c r="AG5297">
        <v>1.5247999999999999</v>
      </c>
      <c r="AH5297">
        <v>1.5247999999999999</v>
      </c>
      <c r="AI5297">
        <v>415886600</v>
      </c>
      <c r="AJ5297">
        <v>0</v>
      </c>
      <c r="AK5297">
        <v>7</v>
      </c>
      <c r="AN5297">
        <v>0</v>
      </c>
    </row>
    <row r="5298" spans="1:40" x14ac:dyDescent="0.25">
      <c r="A5298" t="s">
        <v>15</v>
      </c>
      <c r="B5298" t="s">
        <v>24</v>
      </c>
      <c r="C5298">
        <v>20150316</v>
      </c>
      <c r="D5298">
        <v>0</v>
      </c>
      <c r="F5298">
        <v>62500</v>
      </c>
      <c r="G5298" t="s">
        <v>17</v>
      </c>
      <c r="I5298" t="s">
        <v>16</v>
      </c>
      <c r="J5298" t="s">
        <v>180</v>
      </c>
      <c r="K5298" t="s">
        <v>25</v>
      </c>
      <c r="L5298">
        <v>132757294</v>
      </c>
      <c r="R5298">
        <v>9567</v>
      </c>
      <c r="S5298" t="s">
        <v>232</v>
      </c>
      <c r="T5298">
        <v>0</v>
      </c>
      <c r="U5298">
        <v>-5</v>
      </c>
      <c r="V5298">
        <v>0</v>
      </c>
      <c r="W5298">
        <v>0</v>
      </c>
      <c r="X5298">
        <v>0</v>
      </c>
    </row>
    <row r="5299" spans="1:40" x14ac:dyDescent="0.25">
      <c r="A5299" t="s">
        <v>15</v>
      </c>
      <c r="B5299" t="s">
        <v>24</v>
      </c>
      <c r="C5299">
        <v>20150316</v>
      </c>
      <c r="D5299">
        <v>0</v>
      </c>
      <c r="F5299">
        <v>62500</v>
      </c>
      <c r="G5299" t="s">
        <v>17</v>
      </c>
      <c r="I5299" t="s">
        <v>16</v>
      </c>
      <c r="J5299" t="s">
        <v>180</v>
      </c>
      <c r="K5299" t="s">
        <v>25</v>
      </c>
      <c r="L5299">
        <v>132757294</v>
      </c>
      <c r="R5299">
        <v>9567</v>
      </c>
      <c r="S5299" t="s">
        <v>236</v>
      </c>
      <c r="T5299">
        <v>3</v>
      </c>
      <c r="U5299">
        <v>2</v>
      </c>
      <c r="V5299">
        <v>1.5247999999999999</v>
      </c>
      <c r="W5299">
        <v>1.5247999999999999</v>
      </c>
      <c r="X5299">
        <v>0</v>
      </c>
    </row>
    <row r="5300" spans="1:40" x14ac:dyDescent="0.25">
      <c r="A5300" t="s">
        <v>15</v>
      </c>
      <c r="B5300" t="s">
        <v>24</v>
      </c>
      <c r="C5300">
        <v>20150316</v>
      </c>
      <c r="D5300">
        <v>0</v>
      </c>
      <c r="F5300">
        <v>62500</v>
      </c>
      <c r="G5300" t="s">
        <v>17</v>
      </c>
      <c r="I5300" t="s">
        <v>16</v>
      </c>
      <c r="J5300" t="s">
        <v>180</v>
      </c>
      <c r="K5300" t="s">
        <v>25</v>
      </c>
      <c r="L5300">
        <v>132757294</v>
      </c>
      <c r="R5300">
        <v>9567</v>
      </c>
      <c r="S5300" t="s">
        <v>236</v>
      </c>
      <c r="T5300">
        <v>3</v>
      </c>
      <c r="U5300">
        <v>2</v>
      </c>
      <c r="V5300">
        <v>1.5247999999999999</v>
      </c>
      <c r="W5300">
        <v>1.5247999999999999</v>
      </c>
      <c r="X5300">
        <v>0</v>
      </c>
    </row>
    <row r="5301" spans="1:40" x14ac:dyDescent="0.25">
      <c r="A5301" t="s">
        <v>15</v>
      </c>
      <c r="B5301" t="s">
        <v>24</v>
      </c>
      <c r="C5301">
        <v>20150316</v>
      </c>
      <c r="D5301">
        <v>0</v>
      </c>
      <c r="F5301">
        <v>62500</v>
      </c>
      <c r="G5301" t="s">
        <v>17</v>
      </c>
      <c r="I5301" t="s">
        <v>16</v>
      </c>
      <c r="J5301" t="s">
        <v>180</v>
      </c>
      <c r="K5301" t="s">
        <v>25</v>
      </c>
      <c r="L5301">
        <v>132757294</v>
      </c>
      <c r="R5301">
        <v>9567</v>
      </c>
      <c r="S5301" t="s">
        <v>233</v>
      </c>
      <c r="T5301">
        <v>3</v>
      </c>
      <c r="U5301">
        <v>2</v>
      </c>
      <c r="V5301">
        <v>1.5247999999999999</v>
      </c>
      <c r="W5301">
        <v>1.5247999999999999</v>
      </c>
      <c r="X5301">
        <v>0</v>
      </c>
    </row>
    <row r="5302" spans="1:40" x14ac:dyDescent="0.25">
      <c r="A5302" t="s">
        <v>15</v>
      </c>
      <c r="B5302" t="s">
        <v>24</v>
      </c>
      <c r="C5302">
        <v>20150316</v>
      </c>
      <c r="D5302">
        <v>0</v>
      </c>
      <c r="F5302">
        <v>62500</v>
      </c>
      <c r="G5302" t="s">
        <v>17</v>
      </c>
      <c r="I5302" t="s">
        <v>16</v>
      </c>
      <c r="J5302" t="s">
        <v>180</v>
      </c>
      <c r="K5302" t="s">
        <v>25</v>
      </c>
      <c r="L5302">
        <v>132757294</v>
      </c>
      <c r="R5302">
        <v>9567</v>
      </c>
      <c r="S5302" t="s">
        <v>233</v>
      </c>
      <c r="T5302">
        <v>3</v>
      </c>
      <c r="U5302">
        <v>2</v>
      </c>
      <c r="V5302">
        <v>1.5247999999999999</v>
      </c>
      <c r="W5302">
        <v>1.5247999999999999</v>
      </c>
      <c r="X5302">
        <v>0</v>
      </c>
    </row>
    <row r="5303" spans="1:40" x14ac:dyDescent="0.25">
      <c r="A5303" t="s">
        <v>15</v>
      </c>
      <c r="B5303" t="s">
        <v>24</v>
      </c>
      <c r="C5303">
        <v>20150316</v>
      </c>
      <c r="D5303">
        <v>0</v>
      </c>
      <c r="F5303">
        <v>62500</v>
      </c>
      <c r="G5303" t="s">
        <v>17</v>
      </c>
      <c r="I5303" t="s">
        <v>16</v>
      </c>
      <c r="J5303" t="s">
        <v>180</v>
      </c>
      <c r="K5303" t="s">
        <v>25</v>
      </c>
      <c r="L5303">
        <v>132757294</v>
      </c>
      <c r="R5303">
        <v>9567</v>
      </c>
      <c r="S5303" t="s">
        <v>233</v>
      </c>
      <c r="T5303">
        <v>3</v>
      </c>
      <c r="U5303">
        <v>2</v>
      </c>
      <c r="V5303">
        <v>1.5247999999999999</v>
      </c>
      <c r="W5303">
        <v>1.5247999999999999</v>
      </c>
      <c r="X5303">
        <v>0</v>
      </c>
    </row>
    <row r="5304" spans="1:40" x14ac:dyDescent="0.25">
      <c r="A5304" t="s">
        <v>15</v>
      </c>
      <c r="B5304" t="s">
        <v>24</v>
      </c>
      <c r="C5304">
        <v>20150316</v>
      </c>
      <c r="D5304">
        <v>0</v>
      </c>
      <c r="F5304">
        <v>62500</v>
      </c>
      <c r="G5304" t="s">
        <v>17</v>
      </c>
      <c r="I5304" t="s">
        <v>16</v>
      </c>
      <c r="J5304" t="s">
        <v>180</v>
      </c>
      <c r="K5304" t="s">
        <v>25</v>
      </c>
      <c r="L5304">
        <v>132757294</v>
      </c>
      <c r="R5304">
        <v>9567</v>
      </c>
      <c r="S5304" t="s">
        <v>233</v>
      </c>
      <c r="T5304">
        <v>3</v>
      </c>
      <c r="U5304">
        <v>2</v>
      </c>
      <c r="V5304">
        <v>1.5247999999999999</v>
      </c>
      <c r="W5304">
        <v>1.5247999999999999</v>
      </c>
      <c r="X5304">
        <v>0</v>
      </c>
      <c r="Y5304">
        <v>9567</v>
      </c>
      <c r="Z5304" t="s">
        <v>291</v>
      </c>
      <c r="AA5304" t="s">
        <v>290</v>
      </c>
      <c r="AB5304" t="s">
        <v>234</v>
      </c>
      <c r="AC5304" t="s">
        <v>17</v>
      </c>
      <c r="AD5304" t="s">
        <v>237</v>
      </c>
      <c r="AE5304">
        <v>2</v>
      </c>
      <c r="AF5304">
        <v>5</v>
      </c>
      <c r="AG5304">
        <v>1.5246999999999999</v>
      </c>
      <c r="AH5304">
        <v>1.5247599999999999</v>
      </c>
      <c r="AI5304">
        <v>415886600</v>
      </c>
      <c r="AJ5304">
        <v>0</v>
      </c>
      <c r="AK5304">
        <v>7</v>
      </c>
      <c r="AN5304">
        <v>0</v>
      </c>
    </row>
    <row r="5305" spans="1:40" x14ac:dyDescent="0.25">
      <c r="A5305" t="s">
        <v>15</v>
      </c>
      <c r="B5305" t="s">
        <v>24</v>
      </c>
      <c r="C5305">
        <v>20150316</v>
      </c>
      <c r="D5305">
        <v>0</v>
      </c>
      <c r="F5305">
        <v>62500</v>
      </c>
      <c r="G5305" t="s">
        <v>17</v>
      </c>
      <c r="I5305" t="s">
        <v>16</v>
      </c>
      <c r="J5305" t="s">
        <v>180</v>
      </c>
      <c r="K5305" t="s">
        <v>25</v>
      </c>
      <c r="L5305">
        <v>132757294</v>
      </c>
      <c r="R5305">
        <v>9567</v>
      </c>
      <c r="S5305" t="s">
        <v>233</v>
      </c>
      <c r="T5305">
        <v>3</v>
      </c>
      <c r="U5305">
        <v>2</v>
      </c>
      <c r="V5305">
        <v>1.5247999999999999</v>
      </c>
      <c r="W5305">
        <v>1.5247999999999999</v>
      </c>
      <c r="X5305">
        <v>0</v>
      </c>
    </row>
    <row r="5306" spans="1:40" x14ac:dyDescent="0.25">
      <c r="A5306" t="s">
        <v>15</v>
      </c>
      <c r="B5306" t="s">
        <v>24</v>
      </c>
      <c r="C5306">
        <v>20150316</v>
      </c>
      <c r="D5306">
        <v>0</v>
      </c>
      <c r="F5306">
        <v>62500</v>
      </c>
      <c r="G5306" t="s">
        <v>17</v>
      </c>
      <c r="I5306" t="s">
        <v>16</v>
      </c>
      <c r="J5306" t="s">
        <v>180</v>
      </c>
      <c r="K5306" t="s">
        <v>25</v>
      </c>
      <c r="L5306">
        <v>132757294</v>
      </c>
      <c r="R5306">
        <v>9567</v>
      </c>
      <c r="S5306" t="s">
        <v>37</v>
      </c>
      <c r="T5306">
        <v>5</v>
      </c>
      <c r="U5306">
        <v>0</v>
      </c>
      <c r="V5306">
        <v>1.5247599999999999</v>
      </c>
      <c r="W5306">
        <v>1.5246999999999999</v>
      </c>
      <c r="X5306">
        <v>0</v>
      </c>
    </row>
    <row r="5307" spans="1:40" x14ac:dyDescent="0.25">
      <c r="A5307" t="s">
        <v>15</v>
      </c>
      <c r="B5307" t="s">
        <v>24</v>
      </c>
      <c r="C5307">
        <v>20150316</v>
      </c>
      <c r="D5307">
        <v>0</v>
      </c>
      <c r="F5307">
        <v>62500</v>
      </c>
      <c r="G5307" t="s">
        <v>17</v>
      </c>
      <c r="I5307" t="s">
        <v>16</v>
      </c>
      <c r="J5307" t="s">
        <v>180</v>
      </c>
      <c r="K5307" t="s">
        <v>25</v>
      </c>
      <c r="L5307">
        <v>132757294</v>
      </c>
      <c r="R5307">
        <v>9567</v>
      </c>
      <c r="S5307" t="s">
        <v>37</v>
      </c>
      <c r="T5307">
        <v>5</v>
      </c>
      <c r="U5307">
        <v>0</v>
      </c>
      <c r="V5307">
        <v>1.5247599999999999</v>
      </c>
      <c r="W5307">
        <v>1.5246999999999999</v>
      </c>
      <c r="X5307">
        <v>0</v>
      </c>
    </row>
    <row r="5308" spans="1:40" x14ac:dyDescent="0.25">
      <c r="A5308" t="s">
        <v>15</v>
      </c>
      <c r="B5308" t="s">
        <v>24</v>
      </c>
      <c r="C5308">
        <v>20150316</v>
      </c>
      <c r="D5308">
        <v>0</v>
      </c>
      <c r="F5308">
        <v>62500</v>
      </c>
      <c r="G5308" t="s">
        <v>17</v>
      </c>
      <c r="I5308" t="s">
        <v>16</v>
      </c>
      <c r="J5308" t="s">
        <v>180</v>
      </c>
      <c r="K5308" t="s">
        <v>25</v>
      </c>
      <c r="L5308">
        <v>132757294</v>
      </c>
      <c r="R5308">
        <v>9568</v>
      </c>
      <c r="S5308" t="s">
        <v>232</v>
      </c>
      <c r="T5308">
        <v>0</v>
      </c>
      <c r="U5308">
        <v>-2</v>
      </c>
      <c r="V5308">
        <v>0</v>
      </c>
      <c r="W5308">
        <v>0</v>
      </c>
      <c r="X5308">
        <v>0</v>
      </c>
    </row>
    <row r="5309" spans="1:40" x14ac:dyDescent="0.25">
      <c r="A5309" t="s">
        <v>15</v>
      </c>
      <c r="B5309" t="s">
        <v>24</v>
      </c>
      <c r="C5309">
        <v>20150316</v>
      </c>
      <c r="D5309">
        <v>0</v>
      </c>
      <c r="F5309">
        <v>62500</v>
      </c>
      <c r="G5309" t="s">
        <v>17</v>
      </c>
      <c r="I5309" t="s">
        <v>16</v>
      </c>
      <c r="J5309" t="s">
        <v>180</v>
      </c>
      <c r="K5309" t="s">
        <v>25</v>
      </c>
      <c r="L5309">
        <v>132757294</v>
      </c>
      <c r="R5309">
        <v>9567</v>
      </c>
      <c r="S5309" t="s">
        <v>37</v>
      </c>
      <c r="T5309">
        <v>5</v>
      </c>
      <c r="U5309">
        <v>0</v>
      </c>
      <c r="V5309">
        <v>1.5247599999999999</v>
      </c>
      <c r="W5309">
        <v>1.5246999999999999</v>
      </c>
      <c r="X5309">
        <v>0</v>
      </c>
    </row>
    <row r="5310" spans="1:40" x14ac:dyDescent="0.25">
      <c r="A5310" t="s">
        <v>15</v>
      </c>
      <c r="B5310" t="s">
        <v>24</v>
      </c>
      <c r="C5310">
        <v>20150316</v>
      </c>
      <c r="D5310">
        <v>0</v>
      </c>
      <c r="F5310">
        <v>62500</v>
      </c>
      <c r="G5310" t="s">
        <v>17</v>
      </c>
      <c r="I5310" t="s">
        <v>16</v>
      </c>
      <c r="J5310" t="s">
        <v>180</v>
      </c>
      <c r="K5310" t="s">
        <v>25</v>
      </c>
      <c r="L5310">
        <v>132757294</v>
      </c>
      <c r="R5310">
        <v>9567</v>
      </c>
      <c r="S5310" t="s">
        <v>37</v>
      </c>
      <c r="T5310">
        <v>5</v>
      </c>
      <c r="U5310">
        <v>0</v>
      </c>
      <c r="V5310">
        <v>1.5247599999999999</v>
      </c>
      <c r="W5310">
        <v>1.5246999999999999</v>
      </c>
      <c r="X5310">
        <v>0</v>
      </c>
    </row>
    <row r="5311" spans="1:40" x14ac:dyDescent="0.25">
      <c r="A5311" t="s">
        <v>15</v>
      </c>
      <c r="B5311" t="s">
        <v>24</v>
      </c>
      <c r="C5311">
        <v>20150316</v>
      </c>
      <c r="D5311">
        <v>0</v>
      </c>
      <c r="F5311">
        <v>62500</v>
      </c>
      <c r="G5311" t="s">
        <v>17</v>
      </c>
      <c r="I5311" t="s">
        <v>16</v>
      </c>
      <c r="J5311" t="s">
        <v>180</v>
      </c>
      <c r="K5311" t="s">
        <v>25</v>
      </c>
      <c r="L5311">
        <v>132757294</v>
      </c>
      <c r="R5311">
        <v>9567</v>
      </c>
      <c r="S5311" t="s">
        <v>37</v>
      </c>
      <c r="T5311">
        <v>5</v>
      </c>
      <c r="U5311">
        <v>0</v>
      </c>
      <c r="V5311">
        <v>1.5247599999999999</v>
      </c>
      <c r="W5311">
        <v>1.5246999999999999</v>
      </c>
      <c r="X5311">
        <v>0</v>
      </c>
    </row>
    <row r="5312" spans="1:40" x14ac:dyDescent="0.25">
      <c r="A5312" t="s">
        <v>15</v>
      </c>
      <c r="B5312" t="s">
        <v>24</v>
      </c>
      <c r="C5312">
        <v>20150316</v>
      </c>
      <c r="D5312">
        <v>0</v>
      </c>
      <c r="F5312">
        <v>62500</v>
      </c>
      <c r="G5312" t="s">
        <v>17</v>
      </c>
      <c r="I5312" t="s">
        <v>16</v>
      </c>
      <c r="J5312" t="s">
        <v>180</v>
      </c>
      <c r="K5312" t="s">
        <v>25</v>
      </c>
      <c r="L5312">
        <v>132757294</v>
      </c>
      <c r="R5312">
        <v>9568</v>
      </c>
      <c r="S5312" t="s">
        <v>232</v>
      </c>
      <c r="T5312">
        <v>0</v>
      </c>
      <c r="U5312">
        <v>-2</v>
      </c>
      <c r="V5312">
        <v>0</v>
      </c>
      <c r="W5312">
        <v>0</v>
      </c>
      <c r="X5312">
        <v>0</v>
      </c>
      <c r="Y5312">
        <v>9568</v>
      </c>
      <c r="Z5312" t="s">
        <v>292</v>
      </c>
      <c r="AA5312" t="s">
        <v>293</v>
      </c>
      <c r="AB5312" t="s">
        <v>234</v>
      </c>
      <c r="AC5312" t="s">
        <v>17</v>
      </c>
      <c r="AD5312" t="s">
        <v>237</v>
      </c>
      <c r="AE5312">
        <v>2</v>
      </c>
      <c r="AF5312">
        <v>2</v>
      </c>
      <c r="AG5312">
        <v>1.5246999999999999</v>
      </c>
      <c r="AH5312">
        <v>1.5246999999999999</v>
      </c>
      <c r="AI5312">
        <v>415886601</v>
      </c>
      <c r="AJ5312">
        <v>0</v>
      </c>
      <c r="AK5312">
        <v>7</v>
      </c>
      <c r="AN5312">
        <v>0</v>
      </c>
    </row>
    <row r="5313" spans="1:40" x14ac:dyDescent="0.25">
      <c r="A5313" t="s">
        <v>15</v>
      </c>
      <c r="B5313" t="s">
        <v>24</v>
      </c>
      <c r="C5313">
        <v>20150316</v>
      </c>
      <c r="D5313">
        <v>0</v>
      </c>
      <c r="F5313">
        <v>62500</v>
      </c>
      <c r="G5313" t="s">
        <v>17</v>
      </c>
      <c r="I5313" t="s">
        <v>16</v>
      </c>
      <c r="J5313" t="s">
        <v>180</v>
      </c>
      <c r="K5313" t="s">
        <v>25</v>
      </c>
      <c r="L5313">
        <v>132757294</v>
      </c>
      <c r="R5313">
        <v>9568</v>
      </c>
      <c r="S5313" t="s">
        <v>232</v>
      </c>
      <c r="T5313">
        <v>0</v>
      </c>
      <c r="U5313">
        <v>-2</v>
      </c>
      <c r="V5313">
        <v>0</v>
      </c>
      <c r="W5313">
        <v>0</v>
      </c>
      <c r="X5313">
        <v>0</v>
      </c>
    </row>
    <row r="5314" spans="1:40" x14ac:dyDescent="0.25">
      <c r="A5314" t="s">
        <v>15</v>
      </c>
      <c r="B5314" t="s">
        <v>24</v>
      </c>
      <c r="C5314">
        <v>20150316</v>
      </c>
      <c r="D5314">
        <v>0</v>
      </c>
      <c r="F5314">
        <v>62500</v>
      </c>
      <c r="G5314" t="s">
        <v>17</v>
      </c>
      <c r="I5314" t="s">
        <v>16</v>
      </c>
      <c r="J5314" t="s">
        <v>180</v>
      </c>
      <c r="K5314" t="s">
        <v>25</v>
      </c>
      <c r="L5314">
        <v>132757294</v>
      </c>
      <c r="R5314">
        <v>9568</v>
      </c>
      <c r="S5314" t="s">
        <v>37</v>
      </c>
      <c r="T5314">
        <v>2</v>
      </c>
      <c r="U5314">
        <v>0</v>
      </c>
      <c r="V5314">
        <v>1.5246999999999999</v>
      </c>
      <c r="W5314">
        <v>1.5246999999999999</v>
      </c>
      <c r="X5314">
        <v>0</v>
      </c>
    </row>
    <row r="5315" spans="1:40" x14ac:dyDescent="0.25">
      <c r="A5315" t="s">
        <v>15</v>
      </c>
      <c r="B5315" t="s">
        <v>24</v>
      </c>
      <c r="C5315">
        <v>20150316</v>
      </c>
      <c r="D5315">
        <v>0</v>
      </c>
      <c r="F5315">
        <v>62500</v>
      </c>
      <c r="G5315" t="s">
        <v>17</v>
      </c>
      <c r="I5315" t="s">
        <v>16</v>
      </c>
      <c r="J5315" t="s">
        <v>180</v>
      </c>
      <c r="K5315" t="s">
        <v>25</v>
      </c>
      <c r="L5315">
        <v>132757294</v>
      </c>
      <c r="R5315">
        <v>9568</v>
      </c>
      <c r="S5315" t="s">
        <v>37</v>
      </c>
      <c r="T5315">
        <v>2</v>
      </c>
      <c r="U5315">
        <v>0</v>
      </c>
      <c r="V5315">
        <v>1.5246999999999999</v>
      </c>
      <c r="W5315">
        <v>1.5246999999999999</v>
      </c>
      <c r="X5315">
        <v>0</v>
      </c>
    </row>
    <row r="5316" spans="1:40" x14ac:dyDescent="0.25">
      <c r="A5316" t="s">
        <v>15</v>
      </c>
      <c r="B5316" t="s">
        <v>24</v>
      </c>
      <c r="C5316">
        <v>20150316</v>
      </c>
      <c r="D5316">
        <v>0</v>
      </c>
      <c r="F5316">
        <v>62500</v>
      </c>
      <c r="G5316" t="s">
        <v>17</v>
      </c>
      <c r="I5316" t="s">
        <v>16</v>
      </c>
      <c r="J5316" t="s">
        <v>180</v>
      </c>
      <c r="K5316" t="s">
        <v>25</v>
      </c>
      <c r="L5316">
        <v>132757294</v>
      </c>
      <c r="R5316">
        <v>9568</v>
      </c>
      <c r="S5316" t="s">
        <v>37</v>
      </c>
      <c r="T5316">
        <v>2</v>
      </c>
      <c r="U5316">
        <v>0</v>
      </c>
      <c r="V5316">
        <v>1.5246999999999999</v>
      </c>
      <c r="W5316">
        <v>1.5246999999999999</v>
      </c>
      <c r="X5316">
        <v>0</v>
      </c>
    </row>
    <row r="5317" spans="1:40" x14ac:dyDescent="0.25">
      <c r="A5317" t="s">
        <v>15</v>
      </c>
      <c r="B5317" t="s">
        <v>24</v>
      </c>
      <c r="C5317">
        <v>20150316</v>
      </c>
      <c r="D5317">
        <v>0</v>
      </c>
      <c r="F5317">
        <v>62500</v>
      </c>
      <c r="G5317" t="s">
        <v>17</v>
      </c>
      <c r="I5317" t="s">
        <v>16</v>
      </c>
      <c r="J5317" t="s">
        <v>180</v>
      </c>
      <c r="K5317" t="s">
        <v>25</v>
      </c>
      <c r="L5317">
        <v>132757294</v>
      </c>
      <c r="R5317">
        <v>9568</v>
      </c>
      <c r="S5317" t="s">
        <v>37</v>
      </c>
      <c r="T5317">
        <v>2</v>
      </c>
      <c r="U5317">
        <v>0</v>
      </c>
      <c r="V5317">
        <v>1.5246999999999999</v>
      </c>
      <c r="W5317">
        <v>1.5246999999999999</v>
      </c>
      <c r="X5317">
        <v>0</v>
      </c>
    </row>
    <row r="5318" spans="1:40" x14ac:dyDescent="0.25">
      <c r="A5318" t="s">
        <v>15</v>
      </c>
      <c r="B5318" t="s">
        <v>24</v>
      </c>
      <c r="C5318">
        <v>20150316</v>
      </c>
      <c r="D5318">
        <v>0</v>
      </c>
      <c r="F5318">
        <v>62500</v>
      </c>
      <c r="G5318" t="s">
        <v>17</v>
      </c>
      <c r="I5318" t="s">
        <v>16</v>
      </c>
      <c r="J5318" t="s">
        <v>180</v>
      </c>
      <c r="K5318" t="s">
        <v>25</v>
      </c>
      <c r="L5318">
        <v>132757294</v>
      </c>
      <c r="R5318">
        <v>9568</v>
      </c>
      <c r="S5318" t="s">
        <v>37</v>
      </c>
      <c r="T5318">
        <v>2</v>
      </c>
      <c r="U5318">
        <v>0</v>
      </c>
      <c r="V5318">
        <v>1.5246999999999999</v>
      </c>
      <c r="W5318">
        <v>1.5246999999999999</v>
      </c>
      <c r="X5318">
        <v>0</v>
      </c>
    </row>
    <row r="5319" spans="1:40" x14ac:dyDescent="0.25">
      <c r="A5319" t="s">
        <v>15</v>
      </c>
      <c r="B5319" t="s">
        <v>24</v>
      </c>
      <c r="C5319">
        <v>20150316</v>
      </c>
      <c r="D5319">
        <v>0</v>
      </c>
      <c r="F5319">
        <v>62500</v>
      </c>
      <c r="G5319" t="s">
        <v>17</v>
      </c>
      <c r="I5319" t="s">
        <v>16</v>
      </c>
      <c r="J5319" t="s">
        <v>180</v>
      </c>
      <c r="K5319" t="s">
        <v>25</v>
      </c>
      <c r="L5319">
        <v>132757294</v>
      </c>
      <c r="R5319">
        <v>9568</v>
      </c>
      <c r="S5319" t="s">
        <v>37</v>
      </c>
      <c r="T5319">
        <v>2</v>
      </c>
      <c r="U5319">
        <v>0</v>
      </c>
      <c r="V5319">
        <v>1.5246999999999999</v>
      </c>
      <c r="W5319">
        <v>1.5246999999999999</v>
      </c>
      <c r="X5319">
        <v>0</v>
      </c>
    </row>
    <row r="5320" spans="1:40" x14ac:dyDescent="0.25">
      <c r="A5320" t="s">
        <v>15</v>
      </c>
      <c r="B5320" t="s">
        <v>24</v>
      </c>
      <c r="C5320">
        <v>20150316</v>
      </c>
      <c r="D5320">
        <v>0</v>
      </c>
      <c r="F5320">
        <v>62500</v>
      </c>
      <c r="G5320" t="s">
        <v>17</v>
      </c>
      <c r="I5320" t="s">
        <v>16</v>
      </c>
      <c r="J5320" t="s">
        <v>180</v>
      </c>
      <c r="K5320" t="s">
        <v>25</v>
      </c>
      <c r="L5320">
        <v>132757294</v>
      </c>
      <c r="R5320">
        <v>9568</v>
      </c>
      <c r="S5320" t="s">
        <v>37</v>
      </c>
      <c r="T5320">
        <v>2</v>
      </c>
      <c r="U5320">
        <v>0</v>
      </c>
      <c r="V5320">
        <v>1.5246999999999999</v>
      </c>
      <c r="W5320">
        <v>1.5246999999999999</v>
      </c>
      <c r="X5320">
        <v>0</v>
      </c>
    </row>
    <row r="5321" spans="1:40" x14ac:dyDescent="0.25">
      <c r="A5321" t="s">
        <v>15</v>
      </c>
      <c r="B5321" t="s">
        <v>24</v>
      </c>
      <c r="C5321">
        <v>20150316</v>
      </c>
      <c r="D5321">
        <v>0</v>
      </c>
      <c r="F5321">
        <v>62500</v>
      </c>
      <c r="G5321" t="s">
        <v>17</v>
      </c>
      <c r="I5321" t="s">
        <v>16</v>
      </c>
      <c r="J5321" t="s">
        <v>180</v>
      </c>
      <c r="K5321" t="s">
        <v>25</v>
      </c>
      <c r="L5321">
        <v>132757294</v>
      </c>
      <c r="R5321">
        <v>9568</v>
      </c>
      <c r="S5321" t="s">
        <v>37</v>
      </c>
      <c r="T5321">
        <v>2</v>
      </c>
      <c r="U5321">
        <v>0</v>
      </c>
      <c r="V5321">
        <v>1.5246999999999999</v>
      </c>
      <c r="W5321">
        <v>1.5246999999999999</v>
      </c>
      <c r="X5321">
        <v>0</v>
      </c>
    </row>
    <row r="5322" spans="1:40" x14ac:dyDescent="0.25">
      <c r="A5322" t="s">
        <v>15</v>
      </c>
      <c r="B5322" t="s">
        <v>24</v>
      </c>
      <c r="C5322">
        <v>20150316</v>
      </c>
      <c r="D5322">
        <v>0</v>
      </c>
      <c r="F5322">
        <v>62500</v>
      </c>
      <c r="G5322" t="s">
        <v>17</v>
      </c>
      <c r="I5322" t="s">
        <v>16</v>
      </c>
      <c r="J5322" t="s">
        <v>180</v>
      </c>
      <c r="K5322" t="s">
        <v>25</v>
      </c>
      <c r="L5322">
        <v>132757294</v>
      </c>
      <c r="R5322">
        <v>9569</v>
      </c>
      <c r="S5322" t="s">
        <v>232</v>
      </c>
      <c r="T5322">
        <v>0</v>
      </c>
      <c r="U5322">
        <v>-2</v>
      </c>
      <c r="V5322">
        <v>0</v>
      </c>
      <c r="W5322">
        <v>0</v>
      </c>
      <c r="X5322">
        <v>0</v>
      </c>
    </row>
    <row r="5323" spans="1:40" x14ac:dyDescent="0.25">
      <c r="A5323" t="s">
        <v>15</v>
      </c>
      <c r="B5323" t="s">
        <v>24</v>
      </c>
      <c r="C5323">
        <v>20150316</v>
      </c>
      <c r="D5323">
        <v>0</v>
      </c>
      <c r="F5323">
        <v>62500</v>
      </c>
      <c r="G5323" t="s">
        <v>17</v>
      </c>
      <c r="I5323" t="s">
        <v>16</v>
      </c>
      <c r="J5323" t="s">
        <v>180</v>
      </c>
      <c r="K5323" t="s">
        <v>25</v>
      </c>
      <c r="L5323">
        <v>132757294</v>
      </c>
      <c r="R5323">
        <v>9569</v>
      </c>
      <c r="S5323" t="s">
        <v>232</v>
      </c>
      <c r="T5323">
        <v>0</v>
      </c>
      <c r="U5323">
        <v>-2</v>
      </c>
      <c r="V5323">
        <v>0</v>
      </c>
      <c r="W5323">
        <v>0</v>
      </c>
      <c r="X5323">
        <v>0</v>
      </c>
      <c r="Y5323">
        <v>9569</v>
      </c>
      <c r="Z5323" t="s">
        <v>294</v>
      </c>
      <c r="AA5323" t="s">
        <v>295</v>
      </c>
      <c r="AB5323" t="s">
        <v>234</v>
      </c>
      <c r="AC5323" t="s">
        <v>17</v>
      </c>
      <c r="AD5323" t="s">
        <v>237</v>
      </c>
      <c r="AE5323">
        <v>2</v>
      </c>
      <c r="AF5323">
        <v>2</v>
      </c>
      <c r="AG5323">
        <v>1.5246999999999999</v>
      </c>
      <c r="AH5323">
        <v>1.5246999999999999</v>
      </c>
      <c r="AI5323">
        <v>415886602</v>
      </c>
      <c r="AJ5323">
        <v>0</v>
      </c>
      <c r="AK5323">
        <v>7</v>
      </c>
      <c r="AN5323">
        <v>0</v>
      </c>
    </row>
    <row r="5324" spans="1:40" x14ac:dyDescent="0.25">
      <c r="A5324" t="s">
        <v>15</v>
      </c>
      <c r="B5324" t="s">
        <v>24</v>
      </c>
      <c r="C5324">
        <v>20150316</v>
      </c>
      <c r="D5324">
        <v>0</v>
      </c>
      <c r="F5324">
        <v>62500</v>
      </c>
      <c r="G5324" t="s">
        <v>17</v>
      </c>
      <c r="I5324" t="s">
        <v>16</v>
      </c>
      <c r="J5324" t="s">
        <v>180</v>
      </c>
      <c r="K5324" t="s">
        <v>25</v>
      </c>
      <c r="L5324">
        <v>132757294</v>
      </c>
      <c r="R5324">
        <v>9569</v>
      </c>
      <c r="S5324" t="s">
        <v>232</v>
      </c>
      <c r="T5324">
        <v>0</v>
      </c>
      <c r="U5324">
        <v>-2</v>
      </c>
      <c r="V5324">
        <v>0</v>
      </c>
      <c r="W5324">
        <v>0</v>
      </c>
      <c r="X5324">
        <v>0</v>
      </c>
    </row>
    <row r="5325" spans="1:40" x14ac:dyDescent="0.25">
      <c r="A5325" t="s">
        <v>15</v>
      </c>
      <c r="B5325" t="s">
        <v>24</v>
      </c>
      <c r="C5325">
        <v>20150316</v>
      </c>
      <c r="D5325">
        <v>0</v>
      </c>
      <c r="F5325">
        <v>62500</v>
      </c>
      <c r="G5325" t="s">
        <v>17</v>
      </c>
      <c r="I5325" t="s">
        <v>16</v>
      </c>
      <c r="J5325" t="s">
        <v>180</v>
      </c>
      <c r="K5325" t="s">
        <v>25</v>
      </c>
      <c r="L5325">
        <v>132757294</v>
      </c>
      <c r="R5325">
        <v>9569</v>
      </c>
      <c r="S5325" t="s">
        <v>37</v>
      </c>
      <c r="T5325">
        <v>2</v>
      </c>
      <c r="U5325">
        <v>0</v>
      </c>
      <c r="V5325">
        <v>1.5246999999999999</v>
      </c>
      <c r="W5325">
        <v>1.5246999999999999</v>
      </c>
      <c r="X5325">
        <v>0</v>
      </c>
    </row>
    <row r="5326" spans="1:40" x14ac:dyDescent="0.25">
      <c r="A5326" t="s">
        <v>15</v>
      </c>
      <c r="B5326" t="s">
        <v>24</v>
      </c>
      <c r="C5326">
        <v>20150316</v>
      </c>
      <c r="D5326">
        <v>0</v>
      </c>
      <c r="F5326">
        <v>62500</v>
      </c>
      <c r="G5326" t="s">
        <v>17</v>
      </c>
      <c r="I5326" t="s">
        <v>16</v>
      </c>
      <c r="J5326" t="s">
        <v>180</v>
      </c>
      <c r="K5326" t="s">
        <v>25</v>
      </c>
      <c r="L5326">
        <v>132757294</v>
      </c>
      <c r="R5326">
        <v>9569</v>
      </c>
      <c r="S5326" t="s">
        <v>37</v>
      </c>
      <c r="T5326">
        <v>2</v>
      </c>
      <c r="U5326">
        <v>0</v>
      </c>
      <c r="V5326">
        <v>1.5246999999999999</v>
      </c>
      <c r="W5326">
        <v>1.5246999999999999</v>
      </c>
      <c r="X5326">
        <v>0</v>
      </c>
    </row>
    <row r="5327" spans="1:40" x14ac:dyDescent="0.25">
      <c r="A5327" t="s">
        <v>15</v>
      </c>
      <c r="B5327" t="s">
        <v>24</v>
      </c>
      <c r="C5327">
        <v>20150316</v>
      </c>
      <c r="D5327">
        <v>0</v>
      </c>
      <c r="F5327">
        <v>62500</v>
      </c>
      <c r="G5327" t="s">
        <v>17</v>
      </c>
      <c r="I5327" t="s">
        <v>16</v>
      </c>
      <c r="J5327" t="s">
        <v>180</v>
      </c>
      <c r="K5327" t="s">
        <v>25</v>
      </c>
      <c r="L5327">
        <v>132757294</v>
      </c>
      <c r="R5327">
        <v>9569</v>
      </c>
      <c r="S5327" t="s">
        <v>37</v>
      </c>
      <c r="T5327">
        <v>2</v>
      </c>
      <c r="U5327">
        <v>0</v>
      </c>
      <c r="V5327">
        <v>1.5246999999999999</v>
      </c>
      <c r="W5327">
        <v>1.5246999999999999</v>
      </c>
      <c r="X5327">
        <v>0</v>
      </c>
    </row>
    <row r="5328" spans="1:40" x14ac:dyDescent="0.25">
      <c r="A5328" t="s">
        <v>15</v>
      </c>
      <c r="B5328" t="s">
        <v>24</v>
      </c>
      <c r="C5328">
        <v>20150316</v>
      </c>
      <c r="D5328">
        <v>0</v>
      </c>
      <c r="F5328">
        <v>62500</v>
      </c>
      <c r="G5328" t="s">
        <v>17</v>
      </c>
      <c r="I5328" t="s">
        <v>16</v>
      </c>
      <c r="J5328" t="s">
        <v>180</v>
      </c>
      <c r="K5328" t="s">
        <v>25</v>
      </c>
      <c r="L5328">
        <v>132757294</v>
      </c>
      <c r="R5328">
        <v>9569</v>
      </c>
      <c r="S5328" t="s">
        <v>37</v>
      </c>
      <c r="T5328">
        <v>2</v>
      </c>
      <c r="U5328">
        <v>0</v>
      </c>
      <c r="V5328">
        <v>1.5246999999999999</v>
      </c>
      <c r="W5328">
        <v>1.5246999999999999</v>
      </c>
      <c r="X5328">
        <v>0</v>
      </c>
    </row>
    <row r="5329" spans="1:40" x14ac:dyDescent="0.25">
      <c r="A5329" t="s">
        <v>15</v>
      </c>
      <c r="B5329" t="s">
        <v>24</v>
      </c>
      <c r="C5329">
        <v>20150316</v>
      </c>
      <c r="D5329">
        <v>0</v>
      </c>
      <c r="F5329">
        <v>62500</v>
      </c>
      <c r="G5329" t="s">
        <v>17</v>
      </c>
      <c r="I5329" t="s">
        <v>16</v>
      </c>
      <c r="J5329" t="s">
        <v>180</v>
      </c>
      <c r="K5329" t="s">
        <v>25</v>
      </c>
      <c r="L5329">
        <v>132757294</v>
      </c>
      <c r="R5329">
        <v>9569</v>
      </c>
      <c r="S5329" t="s">
        <v>37</v>
      </c>
      <c r="T5329">
        <v>2</v>
      </c>
      <c r="U5329">
        <v>0</v>
      </c>
      <c r="V5329">
        <v>1.5246999999999999</v>
      </c>
      <c r="W5329">
        <v>1.5246999999999999</v>
      </c>
      <c r="X5329">
        <v>0</v>
      </c>
    </row>
    <row r="5330" spans="1:40" x14ac:dyDescent="0.25">
      <c r="A5330" t="s">
        <v>15</v>
      </c>
      <c r="B5330" t="s">
        <v>24</v>
      </c>
      <c r="C5330">
        <v>20150316</v>
      </c>
      <c r="D5330">
        <v>0</v>
      </c>
      <c r="F5330">
        <v>62500</v>
      </c>
      <c r="G5330" t="s">
        <v>17</v>
      </c>
      <c r="I5330" t="s">
        <v>16</v>
      </c>
      <c r="J5330" t="s">
        <v>180</v>
      </c>
      <c r="K5330" t="s">
        <v>25</v>
      </c>
      <c r="L5330">
        <v>132757294</v>
      </c>
      <c r="R5330">
        <v>9569</v>
      </c>
      <c r="S5330" t="s">
        <v>37</v>
      </c>
      <c r="T5330">
        <v>2</v>
      </c>
      <c r="U5330">
        <v>0</v>
      </c>
      <c r="V5330">
        <v>1.5246999999999999</v>
      </c>
      <c r="W5330">
        <v>1.5246999999999999</v>
      </c>
      <c r="X5330">
        <v>0</v>
      </c>
    </row>
    <row r="5331" spans="1:40" x14ac:dyDescent="0.25">
      <c r="A5331" t="s">
        <v>15</v>
      </c>
      <c r="B5331" t="s">
        <v>24</v>
      </c>
      <c r="C5331">
        <v>20150316</v>
      </c>
      <c r="D5331">
        <v>0</v>
      </c>
      <c r="F5331">
        <v>62500</v>
      </c>
      <c r="G5331" t="s">
        <v>17</v>
      </c>
      <c r="I5331" t="s">
        <v>16</v>
      </c>
      <c r="J5331" t="s">
        <v>180</v>
      </c>
      <c r="K5331" t="s">
        <v>25</v>
      </c>
      <c r="L5331">
        <v>132757294</v>
      </c>
      <c r="R5331">
        <v>9569</v>
      </c>
      <c r="S5331" t="s">
        <v>37</v>
      </c>
      <c r="T5331">
        <v>2</v>
      </c>
      <c r="U5331">
        <v>0</v>
      </c>
      <c r="V5331">
        <v>1.5246999999999999</v>
      </c>
      <c r="W5331">
        <v>1.5246999999999999</v>
      </c>
      <c r="X5331">
        <v>0</v>
      </c>
    </row>
    <row r="5332" spans="1:40" x14ac:dyDescent="0.25">
      <c r="A5332" t="s">
        <v>15</v>
      </c>
      <c r="B5332" t="s">
        <v>24</v>
      </c>
      <c r="C5332">
        <v>20150316</v>
      </c>
      <c r="D5332">
        <v>0</v>
      </c>
      <c r="F5332">
        <v>62500</v>
      </c>
      <c r="G5332" t="s">
        <v>17</v>
      </c>
      <c r="I5332" t="s">
        <v>16</v>
      </c>
      <c r="J5332" t="s">
        <v>180</v>
      </c>
      <c r="K5332" t="s">
        <v>25</v>
      </c>
      <c r="L5332">
        <v>132757294</v>
      </c>
      <c r="R5332">
        <v>9569</v>
      </c>
      <c r="S5332" t="s">
        <v>37</v>
      </c>
      <c r="T5332">
        <v>2</v>
      </c>
      <c r="U5332">
        <v>0</v>
      </c>
      <c r="V5332">
        <v>1.5246999999999999</v>
      </c>
      <c r="W5332">
        <v>1.5246999999999999</v>
      </c>
      <c r="X5332">
        <v>0</v>
      </c>
    </row>
    <row r="5333" spans="1:40" x14ac:dyDescent="0.25">
      <c r="A5333" t="s">
        <v>15</v>
      </c>
      <c r="B5333" t="s">
        <v>24</v>
      </c>
      <c r="C5333">
        <v>20150316</v>
      </c>
      <c r="D5333">
        <v>0</v>
      </c>
      <c r="F5333">
        <v>62500</v>
      </c>
      <c r="G5333" t="s">
        <v>17</v>
      </c>
      <c r="I5333" t="s">
        <v>16</v>
      </c>
      <c r="J5333" t="s">
        <v>180</v>
      </c>
      <c r="K5333" t="s">
        <v>25</v>
      </c>
      <c r="L5333">
        <v>132757294</v>
      </c>
      <c r="R5333">
        <v>9570</v>
      </c>
      <c r="S5333" t="s">
        <v>232</v>
      </c>
      <c r="T5333">
        <v>0</v>
      </c>
      <c r="U5333">
        <v>32</v>
      </c>
      <c r="V5333">
        <v>0</v>
      </c>
      <c r="W5333">
        <v>0</v>
      </c>
      <c r="X5333">
        <v>0</v>
      </c>
    </row>
    <row r="5334" spans="1:40" x14ac:dyDescent="0.25">
      <c r="A5334" t="s">
        <v>15</v>
      </c>
      <c r="B5334" t="s">
        <v>24</v>
      </c>
      <c r="C5334">
        <v>20150316</v>
      </c>
      <c r="D5334">
        <v>0</v>
      </c>
      <c r="F5334">
        <v>62500</v>
      </c>
      <c r="G5334" t="s">
        <v>17</v>
      </c>
      <c r="I5334" t="s">
        <v>16</v>
      </c>
      <c r="J5334" t="s">
        <v>180</v>
      </c>
      <c r="K5334" t="s">
        <v>25</v>
      </c>
      <c r="L5334">
        <v>132757294</v>
      </c>
      <c r="R5334">
        <v>9566</v>
      </c>
      <c r="S5334" t="s">
        <v>223</v>
      </c>
      <c r="T5334">
        <v>0</v>
      </c>
      <c r="U5334">
        <v>23</v>
      </c>
      <c r="V5334">
        <v>0</v>
      </c>
      <c r="W5334">
        <v>0</v>
      </c>
      <c r="X5334">
        <v>0</v>
      </c>
    </row>
    <row r="5335" spans="1:40" x14ac:dyDescent="0.25">
      <c r="A5335" t="s">
        <v>15</v>
      </c>
      <c r="B5335" t="s">
        <v>24</v>
      </c>
      <c r="C5335">
        <v>20150316</v>
      </c>
      <c r="D5335">
        <v>0</v>
      </c>
      <c r="F5335">
        <v>62500</v>
      </c>
      <c r="G5335" t="s">
        <v>17</v>
      </c>
      <c r="I5335" t="s">
        <v>16</v>
      </c>
      <c r="J5335" t="s">
        <v>180</v>
      </c>
      <c r="K5335" t="s">
        <v>25</v>
      </c>
      <c r="L5335">
        <v>132757294</v>
      </c>
      <c r="R5335">
        <v>9566</v>
      </c>
      <c r="S5335" t="s">
        <v>224</v>
      </c>
      <c r="T5335">
        <v>0</v>
      </c>
      <c r="U5335">
        <v>23</v>
      </c>
      <c r="V5335">
        <v>0</v>
      </c>
      <c r="W5335">
        <v>0</v>
      </c>
      <c r="X5335">
        <v>0</v>
      </c>
    </row>
    <row r="5336" spans="1:40" x14ac:dyDescent="0.25">
      <c r="A5336" t="s">
        <v>15</v>
      </c>
      <c r="B5336" t="s">
        <v>24</v>
      </c>
      <c r="C5336">
        <v>20150316</v>
      </c>
      <c r="D5336">
        <v>0</v>
      </c>
      <c r="F5336">
        <v>62500</v>
      </c>
      <c r="G5336" t="s">
        <v>17</v>
      </c>
      <c r="I5336" t="s">
        <v>16</v>
      </c>
      <c r="J5336" t="s">
        <v>180</v>
      </c>
      <c r="K5336" t="s">
        <v>25</v>
      </c>
      <c r="L5336">
        <v>132757294</v>
      </c>
      <c r="R5336">
        <v>9570</v>
      </c>
      <c r="S5336" t="s">
        <v>232</v>
      </c>
      <c r="T5336">
        <v>0</v>
      </c>
      <c r="U5336">
        <v>32</v>
      </c>
      <c r="V5336">
        <v>0</v>
      </c>
      <c r="W5336">
        <v>0</v>
      </c>
      <c r="X5336">
        <v>0</v>
      </c>
    </row>
    <row r="5337" spans="1:40" x14ac:dyDescent="0.25">
      <c r="A5337" t="s">
        <v>15</v>
      </c>
      <c r="B5337" t="s">
        <v>24</v>
      </c>
      <c r="C5337">
        <v>20150316</v>
      </c>
      <c r="D5337">
        <v>0</v>
      </c>
      <c r="F5337">
        <v>62500</v>
      </c>
      <c r="G5337" t="s">
        <v>17</v>
      </c>
      <c r="I5337" t="s">
        <v>16</v>
      </c>
      <c r="J5337" t="s">
        <v>180</v>
      </c>
      <c r="K5337" t="s">
        <v>25</v>
      </c>
      <c r="L5337">
        <v>132757294</v>
      </c>
      <c r="R5337">
        <v>9570</v>
      </c>
      <c r="S5337" t="s">
        <v>192</v>
      </c>
      <c r="T5337">
        <v>0</v>
      </c>
      <c r="U5337">
        <v>32</v>
      </c>
      <c r="V5337">
        <v>0</v>
      </c>
      <c r="W5337">
        <v>0</v>
      </c>
      <c r="X5337">
        <v>0</v>
      </c>
    </row>
    <row r="5338" spans="1:40" x14ac:dyDescent="0.25">
      <c r="A5338" t="s">
        <v>15</v>
      </c>
      <c r="B5338" t="s">
        <v>24</v>
      </c>
      <c r="C5338">
        <v>20150316</v>
      </c>
      <c r="D5338">
        <v>0</v>
      </c>
      <c r="F5338">
        <v>62500</v>
      </c>
      <c r="G5338" t="s">
        <v>17</v>
      </c>
      <c r="I5338" t="s">
        <v>16</v>
      </c>
      <c r="J5338" t="s">
        <v>180</v>
      </c>
      <c r="K5338" t="s">
        <v>25</v>
      </c>
      <c r="L5338">
        <v>132757294</v>
      </c>
      <c r="R5338">
        <v>9571</v>
      </c>
      <c r="S5338" t="s">
        <v>232</v>
      </c>
      <c r="T5338">
        <v>0</v>
      </c>
      <c r="U5338">
        <v>-32</v>
      </c>
      <c r="V5338">
        <v>0</v>
      </c>
      <c r="W5338">
        <v>0</v>
      </c>
      <c r="X5338">
        <v>0</v>
      </c>
    </row>
    <row r="5339" spans="1:40" x14ac:dyDescent="0.25">
      <c r="A5339" t="s">
        <v>15</v>
      </c>
      <c r="B5339" t="s">
        <v>24</v>
      </c>
      <c r="C5339">
        <v>20150316</v>
      </c>
      <c r="D5339">
        <v>0</v>
      </c>
      <c r="F5339">
        <v>62500</v>
      </c>
      <c r="G5339" t="s">
        <v>17</v>
      </c>
      <c r="I5339" t="s">
        <v>16</v>
      </c>
      <c r="J5339" t="s">
        <v>180</v>
      </c>
      <c r="K5339" t="s">
        <v>25</v>
      </c>
      <c r="L5339">
        <v>132757294</v>
      </c>
      <c r="R5339">
        <v>9571</v>
      </c>
      <c r="S5339" t="s">
        <v>232</v>
      </c>
      <c r="T5339">
        <v>0</v>
      </c>
      <c r="U5339">
        <v>-32</v>
      </c>
      <c r="V5339">
        <v>0</v>
      </c>
      <c r="W5339">
        <v>0</v>
      </c>
      <c r="X5339">
        <v>0</v>
      </c>
    </row>
    <row r="5340" spans="1:40" x14ac:dyDescent="0.25">
      <c r="A5340" t="s">
        <v>15</v>
      </c>
      <c r="B5340" t="s">
        <v>24</v>
      </c>
      <c r="C5340">
        <v>20150316</v>
      </c>
      <c r="D5340">
        <v>0</v>
      </c>
      <c r="F5340">
        <v>62500</v>
      </c>
      <c r="G5340" t="s">
        <v>17</v>
      </c>
      <c r="I5340" t="s">
        <v>16</v>
      </c>
      <c r="J5340" t="s">
        <v>180</v>
      </c>
      <c r="K5340" t="s">
        <v>25</v>
      </c>
      <c r="L5340">
        <v>132757294</v>
      </c>
      <c r="R5340">
        <v>9571</v>
      </c>
      <c r="S5340" t="s">
        <v>192</v>
      </c>
      <c r="T5340">
        <v>0</v>
      </c>
      <c r="U5340">
        <v>32</v>
      </c>
      <c r="V5340">
        <v>0</v>
      </c>
      <c r="W5340">
        <v>0</v>
      </c>
      <c r="X5340">
        <v>0</v>
      </c>
    </row>
    <row r="5341" spans="1:40" x14ac:dyDescent="0.25">
      <c r="A5341" t="s">
        <v>15</v>
      </c>
      <c r="B5341" t="s">
        <v>24</v>
      </c>
      <c r="C5341">
        <v>20150316</v>
      </c>
      <c r="D5341">
        <v>0</v>
      </c>
      <c r="F5341">
        <v>62500</v>
      </c>
      <c r="G5341" t="s">
        <v>17</v>
      </c>
      <c r="I5341" t="s">
        <v>16</v>
      </c>
      <c r="J5341" t="s">
        <v>180</v>
      </c>
      <c r="K5341" t="s">
        <v>25</v>
      </c>
      <c r="L5341">
        <v>132757294</v>
      </c>
      <c r="R5341">
        <v>9572</v>
      </c>
      <c r="S5341" t="s">
        <v>232</v>
      </c>
      <c r="T5341">
        <v>0</v>
      </c>
      <c r="U5341">
        <v>5</v>
      </c>
      <c r="V5341">
        <v>0</v>
      </c>
      <c r="W5341">
        <v>0</v>
      </c>
      <c r="X5341">
        <v>0</v>
      </c>
    </row>
    <row r="5342" spans="1:40" x14ac:dyDescent="0.25">
      <c r="A5342" t="s">
        <v>15</v>
      </c>
      <c r="B5342" t="s">
        <v>24</v>
      </c>
      <c r="C5342">
        <v>20150316</v>
      </c>
      <c r="D5342">
        <v>0</v>
      </c>
      <c r="F5342">
        <v>62500</v>
      </c>
      <c r="G5342" t="s">
        <v>17</v>
      </c>
      <c r="I5342" t="s">
        <v>16</v>
      </c>
      <c r="J5342" t="s">
        <v>180</v>
      </c>
      <c r="K5342" t="s">
        <v>25</v>
      </c>
      <c r="L5342">
        <v>132757294</v>
      </c>
      <c r="R5342">
        <v>9572</v>
      </c>
      <c r="S5342" t="s">
        <v>232</v>
      </c>
      <c r="T5342">
        <v>0</v>
      </c>
      <c r="U5342">
        <v>5</v>
      </c>
      <c r="V5342">
        <v>0</v>
      </c>
      <c r="W5342">
        <v>0</v>
      </c>
      <c r="X5342">
        <v>0</v>
      </c>
    </row>
    <row r="5343" spans="1:40" x14ac:dyDescent="0.25">
      <c r="A5343" t="s">
        <v>15</v>
      </c>
      <c r="B5343" t="s">
        <v>24</v>
      </c>
      <c r="C5343">
        <v>20150316</v>
      </c>
      <c r="D5343">
        <v>0</v>
      </c>
      <c r="F5343">
        <v>62500</v>
      </c>
      <c r="G5343" t="s">
        <v>17</v>
      </c>
      <c r="I5343" t="s">
        <v>16</v>
      </c>
      <c r="J5343" t="s">
        <v>180</v>
      </c>
      <c r="K5343" t="s">
        <v>25</v>
      </c>
      <c r="L5343">
        <v>132757294</v>
      </c>
      <c r="R5343">
        <v>9572</v>
      </c>
      <c r="S5343" t="s">
        <v>233</v>
      </c>
      <c r="T5343">
        <v>0</v>
      </c>
      <c r="U5343">
        <v>5</v>
      </c>
      <c r="V5343">
        <v>0</v>
      </c>
      <c r="W5343">
        <v>0</v>
      </c>
      <c r="X5343">
        <v>0</v>
      </c>
    </row>
    <row r="5344" spans="1:40" x14ac:dyDescent="0.25">
      <c r="A5344" t="s">
        <v>15</v>
      </c>
      <c r="B5344" t="s">
        <v>24</v>
      </c>
      <c r="C5344">
        <v>20150316</v>
      </c>
      <c r="D5344">
        <v>0</v>
      </c>
      <c r="F5344">
        <v>62500</v>
      </c>
      <c r="G5344" t="s">
        <v>17</v>
      </c>
      <c r="I5344" t="s">
        <v>16</v>
      </c>
      <c r="J5344" t="s">
        <v>180</v>
      </c>
      <c r="K5344" t="s">
        <v>25</v>
      </c>
      <c r="L5344">
        <v>132757294</v>
      </c>
      <c r="R5344">
        <v>9572</v>
      </c>
      <c r="S5344" t="s">
        <v>233</v>
      </c>
      <c r="T5344">
        <v>0</v>
      </c>
      <c r="U5344">
        <v>3</v>
      </c>
      <c r="V5344">
        <v>0</v>
      </c>
      <c r="W5344">
        <v>0</v>
      </c>
      <c r="X5344">
        <v>0</v>
      </c>
      <c r="Y5344">
        <v>9572</v>
      </c>
      <c r="Z5344" t="s">
        <v>296</v>
      </c>
      <c r="AA5344" t="s">
        <v>297</v>
      </c>
      <c r="AB5344" t="s">
        <v>234</v>
      </c>
      <c r="AC5344" t="s">
        <v>17</v>
      </c>
      <c r="AD5344" t="s">
        <v>235</v>
      </c>
      <c r="AE5344">
        <v>1</v>
      </c>
      <c r="AF5344">
        <v>1</v>
      </c>
      <c r="AG5344">
        <v>1.5248999999999999</v>
      </c>
      <c r="AH5344">
        <v>1.5248999999999999</v>
      </c>
      <c r="AI5344">
        <v>415886605</v>
      </c>
      <c r="AJ5344">
        <v>0</v>
      </c>
      <c r="AK5344">
        <v>7</v>
      </c>
      <c r="AN5344">
        <v>0</v>
      </c>
    </row>
    <row r="5345" spans="1:40" x14ac:dyDescent="0.25">
      <c r="A5345" t="s">
        <v>15</v>
      </c>
      <c r="B5345" t="s">
        <v>24</v>
      </c>
      <c r="C5345">
        <v>20150316</v>
      </c>
      <c r="D5345">
        <v>0</v>
      </c>
      <c r="F5345">
        <v>62500</v>
      </c>
      <c r="G5345" t="s">
        <v>17</v>
      </c>
      <c r="I5345" t="s">
        <v>16</v>
      </c>
      <c r="J5345" t="s">
        <v>180</v>
      </c>
      <c r="K5345" t="s">
        <v>25</v>
      </c>
      <c r="L5345">
        <v>132757294</v>
      </c>
      <c r="R5345">
        <v>9572</v>
      </c>
      <c r="S5345" t="s">
        <v>233</v>
      </c>
      <c r="T5345">
        <v>0</v>
      </c>
      <c r="U5345">
        <v>3</v>
      </c>
      <c r="V5345">
        <v>0</v>
      </c>
      <c r="W5345">
        <v>0</v>
      </c>
      <c r="X5345">
        <v>0</v>
      </c>
    </row>
    <row r="5346" spans="1:40" x14ac:dyDescent="0.25">
      <c r="A5346" t="s">
        <v>15</v>
      </c>
      <c r="B5346" t="s">
        <v>24</v>
      </c>
      <c r="C5346">
        <v>20150316</v>
      </c>
      <c r="D5346">
        <v>0</v>
      </c>
      <c r="F5346">
        <v>62500</v>
      </c>
      <c r="G5346" t="s">
        <v>17</v>
      </c>
      <c r="I5346" t="s">
        <v>16</v>
      </c>
      <c r="J5346" t="s">
        <v>180</v>
      </c>
      <c r="K5346" t="s">
        <v>25</v>
      </c>
      <c r="L5346">
        <v>132757294</v>
      </c>
      <c r="R5346">
        <v>9572</v>
      </c>
      <c r="S5346" t="s">
        <v>233</v>
      </c>
      <c r="T5346">
        <v>1</v>
      </c>
      <c r="U5346">
        <v>4</v>
      </c>
      <c r="V5346">
        <v>1.5248999999999999</v>
      </c>
      <c r="W5346">
        <v>1.5248999999999999</v>
      </c>
      <c r="X5346">
        <v>0</v>
      </c>
    </row>
    <row r="5347" spans="1:40" x14ac:dyDescent="0.25">
      <c r="A5347" t="s">
        <v>15</v>
      </c>
      <c r="B5347" t="s">
        <v>24</v>
      </c>
      <c r="C5347">
        <v>20150316</v>
      </c>
      <c r="D5347">
        <v>0</v>
      </c>
      <c r="F5347">
        <v>62500</v>
      </c>
      <c r="G5347" t="s">
        <v>17</v>
      </c>
      <c r="I5347" t="s">
        <v>16</v>
      </c>
      <c r="J5347" t="s">
        <v>180</v>
      </c>
      <c r="K5347" t="s">
        <v>25</v>
      </c>
      <c r="L5347">
        <v>132757294</v>
      </c>
      <c r="R5347">
        <v>9572</v>
      </c>
      <c r="S5347" t="s">
        <v>233</v>
      </c>
      <c r="T5347">
        <v>1</v>
      </c>
      <c r="U5347">
        <v>4</v>
      </c>
      <c r="V5347">
        <v>1.5248999999999999</v>
      </c>
      <c r="W5347">
        <v>1.5248999999999999</v>
      </c>
      <c r="X5347">
        <v>0</v>
      </c>
    </row>
    <row r="5348" spans="1:40" x14ac:dyDescent="0.25">
      <c r="A5348" t="s">
        <v>15</v>
      </c>
      <c r="B5348" t="s">
        <v>24</v>
      </c>
      <c r="C5348">
        <v>20150316</v>
      </c>
      <c r="D5348">
        <v>0</v>
      </c>
      <c r="F5348">
        <v>62500</v>
      </c>
      <c r="G5348" t="s">
        <v>17</v>
      </c>
      <c r="I5348" t="s">
        <v>16</v>
      </c>
      <c r="J5348" t="s">
        <v>180</v>
      </c>
      <c r="K5348" t="s">
        <v>25</v>
      </c>
      <c r="L5348">
        <v>132757294</v>
      </c>
      <c r="R5348">
        <v>9572</v>
      </c>
      <c r="S5348" t="s">
        <v>233</v>
      </c>
      <c r="T5348">
        <v>1</v>
      </c>
      <c r="U5348">
        <v>4</v>
      </c>
      <c r="V5348">
        <v>1.5248999999999999</v>
      </c>
      <c r="W5348">
        <v>1.5248999999999999</v>
      </c>
      <c r="X5348">
        <v>0</v>
      </c>
    </row>
    <row r="5349" spans="1:40" x14ac:dyDescent="0.25">
      <c r="A5349" t="s">
        <v>15</v>
      </c>
      <c r="B5349" t="s">
        <v>24</v>
      </c>
      <c r="C5349">
        <v>20150316</v>
      </c>
      <c r="D5349">
        <v>0</v>
      </c>
      <c r="F5349">
        <v>62500</v>
      </c>
      <c r="G5349" t="s">
        <v>17</v>
      </c>
      <c r="I5349" t="s">
        <v>16</v>
      </c>
      <c r="J5349" t="s">
        <v>180</v>
      </c>
      <c r="K5349" t="s">
        <v>25</v>
      </c>
      <c r="L5349">
        <v>132757294</v>
      </c>
      <c r="R5349">
        <v>9572</v>
      </c>
      <c r="S5349" t="s">
        <v>223</v>
      </c>
      <c r="T5349">
        <v>1</v>
      </c>
      <c r="U5349">
        <v>4</v>
      </c>
      <c r="V5349">
        <v>1.5248999999999999</v>
      </c>
      <c r="W5349">
        <v>1.5248999999999999</v>
      </c>
      <c r="X5349">
        <v>0</v>
      </c>
    </row>
    <row r="5350" spans="1:40" x14ac:dyDescent="0.25">
      <c r="A5350" t="s">
        <v>15</v>
      </c>
      <c r="B5350" t="s">
        <v>24</v>
      </c>
      <c r="C5350">
        <v>20150316</v>
      </c>
      <c r="D5350">
        <v>0</v>
      </c>
      <c r="F5350">
        <v>62500</v>
      </c>
      <c r="G5350" t="s">
        <v>17</v>
      </c>
      <c r="I5350" t="s">
        <v>16</v>
      </c>
      <c r="J5350" t="s">
        <v>180</v>
      </c>
      <c r="K5350" t="s">
        <v>25</v>
      </c>
      <c r="L5350">
        <v>132757294</v>
      </c>
      <c r="R5350">
        <v>9572</v>
      </c>
      <c r="S5350" t="s">
        <v>224</v>
      </c>
      <c r="T5350">
        <v>1</v>
      </c>
      <c r="U5350">
        <v>4</v>
      </c>
      <c r="V5350">
        <v>1.5248999999999999</v>
      </c>
      <c r="W5350">
        <v>1.5248999999999999</v>
      </c>
      <c r="X5350">
        <v>0</v>
      </c>
    </row>
    <row r="5351" spans="1:40" x14ac:dyDescent="0.25">
      <c r="A5351" t="s">
        <v>15</v>
      </c>
      <c r="B5351" t="s">
        <v>24</v>
      </c>
      <c r="C5351">
        <v>20150316</v>
      </c>
      <c r="D5351">
        <v>0</v>
      </c>
      <c r="F5351">
        <v>62500</v>
      </c>
      <c r="G5351" t="s">
        <v>17</v>
      </c>
      <c r="I5351" t="s">
        <v>16</v>
      </c>
      <c r="J5351" t="s">
        <v>180</v>
      </c>
      <c r="K5351" t="s">
        <v>25</v>
      </c>
      <c r="L5351">
        <v>132757294</v>
      </c>
      <c r="R5351">
        <v>9573</v>
      </c>
      <c r="S5351" t="s">
        <v>232</v>
      </c>
      <c r="T5351">
        <v>0</v>
      </c>
      <c r="U5351">
        <v>5</v>
      </c>
      <c r="V5351">
        <v>0</v>
      </c>
      <c r="W5351">
        <v>0</v>
      </c>
      <c r="X5351">
        <v>0</v>
      </c>
    </row>
    <row r="5352" spans="1:40" x14ac:dyDescent="0.25">
      <c r="A5352" t="s">
        <v>15</v>
      </c>
      <c r="B5352" t="s">
        <v>24</v>
      </c>
      <c r="C5352">
        <v>20150316</v>
      </c>
      <c r="D5352">
        <v>0</v>
      </c>
      <c r="F5352">
        <v>62500</v>
      </c>
      <c r="G5352" t="s">
        <v>17</v>
      </c>
      <c r="I5352" t="s">
        <v>16</v>
      </c>
      <c r="J5352" t="s">
        <v>180</v>
      </c>
      <c r="K5352" t="s">
        <v>25</v>
      </c>
      <c r="L5352">
        <v>132757294</v>
      </c>
      <c r="R5352">
        <v>9573</v>
      </c>
      <c r="S5352" t="s">
        <v>232</v>
      </c>
      <c r="T5352">
        <v>0</v>
      </c>
      <c r="U5352">
        <v>5</v>
      </c>
      <c r="V5352">
        <v>0</v>
      </c>
      <c r="W5352">
        <v>0</v>
      </c>
      <c r="X5352">
        <v>0</v>
      </c>
    </row>
    <row r="5353" spans="1:40" x14ac:dyDescent="0.25">
      <c r="A5353" t="s">
        <v>15</v>
      </c>
      <c r="B5353" t="s">
        <v>24</v>
      </c>
      <c r="C5353">
        <v>20150316</v>
      </c>
      <c r="D5353">
        <v>0</v>
      </c>
      <c r="F5353">
        <v>62500</v>
      </c>
      <c r="G5353" t="s">
        <v>17</v>
      </c>
      <c r="I5353" t="s">
        <v>16</v>
      </c>
      <c r="J5353" t="s">
        <v>180</v>
      </c>
      <c r="K5353" t="s">
        <v>25</v>
      </c>
      <c r="L5353">
        <v>132757294</v>
      </c>
      <c r="R5353">
        <v>9573</v>
      </c>
      <c r="S5353" t="s">
        <v>233</v>
      </c>
      <c r="T5353">
        <v>0</v>
      </c>
      <c r="U5353">
        <v>5</v>
      </c>
      <c r="V5353">
        <v>0</v>
      </c>
      <c r="W5353">
        <v>0</v>
      </c>
      <c r="X5353">
        <v>0</v>
      </c>
    </row>
    <row r="5354" spans="1:40" x14ac:dyDescent="0.25">
      <c r="A5354" t="s">
        <v>15</v>
      </c>
      <c r="B5354" t="s">
        <v>24</v>
      </c>
      <c r="C5354">
        <v>20150316</v>
      </c>
      <c r="D5354">
        <v>0</v>
      </c>
      <c r="F5354">
        <v>62500</v>
      </c>
      <c r="G5354" t="s">
        <v>17</v>
      </c>
      <c r="I5354" t="s">
        <v>16</v>
      </c>
      <c r="J5354" t="s">
        <v>180</v>
      </c>
      <c r="K5354" t="s">
        <v>25</v>
      </c>
      <c r="L5354">
        <v>132757294</v>
      </c>
      <c r="R5354">
        <v>9570</v>
      </c>
      <c r="S5354" t="s">
        <v>192</v>
      </c>
      <c r="T5354">
        <v>0</v>
      </c>
      <c r="U5354">
        <v>32</v>
      </c>
      <c r="V5354">
        <v>0</v>
      </c>
      <c r="W5354">
        <v>0</v>
      </c>
      <c r="X5354">
        <v>0</v>
      </c>
    </row>
    <row r="5355" spans="1:40" x14ac:dyDescent="0.25">
      <c r="A5355" t="s">
        <v>15</v>
      </c>
      <c r="B5355" t="s">
        <v>24</v>
      </c>
      <c r="C5355">
        <v>20150316</v>
      </c>
      <c r="D5355">
        <v>0</v>
      </c>
      <c r="F5355">
        <v>62500</v>
      </c>
      <c r="G5355" t="s">
        <v>17</v>
      </c>
      <c r="I5355" t="s">
        <v>16</v>
      </c>
      <c r="J5355" t="s">
        <v>180</v>
      </c>
      <c r="K5355" t="s">
        <v>25</v>
      </c>
      <c r="L5355">
        <v>132757294</v>
      </c>
      <c r="R5355">
        <v>9570</v>
      </c>
      <c r="S5355" t="s">
        <v>192</v>
      </c>
      <c r="T5355">
        <v>0</v>
      </c>
      <c r="U5355">
        <v>32</v>
      </c>
      <c r="V5355">
        <v>0</v>
      </c>
      <c r="W5355">
        <v>0</v>
      </c>
      <c r="X5355">
        <v>0</v>
      </c>
    </row>
    <row r="5356" spans="1:40" x14ac:dyDescent="0.25">
      <c r="A5356" t="s">
        <v>15</v>
      </c>
      <c r="B5356" t="s">
        <v>24</v>
      </c>
      <c r="C5356">
        <v>20150316</v>
      </c>
      <c r="D5356">
        <v>0</v>
      </c>
      <c r="F5356">
        <v>62500</v>
      </c>
      <c r="G5356" t="s">
        <v>17</v>
      </c>
      <c r="I5356" t="s">
        <v>16</v>
      </c>
      <c r="J5356" t="s">
        <v>180</v>
      </c>
      <c r="K5356" t="s">
        <v>25</v>
      </c>
      <c r="L5356">
        <v>132757294</v>
      </c>
      <c r="R5356">
        <v>9570</v>
      </c>
      <c r="S5356" t="s">
        <v>192</v>
      </c>
      <c r="T5356">
        <v>0</v>
      </c>
      <c r="U5356">
        <v>24</v>
      </c>
      <c r="V5356">
        <v>0</v>
      </c>
      <c r="W5356">
        <v>0</v>
      </c>
      <c r="X5356">
        <v>0</v>
      </c>
      <c r="Y5356">
        <v>9570</v>
      </c>
      <c r="Z5356" t="s">
        <v>298</v>
      </c>
      <c r="AA5356" t="s">
        <v>299</v>
      </c>
      <c r="AB5356" t="s">
        <v>234</v>
      </c>
      <c r="AC5356" t="s">
        <v>17</v>
      </c>
      <c r="AD5356" t="s">
        <v>235</v>
      </c>
      <c r="AE5356">
        <v>4</v>
      </c>
      <c r="AF5356">
        <v>4</v>
      </c>
      <c r="AG5356">
        <v>1.5251999999999999</v>
      </c>
      <c r="AH5356">
        <v>1.5251999999999999</v>
      </c>
      <c r="AI5356">
        <v>415886603</v>
      </c>
      <c r="AJ5356">
        <v>0</v>
      </c>
      <c r="AK5356">
        <v>7</v>
      </c>
      <c r="AN5356">
        <v>0</v>
      </c>
    </row>
    <row r="5357" spans="1:40" x14ac:dyDescent="0.25">
      <c r="A5357" t="s">
        <v>15</v>
      </c>
      <c r="B5357" t="s">
        <v>24</v>
      </c>
      <c r="C5357">
        <v>20150316</v>
      </c>
      <c r="D5357">
        <v>0</v>
      </c>
      <c r="F5357">
        <v>62500</v>
      </c>
      <c r="G5357" t="s">
        <v>17</v>
      </c>
      <c r="I5357" t="s">
        <v>16</v>
      </c>
      <c r="J5357" t="s">
        <v>180</v>
      </c>
      <c r="K5357" t="s">
        <v>25</v>
      </c>
      <c r="L5357">
        <v>132757294</v>
      </c>
      <c r="R5357">
        <v>9570</v>
      </c>
      <c r="S5357" t="s">
        <v>192</v>
      </c>
      <c r="T5357">
        <v>0</v>
      </c>
      <c r="U5357">
        <v>24</v>
      </c>
      <c r="V5357">
        <v>0</v>
      </c>
      <c r="W5357">
        <v>0</v>
      </c>
      <c r="X5357">
        <v>0</v>
      </c>
    </row>
    <row r="5358" spans="1:40" x14ac:dyDescent="0.25">
      <c r="A5358" t="s">
        <v>15</v>
      </c>
      <c r="B5358" t="s">
        <v>24</v>
      </c>
      <c r="C5358">
        <v>20150316</v>
      </c>
      <c r="D5358">
        <v>0</v>
      </c>
      <c r="F5358">
        <v>62500</v>
      </c>
      <c r="G5358" t="s">
        <v>17</v>
      </c>
      <c r="I5358" t="s">
        <v>16</v>
      </c>
      <c r="J5358" t="s">
        <v>180</v>
      </c>
      <c r="K5358" t="s">
        <v>25</v>
      </c>
      <c r="L5358">
        <v>132757294</v>
      </c>
      <c r="R5358">
        <v>9570</v>
      </c>
      <c r="S5358" t="s">
        <v>192</v>
      </c>
      <c r="T5358">
        <v>4</v>
      </c>
      <c r="U5358">
        <v>28</v>
      </c>
      <c r="V5358">
        <v>1.5251999999999999</v>
      </c>
      <c r="W5358">
        <v>1.5251999999999999</v>
      </c>
      <c r="X5358">
        <v>0</v>
      </c>
    </row>
    <row r="5359" spans="1:40" x14ac:dyDescent="0.25">
      <c r="A5359" t="s">
        <v>15</v>
      </c>
      <c r="B5359" t="s">
        <v>24</v>
      </c>
      <c r="C5359">
        <v>20150316</v>
      </c>
      <c r="D5359">
        <v>0</v>
      </c>
      <c r="F5359">
        <v>62500</v>
      </c>
      <c r="G5359" t="s">
        <v>17</v>
      </c>
      <c r="I5359" t="s">
        <v>16</v>
      </c>
      <c r="J5359" t="s">
        <v>180</v>
      </c>
      <c r="K5359" t="s">
        <v>25</v>
      </c>
      <c r="L5359">
        <v>132757294</v>
      </c>
      <c r="R5359">
        <v>9570</v>
      </c>
      <c r="S5359" t="s">
        <v>192</v>
      </c>
      <c r="T5359">
        <v>4</v>
      </c>
      <c r="U5359">
        <v>28</v>
      </c>
      <c r="V5359">
        <v>1.5251999999999999</v>
      </c>
      <c r="W5359">
        <v>1.5251999999999999</v>
      </c>
      <c r="X5359">
        <v>0</v>
      </c>
    </row>
    <row r="5360" spans="1:40" x14ac:dyDescent="0.25">
      <c r="A5360" t="s">
        <v>15</v>
      </c>
      <c r="B5360" t="s">
        <v>24</v>
      </c>
      <c r="C5360">
        <v>20150316</v>
      </c>
      <c r="D5360">
        <v>0</v>
      </c>
      <c r="F5360">
        <v>62500</v>
      </c>
      <c r="G5360" t="s">
        <v>17</v>
      </c>
      <c r="I5360" t="s">
        <v>16</v>
      </c>
      <c r="J5360" t="s">
        <v>180</v>
      </c>
      <c r="K5360" t="s">
        <v>25</v>
      </c>
      <c r="L5360">
        <v>132757294</v>
      </c>
      <c r="R5360">
        <v>9570</v>
      </c>
      <c r="S5360" t="s">
        <v>233</v>
      </c>
      <c r="T5360">
        <v>4</v>
      </c>
      <c r="U5360">
        <v>28</v>
      </c>
      <c r="V5360">
        <v>1.5251999999999999</v>
      </c>
      <c r="W5360">
        <v>1.5251999999999999</v>
      </c>
      <c r="X5360">
        <v>0</v>
      </c>
    </row>
    <row r="5361" spans="1:40" x14ac:dyDescent="0.25">
      <c r="A5361" t="s">
        <v>15</v>
      </c>
      <c r="B5361" t="s">
        <v>24</v>
      </c>
      <c r="C5361">
        <v>20150316</v>
      </c>
      <c r="D5361">
        <v>0</v>
      </c>
      <c r="F5361">
        <v>62500</v>
      </c>
      <c r="G5361" t="s">
        <v>17</v>
      </c>
      <c r="I5361" t="s">
        <v>16</v>
      </c>
      <c r="J5361" t="s">
        <v>180</v>
      </c>
      <c r="K5361" t="s">
        <v>25</v>
      </c>
      <c r="L5361">
        <v>132757294</v>
      </c>
      <c r="R5361">
        <v>9570</v>
      </c>
      <c r="S5361" t="s">
        <v>233</v>
      </c>
      <c r="T5361">
        <v>4</v>
      </c>
      <c r="U5361">
        <v>-20</v>
      </c>
      <c r="V5361">
        <v>1.5251999999999999</v>
      </c>
      <c r="W5361">
        <v>1.5251999999999999</v>
      </c>
      <c r="X5361">
        <v>0</v>
      </c>
      <c r="Y5361">
        <v>9570</v>
      </c>
      <c r="Z5361" t="s">
        <v>300</v>
      </c>
      <c r="AA5361" t="s">
        <v>299</v>
      </c>
      <c r="AB5361" t="s">
        <v>234</v>
      </c>
      <c r="AC5361" t="s">
        <v>17</v>
      </c>
      <c r="AD5361" t="s">
        <v>235</v>
      </c>
      <c r="AE5361">
        <v>24</v>
      </c>
      <c r="AF5361">
        <v>28</v>
      </c>
      <c r="AG5361">
        <v>1.5262</v>
      </c>
      <c r="AH5361">
        <v>1.526057</v>
      </c>
      <c r="AI5361">
        <v>415886603</v>
      </c>
      <c r="AJ5361">
        <v>0</v>
      </c>
      <c r="AK5361">
        <v>7</v>
      </c>
      <c r="AN5361">
        <v>0</v>
      </c>
    </row>
    <row r="5362" spans="1:40" x14ac:dyDescent="0.25">
      <c r="A5362" t="s">
        <v>15</v>
      </c>
      <c r="B5362" t="s">
        <v>24</v>
      </c>
      <c r="C5362">
        <v>20150316</v>
      </c>
      <c r="D5362">
        <v>0</v>
      </c>
      <c r="F5362">
        <v>62500</v>
      </c>
      <c r="G5362" t="s">
        <v>17</v>
      </c>
      <c r="I5362" t="s">
        <v>16</v>
      </c>
      <c r="J5362" t="s">
        <v>180</v>
      </c>
      <c r="K5362" t="s">
        <v>25</v>
      </c>
      <c r="L5362">
        <v>132757294</v>
      </c>
      <c r="R5362">
        <v>9570</v>
      </c>
      <c r="S5362" t="s">
        <v>233</v>
      </c>
      <c r="T5362">
        <v>4</v>
      </c>
      <c r="U5362">
        <v>-20</v>
      </c>
      <c r="V5362">
        <v>1.5251999999999999</v>
      </c>
      <c r="W5362">
        <v>1.5251999999999999</v>
      </c>
      <c r="X5362">
        <v>0</v>
      </c>
    </row>
    <row r="5363" spans="1:40" x14ac:dyDescent="0.25">
      <c r="A5363" t="s">
        <v>15</v>
      </c>
      <c r="B5363" t="s">
        <v>24</v>
      </c>
      <c r="C5363">
        <v>20150316</v>
      </c>
      <c r="D5363">
        <v>0</v>
      </c>
      <c r="F5363">
        <v>62500</v>
      </c>
      <c r="G5363" t="s">
        <v>17</v>
      </c>
      <c r="I5363" t="s">
        <v>16</v>
      </c>
      <c r="J5363" t="s">
        <v>180</v>
      </c>
      <c r="K5363" t="s">
        <v>25</v>
      </c>
      <c r="L5363">
        <v>132757294</v>
      </c>
      <c r="R5363">
        <v>9570</v>
      </c>
      <c r="S5363" t="s">
        <v>233</v>
      </c>
      <c r="T5363">
        <v>28</v>
      </c>
      <c r="U5363">
        <v>4</v>
      </c>
      <c r="V5363">
        <v>1.526057</v>
      </c>
      <c r="W5363">
        <v>1.5262</v>
      </c>
      <c r="X5363">
        <v>0</v>
      </c>
    </row>
    <row r="5364" spans="1:40" x14ac:dyDescent="0.25">
      <c r="A5364" t="s">
        <v>15</v>
      </c>
      <c r="B5364" t="s">
        <v>24</v>
      </c>
      <c r="C5364">
        <v>20150316</v>
      </c>
      <c r="D5364">
        <v>0</v>
      </c>
      <c r="F5364">
        <v>62500</v>
      </c>
      <c r="G5364" t="s">
        <v>17</v>
      </c>
      <c r="I5364" t="s">
        <v>16</v>
      </c>
      <c r="J5364" t="s">
        <v>180</v>
      </c>
      <c r="K5364" t="s">
        <v>25</v>
      </c>
      <c r="L5364">
        <v>132757294</v>
      </c>
      <c r="R5364">
        <v>9570</v>
      </c>
      <c r="S5364" t="s">
        <v>233</v>
      </c>
      <c r="T5364">
        <v>28</v>
      </c>
      <c r="U5364">
        <v>4</v>
      </c>
      <c r="V5364">
        <v>1.526057</v>
      </c>
      <c r="W5364">
        <v>1.5262</v>
      </c>
      <c r="X5364">
        <v>0</v>
      </c>
    </row>
    <row r="5365" spans="1:40" x14ac:dyDescent="0.25">
      <c r="A5365" t="s">
        <v>15</v>
      </c>
      <c r="B5365" t="s">
        <v>24</v>
      </c>
      <c r="C5365">
        <v>20150316</v>
      </c>
      <c r="D5365">
        <v>0</v>
      </c>
      <c r="F5365">
        <v>62500</v>
      </c>
      <c r="G5365" t="s">
        <v>17</v>
      </c>
      <c r="I5365" t="s">
        <v>16</v>
      </c>
      <c r="J5365" t="s">
        <v>180</v>
      </c>
      <c r="K5365" t="s">
        <v>25</v>
      </c>
      <c r="L5365">
        <v>132757294</v>
      </c>
      <c r="R5365">
        <v>9570</v>
      </c>
      <c r="S5365" t="s">
        <v>233</v>
      </c>
      <c r="T5365">
        <v>28</v>
      </c>
      <c r="U5365">
        <v>4</v>
      </c>
      <c r="V5365">
        <v>1.526057</v>
      </c>
      <c r="W5365">
        <v>1.5262</v>
      </c>
      <c r="X5365">
        <v>0</v>
      </c>
    </row>
    <row r="5366" spans="1:40" x14ac:dyDescent="0.25">
      <c r="A5366" t="s">
        <v>15</v>
      </c>
      <c r="B5366" t="s">
        <v>24</v>
      </c>
      <c r="C5366">
        <v>20150316</v>
      </c>
      <c r="D5366">
        <v>0</v>
      </c>
      <c r="F5366">
        <v>62500</v>
      </c>
      <c r="G5366" t="s">
        <v>17</v>
      </c>
      <c r="I5366" t="s">
        <v>16</v>
      </c>
      <c r="J5366" t="s">
        <v>180</v>
      </c>
      <c r="K5366" t="s">
        <v>25</v>
      </c>
      <c r="L5366">
        <v>132757294</v>
      </c>
      <c r="R5366">
        <v>9570</v>
      </c>
      <c r="S5366" t="s">
        <v>233</v>
      </c>
      <c r="T5366">
        <v>28</v>
      </c>
      <c r="U5366">
        <v>4</v>
      </c>
      <c r="V5366">
        <v>1.526057</v>
      </c>
      <c r="W5366">
        <v>1.5262</v>
      </c>
      <c r="X5366">
        <v>0</v>
      </c>
    </row>
    <row r="5367" spans="1:40" x14ac:dyDescent="0.25">
      <c r="A5367" t="s">
        <v>15</v>
      </c>
      <c r="B5367" t="s">
        <v>24</v>
      </c>
      <c r="C5367">
        <v>20150316</v>
      </c>
      <c r="D5367">
        <v>0</v>
      </c>
      <c r="F5367">
        <v>62500</v>
      </c>
      <c r="G5367" t="s">
        <v>17</v>
      </c>
      <c r="I5367" t="s">
        <v>16</v>
      </c>
      <c r="J5367" t="s">
        <v>180</v>
      </c>
      <c r="K5367" t="s">
        <v>25</v>
      </c>
      <c r="L5367">
        <v>132757294</v>
      </c>
      <c r="R5367">
        <v>9570</v>
      </c>
      <c r="S5367" t="s">
        <v>233</v>
      </c>
      <c r="T5367">
        <v>28</v>
      </c>
      <c r="U5367">
        <v>4</v>
      </c>
      <c r="V5367">
        <v>1.526057</v>
      </c>
      <c r="W5367">
        <v>1.5262</v>
      </c>
      <c r="X5367">
        <v>0</v>
      </c>
    </row>
    <row r="5368" spans="1:40" x14ac:dyDescent="0.25">
      <c r="A5368" t="s">
        <v>15</v>
      </c>
      <c r="B5368" t="s">
        <v>24</v>
      </c>
      <c r="C5368">
        <v>20150316</v>
      </c>
      <c r="D5368">
        <v>0</v>
      </c>
      <c r="F5368">
        <v>62500</v>
      </c>
      <c r="G5368" t="s">
        <v>17</v>
      </c>
      <c r="I5368" t="s">
        <v>16</v>
      </c>
      <c r="J5368" t="s">
        <v>180</v>
      </c>
      <c r="K5368" t="s">
        <v>25</v>
      </c>
      <c r="L5368">
        <v>132757294</v>
      </c>
      <c r="R5368">
        <v>9570</v>
      </c>
      <c r="S5368" t="s">
        <v>233</v>
      </c>
      <c r="T5368">
        <v>28</v>
      </c>
      <c r="U5368">
        <v>-4</v>
      </c>
      <c r="V5368">
        <v>1.526057</v>
      </c>
      <c r="W5368">
        <v>1.5262</v>
      </c>
      <c r="X5368">
        <v>0</v>
      </c>
      <c r="Y5368">
        <v>9570</v>
      </c>
      <c r="Z5368" t="s">
        <v>301</v>
      </c>
      <c r="AA5368" t="s">
        <v>299</v>
      </c>
      <c r="AB5368" t="s">
        <v>234</v>
      </c>
      <c r="AC5368" t="s">
        <v>17</v>
      </c>
      <c r="AD5368" t="s">
        <v>235</v>
      </c>
      <c r="AE5368">
        <v>4</v>
      </c>
      <c r="AF5368">
        <v>32</v>
      </c>
      <c r="AG5368">
        <v>1.5262</v>
      </c>
      <c r="AH5368">
        <v>1.5260750000000001</v>
      </c>
      <c r="AI5368">
        <v>415886603</v>
      </c>
      <c r="AJ5368">
        <v>0</v>
      </c>
      <c r="AK5368">
        <v>7</v>
      </c>
      <c r="AN5368">
        <v>0</v>
      </c>
    </row>
    <row r="5369" spans="1:40" x14ac:dyDescent="0.25">
      <c r="A5369" t="s">
        <v>15</v>
      </c>
      <c r="B5369" t="s">
        <v>24</v>
      </c>
      <c r="C5369">
        <v>20150316</v>
      </c>
      <c r="D5369">
        <v>0</v>
      </c>
      <c r="F5369">
        <v>62500</v>
      </c>
      <c r="G5369" t="s">
        <v>17</v>
      </c>
      <c r="I5369" t="s">
        <v>16</v>
      </c>
      <c r="J5369" t="s">
        <v>180</v>
      </c>
      <c r="K5369" t="s">
        <v>25</v>
      </c>
      <c r="L5369">
        <v>132757294</v>
      </c>
      <c r="R5369">
        <v>9570</v>
      </c>
      <c r="S5369" t="s">
        <v>233</v>
      </c>
      <c r="T5369">
        <v>28</v>
      </c>
      <c r="U5369">
        <v>-4</v>
      </c>
      <c r="V5369">
        <v>1.526057</v>
      </c>
      <c r="W5369">
        <v>1.5262</v>
      </c>
      <c r="X5369">
        <v>0</v>
      </c>
    </row>
    <row r="5370" spans="1:40" x14ac:dyDescent="0.25">
      <c r="A5370" t="s">
        <v>15</v>
      </c>
      <c r="B5370" t="s">
        <v>24</v>
      </c>
      <c r="C5370">
        <v>20150316</v>
      </c>
      <c r="D5370">
        <v>0</v>
      </c>
      <c r="F5370">
        <v>62500</v>
      </c>
      <c r="G5370" t="s">
        <v>17</v>
      </c>
      <c r="I5370" t="s">
        <v>16</v>
      </c>
      <c r="J5370" t="s">
        <v>180</v>
      </c>
      <c r="K5370" t="s">
        <v>25</v>
      </c>
      <c r="L5370">
        <v>132757294</v>
      </c>
      <c r="R5370">
        <v>9570</v>
      </c>
      <c r="S5370" t="s">
        <v>37</v>
      </c>
      <c r="T5370">
        <v>32</v>
      </c>
      <c r="U5370">
        <v>0</v>
      </c>
      <c r="V5370">
        <v>1.5260750000000001</v>
      </c>
      <c r="W5370">
        <v>1.5262</v>
      </c>
      <c r="X5370">
        <v>0</v>
      </c>
    </row>
    <row r="5371" spans="1:40" x14ac:dyDescent="0.25">
      <c r="A5371" t="s">
        <v>15</v>
      </c>
      <c r="B5371" t="s">
        <v>24</v>
      </c>
      <c r="C5371">
        <v>20150316</v>
      </c>
      <c r="D5371">
        <v>0</v>
      </c>
      <c r="F5371">
        <v>62500</v>
      </c>
      <c r="G5371" t="s">
        <v>17</v>
      </c>
      <c r="I5371" t="s">
        <v>16</v>
      </c>
      <c r="J5371" t="s">
        <v>180</v>
      </c>
      <c r="K5371" t="s">
        <v>25</v>
      </c>
      <c r="L5371">
        <v>132757294</v>
      </c>
      <c r="R5371">
        <v>9570</v>
      </c>
      <c r="S5371" t="s">
        <v>37</v>
      </c>
      <c r="T5371">
        <v>32</v>
      </c>
      <c r="U5371">
        <v>0</v>
      </c>
      <c r="V5371">
        <v>1.5260750000000001</v>
      </c>
      <c r="W5371">
        <v>1.5262</v>
      </c>
      <c r="X5371">
        <v>0</v>
      </c>
    </row>
    <row r="5372" spans="1:40" x14ac:dyDescent="0.25">
      <c r="A5372" t="s">
        <v>15</v>
      </c>
      <c r="B5372" t="s">
        <v>24</v>
      </c>
      <c r="C5372">
        <v>20150316</v>
      </c>
      <c r="D5372">
        <v>0</v>
      </c>
      <c r="F5372">
        <v>62500</v>
      </c>
      <c r="G5372" t="s">
        <v>17</v>
      </c>
      <c r="I5372" t="s">
        <v>16</v>
      </c>
      <c r="J5372" t="s">
        <v>180</v>
      </c>
      <c r="K5372" t="s">
        <v>25</v>
      </c>
      <c r="L5372">
        <v>132757294</v>
      </c>
      <c r="R5372">
        <v>9570</v>
      </c>
      <c r="S5372" t="s">
        <v>37</v>
      </c>
      <c r="T5372">
        <v>32</v>
      </c>
      <c r="U5372">
        <v>0</v>
      </c>
      <c r="V5372">
        <v>1.5260750000000001</v>
      </c>
      <c r="W5372">
        <v>1.5262</v>
      </c>
      <c r="X5372">
        <v>0</v>
      </c>
    </row>
    <row r="5373" spans="1:40" x14ac:dyDescent="0.25">
      <c r="A5373" t="s">
        <v>15</v>
      </c>
      <c r="B5373" t="s">
        <v>24</v>
      </c>
      <c r="C5373">
        <v>20150316</v>
      </c>
      <c r="D5373">
        <v>0</v>
      </c>
      <c r="F5373">
        <v>62500</v>
      </c>
      <c r="G5373" t="s">
        <v>17</v>
      </c>
      <c r="I5373" t="s">
        <v>16</v>
      </c>
      <c r="J5373" t="s">
        <v>180</v>
      </c>
      <c r="K5373" t="s">
        <v>25</v>
      </c>
      <c r="L5373">
        <v>132757294</v>
      </c>
      <c r="R5373">
        <v>9570</v>
      </c>
      <c r="S5373" t="s">
        <v>37</v>
      </c>
      <c r="T5373">
        <v>32</v>
      </c>
      <c r="U5373">
        <v>0</v>
      </c>
      <c r="V5373">
        <v>1.5260750000000001</v>
      </c>
      <c r="W5373">
        <v>1.5262</v>
      </c>
      <c r="X5373">
        <v>0</v>
      </c>
    </row>
    <row r="5374" spans="1:40" x14ac:dyDescent="0.25">
      <c r="A5374" t="s">
        <v>15</v>
      </c>
      <c r="B5374" t="s">
        <v>24</v>
      </c>
      <c r="C5374">
        <v>20150316</v>
      </c>
      <c r="D5374">
        <v>0</v>
      </c>
      <c r="F5374">
        <v>62500</v>
      </c>
      <c r="G5374" t="s">
        <v>17</v>
      </c>
      <c r="I5374" t="s">
        <v>16</v>
      </c>
      <c r="J5374" t="s">
        <v>180</v>
      </c>
      <c r="K5374" t="s">
        <v>25</v>
      </c>
      <c r="L5374">
        <v>132757294</v>
      </c>
      <c r="R5374">
        <v>9570</v>
      </c>
      <c r="S5374" t="s">
        <v>37</v>
      </c>
      <c r="T5374">
        <v>32</v>
      </c>
      <c r="U5374">
        <v>0</v>
      </c>
      <c r="V5374">
        <v>1.5260750000000001</v>
      </c>
      <c r="W5374">
        <v>1.5262</v>
      </c>
      <c r="X5374">
        <v>0</v>
      </c>
    </row>
    <row r="5375" spans="1:40" x14ac:dyDescent="0.25">
      <c r="A5375" t="s">
        <v>15</v>
      </c>
      <c r="B5375" t="s">
        <v>24</v>
      </c>
      <c r="C5375">
        <v>20150316</v>
      </c>
      <c r="D5375">
        <v>0</v>
      </c>
      <c r="F5375">
        <v>62500</v>
      </c>
      <c r="G5375" t="s">
        <v>17</v>
      </c>
      <c r="I5375" t="s">
        <v>16</v>
      </c>
      <c r="J5375" t="s">
        <v>180</v>
      </c>
      <c r="K5375" t="s">
        <v>25</v>
      </c>
      <c r="L5375">
        <v>132757294</v>
      </c>
      <c r="R5375">
        <v>9573</v>
      </c>
      <c r="S5375" t="s">
        <v>223</v>
      </c>
      <c r="T5375">
        <v>0</v>
      </c>
      <c r="U5375">
        <v>5</v>
      </c>
      <c r="V5375">
        <v>0</v>
      </c>
      <c r="W5375">
        <v>0</v>
      </c>
      <c r="X5375">
        <v>0</v>
      </c>
    </row>
    <row r="5376" spans="1:40" x14ac:dyDescent="0.25">
      <c r="A5376" t="s">
        <v>15</v>
      </c>
      <c r="B5376" t="s">
        <v>24</v>
      </c>
      <c r="C5376">
        <v>20150316</v>
      </c>
      <c r="D5376">
        <v>0</v>
      </c>
      <c r="F5376">
        <v>62500</v>
      </c>
      <c r="G5376" t="s">
        <v>17</v>
      </c>
      <c r="I5376" t="s">
        <v>16</v>
      </c>
      <c r="J5376" t="s">
        <v>180</v>
      </c>
      <c r="K5376" t="s">
        <v>25</v>
      </c>
      <c r="L5376">
        <v>132757294</v>
      </c>
      <c r="R5376">
        <v>9573</v>
      </c>
      <c r="S5376" t="s">
        <v>224</v>
      </c>
      <c r="T5376">
        <v>0</v>
      </c>
      <c r="U5376">
        <v>5</v>
      </c>
      <c r="V5376">
        <v>0</v>
      </c>
      <c r="W5376">
        <v>0</v>
      </c>
      <c r="X5376">
        <v>0</v>
      </c>
    </row>
    <row r="5377" spans="1:40" x14ac:dyDescent="0.25">
      <c r="A5377" t="s">
        <v>15</v>
      </c>
      <c r="B5377" t="s">
        <v>24</v>
      </c>
      <c r="C5377">
        <v>20150316</v>
      </c>
      <c r="D5377">
        <v>0</v>
      </c>
      <c r="F5377">
        <v>62500</v>
      </c>
      <c r="G5377" t="s">
        <v>17</v>
      </c>
      <c r="I5377" t="s">
        <v>16</v>
      </c>
      <c r="J5377" t="s">
        <v>180</v>
      </c>
      <c r="K5377" t="s">
        <v>25</v>
      </c>
      <c r="L5377">
        <v>132757294</v>
      </c>
      <c r="R5377">
        <v>9574</v>
      </c>
      <c r="S5377" t="s">
        <v>232</v>
      </c>
      <c r="T5377">
        <v>0</v>
      </c>
      <c r="U5377">
        <v>5</v>
      </c>
      <c r="V5377">
        <v>0</v>
      </c>
      <c r="W5377">
        <v>0</v>
      </c>
      <c r="X5377">
        <v>0</v>
      </c>
    </row>
    <row r="5378" spans="1:40" x14ac:dyDescent="0.25">
      <c r="A5378" t="s">
        <v>15</v>
      </c>
      <c r="B5378" t="s">
        <v>24</v>
      </c>
      <c r="C5378">
        <v>20150316</v>
      </c>
      <c r="D5378">
        <v>0</v>
      </c>
      <c r="F5378">
        <v>62500</v>
      </c>
      <c r="G5378" t="s">
        <v>17</v>
      </c>
      <c r="I5378" t="s">
        <v>16</v>
      </c>
      <c r="J5378" t="s">
        <v>180</v>
      </c>
      <c r="K5378" t="s">
        <v>25</v>
      </c>
      <c r="L5378">
        <v>132757294</v>
      </c>
      <c r="R5378">
        <v>9574</v>
      </c>
      <c r="S5378" t="s">
        <v>232</v>
      </c>
      <c r="T5378">
        <v>0</v>
      </c>
      <c r="U5378">
        <v>-5</v>
      </c>
      <c r="V5378">
        <v>0</v>
      </c>
      <c r="W5378">
        <v>0</v>
      </c>
      <c r="X5378">
        <v>0</v>
      </c>
      <c r="Y5378">
        <v>9574</v>
      </c>
      <c r="Z5378" t="s">
        <v>302</v>
      </c>
      <c r="AA5378" t="s">
        <v>303</v>
      </c>
      <c r="AB5378" t="s">
        <v>234</v>
      </c>
      <c r="AC5378" t="s">
        <v>17</v>
      </c>
      <c r="AD5378" t="s">
        <v>235</v>
      </c>
      <c r="AE5378">
        <v>5</v>
      </c>
      <c r="AF5378">
        <v>5</v>
      </c>
      <c r="AG5378">
        <v>1.5253000000000001</v>
      </c>
      <c r="AH5378">
        <v>1.5253000000000001</v>
      </c>
      <c r="AI5378">
        <v>415886607</v>
      </c>
      <c r="AJ5378">
        <v>0</v>
      </c>
      <c r="AK5378">
        <v>7</v>
      </c>
      <c r="AN5378">
        <v>0</v>
      </c>
    </row>
    <row r="5379" spans="1:40" x14ac:dyDescent="0.25">
      <c r="A5379" t="s">
        <v>15</v>
      </c>
      <c r="B5379" t="s">
        <v>24</v>
      </c>
      <c r="C5379">
        <v>20150316</v>
      </c>
      <c r="D5379">
        <v>0</v>
      </c>
      <c r="F5379">
        <v>62500</v>
      </c>
      <c r="G5379" t="s">
        <v>17</v>
      </c>
      <c r="I5379" t="s">
        <v>16</v>
      </c>
      <c r="J5379" t="s">
        <v>180</v>
      </c>
      <c r="K5379" t="s">
        <v>25</v>
      </c>
      <c r="L5379">
        <v>132757294</v>
      </c>
      <c r="R5379">
        <v>9574</v>
      </c>
      <c r="S5379" t="s">
        <v>232</v>
      </c>
      <c r="T5379">
        <v>0</v>
      </c>
      <c r="U5379">
        <v>-5</v>
      </c>
      <c r="V5379">
        <v>0</v>
      </c>
      <c r="W5379">
        <v>0</v>
      </c>
      <c r="X5379">
        <v>0</v>
      </c>
    </row>
    <row r="5380" spans="1:40" x14ac:dyDescent="0.25">
      <c r="A5380" t="s">
        <v>15</v>
      </c>
      <c r="B5380" t="s">
        <v>24</v>
      </c>
      <c r="C5380">
        <v>20150316</v>
      </c>
      <c r="D5380">
        <v>0</v>
      </c>
      <c r="F5380">
        <v>62500</v>
      </c>
      <c r="G5380" t="s">
        <v>17</v>
      </c>
      <c r="I5380" t="s">
        <v>16</v>
      </c>
      <c r="J5380" t="s">
        <v>180</v>
      </c>
      <c r="K5380" t="s">
        <v>25</v>
      </c>
      <c r="L5380">
        <v>132757294</v>
      </c>
      <c r="R5380">
        <v>9574</v>
      </c>
      <c r="S5380" t="s">
        <v>37</v>
      </c>
      <c r="T5380">
        <v>5</v>
      </c>
      <c r="U5380">
        <v>0</v>
      </c>
      <c r="V5380">
        <v>1.5253000000000001</v>
      </c>
      <c r="W5380">
        <v>1.5253000000000001</v>
      </c>
      <c r="X5380">
        <v>0</v>
      </c>
    </row>
    <row r="5381" spans="1:40" x14ac:dyDescent="0.25">
      <c r="A5381" t="s">
        <v>15</v>
      </c>
      <c r="B5381" t="s">
        <v>24</v>
      </c>
      <c r="C5381">
        <v>20150316</v>
      </c>
      <c r="D5381">
        <v>0</v>
      </c>
      <c r="F5381">
        <v>62500</v>
      </c>
      <c r="G5381" t="s">
        <v>17</v>
      </c>
      <c r="I5381" t="s">
        <v>16</v>
      </c>
      <c r="J5381" t="s">
        <v>180</v>
      </c>
      <c r="K5381" t="s">
        <v>25</v>
      </c>
      <c r="L5381">
        <v>132757294</v>
      </c>
      <c r="R5381">
        <v>9574</v>
      </c>
      <c r="S5381" t="s">
        <v>37</v>
      </c>
      <c r="T5381">
        <v>5</v>
      </c>
      <c r="U5381">
        <v>0</v>
      </c>
      <c r="V5381">
        <v>1.5253000000000001</v>
      </c>
      <c r="W5381">
        <v>1.5253000000000001</v>
      </c>
      <c r="X5381">
        <v>0</v>
      </c>
    </row>
    <row r="5382" spans="1:40" x14ac:dyDescent="0.25">
      <c r="A5382" t="s">
        <v>15</v>
      </c>
      <c r="B5382" t="s">
        <v>24</v>
      </c>
      <c r="C5382">
        <v>20150316</v>
      </c>
      <c r="D5382">
        <v>0</v>
      </c>
      <c r="F5382">
        <v>62500</v>
      </c>
      <c r="G5382" t="s">
        <v>17</v>
      </c>
      <c r="I5382" t="s">
        <v>16</v>
      </c>
      <c r="J5382" t="s">
        <v>180</v>
      </c>
      <c r="K5382" t="s">
        <v>25</v>
      </c>
      <c r="L5382">
        <v>132757294</v>
      </c>
      <c r="R5382">
        <v>9574</v>
      </c>
      <c r="S5382" t="s">
        <v>37</v>
      </c>
      <c r="T5382">
        <v>5</v>
      </c>
      <c r="U5382">
        <v>0</v>
      </c>
      <c r="V5382">
        <v>1.5253000000000001</v>
      </c>
      <c r="W5382">
        <v>1.5253000000000001</v>
      </c>
      <c r="X5382">
        <v>0</v>
      </c>
    </row>
    <row r="5383" spans="1:40" x14ac:dyDescent="0.25">
      <c r="A5383" t="s">
        <v>15</v>
      </c>
      <c r="B5383" t="s">
        <v>24</v>
      </c>
      <c r="C5383">
        <v>20150316</v>
      </c>
      <c r="D5383">
        <v>0</v>
      </c>
      <c r="F5383">
        <v>62500</v>
      </c>
      <c r="G5383" t="s">
        <v>17</v>
      </c>
      <c r="I5383" t="s">
        <v>16</v>
      </c>
      <c r="J5383" t="s">
        <v>180</v>
      </c>
      <c r="K5383" t="s">
        <v>25</v>
      </c>
      <c r="L5383">
        <v>132757294</v>
      </c>
      <c r="R5383">
        <v>9574</v>
      </c>
      <c r="S5383" t="s">
        <v>37</v>
      </c>
      <c r="T5383">
        <v>5</v>
      </c>
      <c r="U5383">
        <v>0</v>
      </c>
      <c r="V5383">
        <v>1.5253000000000001</v>
      </c>
      <c r="W5383">
        <v>1.5253000000000001</v>
      </c>
      <c r="X5383">
        <v>0</v>
      </c>
    </row>
    <row r="5384" spans="1:40" x14ac:dyDescent="0.25">
      <c r="A5384" t="s">
        <v>15</v>
      </c>
      <c r="B5384" t="s">
        <v>24</v>
      </c>
      <c r="C5384">
        <v>20150316</v>
      </c>
      <c r="D5384">
        <v>0</v>
      </c>
      <c r="F5384">
        <v>62500</v>
      </c>
      <c r="G5384" t="s">
        <v>17</v>
      </c>
      <c r="I5384" t="s">
        <v>16</v>
      </c>
      <c r="J5384" t="s">
        <v>180</v>
      </c>
      <c r="K5384" t="s">
        <v>25</v>
      </c>
      <c r="L5384">
        <v>132757294</v>
      </c>
      <c r="R5384">
        <v>9574</v>
      </c>
      <c r="S5384" t="s">
        <v>37</v>
      </c>
      <c r="T5384">
        <v>5</v>
      </c>
      <c r="U5384">
        <v>0</v>
      </c>
      <c r="V5384">
        <v>1.5253000000000001</v>
      </c>
      <c r="W5384">
        <v>1.5253000000000001</v>
      </c>
      <c r="X5384">
        <v>0</v>
      </c>
    </row>
    <row r="5385" spans="1:40" x14ac:dyDescent="0.25">
      <c r="A5385" t="s">
        <v>15</v>
      </c>
      <c r="B5385" t="s">
        <v>24</v>
      </c>
      <c r="C5385">
        <v>20150316</v>
      </c>
      <c r="D5385">
        <v>0</v>
      </c>
      <c r="F5385">
        <v>62500</v>
      </c>
      <c r="G5385" t="s">
        <v>17</v>
      </c>
      <c r="I5385" t="s">
        <v>16</v>
      </c>
      <c r="J5385" t="s">
        <v>180</v>
      </c>
      <c r="K5385" t="s">
        <v>25</v>
      </c>
      <c r="L5385">
        <v>132757294</v>
      </c>
      <c r="R5385">
        <v>9574</v>
      </c>
      <c r="S5385" t="s">
        <v>37</v>
      </c>
      <c r="T5385">
        <v>5</v>
      </c>
      <c r="U5385">
        <v>0</v>
      </c>
      <c r="V5385">
        <v>1.5253000000000001</v>
      </c>
      <c r="W5385">
        <v>1.5253000000000001</v>
      </c>
      <c r="X5385">
        <v>0</v>
      </c>
    </row>
    <row r="5386" spans="1:40" x14ac:dyDescent="0.25">
      <c r="A5386" t="s">
        <v>15</v>
      </c>
      <c r="B5386" t="s">
        <v>24</v>
      </c>
      <c r="C5386">
        <v>20150316</v>
      </c>
      <c r="D5386">
        <v>0</v>
      </c>
      <c r="F5386">
        <v>62500</v>
      </c>
      <c r="G5386" t="s">
        <v>17</v>
      </c>
      <c r="I5386" t="s">
        <v>16</v>
      </c>
      <c r="J5386" t="s">
        <v>180</v>
      </c>
      <c r="K5386" t="s">
        <v>25</v>
      </c>
      <c r="L5386">
        <v>132757294</v>
      </c>
      <c r="R5386">
        <v>9574</v>
      </c>
      <c r="S5386" t="s">
        <v>37</v>
      </c>
      <c r="T5386">
        <v>5</v>
      </c>
      <c r="U5386">
        <v>0</v>
      </c>
      <c r="V5386">
        <v>1.5253000000000001</v>
      </c>
      <c r="W5386">
        <v>1.5253000000000001</v>
      </c>
      <c r="X5386">
        <v>0</v>
      </c>
    </row>
    <row r="5387" spans="1:40" x14ac:dyDescent="0.25">
      <c r="A5387" t="s">
        <v>15</v>
      </c>
      <c r="B5387" t="s">
        <v>24</v>
      </c>
      <c r="C5387">
        <v>20150316</v>
      </c>
      <c r="D5387">
        <v>0</v>
      </c>
      <c r="F5387">
        <v>62500</v>
      </c>
      <c r="G5387" t="s">
        <v>17</v>
      </c>
      <c r="I5387" t="s">
        <v>16</v>
      </c>
      <c r="J5387" t="s">
        <v>180</v>
      </c>
      <c r="K5387" t="s">
        <v>25</v>
      </c>
      <c r="L5387">
        <v>132757294</v>
      </c>
      <c r="R5387">
        <v>9574</v>
      </c>
      <c r="S5387" t="s">
        <v>37</v>
      </c>
      <c r="T5387">
        <v>5</v>
      </c>
      <c r="U5387">
        <v>0</v>
      </c>
      <c r="V5387">
        <v>1.5253000000000001</v>
      </c>
      <c r="W5387">
        <v>1.5253000000000001</v>
      </c>
      <c r="X5387">
        <v>0</v>
      </c>
    </row>
    <row r="5388" spans="1:40" x14ac:dyDescent="0.25">
      <c r="A5388" t="s">
        <v>15</v>
      </c>
      <c r="B5388" t="s">
        <v>24</v>
      </c>
      <c r="C5388">
        <v>20150316</v>
      </c>
      <c r="D5388">
        <v>0</v>
      </c>
      <c r="F5388">
        <v>62500</v>
      </c>
      <c r="G5388" t="s">
        <v>17</v>
      </c>
      <c r="I5388" t="s">
        <v>16</v>
      </c>
      <c r="J5388" t="s">
        <v>180</v>
      </c>
      <c r="K5388" t="s">
        <v>25</v>
      </c>
      <c r="L5388">
        <v>132757294</v>
      </c>
      <c r="R5388">
        <v>9575</v>
      </c>
      <c r="S5388" t="s">
        <v>232</v>
      </c>
      <c r="T5388">
        <v>0</v>
      </c>
      <c r="U5388">
        <v>5</v>
      </c>
      <c r="V5388">
        <v>0</v>
      </c>
      <c r="W5388">
        <v>0</v>
      </c>
      <c r="X5388">
        <v>0</v>
      </c>
    </row>
    <row r="5389" spans="1:40" x14ac:dyDescent="0.25">
      <c r="A5389" t="s">
        <v>15</v>
      </c>
      <c r="B5389" t="s">
        <v>24</v>
      </c>
      <c r="C5389">
        <v>20150316</v>
      </c>
      <c r="D5389">
        <v>0</v>
      </c>
      <c r="F5389">
        <v>62500</v>
      </c>
      <c r="G5389" t="s">
        <v>17</v>
      </c>
      <c r="I5389" t="s">
        <v>16</v>
      </c>
      <c r="J5389" t="s">
        <v>180</v>
      </c>
      <c r="K5389" t="s">
        <v>25</v>
      </c>
      <c r="L5389">
        <v>132757294</v>
      </c>
      <c r="R5389">
        <v>9575</v>
      </c>
      <c r="S5389" t="s">
        <v>232</v>
      </c>
      <c r="T5389">
        <v>0</v>
      </c>
      <c r="U5389">
        <v>-5</v>
      </c>
      <c r="V5389">
        <v>0</v>
      </c>
      <c r="W5389">
        <v>0</v>
      </c>
      <c r="X5389">
        <v>0</v>
      </c>
      <c r="Y5389">
        <v>9575</v>
      </c>
      <c r="Z5389" t="s">
        <v>304</v>
      </c>
      <c r="AA5389" t="s">
        <v>305</v>
      </c>
      <c r="AB5389" t="s">
        <v>234</v>
      </c>
      <c r="AC5389" t="s">
        <v>17</v>
      </c>
      <c r="AD5389" t="s">
        <v>235</v>
      </c>
      <c r="AE5389">
        <v>5</v>
      </c>
      <c r="AF5389">
        <v>5</v>
      </c>
      <c r="AG5389">
        <v>1.5251999999999999</v>
      </c>
      <c r="AH5389">
        <v>1.5251999999999999</v>
      </c>
      <c r="AI5389">
        <v>415886608</v>
      </c>
      <c r="AJ5389">
        <v>0</v>
      </c>
      <c r="AK5389">
        <v>7</v>
      </c>
      <c r="AN5389">
        <v>0</v>
      </c>
    </row>
    <row r="5390" spans="1:40" x14ac:dyDescent="0.25">
      <c r="A5390" t="s">
        <v>15</v>
      </c>
      <c r="B5390" t="s">
        <v>24</v>
      </c>
      <c r="C5390">
        <v>20150316</v>
      </c>
      <c r="D5390">
        <v>0</v>
      </c>
      <c r="F5390">
        <v>62500</v>
      </c>
      <c r="G5390" t="s">
        <v>17</v>
      </c>
      <c r="I5390" t="s">
        <v>16</v>
      </c>
      <c r="J5390" t="s">
        <v>180</v>
      </c>
      <c r="K5390" t="s">
        <v>25</v>
      </c>
      <c r="L5390">
        <v>132757294</v>
      </c>
      <c r="R5390">
        <v>9575</v>
      </c>
      <c r="S5390" t="s">
        <v>232</v>
      </c>
      <c r="T5390">
        <v>0</v>
      </c>
      <c r="U5390">
        <v>-5</v>
      </c>
      <c r="V5390">
        <v>0</v>
      </c>
      <c r="W5390">
        <v>0</v>
      </c>
      <c r="X5390">
        <v>0</v>
      </c>
    </row>
    <row r="5391" spans="1:40" x14ac:dyDescent="0.25">
      <c r="A5391" t="s">
        <v>15</v>
      </c>
      <c r="B5391" t="s">
        <v>24</v>
      </c>
      <c r="C5391">
        <v>20150316</v>
      </c>
      <c r="D5391">
        <v>0</v>
      </c>
      <c r="F5391">
        <v>62500</v>
      </c>
      <c r="G5391" t="s">
        <v>17</v>
      </c>
      <c r="I5391" t="s">
        <v>16</v>
      </c>
      <c r="J5391" t="s">
        <v>180</v>
      </c>
      <c r="K5391" t="s">
        <v>25</v>
      </c>
      <c r="L5391">
        <v>132757294</v>
      </c>
      <c r="R5391">
        <v>9575</v>
      </c>
      <c r="S5391" t="s">
        <v>37</v>
      </c>
      <c r="T5391">
        <v>5</v>
      </c>
      <c r="U5391">
        <v>0</v>
      </c>
      <c r="V5391">
        <v>1.5251999999999999</v>
      </c>
      <c r="W5391">
        <v>1.5251999999999999</v>
      </c>
      <c r="X5391">
        <v>0</v>
      </c>
    </row>
    <row r="5392" spans="1:40" x14ac:dyDescent="0.25">
      <c r="A5392" t="s">
        <v>15</v>
      </c>
      <c r="B5392" t="s">
        <v>24</v>
      </c>
      <c r="C5392">
        <v>20150316</v>
      </c>
      <c r="D5392">
        <v>0</v>
      </c>
      <c r="F5392">
        <v>62500</v>
      </c>
      <c r="G5392" t="s">
        <v>17</v>
      </c>
      <c r="I5392" t="s">
        <v>16</v>
      </c>
      <c r="J5392" t="s">
        <v>180</v>
      </c>
      <c r="K5392" t="s">
        <v>25</v>
      </c>
      <c r="L5392">
        <v>132757294</v>
      </c>
      <c r="R5392">
        <v>9575</v>
      </c>
      <c r="S5392" t="s">
        <v>37</v>
      </c>
      <c r="T5392">
        <v>5</v>
      </c>
      <c r="U5392">
        <v>0</v>
      </c>
      <c r="V5392">
        <v>1.5251999999999999</v>
      </c>
      <c r="W5392">
        <v>1.5251999999999999</v>
      </c>
      <c r="X5392">
        <v>0</v>
      </c>
    </row>
    <row r="5393" spans="1:40" x14ac:dyDescent="0.25">
      <c r="A5393" t="s">
        <v>15</v>
      </c>
      <c r="B5393" t="s">
        <v>24</v>
      </c>
      <c r="C5393">
        <v>20150316</v>
      </c>
      <c r="D5393">
        <v>0</v>
      </c>
      <c r="F5393">
        <v>62500</v>
      </c>
      <c r="G5393" t="s">
        <v>17</v>
      </c>
      <c r="I5393" t="s">
        <v>16</v>
      </c>
      <c r="J5393" t="s">
        <v>180</v>
      </c>
      <c r="K5393" t="s">
        <v>25</v>
      </c>
      <c r="L5393">
        <v>132757294</v>
      </c>
      <c r="R5393">
        <v>9575</v>
      </c>
      <c r="S5393" t="s">
        <v>37</v>
      </c>
      <c r="T5393">
        <v>5</v>
      </c>
      <c r="U5393">
        <v>0</v>
      </c>
      <c r="V5393">
        <v>1.5251999999999999</v>
      </c>
      <c r="W5393">
        <v>1.5251999999999999</v>
      </c>
      <c r="X5393">
        <v>0</v>
      </c>
    </row>
    <row r="5394" spans="1:40" x14ac:dyDescent="0.25">
      <c r="A5394" t="s">
        <v>15</v>
      </c>
      <c r="B5394" t="s">
        <v>24</v>
      </c>
      <c r="C5394">
        <v>20150316</v>
      </c>
      <c r="D5394">
        <v>0</v>
      </c>
      <c r="F5394">
        <v>62500</v>
      </c>
      <c r="G5394" t="s">
        <v>17</v>
      </c>
      <c r="I5394" t="s">
        <v>16</v>
      </c>
      <c r="J5394" t="s">
        <v>180</v>
      </c>
      <c r="K5394" t="s">
        <v>25</v>
      </c>
      <c r="L5394">
        <v>132757294</v>
      </c>
      <c r="R5394">
        <v>9575</v>
      </c>
      <c r="S5394" t="s">
        <v>37</v>
      </c>
      <c r="T5394">
        <v>5</v>
      </c>
      <c r="U5394">
        <v>0</v>
      </c>
      <c r="V5394">
        <v>1.5251999999999999</v>
      </c>
      <c r="W5394">
        <v>1.5251999999999999</v>
      </c>
      <c r="X5394">
        <v>0</v>
      </c>
    </row>
    <row r="5395" spans="1:40" x14ac:dyDescent="0.25">
      <c r="A5395" t="s">
        <v>15</v>
      </c>
      <c r="B5395" t="s">
        <v>24</v>
      </c>
      <c r="C5395">
        <v>20150316</v>
      </c>
      <c r="D5395">
        <v>0</v>
      </c>
      <c r="F5395">
        <v>62500</v>
      </c>
      <c r="G5395" t="s">
        <v>17</v>
      </c>
      <c r="I5395" t="s">
        <v>16</v>
      </c>
      <c r="J5395" t="s">
        <v>180</v>
      </c>
      <c r="K5395" t="s">
        <v>25</v>
      </c>
      <c r="L5395">
        <v>132757294</v>
      </c>
      <c r="R5395">
        <v>9575</v>
      </c>
      <c r="S5395" t="s">
        <v>37</v>
      </c>
      <c r="T5395">
        <v>5</v>
      </c>
      <c r="U5395">
        <v>0</v>
      </c>
      <c r="V5395">
        <v>1.5251999999999999</v>
      </c>
      <c r="W5395">
        <v>1.5251999999999999</v>
      </c>
      <c r="X5395">
        <v>0</v>
      </c>
    </row>
    <row r="5396" spans="1:40" x14ac:dyDescent="0.25">
      <c r="A5396" t="s">
        <v>15</v>
      </c>
      <c r="B5396" t="s">
        <v>24</v>
      </c>
      <c r="C5396">
        <v>20150316</v>
      </c>
      <c r="D5396">
        <v>0</v>
      </c>
      <c r="F5396">
        <v>62500</v>
      </c>
      <c r="G5396" t="s">
        <v>17</v>
      </c>
      <c r="I5396" t="s">
        <v>16</v>
      </c>
      <c r="J5396" t="s">
        <v>180</v>
      </c>
      <c r="K5396" t="s">
        <v>25</v>
      </c>
      <c r="L5396">
        <v>132757294</v>
      </c>
      <c r="R5396">
        <v>9575</v>
      </c>
      <c r="S5396" t="s">
        <v>37</v>
      </c>
      <c r="T5396">
        <v>5</v>
      </c>
      <c r="U5396">
        <v>0</v>
      </c>
      <c r="V5396">
        <v>1.5251999999999999</v>
      </c>
      <c r="W5396">
        <v>1.5251999999999999</v>
      </c>
      <c r="X5396">
        <v>0</v>
      </c>
    </row>
    <row r="5397" spans="1:40" x14ac:dyDescent="0.25">
      <c r="A5397" t="s">
        <v>15</v>
      </c>
      <c r="B5397" t="s">
        <v>24</v>
      </c>
      <c r="C5397">
        <v>20150316</v>
      </c>
      <c r="D5397">
        <v>0</v>
      </c>
      <c r="F5397">
        <v>62500</v>
      </c>
      <c r="G5397" t="s">
        <v>17</v>
      </c>
      <c r="I5397" t="s">
        <v>16</v>
      </c>
      <c r="J5397" t="s">
        <v>180</v>
      </c>
      <c r="K5397" t="s">
        <v>25</v>
      </c>
      <c r="L5397">
        <v>132757294</v>
      </c>
      <c r="R5397">
        <v>9575</v>
      </c>
      <c r="S5397" t="s">
        <v>37</v>
      </c>
      <c r="T5397">
        <v>5</v>
      </c>
      <c r="U5397">
        <v>0</v>
      </c>
      <c r="V5397">
        <v>1.5251999999999999</v>
      </c>
      <c r="W5397">
        <v>1.5251999999999999</v>
      </c>
      <c r="X5397">
        <v>0</v>
      </c>
    </row>
    <row r="5398" spans="1:40" x14ac:dyDescent="0.25">
      <c r="A5398" t="s">
        <v>15</v>
      </c>
      <c r="B5398" t="s">
        <v>24</v>
      </c>
      <c r="C5398">
        <v>20150316</v>
      </c>
      <c r="D5398">
        <v>0</v>
      </c>
      <c r="F5398">
        <v>62500</v>
      </c>
      <c r="G5398" t="s">
        <v>17</v>
      </c>
      <c r="I5398" t="s">
        <v>16</v>
      </c>
      <c r="J5398" t="s">
        <v>180</v>
      </c>
      <c r="K5398" t="s">
        <v>25</v>
      </c>
      <c r="L5398">
        <v>132757294</v>
      </c>
      <c r="R5398">
        <v>9575</v>
      </c>
      <c r="S5398" t="s">
        <v>37</v>
      </c>
      <c r="T5398">
        <v>5</v>
      </c>
      <c r="U5398">
        <v>0</v>
      </c>
      <c r="V5398">
        <v>1.5251999999999999</v>
      </c>
      <c r="W5398">
        <v>1.5251999999999999</v>
      </c>
      <c r="X5398">
        <v>0</v>
      </c>
    </row>
    <row r="5399" spans="1:40" x14ac:dyDescent="0.25">
      <c r="A5399" t="s">
        <v>15</v>
      </c>
      <c r="B5399" t="s">
        <v>24</v>
      </c>
      <c r="C5399">
        <v>20150316</v>
      </c>
      <c r="D5399">
        <v>0</v>
      </c>
      <c r="F5399">
        <v>62500</v>
      </c>
      <c r="G5399" t="s">
        <v>17</v>
      </c>
      <c r="I5399" t="s">
        <v>16</v>
      </c>
      <c r="J5399" t="s">
        <v>180</v>
      </c>
      <c r="K5399" t="s">
        <v>25</v>
      </c>
      <c r="L5399">
        <v>132757294</v>
      </c>
      <c r="R5399">
        <v>9571</v>
      </c>
      <c r="S5399" t="s">
        <v>223</v>
      </c>
      <c r="T5399">
        <v>0</v>
      </c>
      <c r="U5399">
        <v>32</v>
      </c>
      <c r="V5399">
        <v>0</v>
      </c>
      <c r="W5399">
        <v>0</v>
      </c>
      <c r="X5399">
        <v>0</v>
      </c>
    </row>
    <row r="5400" spans="1:40" x14ac:dyDescent="0.25">
      <c r="A5400" t="s">
        <v>15</v>
      </c>
      <c r="B5400" t="s">
        <v>24</v>
      </c>
      <c r="C5400">
        <v>20150316</v>
      </c>
      <c r="D5400">
        <v>0</v>
      </c>
      <c r="F5400">
        <v>62500</v>
      </c>
      <c r="G5400" t="s">
        <v>17</v>
      </c>
      <c r="I5400" t="s">
        <v>16</v>
      </c>
      <c r="J5400" t="s">
        <v>180</v>
      </c>
      <c r="K5400" t="s">
        <v>25</v>
      </c>
      <c r="L5400">
        <v>132757294</v>
      </c>
      <c r="R5400">
        <v>9571</v>
      </c>
      <c r="S5400" t="s">
        <v>224</v>
      </c>
      <c r="T5400">
        <v>0</v>
      </c>
      <c r="U5400">
        <v>32</v>
      </c>
      <c r="V5400">
        <v>0</v>
      </c>
      <c r="W5400">
        <v>0</v>
      </c>
      <c r="X5400">
        <v>0</v>
      </c>
    </row>
    <row r="5401" spans="1:40" x14ac:dyDescent="0.25">
      <c r="A5401" t="s">
        <v>15</v>
      </c>
      <c r="B5401" t="s">
        <v>24</v>
      </c>
      <c r="C5401">
        <v>20150316</v>
      </c>
      <c r="D5401">
        <v>0</v>
      </c>
      <c r="F5401">
        <v>62500</v>
      </c>
      <c r="G5401" t="s">
        <v>17</v>
      </c>
      <c r="I5401" t="s">
        <v>16</v>
      </c>
      <c r="J5401" t="s">
        <v>180</v>
      </c>
      <c r="K5401" t="s">
        <v>25</v>
      </c>
      <c r="L5401">
        <v>132757294</v>
      </c>
      <c r="R5401">
        <v>9576</v>
      </c>
      <c r="S5401" t="s">
        <v>232</v>
      </c>
      <c r="T5401">
        <v>0</v>
      </c>
      <c r="U5401">
        <v>5</v>
      </c>
      <c r="V5401">
        <v>0</v>
      </c>
      <c r="W5401">
        <v>0</v>
      </c>
      <c r="X5401">
        <v>0</v>
      </c>
    </row>
    <row r="5402" spans="1:40" x14ac:dyDescent="0.25">
      <c r="A5402" t="s">
        <v>15</v>
      </c>
      <c r="B5402" t="s">
        <v>24</v>
      </c>
      <c r="C5402">
        <v>20150316</v>
      </c>
      <c r="D5402">
        <v>0</v>
      </c>
      <c r="F5402">
        <v>62500</v>
      </c>
      <c r="G5402" t="s">
        <v>17</v>
      </c>
      <c r="I5402" t="s">
        <v>16</v>
      </c>
      <c r="J5402" t="s">
        <v>180</v>
      </c>
      <c r="K5402" t="s">
        <v>25</v>
      </c>
      <c r="L5402">
        <v>132757294</v>
      </c>
      <c r="R5402">
        <v>9576</v>
      </c>
      <c r="S5402" t="s">
        <v>232</v>
      </c>
      <c r="T5402">
        <v>0</v>
      </c>
      <c r="U5402">
        <v>5</v>
      </c>
      <c r="V5402">
        <v>0</v>
      </c>
      <c r="W5402">
        <v>0</v>
      </c>
      <c r="X5402">
        <v>0</v>
      </c>
    </row>
    <row r="5403" spans="1:40" x14ac:dyDescent="0.25">
      <c r="A5403" t="s">
        <v>15</v>
      </c>
      <c r="B5403" t="s">
        <v>24</v>
      </c>
      <c r="C5403">
        <v>20150316</v>
      </c>
      <c r="D5403">
        <v>0</v>
      </c>
      <c r="F5403">
        <v>62500</v>
      </c>
      <c r="G5403" t="s">
        <v>17</v>
      </c>
      <c r="I5403" t="s">
        <v>16</v>
      </c>
      <c r="J5403" t="s">
        <v>180</v>
      </c>
      <c r="K5403" t="s">
        <v>25</v>
      </c>
      <c r="L5403">
        <v>132757294</v>
      </c>
      <c r="R5403">
        <v>9576</v>
      </c>
      <c r="S5403" t="s">
        <v>233</v>
      </c>
      <c r="T5403">
        <v>0</v>
      </c>
      <c r="U5403">
        <v>5</v>
      </c>
      <c r="V5403">
        <v>0</v>
      </c>
      <c r="W5403">
        <v>0</v>
      </c>
      <c r="X5403">
        <v>0</v>
      </c>
    </row>
    <row r="5404" spans="1:40" x14ac:dyDescent="0.25">
      <c r="A5404" t="s">
        <v>15</v>
      </c>
      <c r="B5404" t="s">
        <v>24</v>
      </c>
      <c r="C5404">
        <v>20150316</v>
      </c>
      <c r="D5404">
        <v>0</v>
      </c>
      <c r="F5404">
        <v>62500</v>
      </c>
      <c r="G5404" t="s">
        <v>17</v>
      </c>
      <c r="I5404" t="s">
        <v>16</v>
      </c>
      <c r="J5404" t="s">
        <v>180</v>
      </c>
      <c r="K5404" t="s">
        <v>25</v>
      </c>
      <c r="L5404">
        <v>132757294</v>
      </c>
      <c r="R5404">
        <v>9576</v>
      </c>
      <c r="S5404" t="s">
        <v>233</v>
      </c>
      <c r="T5404">
        <v>0</v>
      </c>
      <c r="U5404">
        <v>1</v>
      </c>
      <c r="V5404">
        <v>0</v>
      </c>
      <c r="W5404">
        <v>0</v>
      </c>
      <c r="X5404">
        <v>0</v>
      </c>
      <c r="Y5404">
        <v>9576</v>
      </c>
      <c r="Z5404" t="s">
        <v>306</v>
      </c>
      <c r="AA5404" t="s">
        <v>307</v>
      </c>
      <c r="AB5404" t="s">
        <v>234</v>
      </c>
      <c r="AC5404" t="s">
        <v>17</v>
      </c>
      <c r="AD5404" t="s">
        <v>235</v>
      </c>
      <c r="AE5404">
        <v>2</v>
      </c>
      <c r="AF5404">
        <v>2</v>
      </c>
      <c r="AG5404">
        <v>1.5250999999999999</v>
      </c>
      <c r="AH5404">
        <v>1.5250999999999999</v>
      </c>
      <c r="AI5404">
        <v>415886609</v>
      </c>
      <c r="AJ5404">
        <v>0</v>
      </c>
      <c r="AK5404">
        <v>7</v>
      </c>
      <c r="AN5404">
        <v>0</v>
      </c>
    </row>
    <row r="5405" spans="1:40" x14ac:dyDescent="0.25">
      <c r="A5405" t="s">
        <v>15</v>
      </c>
      <c r="B5405" t="s">
        <v>24</v>
      </c>
      <c r="C5405">
        <v>20150316</v>
      </c>
      <c r="D5405">
        <v>0</v>
      </c>
      <c r="F5405">
        <v>62500</v>
      </c>
      <c r="G5405" t="s">
        <v>17</v>
      </c>
      <c r="I5405" t="s">
        <v>16</v>
      </c>
      <c r="J5405" t="s">
        <v>180</v>
      </c>
      <c r="K5405" t="s">
        <v>25</v>
      </c>
      <c r="L5405">
        <v>132757294</v>
      </c>
      <c r="R5405">
        <v>9576</v>
      </c>
      <c r="S5405" t="s">
        <v>233</v>
      </c>
      <c r="T5405">
        <v>0</v>
      </c>
      <c r="U5405">
        <v>1</v>
      </c>
      <c r="V5405">
        <v>0</v>
      </c>
      <c r="W5405">
        <v>0</v>
      </c>
      <c r="X5405">
        <v>0</v>
      </c>
    </row>
    <row r="5406" spans="1:40" x14ac:dyDescent="0.25">
      <c r="A5406" t="s">
        <v>15</v>
      </c>
      <c r="B5406" t="s">
        <v>24</v>
      </c>
      <c r="C5406">
        <v>20150316</v>
      </c>
      <c r="D5406">
        <v>0</v>
      </c>
      <c r="F5406">
        <v>62500</v>
      </c>
      <c r="G5406" t="s">
        <v>17</v>
      </c>
      <c r="I5406" t="s">
        <v>16</v>
      </c>
      <c r="J5406" t="s">
        <v>180</v>
      </c>
      <c r="K5406" t="s">
        <v>25</v>
      </c>
      <c r="L5406">
        <v>132757294</v>
      </c>
      <c r="R5406">
        <v>9576</v>
      </c>
      <c r="S5406" t="s">
        <v>233</v>
      </c>
      <c r="T5406">
        <v>2</v>
      </c>
      <c r="U5406">
        <v>3</v>
      </c>
      <c r="V5406">
        <v>1.5250999999999999</v>
      </c>
      <c r="W5406">
        <v>1.5250999999999999</v>
      </c>
      <c r="X5406">
        <v>0</v>
      </c>
    </row>
    <row r="5407" spans="1:40" x14ac:dyDescent="0.25">
      <c r="A5407" t="s">
        <v>15</v>
      </c>
      <c r="B5407" t="s">
        <v>24</v>
      </c>
      <c r="C5407">
        <v>20150316</v>
      </c>
      <c r="D5407">
        <v>0</v>
      </c>
      <c r="F5407">
        <v>62500</v>
      </c>
      <c r="G5407" t="s">
        <v>17</v>
      </c>
      <c r="I5407" t="s">
        <v>16</v>
      </c>
      <c r="J5407" t="s">
        <v>180</v>
      </c>
      <c r="K5407" t="s">
        <v>25</v>
      </c>
      <c r="L5407">
        <v>132757294</v>
      </c>
      <c r="R5407">
        <v>9577</v>
      </c>
      <c r="S5407" t="s">
        <v>232</v>
      </c>
      <c r="T5407">
        <v>0</v>
      </c>
      <c r="U5407">
        <v>16</v>
      </c>
      <c r="V5407">
        <v>0</v>
      </c>
      <c r="W5407">
        <v>0</v>
      </c>
      <c r="X5407">
        <v>0</v>
      </c>
    </row>
    <row r="5408" spans="1:40" x14ac:dyDescent="0.25">
      <c r="A5408" t="s">
        <v>15</v>
      </c>
      <c r="B5408" t="s">
        <v>24</v>
      </c>
      <c r="C5408">
        <v>20150316</v>
      </c>
      <c r="D5408">
        <v>0</v>
      </c>
      <c r="F5408">
        <v>62500</v>
      </c>
      <c r="G5408" t="s">
        <v>17</v>
      </c>
      <c r="I5408" t="s">
        <v>16</v>
      </c>
      <c r="J5408" t="s">
        <v>180</v>
      </c>
      <c r="K5408" t="s">
        <v>25</v>
      </c>
      <c r="L5408">
        <v>132757294</v>
      </c>
      <c r="R5408">
        <v>9576</v>
      </c>
      <c r="S5408" t="s">
        <v>233</v>
      </c>
      <c r="T5408">
        <v>2</v>
      </c>
      <c r="U5408">
        <v>3</v>
      </c>
      <c r="V5408">
        <v>1.5250999999999999</v>
      </c>
      <c r="W5408">
        <v>1.5250999999999999</v>
      </c>
      <c r="X5408">
        <v>0</v>
      </c>
    </row>
    <row r="5409" spans="1:40" x14ac:dyDescent="0.25">
      <c r="A5409" t="s">
        <v>15</v>
      </c>
      <c r="B5409" t="s">
        <v>24</v>
      </c>
      <c r="C5409">
        <v>20150316</v>
      </c>
      <c r="D5409">
        <v>0</v>
      </c>
      <c r="F5409">
        <v>62500</v>
      </c>
      <c r="G5409" t="s">
        <v>17</v>
      </c>
      <c r="I5409" t="s">
        <v>16</v>
      </c>
      <c r="J5409" t="s">
        <v>180</v>
      </c>
      <c r="K5409" t="s">
        <v>25</v>
      </c>
      <c r="L5409">
        <v>132757294</v>
      </c>
      <c r="R5409">
        <v>9576</v>
      </c>
      <c r="S5409" t="s">
        <v>233</v>
      </c>
      <c r="T5409">
        <v>2</v>
      </c>
      <c r="U5409">
        <v>3</v>
      </c>
      <c r="V5409">
        <v>1.5250999999999999</v>
      </c>
      <c r="W5409">
        <v>1.5250999999999999</v>
      </c>
      <c r="X5409">
        <v>0</v>
      </c>
    </row>
    <row r="5410" spans="1:40" x14ac:dyDescent="0.25">
      <c r="A5410" t="s">
        <v>15</v>
      </c>
      <c r="B5410" t="s">
        <v>24</v>
      </c>
      <c r="C5410">
        <v>20150316</v>
      </c>
      <c r="D5410">
        <v>0</v>
      </c>
      <c r="F5410">
        <v>62500</v>
      </c>
      <c r="G5410" t="s">
        <v>17</v>
      </c>
      <c r="I5410" t="s">
        <v>16</v>
      </c>
      <c r="J5410" t="s">
        <v>180</v>
      </c>
      <c r="K5410" t="s">
        <v>25</v>
      </c>
      <c r="L5410">
        <v>132757294</v>
      </c>
      <c r="R5410">
        <v>9576</v>
      </c>
      <c r="S5410" t="s">
        <v>233</v>
      </c>
      <c r="T5410">
        <v>2</v>
      </c>
      <c r="U5410">
        <v>-3</v>
      </c>
      <c r="V5410">
        <v>1.5250999999999999</v>
      </c>
      <c r="W5410">
        <v>1.5250999999999999</v>
      </c>
      <c r="X5410">
        <v>0</v>
      </c>
      <c r="Y5410">
        <v>9576</v>
      </c>
      <c r="Z5410" t="s">
        <v>308</v>
      </c>
      <c r="AA5410" t="s">
        <v>307</v>
      </c>
      <c r="AB5410" t="s">
        <v>234</v>
      </c>
      <c r="AC5410" t="s">
        <v>17</v>
      </c>
      <c r="AD5410" t="s">
        <v>235</v>
      </c>
      <c r="AE5410">
        <v>3</v>
      </c>
      <c r="AF5410">
        <v>5</v>
      </c>
      <c r="AG5410">
        <v>1.5250999999999999</v>
      </c>
      <c r="AH5410">
        <v>1.5250999999999999</v>
      </c>
      <c r="AI5410">
        <v>415886609</v>
      </c>
      <c r="AJ5410">
        <v>0</v>
      </c>
      <c r="AK5410">
        <v>7</v>
      </c>
      <c r="AN5410">
        <v>0</v>
      </c>
    </row>
    <row r="5411" spans="1:40" x14ac:dyDescent="0.25">
      <c r="A5411" t="s">
        <v>15</v>
      </c>
      <c r="B5411" t="s">
        <v>24</v>
      </c>
      <c r="C5411">
        <v>20150316</v>
      </c>
      <c r="D5411">
        <v>0</v>
      </c>
      <c r="F5411">
        <v>62500</v>
      </c>
      <c r="G5411" t="s">
        <v>17</v>
      </c>
      <c r="I5411" t="s">
        <v>16</v>
      </c>
      <c r="J5411" t="s">
        <v>180</v>
      </c>
      <c r="K5411" t="s">
        <v>25</v>
      </c>
      <c r="L5411">
        <v>132757294</v>
      </c>
      <c r="R5411">
        <v>9576</v>
      </c>
      <c r="S5411" t="s">
        <v>233</v>
      </c>
      <c r="T5411">
        <v>2</v>
      </c>
      <c r="U5411">
        <v>-3</v>
      </c>
      <c r="V5411">
        <v>1.5250999999999999</v>
      </c>
      <c r="W5411">
        <v>1.5250999999999999</v>
      </c>
      <c r="X5411">
        <v>0</v>
      </c>
    </row>
    <row r="5412" spans="1:40" x14ac:dyDescent="0.25">
      <c r="A5412" t="s">
        <v>15</v>
      </c>
      <c r="B5412" t="s">
        <v>24</v>
      </c>
      <c r="C5412">
        <v>20150316</v>
      </c>
      <c r="D5412">
        <v>0</v>
      </c>
      <c r="F5412">
        <v>62500</v>
      </c>
      <c r="G5412" t="s">
        <v>17</v>
      </c>
      <c r="I5412" t="s">
        <v>16</v>
      </c>
      <c r="J5412" t="s">
        <v>180</v>
      </c>
      <c r="K5412" t="s">
        <v>25</v>
      </c>
      <c r="L5412">
        <v>132757294</v>
      </c>
      <c r="R5412">
        <v>9576</v>
      </c>
      <c r="S5412" t="s">
        <v>37</v>
      </c>
      <c r="T5412">
        <v>5</v>
      </c>
      <c r="U5412">
        <v>0</v>
      </c>
      <c r="V5412">
        <v>1.5250999999999999</v>
      </c>
      <c r="W5412">
        <v>1.5250999999999999</v>
      </c>
      <c r="X5412">
        <v>0</v>
      </c>
    </row>
    <row r="5413" spans="1:40" x14ac:dyDescent="0.25">
      <c r="A5413" t="s">
        <v>15</v>
      </c>
      <c r="B5413" t="s">
        <v>24</v>
      </c>
      <c r="C5413">
        <v>20150316</v>
      </c>
      <c r="D5413">
        <v>0</v>
      </c>
      <c r="F5413">
        <v>62500</v>
      </c>
      <c r="G5413" t="s">
        <v>17</v>
      </c>
      <c r="I5413" t="s">
        <v>16</v>
      </c>
      <c r="J5413" t="s">
        <v>180</v>
      </c>
      <c r="K5413" t="s">
        <v>25</v>
      </c>
      <c r="L5413">
        <v>132757294</v>
      </c>
      <c r="R5413">
        <v>9576</v>
      </c>
      <c r="S5413" t="s">
        <v>37</v>
      </c>
      <c r="T5413">
        <v>5</v>
      </c>
      <c r="U5413">
        <v>0</v>
      </c>
      <c r="V5413">
        <v>1.5250999999999999</v>
      </c>
      <c r="W5413">
        <v>1.5250999999999999</v>
      </c>
      <c r="X5413">
        <v>0</v>
      </c>
    </row>
    <row r="5414" spans="1:40" x14ac:dyDescent="0.25">
      <c r="A5414" t="s">
        <v>15</v>
      </c>
      <c r="B5414" t="s">
        <v>24</v>
      </c>
      <c r="C5414">
        <v>20150316</v>
      </c>
      <c r="D5414">
        <v>0</v>
      </c>
      <c r="F5414">
        <v>62500</v>
      </c>
      <c r="G5414" t="s">
        <v>17</v>
      </c>
      <c r="I5414" t="s">
        <v>16</v>
      </c>
      <c r="J5414" t="s">
        <v>180</v>
      </c>
      <c r="K5414" t="s">
        <v>25</v>
      </c>
      <c r="L5414">
        <v>132757294</v>
      </c>
      <c r="R5414">
        <v>9576</v>
      </c>
      <c r="S5414" t="s">
        <v>37</v>
      </c>
      <c r="T5414">
        <v>5</v>
      </c>
      <c r="U5414">
        <v>0</v>
      </c>
      <c r="V5414">
        <v>1.5250999999999999</v>
      </c>
      <c r="W5414">
        <v>1.5250999999999999</v>
      </c>
      <c r="X5414">
        <v>0</v>
      </c>
    </row>
    <row r="5415" spans="1:40" x14ac:dyDescent="0.25">
      <c r="A5415" t="s">
        <v>15</v>
      </c>
      <c r="B5415" t="s">
        <v>24</v>
      </c>
      <c r="C5415">
        <v>20150316</v>
      </c>
      <c r="D5415">
        <v>0</v>
      </c>
      <c r="F5415">
        <v>62500</v>
      </c>
      <c r="G5415" t="s">
        <v>17</v>
      </c>
      <c r="I5415" t="s">
        <v>16</v>
      </c>
      <c r="J5415" t="s">
        <v>180</v>
      </c>
      <c r="K5415" t="s">
        <v>25</v>
      </c>
      <c r="L5415">
        <v>132757294</v>
      </c>
      <c r="R5415">
        <v>9576</v>
      </c>
      <c r="S5415" t="s">
        <v>37</v>
      </c>
      <c r="T5415">
        <v>5</v>
      </c>
      <c r="U5415">
        <v>0</v>
      </c>
      <c r="V5415">
        <v>1.5250999999999999</v>
      </c>
      <c r="W5415">
        <v>1.5250999999999999</v>
      </c>
      <c r="X5415">
        <v>0</v>
      </c>
    </row>
    <row r="5416" spans="1:40" x14ac:dyDescent="0.25">
      <c r="A5416" t="s">
        <v>15</v>
      </c>
      <c r="B5416" t="s">
        <v>24</v>
      </c>
      <c r="C5416">
        <v>20150316</v>
      </c>
      <c r="D5416">
        <v>0</v>
      </c>
      <c r="F5416">
        <v>62500</v>
      </c>
      <c r="G5416" t="s">
        <v>17</v>
      </c>
      <c r="I5416" t="s">
        <v>16</v>
      </c>
      <c r="J5416" t="s">
        <v>180</v>
      </c>
      <c r="K5416" t="s">
        <v>25</v>
      </c>
      <c r="L5416">
        <v>132757294</v>
      </c>
      <c r="R5416">
        <v>9576</v>
      </c>
      <c r="S5416" t="s">
        <v>37</v>
      </c>
      <c r="T5416">
        <v>5</v>
      </c>
      <c r="U5416">
        <v>0</v>
      </c>
      <c r="V5416">
        <v>1.5250999999999999</v>
      </c>
      <c r="W5416">
        <v>1.5250999999999999</v>
      </c>
      <c r="X5416">
        <v>0</v>
      </c>
    </row>
    <row r="5417" spans="1:40" x14ac:dyDescent="0.25">
      <c r="A5417" t="s">
        <v>15</v>
      </c>
      <c r="B5417" t="s">
        <v>24</v>
      </c>
      <c r="C5417">
        <v>20150316</v>
      </c>
      <c r="D5417">
        <v>0</v>
      </c>
      <c r="F5417">
        <v>62500</v>
      </c>
      <c r="G5417" t="s">
        <v>17</v>
      </c>
      <c r="I5417" t="s">
        <v>16</v>
      </c>
      <c r="J5417" t="s">
        <v>180</v>
      </c>
      <c r="K5417" t="s">
        <v>25</v>
      </c>
      <c r="L5417">
        <v>132757294</v>
      </c>
      <c r="R5417">
        <v>9577</v>
      </c>
      <c r="S5417" t="s">
        <v>232</v>
      </c>
      <c r="T5417">
        <v>0</v>
      </c>
      <c r="U5417">
        <v>16</v>
      </c>
      <c r="V5417">
        <v>0</v>
      </c>
      <c r="W5417">
        <v>0</v>
      </c>
      <c r="X5417">
        <v>0</v>
      </c>
    </row>
    <row r="5418" spans="1:40" x14ac:dyDescent="0.25">
      <c r="A5418" t="s">
        <v>15</v>
      </c>
      <c r="B5418" t="s">
        <v>24</v>
      </c>
      <c r="C5418">
        <v>20150316</v>
      </c>
      <c r="D5418">
        <v>0</v>
      </c>
      <c r="F5418">
        <v>62500</v>
      </c>
      <c r="G5418" t="s">
        <v>17</v>
      </c>
      <c r="I5418" t="s">
        <v>16</v>
      </c>
      <c r="J5418" t="s">
        <v>180</v>
      </c>
      <c r="K5418" t="s">
        <v>25</v>
      </c>
      <c r="L5418">
        <v>132757294</v>
      </c>
      <c r="R5418">
        <v>9577</v>
      </c>
      <c r="S5418" t="s">
        <v>192</v>
      </c>
      <c r="T5418">
        <v>0</v>
      </c>
      <c r="U5418">
        <v>16</v>
      </c>
      <c r="V5418">
        <v>0</v>
      </c>
      <c r="W5418">
        <v>0</v>
      </c>
      <c r="X5418">
        <v>0</v>
      </c>
    </row>
    <row r="5419" spans="1:40" x14ac:dyDescent="0.25">
      <c r="A5419" t="s">
        <v>15</v>
      </c>
      <c r="B5419" t="s">
        <v>24</v>
      </c>
      <c r="C5419">
        <v>20150316</v>
      </c>
      <c r="D5419">
        <v>0</v>
      </c>
      <c r="F5419">
        <v>62500</v>
      </c>
      <c r="G5419" t="s">
        <v>17</v>
      </c>
      <c r="I5419" t="s">
        <v>16</v>
      </c>
      <c r="J5419" t="s">
        <v>180</v>
      </c>
      <c r="K5419" t="s">
        <v>25</v>
      </c>
      <c r="L5419">
        <v>132757294</v>
      </c>
      <c r="R5419">
        <v>9578</v>
      </c>
      <c r="S5419" t="s">
        <v>232</v>
      </c>
      <c r="T5419">
        <v>0</v>
      </c>
      <c r="U5419">
        <v>5</v>
      </c>
      <c r="V5419">
        <v>0</v>
      </c>
      <c r="W5419">
        <v>0</v>
      </c>
      <c r="X5419">
        <v>0</v>
      </c>
    </row>
    <row r="5420" spans="1:40" x14ac:dyDescent="0.25">
      <c r="A5420" t="s">
        <v>15</v>
      </c>
      <c r="B5420" t="s">
        <v>24</v>
      </c>
      <c r="C5420">
        <v>20150316</v>
      </c>
      <c r="D5420">
        <v>0</v>
      </c>
      <c r="F5420">
        <v>62500</v>
      </c>
      <c r="G5420" t="s">
        <v>17</v>
      </c>
      <c r="I5420" t="s">
        <v>16</v>
      </c>
      <c r="J5420" t="s">
        <v>180</v>
      </c>
      <c r="K5420" t="s">
        <v>25</v>
      </c>
      <c r="L5420">
        <v>132757294</v>
      </c>
      <c r="R5420">
        <v>9578</v>
      </c>
      <c r="S5420" t="s">
        <v>232</v>
      </c>
      <c r="T5420">
        <v>0</v>
      </c>
      <c r="U5420">
        <v>5</v>
      </c>
      <c r="V5420">
        <v>0</v>
      </c>
      <c r="W5420">
        <v>0</v>
      </c>
      <c r="X5420">
        <v>0</v>
      </c>
    </row>
    <row r="5421" spans="1:40" x14ac:dyDescent="0.25">
      <c r="A5421" t="s">
        <v>15</v>
      </c>
      <c r="B5421" t="s">
        <v>24</v>
      </c>
      <c r="C5421">
        <v>20150316</v>
      </c>
      <c r="D5421">
        <v>0</v>
      </c>
      <c r="F5421">
        <v>62500</v>
      </c>
      <c r="G5421" t="s">
        <v>17</v>
      </c>
      <c r="I5421" t="s">
        <v>16</v>
      </c>
      <c r="J5421" t="s">
        <v>180</v>
      </c>
      <c r="K5421" t="s">
        <v>25</v>
      </c>
      <c r="L5421">
        <v>132757294</v>
      </c>
      <c r="R5421">
        <v>9578</v>
      </c>
      <c r="S5421" t="s">
        <v>233</v>
      </c>
      <c r="T5421">
        <v>0</v>
      </c>
      <c r="U5421">
        <v>5</v>
      </c>
      <c r="V5421">
        <v>0</v>
      </c>
      <c r="W5421">
        <v>0</v>
      </c>
      <c r="X5421">
        <v>0</v>
      </c>
    </row>
    <row r="5422" spans="1:40" x14ac:dyDescent="0.25">
      <c r="A5422" t="s">
        <v>15</v>
      </c>
      <c r="B5422" t="s">
        <v>24</v>
      </c>
      <c r="C5422">
        <v>20150316</v>
      </c>
      <c r="D5422">
        <v>0</v>
      </c>
      <c r="F5422">
        <v>62500</v>
      </c>
      <c r="G5422" t="s">
        <v>17</v>
      </c>
      <c r="I5422" t="s">
        <v>16</v>
      </c>
      <c r="J5422" t="s">
        <v>180</v>
      </c>
      <c r="K5422" t="s">
        <v>25</v>
      </c>
      <c r="L5422">
        <v>132757294</v>
      </c>
      <c r="R5422">
        <v>9578</v>
      </c>
      <c r="S5422" t="s">
        <v>233</v>
      </c>
      <c r="T5422">
        <v>0</v>
      </c>
      <c r="U5422">
        <v>3</v>
      </c>
      <c r="V5422">
        <v>0</v>
      </c>
      <c r="W5422">
        <v>0</v>
      </c>
      <c r="X5422">
        <v>0</v>
      </c>
      <c r="Y5422">
        <v>9578</v>
      </c>
      <c r="Z5422" t="s">
        <v>309</v>
      </c>
      <c r="AA5422" t="s">
        <v>310</v>
      </c>
      <c r="AB5422" t="s">
        <v>234</v>
      </c>
      <c r="AC5422" t="s">
        <v>17</v>
      </c>
      <c r="AD5422" t="s">
        <v>235</v>
      </c>
      <c r="AE5422">
        <v>1</v>
      </c>
      <c r="AF5422">
        <v>1</v>
      </c>
      <c r="AG5422">
        <v>1.5249999999999999</v>
      </c>
      <c r="AH5422">
        <v>1.5249999999999999</v>
      </c>
      <c r="AI5422">
        <v>415886611</v>
      </c>
      <c r="AJ5422">
        <v>0</v>
      </c>
      <c r="AK5422">
        <v>7</v>
      </c>
      <c r="AN5422">
        <v>0</v>
      </c>
    </row>
    <row r="5423" spans="1:40" x14ac:dyDescent="0.25">
      <c r="A5423" t="s">
        <v>15</v>
      </c>
      <c r="B5423" t="s">
        <v>24</v>
      </c>
      <c r="C5423">
        <v>20150316</v>
      </c>
      <c r="D5423">
        <v>0</v>
      </c>
      <c r="F5423">
        <v>62500</v>
      </c>
      <c r="G5423" t="s">
        <v>17</v>
      </c>
      <c r="I5423" t="s">
        <v>16</v>
      </c>
      <c r="J5423" t="s">
        <v>180</v>
      </c>
      <c r="K5423" t="s">
        <v>25</v>
      </c>
      <c r="L5423">
        <v>132757294</v>
      </c>
      <c r="R5423">
        <v>9578</v>
      </c>
      <c r="S5423" t="s">
        <v>233</v>
      </c>
      <c r="T5423">
        <v>0</v>
      </c>
      <c r="U5423">
        <v>3</v>
      </c>
      <c r="V5423">
        <v>0</v>
      </c>
      <c r="W5423">
        <v>0</v>
      </c>
      <c r="X5423">
        <v>0</v>
      </c>
    </row>
    <row r="5424" spans="1:40" x14ac:dyDescent="0.25">
      <c r="A5424" t="s">
        <v>15</v>
      </c>
      <c r="B5424" t="s">
        <v>24</v>
      </c>
      <c r="C5424">
        <v>20150316</v>
      </c>
      <c r="D5424">
        <v>0</v>
      </c>
      <c r="F5424">
        <v>62500</v>
      </c>
      <c r="G5424" t="s">
        <v>17</v>
      </c>
      <c r="I5424" t="s">
        <v>16</v>
      </c>
      <c r="J5424" t="s">
        <v>180</v>
      </c>
      <c r="K5424" t="s">
        <v>25</v>
      </c>
      <c r="L5424">
        <v>132757294</v>
      </c>
      <c r="R5424">
        <v>9578</v>
      </c>
      <c r="S5424" t="s">
        <v>233</v>
      </c>
      <c r="T5424">
        <v>1</v>
      </c>
      <c r="U5424">
        <v>4</v>
      </c>
      <c r="V5424">
        <v>1.5249999999999999</v>
      </c>
      <c r="W5424">
        <v>1.5249999999999999</v>
      </c>
      <c r="X5424">
        <v>0</v>
      </c>
    </row>
    <row r="5425" spans="1:40" x14ac:dyDescent="0.25">
      <c r="A5425" t="s">
        <v>15</v>
      </c>
      <c r="B5425" t="s">
        <v>24</v>
      </c>
      <c r="C5425">
        <v>20150316</v>
      </c>
      <c r="D5425">
        <v>0</v>
      </c>
      <c r="F5425">
        <v>62500</v>
      </c>
      <c r="G5425" t="s">
        <v>17</v>
      </c>
      <c r="I5425" t="s">
        <v>16</v>
      </c>
      <c r="J5425" t="s">
        <v>180</v>
      </c>
      <c r="K5425" t="s">
        <v>25</v>
      </c>
      <c r="L5425">
        <v>132757294</v>
      </c>
      <c r="R5425">
        <v>9578</v>
      </c>
      <c r="S5425" t="s">
        <v>233</v>
      </c>
      <c r="T5425">
        <v>1</v>
      </c>
      <c r="U5425">
        <v>4</v>
      </c>
      <c r="V5425">
        <v>1.5249999999999999</v>
      </c>
      <c r="W5425">
        <v>1.5249999999999999</v>
      </c>
      <c r="X5425">
        <v>0</v>
      </c>
    </row>
    <row r="5426" spans="1:40" x14ac:dyDescent="0.25">
      <c r="A5426" t="s">
        <v>15</v>
      </c>
      <c r="B5426" t="s">
        <v>24</v>
      </c>
      <c r="C5426">
        <v>20150316</v>
      </c>
      <c r="D5426">
        <v>0</v>
      </c>
      <c r="F5426">
        <v>62500</v>
      </c>
      <c r="G5426" t="s">
        <v>17</v>
      </c>
      <c r="I5426" t="s">
        <v>16</v>
      </c>
      <c r="J5426" t="s">
        <v>180</v>
      </c>
      <c r="K5426" t="s">
        <v>25</v>
      </c>
      <c r="L5426">
        <v>132757294</v>
      </c>
      <c r="R5426">
        <v>9578</v>
      </c>
      <c r="S5426" t="s">
        <v>233</v>
      </c>
      <c r="T5426">
        <v>1</v>
      </c>
      <c r="U5426">
        <v>4</v>
      </c>
      <c r="V5426">
        <v>1.5249999999999999</v>
      </c>
      <c r="W5426">
        <v>1.5249999999999999</v>
      </c>
      <c r="X5426">
        <v>0</v>
      </c>
    </row>
    <row r="5427" spans="1:40" x14ac:dyDescent="0.25">
      <c r="A5427" t="s">
        <v>15</v>
      </c>
      <c r="B5427" t="s">
        <v>24</v>
      </c>
      <c r="C5427">
        <v>20150316</v>
      </c>
      <c r="D5427">
        <v>0</v>
      </c>
      <c r="F5427">
        <v>62500</v>
      </c>
      <c r="G5427" t="s">
        <v>17</v>
      </c>
      <c r="I5427" t="s">
        <v>16</v>
      </c>
      <c r="J5427" t="s">
        <v>180</v>
      </c>
      <c r="K5427" t="s">
        <v>25</v>
      </c>
      <c r="L5427">
        <v>132757294</v>
      </c>
      <c r="R5427">
        <v>9578</v>
      </c>
      <c r="S5427" t="s">
        <v>233</v>
      </c>
      <c r="T5427">
        <v>1</v>
      </c>
      <c r="U5427">
        <v>2</v>
      </c>
      <c r="V5427">
        <v>1.5249999999999999</v>
      </c>
      <c r="W5427">
        <v>1.5249999999999999</v>
      </c>
      <c r="X5427">
        <v>0</v>
      </c>
      <c r="Y5427">
        <v>9578</v>
      </c>
      <c r="Z5427" t="s">
        <v>311</v>
      </c>
      <c r="AA5427" t="s">
        <v>312</v>
      </c>
      <c r="AB5427" t="s">
        <v>234</v>
      </c>
      <c r="AC5427" t="s">
        <v>17</v>
      </c>
      <c r="AD5427" t="s">
        <v>235</v>
      </c>
      <c r="AE5427">
        <v>1</v>
      </c>
      <c r="AF5427">
        <v>2</v>
      </c>
      <c r="AG5427">
        <v>1.5249999999999999</v>
      </c>
      <c r="AH5427">
        <v>1.5249999999999999</v>
      </c>
      <c r="AI5427">
        <v>415886611</v>
      </c>
      <c r="AJ5427">
        <v>0</v>
      </c>
      <c r="AK5427">
        <v>7</v>
      </c>
      <c r="AN5427">
        <v>0</v>
      </c>
    </row>
    <row r="5428" spans="1:40" x14ac:dyDescent="0.25">
      <c r="A5428" t="s">
        <v>15</v>
      </c>
      <c r="B5428" t="s">
        <v>24</v>
      </c>
      <c r="C5428">
        <v>20150316</v>
      </c>
      <c r="D5428">
        <v>0</v>
      </c>
      <c r="F5428">
        <v>62500</v>
      </c>
      <c r="G5428" t="s">
        <v>17</v>
      </c>
      <c r="I5428" t="s">
        <v>16</v>
      </c>
      <c r="J5428" t="s">
        <v>180</v>
      </c>
      <c r="K5428" t="s">
        <v>25</v>
      </c>
      <c r="L5428">
        <v>132757294</v>
      </c>
      <c r="R5428">
        <v>9578</v>
      </c>
      <c r="S5428" t="s">
        <v>233</v>
      </c>
      <c r="T5428">
        <v>1</v>
      </c>
      <c r="U5428">
        <v>2</v>
      </c>
      <c r="V5428">
        <v>1.5249999999999999</v>
      </c>
      <c r="W5428">
        <v>1.5249999999999999</v>
      </c>
      <c r="X5428">
        <v>0</v>
      </c>
    </row>
    <row r="5429" spans="1:40" x14ac:dyDescent="0.25">
      <c r="A5429" t="s">
        <v>15</v>
      </c>
      <c r="B5429" t="s">
        <v>24</v>
      </c>
      <c r="C5429">
        <v>20150316</v>
      </c>
      <c r="D5429">
        <v>0</v>
      </c>
      <c r="F5429">
        <v>62500</v>
      </c>
      <c r="G5429" t="s">
        <v>17</v>
      </c>
      <c r="I5429" t="s">
        <v>16</v>
      </c>
      <c r="J5429" t="s">
        <v>180</v>
      </c>
      <c r="K5429" t="s">
        <v>25</v>
      </c>
      <c r="L5429">
        <v>132757294</v>
      </c>
      <c r="R5429">
        <v>9578</v>
      </c>
      <c r="S5429" t="s">
        <v>233</v>
      </c>
      <c r="T5429">
        <v>2</v>
      </c>
      <c r="U5429">
        <v>3</v>
      </c>
      <c r="V5429">
        <v>1.5249999999999999</v>
      </c>
      <c r="W5429">
        <v>1.5249999999999999</v>
      </c>
      <c r="X5429">
        <v>0</v>
      </c>
    </row>
    <row r="5430" spans="1:40" x14ac:dyDescent="0.25">
      <c r="A5430" t="s">
        <v>15</v>
      </c>
      <c r="B5430" t="s">
        <v>24</v>
      </c>
      <c r="C5430">
        <v>20150316</v>
      </c>
      <c r="D5430">
        <v>0</v>
      </c>
      <c r="F5430">
        <v>62500</v>
      </c>
      <c r="G5430" t="s">
        <v>17</v>
      </c>
      <c r="I5430" t="s">
        <v>16</v>
      </c>
      <c r="J5430" t="s">
        <v>180</v>
      </c>
      <c r="K5430" t="s">
        <v>25</v>
      </c>
      <c r="L5430">
        <v>132757294</v>
      </c>
      <c r="R5430">
        <v>9579</v>
      </c>
      <c r="S5430" t="s">
        <v>232</v>
      </c>
      <c r="T5430">
        <v>0</v>
      </c>
      <c r="U5430">
        <v>23</v>
      </c>
      <c r="V5430">
        <v>0</v>
      </c>
      <c r="W5430">
        <v>0</v>
      </c>
      <c r="X5430">
        <v>0</v>
      </c>
    </row>
    <row r="5431" spans="1:40" x14ac:dyDescent="0.25">
      <c r="A5431" t="s">
        <v>15</v>
      </c>
      <c r="B5431" t="s">
        <v>24</v>
      </c>
      <c r="C5431">
        <v>20150316</v>
      </c>
      <c r="D5431">
        <v>0</v>
      </c>
      <c r="F5431">
        <v>62500</v>
      </c>
      <c r="G5431" t="s">
        <v>17</v>
      </c>
      <c r="I5431" t="s">
        <v>16</v>
      </c>
      <c r="J5431" t="s">
        <v>180</v>
      </c>
      <c r="K5431" t="s">
        <v>25</v>
      </c>
      <c r="L5431">
        <v>132757294</v>
      </c>
      <c r="R5431">
        <v>9578</v>
      </c>
      <c r="S5431" t="s">
        <v>233</v>
      </c>
      <c r="T5431">
        <v>2</v>
      </c>
      <c r="U5431">
        <v>3</v>
      </c>
      <c r="V5431">
        <v>1.5249999999999999</v>
      </c>
      <c r="W5431">
        <v>1.5249999999999999</v>
      </c>
      <c r="X5431">
        <v>0</v>
      </c>
    </row>
    <row r="5432" spans="1:40" x14ac:dyDescent="0.25">
      <c r="A5432" t="s">
        <v>15</v>
      </c>
      <c r="B5432" t="s">
        <v>24</v>
      </c>
      <c r="C5432">
        <v>20150316</v>
      </c>
      <c r="D5432">
        <v>0</v>
      </c>
      <c r="F5432">
        <v>62500</v>
      </c>
      <c r="G5432" t="s">
        <v>17</v>
      </c>
      <c r="I5432" t="s">
        <v>16</v>
      </c>
      <c r="J5432" t="s">
        <v>180</v>
      </c>
      <c r="K5432" t="s">
        <v>25</v>
      </c>
      <c r="L5432">
        <v>132757294</v>
      </c>
      <c r="R5432">
        <v>9578</v>
      </c>
      <c r="S5432" t="s">
        <v>233</v>
      </c>
      <c r="T5432">
        <v>2</v>
      </c>
      <c r="U5432">
        <v>3</v>
      </c>
      <c r="V5432">
        <v>1.5249999999999999</v>
      </c>
      <c r="W5432">
        <v>1.5249999999999999</v>
      </c>
      <c r="X5432">
        <v>0</v>
      </c>
    </row>
    <row r="5433" spans="1:40" x14ac:dyDescent="0.25">
      <c r="A5433" t="s">
        <v>15</v>
      </c>
      <c r="B5433" t="s">
        <v>24</v>
      </c>
      <c r="C5433">
        <v>20150316</v>
      </c>
      <c r="D5433">
        <v>0</v>
      </c>
      <c r="F5433">
        <v>62500</v>
      </c>
      <c r="G5433" t="s">
        <v>17</v>
      </c>
      <c r="I5433" t="s">
        <v>16</v>
      </c>
      <c r="J5433" t="s">
        <v>180</v>
      </c>
      <c r="K5433" t="s">
        <v>25</v>
      </c>
      <c r="L5433">
        <v>132757294</v>
      </c>
      <c r="R5433">
        <v>9577</v>
      </c>
      <c r="S5433" t="s">
        <v>223</v>
      </c>
      <c r="T5433">
        <v>0</v>
      </c>
      <c r="U5433">
        <v>16</v>
      </c>
      <c r="V5433">
        <v>0</v>
      </c>
      <c r="W5433">
        <v>0</v>
      </c>
      <c r="X5433">
        <v>0</v>
      </c>
    </row>
    <row r="5434" spans="1:40" x14ac:dyDescent="0.25">
      <c r="A5434" t="s">
        <v>15</v>
      </c>
      <c r="B5434" t="s">
        <v>24</v>
      </c>
      <c r="C5434">
        <v>20150316</v>
      </c>
      <c r="D5434">
        <v>0</v>
      </c>
      <c r="F5434">
        <v>62500</v>
      </c>
      <c r="G5434" t="s">
        <v>17</v>
      </c>
      <c r="I5434" t="s">
        <v>16</v>
      </c>
      <c r="J5434" t="s">
        <v>180</v>
      </c>
      <c r="K5434" t="s">
        <v>25</v>
      </c>
      <c r="L5434">
        <v>132757294</v>
      </c>
      <c r="R5434">
        <v>9577</v>
      </c>
      <c r="S5434" t="s">
        <v>224</v>
      </c>
      <c r="T5434">
        <v>0</v>
      </c>
      <c r="U5434">
        <v>16</v>
      </c>
      <c r="V5434">
        <v>0</v>
      </c>
      <c r="W5434">
        <v>0</v>
      </c>
      <c r="X5434">
        <v>0</v>
      </c>
    </row>
    <row r="5435" spans="1:40" x14ac:dyDescent="0.25">
      <c r="A5435" t="s">
        <v>15</v>
      </c>
      <c r="B5435" t="s">
        <v>24</v>
      </c>
      <c r="C5435">
        <v>20150316</v>
      </c>
      <c r="D5435">
        <v>0</v>
      </c>
      <c r="F5435">
        <v>62500</v>
      </c>
      <c r="G5435" t="s">
        <v>17</v>
      </c>
      <c r="I5435" t="s">
        <v>16</v>
      </c>
      <c r="J5435" t="s">
        <v>180</v>
      </c>
      <c r="K5435" t="s">
        <v>25</v>
      </c>
      <c r="L5435">
        <v>132757294</v>
      </c>
      <c r="R5435">
        <v>9579</v>
      </c>
      <c r="S5435" t="s">
        <v>232</v>
      </c>
      <c r="T5435">
        <v>0</v>
      </c>
      <c r="U5435">
        <v>23</v>
      </c>
      <c r="V5435">
        <v>0</v>
      </c>
      <c r="W5435">
        <v>0</v>
      </c>
      <c r="X5435">
        <v>0</v>
      </c>
    </row>
    <row r="5436" spans="1:40" x14ac:dyDescent="0.25">
      <c r="A5436" t="s">
        <v>15</v>
      </c>
      <c r="B5436" t="s">
        <v>24</v>
      </c>
      <c r="C5436">
        <v>20150316</v>
      </c>
      <c r="D5436">
        <v>0</v>
      </c>
      <c r="F5436">
        <v>62500</v>
      </c>
      <c r="G5436" t="s">
        <v>17</v>
      </c>
      <c r="I5436" t="s">
        <v>16</v>
      </c>
      <c r="J5436" t="s">
        <v>180</v>
      </c>
      <c r="K5436" t="s">
        <v>25</v>
      </c>
      <c r="L5436">
        <v>132757294</v>
      </c>
      <c r="R5436">
        <v>9579</v>
      </c>
      <c r="S5436" t="s">
        <v>192</v>
      </c>
      <c r="T5436">
        <v>0</v>
      </c>
      <c r="U5436">
        <v>23</v>
      </c>
      <c r="V5436">
        <v>0</v>
      </c>
      <c r="W5436">
        <v>0</v>
      </c>
      <c r="X5436">
        <v>0</v>
      </c>
    </row>
    <row r="5437" spans="1:40" x14ac:dyDescent="0.25">
      <c r="A5437" t="s">
        <v>15</v>
      </c>
      <c r="B5437" t="s">
        <v>24</v>
      </c>
      <c r="C5437">
        <v>20150316</v>
      </c>
      <c r="D5437">
        <v>0</v>
      </c>
      <c r="F5437">
        <v>62500</v>
      </c>
      <c r="G5437" t="s">
        <v>17</v>
      </c>
      <c r="I5437" t="s">
        <v>16</v>
      </c>
      <c r="J5437" t="s">
        <v>180</v>
      </c>
      <c r="K5437" t="s">
        <v>25</v>
      </c>
      <c r="L5437">
        <v>132757294</v>
      </c>
      <c r="R5437">
        <v>9578</v>
      </c>
      <c r="S5437" t="s">
        <v>233</v>
      </c>
      <c r="T5437">
        <v>2</v>
      </c>
      <c r="U5437">
        <v>1</v>
      </c>
      <c r="V5437">
        <v>1.5249999999999999</v>
      </c>
      <c r="W5437">
        <v>1.5249999999999999</v>
      </c>
      <c r="X5437">
        <v>0</v>
      </c>
      <c r="Y5437">
        <v>9578</v>
      </c>
      <c r="Z5437" t="s">
        <v>313</v>
      </c>
      <c r="AA5437" t="s">
        <v>314</v>
      </c>
      <c r="AB5437" t="s">
        <v>234</v>
      </c>
      <c r="AC5437" t="s">
        <v>17</v>
      </c>
      <c r="AD5437" t="s">
        <v>235</v>
      </c>
      <c r="AE5437">
        <v>1</v>
      </c>
      <c r="AF5437">
        <v>3</v>
      </c>
      <c r="AG5437">
        <v>1.5249999999999999</v>
      </c>
      <c r="AH5437">
        <v>1.5249999999999999</v>
      </c>
      <c r="AI5437">
        <v>415886611</v>
      </c>
      <c r="AJ5437">
        <v>0</v>
      </c>
      <c r="AK5437">
        <v>7</v>
      </c>
      <c r="AN5437">
        <v>0</v>
      </c>
    </row>
    <row r="5438" spans="1:40" x14ac:dyDescent="0.25">
      <c r="A5438" t="s">
        <v>15</v>
      </c>
      <c r="B5438" t="s">
        <v>24</v>
      </c>
      <c r="C5438">
        <v>20150316</v>
      </c>
      <c r="D5438">
        <v>0</v>
      </c>
      <c r="F5438">
        <v>62500</v>
      </c>
      <c r="G5438" t="s">
        <v>17</v>
      </c>
      <c r="I5438" t="s">
        <v>16</v>
      </c>
      <c r="J5438" t="s">
        <v>180</v>
      </c>
      <c r="K5438" t="s">
        <v>25</v>
      </c>
      <c r="L5438">
        <v>132757294</v>
      </c>
      <c r="R5438">
        <v>9578</v>
      </c>
      <c r="S5438" t="s">
        <v>233</v>
      </c>
      <c r="T5438">
        <v>2</v>
      </c>
      <c r="U5438">
        <v>1</v>
      </c>
      <c r="V5438">
        <v>1.5249999999999999</v>
      </c>
      <c r="W5438">
        <v>1.5249999999999999</v>
      </c>
      <c r="X5438">
        <v>0</v>
      </c>
    </row>
    <row r="5439" spans="1:40" x14ac:dyDescent="0.25">
      <c r="A5439" t="s">
        <v>15</v>
      </c>
      <c r="B5439" t="s">
        <v>24</v>
      </c>
      <c r="C5439">
        <v>20150316</v>
      </c>
      <c r="D5439">
        <v>0</v>
      </c>
      <c r="F5439">
        <v>62500</v>
      </c>
      <c r="G5439" t="s">
        <v>17</v>
      </c>
      <c r="I5439" t="s">
        <v>16</v>
      </c>
      <c r="J5439" t="s">
        <v>180</v>
      </c>
      <c r="K5439" t="s">
        <v>25</v>
      </c>
      <c r="L5439">
        <v>132757294</v>
      </c>
      <c r="R5439">
        <v>9578</v>
      </c>
      <c r="S5439" t="s">
        <v>233</v>
      </c>
      <c r="T5439">
        <v>3</v>
      </c>
      <c r="U5439">
        <v>2</v>
      </c>
      <c r="V5439">
        <v>1.5249999999999999</v>
      </c>
      <c r="W5439">
        <v>1.5249999999999999</v>
      </c>
      <c r="X5439">
        <v>0</v>
      </c>
    </row>
    <row r="5440" spans="1:40" x14ac:dyDescent="0.25">
      <c r="A5440" t="s">
        <v>15</v>
      </c>
      <c r="B5440" t="s">
        <v>24</v>
      </c>
      <c r="C5440">
        <v>20150316</v>
      </c>
      <c r="D5440">
        <v>0</v>
      </c>
      <c r="F5440">
        <v>62500</v>
      </c>
      <c r="G5440" t="s">
        <v>17</v>
      </c>
      <c r="I5440" t="s">
        <v>16</v>
      </c>
      <c r="J5440" t="s">
        <v>180</v>
      </c>
      <c r="K5440" t="s">
        <v>25</v>
      </c>
      <c r="L5440">
        <v>132757294</v>
      </c>
      <c r="R5440">
        <v>9580</v>
      </c>
      <c r="S5440" t="s">
        <v>232</v>
      </c>
      <c r="T5440">
        <v>0</v>
      </c>
      <c r="U5440">
        <v>-24</v>
      </c>
      <c r="V5440">
        <v>0</v>
      </c>
      <c r="W5440">
        <v>0</v>
      </c>
      <c r="X5440">
        <v>0</v>
      </c>
    </row>
    <row r="5441" spans="1:40" x14ac:dyDescent="0.25">
      <c r="A5441" t="s">
        <v>15</v>
      </c>
      <c r="B5441" t="s">
        <v>24</v>
      </c>
      <c r="C5441">
        <v>20150316</v>
      </c>
      <c r="D5441">
        <v>0</v>
      </c>
      <c r="F5441">
        <v>62500</v>
      </c>
      <c r="G5441" t="s">
        <v>17</v>
      </c>
      <c r="I5441" t="s">
        <v>16</v>
      </c>
      <c r="J5441" t="s">
        <v>180</v>
      </c>
      <c r="K5441" t="s">
        <v>25</v>
      </c>
      <c r="L5441">
        <v>132757294</v>
      </c>
      <c r="R5441">
        <v>9578</v>
      </c>
      <c r="S5441" t="s">
        <v>233</v>
      </c>
      <c r="T5441">
        <v>3</v>
      </c>
      <c r="U5441">
        <v>2</v>
      </c>
      <c r="V5441">
        <v>1.5249999999999999</v>
      </c>
      <c r="W5441">
        <v>1.5249999999999999</v>
      </c>
      <c r="X5441">
        <v>0</v>
      </c>
    </row>
    <row r="5442" spans="1:40" x14ac:dyDescent="0.25">
      <c r="A5442" t="s">
        <v>15</v>
      </c>
      <c r="B5442" t="s">
        <v>24</v>
      </c>
      <c r="C5442">
        <v>20150316</v>
      </c>
      <c r="D5442">
        <v>0</v>
      </c>
      <c r="F5442">
        <v>62500</v>
      </c>
      <c r="G5442" t="s">
        <v>17</v>
      </c>
      <c r="I5442" t="s">
        <v>16</v>
      </c>
      <c r="J5442" t="s">
        <v>180</v>
      </c>
      <c r="K5442" t="s">
        <v>25</v>
      </c>
      <c r="L5442">
        <v>132757294</v>
      </c>
      <c r="R5442">
        <v>9578</v>
      </c>
      <c r="S5442" t="s">
        <v>233</v>
      </c>
      <c r="T5442">
        <v>3</v>
      </c>
      <c r="U5442">
        <v>2</v>
      </c>
      <c r="V5442">
        <v>1.5249999999999999</v>
      </c>
      <c r="W5442">
        <v>1.5249999999999999</v>
      </c>
      <c r="X5442">
        <v>0</v>
      </c>
    </row>
    <row r="5443" spans="1:40" x14ac:dyDescent="0.25">
      <c r="A5443" t="s">
        <v>15</v>
      </c>
      <c r="B5443" t="s">
        <v>24</v>
      </c>
      <c r="C5443">
        <v>20150316</v>
      </c>
      <c r="D5443">
        <v>0</v>
      </c>
      <c r="F5443">
        <v>62500</v>
      </c>
      <c r="G5443" t="s">
        <v>17</v>
      </c>
      <c r="I5443" t="s">
        <v>16</v>
      </c>
      <c r="J5443" t="s">
        <v>180</v>
      </c>
      <c r="K5443" t="s">
        <v>25</v>
      </c>
      <c r="L5443">
        <v>132757294</v>
      </c>
      <c r="R5443">
        <v>9580</v>
      </c>
      <c r="S5443" t="s">
        <v>232</v>
      </c>
      <c r="T5443">
        <v>0</v>
      </c>
      <c r="U5443">
        <v>-24</v>
      </c>
      <c r="V5443">
        <v>0</v>
      </c>
      <c r="W5443">
        <v>0</v>
      </c>
      <c r="X5443">
        <v>0</v>
      </c>
    </row>
    <row r="5444" spans="1:40" x14ac:dyDescent="0.25">
      <c r="A5444" t="s">
        <v>15</v>
      </c>
      <c r="B5444" t="s">
        <v>24</v>
      </c>
      <c r="C5444">
        <v>20150316</v>
      </c>
      <c r="D5444">
        <v>0</v>
      </c>
      <c r="F5444">
        <v>62500</v>
      </c>
      <c r="G5444" t="s">
        <v>17</v>
      </c>
      <c r="I5444" t="s">
        <v>16</v>
      </c>
      <c r="J5444" t="s">
        <v>180</v>
      </c>
      <c r="K5444" t="s">
        <v>25</v>
      </c>
      <c r="L5444">
        <v>132757294</v>
      </c>
      <c r="R5444">
        <v>9580</v>
      </c>
      <c r="S5444" t="s">
        <v>192</v>
      </c>
      <c r="T5444">
        <v>0</v>
      </c>
      <c r="U5444">
        <v>24</v>
      </c>
      <c r="V5444">
        <v>0</v>
      </c>
      <c r="W5444">
        <v>0</v>
      </c>
      <c r="X5444">
        <v>0</v>
      </c>
    </row>
    <row r="5445" spans="1:40" x14ac:dyDescent="0.25">
      <c r="A5445" t="s">
        <v>15</v>
      </c>
      <c r="B5445" t="s">
        <v>24</v>
      </c>
      <c r="C5445">
        <v>20150316</v>
      </c>
      <c r="D5445">
        <v>0</v>
      </c>
      <c r="F5445">
        <v>62500</v>
      </c>
      <c r="G5445" t="s">
        <v>17</v>
      </c>
      <c r="I5445" t="s">
        <v>16</v>
      </c>
      <c r="J5445" t="s">
        <v>180</v>
      </c>
      <c r="K5445" t="s">
        <v>25</v>
      </c>
      <c r="L5445">
        <v>132757294</v>
      </c>
      <c r="R5445">
        <v>9578</v>
      </c>
      <c r="S5445" t="s">
        <v>223</v>
      </c>
      <c r="T5445">
        <v>3</v>
      </c>
      <c r="U5445">
        <v>2</v>
      </c>
      <c r="V5445">
        <v>1.5249999999999999</v>
      </c>
      <c r="W5445">
        <v>1.5249999999999999</v>
      </c>
      <c r="X5445">
        <v>0</v>
      </c>
    </row>
    <row r="5446" spans="1:40" x14ac:dyDescent="0.25">
      <c r="A5446" t="s">
        <v>15</v>
      </c>
      <c r="B5446" t="s">
        <v>24</v>
      </c>
      <c r="C5446">
        <v>20150316</v>
      </c>
      <c r="D5446">
        <v>0</v>
      </c>
      <c r="F5446">
        <v>62500</v>
      </c>
      <c r="G5446" t="s">
        <v>17</v>
      </c>
      <c r="I5446" t="s">
        <v>16</v>
      </c>
      <c r="J5446" t="s">
        <v>180</v>
      </c>
      <c r="K5446" t="s">
        <v>25</v>
      </c>
      <c r="L5446">
        <v>132757294</v>
      </c>
      <c r="R5446">
        <v>9578</v>
      </c>
      <c r="S5446" t="s">
        <v>224</v>
      </c>
      <c r="T5446">
        <v>3</v>
      </c>
      <c r="U5446">
        <v>2</v>
      </c>
      <c r="V5446">
        <v>1.5249999999999999</v>
      </c>
      <c r="W5446">
        <v>1.5249999999999999</v>
      </c>
      <c r="X5446">
        <v>0</v>
      </c>
    </row>
    <row r="5447" spans="1:40" x14ac:dyDescent="0.25">
      <c r="A5447" t="s">
        <v>15</v>
      </c>
      <c r="B5447" t="s">
        <v>24</v>
      </c>
      <c r="C5447">
        <v>20150316</v>
      </c>
      <c r="D5447">
        <v>0</v>
      </c>
      <c r="F5447">
        <v>62500</v>
      </c>
      <c r="G5447" t="s">
        <v>17</v>
      </c>
      <c r="I5447" t="s">
        <v>16</v>
      </c>
      <c r="J5447" t="s">
        <v>180</v>
      </c>
      <c r="K5447" t="s">
        <v>25</v>
      </c>
      <c r="L5447">
        <v>132757294</v>
      </c>
      <c r="R5447">
        <v>9581</v>
      </c>
      <c r="S5447" t="s">
        <v>232</v>
      </c>
      <c r="T5447">
        <v>0</v>
      </c>
      <c r="U5447">
        <v>-5</v>
      </c>
      <c r="V5447">
        <v>0</v>
      </c>
      <c r="W5447">
        <v>0</v>
      </c>
      <c r="X5447">
        <v>0</v>
      </c>
    </row>
    <row r="5448" spans="1:40" x14ac:dyDescent="0.25">
      <c r="A5448" t="s">
        <v>15</v>
      </c>
      <c r="B5448" t="s">
        <v>24</v>
      </c>
      <c r="C5448">
        <v>20150316</v>
      </c>
      <c r="D5448">
        <v>0</v>
      </c>
      <c r="F5448">
        <v>62500</v>
      </c>
      <c r="G5448" t="s">
        <v>17</v>
      </c>
      <c r="I5448" t="s">
        <v>16</v>
      </c>
      <c r="J5448" t="s">
        <v>180</v>
      </c>
      <c r="K5448" t="s">
        <v>25</v>
      </c>
      <c r="L5448">
        <v>132757294</v>
      </c>
      <c r="R5448">
        <v>9581</v>
      </c>
      <c r="S5448" t="s">
        <v>232</v>
      </c>
      <c r="T5448">
        <v>0</v>
      </c>
      <c r="U5448">
        <v>-5</v>
      </c>
      <c r="V5448">
        <v>0</v>
      </c>
      <c r="W5448">
        <v>0</v>
      </c>
      <c r="X5448">
        <v>0</v>
      </c>
      <c r="Y5448">
        <v>9581</v>
      </c>
      <c r="Z5448" t="s">
        <v>315</v>
      </c>
      <c r="AA5448" t="s">
        <v>316</v>
      </c>
      <c r="AB5448" t="s">
        <v>234</v>
      </c>
      <c r="AC5448" t="s">
        <v>17</v>
      </c>
      <c r="AD5448" t="s">
        <v>237</v>
      </c>
      <c r="AE5448">
        <v>5</v>
      </c>
      <c r="AF5448">
        <v>5</v>
      </c>
      <c r="AG5448">
        <v>1.5248999999999999</v>
      </c>
      <c r="AH5448">
        <v>1.5248999999999999</v>
      </c>
      <c r="AI5448">
        <v>415886614</v>
      </c>
      <c r="AJ5448">
        <v>0</v>
      </c>
      <c r="AK5448">
        <v>7</v>
      </c>
      <c r="AN5448">
        <v>0</v>
      </c>
    </row>
    <row r="5449" spans="1:40" x14ac:dyDescent="0.25">
      <c r="A5449" t="s">
        <v>15</v>
      </c>
      <c r="B5449" t="s">
        <v>24</v>
      </c>
      <c r="C5449">
        <v>20150316</v>
      </c>
      <c r="D5449">
        <v>0</v>
      </c>
      <c r="F5449">
        <v>62500</v>
      </c>
      <c r="G5449" t="s">
        <v>17</v>
      </c>
      <c r="I5449" t="s">
        <v>16</v>
      </c>
      <c r="J5449" t="s">
        <v>180</v>
      </c>
      <c r="K5449" t="s">
        <v>25</v>
      </c>
      <c r="L5449">
        <v>132757294</v>
      </c>
      <c r="R5449">
        <v>9581</v>
      </c>
      <c r="S5449" t="s">
        <v>232</v>
      </c>
      <c r="T5449">
        <v>0</v>
      </c>
      <c r="U5449">
        <v>-5</v>
      </c>
      <c r="V5449">
        <v>0</v>
      </c>
      <c r="W5449">
        <v>0</v>
      </c>
      <c r="X5449">
        <v>0</v>
      </c>
    </row>
    <row r="5450" spans="1:40" x14ac:dyDescent="0.25">
      <c r="A5450" t="s">
        <v>15</v>
      </c>
      <c r="B5450" t="s">
        <v>24</v>
      </c>
      <c r="C5450">
        <v>20150316</v>
      </c>
      <c r="D5450">
        <v>0</v>
      </c>
      <c r="F5450">
        <v>62500</v>
      </c>
      <c r="G5450" t="s">
        <v>17</v>
      </c>
      <c r="I5450" t="s">
        <v>16</v>
      </c>
      <c r="J5450" t="s">
        <v>180</v>
      </c>
      <c r="K5450" t="s">
        <v>25</v>
      </c>
      <c r="L5450">
        <v>132757294</v>
      </c>
      <c r="R5450">
        <v>9581</v>
      </c>
      <c r="S5450" t="s">
        <v>37</v>
      </c>
      <c r="T5450">
        <v>5</v>
      </c>
      <c r="U5450">
        <v>0</v>
      </c>
      <c r="V5450">
        <v>1.5248999999999999</v>
      </c>
      <c r="W5450">
        <v>1.5248999999999999</v>
      </c>
      <c r="X5450">
        <v>0</v>
      </c>
    </row>
    <row r="5451" spans="1:40" x14ac:dyDescent="0.25">
      <c r="A5451" t="s">
        <v>15</v>
      </c>
      <c r="B5451" t="s">
        <v>24</v>
      </c>
      <c r="C5451">
        <v>20150316</v>
      </c>
      <c r="D5451">
        <v>0</v>
      </c>
      <c r="F5451">
        <v>62500</v>
      </c>
      <c r="G5451" t="s">
        <v>17</v>
      </c>
      <c r="I5451" t="s">
        <v>16</v>
      </c>
      <c r="J5451" t="s">
        <v>180</v>
      </c>
      <c r="K5451" t="s">
        <v>25</v>
      </c>
      <c r="L5451">
        <v>132757294</v>
      </c>
      <c r="R5451">
        <v>9581</v>
      </c>
      <c r="S5451" t="s">
        <v>37</v>
      </c>
      <c r="T5451">
        <v>5</v>
      </c>
      <c r="U5451">
        <v>0</v>
      </c>
      <c r="V5451">
        <v>1.5248999999999999</v>
      </c>
      <c r="W5451">
        <v>1.5248999999999999</v>
      </c>
      <c r="X5451">
        <v>0</v>
      </c>
    </row>
    <row r="5452" spans="1:40" x14ac:dyDescent="0.25">
      <c r="A5452" t="s">
        <v>15</v>
      </c>
      <c r="B5452" t="s">
        <v>24</v>
      </c>
      <c r="C5452">
        <v>20150316</v>
      </c>
      <c r="D5452">
        <v>0</v>
      </c>
      <c r="F5452">
        <v>62500</v>
      </c>
      <c r="G5452" t="s">
        <v>17</v>
      </c>
      <c r="I5452" t="s">
        <v>16</v>
      </c>
      <c r="J5452" t="s">
        <v>180</v>
      </c>
      <c r="K5452" t="s">
        <v>25</v>
      </c>
      <c r="L5452">
        <v>132757294</v>
      </c>
      <c r="R5452">
        <v>9581</v>
      </c>
      <c r="S5452" t="s">
        <v>37</v>
      </c>
      <c r="T5452">
        <v>5</v>
      </c>
      <c r="U5452">
        <v>0</v>
      </c>
      <c r="V5452">
        <v>1.5248999999999999</v>
      </c>
      <c r="W5452">
        <v>1.5248999999999999</v>
      </c>
      <c r="X5452">
        <v>0</v>
      </c>
    </row>
    <row r="5453" spans="1:40" x14ac:dyDescent="0.25">
      <c r="A5453" t="s">
        <v>15</v>
      </c>
      <c r="B5453" t="s">
        <v>24</v>
      </c>
      <c r="C5453">
        <v>20150316</v>
      </c>
      <c r="D5453">
        <v>0</v>
      </c>
      <c r="F5453">
        <v>62500</v>
      </c>
      <c r="G5453" t="s">
        <v>17</v>
      </c>
      <c r="I5453" t="s">
        <v>16</v>
      </c>
      <c r="J5453" t="s">
        <v>180</v>
      </c>
      <c r="K5453" t="s">
        <v>25</v>
      </c>
      <c r="L5453">
        <v>132757294</v>
      </c>
      <c r="R5453">
        <v>9581</v>
      </c>
      <c r="S5453" t="s">
        <v>37</v>
      </c>
      <c r="T5453">
        <v>5</v>
      </c>
      <c r="U5453">
        <v>0</v>
      </c>
      <c r="V5453">
        <v>1.5248999999999999</v>
      </c>
      <c r="W5453">
        <v>1.5248999999999999</v>
      </c>
      <c r="X5453">
        <v>0</v>
      </c>
    </row>
    <row r="5454" spans="1:40" x14ac:dyDescent="0.25">
      <c r="A5454" t="s">
        <v>15</v>
      </c>
      <c r="B5454" t="s">
        <v>24</v>
      </c>
      <c r="C5454">
        <v>20150316</v>
      </c>
      <c r="D5454">
        <v>0</v>
      </c>
      <c r="F5454">
        <v>62500</v>
      </c>
      <c r="G5454" t="s">
        <v>17</v>
      </c>
      <c r="I5454" t="s">
        <v>16</v>
      </c>
      <c r="J5454" t="s">
        <v>180</v>
      </c>
      <c r="K5454" t="s">
        <v>25</v>
      </c>
      <c r="L5454">
        <v>132757294</v>
      </c>
      <c r="R5454">
        <v>9581</v>
      </c>
      <c r="S5454" t="s">
        <v>37</v>
      </c>
      <c r="T5454">
        <v>5</v>
      </c>
      <c r="U5454">
        <v>0</v>
      </c>
      <c r="V5454">
        <v>1.5248999999999999</v>
      </c>
      <c r="W5454">
        <v>1.5248999999999999</v>
      </c>
      <c r="X5454">
        <v>0</v>
      </c>
    </row>
    <row r="5455" spans="1:40" x14ac:dyDescent="0.25">
      <c r="A5455" t="s">
        <v>15</v>
      </c>
      <c r="B5455" t="s">
        <v>24</v>
      </c>
      <c r="C5455">
        <v>20150316</v>
      </c>
      <c r="D5455">
        <v>0</v>
      </c>
      <c r="F5455">
        <v>62500</v>
      </c>
      <c r="G5455" t="s">
        <v>17</v>
      </c>
      <c r="I5455" t="s">
        <v>16</v>
      </c>
      <c r="J5455" t="s">
        <v>180</v>
      </c>
      <c r="K5455" t="s">
        <v>25</v>
      </c>
      <c r="L5455">
        <v>132757294</v>
      </c>
      <c r="R5455">
        <v>9581</v>
      </c>
      <c r="S5455" t="s">
        <v>37</v>
      </c>
      <c r="T5455">
        <v>5</v>
      </c>
      <c r="U5455">
        <v>0</v>
      </c>
      <c r="V5455">
        <v>1.5248999999999999</v>
      </c>
      <c r="W5455">
        <v>1.5248999999999999</v>
      </c>
      <c r="X5455">
        <v>0</v>
      </c>
    </row>
    <row r="5456" spans="1:40" x14ac:dyDescent="0.25">
      <c r="A5456" t="s">
        <v>15</v>
      </c>
      <c r="B5456" t="s">
        <v>24</v>
      </c>
      <c r="C5456">
        <v>20150316</v>
      </c>
      <c r="D5456">
        <v>0</v>
      </c>
      <c r="F5456">
        <v>62500</v>
      </c>
      <c r="G5456" t="s">
        <v>17</v>
      </c>
      <c r="I5456" t="s">
        <v>16</v>
      </c>
      <c r="J5456" t="s">
        <v>180</v>
      </c>
      <c r="K5456" t="s">
        <v>25</v>
      </c>
      <c r="L5456">
        <v>132757294</v>
      </c>
      <c r="R5456">
        <v>9581</v>
      </c>
      <c r="S5456" t="s">
        <v>37</v>
      </c>
      <c r="T5456">
        <v>5</v>
      </c>
      <c r="U5456">
        <v>0</v>
      </c>
      <c r="V5456">
        <v>1.5248999999999999</v>
      </c>
      <c r="W5456">
        <v>1.5248999999999999</v>
      </c>
      <c r="X5456">
        <v>0</v>
      </c>
    </row>
    <row r="5457" spans="1:40" x14ac:dyDescent="0.25">
      <c r="A5457" t="s">
        <v>15</v>
      </c>
      <c r="B5457" t="s">
        <v>24</v>
      </c>
      <c r="C5457">
        <v>20150316</v>
      </c>
      <c r="D5457">
        <v>0</v>
      </c>
      <c r="F5457">
        <v>62500</v>
      </c>
      <c r="G5457" t="s">
        <v>17</v>
      </c>
      <c r="I5457" t="s">
        <v>16</v>
      </c>
      <c r="J5457" t="s">
        <v>180</v>
      </c>
      <c r="K5457" t="s">
        <v>25</v>
      </c>
      <c r="L5457">
        <v>132757294</v>
      </c>
      <c r="R5457">
        <v>9581</v>
      </c>
      <c r="S5457" t="s">
        <v>37</v>
      </c>
      <c r="T5457">
        <v>5</v>
      </c>
      <c r="U5457">
        <v>0</v>
      </c>
      <c r="V5457">
        <v>1.5248999999999999</v>
      </c>
      <c r="W5457">
        <v>1.5248999999999999</v>
      </c>
      <c r="X5457">
        <v>0</v>
      </c>
    </row>
    <row r="5458" spans="1:40" x14ac:dyDescent="0.25">
      <c r="A5458" t="s">
        <v>15</v>
      </c>
      <c r="B5458" t="s">
        <v>24</v>
      </c>
      <c r="C5458">
        <v>20150316</v>
      </c>
      <c r="D5458">
        <v>0</v>
      </c>
      <c r="F5458">
        <v>62500</v>
      </c>
      <c r="G5458" t="s">
        <v>17</v>
      </c>
      <c r="I5458" t="s">
        <v>16</v>
      </c>
      <c r="J5458" t="s">
        <v>180</v>
      </c>
      <c r="K5458" t="s">
        <v>25</v>
      </c>
      <c r="L5458">
        <v>132757294</v>
      </c>
      <c r="R5458">
        <v>9582</v>
      </c>
      <c r="S5458" t="s">
        <v>232</v>
      </c>
      <c r="T5458">
        <v>0</v>
      </c>
      <c r="U5458">
        <v>-5</v>
      </c>
      <c r="V5458">
        <v>0</v>
      </c>
      <c r="W5458">
        <v>0</v>
      </c>
      <c r="X5458">
        <v>0</v>
      </c>
    </row>
    <row r="5459" spans="1:40" x14ac:dyDescent="0.25">
      <c r="A5459" t="s">
        <v>15</v>
      </c>
      <c r="B5459" t="s">
        <v>24</v>
      </c>
      <c r="C5459">
        <v>20150316</v>
      </c>
      <c r="D5459">
        <v>0</v>
      </c>
      <c r="F5459">
        <v>62500</v>
      </c>
      <c r="G5459" t="s">
        <v>17</v>
      </c>
      <c r="I5459" t="s">
        <v>16</v>
      </c>
      <c r="J5459" t="s">
        <v>180</v>
      </c>
      <c r="K5459" t="s">
        <v>25</v>
      </c>
      <c r="L5459">
        <v>132757294</v>
      </c>
      <c r="R5459">
        <v>9582</v>
      </c>
      <c r="S5459" t="s">
        <v>232</v>
      </c>
      <c r="T5459">
        <v>0</v>
      </c>
      <c r="U5459">
        <v>-5</v>
      </c>
      <c r="V5459">
        <v>0</v>
      </c>
      <c r="W5459">
        <v>0</v>
      </c>
      <c r="X5459">
        <v>0</v>
      </c>
      <c r="Y5459">
        <v>9582</v>
      </c>
      <c r="Z5459" t="s">
        <v>317</v>
      </c>
      <c r="AA5459" t="s">
        <v>318</v>
      </c>
      <c r="AB5459" t="s">
        <v>234</v>
      </c>
      <c r="AC5459" t="s">
        <v>17</v>
      </c>
      <c r="AD5459" t="s">
        <v>237</v>
      </c>
      <c r="AE5459">
        <v>5</v>
      </c>
      <c r="AF5459">
        <v>5</v>
      </c>
      <c r="AG5459">
        <v>1.5248999999999999</v>
      </c>
      <c r="AH5459">
        <v>1.5248999999999999</v>
      </c>
      <c r="AI5459">
        <v>415886615</v>
      </c>
      <c r="AJ5459">
        <v>0</v>
      </c>
      <c r="AK5459">
        <v>7</v>
      </c>
      <c r="AN5459">
        <v>0</v>
      </c>
    </row>
    <row r="5460" spans="1:40" x14ac:dyDescent="0.25">
      <c r="A5460" t="s">
        <v>15</v>
      </c>
      <c r="B5460" t="s">
        <v>24</v>
      </c>
      <c r="C5460">
        <v>20150316</v>
      </c>
      <c r="D5460">
        <v>0</v>
      </c>
      <c r="F5460">
        <v>62500</v>
      </c>
      <c r="G5460" t="s">
        <v>17</v>
      </c>
      <c r="I5460" t="s">
        <v>16</v>
      </c>
      <c r="J5460" t="s">
        <v>180</v>
      </c>
      <c r="K5460" t="s">
        <v>25</v>
      </c>
      <c r="L5460">
        <v>132757294</v>
      </c>
      <c r="R5460">
        <v>9582</v>
      </c>
      <c r="S5460" t="s">
        <v>232</v>
      </c>
      <c r="T5460">
        <v>0</v>
      </c>
      <c r="U5460">
        <v>-5</v>
      </c>
      <c r="V5460">
        <v>0</v>
      </c>
      <c r="W5460">
        <v>0</v>
      </c>
      <c r="X5460">
        <v>0</v>
      </c>
    </row>
    <row r="5461" spans="1:40" x14ac:dyDescent="0.25">
      <c r="A5461" t="s">
        <v>15</v>
      </c>
      <c r="B5461" t="s">
        <v>24</v>
      </c>
      <c r="C5461">
        <v>20150316</v>
      </c>
      <c r="D5461">
        <v>0</v>
      </c>
      <c r="F5461">
        <v>62500</v>
      </c>
      <c r="G5461" t="s">
        <v>17</v>
      </c>
      <c r="I5461" t="s">
        <v>16</v>
      </c>
      <c r="J5461" t="s">
        <v>180</v>
      </c>
      <c r="K5461" t="s">
        <v>25</v>
      </c>
      <c r="L5461">
        <v>132757294</v>
      </c>
      <c r="R5461">
        <v>9582</v>
      </c>
      <c r="S5461" t="s">
        <v>37</v>
      </c>
      <c r="T5461">
        <v>5</v>
      </c>
      <c r="U5461">
        <v>0</v>
      </c>
      <c r="V5461">
        <v>1.5248999999999999</v>
      </c>
      <c r="W5461">
        <v>1.5248999999999999</v>
      </c>
      <c r="X5461">
        <v>0</v>
      </c>
    </row>
    <row r="5462" spans="1:40" x14ac:dyDescent="0.25">
      <c r="A5462" t="s">
        <v>15</v>
      </c>
      <c r="B5462" t="s">
        <v>24</v>
      </c>
      <c r="C5462">
        <v>20150316</v>
      </c>
      <c r="D5462">
        <v>0</v>
      </c>
      <c r="F5462">
        <v>62500</v>
      </c>
      <c r="G5462" t="s">
        <v>17</v>
      </c>
      <c r="I5462" t="s">
        <v>16</v>
      </c>
      <c r="J5462" t="s">
        <v>180</v>
      </c>
      <c r="K5462" t="s">
        <v>25</v>
      </c>
      <c r="L5462">
        <v>132757294</v>
      </c>
      <c r="R5462">
        <v>9582</v>
      </c>
      <c r="S5462" t="s">
        <v>37</v>
      </c>
      <c r="T5462">
        <v>5</v>
      </c>
      <c r="U5462">
        <v>0</v>
      </c>
      <c r="V5462">
        <v>1.5248999999999999</v>
      </c>
      <c r="W5462">
        <v>1.5248999999999999</v>
      </c>
      <c r="X5462">
        <v>0</v>
      </c>
    </row>
    <row r="5463" spans="1:40" x14ac:dyDescent="0.25">
      <c r="A5463" t="s">
        <v>15</v>
      </c>
      <c r="B5463" t="s">
        <v>24</v>
      </c>
      <c r="C5463">
        <v>20150316</v>
      </c>
      <c r="D5463">
        <v>0</v>
      </c>
      <c r="F5463">
        <v>62500</v>
      </c>
      <c r="G5463" t="s">
        <v>17</v>
      </c>
      <c r="I5463" t="s">
        <v>16</v>
      </c>
      <c r="J5463" t="s">
        <v>180</v>
      </c>
      <c r="K5463" t="s">
        <v>25</v>
      </c>
      <c r="L5463">
        <v>132757294</v>
      </c>
      <c r="R5463">
        <v>9582</v>
      </c>
      <c r="S5463" t="s">
        <v>37</v>
      </c>
      <c r="T5463">
        <v>5</v>
      </c>
      <c r="U5463">
        <v>0</v>
      </c>
      <c r="V5463">
        <v>1.5248999999999999</v>
      </c>
      <c r="W5463">
        <v>1.5248999999999999</v>
      </c>
      <c r="X5463">
        <v>0</v>
      </c>
    </row>
    <row r="5464" spans="1:40" x14ac:dyDescent="0.25">
      <c r="A5464" t="s">
        <v>15</v>
      </c>
      <c r="B5464" t="s">
        <v>24</v>
      </c>
      <c r="C5464">
        <v>20150316</v>
      </c>
      <c r="D5464">
        <v>0</v>
      </c>
      <c r="F5464">
        <v>62500</v>
      </c>
      <c r="G5464" t="s">
        <v>17</v>
      </c>
      <c r="I5464" t="s">
        <v>16</v>
      </c>
      <c r="J5464" t="s">
        <v>180</v>
      </c>
      <c r="K5464" t="s">
        <v>25</v>
      </c>
      <c r="L5464">
        <v>132757294</v>
      </c>
      <c r="R5464">
        <v>9582</v>
      </c>
      <c r="S5464" t="s">
        <v>37</v>
      </c>
      <c r="T5464">
        <v>5</v>
      </c>
      <c r="U5464">
        <v>0</v>
      </c>
      <c r="V5464">
        <v>1.5248999999999999</v>
      </c>
      <c r="W5464">
        <v>1.5248999999999999</v>
      </c>
      <c r="X5464">
        <v>0</v>
      </c>
    </row>
    <row r="5465" spans="1:40" x14ac:dyDescent="0.25">
      <c r="A5465" t="s">
        <v>15</v>
      </c>
      <c r="B5465" t="s">
        <v>24</v>
      </c>
      <c r="C5465">
        <v>20150316</v>
      </c>
      <c r="D5465">
        <v>0</v>
      </c>
      <c r="F5465">
        <v>62500</v>
      </c>
      <c r="G5465" t="s">
        <v>17</v>
      </c>
      <c r="I5465" t="s">
        <v>16</v>
      </c>
      <c r="J5465" t="s">
        <v>180</v>
      </c>
      <c r="K5465" t="s">
        <v>25</v>
      </c>
      <c r="L5465">
        <v>132757294</v>
      </c>
      <c r="R5465">
        <v>9582</v>
      </c>
      <c r="S5465" t="s">
        <v>37</v>
      </c>
      <c r="T5465">
        <v>5</v>
      </c>
      <c r="U5465">
        <v>0</v>
      </c>
      <c r="V5465">
        <v>1.5248999999999999</v>
      </c>
      <c r="W5465">
        <v>1.5248999999999999</v>
      </c>
      <c r="X5465">
        <v>0</v>
      </c>
    </row>
    <row r="5466" spans="1:40" x14ac:dyDescent="0.25">
      <c r="A5466" t="s">
        <v>15</v>
      </c>
      <c r="B5466" t="s">
        <v>24</v>
      </c>
      <c r="C5466">
        <v>20150316</v>
      </c>
      <c r="D5466">
        <v>0</v>
      </c>
      <c r="F5466">
        <v>62500</v>
      </c>
      <c r="G5466" t="s">
        <v>17</v>
      </c>
      <c r="I5466" t="s">
        <v>16</v>
      </c>
      <c r="J5466" t="s">
        <v>180</v>
      </c>
      <c r="K5466" t="s">
        <v>25</v>
      </c>
      <c r="L5466">
        <v>132757294</v>
      </c>
      <c r="R5466">
        <v>9582</v>
      </c>
      <c r="S5466" t="s">
        <v>37</v>
      </c>
      <c r="T5466">
        <v>5</v>
      </c>
      <c r="U5466">
        <v>0</v>
      </c>
      <c r="V5466">
        <v>1.5248999999999999</v>
      </c>
      <c r="W5466">
        <v>1.5248999999999999</v>
      </c>
      <c r="X5466">
        <v>0</v>
      </c>
    </row>
    <row r="5467" spans="1:40" x14ac:dyDescent="0.25">
      <c r="A5467" t="s">
        <v>15</v>
      </c>
      <c r="B5467" t="s">
        <v>24</v>
      </c>
      <c r="C5467">
        <v>20150316</v>
      </c>
      <c r="D5467">
        <v>0</v>
      </c>
      <c r="F5467">
        <v>62500</v>
      </c>
      <c r="G5467" t="s">
        <v>17</v>
      </c>
      <c r="I5467" t="s">
        <v>16</v>
      </c>
      <c r="J5467" t="s">
        <v>180</v>
      </c>
      <c r="K5467" t="s">
        <v>25</v>
      </c>
      <c r="L5467">
        <v>132757294</v>
      </c>
      <c r="R5467">
        <v>9582</v>
      </c>
      <c r="S5467" t="s">
        <v>37</v>
      </c>
      <c r="T5467">
        <v>5</v>
      </c>
      <c r="U5467">
        <v>0</v>
      </c>
      <c r="V5467">
        <v>1.5248999999999999</v>
      </c>
      <c r="W5467">
        <v>1.5248999999999999</v>
      </c>
      <c r="X5467">
        <v>0</v>
      </c>
    </row>
    <row r="5468" spans="1:40" x14ac:dyDescent="0.25">
      <c r="A5468" t="s">
        <v>15</v>
      </c>
      <c r="B5468" t="s">
        <v>24</v>
      </c>
      <c r="C5468">
        <v>20150316</v>
      </c>
      <c r="D5468">
        <v>0</v>
      </c>
      <c r="F5468">
        <v>62500</v>
      </c>
      <c r="G5468" t="s">
        <v>17</v>
      </c>
      <c r="I5468" t="s">
        <v>16</v>
      </c>
      <c r="J5468" t="s">
        <v>180</v>
      </c>
      <c r="K5468" t="s">
        <v>25</v>
      </c>
      <c r="L5468">
        <v>132757294</v>
      </c>
      <c r="R5468">
        <v>9582</v>
      </c>
      <c r="S5468" t="s">
        <v>37</v>
      </c>
      <c r="T5468">
        <v>5</v>
      </c>
      <c r="U5468">
        <v>0</v>
      </c>
      <c r="V5468">
        <v>1.5248999999999999</v>
      </c>
      <c r="W5468">
        <v>1.5248999999999999</v>
      </c>
      <c r="X5468">
        <v>0</v>
      </c>
    </row>
    <row r="5469" spans="1:40" x14ac:dyDescent="0.25">
      <c r="A5469" t="s">
        <v>15</v>
      </c>
      <c r="B5469" t="s">
        <v>24</v>
      </c>
      <c r="C5469">
        <v>20150316</v>
      </c>
      <c r="D5469">
        <v>0</v>
      </c>
      <c r="F5469">
        <v>62500</v>
      </c>
      <c r="G5469" t="s">
        <v>17</v>
      </c>
      <c r="I5469" t="s">
        <v>16</v>
      </c>
      <c r="J5469" t="s">
        <v>180</v>
      </c>
      <c r="K5469" t="s">
        <v>25</v>
      </c>
      <c r="L5469">
        <v>132757294</v>
      </c>
      <c r="R5469">
        <v>9583</v>
      </c>
      <c r="S5469" t="s">
        <v>232</v>
      </c>
      <c r="T5469">
        <v>0</v>
      </c>
      <c r="U5469">
        <v>-5</v>
      </c>
      <c r="V5469">
        <v>0</v>
      </c>
      <c r="W5469">
        <v>0</v>
      </c>
      <c r="X5469">
        <v>0</v>
      </c>
    </row>
    <row r="5470" spans="1:40" x14ac:dyDescent="0.25">
      <c r="A5470" t="s">
        <v>15</v>
      </c>
      <c r="B5470" t="s">
        <v>24</v>
      </c>
      <c r="C5470">
        <v>20150316</v>
      </c>
      <c r="D5470">
        <v>0</v>
      </c>
      <c r="F5470">
        <v>62500</v>
      </c>
      <c r="G5470" t="s">
        <v>17</v>
      </c>
      <c r="I5470" t="s">
        <v>16</v>
      </c>
      <c r="J5470" t="s">
        <v>180</v>
      </c>
      <c r="K5470" t="s">
        <v>25</v>
      </c>
      <c r="L5470">
        <v>132757294</v>
      </c>
      <c r="R5470">
        <v>9583</v>
      </c>
      <c r="S5470" t="s">
        <v>232</v>
      </c>
      <c r="T5470">
        <v>0</v>
      </c>
      <c r="U5470">
        <v>-5</v>
      </c>
      <c r="V5470">
        <v>0</v>
      </c>
      <c r="W5470">
        <v>0</v>
      </c>
      <c r="X5470">
        <v>0</v>
      </c>
      <c r="Y5470">
        <v>9583</v>
      </c>
      <c r="Z5470" t="s">
        <v>319</v>
      </c>
      <c r="AA5470" t="s">
        <v>320</v>
      </c>
      <c r="AB5470" t="s">
        <v>234</v>
      </c>
      <c r="AC5470" t="s">
        <v>17</v>
      </c>
      <c r="AD5470" t="s">
        <v>237</v>
      </c>
      <c r="AE5470">
        <v>5</v>
      </c>
      <c r="AF5470">
        <v>5</v>
      </c>
      <c r="AG5470">
        <v>1.5248999999999999</v>
      </c>
      <c r="AH5470">
        <v>1.5248999999999999</v>
      </c>
      <c r="AI5470">
        <v>415886616</v>
      </c>
      <c r="AJ5470">
        <v>0</v>
      </c>
      <c r="AK5470">
        <v>7</v>
      </c>
      <c r="AN5470">
        <v>0</v>
      </c>
    </row>
    <row r="5471" spans="1:40" x14ac:dyDescent="0.25">
      <c r="A5471" t="s">
        <v>15</v>
      </c>
      <c r="B5471" t="s">
        <v>24</v>
      </c>
      <c r="C5471">
        <v>20150316</v>
      </c>
      <c r="D5471">
        <v>0</v>
      </c>
      <c r="F5471">
        <v>62500</v>
      </c>
      <c r="G5471" t="s">
        <v>17</v>
      </c>
      <c r="I5471" t="s">
        <v>16</v>
      </c>
      <c r="J5471" t="s">
        <v>180</v>
      </c>
      <c r="K5471" t="s">
        <v>25</v>
      </c>
      <c r="L5471">
        <v>132757294</v>
      </c>
      <c r="R5471">
        <v>9583</v>
      </c>
      <c r="S5471" t="s">
        <v>232</v>
      </c>
      <c r="T5471">
        <v>0</v>
      </c>
      <c r="U5471">
        <v>-5</v>
      </c>
      <c r="V5471">
        <v>0</v>
      </c>
      <c r="W5471">
        <v>0</v>
      </c>
      <c r="X5471">
        <v>0</v>
      </c>
    </row>
    <row r="5472" spans="1:40" x14ac:dyDescent="0.25">
      <c r="A5472" t="s">
        <v>15</v>
      </c>
      <c r="B5472" t="s">
        <v>24</v>
      </c>
      <c r="C5472">
        <v>20150316</v>
      </c>
      <c r="D5472">
        <v>0</v>
      </c>
      <c r="F5472">
        <v>62500</v>
      </c>
      <c r="G5472" t="s">
        <v>17</v>
      </c>
      <c r="I5472" t="s">
        <v>16</v>
      </c>
      <c r="J5472" t="s">
        <v>180</v>
      </c>
      <c r="K5472" t="s">
        <v>25</v>
      </c>
      <c r="L5472">
        <v>132757294</v>
      </c>
      <c r="R5472">
        <v>9583</v>
      </c>
      <c r="S5472" t="s">
        <v>37</v>
      </c>
      <c r="T5472">
        <v>5</v>
      </c>
      <c r="U5472">
        <v>0</v>
      </c>
      <c r="V5472">
        <v>1.5248999999999999</v>
      </c>
      <c r="W5472">
        <v>1.5248999999999999</v>
      </c>
      <c r="X5472">
        <v>0</v>
      </c>
    </row>
    <row r="5473" spans="1:40" x14ac:dyDescent="0.25">
      <c r="A5473" t="s">
        <v>15</v>
      </c>
      <c r="B5473" t="s">
        <v>24</v>
      </c>
      <c r="C5473">
        <v>20150316</v>
      </c>
      <c r="D5473">
        <v>0</v>
      </c>
      <c r="F5473">
        <v>62500</v>
      </c>
      <c r="G5473" t="s">
        <v>17</v>
      </c>
      <c r="I5473" t="s">
        <v>16</v>
      </c>
      <c r="J5473" t="s">
        <v>180</v>
      </c>
      <c r="K5473" t="s">
        <v>25</v>
      </c>
      <c r="L5473">
        <v>132757294</v>
      </c>
      <c r="R5473">
        <v>9583</v>
      </c>
      <c r="S5473" t="s">
        <v>37</v>
      </c>
      <c r="T5473">
        <v>5</v>
      </c>
      <c r="U5473">
        <v>0</v>
      </c>
      <c r="V5473">
        <v>1.5248999999999999</v>
      </c>
      <c r="W5473">
        <v>1.5248999999999999</v>
      </c>
      <c r="X5473">
        <v>0</v>
      </c>
    </row>
    <row r="5474" spans="1:40" x14ac:dyDescent="0.25">
      <c r="A5474" t="s">
        <v>15</v>
      </c>
      <c r="B5474" t="s">
        <v>24</v>
      </c>
      <c r="C5474">
        <v>20150316</v>
      </c>
      <c r="D5474">
        <v>0</v>
      </c>
      <c r="F5474">
        <v>62500</v>
      </c>
      <c r="G5474" t="s">
        <v>17</v>
      </c>
      <c r="I5474" t="s">
        <v>16</v>
      </c>
      <c r="J5474" t="s">
        <v>180</v>
      </c>
      <c r="K5474" t="s">
        <v>25</v>
      </c>
      <c r="L5474">
        <v>132757294</v>
      </c>
      <c r="R5474">
        <v>9583</v>
      </c>
      <c r="S5474" t="s">
        <v>37</v>
      </c>
      <c r="T5474">
        <v>5</v>
      </c>
      <c r="U5474">
        <v>0</v>
      </c>
      <c r="V5474">
        <v>1.5248999999999999</v>
      </c>
      <c r="W5474">
        <v>1.5248999999999999</v>
      </c>
      <c r="X5474">
        <v>0</v>
      </c>
    </row>
    <row r="5475" spans="1:40" x14ac:dyDescent="0.25">
      <c r="A5475" t="s">
        <v>15</v>
      </c>
      <c r="B5475" t="s">
        <v>24</v>
      </c>
      <c r="C5475">
        <v>20150316</v>
      </c>
      <c r="D5475">
        <v>0</v>
      </c>
      <c r="F5475">
        <v>62500</v>
      </c>
      <c r="G5475" t="s">
        <v>17</v>
      </c>
      <c r="I5475" t="s">
        <v>16</v>
      </c>
      <c r="J5475" t="s">
        <v>180</v>
      </c>
      <c r="K5475" t="s">
        <v>25</v>
      </c>
      <c r="L5475">
        <v>132757294</v>
      </c>
      <c r="R5475">
        <v>9583</v>
      </c>
      <c r="S5475" t="s">
        <v>37</v>
      </c>
      <c r="T5475">
        <v>5</v>
      </c>
      <c r="U5475">
        <v>0</v>
      </c>
      <c r="V5475">
        <v>1.5248999999999999</v>
      </c>
      <c r="W5475">
        <v>1.5248999999999999</v>
      </c>
      <c r="X5475">
        <v>0</v>
      </c>
    </row>
    <row r="5476" spans="1:40" x14ac:dyDescent="0.25">
      <c r="A5476" t="s">
        <v>15</v>
      </c>
      <c r="B5476" t="s">
        <v>24</v>
      </c>
      <c r="C5476">
        <v>20150316</v>
      </c>
      <c r="D5476">
        <v>0</v>
      </c>
      <c r="F5476">
        <v>62500</v>
      </c>
      <c r="G5476" t="s">
        <v>17</v>
      </c>
      <c r="I5476" t="s">
        <v>16</v>
      </c>
      <c r="J5476" t="s">
        <v>180</v>
      </c>
      <c r="K5476" t="s">
        <v>25</v>
      </c>
      <c r="L5476">
        <v>132757294</v>
      </c>
      <c r="R5476">
        <v>9583</v>
      </c>
      <c r="S5476" t="s">
        <v>37</v>
      </c>
      <c r="T5476">
        <v>5</v>
      </c>
      <c r="U5476">
        <v>0</v>
      </c>
      <c r="V5476">
        <v>1.5248999999999999</v>
      </c>
      <c r="W5476">
        <v>1.5248999999999999</v>
      </c>
      <c r="X5476">
        <v>0</v>
      </c>
    </row>
    <row r="5477" spans="1:40" x14ac:dyDescent="0.25">
      <c r="A5477" t="s">
        <v>15</v>
      </c>
      <c r="B5477" t="s">
        <v>24</v>
      </c>
      <c r="C5477">
        <v>20150316</v>
      </c>
      <c r="D5477">
        <v>0</v>
      </c>
      <c r="F5477">
        <v>62500</v>
      </c>
      <c r="G5477" t="s">
        <v>17</v>
      </c>
      <c r="I5477" t="s">
        <v>16</v>
      </c>
      <c r="J5477" t="s">
        <v>180</v>
      </c>
      <c r="K5477" t="s">
        <v>25</v>
      </c>
      <c r="L5477">
        <v>132757294</v>
      </c>
      <c r="R5477">
        <v>9583</v>
      </c>
      <c r="S5477" t="s">
        <v>37</v>
      </c>
      <c r="T5477">
        <v>5</v>
      </c>
      <c r="U5477">
        <v>0</v>
      </c>
      <c r="V5477">
        <v>1.5248999999999999</v>
      </c>
      <c r="W5477">
        <v>1.5248999999999999</v>
      </c>
      <c r="X5477">
        <v>0</v>
      </c>
    </row>
    <row r="5478" spans="1:40" x14ac:dyDescent="0.25">
      <c r="A5478" t="s">
        <v>15</v>
      </c>
      <c r="B5478" t="s">
        <v>24</v>
      </c>
      <c r="C5478">
        <v>20150316</v>
      </c>
      <c r="D5478">
        <v>0</v>
      </c>
      <c r="F5478">
        <v>62500</v>
      </c>
      <c r="G5478" t="s">
        <v>17</v>
      </c>
      <c r="I5478" t="s">
        <v>16</v>
      </c>
      <c r="J5478" t="s">
        <v>180</v>
      </c>
      <c r="K5478" t="s">
        <v>25</v>
      </c>
      <c r="L5478">
        <v>132757294</v>
      </c>
      <c r="R5478">
        <v>9583</v>
      </c>
      <c r="S5478" t="s">
        <v>37</v>
      </c>
      <c r="T5478">
        <v>5</v>
      </c>
      <c r="U5478">
        <v>0</v>
      </c>
      <c r="V5478">
        <v>1.5248999999999999</v>
      </c>
      <c r="W5478">
        <v>1.5248999999999999</v>
      </c>
      <c r="X5478">
        <v>0</v>
      </c>
    </row>
    <row r="5479" spans="1:40" x14ac:dyDescent="0.25">
      <c r="A5479" t="s">
        <v>15</v>
      </c>
      <c r="B5479" t="s">
        <v>24</v>
      </c>
      <c r="C5479">
        <v>20150316</v>
      </c>
      <c r="D5479">
        <v>0</v>
      </c>
      <c r="F5479">
        <v>62500</v>
      </c>
      <c r="G5479" t="s">
        <v>17</v>
      </c>
      <c r="I5479" t="s">
        <v>16</v>
      </c>
      <c r="J5479" t="s">
        <v>180</v>
      </c>
      <c r="K5479" t="s">
        <v>25</v>
      </c>
      <c r="L5479">
        <v>132757294</v>
      </c>
      <c r="R5479">
        <v>9583</v>
      </c>
      <c r="S5479" t="s">
        <v>37</v>
      </c>
      <c r="T5479">
        <v>5</v>
      </c>
      <c r="U5479">
        <v>0</v>
      </c>
      <c r="V5479">
        <v>1.5248999999999999</v>
      </c>
      <c r="W5479">
        <v>1.5248999999999999</v>
      </c>
      <c r="X5479">
        <v>0</v>
      </c>
    </row>
    <row r="5480" spans="1:40" x14ac:dyDescent="0.25">
      <c r="A5480" t="s">
        <v>15</v>
      </c>
      <c r="B5480" t="s">
        <v>24</v>
      </c>
      <c r="C5480">
        <v>20150316</v>
      </c>
      <c r="D5480">
        <v>0</v>
      </c>
      <c r="F5480">
        <v>62500</v>
      </c>
      <c r="G5480" t="s">
        <v>17</v>
      </c>
      <c r="I5480" t="s">
        <v>16</v>
      </c>
      <c r="J5480" t="s">
        <v>180</v>
      </c>
      <c r="K5480" t="s">
        <v>25</v>
      </c>
      <c r="L5480">
        <v>132757294</v>
      </c>
      <c r="R5480">
        <v>9584</v>
      </c>
      <c r="S5480" t="s">
        <v>232</v>
      </c>
      <c r="T5480">
        <v>0</v>
      </c>
      <c r="U5480">
        <v>-5</v>
      </c>
      <c r="V5480">
        <v>0</v>
      </c>
      <c r="W5480">
        <v>0</v>
      </c>
      <c r="X5480">
        <v>0</v>
      </c>
    </row>
    <row r="5481" spans="1:40" x14ac:dyDescent="0.25">
      <c r="A5481" t="s">
        <v>15</v>
      </c>
      <c r="B5481" t="s">
        <v>24</v>
      </c>
      <c r="C5481">
        <v>20150316</v>
      </c>
      <c r="D5481">
        <v>0</v>
      </c>
      <c r="F5481">
        <v>62500</v>
      </c>
      <c r="G5481" t="s">
        <v>17</v>
      </c>
      <c r="I5481" t="s">
        <v>16</v>
      </c>
      <c r="J5481" t="s">
        <v>180</v>
      </c>
      <c r="K5481" t="s">
        <v>25</v>
      </c>
      <c r="L5481">
        <v>132757294</v>
      </c>
      <c r="R5481">
        <v>9585</v>
      </c>
      <c r="S5481" t="s">
        <v>232</v>
      </c>
      <c r="T5481">
        <v>0</v>
      </c>
      <c r="U5481">
        <v>14</v>
      </c>
      <c r="V5481">
        <v>0</v>
      </c>
      <c r="W5481">
        <v>0</v>
      </c>
      <c r="X5481">
        <v>0</v>
      </c>
    </row>
    <row r="5482" spans="1:40" x14ac:dyDescent="0.25">
      <c r="A5482" t="s">
        <v>15</v>
      </c>
      <c r="B5482" t="s">
        <v>24</v>
      </c>
      <c r="C5482">
        <v>20150316</v>
      </c>
      <c r="D5482">
        <v>0</v>
      </c>
      <c r="F5482">
        <v>62500</v>
      </c>
      <c r="G5482" t="s">
        <v>17</v>
      </c>
      <c r="I5482" t="s">
        <v>16</v>
      </c>
      <c r="J5482" t="s">
        <v>180</v>
      </c>
      <c r="K5482" t="s">
        <v>25</v>
      </c>
      <c r="L5482">
        <v>132757294</v>
      </c>
      <c r="R5482">
        <v>9584</v>
      </c>
      <c r="S5482" t="s">
        <v>232</v>
      </c>
      <c r="T5482">
        <v>0</v>
      </c>
      <c r="U5482">
        <v>-5</v>
      </c>
      <c r="V5482">
        <v>0</v>
      </c>
      <c r="W5482">
        <v>0</v>
      </c>
      <c r="X5482">
        <v>0</v>
      </c>
      <c r="Y5482">
        <v>9584</v>
      </c>
      <c r="Z5482" t="s">
        <v>321</v>
      </c>
      <c r="AA5482" t="s">
        <v>322</v>
      </c>
      <c r="AB5482" t="s">
        <v>234</v>
      </c>
      <c r="AC5482" t="s">
        <v>17</v>
      </c>
      <c r="AD5482" t="s">
        <v>237</v>
      </c>
      <c r="AE5482">
        <v>3</v>
      </c>
      <c r="AF5482">
        <v>3</v>
      </c>
      <c r="AG5482">
        <v>1.5248999999999999</v>
      </c>
      <c r="AH5482">
        <v>1.5248999999999999</v>
      </c>
      <c r="AI5482">
        <v>415886617</v>
      </c>
      <c r="AJ5482">
        <v>0</v>
      </c>
      <c r="AK5482">
        <v>7</v>
      </c>
      <c r="AN5482">
        <v>0</v>
      </c>
    </row>
    <row r="5483" spans="1:40" x14ac:dyDescent="0.25">
      <c r="A5483" t="s">
        <v>15</v>
      </c>
      <c r="B5483" t="s">
        <v>24</v>
      </c>
      <c r="C5483">
        <v>20150316</v>
      </c>
      <c r="D5483">
        <v>0</v>
      </c>
      <c r="F5483">
        <v>62500</v>
      </c>
      <c r="G5483" t="s">
        <v>17</v>
      </c>
      <c r="I5483" t="s">
        <v>16</v>
      </c>
      <c r="J5483" t="s">
        <v>180</v>
      </c>
      <c r="K5483" t="s">
        <v>25</v>
      </c>
      <c r="L5483">
        <v>132757294</v>
      </c>
      <c r="R5483">
        <v>9584</v>
      </c>
      <c r="S5483" t="s">
        <v>232</v>
      </c>
      <c r="T5483">
        <v>0</v>
      </c>
      <c r="U5483">
        <v>-5</v>
      </c>
      <c r="V5483">
        <v>0</v>
      </c>
      <c r="W5483">
        <v>0</v>
      </c>
      <c r="X5483">
        <v>0</v>
      </c>
    </row>
    <row r="5484" spans="1:40" x14ac:dyDescent="0.25">
      <c r="A5484" t="s">
        <v>15</v>
      </c>
      <c r="B5484" t="s">
        <v>24</v>
      </c>
      <c r="C5484">
        <v>20150316</v>
      </c>
      <c r="D5484">
        <v>0</v>
      </c>
      <c r="F5484">
        <v>62500</v>
      </c>
      <c r="G5484" t="s">
        <v>17</v>
      </c>
      <c r="I5484" t="s">
        <v>16</v>
      </c>
      <c r="J5484" t="s">
        <v>180</v>
      </c>
      <c r="K5484" t="s">
        <v>25</v>
      </c>
      <c r="L5484">
        <v>132757294</v>
      </c>
      <c r="R5484">
        <v>9584</v>
      </c>
      <c r="S5484" t="s">
        <v>236</v>
      </c>
      <c r="T5484">
        <v>3</v>
      </c>
      <c r="U5484">
        <v>2</v>
      </c>
      <c r="V5484">
        <v>1.5248999999999999</v>
      </c>
      <c r="W5484">
        <v>1.5248999999999999</v>
      </c>
      <c r="X5484">
        <v>0</v>
      </c>
    </row>
    <row r="5485" spans="1:40" x14ac:dyDescent="0.25">
      <c r="A5485" t="s">
        <v>15</v>
      </c>
      <c r="B5485" t="s">
        <v>24</v>
      </c>
      <c r="C5485">
        <v>20150316</v>
      </c>
      <c r="D5485">
        <v>0</v>
      </c>
      <c r="F5485">
        <v>62500</v>
      </c>
      <c r="G5485" t="s">
        <v>17</v>
      </c>
      <c r="I5485" t="s">
        <v>16</v>
      </c>
      <c r="J5485" t="s">
        <v>180</v>
      </c>
      <c r="K5485" t="s">
        <v>25</v>
      </c>
      <c r="L5485">
        <v>132757294</v>
      </c>
      <c r="R5485">
        <v>9584</v>
      </c>
      <c r="S5485" t="s">
        <v>236</v>
      </c>
      <c r="T5485">
        <v>3</v>
      </c>
      <c r="U5485">
        <v>2</v>
      </c>
      <c r="V5485">
        <v>1.5248999999999999</v>
      </c>
      <c r="W5485">
        <v>1.5248999999999999</v>
      </c>
      <c r="X5485">
        <v>0</v>
      </c>
    </row>
    <row r="5486" spans="1:40" x14ac:dyDescent="0.25">
      <c r="A5486" t="s">
        <v>15</v>
      </c>
      <c r="B5486" t="s">
        <v>24</v>
      </c>
      <c r="C5486">
        <v>20150316</v>
      </c>
      <c r="D5486">
        <v>0</v>
      </c>
      <c r="F5486">
        <v>62500</v>
      </c>
      <c r="G5486" t="s">
        <v>17</v>
      </c>
      <c r="I5486" t="s">
        <v>16</v>
      </c>
      <c r="J5486" t="s">
        <v>180</v>
      </c>
      <c r="K5486" t="s">
        <v>25</v>
      </c>
      <c r="L5486">
        <v>132757294</v>
      </c>
      <c r="R5486">
        <v>9584</v>
      </c>
      <c r="S5486" t="s">
        <v>233</v>
      </c>
      <c r="T5486">
        <v>3</v>
      </c>
      <c r="U5486">
        <v>2</v>
      </c>
      <c r="V5486">
        <v>1.5248999999999999</v>
      </c>
      <c r="W5486">
        <v>1.5248999999999999</v>
      </c>
      <c r="X5486">
        <v>0</v>
      </c>
    </row>
    <row r="5487" spans="1:40" x14ac:dyDescent="0.25">
      <c r="A5487" t="s">
        <v>15</v>
      </c>
      <c r="B5487" t="s">
        <v>24</v>
      </c>
      <c r="C5487">
        <v>20150316</v>
      </c>
      <c r="D5487">
        <v>0</v>
      </c>
      <c r="F5487">
        <v>62500</v>
      </c>
      <c r="G5487" t="s">
        <v>17</v>
      </c>
      <c r="I5487" t="s">
        <v>16</v>
      </c>
      <c r="J5487" t="s">
        <v>180</v>
      </c>
      <c r="K5487" t="s">
        <v>25</v>
      </c>
      <c r="L5487">
        <v>132757294</v>
      </c>
      <c r="R5487">
        <v>9584</v>
      </c>
      <c r="S5487" t="s">
        <v>233</v>
      </c>
      <c r="T5487">
        <v>3</v>
      </c>
      <c r="U5487">
        <v>2</v>
      </c>
      <c r="V5487">
        <v>1.5248999999999999</v>
      </c>
      <c r="W5487">
        <v>1.5248999999999999</v>
      </c>
      <c r="X5487">
        <v>0</v>
      </c>
    </row>
    <row r="5488" spans="1:40" x14ac:dyDescent="0.25">
      <c r="A5488" t="s">
        <v>15</v>
      </c>
      <c r="B5488" t="s">
        <v>24</v>
      </c>
      <c r="C5488">
        <v>20150316</v>
      </c>
      <c r="D5488">
        <v>0</v>
      </c>
      <c r="F5488">
        <v>62500</v>
      </c>
      <c r="G5488" t="s">
        <v>17</v>
      </c>
      <c r="I5488" t="s">
        <v>16</v>
      </c>
      <c r="J5488" t="s">
        <v>180</v>
      </c>
      <c r="K5488" t="s">
        <v>25</v>
      </c>
      <c r="L5488">
        <v>132757294</v>
      </c>
      <c r="R5488">
        <v>9584</v>
      </c>
      <c r="S5488" t="s">
        <v>233</v>
      </c>
      <c r="T5488">
        <v>3</v>
      </c>
      <c r="U5488">
        <v>2</v>
      </c>
      <c r="V5488">
        <v>1.5248999999999999</v>
      </c>
      <c r="W5488">
        <v>1.5248999999999999</v>
      </c>
      <c r="X5488">
        <v>0</v>
      </c>
    </row>
    <row r="5489" spans="1:40" x14ac:dyDescent="0.25">
      <c r="A5489" t="s">
        <v>15</v>
      </c>
      <c r="B5489" t="s">
        <v>24</v>
      </c>
      <c r="C5489">
        <v>20150316</v>
      </c>
      <c r="D5489">
        <v>0</v>
      </c>
      <c r="F5489">
        <v>62500</v>
      </c>
      <c r="G5489" t="s">
        <v>17</v>
      </c>
      <c r="I5489" t="s">
        <v>16</v>
      </c>
      <c r="J5489" t="s">
        <v>180</v>
      </c>
      <c r="K5489" t="s">
        <v>25</v>
      </c>
      <c r="L5489">
        <v>132757294</v>
      </c>
      <c r="R5489">
        <v>9579</v>
      </c>
      <c r="S5489" t="s">
        <v>223</v>
      </c>
      <c r="T5489">
        <v>0</v>
      </c>
      <c r="U5489">
        <v>23</v>
      </c>
      <c r="V5489">
        <v>0</v>
      </c>
      <c r="W5489">
        <v>0</v>
      </c>
      <c r="X5489">
        <v>0</v>
      </c>
    </row>
    <row r="5490" spans="1:40" x14ac:dyDescent="0.25">
      <c r="A5490" t="s">
        <v>15</v>
      </c>
      <c r="B5490" t="s">
        <v>24</v>
      </c>
      <c r="C5490">
        <v>20150316</v>
      </c>
      <c r="D5490">
        <v>0</v>
      </c>
      <c r="F5490">
        <v>62500</v>
      </c>
      <c r="G5490" t="s">
        <v>17</v>
      </c>
      <c r="I5490" t="s">
        <v>16</v>
      </c>
      <c r="J5490" t="s">
        <v>180</v>
      </c>
      <c r="K5490" t="s">
        <v>25</v>
      </c>
      <c r="L5490">
        <v>132757294</v>
      </c>
      <c r="R5490">
        <v>9579</v>
      </c>
      <c r="S5490" t="s">
        <v>224</v>
      </c>
      <c r="T5490">
        <v>0</v>
      </c>
      <c r="U5490">
        <v>23</v>
      </c>
      <c r="V5490">
        <v>0</v>
      </c>
      <c r="W5490">
        <v>0</v>
      </c>
      <c r="X5490">
        <v>0</v>
      </c>
    </row>
    <row r="5491" spans="1:40" x14ac:dyDescent="0.25">
      <c r="A5491" t="s">
        <v>15</v>
      </c>
      <c r="B5491" t="s">
        <v>24</v>
      </c>
      <c r="C5491">
        <v>20150316</v>
      </c>
      <c r="D5491">
        <v>0</v>
      </c>
      <c r="F5491">
        <v>62500</v>
      </c>
      <c r="G5491" t="s">
        <v>17</v>
      </c>
      <c r="I5491" t="s">
        <v>16</v>
      </c>
      <c r="J5491" t="s">
        <v>180</v>
      </c>
      <c r="K5491" t="s">
        <v>25</v>
      </c>
      <c r="L5491">
        <v>132757294</v>
      </c>
      <c r="R5491">
        <v>9580</v>
      </c>
      <c r="S5491" t="s">
        <v>223</v>
      </c>
      <c r="T5491">
        <v>0</v>
      </c>
      <c r="U5491">
        <v>24</v>
      </c>
      <c r="V5491">
        <v>0</v>
      </c>
      <c r="W5491">
        <v>0</v>
      </c>
      <c r="X5491">
        <v>0</v>
      </c>
    </row>
    <row r="5492" spans="1:40" x14ac:dyDescent="0.25">
      <c r="A5492" t="s">
        <v>15</v>
      </c>
      <c r="B5492" t="s">
        <v>24</v>
      </c>
      <c r="C5492">
        <v>20150316</v>
      </c>
      <c r="D5492">
        <v>0</v>
      </c>
      <c r="F5492">
        <v>62500</v>
      </c>
      <c r="G5492" t="s">
        <v>17</v>
      </c>
      <c r="I5492" t="s">
        <v>16</v>
      </c>
      <c r="J5492" t="s">
        <v>180</v>
      </c>
      <c r="K5492" t="s">
        <v>25</v>
      </c>
      <c r="L5492">
        <v>132757294</v>
      </c>
      <c r="R5492">
        <v>9580</v>
      </c>
      <c r="S5492" t="s">
        <v>224</v>
      </c>
      <c r="T5492">
        <v>0</v>
      </c>
      <c r="U5492">
        <v>24</v>
      </c>
      <c r="V5492">
        <v>0</v>
      </c>
      <c r="W5492">
        <v>0</v>
      </c>
      <c r="X5492">
        <v>0</v>
      </c>
    </row>
    <row r="5493" spans="1:40" x14ac:dyDescent="0.25">
      <c r="A5493" t="s">
        <v>15</v>
      </c>
      <c r="B5493" t="s">
        <v>24</v>
      </c>
      <c r="C5493">
        <v>20150316</v>
      </c>
      <c r="D5493">
        <v>0</v>
      </c>
      <c r="F5493">
        <v>62500</v>
      </c>
      <c r="G5493" t="s">
        <v>17</v>
      </c>
      <c r="I5493" t="s">
        <v>16</v>
      </c>
      <c r="J5493" t="s">
        <v>180</v>
      </c>
      <c r="K5493" t="s">
        <v>25</v>
      </c>
      <c r="L5493">
        <v>132757294</v>
      </c>
      <c r="R5493">
        <v>9585</v>
      </c>
      <c r="S5493" t="s">
        <v>232</v>
      </c>
      <c r="T5493">
        <v>0</v>
      </c>
      <c r="U5493">
        <v>14</v>
      </c>
      <c r="V5493">
        <v>0</v>
      </c>
      <c r="W5493">
        <v>0</v>
      </c>
      <c r="X5493">
        <v>0</v>
      </c>
    </row>
    <row r="5494" spans="1:40" x14ac:dyDescent="0.25">
      <c r="A5494" t="s">
        <v>15</v>
      </c>
      <c r="B5494" t="s">
        <v>24</v>
      </c>
      <c r="C5494">
        <v>20150316</v>
      </c>
      <c r="D5494">
        <v>0</v>
      </c>
      <c r="F5494">
        <v>62500</v>
      </c>
      <c r="G5494" t="s">
        <v>17</v>
      </c>
      <c r="I5494" t="s">
        <v>16</v>
      </c>
      <c r="J5494" t="s">
        <v>180</v>
      </c>
      <c r="K5494" t="s">
        <v>25</v>
      </c>
      <c r="L5494">
        <v>132757294</v>
      </c>
      <c r="R5494">
        <v>9585</v>
      </c>
      <c r="S5494" t="s">
        <v>192</v>
      </c>
      <c r="T5494">
        <v>0</v>
      </c>
      <c r="U5494">
        <v>14</v>
      </c>
      <c r="V5494">
        <v>0</v>
      </c>
      <c r="W5494">
        <v>0</v>
      </c>
      <c r="X5494">
        <v>0</v>
      </c>
    </row>
    <row r="5495" spans="1:40" x14ac:dyDescent="0.25">
      <c r="A5495" t="s">
        <v>15</v>
      </c>
      <c r="B5495" t="s">
        <v>24</v>
      </c>
      <c r="C5495">
        <v>20150316</v>
      </c>
      <c r="D5495">
        <v>0</v>
      </c>
      <c r="F5495">
        <v>62500</v>
      </c>
      <c r="G5495" t="s">
        <v>17</v>
      </c>
      <c r="I5495" t="s">
        <v>16</v>
      </c>
      <c r="J5495" t="s">
        <v>180</v>
      </c>
      <c r="K5495" t="s">
        <v>25</v>
      </c>
      <c r="L5495">
        <v>132757294</v>
      </c>
      <c r="R5495">
        <v>9584</v>
      </c>
      <c r="S5495" t="s">
        <v>233</v>
      </c>
      <c r="T5495">
        <v>3</v>
      </c>
      <c r="U5495">
        <v>2</v>
      </c>
      <c r="V5495">
        <v>1.5248999999999999</v>
      </c>
      <c r="W5495">
        <v>1.5248999999999999</v>
      </c>
      <c r="X5495">
        <v>0</v>
      </c>
      <c r="Y5495">
        <v>9584</v>
      </c>
      <c r="Z5495" t="s">
        <v>323</v>
      </c>
      <c r="AA5495" t="s">
        <v>324</v>
      </c>
      <c r="AB5495" t="s">
        <v>234</v>
      </c>
      <c r="AC5495" t="s">
        <v>17</v>
      </c>
      <c r="AD5495" t="s">
        <v>237</v>
      </c>
      <c r="AE5495">
        <v>2</v>
      </c>
      <c r="AF5495">
        <v>5</v>
      </c>
      <c r="AG5495">
        <v>1.5247999999999999</v>
      </c>
      <c r="AH5495">
        <v>1.5248600000000001</v>
      </c>
      <c r="AI5495">
        <v>415886617</v>
      </c>
      <c r="AJ5495">
        <v>0</v>
      </c>
      <c r="AK5495">
        <v>7</v>
      </c>
      <c r="AN5495">
        <v>0</v>
      </c>
    </row>
    <row r="5496" spans="1:40" x14ac:dyDescent="0.25">
      <c r="A5496" t="s">
        <v>15</v>
      </c>
      <c r="B5496" t="s">
        <v>24</v>
      </c>
      <c r="C5496">
        <v>20150316</v>
      </c>
      <c r="D5496">
        <v>0</v>
      </c>
      <c r="F5496">
        <v>62500</v>
      </c>
      <c r="G5496" t="s">
        <v>17</v>
      </c>
      <c r="I5496" t="s">
        <v>16</v>
      </c>
      <c r="J5496" t="s">
        <v>180</v>
      </c>
      <c r="K5496" t="s">
        <v>25</v>
      </c>
      <c r="L5496">
        <v>132757294</v>
      </c>
      <c r="R5496">
        <v>9584</v>
      </c>
      <c r="S5496" t="s">
        <v>233</v>
      </c>
      <c r="T5496">
        <v>3</v>
      </c>
      <c r="U5496">
        <v>2</v>
      </c>
      <c r="V5496">
        <v>1.5248999999999999</v>
      </c>
      <c r="W5496">
        <v>1.5248999999999999</v>
      </c>
      <c r="X5496">
        <v>0</v>
      </c>
    </row>
    <row r="5497" spans="1:40" x14ac:dyDescent="0.25">
      <c r="A5497" t="s">
        <v>15</v>
      </c>
      <c r="B5497" t="s">
        <v>24</v>
      </c>
      <c r="C5497">
        <v>20150316</v>
      </c>
      <c r="D5497">
        <v>0</v>
      </c>
      <c r="F5497">
        <v>62500</v>
      </c>
      <c r="G5497" t="s">
        <v>17</v>
      </c>
      <c r="I5497" t="s">
        <v>16</v>
      </c>
      <c r="J5497" t="s">
        <v>180</v>
      </c>
      <c r="K5497" t="s">
        <v>25</v>
      </c>
      <c r="L5497">
        <v>132757294</v>
      </c>
      <c r="R5497">
        <v>9584</v>
      </c>
      <c r="S5497" t="s">
        <v>37</v>
      </c>
      <c r="T5497">
        <v>5</v>
      </c>
      <c r="U5497">
        <v>0</v>
      </c>
      <c r="V5497">
        <v>1.5248600000000001</v>
      </c>
      <c r="W5497">
        <v>1.5247999999999999</v>
      </c>
      <c r="X5497">
        <v>0</v>
      </c>
    </row>
    <row r="5498" spans="1:40" x14ac:dyDescent="0.25">
      <c r="A5498" t="s">
        <v>15</v>
      </c>
      <c r="B5498" t="s">
        <v>24</v>
      </c>
      <c r="C5498">
        <v>20150316</v>
      </c>
      <c r="D5498">
        <v>0</v>
      </c>
      <c r="F5498">
        <v>62500</v>
      </c>
      <c r="G5498" t="s">
        <v>17</v>
      </c>
      <c r="I5498" t="s">
        <v>16</v>
      </c>
      <c r="J5498" t="s">
        <v>180</v>
      </c>
      <c r="K5498" t="s">
        <v>25</v>
      </c>
      <c r="L5498">
        <v>132757294</v>
      </c>
      <c r="R5498">
        <v>9584</v>
      </c>
      <c r="S5498" t="s">
        <v>37</v>
      </c>
      <c r="T5498">
        <v>5</v>
      </c>
      <c r="U5498">
        <v>0</v>
      </c>
      <c r="V5498">
        <v>1.5248600000000001</v>
      </c>
      <c r="W5498">
        <v>1.5247999999999999</v>
      </c>
      <c r="X5498">
        <v>0</v>
      </c>
    </row>
    <row r="5499" spans="1:40" x14ac:dyDescent="0.25">
      <c r="A5499" t="s">
        <v>15</v>
      </c>
      <c r="B5499" t="s">
        <v>24</v>
      </c>
      <c r="C5499">
        <v>20150316</v>
      </c>
      <c r="D5499">
        <v>0</v>
      </c>
      <c r="F5499">
        <v>62500</v>
      </c>
      <c r="G5499" t="s">
        <v>17</v>
      </c>
      <c r="I5499" t="s">
        <v>16</v>
      </c>
      <c r="J5499" t="s">
        <v>180</v>
      </c>
      <c r="K5499" t="s">
        <v>25</v>
      </c>
      <c r="L5499">
        <v>132757294</v>
      </c>
      <c r="R5499">
        <v>9586</v>
      </c>
      <c r="S5499" t="s">
        <v>232</v>
      </c>
      <c r="T5499">
        <v>0</v>
      </c>
      <c r="U5499">
        <v>-5</v>
      </c>
      <c r="V5499">
        <v>0</v>
      </c>
      <c r="W5499">
        <v>0</v>
      </c>
      <c r="X5499">
        <v>0</v>
      </c>
    </row>
    <row r="5500" spans="1:40" x14ac:dyDescent="0.25">
      <c r="A5500" t="s">
        <v>15</v>
      </c>
      <c r="B5500" t="s">
        <v>24</v>
      </c>
      <c r="C5500">
        <v>20150316</v>
      </c>
      <c r="D5500">
        <v>0</v>
      </c>
      <c r="F5500">
        <v>62500</v>
      </c>
      <c r="G5500" t="s">
        <v>17</v>
      </c>
      <c r="I5500" t="s">
        <v>16</v>
      </c>
      <c r="J5500" t="s">
        <v>180</v>
      </c>
      <c r="K5500" t="s">
        <v>25</v>
      </c>
      <c r="L5500">
        <v>132757294</v>
      </c>
      <c r="R5500">
        <v>9584</v>
      </c>
      <c r="S5500" t="s">
        <v>37</v>
      </c>
      <c r="T5500">
        <v>5</v>
      </c>
      <c r="U5500">
        <v>0</v>
      </c>
      <c r="V5500">
        <v>1.5248600000000001</v>
      </c>
      <c r="W5500">
        <v>1.5247999999999999</v>
      </c>
      <c r="X5500">
        <v>0</v>
      </c>
    </row>
    <row r="5501" spans="1:40" x14ac:dyDescent="0.25">
      <c r="A5501" t="s">
        <v>15</v>
      </c>
      <c r="B5501" t="s">
        <v>24</v>
      </c>
      <c r="C5501">
        <v>20150316</v>
      </c>
      <c r="D5501">
        <v>0</v>
      </c>
      <c r="F5501">
        <v>62500</v>
      </c>
      <c r="G5501" t="s">
        <v>17</v>
      </c>
      <c r="I5501" t="s">
        <v>16</v>
      </c>
      <c r="J5501" t="s">
        <v>180</v>
      </c>
      <c r="K5501" t="s">
        <v>25</v>
      </c>
      <c r="L5501">
        <v>132757294</v>
      </c>
      <c r="R5501">
        <v>9584</v>
      </c>
      <c r="S5501" t="s">
        <v>37</v>
      </c>
      <c r="T5501">
        <v>5</v>
      </c>
      <c r="U5501">
        <v>0</v>
      </c>
      <c r="V5501">
        <v>1.5248600000000001</v>
      </c>
      <c r="W5501">
        <v>1.5247999999999999</v>
      </c>
      <c r="X5501">
        <v>0</v>
      </c>
    </row>
    <row r="5502" spans="1:40" x14ac:dyDescent="0.25">
      <c r="A5502" t="s">
        <v>15</v>
      </c>
      <c r="B5502" t="s">
        <v>24</v>
      </c>
      <c r="C5502">
        <v>20150316</v>
      </c>
      <c r="D5502">
        <v>0</v>
      </c>
      <c r="F5502">
        <v>62500</v>
      </c>
      <c r="G5502" t="s">
        <v>17</v>
      </c>
      <c r="I5502" t="s">
        <v>16</v>
      </c>
      <c r="J5502" t="s">
        <v>180</v>
      </c>
      <c r="K5502" t="s">
        <v>25</v>
      </c>
      <c r="L5502">
        <v>132757294</v>
      </c>
      <c r="R5502">
        <v>9584</v>
      </c>
      <c r="S5502" t="s">
        <v>37</v>
      </c>
      <c r="T5502">
        <v>5</v>
      </c>
      <c r="U5502">
        <v>0</v>
      </c>
      <c r="V5502">
        <v>1.5248600000000001</v>
      </c>
      <c r="W5502">
        <v>1.5247999999999999</v>
      </c>
      <c r="X5502">
        <v>0</v>
      </c>
    </row>
    <row r="5503" spans="1:40" x14ac:dyDescent="0.25">
      <c r="A5503" t="s">
        <v>15</v>
      </c>
      <c r="B5503" t="s">
        <v>24</v>
      </c>
      <c r="C5503">
        <v>20150316</v>
      </c>
      <c r="D5503">
        <v>0</v>
      </c>
      <c r="F5503">
        <v>62500</v>
      </c>
      <c r="G5503" t="s">
        <v>17</v>
      </c>
      <c r="I5503" t="s">
        <v>16</v>
      </c>
      <c r="J5503" t="s">
        <v>180</v>
      </c>
      <c r="K5503" t="s">
        <v>25</v>
      </c>
      <c r="L5503">
        <v>132757294</v>
      </c>
      <c r="R5503">
        <v>9587</v>
      </c>
      <c r="S5503" t="s">
        <v>232</v>
      </c>
      <c r="T5503">
        <v>0</v>
      </c>
      <c r="U5503">
        <v>-13</v>
      </c>
      <c r="V5503">
        <v>0</v>
      </c>
      <c r="W5503">
        <v>0</v>
      </c>
      <c r="X5503">
        <v>0</v>
      </c>
    </row>
    <row r="5504" spans="1:40" x14ac:dyDescent="0.25">
      <c r="A5504" t="s">
        <v>15</v>
      </c>
      <c r="B5504" t="s">
        <v>24</v>
      </c>
      <c r="C5504">
        <v>20150316</v>
      </c>
      <c r="D5504">
        <v>0</v>
      </c>
      <c r="F5504">
        <v>62500</v>
      </c>
      <c r="G5504" t="s">
        <v>17</v>
      </c>
      <c r="I5504" t="s">
        <v>16</v>
      </c>
      <c r="J5504" t="s">
        <v>180</v>
      </c>
      <c r="K5504" t="s">
        <v>25</v>
      </c>
      <c r="L5504">
        <v>132757294</v>
      </c>
      <c r="R5504">
        <v>9586</v>
      </c>
      <c r="S5504" t="s">
        <v>232</v>
      </c>
      <c r="T5504">
        <v>0</v>
      </c>
      <c r="U5504">
        <v>-5</v>
      </c>
      <c r="V5504">
        <v>0</v>
      </c>
      <c r="W5504">
        <v>0</v>
      </c>
      <c r="X5504">
        <v>0</v>
      </c>
      <c r="Y5504">
        <v>9586</v>
      </c>
      <c r="Z5504" t="s">
        <v>325</v>
      </c>
      <c r="AA5504" t="s">
        <v>326</v>
      </c>
      <c r="AB5504" t="s">
        <v>234</v>
      </c>
      <c r="AC5504" t="s">
        <v>17</v>
      </c>
      <c r="AD5504" t="s">
        <v>237</v>
      </c>
      <c r="AE5504">
        <v>5</v>
      </c>
      <c r="AF5504">
        <v>5</v>
      </c>
      <c r="AG5504">
        <v>1.5247999999999999</v>
      </c>
      <c r="AH5504">
        <v>1.5247999999999999</v>
      </c>
      <c r="AI5504">
        <v>415886619</v>
      </c>
      <c r="AJ5504">
        <v>0</v>
      </c>
      <c r="AK5504">
        <v>7</v>
      </c>
      <c r="AN5504">
        <v>0</v>
      </c>
    </row>
    <row r="5505" spans="1:40" x14ac:dyDescent="0.25">
      <c r="A5505" t="s">
        <v>15</v>
      </c>
      <c r="B5505" t="s">
        <v>24</v>
      </c>
      <c r="C5505">
        <v>20150316</v>
      </c>
      <c r="D5505">
        <v>0</v>
      </c>
      <c r="F5505">
        <v>62500</v>
      </c>
      <c r="G5505" t="s">
        <v>17</v>
      </c>
      <c r="I5505" t="s">
        <v>16</v>
      </c>
      <c r="J5505" t="s">
        <v>180</v>
      </c>
      <c r="K5505" t="s">
        <v>25</v>
      </c>
      <c r="L5505">
        <v>132757294</v>
      </c>
      <c r="R5505">
        <v>9586</v>
      </c>
      <c r="S5505" t="s">
        <v>232</v>
      </c>
      <c r="T5505">
        <v>0</v>
      </c>
      <c r="U5505">
        <v>-5</v>
      </c>
      <c r="V5505">
        <v>0</v>
      </c>
      <c r="W5505">
        <v>0</v>
      </c>
      <c r="X5505">
        <v>0</v>
      </c>
    </row>
    <row r="5506" spans="1:40" x14ac:dyDescent="0.25">
      <c r="A5506" t="s">
        <v>15</v>
      </c>
      <c r="B5506" t="s">
        <v>24</v>
      </c>
      <c r="C5506">
        <v>20150316</v>
      </c>
      <c r="D5506">
        <v>0</v>
      </c>
      <c r="F5506">
        <v>62500</v>
      </c>
      <c r="G5506" t="s">
        <v>17</v>
      </c>
      <c r="I5506" t="s">
        <v>16</v>
      </c>
      <c r="J5506" t="s">
        <v>180</v>
      </c>
      <c r="K5506" t="s">
        <v>25</v>
      </c>
      <c r="L5506">
        <v>132757294</v>
      </c>
      <c r="R5506">
        <v>9586</v>
      </c>
      <c r="S5506" t="s">
        <v>37</v>
      </c>
      <c r="T5506">
        <v>5</v>
      </c>
      <c r="U5506">
        <v>0</v>
      </c>
      <c r="V5506">
        <v>1.5247999999999999</v>
      </c>
      <c r="W5506">
        <v>1.5247999999999999</v>
      </c>
      <c r="X5506">
        <v>0</v>
      </c>
    </row>
    <row r="5507" spans="1:40" x14ac:dyDescent="0.25">
      <c r="A5507" t="s">
        <v>15</v>
      </c>
      <c r="B5507" t="s">
        <v>24</v>
      </c>
      <c r="C5507">
        <v>20150316</v>
      </c>
      <c r="D5507">
        <v>0</v>
      </c>
      <c r="F5507">
        <v>62500</v>
      </c>
      <c r="G5507" t="s">
        <v>17</v>
      </c>
      <c r="I5507" t="s">
        <v>16</v>
      </c>
      <c r="J5507" t="s">
        <v>180</v>
      </c>
      <c r="K5507" t="s">
        <v>25</v>
      </c>
      <c r="L5507">
        <v>132757294</v>
      </c>
      <c r="R5507">
        <v>9586</v>
      </c>
      <c r="S5507" t="s">
        <v>37</v>
      </c>
      <c r="T5507">
        <v>5</v>
      </c>
      <c r="U5507">
        <v>0</v>
      </c>
      <c r="V5507">
        <v>1.5247999999999999</v>
      </c>
      <c r="W5507">
        <v>1.5247999999999999</v>
      </c>
      <c r="X5507">
        <v>0</v>
      </c>
    </row>
    <row r="5508" spans="1:40" x14ac:dyDescent="0.25">
      <c r="A5508" t="s">
        <v>15</v>
      </c>
      <c r="B5508" t="s">
        <v>24</v>
      </c>
      <c r="C5508">
        <v>20150316</v>
      </c>
      <c r="D5508">
        <v>0</v>
      </c>
      <c r="F5508">
        <v>62500</v>
      </c>
      <c r="G5508" t="s">
        <v>17</v>
      </c>
      <c r="I5508" t="s">
        <v>16</v>
      </c>
      <c r="J5508" t="s">
        <v>180</v>
      </c>
      <c r="K5508" t="s">
        <v>25</v>
      </c>
      <c r="L5508">
        <v>132757294</v>
      </c>
      <c r="R5508">
        <v>9586</v>
      </c>
      <c r="S5508" t="s">
        <v>37</v>
      </c>
      <c r="T5508">
        <v>5</v>
      </c>
      <c r="U5508">
        <v>0</v>
      </c>
      <c r="V5508">
        <v>1.5247999999999999</v>
      </c>
      <c r="W5508">
        <v>1.5247999999999999</v>
      </c>
      <c r="X5508">
        <v>0</v>
      </c>
    </row>
    <row r="5509" spans="1:40" x14ac:dyDescent="0.25">
      <c r="A5509" t="s">
        <v>15</v>
      </c>
      <c r="B5509" t="s">
        <v>24</v>
      </c>
      <c r="C5509">
        <v>20150316</v>
      </c>
      <c r="D5509">
        <v>0</v>
      </c>
      <c r="F5509">
        <v>62500</v>
      </c>
      <c r="G5509" t="s">
        <v>17</v>
      </c>
      <c r="I5509" t="s">
        <v>16</v>
      </c>
      <c r="J5509" t="s">
        <v>180</v>
      </c>
      <c r="K5509" t="s">
        <v>25</v>
      </c>
      <c r="L5509">
        <v>132757294</v>
      </c>
      <c r="R5509">
        <v>9586</v>
      </c>
      <c r="S5509" t="s">
        <v>37</v>
      </c>
      <c r="T5509">
        <v>5</v>
      </c>
      <c r="U5509">
        <v>0</v>
      </c>
      <c r="V5509">
        <v>1.5247999999999999</v>
      </c>
      <c r="W5509">
        <v>1.5247999999999999</v>
      </c>
      <c r="X5509">
        <v>0</v>
      </c>
    </row>
    <row r="5510" spans="1:40" x14ac:dyDescent="0.25">
      <c r="A5510" t="s">
        <v>15</v>
      </c>
      <c r="B5510" t="s">
        <v>24</v>
      </c>
      <c r="C5510">
        <v>20150316</v>
      </c>
      <c r="D5510">
        <v>0</v>
      </c>
      <c r="F5510">
        <v>62500</v>
      </c>
      <c r="G5510" t="s">
        <v>17</v>
      </c>
      <c r="I5510" t="s">
        <v>16</v>
      </c>
      <c r="J5510" t="s">
        <v>180</v>
      </c>
      <c r="K5510" t="s">
        <v>25</v>
      </c>
      <c r="L5510">
        <v>132757294</v>
      </c>
      <c r="R5510">
        <v>9586</v>
      </c>
      <c r="S5510" t="s">
        <v>37</v>
      </c>
      <c r="T5510">
        <v>5</v>
      </c>
      <c r="U5510">
        <v>0</v>
      </c>
      <c r="V5510">
        <v>1.5247999999999999</v>
      </c>
      <c r="W5510">
        <v>1.5247999999999999</v>
      </c>
      <c r="X5510">
        <v>0</v>
      </c>
    </row>
    <row r="5511" spans="1:40" x14ac:dyDescent="0.25">
      <c r="A5511" t="s">
        <v>15</v>
      </c>
      <c r="B5511" t="s">
        <v>24</v>
      </c>
      <c r="C5511">
        <v>20150316</v>
      </c>
      <c r="D5511">
        <v>0</v>
      </c>
      <c r="F5511">
        <v>62500</v>
      </c>
      <c r="G5511" t="s">
        <v>17</v>
      </c>
      <c r="I5511" t="s">
        <v>16</v>
      </c>
      <c r="J5511" t="s">
        <v>180</v>
      </c>
      <c r="K5511" t="s">
        <v>25</v>
      </c>
      <c r="L5511">
        <v>132757294</v>
      </c>
      <c r="R5511">
        <v>9586</v>
      </c>
      <c r="S5511" t="s">
        <v>37</v>
      </c>
      <c r="T5511">
        <v>5</v>
      </c>
      <c r="U5511">
        <v>0</v>
      </c>
      <c r="V5511">
        <v>1.5247999999999999</v>
      </c>
      <c r="W5511">
        <v>1.5247999999999999</v>
      </c>
      <c r="X5511">
        <v>0</v>
      </c>
    </row>
    <row r="5512" spans="1:40" x14ac:dyDescent="0.25">
      <c r="A5512" t="s">
        <v>15</v>
      </c>
      <c r="B5512" t="s">
        <v>24</v>
      </c>
      <c r="C5512">
        <v>20150316</v>
      </c>
      <c r="D5512">
        <v>0</v>
      </c>
      <c r="F5512">
        <v>62500</v>
      </c>
      <c r="G5512" t="s">
        <v>17</v>
      </c>
      <c r="I5512" t="s">
        <v>16</v>
      </c>
      <c r="J5512" t="s">
        <v>180</v>
      </c>
      <c r="K5512" t="s">
        <v>25</v>
      </c>
      <c r="L5512">
        <v>132757294</v>
      </c>
      <c r="R5512">
        <v>9586</v>
      </c>
      <c r="S5512" t="s">
        <v>37</v>
      </c>
      <c r="T5512">
        <v>5</v>
      </c>
      <c r="U5512">
        <v>0</v>
      </c>
      <c r="V5512">
        <v>1.5247999999999999</v>
      </c>
      <c r="W5512">
        <v>1.5247999999999999</v>
      </c>
      <c r="X5512">
        <v>0</v>
      </c>
    </row>
    <row r="5513" spans="1:40" x14ac:dyDescent="0.25">
      <c r="A5513" t="s">
        <v>15</v>
      </c>
      <c r="B5513" t="s">
        <v>24</v>
      </c>
      <c r="C5513">
        <v>20150316</v>
      </c>
      <c r="D5513">
        <v>0</v>
      </c>
      <c r="F5513">
        <v>62500</v>
      </c>
      <c r="G5513" t="s">
        <v>17</v>
      </c>
      <c r="I5513" t="s">
        <v>16</v>
      </c>
      <c r="J5513" t="s">
        <v>180</v>
      </c>
      <c r="K5513" t="s">
        <v>25</v>
      </c>
      <c r="L5513">
        <v>132757294</v>
      </c>
      <c r="R5513">
        <v>9586</v>
      </c>
      <c r="S5513" t="s">
        <v>37</v>
      </c>
      <c r="T5513">
        <v>5</v>
      </c>
      <c r="U5513">
        <v>0</v>
      </c>
      <c r="V5513">
        <v>1.5247999999999999</v>
      </c>
      <c r="W5513">
        <v>1.5247999999999999</v>
      </c>
      <c r="X5513">
        <v>0</v>
      </c>
    </row>
    <row r="5514" spans="1:40" x14ac:dyDescent="0.25">
      <c r="A5514" t="s">
        <v>15</v>
      </c>
      <c r="B5514" t="s">
        <v>24</v>
      </c>
      <c r="C5514">
        <v>20150316</v>
      </c>
      <c r="D5514">
        <v>0</v>
      </c>
      <c r="F5514">
        <v>62500</v>
      </c>
      <c r="G5514" t="s">
        <v>17</v>
      </c>
      <c r="I5514" t="s">
        <v>16</v>
      </c>
      <c r="J5514" t="s">
        <v>180</v>
      </c>
      <c r="K5514" t="s">
        <v>25</v>
      </c>
      <c r="L5514">
        <v>132757294</v>
      </c>
      <c r="R5514">
        <v>9587</v>
      </c>
      <c r="S5514" t="s">
        <v>232</v>
      </c>
      <c r="T5514">
        <v>0</v>
      </c>
      <c r="U5514">
        <v>-13</v>
      </c>
      <c r="V5514">
        <v>0</v>
      </c>
      <c r="W5514">
        <v>0</v>
      </c>
      <c r="X5514">
        <v>0</v>
      </c>
    </row>
    <row r="5515" spans="1:40" x14ac:dyDescent="0.25">
      <c r="A5515" t="s">
        <v>15</v>
      </c>
      <c r="B5515" t="s">
        <v>24</v>
      </c>
      <c r="C5515">
        <v>20150316</v>
      </c>
      <c r="D5515">
        <v>0</v>
      </c>
      <c r="F5515">
        <v>62500</v>
      </c>
      <c r="G5515" t="s">
        <v>17</v>
      </c>
      <c r="I5515" t="s">
        <v>16</v>
      </c>
      <c r="J5515" t="s">
        <v>180</v>
      </c>
      <c r="K5515" t="s">
        <v>25</v>
      </c>
      <c r="L5515">
        <v>132757294</v>
      </c>
      <c r="R5515">
        <v>9587</v>
      </c>
      <c r="S5515" t="s">
        <v>192</v>
      </c>
      <c r="T5515">
        <v>0</v>
      </c>
      <c r="U5515">
        <v>13</v>
      </c>
      <c r="V5515">
        <v>0</v>
      </c>
      <c r="W5515">
        <v>0</v>
      </c>
      <c r="X5515">
        <v>0</v>
      </c>
    </row>
    <row r="5516" spans="1:40" x14ac:dyDescent="0.25">
      <c r="A5516" t="s">
        <v>15</v>
      </c>
      <c r="B5516" t="s">
        <v>24</v>
      </c>
      <c r="C5516">
        <v>20150316</v>
      </c>
      <c r="D5516">
        <v>0</v>
      </c>
      <c r="F5516">
        <v>62500</v>
      </c>
      <c r="G5516" t="s">
        <v>17</v>
      </c>
      <c r="I5516" t="s">
        <v>16</v>
      </c>
      <c r="J5516" t="s">
        <v>180</v>
      </c>
      <c r="K5516" t="s">
        <v>25</v>
      </c>
      <c r="L5516">
        <v>132757294</v>
      </c>
      <c r="R5516">
        <v>9588</v>
      </c>
      <c r="S5516" t="s">
        <v>232</v>
      </c>
      <c r="T5516">
        <v>0</v>
      </c>
      <c r="U5516">
        <v>-5</v>
      </c>
      <c r="V5516">
        <v>0</v>
      </c>
      <c r="W5516">
        <v>0</v>
      </c>
      <c r="X5516">
        <v>0</v>
      </c>
    </row>
    <row r="5517" spans="1:40" x14ac:dyDescent="0.25">
      <c r="A5517" t="s">
        <v>15</v>
      </c>
      <c r="B5517" t="s">
        <v>24</v>
      </c>
      <c r="C5517">
        <v>20150316</v>
      </c>
      <c r="D5517">
        <v>0</v>
      </c>
      <c r="F5517">
        <v>62500</v>
      </c>
      <c r="G5517" t="s">
        <v>17</v>
      </c>
      <c r="I5517" t="s">
        <v>16</v>
      </c>
      <c r="J5517" t="s">
        <v>180</v>
      </c>
      <c r="K5517" t="s">
        <v>25</v>
      </c>
      <c r="L5517">
        <v>132757294</v>
      </c>
      <c r="R5517">
        <v>9588</v>
      </c>
      <c r="S5517" t="s">
        <v>232</v>
      </c>
      <c r="T5517">
        <v>0</v>
      </c>
      <c r="U5517">
        <v>-5</v>
      </c>
      <c r="V5517">
        <v>0</v>
      </c>
      <c r="W5517">
        <v>0</v>
      </c>
      <c r="X5517">
        <v>0</v>
      </c>
      <c r="Y5517">
        <v>9588</v>
      </c>
      <c r="Z5517" t="s">
        <v>327</v>
      </c>
      <c r="AA5517" t="s">
        <v>328</v>
      </c>
      <c r="AB5517" t="s">
        <v>234</v>
      </c>
      <c r="AC5517" t="s">
        <v>17</v>
      </c>
      <c r="AD5517" t="s">
        <v>237</v>
      </c>
      <c r="AE5517">
        <v>5</v>
      </c>
      <c r="AF5517">
        <v>5</v>
      </c>
      <c r="AG5517">
        <v>1.5246999999999999</v>
      </c>
      <c r="AH5517">
        <v>1.5246999999999999</v>
      </c>
      <c r="AI5517">
        <v>415886621</v>
      </c>
      <c r="AJ5517">
        <v>0</v>
      </c>
      <c r="AK5517">
        <v>7</v>
      </c>
      <c r="AN5517">
        <v>0</v>
      </c>
    </row>
    <row r="5518" spans="1:40" x14ac:dyDescent="0.25">
      <c r="A5518" t="s">
        <v>15</v>
      </c>
      <c r="B5518" t="s">
        <v>24</v>
      </c>
      <c r="C5518">
        <v>20150316</v>
      </c>
      <c r="D5518">
        <v>0</v>
      </c>
      <c r="F5518">
        <v>62500</v>
      </c>
      <c r="G5518" t="s">
        <v>17</v>
      </c>
      <c r="I5518" t="s">
        <v>16</v>
      </c>
      <c r="J5518" t="s">
        <v>180</v>
      </c>
      <c r="K5518" t="s">
        <v>25</v>
      </c>
      <c r="L5518">
        <v>132757294</v>
      </c>
      <c r="R5518">
        <v>9588</v>
      </c>
      <c r="S5518" t="s">
        <v>232</v>
      </c>
      <c r="T5518">
        <v>0</v>
      </c>
      <c r="U5518">
        <v>-5</v>
      </c>
      <c r="V5518">
        <v>0</v>
      </c>
      <c r="W5518">
        <v>0</v>
      </c>
      <c r="X5518">
        <v>0</v>
      </c>
    </row>
    <row r="5519" spans="1:40" x14ac:dyDescent="0.25">
      <c r="A5519" t="s">
        <v>15</v>
      </c>
      <c r="B5519" t="s">
        <v>24</v>
      </c>
      <c r="C5519">
        <v>20150316</v>
      </c>
      <c r="D5519">
        <v>0</v>
      </c>
      <c r="F5519">
        <v>62500</v>
      </c>
      <c r="G5519" t="s">
        <v>17</v>
      </c>
      <c r="I5519" t="s">
        <v>16</v>
      </c>
      <c r="J5519" t="s">
        <v>180</v>
      </c>
      <c r="K5519" t="s">
        <v>25</v>
      </c>
      <c r="L5519">
        <v>132757294</v>
      </c>
      <c r="R5519">
        <v>9588</v>
      </c>
      <c r="S5519" t="s">
        <v>37</v>
      </c>
      <c r="T5519">
        <v>5</v>
      </c>
      <c r="U5519">
        <v>0</v>
      </c>
      <c r="V5519">
        <v>1.5246999999999999</v>
      </c>
      <c r="W5519">
        <v>1.5246999999999999</v>
      </c>
      <c r="X5519">
        <v>0</v>
      </c>
    </row>
    <row r="5520" spans="1:40" x14ac:dyDescent="0.25">
      <c r="A5520" t="s">
        <v>15</v>
      </c>
      <c r="B5520" t="s">
        <v>24</v>
      </c>
      <c r="C5520">
        <v>20150316</v>
      </c>
      <c r="D5520">
        <v>0</v>
      </c>
      <c r="F5520">
        <v>62500</v>
      </c>
      <c r="G5520" t="s">
        <v>17</v>
      </c>
      <c r="I5520" t="s">
        <v>16</v>
      </c>
      <c r="J5520" t="s">
        <v>180</v>
      </c>
      <c r="K5520" t="s">
        <v>25</v>
      </c>
      <c r="L5520">
        <v>132757294</v>
      </c>
      <c r="R5520">
        <v>9588</v>
      </c>
      <c r="S5520" t="s">
        <v>37</v>
      </c>
      <c r="T5520">
        <v>5</v>
      </c>
      <c r="U5520">
        <v>0</v>
      </c>
      <c r="V5520">
        <v>1.5246999999999999</v>
      </c>
      <c r="W5520">
        <v>1.5246999999999999</v>
      </c>
      <c r="X5520">
        <v>0</v>
      </c>
    </row>
    <row r="5521" spans="1:40" x14ac:dyDescent="0.25">
      <c r="A5521" t="s">
        <v>15</v>
      </c>
      <c r="B5521" t="s">
        <v>24</v>
      </c>
      <c r="C5521">
        <v>20150316</v>
      </c>
      <c r="D5521">
        <v>0</v>
      </c>
      <c r="F5521">
        <v>62500</v>
      </c>
      <c r="G5521" t="s">
        <v>17</v>
      </c>
      <c r="I5521" t="s">
        <v>16</v>
      </c>
      <c r="J5521" t="s">
        <v>180</v>
      </c>
      <c r="K5521" t="s">
        <v>25</v>
      </c>
      <c r="L5521">
        <v>132757294</v>
      </c>
      <c r="R5521">
        <v>9588</v>
      </c>
      <c r="S5521" t="s">
        <v>37</v>
      </c>
      <c r="T5521">
        <v>5</v>
      </c>
      <c r="U5521">
        <v>0</v>
      </c>
      <c r="V5521">
        <v>1.5246999999999999</v>
      </c>
      <c r="W5521">
        <v>1.5246999999999999</v>
      </c>
      <c r="X5521">
        <v>0</v>
      </c>
    </row>
    <row r="5522" spans="1:40" x14ac:dyDescent="0.25">
      <c r="A5522" t="s">
        <v>15</v>
      </c>
      <c r="B5522" t="s">
        <v>24</v>
      </c>
      <c r="C5522">
        <v>20150316</v>
      </c>
      <c r="D5522">
        <v>0</v>
      </c>
      <c r="F5522">
        <v>62500</v>
      </c>
      <c r="G5522" t="s">
        <v>17</v>
      </c>
      <c r="I5522" t="s">
        <v>16</v>
      </c>
      <c r="J5522" t="s">
        <v>180</v>
      </c>
      <c r="K5522" t="s">
        <v>25</v>
      </c>
      <c r="L5522">
        <v>132757294</v>
      </c>
      <c r="R5522">
        <v>9588</v>
      </c>
      <c r="S5522" t="s">
        <v>37</v>
      </c>
      <c r="T5522">
        <v>5</v>
      </c>
      <c r="U5522">
        <v>0</v>
      </c>
      <c r="V5522">
        <v>1.5246999999999999</v>
      </c>
      <c r="W5522">
        <v>1.5246999999999999</v>
      </c>
      <c r="X5522">
        <v>0</v>
      </c>
    </row>
    <row r="5523" spans="1:40" x14ac:dyDescent="0.25">
      <c r="A5523" t="s">
        <v>15</v>
      </c>
      <c r="B5523" t="s">
        <v>24</v>
      </c>
      <c r="C5523">
        <v>20150316</v>
      </c>
      <c r="D5523">
        <v>0</v>
      </c>
      <c r="F5523">
        <v>62500</v>
      </c>
      <c r="G5523" t="s">
        <v>17</v>
      </c>
      <c r="I5523" t="s">
        <v>16</v>
      </c>
      <c r="J5523" t="s">
        <v>180</v>
      </c>
      <c r="K5523" t="s">
        <v>25</v>
      </c>
      <c r="L5523">
        <v>132757294</v>
      </c>
      <c r="R5523">
        <v>9588</v>
      </c>
      <c r="S5523" t="s">
        <v>37</v>
      </c>
      <c r="T5523">
        <v>5</v>
      </c>
      <c r="U5523">
        <v>0</v>
      </c>
      <c r="V5523">
        <v>1.5246999999999999</v>
      </c>
      <c r="W5523">
        <v>1.5246999999999999</v>
      </c>
      <c r="X5523">
        <v>0</v>
      </c>
    </row>
    <row r="5524" spans="1:40" x14ac:dyDescent="0.25">
      <c r="A5524" t="s">
        <v>15</v>
      </c>
      <c r="B5524" t="s">
        <v>24</v>
      </c>
      <c r="C5524">
        <v>20150316</v>
      </c>
      <c r="D5524">
        <v>0</v>
      </c>
      <c r="F5524">
        <v>62500</v>
      </c>
      <c r="G5524" t="s">
        <v>17</v>
      </c>
      <c r="I5524" t="s">
        <v>16</v>
      </c>
      <c r="J5524" t="s">
        <v>180</v>
      </c>
      <c r="K5524" t="s">
        <v>25</v>
      </c>
      <c r="L5524">
        <v>132757294</v>
      </c>
      <c r="R5524">
        <v>9588</v>
      </c>
      <c r="S5524" t="s">
        <v>37</v>
      </c>
      <c r="T5524">
        <v>5</v>
      </c>
      <c r="U5524">
        <v>0</v>
      </c>
      <c r="V5524">
        <v>1.5246999999999999</v>
      </c>
      <c r="W5524">
        <v>1.5246999999999999</v>
      </c>
      <c r="X5524">
        <v>0</v>
      </c>
    </row>
    <row r="5525" spans="1:40" x14ac:dyDescent="0.25">
      <c r="A5525" t="s">
        <v>15</v>
      </c>
      <c r="B5525" t="s">
        <v>24</v>
      </c>
      <c r="C5525">
        <v>20150316</v>
      </c>
      <c r="D5525">
        <v>0</v>
      </c>
      <c r="F5525">
        <v>62500</v>
      </c>
      <c r="G5525" t="s">
        <v>17</v>
      </c>
      <c r="I5525" t="s">
        <v>16</v>
      </c>
      <c r="J5525" t="s">
        <v>180</v>
      </c>
      <c r="K5525" t="s">
        <v>25</v>
      </c>
      <c r="L5525">
        <v>132757294</v>
      </c>
      <c r="R5525">
        <v>9588</v>
      </c>
      <c r="S5525" t="s">
        <v>37</v>
      </c>
      <c r="T5525">
        <v>5</v>
      </c>
      <c r="U5525">
        <v>0</v>
      </c>
      <c r="V5525">
        <v>1.5246999999999999</v>
      </c>
      <c r="W5525">
        <v>1.5246999999999999</v>
      </c>
      <c r="X5525">
        <v>0</v>
      </c>
    </row>
    <row r="5526" spans="1:40" x14ac:dyDescent="0.25">
      <c r="A5526" t="s">
        <v>15</v>
      </c>
      <c r="B5526" t="s">
        <v>24</v>
      </c>
      <c r="C5526">
        <v>20150316</v>
      </c>
      <c r="D5526">
        <v>0</v>
      </c>
      <c r="F5526">
        <v>62500</v>
      </c>
      <c r="G5526" t="s">
        <v>17</v>
      </c>
      <c r="I5526" t="s">
        <v>16</v>
      </c>
      <c r="J5526" t="s">
        <v>180</v>
      </c>
      <c r="K5526" t="s">
        <v>25</v>
      </c>
      <c r="L5526">
        <v>132757294</v>
      </c>
      <c r="R5526">
        <v>9588</v>
      </c>
      <c r="S5526" t="s">
        <v>37</v>
      </c>
      <c r="T5526">
        <v>5</v>
      </c>
      <c r="U5526">
        <v>0</v>
      </c>
      <c r="V5526">
        <v>1.5246999999999999</v>
      </c>
      <c r="W5526">
        <v>1.5246999999999999</v>
      </c>
      <c r="X5526">
        <v>0</v>
      </c>
    </row>
    <row r="5527" spans="1:40" x14ac:dyDescent="0.25">
      <c r="A5527" t="s">
        <v>15</v>
      </c>
      <c r="B5527" t="s">
        <v>24</v>
      </c>
      <c r="C5527">
        <v>20150316</v>
      </c>
      <c r="D5527">
        <v>0</v>
      </c>
      <c r="F5527">
        <v>62500</v>
      </c>
      <c r="G5527" t="s">
        <v>17</v>
      </c>
      <c r="I5527" t="s">
        <v>16</v>
      </c>
      <c r="J5527" t="s">
        <v>180</v>
      </c>
      <c r="K5527" t="s">
        <v>25</v>
      </c>
      <c r="L5527">
        <v>132757294</v>
      </c>
      <c r="R5527">
        <v>9589</v>
      </c>
      <c r="S5527" t="s">
        <v>232</v>
      </c>
      <c r="T5527">
        <v>0</v>
      </c>
      <c r="U5527">
        <v>-5</v>
      </c>
      <c r="V5527">
        <v>0</v>
      </c>
      <c r="W5527">
        <v>0</v>
      </c>
      <c r="X5527">
        <v>0</v>
      </c>
    </row>
    <row r="5528" spans="1:40" x14ac:dyDescent="0.25">
      <c r="A5528" t="s">
        <v>15</v>
      </c>
      <c r="B5528" t="s">
        <v>24</v>
      </c>
      <c r="C5528">
        <v>20150316</v>
      </c>
      <c r="D5528">
        <v>0</v>
      </c>
      <c r="F5528">
        <v>62500</v>
      </c>
      <c r="G5528" t="s">
        <v>17</v>
      </c>
      <c r="I5528" t="s">
        <v>16</v>
      </c>
      <c r="J5528" t="s">
        <v>180</v>
      </c>
      <c r="K5528" t="s">
        <v>25</v>
      </c>
      <c r="L5528">
        <v>132757294</v>
      </c>
      <c r="R5528">
        <v>9589</v>
      </c>
      <c r="S5528" t="s">
        <v>232</v>
      </c>
      <c r="T5528">
        <v>0</v>
      </c>
      <c r="U5528">
        <v>-5</v>
      </c>
      <c r="V5528">
        <v>0</v>
      </c>
      <c r="W5528">
        <v>0</v>
      </c>
      <c r="X5528">
        <v>0</v>
      </c>
      <c r="Y5528">
        <v>9589</v>
      </c>
      <c r="Z5528" t="s">
        <v>329</v>
      </c>
      <c r="AA5528" t="s">
        <v>330</v>
      </c>
      <c r="AB5528" t="s">
        <v>234</v>
      </c>
      <c r="AC5528" t="s">
        <v>17</v>
      </c>
      <c r="AD5528" t="s">
        <v>237</v>
      </c>
      <c r="AE5528">
        <v>5</v>
      </c>
      <c r="AF5528">
        <v>5</v>
      </c>
      <c r="AG5528">
        <v>1.5246999999999999</v>
      </c>
      <c r="AH5528">
        <v>1.5246999999999999</v>
      </c>
      <c r="AI5528">
        <v>415886622</v>
      </c>
      <c r="AJ5528">
        <v>0</v>
      </c>
      <c r="AK5528">
        <v>7</v>
      </c>
      <c r="AN5528">
        <v>0</v>
      </c>
    </row>
    <row r="5529" spans="1:40" x14ac:dyDescent="0.25">
      <c r="A5529" t="s">
        <v>15</v>
      </c>
      <c r="B5529" t="s">
        <v>24</v>
      </c>
      <c r="C5529">
        <v>20150316</v>
      </c>
      <c r="D5529">
        <v>0</v>
      </c>
      <c r="F5529">
        <v>62500</v>
      </c>
      <c r="G5529" t="s">
        <v>17</v>
      </c>
      <c r="I5529" t="s">
        <v>16</v>
      </c>
      <c r="J5529" t="s">
        <v>180</v>
      </c>
      <c r="K5529" t="s">
        <v>25</v>
      </c>
      <c r="L5529">
        <v>132757294</v>
      </c>
      <c r="R5529">
        <v>9589</v>
      </c>
      <c r="S5529" t="s">
        <v>232</v>
      </c>
      <c r="T5529">
        <v>0</v>
      </c>
      <c r="U5529">
        <v>-5</v>
      </c>
      <c r="V5529">
        <v>0</v>
      </c>
      <c r="W5529">
        <v>0</v>
      </c>
      <c r="X5529">
        <v>0</v>
      </c>
    </row>
    <row r="5530" spans="1:40" x14ac:dyDescent="0.25">
      <c r="A5530" t="s">
        <v>15</v>
      </c>
      <c r="B5530" t="s">
        <v>24</v>
      </c>
      <c r="C5530">
        <v>20150316</v>
      </c>
      <c r="D5530">
        <v>0</v>
      </c>
      <c r="F5530">
        <v>62500</v>
      </c>
      <c r="G5530" t="s">
        <v>17</v>
      </c>
      <c r="I5530" t="s">
        <v>16</v>
      </c>
      <c r="J5530" t="s">
        <v>180</v>
      </c>
      <c r="K5530" t="s">
        <v>25</v>
      </c>
      <c r="L5530">
        <v>132757294</v>
      </c>
      <c r="R5530">
        <v>9589</v>
      </c>
      <c r="S5530" t="s">
        <v>37</v>
      </c>
      <c r="T5530">
        <v>5</v>
      </c>
      <c r="U5530">
        <v>0</v>
      </c>
      <c r="V5530">
        <v>1.5246999999999999</v>
      </c>
      <c r="W5530">
        <v>1.5246999999999999</v>
      </c>
      <c r="X5530">
        <v>0</v>
      </c>
    </row>
    <row r="5531" spans="1:40" x14ac:dyDescent="0.25">
      <c r="A5531" t="s">
        <v>15</v>
      </c>
      <c r="B5531" t="s">
        <v>24</v>
      </c>
      <c r="C5531">
        <v>20150316</v>
      </c>
      <c r="D5531">
        <v>0</v>
      </c>
      <c r="F5531">
        <v>62500</v>
      </c>
      <c r="G5531" t="s">
        <v>17</v>
      </c>
      <c r="I5531" t="s">
        <v>16</v>
      </c>
      <c r="J5531" t="s">
        <v>180</v>
      </c>
      <c r="K5531" t="s">
        <v>25</v>
      </c>
      <c r="L5531">
        <v>132757294</v>
      </c>
      <c r="R5531">
        <v>9589</v>
      </c>
      <c r="S5531" t="s">
        <v>37</v>
      </c>
      <c r="T5531">
        <v>5</v>
      </c>
      <c r="U5531">
        <v>0</v>
      </c>
      <c r="V5531">
        <v>1.5246999999999999</v>
      </c>
      <c r="W5531">
        <v>1.5246999999999999</v>
      </c>
      <c r="X5531">
        <v>0</v>
      </c>
    </row>
    <row r="5532" spans="1:40" x14ac:dyDescent="0.25">
      <c r="A5532" t="s">
        <v>15</v>
      </c>
      <c r="B5532" t="s">
        <v>24</v>
      </c>
      <c r="C5532">
        <v>20150316</v>
      </c>
      <c r="D5532">
        <v>0</v>
      </c>
      <c r="F5532">
        <v>62500</v>
      </c>
      <c r="G5532" t="s">
        <v>17</v>
      </c>
      <c r="I5532" t="s">
        <v>16</v>
      </c>
      <c r="J5532" t="s">
        <v>180</v>
      </c>
      <c r="K5532" t="s">
        <v>25</v>
      </c>
      <c r="L5532">
        <v>132757294</v>
      </c>
      <c r="R5532">
        <v>9589</v>
      </c>
      <c r="S5532" t="s">
        <v>37</v>
      </c>
      <c r="T5532">
        <v>5</v>
      </c>
      <c r="U5532">
        <v>0</v>
      </c>
      <c r="V5532">
        <v>1.5246999999999999</v>
      </c>
      <c r="W5532">
        <v>1.5246999999999999</v>
      </c>
      <c r="X5532">
        <v>0</v>
      </c>
    </row>
    <row r="5533" spans="1:40" x14ac:dyDescent="0.25">
      <c r="A5533" t="s">
        <v>15</v>
      </c>
      <c r="B5533" t="s">
        <v>24</v>
      </c>
      <c r="C5533">
        <v>20150316</v>
      </c>
      <c r="D5533">
        <v>0</v>
      </c>
      <c r="F5533">
        <v>62500</v>
      </c>
      <c r="G5533" t="s">
        <v>17</v>
      </c>
      <c r="I5533" t="s">
        <v>16</v>
      </c>
      <c r="J5533" t="s">
        <v>180</v>
      </c>
      <c r="K5533" t="s">
        <v>25</v>
      </c>
      <c r="L5533">
        <v>132757294</v>
      </c>
      <c r="R5533">
        <v>9589</v>
      </c>
      <c r="S5533" t="s">
        <v>37</v>
      </c>
      <c r="T5533">
        <v>5</v>
      </c>
      <c r="U5533">
        <v>0</v>
      </c>
      <c r="V5533">
        <v>1.5246999999999999</v>
      </c>
      <c r="W5533">
        <v>1.5246999999999999</v>
      </c>
      <c r="X5533">
        <v>0</v>
      </c>
    </row>
    <row r="5534" spans="1:40" x14ac:dyDescent="0.25">
      <c r="A5534" t="s">
        <v>15</v>
      </c>
      <c r="B5534" t="s">
        <v>24</v>
      </c>
      <c r="C5534">
        <v>20150316</v>
      </c>
      <c r="D5534">
        <v>0</v>
      </c>
      <c r="F5534">
        <v>62500</v>
      </c>
      <c r="G5534" t="s">
        <v>17</v>
      </c>
      <c r="I5534" t="s">
        <v>16</v>
      </c>
      <c r="J5534" t="s">
        <v>180</v>
      </c>
      <c r="K5534" t="s">
        <v>25</v>
      </c>
      <c r="L5534">
        <v>132757294</v>
      </c>
      <c r="R5534">
        <v>9589</v>
      </c>
      <c r="S5534" t="s">
        <v>37</v>
      </c>
      <c r="T5534">
        <v>5</v>
      </c>
      <c r="U5534">
        <v>0</v>
      </c>
      <c r="V5534">
        <v>1.5246999999999999</v>
      </c>
      <c r="W5534">
        <v>1.5246999999999999</v>
      </c>
      <c r="X5534">
        <v>0</v>
      </c>
    </row>
    <row r="5535" spans="1:40" x14ac:dyDescent="0.25">
      <c r="A5535" t="s">
        <v>15</v>
      </c>
      <c r="B5535" t="s">
        <v>24</v>
      </c>
      <c r="C5535">
        <v>20150316</v>
      </c>
      <c r="D5535">
        <v>0</v>
      </c>
      <c r="F5535">
        <v>62500</v>
      </c>
      <c r="G5535" t="s">
        <v>17</v>
      </c>
      <c r="I5535" t="s">
        <v>16</v>
      </c>
      <c r="J5535" t="s">
        <v>180</v>
      </c>
      <c r="K5535" t="s">
        <v>25</v>
      </c>
      <c r="L5535">
        <v>132757294</v>
      </c>
      <c r="R5535">
        <v>9589</v>
      </c>
      <c r="S5535" t="s">
        <v>37</v>
      </c>
      <c r="T5535">
        <v>5</v>
      </c>
      <c r="U5535">
        <v>0</v>
      </c>
      <c r="V5535">
        <v>1.5246999999999999</v>
      </c>
      <c r="W5535">
        <v>1.5246999999999999</v>
      </c>
      <c r="X5535">
        <v>0</v>
      </c>
    </row>
    <row r="5536" spans="1:40" x14ac:dyDescent="0.25">
      <c r="A5536" t="s">
        <v>15</v>
      </c>
      <c r="B5536" t="s">
        <v>24</v>
      </c>
      <c r="C5536">
        <v>20150316</v>
      </c>
      <c r="D5536">
        <v>0</v>
      </c>
      <c r="F5536">
        <v>62500</v>
      </c>
      <c r="G5536" t="s">
        <v>17</v>
      </c>
      <c r="I5536" t="s">
        <v>16</v>
      </c>
      <c r="J5536" t="s">
        <v>180</v>
      </c>
      <c r="K5536" t="s">
        <v>25</v>
      </c>
      <c r="L5536">
        <v>132757294</v>
      </c>
      <c r="R5536">
        <v>9589</v>
      </c>
      <c r="S5536" t="s">
        <v>37</v>
      </c>
      <c r="T5536">
        <v>5</v>
      </c>
      <c r="U5536">
        <v>0</v>
      </c>
      <c r="V5536">
        <v>1.5246999999999999</v>
      </c>
      <c r="W5536">
        <v>1.5246999999999999</v>
      </c>
      <c r="X5536">
        <v>0</v>
      </c>
    </row>
    <row r="5537" spans="1:40" x14ac:dyDescent="0.25">
      <c r="A5537" t="s">
        <v>15</v>
      </c>
      <c r="B5537" t="s">
        <v>24</v>
      </c>
      <c r="C5537">
        <v>20150316</v>
      </c>
      <c r="D5537">
        <v>0</v>
      </c>
      <c r="F5537">
        <v>62500</v>
      </c>
      <c r="G5537" t="s">
        <v>17</v>
      </c>
      <c r="I5537" t="s">
        <v>16</v>
      </c>
      <c r="J5537" t="s">
        <v>180</v>
      </c>
      <c r="K5537" t="s">
        <v>25</v>
      </c>
      <c r="L5537">
        <v>132757294</v>
      </c>
      <c r="R5537">
        <v>9589</v>
      </c>
      <c r="S5537" t="s">
        <v>37</v>
      </c>
      <c r="T5537">
        <v>5</v>
      </c>
      <c r="U5537">
        <v>0</v>
      </c>
      <c r="V5537">
        <v>1.5246999999999999</v>
      </c>
      <c r="W5537">
        <v>1.5246999999999999</v>
      </c>
      <c r="X5537">
        <v>0</v>
      </c>
    </row>
    <row r="5538" spans="1:40" x14ac:dyDescent="0.25">
      <c r="A5538" t="s">
        <v>15</v>
      </c>
      <c r="B5538" t="s">
        <v>24</v>
      </c>
      <c r="C5538">
        <v>20150316</v>
      </c>
      <c r="D5538">
        <v>0</v>
      </c>
      <c r="F5538">
        <v>62500</v>
      </c>
      <c r="G5538" t="s">
        <v>17</v>
      </c>
      <c r="I5538" t="s">
        <v>16</v>
      </c>
      <c r="J5538" t="s">
        <v>180</v>
      </c>
      <c r="K5538" t="s">
        <v>25</v>
      </c>
      <c r="L5538">
        <v>132757294</v>
      </c>
      <c r="R5538">
        <v>9590</v>
      </c>
      <c r="S5538" t="s">
        <v>232</v>
      </c>
      <c r="T5538">
        <v>0</v>
      </c>
      <c r="U5538">
        <v>-5</v>
      </c>
      <c r="V5538">
        <v>0</v>
      </c>
      <c r="W5538">
        <v>0</v>
      </c>
      <c r="X5538">
        <v>0</v>
      </c>
    </row>
    <row r="5539" spans="1:40" x14ac:dyDescent="0.25">
      <c r="A5539" t="s">
        <v>15</v>
      </c>
      <c r="B5539" t="s">
        <v>24</v>
      </c>
      <c r="C5539">
        <v>20150316</v>
      </c>
      <c r="D5539">
        <v>0</v>
      </c>
      <c r="F5539">
        <v>62500</v>
      </c>
      <c r="G5539" t="s">
        <v>17</v>
      </c>
      <c r="I5539" t="s">
        <v>16</v>
      </c>
      <c r="J5539" t="s">
        <v>180</v>
      </c>
      <c r="K5539" t="s">
        <v>25</v>
      </c>
      <c r="L5539">
        <v>132757294</v>
      </c>
      <c r="R5539">
        <v>9590</v>
      </c>
      <c r="S5539" t="s">
        <v>232</v>
      </c>
      <c r="T5539">
        <v>0</v>
      </c>
      <c r="U5539">
        <v>-5</v>
      </c>
      <c r="V5539">
        <v>0</v>
      </c>
      <c r="W5539">
        <v>0</v>
      </c>
      <c r="X5539">
        <v>0</v>
      </c>
      <c r="Y5539">
        <v>9590</v>
      </c>
      <c r="Z5539" t="s">
        <v>331</v>
      </c>
      <c r="AA5539" t="s">
        <v>330</v>
      </c>
      <c r="AB5539" t="s">
        <v>234</v>
      </c>
      <c r="AC5539" t="s">
        <v>17</v>
      </c>
      <c r="AD5539" t="s">
        <v>237</v>
      </c>
      <c r="AE5539">
        <v>5</v>
      </c>
      <c r="AF5539">
        <v>5</v>
      </c>
      <c r="AG5539">
        <v>1.5246999999999999</v>
      </c>
      <c r="AH5539">
        <v>1.5246999999999999</v>
      </c>
      <c r="AI5539">
        <v>415886623</v>
      </c>
      <c r="AJ5539">
        <v>0</v>
      </c>
      <c r="AK5539">
        <v>7</v>
      </c>
      <c r="AN5539">
        <v>0</v>
      </c>
    </row>
    <row r="5540" spans="1:40" x14ac:dyDescent="0.25">
      <c r="A5540" t="s">
        <v>15</v>
      </c>
      <c r="B5540" t="s">
        <v>24</v>
      </c>
      <c r="C5540">
        <v>20150316</v>
      </c>
      <c r="D5540">
        <v>0</v>
      </c>
      <c r="F5540">
        <v>62500</v>
      </c>
      <c r="G5540" t="s">
        <v>17</v>
      </c>
      <c r="I5540" t="s">
        <v>16</v>
      </c>
      <c r="J5540" t="s">
        <v>180</v>
      </c>
      <c r="K5540" t="s">
        <v>25</v>
      </c>
      <c r="L5540">
        <v>132757294</v>
      </c>
      <c r="R5540">
        <v>9590</v>
      </c>
      <c r="S5540" t="s">
        <v>232</v>
      </c>
      <c r="T5540">
        <v>0</v>
      </c>
      <c r="U5540">
        <v>-5</v>
      </c>
      <c r="V5540">
        <v>0</v>
      </c>
      <c r="W5540">
        <v>0</v>
      </c>
      <c r="X5540">
        <v>0</v>
      </c>
    </row>
    <row r="5541" spans="1:40" x14ac:dyDescent="0.25">
      <c r="A5541" t="s">
        <v>15</v>
      </c>
      <c r="B5541" t="s">
        <v>24</v>
      </c>
      <c r="C5541">
        <v>20150316</v>
      </c>
      <c r="D5541">
        <v>0</v>
      </c>
      <c r="F5541">
        <v>62500</v>
      </c>
      <c r="G5541" t="s">
        <v>17</v>
      </c>
      <c r="I5541" t="s">
        <v>16</v>
      </c>
      <c r="J5541" t="s">
        <v>180</v>
      </c>
      <c r="K5541" t="s">
        <v>25</v>
      </c>
      <c r="L5541">
        <v>132757294</v>
      </c>
      <c r="R5541">
        <v>9590</v>
      </c>
      <c r="S5541" t="s">
        <v>37</v>
      </c>
      <c r="T5541">
        <v>5</v>
      </c>
      <c r="U5541">
        <v>0</v>
      </c>
      <c r="V5541">
        <v>1.5246999999999999</v>
      </c>
      <c r="W5541">
        <v>1.5246999999999999</v>
      </c>
      <c r="X5541">
        <v>0</v>
      </c>
    </row>
    <row r="5542" spans="1:40" x14ac:dyDescent="0.25">
      <c r="A5542" t="s">
        <v>15</v>
      </c>
      <c r="B5542" t="s">
        <v>24</v>
      </c>
      <c r="C5542">
        <v>20150316</v>
      </c>
      <c r="D5542">
        <v>0</v>
      </c>
      <c r="F5542">
        <v>62500</v>
      </c>
      <c r="G5542" t="s">
        <v>17</v>
      </c>
      <c r="I5542" t="s">
        <v>16</v>
      </c>
      <c r="J5542" t="s">
        <v>180</v>
      </c>
      <c r="K5542" t="s">
        <v>25</v>
      </c>
      <c r="L5542">
        <v>132757294</v>
      </c>
      <c r="R5542">
        <v>9590</v>
      </c>
      <c r="S5542" t="s">
        <v>37</v>
      </c>
      <c r="T5542">
        <v>5</v>
      </c>
      <c r="U5542">
        <v>0</v>
      </c>
      <c r="V5542">
        <v>1.5246999999999999</v>
      </c>
      <c r="W5542">
        <v>1.5246999999999999</v>
      </c>
      <c r="X5542">
        <v>0</v>
      </c>
    </row>
    <row r="5543" spans="1:40" x14ac:dyDescent="0.25">
      <c r="A5543" t="s">
        <v>15</v>
      </c>
      <c r="B5543" t="s">
        <v>24</v>
      </c>
      <c r="C5543">
        <v>20150316</v>
      </c>
      <c r="D5543">
        <v>0</v>
      </c>
      <c r="F5543">
        <v>62500</v>
      </c>
      <c r="G5543" t="s">
        <v>17</v>
      </c>
      <c r="I5543" t="s">
        <v>16</v>
      </c>
      <c r="J5543" t="s">
        <v>180</v>
      </c>
      <c r="K5543" t="s">
        <v>25</v>
      </c>
      <c r="L5543">
        <v>132757294</v>
      </c>
      <c r="R5543">
        <v>9590</v>
      </c>
      <c r="S5543" t="s">
        <v>37</v>
      </c>
      <c r="T5543">
        <v>5</v>
      </c>
      <c r="U5543">
        <v>0</v>
      </c>
      <c r="V5543">
        <v>1.5246999999999999</v>
      </c>
      <c r="W5543">
        <v>1.5246999999999999</v>
      </c>
      <c r="X5543">
        <v>0</v>
      </c>
    </row>
    <row r="5544" spans="1:40" x14ac:dyDescent="0.25">
      <c r="A5544" t="s">
        <v>15</v>
      </c>
      <c r="B5544" t="s">
        <v>24</v>
      </c>
      <c r="C5544">
        <v>20150316</v>
      </c>
      <c r="D5544">
        <v>0</v>
      </c>
      <c r="F5544">
        <v>62500</v>
      </c>
      <c r="G5544" t="s">
        <v>17</v>
      </c>
      <c r="I5544" t="s">
        <v>16</v>
      </c>
      <c r="J5544" t="s">
        <v>180</v>
      </c>
      <c r="K5544" t="s">
        <v>25</v>
      </c>
      <c r="L5544">
        <v>132757294</v>
      </c>
      <c r="R5544">
        <v>9590</v>
      </c>
      <c r="S5544" t="s">
        <v>37</v>
      </c>
      <c r="T5544">
        <v>5</v>
      </c>
      <c r="U5544">
        <v>0</v>
      </c>
      <c r="V5544">
        <v>1.5246999999999999</v>
      </c>
      <c r="W5544">
        <v>1.5246999999999999</v>
      </c>
      <c r="X5544">
        <v>0</v>
      </c>
    </row>
    <row r="5545" spans="1:40" x14ac:dyDescent="0.25">
      <c r="A5545" t="s">
        <v>15</v>
      </c>
      <c r="B5545" t="s">
        <v>24</v>
      </c>
      <c r="C5545">
        <v>20150316</v>
      </c>
      <c r="D5545">
        <v>0</v>
      </c>
      <c r="F5545">
        <v>62500</v>
      </c>
      <c r="G5545" t="s">
        <v>17</v>
      </c>
      <c r="I5545" t="s">
        <v>16</v>
      </c>
      <c r="J5545" t="s">
        <v>180</v>
      </c>
      <c r="K5545" t="s">
        <v>25</v>
      </c>
      <c r="L5545">
        <v>132757294</v>
      </c>
      <c r="R5545">
        <v>9590</v>
      </c>
      <c r="S5545" t="s">
        <v>37</v>
      </c>
      <c r="T5545">
        <v>5</v>
      </c>
      <c r="U5545">
        <v>0</v>
      </c>
      <c r="V5545">
        <v>1.5246999999999999</v>
      </c>
      <c r="W5545">
        <v>1.5246999999999999</v>
      </c>
      <c r="X5545">
        <v>0</v>
      </c>
    </row>
    <row r="5546" spans="1:40" x14ac:dyDescent="0.25">
      <c r="A5546" t="s">
        <v>15</v>
      </c>
      <c r="B5546" t="s">
        <v>24</v>
      </c>
      <c r="C5546">
        <v>20150316</v>
      </c>
      <c r="D5546">
        <v>0</v>
      </c>
      <c r="F5546">
        <v>62500</v>
      </c>
      <c r="G5546" t="s">
        <v>17</v>
      </c>
      <c r="I5546" t="s">
        <v>16</v>
      </c>
      <c r="J5546" t="s">
        <v>180</v>
      </c>
      <c r="K5546" t="s">
        <v>25</v>
      </c>
      <c r="L5546">
        <v>132757294</v>
      </c>
      <c r="R5546">
        <v>9590</v>
      </c>
      <c r="S5546" t="s">
        <v>37</v>
      </c>
      <c r="T5546">
        <v>5</v>
      </c>
      <c r="U5546">
        <v>0</v>
      </c>
      <c r="V5546">
        <v>1.5246999999999999</v>
      </c>
      <c r="W5546">
        <v>1.5246999999999999</v>
      </c>
      <c r="X5546">
        <v>0</v>
      </c>
    </row>
    <row r="5547" spans="1:40" x14ac:dyDescent="0.25">
      <c r="A5547" t="s">
        <v>15</v>
      </c>
      <c r="B5547" t="s">
        <v>24</v>
      </c>
      <c r="C5547">
        <v>20150316</v>
      </c>
      <c r="D5547">
        <v>0</v>
      </c>
      <c r="F5547">
        <v>62500</v>
      </c>
      <c r="G5547" t="s">
        <v>17</v>
      </c>
      <c r="I5547" t="s">
        <v>16</v>
      </c>
      <c r="J5547" t="s">
        <v>180</v>
      </c>
      <c r="K5547" t="s">
        <v>25</v>
      </c>
      <c r="L5547">
        <v>132757294</v>
      </c>
      <c r="R5547">
        <v>9590</v>
      </c>
      <c r="S5547" t="s">
        <v>37</v>
      </c>
      <c r="T5547">
        <v>5</v>
      </c>
      <c r="U5547">
        <v>0</v>
      </c>
      <c r="V5547">
        <v>1.5246999999999999</v>
      </c>
      <c r="W5547">
        <v>1.5246999999999999</v>
      </c>
      <c r="X5547">
        <v>0</v>
      </c>
    </row>
    <row r="5548" spans="1:40" x14ac:dyDescent="0.25">
      <c r="A5548" t="s">
        <v>15</v>
      </c>
      <c r="B5548" t="s">
        <v>24</v>
      </c>
      <c r="C5548">
        <v>20150316</v>
      </c>
      <c r="D5548">
        <v>0</v>
      </c>
      <c r="F5548">
        <v>62500</v>
      </c>
      <c r="G5548" t="s">
        <v>17</v>
      </c>
      <c r="I5548" t="s">
        <v>16</v>
      </c>
      <c r="J5548" t="s">
        <v>180</v>
      </c>
      <c r="K5548" t="s">
        <v>25</v>
      </c>
      <c r="L5548">
        <v>132757294</v>
      </c>
      <c r="R5548">
        <v>9590</v>
      </c>
      <c r="S5548" t="s">
        <v>37</v>
      </c>
      <c r="T5548">
        <v>5</v>
      </c>
      <c r="U5548">
        <v>0</v>
      </c>
      <c r="V5548">
        <v>1.5246999999999999</v>
      </c>
      <c r="W5548">
        <v>1.5246999999999999</v>
      </c>
      <c r="X5548">
        <v>0</v>
      </c>
    </row>
    <row r="5549" spans="1:40" x14ac:dyDescent="0.25">
      <c r="A5549" t="s">
        <v>15</v>
      </c>
      <c r="B5549" t="s">
        <v>24</v>
      </c>
      <c r="C5549">
        <v>20150316</v>
      </c>
      <c r="D5549">
        <v>0</v>
      </c>
      <c r="F5549">
        <v>62500</v>
      </c>
      <c r="G5549" t="s">
        <v>17</v>
      </c>
      <c r="I5549" t="s">
        <v>16</v>
      </c>
      <c r="J5549" t="s">
        <v>180</v>
      </c>
      <c r="K5549" t="s">
        <v>25</v>
      </c>
      <c r="L5549">
        <v>132757294</v>
      </c>
      <c r="R5549">
        <v>9587</v>
      </c>
      <c r="S5549" t="s">
        <v>223</v>
      </c>
      <c r="T5549">
        <v>0</v>
      </c>
      <c r="U5549">
        <v>13</v>
      </c>
      <c r="V5549">
        <v>0</v>
      </c>
      <c r="W5549">
        <v>0</v>
      </c>
      <c r="X5549">
        <v>0</v>
      </c>
    </row>
    <row r="5550" spans="1:40" x14ac:dyDescent="0.25">
      <c r="A5550" t="s">
        <v>15</v>
      </c>
      <c r="B5550" t="s">
        <v>24</v>
      </c>
      <c r="C5550">
        <v>20150316</v>
      </c>
      <c r="D5550">
        <v>0</v>
      </c>
      <c r="F5550">
        <v>62500</v>
      </c>
      <c r="G5550" t="s">
        <v>17</v>
      </c>
      <c r="I5550" t="s">
        <v>16</v>
      </c>
      <c r="J5550" t="s">
        <v>180</v>
      </c>
      <c r="K5550" t="s">
        <v>25</v>
      </c>
      <c r="L5550">
        <v>132757294</v>
      </c>
      <c r="R5550">
        <v>9587</v>
      </c>
      <c r="S5550" t="s">
        <v>224</v>
      </c>
      <c r="T5550">
        <v>0</v>
      </c>
      <c r="U5550">
        <v>13</v>
      </c>
      <c r="V5550">
        <v>0</v>
      </c>
      <c r="W5550">
        <v>0</v>
      </c>
      <c r="X5550">
        <v>0</v>
      </c>
    </row>
    <row r="5551" spans="1:40" x14ac:dyDescent="0.25">
      <c r="A5551" t="s">
        <v>15</v>
      </c>
      <c r="B5551" t="s">
        <v>24</v>
      </c>
      <c r="C5551">
        <v>20150316</v>
      </c>
      <c r="D5551">
        <v>0</v>
      </c>
      <c r="F5551">
        <v>62500</v>
      </c>
      <c r="G5551" t="s">
        <v>17</v>
      </c>
      <c r="I5551" t="s">
        <v>16</v>
      </c>
      <c r="J5551" t="s">
        <v>180</v>
      </c>
      <c r="K5551" t="s">
        <v>25</v>
      </c>
      <c r="L5551">
        <v>132757294</v>
      </c>
      <c r="R5551">
        <v>9591</v>
      </c>
      <c r="S5551" t="s">
        <v>232</v>
      </c>
      <c r="T5551">
        <v>0</v>
      </c>
      <c r="U5551">
        <v>-5</v>
      </c>
      <c r="V5551">
        <v>0</v>
      </c>
      <c r="W5551">
        <v>0</v>
      </c>
      <c r="X5551">
        <v>0</v>
      </c>
    </row>
    <row r="5552" spans="1:40" x14ac:dyDescent="0.25">
      <c r="A5552" t="s">
        <v>15</v>
      </c>
      <c r="B5552" t="s">
        <v>24</v>
      </c>
      <c r="C5552">
        <v>20150316</v>
      </c>
      <c r="D5552">
        <v>0</v>
      </c>
      <c r="F5552">
        <v>62500</v>
      </c>
      <c r="G5552" t="s">
        <v>17</v>
      </c>
      <c r="I5552" t="s">
        <v>16</v>
      </c>
      <c r="J5552" t="s">
        <v>180</v>
      </c>
      <c r="K5552" t="s">
        <v>25</v>
      </c>
      <c r="L5552">
        <v>132757294</v>
      </c>
      <c r="R5552">
        <v>9591</v>
      </c>
      <c r="S5552" t="s">
        <v>232</v>
      </c>
      <c r="T5552">
        <v>0</v>
      </c>
      <c r="U5552">
        <v>-5</v>
      </c>
      <c r="V5552">
        <v>0</v>
      </c>
      <c r="W5552">
        <v>0</v>
      </c>
      <c r="X5552">
        <v>0</v>
      </c>
      <c r="Y5552">
        <v>9591</v>
      </c>
      <c r="Z5552" t="s">
        <v>332</v>
      </c>
      <c r="AA5552" t="s">
        <v>333</v>
      </c>
      <c r="AB5552" t="s">
        <v>234</v>
      </c>
      <c r="AC5552" t="s">
        <v>17</v>
      </c>
      <c r="AD5552" t="s">
        <v>237</v>
      </c>
      <c r="AE5552">
        <v>5</v>
      </c>
      <c r="AF5552">
        <v>5</v>
      </c>
      <c r="AG5552">
        <v>1.5246999999999999</v>
      </c>
      <c r="AH5552">
        <v>1.5246999999999999</v>
      </c>
      <c r="AI5552">
        <v>415886624</v>
      </c>
      <c r="AJ5552">
        <v>0</v>
      </c>
      <c r="AK5552">
        <v>7</v>
      </c>
      <c r="AN5552">
        <v>0</v>
      </c>
    </row>
    <row r="5553" spans="1:40" x14ac:dyDescent="0.25">
      <c r="A5553" t="s">
        <v>15</v>
      </c>
      <c r="B5553" t="s">
        <v>24</v>
      </c>
      <c r="C5553">
        <v>20150316</v>
      </c>
      <c r="D5553">
        <v>0</v>
      </c>
      <c r="F5553">
        <v>62500</v>
      </c>
      <c r="G5553" t="s">
        <v>17</v>
      </c>
      <c r="I5553" t="s">
        <v>16</v>
      </c>
      <c r="J5553" t="s">
        <v>180</v>
      </c>
      <c r="K5553" t="s">
        <v>25</v>
      </c>
      <c r="L5553">
        <v>132757294</v>
      </c>
      <c r="R5553">
        <v>9591</v>
      </c>
      <c r="S5553" t="s">
        <v>232</v>
      </c>
      <c r="T5553">
        <v>0</v>
      </c>
      <c r="U5553">
        <v>-5</v>
      </c>
      <c r="V5553">
        <v>0</v>
      </c>
      <c r="W5553">
        <v>0</v>
      </c>
      <c r="X5553">
        <v>0</v>
      </c>
    </row>
    <row r="5554" spans="1:40" x14ac:dyDescent="0.25">
      <c r="A5554" t="s">
        <v>15</v>
      </c>
      <c r="B5554" t="s">
        <v>24</v>
      </c>
      <c r="C5554">
        <v>20150316</v>
      </c>
      <c r="D5554">
        <v>0</v>
      </c>
      <c r="F5554">
        <v>62500</v>
      </c>
      <c r="G5554" t="s">
        <v>17</v>
      </c>
      <c r="I5554" t="s">
        <v>16</v>
      </c>
      <c r="J5554" t="s">
        <v>180</v>
      </c>
      <c r="K5554" t="s">
        <v>25</v>
      </c>
      <c r="L5554">
        <v>132757294</v>
      </c>
      <c r="R5554">
        <v>9591</v>
      </c>
      <c r="S5554" t="s">
        <v>37</v>
      </c>
      <c r="T5554">
        <v>5</v>
      </c>
      <c r="U5554">
        <v>0</v>
      </c>
      <c r="V5554">
        <v>1.5246999999999999</v>
      </c>
      <c r="W5554">
        <v>1.5246999999999999</v>
      </c>
      <c r="X5554">
        <v>0</v>
      </c>
    </row>
    <row r="5555" spans="1:40" x14ac:dyDescent="0.25">
      <c r="A5555" t="s">
        <v>15</v>
      </c>
      <c r="B5555" t="s">
        <v>24</v>
      </c>
      <c r="C5555">
        <v>20150316</v>
      </c>
      <c r="D5555">
        <v>0</v>
      </c>
      <c r="F5555">
        <v>62500</v>
      </c>
      <c r="G5555" t="s">
        <v>17</v>
      </c>
      <c r="I5555" t="s">
        <v>16</v>
      </c>
      <c r="J5555" t="s">
        <v>180</v>
      </c>
      <c r="K5555" t="s">
        <v>25</v>
      </c>
      <c r="L5555">
        <v>132757294</v>
      </c>
      <c r="R5555">
        <v>9591</v>
      </c>
      <c r="S5555" t="s">
        <v>37</v>
      </c>
      <c r="T5555">
        <v>5</v>
      </c>
      <c r="U5555">
        <v>0</v>
      </c>
      <c r="V5555">
        <v>1.5246999999999999</v>
      </c>
      <c r="W5555">
        <v>1.5246999999999999</v>
      </c>
      <c r="X5555">
        <v>0</v>
      </c>
    </row>
    <row r="5556" spans="1:40" x14ac:dyDescent="0.25">
      <c r="A5556" t="s">
        <v>15</v>
      </c>
      <c r="B5556" t="s">
        <v>24</v>
      </c>
      <c r="C5556">
        <v>20150316</v>
      </c>
      <c r="D5556">
        <v>0</v>
      </c>
      <c r="F5556">
        <v>62500</v>
      </c>
      <c r="G5556" t="s">
        <v>17</v>
      </c>
      <c r="I5556" t="s">
        <v>16</v>
      </c>
      <c r="J5556" t="s">
        <v>180</v>
      </c>
      <c r="K5556" t="s">
        <v>25</v>
      </c>
      <c r="L5556">
        <v>132757294</v>
      </c>
      <c r="R5556">
        <v>9591</v>
      </c>
      <c r="S5556" t="s">
        <v>37</v>
      </c>
      <c r="T5556">
        <v>5</v>
      </c>
      <c r="U5556">
        <v>0</v>
      </c>
      <c r="V5556">
        <v>1.5246999999999999</v>
      </c>
      <c r="W5556">
        <v>1.5246999999999999</v>
      </c>
      <c r="X5556">
        <v>0</v>
      </c>
    </row>
    <row r="5557" spans="1:40" x14ac:dyDescent="0.25">
      <c r="A5557" t="s">
        <v>15</v>
      </c>
      <c r="B5557" t="s">
        <v>24</v>
      </c>
      <c r="C5557">
        <v>20150316</v>
      </c>
      <c r="D5557">
        <v>0</v>
      </c>
      <c r="F5557">
        <v>62500</v>
      </c>
      <c r="G5557" t="s">
        <v>17</v>
      </c>
      <c r="I5557" t="s">
        <v>16</v>
      </c>
      <c r="J5557" t="s">
        <v>180</v>
      </c>
      <c r="K5557" t="s">
        <v>25</v>
      </c>
      <c r="L5557">
        <v>132757294</v>
      </c>
      <c r="R5557">
        <v>9591</v>
      </c>
      <c r="S5557" t="s">
        <v>37</v>
      </c>
      <c r="T5557">
        <v>5</v>
      </c>
      <c r="U5557">
        <v>0</v>
      </c>
      <c r="V5557">
        <v>1.5246999999999999</v>
      </c>
      <c r="W5557">
        <v>1.5246999999999999</v>
      </c>
      <c r="X5557">
        <v>0</v>
      </c>
    </row>
    <row r="5558" spans="1:40" x14ac:dyDescent="0.25">
      <c r="A5558" t="s">
        <v>15</v>
      </c>
      <c r="B5558" t="s">
        <v>24</v>
      </c>
      <c r="C5558">
        <v>20150316</v>
      </c>
      <c r="D5558">
        <v>0</v>
      </c>
      <c r="F5558">
        <v>62500</v>
      </c>
      <c r="G5558" t="s">
        <v>17</v>
      </c>
      <c r="I5558" t="s">
        <v>16</v>
      </c>
      <c r="J5558" t="s">
        <v>180</v>
      </c>
      <c r="K5558" t="s">
        <v>25</v>
      </c>
      <c r="L5558">
        <v>132757294</v>
      </c>
      <c r="R5558">
        <v>9591</v>
      </c>
      <c r="S5558" t="s">
        <v>37</v>
      </c>
      <c r="T5558">
        <v>5</v>
      </c>
      <c r="U5558">
        <v>0</v>
      </c>
      <c r="V5558">
        <v>1.5246999999999999</v>
      </c>
      <c r="W5558">
        <v>1.5246999999999999</v>
      </c>
      <c r="X5558">
        <v>0</v>
      </c>
    </row>
    <row r="5559" spans="1:40" x14ac:dyDescent="0.25">
      <c r="A5559" t="s">
        <v>15</v>
      </c>
      <c r="B5559" t="s">
        <v>24</v>
      </c>
      <c r="C5559">
        <v>20150316</v>
      </c>
      <c r="D5559">
        <v>0</v>
      </c>
      <c r="F5559">
        <v>62500</v>
      </c>
      <c r="G5559" t="s">
        <v>17</v>
      </c>
      <c r="I5559" t="s">
        <v>16</v>
      </c>
      <c r="J5559" t="s">
        <v>180</v>
      </c>
      <c r="K5559" t="s">
        <v>25</v>
      </c>
      <c r="L5559">
        <v>132757294</v>
      </c>
      <c r="R5559">
        <v>9591</v>
      </c>
      <c r="S5559" t="s">
        <v>37</v>
      </c>
      <c r="T5559">
        <v>5</v>
      </c>
      <c r="U5559">
        <v>0</v>
      </c>
      <c r="V5559">
        <v>1.5246999999999999</v>
      </c>
      <c r="W5559">
        <v>1.5246999999999999</v>
      </c>
      <c r="X5559">
        <v>0</v>
      </c>
    </row>
    <row r="5560" spans="1:40" x14ac:dyDescent="0.25">
      <c r="A5560" t="s">
        <v>15</v>
      </c>
      <c r="B5560" t="s">
        <v>24</v>
      </c>
      <c r="C5560">
        <v>20150316</v>
      </c>
      <c r="D5560">
        <v>0</v>
      </c>
      <c r="F5560">
        <v>62500</v>
      </c>
      <c r="G5560" t="s">
        <v>17</v>
      </c>
      <c r="I5560" t="s">
        <v>16</v>
      </c>
      <c r="J5560" t="s">
        <v>180</v>
      </c>
      <c r="K5560" t="s">
        <v>25</v>
      </c>
      <c r="L5560">
        <v>132757294</v>
      </c>
      <c r="R5560">
        <v>9591</v>
      </c>
      <c r="S5560" t="s">
        <v>37</v>
      </c>
      <c r="T5560">
        <v>5</v>
      </c>
      <c r="U5560">
        <v>0</v>
      </c>
      <c r="V5560">
        <v>1.5246999999999999</v>
      </c>
      <c r="W5560">
        <v>1.5246999999999999</v>
      </c>
      <c r="X5560">
        <v>0</v>
      </c>
    </row>
    <row r="5561" spans="1:40" x14ac:dyDescent="0.25">
      <c r="A5561" t="s">
        <v>15</v>
      </c>
      <c r="B5561" t="s">
        <v>24</v>
      </c>
      <c r="C5561">
        <v>20150316</v>
      </c>
      <c r="D5561">
        <v>0</v>
      </c>
      <c r="F5561">
        <v>62500</v>
      </c>
      <c r="G5561" t="s">
        <v>17</v>
      </c>
      <c r="I5561" t="s">
        <v>16</v>
      </c>
      <c r="J5561" t="s">
        <v>180</v>
      </c>
      <c r="K5561" t="s">
        <v>25</v>
      </c>
      <c r="L5561">
        <v>132757294</v>
      </c>
      <c r="R5561">
        <v>9591</v>
      </c>
      <c r="S5561" t="s">
        <v>37</v>
      </c>
      <c r="T5561">
        <v>5</v>
      </c>
      <c r="U5561">
        <v>0</v>
      </c>
      <c r="V5561">
        <v>1.5246999999999999</v>
      </c>
      <c r="W5561">
        <v>1.5246999999999999</v>
      </c>
      <c r="X5561">
        <v>0</v>
      </c>
    </row>
    <row r="5562" spans="1:40" x14ac:dyDescent="0.25">
      <c r="A5562" t="s">
        <v>15</v>
      </c>
      <c r="B5562" t="s">
        <v>24</v>
      </c>
      <c r="C5562">
        <v>20150316</v>
      </c>
      <c r="D5562">
        <v>0</v>
      </c>
      <c r="F5562">
        <v>62500</v>
      </c>
      <c r="G5562" t="s">
        <v>17</v>
      </c>
      <c r="I5562" t="s">
        <v>16</v>
      </c>
      <c r="J5562" t="s">
        <v>180</v>
      </c>
      <c r="K5562" t="s">
        <v>25</v>
      </c>
      <c r="L5562">
        <v>132757294</v>
      </c>
      <c r="R5562">
        <v>9585</v>
      </c>
      <c r="S5562" t="s">
        <v>223</v>
      </c>
      <c r="T5562">
        <v>0</v>
      </c>
      <c r="U5562">
        <v>14</v>
      </c>
      <c r="V5562">
        <v>0</v>
      </c>
      <c r="W5562">
        <v>0</v>
      </c>
      <c r="X5562">
        <v>0</v>
      </c>
    </row>
    <row r="5563" spans="1:40" x14ac:dyDescent="0.25">
      <c r="A5563" t="s">
        <v>15</v>
      </c>
      <c r="B5563" t="s">
        <v>24</v>
      </c>
      <c r="C5563">
        <v>20150316</v>
      </c>
      <c r="D5563">
        <v>0</v>
      </c>
      <c r="F5563">
        <v>62500</v>
      </c>
      <c r="G5563" t="s">
        <v>17</v>
      </c>
      <c r="I5563" t="s">
        <v>16</v>
      </c>
      <c r="J5563" t="s">
        <v>180</v>
      </c>
      <c r="K5563" t="s">
        <v>25</v>
      </c>
      <c r="L5563">
        <v>132757294</v>
      </c>
      <c r="R5563">
        <v>9585</v>
      </c>
      <c r="S5563" t="s">
        <v>224</v>
      </c>
      <c r="T5563">
        <v>0</v>
      </c>
      <c r="U5563">
        <v>14</v>
      </c>
      <c r="V5563">
        <v>0</v>
      </c>
      <c r="W5563">
        <v>0</v>
      </c>
      <c r="X5563">
        <v>0</v>
      </c>
    </row>
    <row r="5564" spans="1:40" x14ac:dyDescent="0.25">
      <c r="A5564" t="s">
        <v>15</v>
      </c>
      <c r="B5564" t="s">
        <v>24</v>
      </c>
      <c r="C5564">
        <v>20150316</v>
      </c>
      <c r="D5564">
        <v>0</v>
      </c>
      <c r="F5564">
        <v>62500</v>
      </c>
      <c r="G5564" t="s">
        <v>17</v>
      </c>
      <c r="I5564" t="s">
        <v>16</v>
      </c>
      <c r="J5564" t="s">
        <v>180</v>
      </c>
      <c r="K5564" t="s">
        <v>25</v>
      </c>
      <c r="L5564">
        <v>132757294</v>
      </c>
      <c r="R5564">
        <v>9592</v>
      </c>
      <c r="S5564" t="s">
        <v>232</v>
      </c>
      <c r="T5564">
        <v>0</v>
      </c>
      <c r="U5564">
        <v>-4</v>
      </c>
      <c r="V5564">
        <v>0</v>
      </c>
      <c r="W5564">
        <v>0</v>
      </c>
      <c r="X5564">
        <v>0</v>
      </c>
    </row>
    <row r="5565" spans="1:40" x14ac:dyDescent="0.25">
      <c r="A5565" t="s">
        <v>15</v>
      </c>
      <c r="B5565" t="s">
        <v>24</v>
      </c>
      <c r="C5565">
        <v>20150316</v>
      </c>
      <c r="D5565">
        <v>0</v>
      </c>
      <c r="F5565">
        <v>62500</v>
      </c>
      <c r="G5565" t="s">
        <v>17</v>
      </c>
      <c r="I5565" t="s">
        <v>16</v>
      </c>
      <c r="J5565" t="s">
        <v>180</v>
      </c>
      <c r="K5565" t="s">
        <v>25</v>
      </c>
      <c r="L5565">
        <v>132757294</v>
      </c>
      <c r="R5565">
        <v>9592</v>
      </c>
      <c r="S5565" t="s">
        <v>232</v>
      </c>
      <c r="T5565">
        <v>0</v>
      </c>
      <c r="U5565">
        <v>-4</v>
      </c>
      <c r="V5565">
        <v>0</v>
      </c>
      <c r="W5565">
        <v>0</v>
      </c>
      <c r="X5565">
        <v>0</v>
      </c>
      <c r="Y5565">
        <v>9592</v>
      </c>
      <c r="Z5565" t="s">
        <v>334</v>
      </c>
      <c r="AA5565" t="s">
        <v>335</v>
      </c>
      <c r="AB5565" t="s">
        <v>234</v>
      </c>
      <c r="AC5565" t="s">
        <v>17</v>
      </c>
      <c r="AD5565" t="s">
        <v>237</v>
      </c>
      <c r="AE5565">
        <v>4</v>
      </c>
      <c r="AF5565">
        <v>4</v>
      </c>
      <c r="AG5565">
        <v>1.5246999999999999</v>
      </c>
      <c r="AH5565">
        <v>1.5246999999999999</v>
      </c>
      <c r="AI5565">
        <v>415886625</v>
      </c>
      <c r="AJ5565">
        <v>0</v>
      </c>
      <c r="AK5565">
        <v>7</v>
      </c>
      <c r="AN5565">
        <v>0</v>
      </c>
    </row>
    <row r="5566" spans="1:40" x14ac:dyDescent="0.25">
      <c r="A5566" t="s">
        <v>15</v>
      </c>
      <c r="B5566" t="s">
        <v>24</v>
      </c>
      <c r="C5566">
        <v>20150316</v>
      </c>
      <c r="D5566">
        <v>0</v>
      </c>
      <c r="F5566">
        <v>62500</v>
      </c>
      <c r="G5566" t="s">
        <v>17</v>
      </c>
      <c r="I5566" t="s">
        <v>16</v>
      </c>
      <c r="J5566" t="s">
        <v>180</v>
      </c>
      <c r="K5566" t="s">
        <v>25</v>
      </c>
      <c r="L5566">
        <v>132757294</v>
      </c>
      <c r="R5566">
        <v>9592</v>
      </c>
      <c r="S5566" t="s">
        <v>232</v>
      </c>
      <c r="T5566">
        <v>0</v>
      </c>
      <c r="U5566">
        <v>-4</v>
      </c>
      <c r="V5566">
        <v>0</v>
      </c>
      <c r="W5566">
        <v>0</v>
      </c>
      <c r="X5566">
        <v>0</v>
      </c>
    </row>
    <row r="5567" spans="1:40" x14ac:dyDescent="0.25">
      <c r="A5567" t="s">
        <v>15</v>
      </c>
      <c r="B5567" t="s">
        <v>24</v>
      </c>
      <c r="C5567">
        <v>20150316</v>
      </c>
      <c r="D5567">
        <v>0</v>
      </c>
      <c r="F5567">
        <v>62500</v>
      </c>
      <c r="G5567" t="s">
        <v>17</v>
      </c>
      <c r="I5567" t="s">
        <v>16</v>
      </c>
      <c r="J5567" t="s">
        <v>180</v>
      </c>
      <c r="K5567" t="s">
        <v>25</v>
      </c>
      <c r="L5567">
        <v>132757294</v>
      </c>
      <c r="R5567">
        <v>9592</v>
      </c>
      <c r="S5567" t="s">
        <v>37</v>
      </c>
      <c r="T5567">
        <v>4</v>
      </c>
      <c r="U5567">
        <v>0</v>
      </c>
      <c r="V5567">
        <v>1.5246999999999999</v>
      </c>
      <c r="W5567">
        <v>1.5246999999999999</v>
      </c>
      <c r="X5567">
        <v>0</v>
      </c>
    </row>
    <row r="5568" spans="1:40" x14ac:dyDescent="0.25">
      <c r="A5568" t="s">
        <v>15</v>
      </c>
      <c r="B5568" t="s">
        <v>24</v>
      </c>
      <c r="C5568">
        <v>20150316</v>
      </c>
      <c r="D5568">
        <v>0</v>
      </c>
      <c r="F5568">
        <v>62500</v>
      </c>
      <c r="G5568" t="s">
        <v>17</v>
      </c>
      <c r="I5568" t="s">
        <v>16</v>
      </c>
      <c r="J5568" t="s">
        <v>180</v>
      </c>
      <c r="K5568" t="s">
        <v>25</v>
      </c>
      <c r="L5568">
        <v>132757294</v>
      </c>
      <c r="R5568">
        <v>9592</v>
      </c>
      <c r="S5568" t="s">
        <v>37</v>
      </c>
      <c r="T5568">
        <v>4</v>
      </c>
      <c r="U5568">
        <v>0</v>
      </c>
      <c r="V5568">
        <v>1.5246999999999999</v>
      </c>
      <c r="W5568">
        <v>1.5246999999999999</v>
      </c>
      <c r="X5568">
        <v>0</v>
      </c>
    </row>
    <row r="5569" spans="1:24" x14ac:dyDescent="0.25">
      <c r="A5569" t="s">
        <v>15</v>
      </c>
      <c r="B5569" t="s">
        <v>24</v>
      </c>
      <c r="C5569">
        <v>20150316</v>
      </c>
      <c r="D5569">
        <v>0</v>
      </c>
      <c r="F5569">
        <v>62500</v>
      </c>
      <c r="G5569" t="s">
        <v>17</v>
      </c>
      <c r="I5569" t="s">
        <v>16</v>
      </c>
      <c r="J5569" t="s">
        <v>180</v>
      </c>
      <c r="K5569" t="s">
        <v>25</v>
      </c>
      <c r="L5569">
        <v>132757294</v>
      </c>
      <c r="R5569">
        <v>9592</v>
      </c>
      <c r="S5569" t="s">
        <v>37</v>
      </c>
      <c r="T5569">
        <v>4</v>
      </c>
      <c r="U5569">
        <v>0</v>
      </c>
      <c r="V5569">
        <v>1.5246999999999999</v>
      </c>
      <c r="W5569">
        <v>1.5246999999999999</v>
      </c>
      <c r="X5569">
        <v>0</v>
      </c>
    </row>
    <row r="5570" spans="1:24" x14ac:dyDescent="0.25">
      <c r="A5570" t="s">
        <v>15</v>
      </c>
      <c r="B5570" t="s">
        <v>24</v>
      </c>
      <c r="C5570">
        <v>20150316</v>
      </c>
      <c r="D5570">
        <v>0</v>
      </c>
      <c r="F5570">
        <v>62500</v>
      </c>
      <c r="G5570" t="s">
        <v>17</v>
      </c>
      <c r="I5570" t="s">
        <v>16</v>
      </c>
      <c r="J5570" t="s">
        <v>180</v>
      </c>
      <c r="K5570" t="s">
        <v>25</v>
      </c>
      <c r="L5570">
        <v>132757294</v>
      </c>
      <c r="R5570">
        <v>9592</v>
      </c>
      <c r="S5570" t="s">
        <v>37</v>
      </c>
      <c r="T5570">
        <v>4</v>
      </c>
      <c r="U5570">
        <v>0</v>
      </c>
      <c r="V5570">
        <v>1.5246999999999999</v>
      </c>
      <c r="W5570">
        <v>1.5246999999999999</v>
      </c>
      <c r="X5570">
        <v>0</v>
      </c>
    </row>
    <row r="5571" spans="1:24" x14ac:dyDescent="0.25">
      <c r="A5571" t="s">
        <v>15</v>
      </c>
      <c r="B5571" t="s">
        <v>24</v>
      </c>
      <c r="C5571">
        <v>20150316</v>
      </c>
      <c r="D5571">
        <v>0</v>
      </c>
      <c r="F5571">
        <v>62500</v>
      </c>
      <c r="G5571" t="s">
        <v>17</v>
      </c>
      <c r="I5571" t="s">
        <v>16</v>
      </c>
      <c r="J5571" t="s">
        <v>180</v>
      </c>
      <c r="K5571" t="s">
        <v>25</v>
      </c>
      <c r="L5571">
        <v>132757294</v>
      </c>
      <c r="R5571">
        <v>9592</v>
      </c>
      <c r="S5571" t="s">
        <v>37</v>
      </c>
      <c r="T5571">
        <v>4</v>
      </c>
      <c r="U5571">
        <v>0</v>
      </c>
      <c r="V5571">
        <v>1.5246999999999999</v>
      </c>
      <c r="W5571">
        <v>1.5246999999999999</v>
      </c>
      <c r="X5571">
        <v>0</v>
      </c>
    </row>
    <row r="5572" spans="1:24" x14ac:dyDescent="0.25">
      <c r="A5572" t="s">
        <v>15</v>
      </c>
      <c r="B5572" t="s">
        <v>24</v>
      </c>
      <c r="C5572">
        <v>20150316</v>
      </c>
      <c r="D5572">
        <v>0</v>
      </c>
      <c r="F5572">
        <v>62500</v>
      </c>
      <c r="G5572" t="s">
        <v>17</v>
      </c>
      <c r="I5572" t="s">
        <v>16</v>
      </c>
      <c r="J5572" t="s">
        <v>180</v>
      </c>
      <c r="K5572" t="s">
        <v>25</v>
      </c>
      <c r="L5572">
        <v>132757294</v>
      </c>
      <c r="R5572">
        <v>9592</v>
      </c>
      <c r="S5572" t="s">
        <v>37</v>
      </c>
      <c r="T5572">
        <v>4</v>
      </c>
      <c r="U5572">
        <v>0</v>
      </c>
      <c r="V5572">
        <v>1.5246999999999999</v>
      </c>
      <c r="W5572">
        <v>1.5246999999999999</v>
      </c>
      <c r="X5572">
        <v>0</v>
      </c>
    </row>
    <row r="5573" spans="1:24" x14ac:dyDescent="0.25">
      <c r="A5573" t="s">
        <v>15</v>
      </c>
      <c r="B5573" t="s">
        <v>24</v>
      </c>
      <c r="C5573">
        <v>20150316</v>
      </c>
      <c r="D5573">
        <v>0</v>
      </c>
      <c r="F5573">
        <v>62500</v>
      </c>
      <c r="G5573" t="s">
        <v>17</v>
      </c>
      <c r="I5573" t="s">
        <v>16</v>
      </c>
      <c r="J5573" t="s">
        <v>180</v>
      </c>
      <c r="K5573" t="s">
        <v>25</v>
      </c>
      <c r="L5573">
        <v>132757294</v>
      </c>
      <c r="R5573">
        <v>9592</v>
      </c>
      <c r="S5573" t="s">
        <v>37</v>
      </c>
      <c r="T5573">
        <v>4</v>
      </c>
      <c r="U5573">
        <v>0</v>
      </c>
      <c r="V5573">
        <v>1.5246999999999999</v>
      </c>
      <c r="W5573">
        <v>1.5246999999999999</v>
      </c>
      <c r="X5573">
        <v>0</v>
      </c>
    </row>
    <row r="5574" spans="1:24" x14ac:dyDescent="0.25">
      <c r="A5574" t="s">
        <v>15</v>
      </c>
      <c r="B5574" t="s">
        <v>24</v>
      </c>
      <c r="C5574">
        <v>20150316</v>
      </c>
      <c r="D5574">
        <v>0</v>
      </c>
      <c r="F5574">
        <v>62500</v>
      </c>
      <c r="G5574" t="s">
        <v>17</v>
      </c>
      <c r="I5574" t="s">
        <v>16</v>
      </c>
      <c r="J5574" t="s">
        <v>180</v>
      </c>
      <c r="K5574" t="s">
        <v>25</v>
      </c>
      <c r="L5574">
        <v>132757294</v>
      </c>
      <c r="R5574">
        <v>9592</v>
      </c>
      <c r="S5574" t="s">
        <v>37</v>
      </c>
      <c r="T5574">
        <v>4</v>
      </c>
      <c r="U5574">
        <v>0</v>
      </c>
      <c r="V5574">
        <v>1.5246999999999999</v>
      </c>
      <c r="W5574">
        <v>1.5246999999999999</v>
      </c>
      <c r="X5574">
        <v>0</v>
      </c>
    </row>
    <row r="5575" spans="1:24" x14ac:dyDescent="0.25">
      <c r="A5575" t="s">
        <v>15</v>
      </c>
      <c r="B5575" t="s">
        <v>24</v>
      </c>
      <c r="C5575">
        <v>20150316</v>
      </c>
      <c r="D5575">
        <v>0</v>
      </c>
      <c r="F5575">
        <v>62500</v>
      </c>
      <c r="G5575" t="s">
        <v>17</v>
      </c>
      <c r="I5575" t="s">
        <v>16</v>
      </c>
      <c r="J5575" t="s">
        <v>180</v>
      </c>
      <c r="K5575" t="s">
        <v>25</v>
      </c>
      <c r="L5575">
        <v>132757294</v>
      </c>
      <c r="R5575">
        <v>9593</v>
      </c>
      <c r="S5575" t="s">
        <v>232</v>
      </c>
      <c r="T5575">
        <v>0</v>
      </c>
      <c r="U5575">
        <v>27</v>
      </c>
      <c r="V5575">
        <v>0</v>
      </c>
      <c r="W5575">
        <v>0</v>
      </c>
      <c r="X5575">
        <v>0</v>
      </c>
    </row>
    <row r="5576" spans="1:24" x14ac:dyDescent="0.25">
      <c r="A5576" t="s">
        <v>15</v>
      </c>
      <c r="B5576" t="s">
        <v>24</v>
      </c>
      <c r="C5576">
        <v>20150316</v>
      </c>
      <c r="D5576">
        <v>0</v>
      </c>
      <c r="F5576">
        <v>62500</v>
      </c>
      <c r="G5576" t="s">
        <v>17</v>
      </c>
      <c r="I5576" t="s">
        <v>16</v>
      </c>
      <c r="J5576" t="s">
        <v>180</v>
      </c>
      <c r="K5576" t="s">
        <v>25</v>
      </c>
      <c r="L5576">
        <v>132757294</v>
      </c>
      <c r="R5576">
        <v>9593</v>
      </c>
      <c r="S5576" t="s">
        <v>232</v>
      </c>
      <c r="T5576">
        <v>0</v>
      </c>
      <c r="U5576">
        <v>27</v>
      </c>
      <c r="V5576">
        <v>0</v>
      </c>
      <c r="W5576">
        <v>0</v>
      </c>
      <c r="X5576">
        <v>0</v>
      </c>
    </row>
    <row r="5577" spans="1:24" x14ac:dyDescent="0.25">
      <c r="A5577" t="s">
        <v>15</v>
      </c>
      <c r="B5577" t="s">
        <v>24</v>
      </c>
      <c r="C5577">
        <v>20150316</v>
      </c>
      <c r="D5577">
        <v>0</v>
      </c>
      <c r="F5577">
        <v>62500</v>
      </c>
      <c r="G5577" t="s">
        <v>17</v>
      </c>
      <c r="I5577" t="s">
        <v>16</v>
      </c>
      <c r="J5577" t="s">
        <v>180</v>
      </c>
      <c r="K5577" t="s">
        <v>25</v>
      </c>
      <c r="L5577">
        <v>132757294</v>
      </c>
      <c r="R5577">
        <v>9593</v>
      </c>
      <c r="S5577" t="s">
        <v>192</v>
      </c>
      <c r="T5577">
        <v>0</v>
      </c>
      <c r="U5577">
        <v>27</v>
      </c>
      <c r="V5577">
        <v>0</v>
      </c>
      <c r="W5577">
        <v>0</v>
      </c>
      <c r="X5577">
        <v>0</v>
      </c>
    </row>
    <row r="5578" spans="1:24" x14ac:dyDescent="0.25">
      <c r="A5578" t="s">
        <v>15</v>
      </c>
      <c r="B5578" t="s">
        <v>24</v>
      </c>
      <c r="C5578">
        <v>20150316</v>
      </c>
      <c r="D5578">
        <v>0</v>
      </c>
      <c r="F5578">
        <v>62500</v>
      </c>
      <c r="G5578" t="s">
        <v>17</v>
      </c>
      <c r="I5578" t="s">
        <v>16</v>
      </c>
      <c r="J5578" t="s">
        <v>180</v>
      </c>
      <c r="K5578" t="s">
        <v>25</v>
      </c>
      <c r="L5578">
        <v>132757294</v>
      </c>
      <c r="R5578">
        <v>9594</v>
      </c>
      <c r="S5578" t="s">
        <v>232</v>
      </c>
      <c r="T5578">
        <v>0</v>
      </c>
      <c r="U5578">
        <v>30</v>
      </c>
      <c r="V5578">
        <v>0</v>
      </c>
      <c r="W5578">
        <v>0</v>
      </c>
      <c r="X5578">
        <v>0</v>
      </c>
    </row>
    <row r="5579" spans="1:24" x14ac:dyDescent="0.25">
      <c r="A5579" t="s">
        <v>15</v>
      </c>
      <c r="B5579" t="s">
        <v>24</v>
      </c>
      <c r="C5579">
        <v>20150316</v>
      </c>
      <c r="D5579">
        <v>0</v>
      </c>
      <c r="F5579">
        <v>62500</v>
      </c>
      <c r="G5579" t="s">
        <v>17</v>
      </c>
      <c r="I5579" t="s">
        <v>16</v>
      </c>
      <c r="J5579" t="s">
        <v>180</v>
      </c>
      <c r="K5579" t="s">
        <v>25</v>
      </c>
      <c r="L5579">
        <v>132757294</v>
      </c>
      <c r="R5579">
        <v>9593</v>
      </c>
      <c r="S5579" t="s">
        <v>223</v>
      </c>
      <c r="T5579">
        <v>0</v>
      </c>
      <c r="U5579">
        <v>27</v>
      </c>
      <c r="V5579">
        <v>0</v>
      </c>
      <c r="W5579">
        <v>0</v>
      </c>
      <c r="X5579">
        <v>0</v>
      </c>
    </row>
    <row r="5580" spans="1:24" x14ac:dyDescent="0.25">
      <c r="A5580" t="s">
        <v>15</v>
      </c>
      <c r="B5580" t="s">
        <v>24</v>
      </c>
      <c r="C5580">
        <v>20150316</v>
      </c>
      <c r="D5580">
        <v>0</v>
      </c>
      <c r="F5580">
        <v>62500</v>
      </c>
      <c r="G5580" t="s">
        <v>17</v>
      </c>
      <c r="I5580" t="s">
        <v>16</v>
      </c>
      <c r="J5580" t="s">
        <v>180</v>
      </c>
      <c r="K5580" t="s">
        <v>25</v>
      </c>
      <c r="L5580">
        <v>132757294</v>
      </c>
      <c r="R5580">
        <v>9593</v>
      </c>
      <c r="S5580" t="s">
        <v>224</v>
      </c>
      <c r="T5580">
        <v>0</v>
      </c>
      <c r="U5580">
        <v>27</v>
      </c>
      <c r="V5580">
        <v>0</v>
      </c>
      <c r="W5580">
        <v>0</v>
      </c>
      <c r="X5580">
        <v>0</v>
      </c>
    </row>
    <row r="5581" spans="1:24" x14ac:dyDescent="0.25">
      <c r="A5581" t="s">
        <v>15</v>
      </c>
      <c r="B5581" t="s">
        <v>24</v>
      </c>
      <c r="C5581">
        <v>20150316</v>
      </c>
      <c r="D5581">
        <v>0</v>
      </c>
      <c r="F5581">
        <v>62500</v>
      </c>
      <c r="G5581" t="s">
        <v>17</v>
      </c>
      <c r="I5581" t="s">
        <v>16</v>
      </c>
      <c r="J5581" t="s">
        <v>180</v>
      </c>
      <c r="K5581" t="s">
        <v>25</v>
      </c>
      <c r="L5581">
        <v>132757294</v>
      </c>
      <c r="R5581">
        <v>9594</v>
      </c>
      <c r="S5581" t="s">
        <v>232</v>
      </c>
      <c r="T5581">
        <v>0</v>
      </c>
      <c r="U5581">
        <v>30</v>
      </c>
      <c r="V5581">
        <v>0</v>
      </c>
      <c r="W5581">
        <v>0</v>
      </c>
      <c r="X5581">
        <v>0</v>
      </c>
    </row>
    <row r="5582" spans="1:24" x14ac:dyDescent="0.25">
      <c r="A5582" t="s">
        <v>15</v>
      </c>
      <c r="B5582" t="s">
        <v>24</v>
      </c>
      <c r="C5582">
        <v>20150316</v>
      </c>
      <c r="D5582">
        <v>0</v>
      </c>
      <c r="F5582">
        <v>62500</v>
      </c>
      <c r="G5582" t="s">
        <v>17</v>
      </c>
      <c r="I5582" t="s">
        <v>16</v>
      </c>
      <c r="J5582" t="s">
        <v>180</v>
      </c>
      <c r="K5582" t="s">
        <v>25</v>
      </c>
      <c r="L5582">
        <v>132757294</v>
      </c>
      <c r="R5582">
        <v>9594</v>
      </c>
      <c r="S5582" t="s">
        <v>192</v>
      </c>
      <c r="T5582">
        <v>0</v>
      </c>
      <c r="U5582">
        <v>30</v>
      </c>
      <c r="V5582">
        <v>0</v>
      </c>
      <c r="W5582">
        <v>0</v>
      </c>
      <c r="X5582">
        <v>0</v>
      </c>
    </row>
    <row r="5583" spans="1:24" x14ac:dyDescent="0.25">
      <c r="A5583" t="s">
        <v>15</v>
      </c>
      <c r="B5583" t="s">
        <v>24</v>
      </c>
      <c r="C5583">
        <v>20150316</v>
      </c>
      <c r="D5583">
        <v>0</v>
      </c>
      <c r="F5583">
        <v>62500</v>
      </c>
      <c r="G5583" t="s">
        <v>17</v>
      </c>
      <c r="I5583" t="s">
        <v>16</v>
      </c>
      <c r="J5583" t="s">
        <v>180</v>
      </c>
      <c r="K5583" t="s">
        <v>25</v>
      </c>
      <c r="L5583">
        <v>132757294</v>
      </c>
      <c r="R5583">
        <v>9595</v>
      </c>
      <c r="S5583" t="s">
        <v>232</v>
      </c>
      <c r="T5583">
        <v>0</v>
      </c>
      <c r="U5583">
        <v>-30</v>
      </c>
      <c r="V5583">
        <v>0</v>
      </c>
      <c r="W5583">
        <v>0</v>
      </c>
      <c r="X5583">
        <v>0</v>
      </c>
    </row>
    <row r="5584" spans="1:24" x14ac:dyDescent="0.25">
      <c r="A5584" t="s">
        <v>15</v>
      </c>
      <c r="B5584" t="s">
        <v>24</v>
      </c>
      <c r="C5584">
        <v>20150316</v>
      </c>
      <c r="D5584">
        <v>0</v>
      </c>
      <c r="F5584">
        <v>62500</v>
      </c>
      <c r="G5584" t="s">
        <v>17</v>
      </c>
      <c r="I5584" t="s">
        <v>16</v>
      </c>
      <c r="J5584" t="s">
        <v>180</v>
      </c>
      <c r="K5584" t="s">
        <v>25</v>
      </c>
      <c r="L5584">
        <v>132757294</v>
      </c>
      <c r="R5584">
        <v>9595</v>
      </c>
      <c r="S5584" t="s">
        <v>232</v>
      </c>
      <c r="T5584">
        <v>0</v>
      </c>
      <c r="U5584">
        <v>-30</v>
      </c>
      <c r="V5584">
        <v>0</v>
      </c>
      <c r="W5584">
        <v>0</v>
      </c>
      <c r="X5584">
        <v>0</v>
      </c>
    </row>
    <row r="5585" spans="1:40" x14ac:dyDescent="0.25">
      <c r="A5585" t="s">
        <v>15</v>
      </c>
      <c r="B5585" t="s">
        <v>24</v>
      </c>
      <c r="C5585">
        <v>20150316</v>
      </c>
      <c r="D5585">
        <v>0</v>
      </c>
      <c r="F5585">
        <v>62500</v>
      </c>
      <c r="G5585" t="s">
        <v>17</v>
      </c>
      <c r="I5585" t="s">
        <v>16</v>
      </c>
      <c r="J5585" t="s">
        <v>180</v>
      </c>
      <c r="K5585" t="s">
        <v>25</v>
      </c>
      <c r="L5585">
        <v>132757294</v>
      </c>
      <c r="R5585">
        <v>9595</v>
      </c>
      <c r="S5585" t="s">
        <v>192</v>
      </c>
      <c r="T5585">
        <v>0</v>
      </c>
      <c r="U5585">
        <v>30</v>
      </c>
      <c r="V5585">
        <v>0</v>
      </c>
      <c r="W5585">
        <v>0</v>
      </c>
      <c r="X5585">
        <v>0</v>
      </c>
    </row>
    <row r="5586" spans="1:40" x14ac:dyDescent="0.25">
      <c r="A5586" t="s">
        <v>15</v>
      </c>
      <c r="B5586" t="s">
        <v>24</v>
      </c>
      <c r="C5586">
        <v>20150316</v>
      </c>
      <c r="D5586">
        <v>0</v>
      </c>
      <c r="F5586">
        <v>62500</v>
      </c>
      <c r="G5586" t="s">
        <v>17</v>
      </c>
      <c r="I5586" t="s">
        <v>16</v>
      </c>
      <c r="J5586" t="s">
        <v>180</v>
      </c>
      <c r="K5586" t="s">
        <v>25</v>
      </c>
      <c r="L5586">
        <v>132757294</v>
      </c>
      <c r="R5586">
        <v>9596</v>
      </c>
      <c r="S5586" t="s">
        <v>232</v>
      </c>
      <c r="T5586">
        <v>0</v>
      </c>
      <c r="U5586">
        <v>5</v>
      </c>
      <c r="V5586">
        <v>0</v>
      </c>
      <c r="W5586">
        <v>0</v>
      </c>
      <c r="X5586">
        <v>0</v>
      </c>
    </row>
    <row r="5587" spans="1:40" x14ac:dyDescent="0.25">
      <c r="A5587" t="s">
        <v>15</v>
      </c>
      <c r="B5587" t="s">
        <v>24</v>
      </c>
      <c r="C5587">
        <v>20150316</v>
      </c>
      <c r="D5587">
        <v>0</v>
      </c>
      <c r="F5587">
        <v>62500</v>
      </c>
      <c r="G5587" t="s">
        <v>17</v>
      </c>
      <c r="I5587" t="s">
        <v>16</v>
      </c>
      <c r="J5587" t="s">
        <v>180</v>
      </c>
      <c r="K5587" t="s">
        <v>25</v>
      </c>
      <c r="L5587">
        <v>132757294</v>
      </c>
      <c r="R5587">
        <v>9596</v>
      </c>
      <c r="S5587" t="s">
        <v>232</v>
      </c>
      <c r="T5587">
        <v>0</v>
      </c>
      <c r="U5587">
        <v>5</v>
      </c>
      <c r="V5587">
        <v>0</v>
      </c>
      <c r="W5587">
        <v>0</v>
      </c>
      <c r="X5587">
        <v>0</v>
      </c>
    </row>
    <row r="5588" spans="1:40" x14ac:dyDescent="0.25">
      <c r="A5588" t="s">
        <v>15</v>
      </c>
      <c r="B5588" t="s">
        <v>24</v>
      </c>
      <c r="C5588">
        <v>20150316</v>
      </c>
      <c r="D5588">
        <v>0</v>
      </c>
      <c r="F5588">
        <v>62500</v>
      </c>
      <c r="G5588" t="s">
        <v>17</v>
      </c>
      <c r="I5588" t="s">
        <v>16</v>
      </c>
      <c r="J5588" t="s">
        <v>180</v>
      </c>
      <c r="K5588" t="s">
        <v>25</v>
      </c>
      <c r="L5588">
        <v>132757294</v>
      </c>
      <c r="R5588">
        <v>9596</v>
      </c>
      <c r="S5588" t="s">
        <v>233</v>
      </c>
      <c r="T5588">
        <v>0</v>
      </c>
      <c r="U5588">
        <v>5</v>
      </c>
      <c r="V5588">
        <v>0</v>
      </c>
      <c r="W5588">
        <v>0</v>
      </c>
      <c r="X5588">
        <v>0</v>
      </c>
    </row>
    <row r="5589" spans="1:40" x14ac:dyDescent="0.25">
      <c r="A5589" t="s">
        <v>15</v>
      </c>
      <c r="B5589" t="s">
        <v>24</v>
      </c>
      <c r="C5589">
        <v>20150316</v>
      </c>
      <c r="D5589">
        <v>0</v>
      </c>
      <c r="F5589">
        <v>62500</v>
      </c>
      <c r="G5589" t="s">
        <v>17</v>
      </c>
      <c r="I5589" t="s">
        <v>16</v>
      </c>
      <c r="J5589" t="s">
        <v>180</v>
      </c>
      <c r="K5589" t="s">
        <v>25</v>
      </c>
      <c r="L5589">
        <v>132757294</v>
      </c>
      <c r="R5589">
        <v>9596</v>
      </c>
      <c r="S5589" t="s">
        <v>223</v>
      </c>
      <c r="T5589">
        <v>0</v>
      </c>
      <c r="U5589">
        <v>5</v>
      </c>
      <c r="V5589">
        <v>0</v>
      </c>
      <c r="W5589">
        <v>0</v>
      </c>
      <c r="X5589">
        <v>0</v>
      </c>
    </row>
    <row r="5590" spans="1:40" x14ac:dyDescent="0.25">
      <c r="A5590" t="s">
        <v>15</v>
      </c>
      <c r="B5590" t="s">
        <v>24</v>
      </c>
      <c r="C5590">
        <v>20150316</v>
      </c>
      <c r="D5590">
        <v>0</v>
      </c>
      <c r="F5590">
        <v>62500</v>
      </c>
      <c r="G5590" t="s">
        <v>17</v>
      </c>
      <c r="I5590" t="s">
        <v>16</v>
      </c>
      <c r="J5590" t="s">
        <v>180</v>
      </c>
      <c r="K5590" t="s">
        <v>25</v>
      </c>
      <c r="L5590">
        <v>132757294</v>
      </c>
      <c r="R5590">
        <v>9596</v>
      </c>
      <c r="S5590" t="s">
        <v>224</v>
      </c>
      <c r="T5590">
        <v>0</v>
      </c>
      <c r="U5590">
        <v>5</v>
      </c>
      <c r="V5590">
        <v>0</v>
      </c>
      <c r="W5590">
        <v>0</v>
      </c>
      <c r="X5590">
        <v>0</v>
      </c>
    </row>
    <row r="5591" spans="1:40" x14ac:dyDescent="0.25">
      <c r="A5591" t="s">
        <v>15</v>
      </c>
      <c r="B5591" t="s">
        <v>24</v>
      </c>
      <c r="C5591">
        <v>20150316</v>
      </c>
      <c r="D5591">
        <v>0</v>
      </c>
      <c r="F5591">
        <v>62500</v>
      </c>
      <c r="G5591" t="s">
        <v>17</v>
      </c>
      <c r="I5591" t="s">
        <v>16</v>
      </c>
      <c r="J5591" t="s">
        <v>180</v>
      </c>
      <c r="K5591" t="s">
        <v>25</v>
      </c>
      <c r="L5591">
        <v>132757294</v>
      </c>
      <c r="R5591">
        <v>9597</v>
      </c>
      <c r="S5591" t="s">
        <v>232</v>
      </c>
      <c r="T5591">
        <v>0</v>
      </c>
      <c r="U5591">
        <v>5</v>
      </c>
      <c r="V5591">
        <v>0</v>
      </c>
      <c r="W5591">
        <v>0</v>
      </c>
      <c r="X5591">
        <v>0</v>
      </c>
    </row>
    <row r="5592" spans="1:40" x14ac:dyDescent="0.25">
      <c r="A5592" t="s">
        <v>15</v>
      </c>
      <c r="B5592" t="s">
        <v>24</v>
      </c>
      <c r="C5592">
        <v>20150316</v>
      </c>
      <c r="D5592">
        <v>0</v>
      </c>
      <c r="F5592">
        <v>62500</v>
      </c>
      <c r="G5592" t="s">
        <v>17</v>
      </c>
      <c r="I5592" t="s">
        <v>16</v>
      </c>
      <c r="J5592" t="s">
        <v>180</v>
      </c>
      <c r="K5592" t="s">
        <v>25</v>
      </c>
      <c r="L5592">
        <v>132757294</v>
      </c>
      <c r="R5592">
        <v>9597</v>
      </c>
      <c r="S5592" t="s">
        <v>232</v>
      </c>
      <c r="T5592">
        <v>0</v>
      </c>
      <c r="U5592">
        <v>5</v>
      </c>
      <c r="V5592">
        <v>0</v>
      </c>
      <c r="W5592">
        <v>0</v>
      </c>
      <c r="X5592">
        <v>0</v>
      </c>
    </row>
    <row r="5593" spans="1:40" x14ac:dyDescent="0.25">
      <c r="A5593" t="s">
        <v>15</v>
      </c>
      <c r="B5593" t="s">
        <v>24</v>
      </c>
      <c r="C5593">
        <v>20150316</v>
      </c>
      <c r="D5593">
        <v>0</v>
      </c>
      <c r="F5593">
        <v>62500</v>
      </c>
      <c r="G5593" t="s">
        <v>17</v>
      </c>
      <c r="I5593" t="s">
        <v>16</v>
      </c>
      <c r="J5593" t="s">
        <v>180</v>
      </c>
      <c r="K5593" t="s">
        <v>25</v>
      </c>
      <c r="L5593">
        <v>132757294</v>
      </c>
      <c r="R5593">
        <v>9597</v>
      </c>
      <c r="S5593" t="s">
        <v>233</v>
      </c>
      <c r="T5593">
        <v>0</v>
      </c>
      <c r="U5593">
        <v>5</v>
      </c>
      <c r="V5593">
        <v>0</v>
      </c>
      <c r="W5593">
        <v>0</v>
      </c>
      <c r="X5593">
        <v>0</v>
      </c>
    </row>
    <row r="5594" spans="1:40" x14ac:dyDescent="0.25">
      <c r="A5594" t="s">
        <v>15</v>
      </c>
      <c r="B5594" t="s">
        <v>24</v>
      </c>
      <c r="C5594">
        <v>20150316</v>
      </c>
      <c r="D5594">
        <v>0</v>
      </c>
      <c r="F5594">
        <v>62500</v>
      </c>
      <c r="G5594" t="s">
        <v>17</v>
      </c>
      <c r="I5594" t="s">
        <v>16</v>
      </c>
      <c r="J5594" t="s">
        <v>180</v>
      </c>
      <c r="K5594" t="s">
        <v>25</v>
      </c>
      <c r="L5594">
        <v>132757294</v>
      </c>
      <c r="R5594">
        <v>9594</v>
      </c>
      <c r="S5594" t="s">
        <v>192</v>
      </c>
      <c r="T5594">
        <v>0</v>
      </c>
      <c r="U5594">
        <v>30</v>
      </c>
      <c r="V5594">
        <v>0</v>
      </c>
      <c r="W5594">
        <v>0</v>
      </c>
      <c r="X5594">
        <v>0</v>
      </c>
    </row>
    <row r="5595" spans="1:40" x14ac:dyDescent="0.25">
      <c r="A5595" t="s">
        <v>15</v>
      </c>
      <c r="B5595" t="s">
        <v>24</v>
      </c>
      <c r="C5595">
        <v>20150316</v>
      </c>
      <c r="D5595">
        <v>0</v>
      </c>
      <c r="F5595">
        <v>62500</v>
      </c>
      <c r="G5595" t="s">
        <v>17</v>
      </c>
      <c r="I5595" t="s">
        <v>16</v>
      </c>
      <c r="J5595" t="s">
        <v>180</v>
      </c>
      <c r="K5595" t="s">
        <v>25</v>
      </c>
      <c r="L5595">
        <v>132757294</v>
      </c>
      <c r="R5595">
        <v>9594</v>
      </c>
      <c r="S5595" t="s">
        <v>192</v>
      </c>
      <c r="T5595">
        <v>0</v>
      </c>
      <c r="U5595">
        <v>30</v>
      </c>
      <c r="V5595">
        <v>0</v>
      </c>
      <c r="W5595">
        <v>0</v>
      </c>
      <c r="X5595">
        <v>0</v>
      </c>
    </row>
    <row r="5596" spans="1:40" x14ac:dyDescent="0.25">
      <c r="A5596" t="s">
        <v>15</v>
      </c>
      <c r="B5596" t="s">
        <v>24</v>
      </c>
      <c r="C5596">
        <v>20150316</v>
      </c>
      <c r="D5596">
        <v>0</v>
      </c>
      <c r="F5596">
        <v>62500</v>
      </c>
      <c r="G5596" t="s">
        <v>17</v>
      </c>
      <c r="I5596" t="s">
        <v>16</v>
      </c>
      <c r="J5596" t="s">
        <v>180</v>
      </c>
      <c r="K5596" t="s">
        <v>25</v>
      </c>
      <c r="L5596">
        <v>132757294</v>
      </c>
      <c r="R5596">
        <v>9594</v>
      </c>
      <c r="S5596" t="s">
        <v>192</v>
      </c>
      <c r="T5596">
        <v>0</v>
      </c>
      <c r="U5596">
        <v>28</v>
      </c>
      <c r="V5596">
        <v>0</v>
      </c>
      <c r="W5596">
        <v>0</v>
      </c>
      <c r="X5596">
        <v>0</v>
      </c>
      <c r="Y5596">
        <v>9594</v>
      </c>
      <c r="Z5596" t="s">
        <v>336</v>
      </c>
      <c r="AA5596" t="s">
        <v>337</v>
      </c>
      <c r="AB5596" t="s">
        <v>234</v>
      </c>
      <c r="AC5596" t="s">
        <v>17</v>
      </c>
      <c r="AD5596" t="s">
        <v>235</v>
      </c>
      <c r="AE5596">
        <v>1</v>
      </c>
      <c r="AF5596">
        <v>1</v>
      </c>
      <c r="AG5596">
        <v>1.5251999999999999</v>
      </c>
      <c r="AH5596">
        <v>1.5251999999999999</v>
      </c>
      <c r="AI5596">
        <v>415886627</v>
      </c>
      <c r="AJ5596">
        <v>0</v>
      </c>
      <c r="AK5596">
        <v>7</v>
      </c>
      <c r="AN5596">
        <v>0</v>
      </c>
    </row>
    <row r="5597" spans="1:40" x14ac:dyDescent="0.25">
      <c r="A5597" t="s">
        <v>15</v>
      </c>
      <c r="B5597" t="s">
        <v>24</v>
      </c>
      <c r="C5597">
        <v>20150316</v>
      </c>
      <c r="D5597">
        <v>0</v>
      </c>
      <c r="F5597">
        <v>62500</v>
      </c>
      <c r="G5597" t="s">
        <v>17</v>
      </c>
      <c r="I5597" t="s">
        <v>16</v>
      </c>
      <c r="J5597" t="s">
        <v>180</v>
      </c>
      <c r="K5597" t="s">
        <v>25</v>
      </c>
      <c r="L5597">
        <v>132757294</v>
      </c>
      <c r="R5597">
        <v>9594</v>
      </c>
      <c r="S5597" t="s">
        <v>192</v>
      </c>
      <c r="T5597">
        <v>0</v>
      </c>
      <c r="U5597">
        <v>28</v>
      </c>
      <c r="V5597">
        <v>0</v>
      </c>
      <c r="W5597">
        <v>0</v>
      </c>
      <c r="X5597">
        <v>0</v>
      </c>
    </row>
    <row r="5598" spans="1:40" x14ac:dyDescent="0.25">
      <c r="A5598" t="s">
        <v>15</v>
      </c>
      <c r="B5598" t="s">
        <v>24</v>
      </c>
      <c r="C5598">
        <v>20150316</v>
      </c>
      <c r="D5598">
        <v>0</v>
      </c>
      <c r="F5598">
        <v>62500</v>
      </c>
      <c r="G5598" t="s">
        <v>17</v>
      </c>
      <c r="I5598" t="s">
        <v>16</v>
      </c>
      <c r="J5598" t="s">
        <v>180</v>
      </c>
      <c r="K5598" t="s">
        <v>25</v>
      </c>
      <c r="L5598">
        <v>132757294</v>
      </c>
      <c r="R5598">
        <v>9594</v>
      </c>
      <c r="S5598" t="s">
        <v>192</v>
      </c>
      <c r="T5598">
        <v>1</v>
      </c>
      <c r="U5598">
        <v>29</v>
      </c>
      <c r="V5598">
        <v>1.5251999999999999</v>
      </c>
      <c r="W5598">
        <v>1.5251999999999999</v>
      </c>
      <c r="X5598">
        <v>0</v>
      </c>
    </row>
    <row r="5599" spans="1:40" x14ac:dyDescent="0.25">
      <c r="A5599" t="s">
        <v>15</v>
      </c>
      <c r="B5599" t="s">
        <v>24</v>
      </c>
      <c r="C5599">
        <v>20150316</v>
      </c>
      <c r="D5599">
        <v>0</v>
      </c>
      <c r="F5599">
        <v>62500</v>
      </c>
      <c r="G5599" t="s">
        <v>17</v>
      </c>
      <c r="I5599" t="s">
        <v>16</v>
      </c>
      <c r="J5599" t="s">
        <v>180</v>
      </c>
      <c r="K5599" t="s">
        <v>25</v>
      </c>
      <c r="L5599">
        <v>132757294</v>
      </c>
      <c r="R5599">
        <v>9594</v>
      </c>
      <c r="S5599" t="s">
        <v>192</v>
      </c>
      <c r="T5599">
        <v>1</v>
      </c>
      <c r="U5599">
        <v>29</v>
      </c>
      <c r="V5599">
        <v>1.5251999999999999</v>
      </c>
      <c r="W5599">
        <v>1.5251999999999999</v>
      </c>
      <c r="X5599">
        <v>0</v>
      </c>
    </row>
    <row r="5600" spans="1:40" x14ac:dyDescent="0.25">
      <c r="A5600" t="s">
        <v>15</v>
      </c>
      <c r="B5600" t="s">
        <v>24</v>
      </c>
      <c r="C5600">
        <v>20150316</v>
      </c>
      <c r="D5600">
        <v>0</v>
      </c>
      <c r="F5600">
        <v>62500</v>
      </c>
      <c r="G5600" t="s">
        <v>17</v>
      </c>
      <c r="I5600" t="s">
        <v>16</v>
      </c>
      <c r="J5600" t="s">
        <v>180</v>
      </c>
      <c r="K5600" t="s">
        <v>25</v>
      </c>
      <c r="L5600">
        <v>132757294</v>
      </c>
      <c r="R5600">
        <v>9594</v>
      </c>
      <c r="S5600" t="s">
        <v>233</v>
      </c>
      <c r="T5600">
        <v>1</v>
      </c>
      <c r="U5600">
        <v>29</v>
      </c>
      <c r="V5600">
        <v>1.5251999999999999</v>
      </c>
      <c r="W5600">
        <v>1.5251999999999999</v>
      </c>
      <c r="X5600">
        <v>0</v>
      </c>
    </row>
    <row r="5601" spans="1:40" x14ac:dyDescent="0.25">
      <c r="A5601" t="s">
        <v>15</v>
      </c>
      <c r="B5601" t="s">
        <v>24</v>
      </c>
      <c r="C5601">
        <v>20150316</v>
      </c>
      <c r="D5601">
        <v>0</v>
      </c>
      <c r="F5601">
        <v>62500</v>
      </c>
      <c r="G5601" t="s">
        <v>17</v>
      </c>
      <c r="I5601" t="s">
        <v>16</v>
      </c>
      <c r="J5601" t="s">
        <v>180</v>
      </c>
      <c r="K5601" t="s">
        <v>25</v>
      </c>
      <c r="L5601">
        <v>132757294</v>
      </c>
      <c r="R5601">
        <v>9594</v>
      </c>
      <c r="S5601" t="s">
        <v>233</v>
      </c>
      <c r="T5601">
        <v>1</v>
      </c>
      <c r="U5601">
        <v>29</v>
      </c>
      <c r="V5601">
        <v>1.5251999999999999</v>
      </c>
      <c r="W5601">
        <v>1.5251999999999999</v>
      </c>
      <c r="X5601">
        <v>0</v>
      </c>
    </row>
    <row r="5602" spans="1:40" x14ac:dyDescent="0.25">
      <c r="A5602" t="s">
        <v>15</v>
      </c>
      <c r="B5602" t="s">
        <v>24</v>
      </c>
      <c r="C5602">
        <v>20150316</v>
      </c>
      <c r="D5602">
        <v>0</v>
      </c>
      <c r="F5602">
        <v>62500</v>
      </c>
      <c r="G5602" t="s">
        <v>17</v>
      </c>
      <c r="I5602" t="s">
        <v>16</v>
      </c>
      <c r="J5602" t="s">
        <v>180</v>
      </c>
      <c r="K5602" t="s">
        <v>25</v>
      </c>
      <c r="L5602">
        <v>132757294</v>
      </c>
      <c r="R5602">
        <v>9594</v>
      </c>
      <c r="S5602" t="s">
        <v>233</v>
      </c>
      <c r="T5602">
        <v>1</v>
      </c>
      <c r="U5602">
        <v>29</v>
      </c>
      <c r="V5602">
        <v>1.5251999999999999</v>
      </c>
      <c r="W5602">
        <v>1.5251999999999999</v>
      </c>
      <c r="X5602">
        <v>0</v>
      </c>
    </row>
    <row r="5603" spans="1:40" x14ac:dyDescent="0.25">
      <c r="A5603" t="s">
        <v>15</v>
      </c>
      <c r="B5603" t="s">
        <v>24</v>
      </c>
      <c r="C5603">
        <v>20150316</v>
      </c>
      <c r="D5603">
        <v>0</v>
      </c>
      <c r="F5603">
        <v>62500</v>
      </c>
      <c r="G5603" t="s">
        <v>17</v>
      </c>
      <c r="I5603" t="s">
        <v>16</v>
      </c>
      <c r="J5603" t="s">
        <v>180</v>
      </c>
      <c r="K5603" t="s">
        <v>25</v>
      </c>
      <c r="L5603">
        <v>132757294</v>
      </c>
      <c r="R5603">
        <v>9594</v>
      </c>
      <c r="S5603" t="s">
        <v>233</v>
      </c>
      <c r="T5603">
        <v>1</v>
      </c>
      <c r="U5603">
        <v>21</v>
      </c>
      <c r="V5603">
        <v>1.5251999999999999</v>
      </c>
      <c r="W5603">
        <v>1.5251999999999999</v>
      </c>
      <c r="X5603">
        <v>0</v>
      </c>
      <c r="Y5603">
        <v>9594</v>
      </c>
      <c r="Z5603" t="s">
        <v>338</v>
      </c>
      <c r="AA5603" t="s">
        <v>337</v>
      </c>
      <c r="AB5603" t="s">
        <v>234</v>
      </c>
      <c r="AC5603" t="s">
        <v>17</v>
      </c>
      <c r="AD5603" t="s">
        <v>235</v>
      </c>
      <c r="AE5603">
        <v>4</v>
      </c>
      <c r="AF5603">
        <v>5</v>
      </c>
      <c r="AG5603">
        <v>1.5262</v>
      </c>
      <c r="AH5603">
        <v>1.526</v>
      </c>
      <c r="AI5603">
        <v>415886627</v>
      </c>
      <c r="AJ5603">
        <v>0</v>
      </c>
      <c r="AK5603">
        <v>7</v>
      </c>
      <c r="AN5603">
        <v>0</v>
      </c>
    </row>
    <row r="5604" spans="1:40" x14ac:dyDescent="0.25">
      <c r="A5604" t="s">
        <v>15</v>
      </c>
      <c r="B5604" t="s">
        <v>24</v>
      </c>
      <c r="C5604">
        <v>20150316</v>
      </c>
      <c r="D5604">
        <v>0</v>
      </c>
      <c r="F5604">
        <v>62500</v>
      </c>
      <c r="G5604" t="s">
        <v>17</v>
      </c>
      <c r="I5604" t="s">
        <v>16</v>
      </c>
      <c r="J5604" t="s">
        <v>180</v>
      </c>
      <c r="K5604" t="s">
        <v>25</v>
      </c>
      <c r="L5604">
        <v>132757294</v>
      </c>
      <c r="R5604">
        <v>9594</v>
      </c>
      <c r="S5604" t="s">
        <v>233</v>
      </c>
      <c r="T5604">
        <v>1</v>
      </c>
      <c r="U5604">
        <v>21</v>
      </c>
      <c r="V5604">
        <v>1.5251999999999999</v>
      </c>
      <c r="W5604">
        <v>1.5251999999999999</v>
      </c>
      <c r="X5604">
        <v>0</v>
      </c>
    </row>
    <row r="5605" spans="1:40" x14ac:dyDescent="0.25">
      <c r="A5605" t="s">
        <v>15</v>
      </c>
      <c r="B5605" t="s">
        <v>24</v>
      </c>
      <c r="C5605">
        <v>20150316</v>
      </c>
      <c r="D5605">
        <v>0</v>
      </c>
      <c r="F5605">
        <v>62500</v>
      </c>
      <c r="G5605" t="s">
        <v>17</v>
      </c>
      <c r="I5605" t="s">
        <v>16</v>
      </c>
      <c r="J5605" t="s">
        <v>180</v>
      </c>
      <c r="K5605" t="s">
        <v>25</v>
      </c>
      <c r="L5605">
        <v>132757294</v>
      </c>
      <c r="R5605">
        <v>9594</v>
      </c>
      <c r="S5605" t="s">
        <v>233</v>
      </c>
      <c r="T5605">
        <v>5</v>
      </c>
      <c r="U5605">
        <v>25</v>
      </c>
      <c r="V5605">
        <v>1.526</v>
      </c>
      <c r="W5605">
        <v>1.5262</v>
      </c>
      <c r="X5605">
        <v>0</v>
      </c>
    </row>
    <row r="5606" spans="1:40" x14ac:dyDescent="0.25">
      <c r="A5606" t="s">
        <v>15</v>
      </c>
      <c r="B5606" t="s">
        <v>24</v>
      </c>
      <c r="C5606">
        <v>20150316</v>
      </c>
      <c r="D5606">
        <v>0</v>
      </c>
      <c r="F5606">
        <v>62500</v>
      </c>
      <c r="G5606" t="s">
        <v>17</v>
      </c>
      <c r="I5606" t="s">
        <v>16</v>
      </c>
      <c r="J5606" t="s">
        <v>180</v>
      </c>
      <c r="K5606" t="s">
        <v>25</v>
      </c>
      <c r="L5606">
        <v>132757294</v>
      </c>
      <c r="R5606">
        <v>9594</v>
      </c>
      <c r="S5606" t="s">
        <v>233</v>
      </c>
      <c r="T5606">
        <v>5</v>
      </c>
      <c r="U5606">
        <v>25</v>
      </c>
      <c r="V5606">
        <v>1.526</v>
      </c>
      <c r="W5606">
        <v>1.5262</v>
      </c>
      <c r="X5606">
        <v>0</v>
      </c>
    </row>
    <row r="5607" spans="1:40" x14ac:dyDescent="0.25">
      <c r="A5607" t="s">
        <v>15</v>
      </c>
      <c r="B5607" t="s">
        <v>24</v>
      </c>
      <c r="C5607">
        <v>20150316</v>
      </c>
      <c r="D5607">
        <v>0</v>
      </c>
      <c r="F5607">
        <v>62500</v>
      </c>
      <c r="G5607" t="s">
        <v>17</v>
      </c>
      <c r="I5607" t="s">
        <v>16</v>
      </c>
      <c r="J5607" t="s">
        <v>180</v>
      </c>
      <c r="K5607" t="s">
        <v>25</v>
      </c>
      <c r="L5607">
        <v>132757294</v>
      </c>
      <c r="R5607">
        <v>9594</v>
      </c>
      <c r="S5607" t="s">
        <v>233</v>
      </c>
      <c r="T5607">
        <v>5</v>
      </c>
      <c r="U5607">
        <v>25</v>
      </c>
      <c r="V5607">
        <v>1.526</v>
      </c>
      <c r="W5607">
        <v>1.5262</v>
      </c>
      <c r="X5607">
        <v>0</v>
      </c>
    </row>
    <row r="5608" spans="1:40" x14ac:dyDescent="0.25">
      <c r="A5608" t="s">
        <v>15</v>
      </c>
      <c r="B5608" t="s">
        <v>24</v>
      </c>
      <c r="C5608">
        <v>20150316</v>
      </c>
      <c r="D5608">
        <v>0</v>
      </c>
      <c r="F5608">
        <v>62500</v>
      </c>
      <c r="G5608" t="s">
        <v>17</v>
      </c>
      <c r="I5608" t="s">
        <v>16</v>
      </c>
      <c r="J5608" t="s">
        <v>180</v>
      </c>
      <c r="K5608" t="s">
        <v>25</v>
      </c>
      <c r="L5608">
        <v>132757294</v>
      </c>
      <c r="R5608">
        <v>9597</v>
      </c>
      <c r="S5608" t="s">
        <v>223</v>
      </c>
      <c r="T5608">
        <v>0</v>
      </c>
      <c r="U5608">
        <v>5</v>
      </c>
      <c r="V5608">
        <v>0</v>
      </c>
      <c r="W5608">
        <v>0</v>
      </c>
      <c r="X5608">
        <v>0</v>
      </c>
    </row>
    <row r="5609" spans="1:40" x14ac:dyDescent="0.25">
      <c r="A5609" t="s">
        <v>15</v>
      </c>
      <c r="B5609" t="s">
        <v>24</v>
      </c>
      <c r="C5609">
        <v>20150316</v>
      </c>
      <c r="D5609">
        <v>0</v>
      </c>
      <c r="F5609">
        <v>62500</v>
      </c>
      <c r="G5609" t="s">
        <v>17</v>
      </c>
      <c r="I5609" t="s">
        <v>16</v>
      </c>
      <c r="J5609" t="s">
        <v>180</v>
      </c>
      <c r="K5609" t="s">
        <v>25</v>
      </c>
      <c r="L5609">
        <v>132757294</v>
      </c>
      <c r="R5609">
        <v>9597</v>
      </c>
      <c r="S5609" t="s">
        <v>224</v>
      </c>
      <c r="T5609">
        <v>0</v>
      </c>
      <c r="U5609">
        <v>5</v>
      </c>
      <c r="V5609">
        <v>0</v>
      </c>
      <c r="W5609">
        <v>0</v>
      </c>
      <c r="X5609">
        <v>0</v>
      </c>
    </row>
    <row r="5610" spans="1:40" x14ac:dyDescent="0.25">
      <c r="A5610" t="s">
        <v>15</v>
      </c>
      <c r="B5610" t="s">
        <v>24</v>
      </c>
      <c r="C5610">
        <v>20150316</v>
      </c>
      <c r="D5610">
        <v>0</v>
      </c>
      <c r="F5610">
        <v>62500</v>
      </c>
      <c r="G5610" t="s">
        <v>17</v>
      </c>
      <c r="I5610" t="s">
        <v>16</v>
      </c>
      <c r="J5610" t="s">
        <v>180</v>
      </c>
      <c r="K5610" t="s">
        <v>25</v>
      </c>
      <c r="L5610">
        <v>132757294</v>
      </c>
      <c r="R5610">
        <v>9594</v>
      </c>
      <c r="S5610" t="s">
        <v>233</v>
      </c>
      <c r="T5610">
        <v>5</v>
      </c>
      <c r="U5610">
        <v>11</v>
      </c>
      <c r="V5610">
        <v>1.526</v>
      </c>
      <c r="W5610">
        <v>1.5262</v>
      </c>
      <c r="X5610">
        <v>0</v>
      </c>
      <c r="Y5610">
        <v>9594</v>
      </c>
      <c r="Z5610" t="s">
        <v>339</v>
      </c>
      <c r="AA5610" t="s">
        <v>337</v>
      </c>
      <c r="AB5610" t="s">
        <v>234</v>
      </c>
      <c r="AC5610" t="s">
        <v>17</v>
      </c>
      <c r="AD5610" t="s">
        <v>235</v>
      </c>
      <c r="AE5610">
        <v>7</v>
      </c>
      <c r="AF5610">
        <v>12</v>
      </c>
      <c r="AG5610">
        <v>1.5262</v>
      </c>
      <c r="AH5610">
        <v>1.5261169999999999</v>
      </c>
      <c r="AI5610">
        <v>415886627</v>
      </c>
      <c r="AJ5610">
        <v>0</v>
      </c>
      <c r="AK5610">
        <v>7</v>
      </c>
      <c r="AN5610">
        <v>0</v>
      </c>
    </row>
    <row r="5611" spans="1:40" x14ac:dyDescent="0.25">
      <c r="A5611" t="s">
        <v>15</v>
      </c>
      <c r="B5611" t="s">
        <v>24</v>
      </c>
      <c r="C5611">
        <v>20150316</v>
      </c>
      <c r="D5611">
        <v>0</v>
      </c>
      <c r="F5611">
        <v>62500</v>
      </c>
      <c r="G5611" t="s">
        <v>17</v>
      </c>
      <c r="I5611" t="s">
        <v>16</v>
      </c>
      <c r="J5611" t="s">
        <v>180</v>
      </c>
      <c r="K5611" t="s">
        <v>25</v>
      </c>
      <c r="L5611">
        <v>132757294</v>
      </c>
      <c r="R5611">
        <v>9594</v>
      </c>
      <c r="S5611" t="s">
        <v>233</v>
      </c>
      <c r="T5611">
        <v>5</v>
      </c>
      <c r="U5611">
        <v>11</v>
      </c>
      <c r="V5611">
        <v>1.526</v>
      </c>
      <c r="W5611">
        <v>1.5262</v>
      </c>
      <c r="X5611">
        <v>0</v>
      </c>
    </row>
    <row r="5612" spans="1:40" x14ac:dyDescent="0.25">
      <c r="A5612" t="s">
        <v>15</v>
      </c>
      <c r="B5612" t="s">
        <v>24</v>
      </c>
      <c r="C5612">
        <v>20150316</v>
      </c>
      <c r="D5612">
        <v>0</v>
      </c>
      <c r="F5612">
        <v>62500</v>
      </c>
      <c r="G5612" t="s">
        <v>17</v>
      </c>
      <c r="I5612" t="s">
        <v>16</v>
      </c>
      <c r="J5612" t="s">
        <v>180</v>
      </c>
      <c r="K5612" t="s">
        <v>25</v>
      </c>
      <c r="L5612">
        <v>132757294</v>
      </c>
      <c r="R5612">
        <v>9594</v>
      </c>
      <c r="S5612" t="s">
        <v>233</v>
      </c>
      <c r="T5612">
        <v>12</v>
      </c>
      <c r="U5612">
        <v>18</v>
      </c>
      <c r="V5612">
        <v>1.5261169999999999</v>
      </c>
      <c r="W5612">
        <v>1.5262</v>
      </c>
      <c r="X5612">
        <v>0</v>
      </c>
    </row>
    <row r="5613" spans="1:40" x14ac:dyDescent="0.25">
      <c r="A5613" t="s">
        <v>15</v>
      </c>
      <c r="B5613" t="s">
        <v>24</v>
      </c>
      <c r="C5613">
        <v>20150316</v>
      </c>
      <c r="D5613">
        <v>0</v>
      </c>
      <c r="F5613">
        <v>62500</v>
      </c>
      <c r="G5613" t="s">
        <v>17</v>
      </c>
      <c r="I5613" t="s">
        <v>16</v>
      </c>
      <c r="J5613" t="s">
        <v>180</v>
      </c>
      <c r="K5613" t="s">
        <v>25</v>
      </c>
      <c r="L5613">
        <v>132757294</v>
      </c>
      <c r="R5613">
        <v>9598</v>
      </c>
      <c r="S5613" t="s">
        <v>232</v>
      </c>
      <c r="T5613">
        <v>0</v>
      </c>
      <c r="U5613">
        <v>5</v>
      </c>
      <c r="V5613">
        <v>0</v>
      </c>
      <c r="W5613">
        <v>0</v>
      </c>
      <c r="X5613">
        <v>0</v>
      </c>
    </row>
    <row r="5614" spans="1:40" x14ac:dyDescent="0.25">
      <c r="A5614" t="s">
        <v>15</v>
      </c>
      <c r="B5614" t="s">
        <v>24</v>
      </c>
      <c r="C5614">
        <v>20150316</v>
      </c>
      <c r="D5614">
        <v>0</v>
      </c>
      <c r="F5614">
        <v>62500</v>
      </c>
      <c r="G5614" t="s">
        <v>17</v>
      </c>
      <c r="I5614" t="s">
        <v>16</v>
      </c>
      <c r="J5614" t="s">
        <v>180</v>
      </c>
      <c r="K5614" t="s">
        <v>25</v>
      </c>
      <c r="L5614">
        <v>132757294</v>
      </c>
      <c r="R5614">
        <v>9594</v>
      </c>
      <c r="S5614" t="s">
        <v>233</v>
      </c>
      <c r="T5614">
        <v>12</v>
      </c>
      <c r="U5614">
        <v>18</v>
      </c>
      <c r="V5614">
        <v>1.5261169999999999</v>
      </c>
      <c r="W5614">
        <v>1.5262</v>
      </c>
      <c r="X5614">
        <v>0</v>
      </c>
    </row>
    <row r="5615" spans="1:40" x14ac:dyDescent="0.25">
      <c r="A5615" t="s">
        <v>15</v>
      </c>
      <c r="B5615" t="s">
        <v>24</v>
      </c>
      <c r="C5615">
        <v>20150316</v>
      </c>
      <c r="D5615">
        <v>0</v>
      </c>
      <c r="F5615">
        <v>62500</v>
      </c>
      <c r="G5615" t="s">
        <v>17</v>
      </c>
      <c r="I5615" t="s">
        <v>16</v>
      </c>
      <c r="J5615" t="s">
        <v>180</v>
      </c>
      <c r="K5615" t="s">
        <v>25</v>
      </c>
      <c r="L5615">
        <v>132757294</v>
      </c>
      <c r="R5615">
        <v>9594</v>
      </c>
      <c r="S5615" t="s">
        <v>233</v>
      </c>
      <c r="T5615">
        <v>12</v>
      </c>
      <c r="U5615">
        <v>18</v>
      </c>
      <c r="V5615">
        <v>1.5261169999999999</v>
      </c>
      <c r="W5615">
        <v>1.5262</v>
      </c>
      <c r="X5615">
        <v>0</v>
      </c>
    </row>
    <row r="5616" spans="1:40" x14ac:dyDescent="0.25">
      <c r="A5616" t="s">
        <v>15</v>
      </c>
      <c r="B5616" t="s">
        <v>24</v>
      </c>
      <c r="C5616">
        <v>20150316</v>
      </c>
      <c r="D5616">
        <v>0</v>
      </c>
      <c r="F5616">
        <v>62500</v>
      </c>
      <c r="G5616" t="s">
        <v>17</v>
      </c>
      <c r="I5616" t="s">
        <v>16</v>
      </c>
      <c r="J5616" t="s">
        <v>180</v>
      </c>
      <c r="K5616" t="s">
        <v>25</v>
      </c>
      <c r="L5616">
        <v>132757294</v>
      </c>
      <c r="R5616">
        <v>9594</v>
      </c>
      <c r="S5616" t="s">
        <v>233</v>
      </c>
      <c r="T5616">
        <v>12</v>
      </c>
      <c r="U5616">
        <v>16</v>
      </c>
      <c r="V5616">
        <v>1.5261169999999999</v>
      </c>
      <c r="W5616">
        <v>1.5262</v>
      </c>
      <c r="X5616">
        <v>0</v>
      </c>
      <c r="Y5616">
        <v>9594</v>
      </c>
      <c r="Z5616" t="s">
        <v>340</v>
      </c>
      <c r="AA5616" t="s">
        <v>341</v>
      </c>
      <c r="AB5616" t="s">
        <v>234</v>
      </c>
      <c r="AC5616" t="s">
        <v>17</v>
      </c>
      <c r="AD5616" t="s">
        <v>235</v>
      </c>
      <c r="AE5616">
        <v>1</v>
      </c>
      <c r="AF5616">
        <v>13</v>
      </c>
      <c r="AG5616">
        <v>1.5262</v>
      </c>
      <c r="AH5616">
        <v>1.5261229999999999</v>
      </c>
      <c r="AI5616">
        <v>415886627</v>
      </c>
      <c r="AJ5616">
        <v>0</v>
      </c>
      <c r="AK5616">
        <v>7</v>
      </c>
      <c r="AN5616">
        <v>0</v>
      </c>
    </row>
    <row r="5617" spans="1:40" x14ac:dyDescent="0.25">
      <c r="A5617" t="s">
        <v>15</v>
      </c>
      <c r="B5617" t="s">
        <v>24</v>
      </c>
      <c r="C5617">
        <v>20150316</v>
      </c>
      <c r="D5617">
        <v>0</v>
      </c>
      <c r="F5617">
        <v>62500</v>
      </c>
      <c r="G5617" t="s">
        <v>17</v>
      </c>
      <c r="I5617" t="s">
        <v>16</v>
      </c>
      <c r="J5617" t="s">
        <v>180</v>
      </c>
      <c r="K5617" t="s">
        <v>25</v>
      </c>
      <c r="L5617">
        <v>132757294</v>
      </c>
      <c r="R5617">
        <v>9594</v>
      </c>
      <c r="S5617" t="s">
        <v>233</v>
      </c>
      <c r="T5617">
        <v>12</v>
      </c>
      <c r="U5617">
        <v>16</v>
      </c>
      <c r="V5617">
        <v>1.5261169999999999</v>
      </c>
      <c r="W5617">
        <v>1.5262</v>
      </c>
      <c r="X5617">
        <v>0</v>
      </c>
    </row>
    <row r="5618" spans="1:40" x14ac:dyDescent="0.25">
      <c r="A5618" t="s">
        <v>15</v>
      </c>
      <c r="B5618" t="s">
        <v>24</v>
      </c>
      <c r="C5618">
        <v>20150316</v>
      </c>
      <c r="D5618">
        <v>0</v>
      </c>
      <c r="F5618">
        <v>62500</v>
      </c>
      <c r="G5618" t="s">
        <v>17</v>
      </c>
      <c r="I5618" t="s">
        <v>16</v>
      </c>
      <c r="J5618" t="s">
        <v>180</v>
      </c>
      <c r="K5618" t="s">
        <v>25</v>
      </c>
      <c r="L5618">
        <v>132757294</v>
      </c>
      <c r="R5618">
        <v>9594</v>
      </c>
      <c r="S5618" t="s">
        <v>233</v>
      </c>
      <c r="T5618">
        <v>13</v>
      </c>
      <c r="U5618">
        <v>17</v>
      </c>
      <c r="V5618">
        <v>1.5261229999999999</v>
      </c>
      <c r="W5618">
        <v>1.5262</v>
      </c>
      <c r="X5618">
        <v>0</v>
      </c>
    </row>
    <row r="5619" spans="1:40" x14ac:dyDescent="0.25">
      <c r="A5619" t="s">
        <v>15</v>
      </c>
      <c r="B5619" t="s">
        <v>24</v>
      </c>
      <c r="C5619">
        <v>20150316</v>
      </c>
      <c r="D5619">
        <v>0</v>
      </c>
      <c r="F5619">
        <v>62500</v>
      </c>
      <c r="G5619" t="s">
        <v>17</v>
      </c>
      <c r="I5619" t="s">
        <v>16</v>
      </c>
      <c r="J5619" t="s">
        <v>180</v>
      </c>
      <c r="K5619" t="s">
        <v>25</v>
      </c>
      <c r="L5619">
        <v>132757294</v>
      </c>
      <c r="R5619">
        <v>9594</v>
      </c>
      <c r="S5619" t="s">
        <v>233</v>
      </c>
      <c r="T5619">
        <v>13</v>
      </c>
      <c r="U5619">
        <v>17</v>
      </c>
      <c r="V5619">
        <v>1.5261229999999999</v>
      </c>
      <c r="W5619">
        <v>1.5262</v>
      </c>
      <c r="X5619">
        <v>0</v>
      </c>
    </row>
    <row r="5620" spans="1:40" x14ac:dyDescent="0.25">
      <c r="A5620" t="s">
        <v>15</v>
      </c>
      <c r="B5620" t="s">
        <v>24</v>
      </c>
      <c r="C5620">
        <v>20150316</v>
      </c>
      <c r="D5620">
        <v>0</v>
      </c>
      <c r="F5620">
        <v>62500</v>
      </c>
      <c r="G5620" t="s">
        <v>17</v>
      </c>
      <c r="I5620" t="s">
        <v>16</v>
      </c>
      <c r="J5620" t="s">
        <v>180</v>
      </c>
      <c r="K5620" t="s">
        <v>25</v>
      </c>
      <c r="L5620">
        <v>132757294</v>
      </c>
      <c r="R5620">
        <v>9594</v>
      </c>
      <c r="S5620" t="s">
        <v>233</v>
      </c>
      <c r="T5620">
        <v>13</v>
      </c>
      <c r="U5620">
        <v>17</v>
      </c>
      <c r="V5620">
        <v>1.5261229999999999</v>
      </c>
      <c r="W5620">
        <v>1.5262</v>
      </c>
      <c r="X5620">
        <v>0</v>
      </c>
    </row>
    <row r="5621" spans="1:40" x14ac:dyDescent="0.25">
      <c r="A5621" t="s">
        <v>15</v>
      </c>
      <c r="B5621" t="s">
        <v>24</v>
      </c>
      <c r="C5621">
        <v>20150316</v>
      </c>
      <c r="D5621">
        <v>0</v>
      </c>
      <c r="F5621">
        <v>62500</v>
      </c>
      <c r="G5621" t="s">
        <v>17</v>
      </c>
      <c r="I5621" t="s">
        <v>16</v>
      </c>
      <c r="J5621" t="s">
        <v>180</v>
      </c>
      <c r="K5621" t="s">
        <v>25</v>
      </c>
      <c r="L5621">
        <v>132757294</v>
      </c>
      <c r="R5621">
        <v>9598</v>
      </c>
      <c r="S5621" t="s">
        <v>232</v>
      </c>
      <c r="T5621">
        <v>0</v>
      </c>
      <c r="U5621">
        <v>5</v>
      </c>
      <c r="V5621">
        <v>0</v>
      </c>
      <c r="W5621">
        <v>0</v>
      </c>
      <c r="X5621">
        <v>0</v>
      </c>
    </row>
    <row r="5622" spans="1:40" x14ac:dyDescent="0.25">
      <c r="A5622" t="s">
        <v>15</v>
      </c>
      <c r="B5622" t="s">
        <v>24</v>
      </c>
      <c r="C5622">
        <v>20150316</v>
      </c>
      <c r="D5622">
        <v>0</v>
      </c>
      <c r="F5622">
        <v>62500</v>
      </c>
      <c r="G5622" t="s">
        <v>17</v>
      </c>
      <c r="I5622" t="s">
        <v>16</v>
      </c>
      <c r="J5622" t="s">
        <v>180</v>
      </c>
      <c r="K5622" t="s">
        <v>25</v>
      </c>
      <c r="L5622">
        <v>132757294</v>
      </c>
      <c r="R5622">
        <v>9598</v>
      </c>
      <c r="S5622" t="s">
        <v>233</v>
      </c>
      <c r="T5622">
        <v>0</v>
      </c>
      <c r="U5622">
        <v>5</v>
      </c>
      <c r="V5622">
        <v>0</v>
      </c>
      <c r="W5622">
        <v>0</v>
      </c>
      <c r="X5622">
        <v>0</v>
      </c>
    </row>
    <row r="5623" spans="1:40" x14ac:dyDescent="0.25">
      <c r="A5623" t="s">
        <v>15</v>
      </c>
      <c r="B5623" t="s">
        <v>24</v>
      </c>
      <c r="C5623">
        <v>20150316</v>
      </c>
      <c r="D5623">
        <v>0</v>
      </c>
      <c r="F5623">
        <v>62500</v>
      </c>
      <c r="G5623" t="s">
        <v>17</v>
      </c>
      <c r="I5623" t="s">
        <v>16</v>
      </c>
      <c r="J5623" t="s">
        <v>180</v>
      </c>
      <c r="K5623" t="s">
        <v>25</v>
      </c>
      <c r="L5623">
        <v>132757294</v>
      </c>
      <c r="R5623">
        <v>9594</v>
      </c>
      <c r="S5623" t="s">
        <v>233</v>
      </c>
      <c r="T5623">
        <v>13</v>
      </c>
      <c r="U5623">
        <v>-7</v>
      </c>
      <c r="V5623">
        <v>1.5261229999999999</v>
      </c>
      <c r="W5623">
        <v>1.5262</v>
      </c>
      <c r="X5623">
        <v>0</v>
      </c>
      <c r="Y5623">
        <v>9594</v>
      </c>
      <c r="Z5623" t="s">
        <v>342</v>
      </c>
      <c r="AA5623" t="s">
        <v>341</v>
      </c>
      <c r="AB5623" t="s">
        <v>234</v>
      </c>
      <c r="AC5623" t="s">
        <v>17</v>
      </c>
      <c r="AD5623" t="s">
        <v>235</v>
      </c>
      <c r="AE5623">
        <v>12</v>
      </c>
      <c r="AF5623">
        <v>25</v>
      </c>
      <c r="AG5623">
        <v>1.5262</v>
      </c>
      <c r="AH5623">
        <v>1.52616</v>
      </c>
      <c r="AI5623">
        <v>415886627</v>
      </c>
      <c r="AJ5623">
        <v>0</v>
      </c>
      <c r="AK5623">
        <v>7</v>
      </c>
      <c r="AN5623">
        <v>0</v>
      </c>
    </row>
    <row r="5624" spans="1:40" x14ac:dyDescent="0.25">
      <c r="A5624" t="s">
        <v>15</v>
      </c>
      <c r="B5624" t="s">
        <v>24</v>
      </c>
      <c r="C5624">
        <v>20150316</v>
      </c>
      <c r="D5624">
        <v>0</v>
      </c>
      <c r="F5624">
        <v>62500</v>
      </c>
      <c r="G5624" t="s">
        <v>17</v>
      </c>
      <c r="I5624" t="s">
        <v>16</v>
      </c>
      <c r="J5624" t="s">
        <v>180</v>
      </c>
      <c r="K5624" t="s">
        <v>25</v>
      </c>
      <c r="L5624">
        <v>132757294</v>
      </c>
      <c r="R5624">
        <v>9594</v>
      </c>
      <c r="S5624" t="s">
        <v>233</v>
      </c>
      <c r="T5624">
        <v>13</v>
      </c>
      <c r="U5624">
        <v>-7</v>
      </c>
      <c r="V5624">
        <v>1.5261229999999999</v>
      </c>
      <c r="W5624">
        <v>1.5262</v>
      </c>
      <c r="X5624">
        <v>0</v>
      </c>
    </row>
    <row r="5625" spans="1:40" x14ac:dyDescent="0.25">
      <c r="A5625" t="s">
        <v>15</v>
      </c>
      <c r="B5625" t="s">
        <v>24</v>
      </c>
      <c r="C5625">
        <v>20150316</v>
      </c>
      <c r="D5625">
        <v>0</v>
      </c>
      <c r="F5625">
        <v>62500</v>
      </c>
      <c r="G5625" t="s">
        <v>17</v>
      </c>
      <c r="I5625" t="s">
        <v>16</v>
      </c>
      <c r="J5625" t="s">
        <v>180</v>
      </c>
      <c r="K5625" t="s">
        <v>25</v>
      </c>
      <c r="L5625">
        <v>132757294</v>
      </c>
      <c r="R5625">
        <v>9594</v>
      </c>
      <c r="S5625" t="s">
        <v>233</v>
      </c>
      <c r="T5625">
        <v>25</v>
      </c>
      <c r="U5625">
        <v>5</v>
      </c>
      <c r="V5625">
        <v>1.52616</v>
      </c>
      <c r="W5625">
        <v>1.5262</v>
      </c>
      <c r="X5625">
        <v>0</v>
      </c>
    </row>
    <row r="5626" spans="1:40" x14ac:dyDescent="0.25">
      <c r="A5626" t="s">
        <v>15</v>
      </c>
      <c r="B5626" t="s">
        <v>24</v>
      </c>
      <c r="C5626">
        <v>20150316</v>
      </c>
      <c r="D5626">
        <v>0</v>
      </c>
      <c r="F5626">
        <v>62500</v>
      </c>
      <c r="G5626" t="s">
        <v>17</v>
      </c>
      <c r="I5626" t="s">
        <v>16</v>
      </c>
      <c r="J5626" t="s">
        <v>180</v>
      </c>
      <c r="K5626" t="s">
        <v>25</v>
      </c>
      <c r="L5626">
        <v>132757294</v>
      </c>
      <c r="R5626">
        <v>9594</v>
      </c>
      <c r="S5626" t="s">
        <v>233</v>
      </c>
      <c r="T5626">
        <v>25</v>
      </c>
      <c r="U5626">
        <v>5</v>
      </c>
      <c r="V5626">
        <v>1.52616</v>
      </c>
      <c r="W5626">
        <v>1.5262</v>
      </c>
      <c r="X5626">
        <v>0</v>
      </c>
    </row>
    <row r="5627" spans="1:40" x14ac:dyDescent="0.25">
      <c r="A5627" t="s">
        <v>15</v>
      </c>
      <c r="B5627" t="s">
        <v>24</v>
      </c>
      <c r="C5627">
        <v>20150316</v>
      </c>
      <c r="D5627">
        <v>0</v>
      </c>
      <c r="F5627">
        <v>62500</v>
      </c>
      <c r="G5627" t="s">
        <v>17</v>
      </c>
      <c r="I5627" t="s">
        <v>16</v>
      </c>
      <c r="J5627" t="s">
        <v>180</v>
      </c>
      <c r="K5627" t="s">
        <v>25</v>
      </c>
      <c r="L5627">
        <v>132757294</v>
      </c>
      <c r="R5627">
        <v>9594</v>
      </c>
      <c r="S5627" t="s">
        <v>233</v>
      </c>
      <c r="T5627">
        <v>25</v>
      </c>
      <c r="U5627">
        <v>5</v>
      </c>
      <c r="V5627">
        <v>1.52616</v>
      </c>
      <c r="W5627">
        <v>1.5262</v>
      </c>
      <c r="X5627">
        <v>0</v>
      </c>
    </row>
    <row r="5628" spans="1:40" x14ac:dyDescent="0.25">
      <c r="A5628" t="s">
        <v>15</v>
      </c>
      <c r="B5628" t="s">
        <v>24</v>
      </c>
      <c r="C5628">
        <v>20150316</v>
      </c>
      <c r="D5628">
        <v>0</v>
      </c>
      <c r="F5628">
        <v>62500</v>
      </c>
      <c r="G5628" t="s">
        <v>17</v>
      </c>
      <c r="I5628" t="s">
        <v>16</v>
      </c>
      <c r="J5628" t="s">
        <v>180</v>
      </c>
      <c r="K5628" t="s">
        <v>25</v>
      </c>
      <c r="L5628">
        <v>132757294</v>
      </c>
      <c r="R5628">
        <v>9599</v>
      </c>
      <c r="S5628" t="s">
        <v>232</v>
      </c>
      <c r="T5628">
        <v>0</v>
      </c>
      <c r="U5628">
        <v>12</v>
      </c>
      <c r="V5628">
        <v>0</v>
      </c>
      <c r="W5628">
        <v>0</v>
      </c>
      <c r="X5628">
        <v>0</v>
      </c>
    </row>
    <row r="5629" spans="1:40" x14ac:dyDescent="0.25">
      <c r="A5629" t="s">
        <v>15</v>
      </c>
      <c r="B5629" t="s">
        <v>24</v>
      </c>
      <c r="C5629">
        <v>20150316</v>
      </c>
      <c r="D5629">
        <v>0</v>
      </c>
      <c r="F5629">
        <v>62500</v>
      </c>
      <c r="G5629" t="s">
        <v>17</v>
      </c>
      <c r="I5629" t="s">
        <v>16</v>
      </c>
      <c r="J5629" t="s">
        <v>180</v>
      </c>
      <c r="K5629" t="s">
        <v>25</v>
      </c>
      <c r="L5629">
        <v>132757294</v>
      </c>
      <c r="R5629">
        <v>9594</v>
      </c>
      <c r="S5629" t="s">
        <v>233</v>
      </c>
      <c r="T5629">
        <v>25</v>
      </c>
      <c r="U5629">
        <v>-5</v>
      </c>
      <c r="V5629">
        <v>1.52616</v>
      </c>
      <c r="W5629">
        <v>1.5262</v>
      </c>
      <c r="X5629">
        <v>0</v>
      </c>
      <c r="Y5629">
        <v>9594</v>
      </c>
      <c r="Z5629" t="s">
        <v>343</v>
      </c>
      <c r="AA5629" t="s">
        <v>344</v>
      </c>
      <c r="AB5629" t="s">
        <v>234</v>
      </c>
      <c r="AC5629" t="s">
        <v>17</v>
      </c>
      <c r="AD5629" t="s">
        <v>235</v>
      </c>
      <c r="AE5629">
        <v>5</v>
      </c>
      <c r="AF5629">
        <v>30</v>
      </c>
      <c r="AG5629">
        <v>1.5262</v>
      </c>
      <c r="AH5629">
        <v>1.5261670000000001</v>
      </c>
      <c r="AI5629">
        <v>415886627</v>
      </c>
      <c r="AJ5629">
        <v>0</v>
      </c>
      <c r="AK5629">
        <v>7</v>
      </c>
      <c r="AN5629">
        <v>0</v>
      </c>
    </row>
    <row r="5630" spans="1:40" x14ac:dyDescent="0.25">
      <c r="A5630" t="s">
        <v>15</v>
      </c>
      <c r="B5630" t="s">
        <v>24</v>
      </c>
      <c r="C5630">
        <v>20150316</v>
      </c>
      <c r="D5630">
        <v>0</v>
      </c>
      <c r="F5630">
        <v>62500</v>
      </c>
      <c r="G5630" t="s">
        <v>17</v>
      </c>
      <c r="I5630" t="s">
        <v>16</v>
      </c>
      <c r="J5630" t="s">
        <v>180</v>
      </c>
      <c r="K5630" t="s">
        <v>25</v>
      </c>
      <c r="L5630">
        <v>132757294</v>
      </c>
      <c r="R5630">
        <v>9594</v>
      </c>
      <c r="S5630" t="s">
        <v>233</v>
      </c>
      <c r="T5630">
        <v>25</v>
      </c>
      <c r="U5630">
        <v>-5</v>
      </c>
      <c r="V5630">
        <v>1.52616</v>
      </c>
      <c r="W5630">
        <v>1.5262</v>
      </c>
      <c r="X5630">
        <v>0</v>
      </c>
    </row>
    <row r="5631" spans="1:40" x14ac:dyDescent="0.25">
      <c r="A5631" t="s">
        <v>15</v>
      </c>
      <c r="B5631" t="s">
        <v>24</v>
      </c>
      <c r="C5631">
        <v>20150316</v>
      </c>
      <c r="D5631">
        <v>0</v>
      </c>
      <c r="F5631">
        <v>62500</v>
      </c>
      <c r="G5631" t="s">
        <v>17</v>
      </c>
      <c r="I5631" t="s">
        <v>16</v>
      </c>
      <c r="J5631" t="s">
        <v>180</v>
      </c>
      <c r="K5631" t="s">
        <v>25</v>
      </c>
      <c r="L5631">
        <v>132757294</v>
      </c>
      <c r="R5631">
        <v>9594</v>
      </c>
      <c r="S5631" t="s">
        <v>37</v>
      </c>
      <c r="T5631">
        <v>30</v>
      </c>
      <c r="U5631">
        <v>0</v>
      </c>
      <c r="V5631">
        <v>1.5261670000000001</v>
      </c>
      <c r="W5631">
        <v>1.5262</v>
      </c>
      <c r="X5631">
        <v>0</v>
      </c>
    </row>
    <row r="5632" spans="1:40" x14ac:dyDescent="0.25">
      <c r="A5632" t="s">
        <v>15</v>
      </c>
      <c r="B5632" t="s">
        <v>24</v>
      </c>
      <c r="C5632">
        <v>20150316</v>
      </c>
      <c r="D5632">
        <v>0</v>
      </c>
      <c r="F5632">
        <v>62500</v>
      </c>
      <c r="G5632" t="s">
        <v>17</v>
      </c>
      <c r="I5632" t="s">
        <v>16</v>
      </c>
      <c r="J5632" t="s">
        <v>180</v>
      </c>
      <c r="K5632" t="s">
        <v>25</v>
      </c>
      <c r="L5632">
        <v>132757294</v>
      </c>
      <c r="R5632">
        <v>9594</v>
      </c>
      <c r="S5632" t="s">
        <v>37</v>
      </c>
      <c r="T5632">
        <v>30</v>
      </c>
      <c r="U5632">
        <v>0</v>
      </c>
      <c r="V5632">
        <v>1.5261670000000001</v>
      </c>
      <c r="W5632">
        <v>1.5262</v>
      </c>
      <c r="X5632">
        <v>0</v>
      </c>
    </row>
    <row r="5633" spans="1:40" x14ac:dyDescent="0.25">
      <c r="A5633" t="s">
        <v>15</v>
      </c>
      <c r="B5633" t="s">
        <v>24</v>
      </c>
      <c r="C5633">
        <v>20150316</v>
      </c>
      <c r="D5633">
        <v>0</v>
      </c>
      <c r="F5633">
        <v>62500</v>
      </c>
      <c r="G5633" t="s">
        <v>17</v>
      </c>
      <c r="I5633" t="s">
        <v>16</v>
      </c>
      <c r="J5633" t="s">
        <v>180</v>
      </c>
      <c r="K5633" t="s">
        <v>25</v>
      </c>
      <c r="L5633">
        <v>132757294</v>
      </c>
      <c r="R5633">
        <v>9594</v>
      </c>
      <c r="S5633" t="s">
        <v>37</v>
      </c>
      <c r="T5633">
        <v>30</v>
      </c>
      <c r="U5633">
        <v>0</v>
      </c>
      <c r="V5633">
        <v>1.5261670000000001</v>
      </c>
      <c r="W5633">
        <v>1.5262</v>
      </c>
      <c r="X5633">
        <v>0</v>
      </c>
    </row>
    <row r="5634" spans="1:40" x14ac:dyDescent="0.25">
      <c r="A5634" t="s">
        <v>15</v>
      </c>
      <c r="B5634" t="s">
        <v>24</v>
      </c>
      <c r="C5634">
        <v>20150316</v>
      </c>
      <c r="D5634">
        <v>0</v>
      </c>
      <c r="F5634">
        <v>62500</v>
      </c>
      <c r="G5634" t="s">
        <v>17</v>
      </c>
      <c r="I5634" t="s">
        <v>16</v>
      </c>
      <c r="J5634" t="s">
        <v>180</v>
      </c>
      <c r="K5634" t="s">
        <v>25</v>
      </c>
      <c r="L5634">
        <v>132757294</v>
      </c>
      <c r="R5634">
        <v>9594</v>
      </c>
      <c r="S5634" t="s">
        <v>37</v>
      </c>
      <c r="T5634">
        <v>30</v>
      </c>
      <c r="U5634">
        <v>0</v>
      </c>
      <c r="V5634">
        <v>1.5261670000000001</v>
      </c>
      <c r="W5634">
        <v>1.5262</v>
      </c>
      <c r="X5634">
        <v>0</v>
      </c>
    </row>
    <row r="5635" spans="1:40" x14ac:dyDescent="0.25">
      <c r="A5635" t="s">
        <v>15</v>
      </c>
      <c r="B5635" t="s">
        <v>24</v>
      </c>
      <c r="C5635">
        <v>20150316</v>
      </c>
      <c r="D5635">
        <v>0</v>
      </c>
      <c r="F5635">
        <v>62500</v>
      </c>
      <c r="G5635" t="s">
        <v>17</v>
      </c>
      <c r="I5635" t="s">
        <v>16</v>
      </c>
      <c r="J5635" t="s">
        <v>180</v>
      </c>
      <c r="K5635" t="s">
        <v>25</v>
      </c>
      <c r="L5635">
        <v>132757294</v>
      </c>
      <c r="R5635">
        <v>9594</v>
      </c>
      <c r="S5635" t="s">
        <v>37</v>
      </c>
      <c r="T5635">
        <v>30</v>
      </c>
      <c r="U5635">
        <v>0</v>
      </c>
      <c r="V5635">
        <v>1.5261670000000001</v>
      </c>
      <c r="W5635">
        <v>1.5262</v>
      </c>
      <c r="X5635">
        <v>0</v>
      </c>
    </row>
    <row r="5636" spans="1:40" x14ac:dyDescent="0.25">
      <c r="A5636" t="s">
        <v>15</v>
      </c>
      <c r="B5636" t="s">
        <v>24</v>
      </c>
      <c r="C5636">
        <v>20150316</v>
      </c>
      <c r="D5636">
        <v>0</v>
      </c>
      <c r="F5636">
        <v>62500</v>
      </c>
      <c r="G5636" t="s">
        <v>17</v>
      </c>
      <c r="I5636" t="s">
        <v>16</v>
      </c>
      <c r="J5636" t="s">
        <v>180</v>
      </c>
      <c r="K5636" t="s">
        <v>25</v>
      </c>
      <c r="L5636">
        <v>132757294</v>
      </c>
      <c r="R5636">
        <v>9599</v>
      </c>
      <c r="S5636" t="s">
        <v>232</v>
      </c>
      <c r="T5636">
        <v>0</v>
      </c>
      <c r="U5636">
        <v>12</v>
      </c>
      <c r="V5636">
        <v>0</v>
      </c>
      <c r="W5636">
        <v>0</v>
      </c>
      <c r="X5636">
        <v>0</v>
      </c>
    </row>
    <row r="5637" spans="1:40" x14ac:dyDescent="0.25">
      <c r="A5637" t="s">
        <v>15</v>
      </c>
      <c r="B5637" t="s">
        <v>24</v>
      </c>
      <c r="C5637">
        <v>20150316</v>
      </c>
      <c r="D5637">
        <v>0</v>
      </c>
      <c r="F5637">
        <v>62500</v>
      </c>
      <c r="G5637" t="s">
        <v>17</v>
      </c>
      <c r="I5637" t="s">
        <v>16</v>
      </c>
      <c r="J5637" t="s">
        <v>180</v>
      </c>
      <c r="K5637" t="s">
        <v>25</v>
      </c>
      <c r="L5637">
        <v>132757294</v>
      </c>
      <c r="R5637">
        <v>9599</v>
      </c>
      <c r="S5637" t="s">
        <v>192</v>
      </c>
      <c r="T5637">
        <v>0</v>
      </c>
      <c r="U5637">
        <v>12</v>
      </c>
      <c r="V5637">
        <v>0</v>
      </c>
      <c r="W5637">
        <v>0</v>
      </c>
      <c r="X5637">
        <v>0</v>
      </c>
    </row>
    <row r="5638" spans="1:40" x14ac:dyDescent="0.25">
      <c r="A5638" t="s">
        <v>15</v>
      </c>
      <c r="B5638" t="s">
        <v>24</v>
      </c>
      <c r="C5638">
        <v>20150316</v>
      </c>
      <c r="D5638">
        <v>0</v>
      </c>
      <c r="F5638">
        <v>62500</v>
      </c>
      <c r="G5638" t="s">
        <v>17</v>
      </c>
      <c r="I5638" t="s">
        <v>16</v>
      </c>
      <c r="J5638" t="s">
        <v>180</v>
      </c>
      <c r="K5638" t="s">
        <v>25</v>
      </c>
      <c r="L5638">
        <v>132757294</v>
      </c>
      <c r="R5638">
        <v>9595</v>
      </c>
      <c r="S5638" t="s">
        <v>223</v>
      </c>
      <c r="T5638">
        <v>0</v>
      </c>
      <c r="U5638">
        <v>30</v>
      </c>
      <c r="V5638">
        <v>0</v>
      </c>
      <c r="W5638">
        <v>0</v>
      </c>
      <c r="X5638">
        <v>0</v>
      </c>
    </row>
    <row r="5639" spans="1:40" x14ac:dyDescent="0.25">
      <c r="A5639" t="s">
        <v>15</v>
      </c>
      <c r="B5639" t="s">
        <v>24</v>
      </c>
      <c r="C5639">
        <v>20150316</v>
      </c>
      <c r="D5639">
        <v>0</v>
      </c>
      <c r="F5639">
        <v>62500</v>
      </c>
      <c r="G5639" t="s">
        <v>17</v>
      </c>
      <c r="I5639" t="s">
        <v>16</v>
      </c>
      <c r="J5639" t="s">
        <v>180</v>
      </c>
      <c r="K5639" t="s">
        <v>25</v>
      </c>
      <c r="L5639">
        <v>132757294</v>
      </c>
      <c r="R5639">
        <v>9595</v>
      </c>
      <c r="S5639" t="s">
        <v>224</v>
      </c>
      <c r="T5639">
        <v>0</v>
      </c>
      <c r="U5639">
        <v>30</v>
      </c>
      <c r="V5639">
        <v>0</v>
      </c>
      <c r="W5639">
        <v>0</v>
      </c>
      <c r="X5639">
        <v>0</v>
      </c>
    </row>
    <row r="5640" spans="1:40" x14ac:dyDescent="0.25">
      <c r="A5640" t="s">
        <v>15</v>
      </c>
      <c r="B5640" t="s">
        <v>24</v>
      </c>
      <c r="C5640">
        <v>20150316</v>
      </c>
      <c r="D5640">
        <v>0</v>
      </c>
      <c r="F5640">
        <v>62500</v>
      </c>
      <c r="G5640" t="s">
        <v>17</v>
      </c>
      <c r="I5640" t="s">
        <v>16</v>
      </c>
      <c r="J5640" t="s">
        <v>180</v>
      </c>
      <c r="K5640" t="s">
        <v>25</v>
      </c>
      <c r="L5640">
        <v>132757294</v>
      </c>
      <c r="R5640">
        <v>9600</v>
      </c>
      <c r="S5640" t="s">
        <v>232</v>
      </c>
      <c r="T5640">
        <v>0</v>
      </c>
      <c r="U5640">
        <v>-12</v>
      </c>
      <c r="V5640">
        <v>0</v>
      </c>
      <c r="W5640">
        <v>0</v>
      </c>
      <c r="X5640">
        <v>0</v>
      </c>
    </row>
    <row r="5641" spans="1:40" x14ac:dyDescent="0.25">
      <c r="A5641" t="s">
        <v>15</v>
      </c>
      <c r="B5641" t="s">
        <v>24</v>
      </c>
      <c r="C5641">
        <v>20150316</v>
      </c>
      <c r="D5641">
        <v>0</v>
      </c>
      <c r="F5641">
        <v>62500</v>
      </c>
      <c r="G5641" t="s">
        <v>17</v>
      </c>
      <c r="I5641" t="s">
        <v>16</v>
      </c>
      <c r="J5641" t="s">
        <v>180</v>
      </c>
      <c r="K5641" t="s">
        <v>25</v>
      </c>
      <c r="L5641">
        <v>132757294</v>
      </c>
      <c r="R5641">
        <v>9600</v>
      </c>
      <c r="S5641" t="s">
        <v>232</v>
      </c>
      <c r="T5641">
        <v>0</v>
      </c>
      <c r="U5641">
        <v>-12</v>
      </c>
      <c r="V5641">
        <v>0</v>
      </c>
      <c r="W5641">
        <v>0</v>
      </c>
      <c r="X5641">
        <v>0</v>
      </c>
    </row>
    <row r="5642" spans="1:40" x14ac:dyDescent="0.25">
      <c r="A5642" t="s">
        <v>15</v>
      </c>
      <c r="B5642" t="s">
        <v>24</v>
      </c>
      <c r="C5642">
        <v>20150316</v>
      </c>
      <c r="D5642">
        <v>0</v>
      </c>
      <c r="F5642">
        <v>62500</v>
      </c>
      <c r="G5642" t="s">
        <v>17</v>
      </c>
      <c r="I5642" t="s">
        <v>16</v>
      </c>
      <c r="J5642" t="s">
        <v>180</v>
      </c>
      <c r="K5642" t="s">
        <v>25</v>
      </c>
      <c r="L5642">
        <v>132757294</v>
      </c>
      <c r="R5642">
        <v>9600</v>
      </c>
      <c r="S5642" t="s">
        <v>192</v>
      </c>
      <c r="T5642">
        <v>0</v>
      </c>
      <c r="U5642">
        <v>12</v>
      </c>
      <c r="V5642">
        <v>0</v>
      </c>
      <c r="W5642">
        <v>0</v>
      </c>
      <c r="X5642">
        <v>0</v>
      </c>
    </row>
    <row r="5643" spans="1:40" x14ac:dyDescent="0.25">
      <c r="A5643" t="s">
        <v>15</v>
      </c>
      <c r="B5643" t="s">
        <v>24</v>
      </c>
      <c r="C5643">
        <v>20150316</v>
      </c>
      <c r="D5643">
        <v>0</v>
      </c>
      <c r="F5643">
        <v>62500</v>
      </c>
      <c r="G5643" t="s">
        <v>17</v>
      </c>
      <c r="I5643" t="s">
        <v>16</v>
      </c>
      <c r="J5643" t="s">
        <v>180</v>
      </c>
      <c r="K5643" t="s">
        <v>25</v>
      </c>
      <c r="L5643">
        <v>132757294</v>
      </c>
      <c r="R5643">
        <v>9598</v>
      </c>
      <c r="S5643" t="s">
        <v>233</v>
      </c>
      <c r="T5643">
        <v>0</v>
      </c>
      <c r="U5643">
        <v>-5</v>
      </c>
      <c r="V5643">
        <v>0</v>
      </c>
      <c r="W5643">
        <v>0</v>
      </c>
      <c r="X5643">
        <v>0</v>
      </c>
      <c r="Y5643">
        <v>9598</v>
      </c>
      <c r="Z5643" t="s">
        <v>345</v>
      </c>
      <c r="AA5643" t="s">
        <v>346</v>
      </c>
      <c r="AB5643" t="s">
        <v>234</v>
      </c>
      <c r="AC5643" t="s">
        <v>17</v>
      </c>
      <c r="AD5643" t="s">
        <v>235</v>
      </c>
      <c r="AE5643">
        <v>5</v>
      </c>
      <c r="AF5643">
        <v>5</v>
      </c>
      <c r="AG5643">
        <v>1.5250999999999999</v>
      </c>
      <c r="AH5643">
        <v>1.5250999999999999</v>
      </c>
      <c r="AI5643">
        <v>415886631</v>
      </c>
      <c r="AJ5643">
        <v>0</v>
      </c>
      <c r="AK5643">
        <v>7</v>
      </c>
      <c r="AN5643">
        <v>0</v>
      </c>
    </row>
    <row r="5644" spans="1:40" x14ac:dyDescent="0.25">
      <c r="A5644" t="s">
        <v>15</v>
      </c>
      <c r="B5644" t="s">
        <v>24</v>
      </c>
      <c r="C5644">
        <v>20150316</v>
      </c>
      <c r="D5644">
        <v>0</v>
      </c>
      <c r="F5644">
        <v>62500</v>
      </c>
      <c r="G5644" t="s">
        <v>17</v>
      </c>
      <c r="I5644" t="s">
        <v>16</v>
      </c>
      <c r="J5644" t="s">
        <v>180</v>
      </c>
      <c r="K5644" t="s">
        <v>25</v>
      </c>
      <c r="L5644">
        <v>132757294</v>
      </c>
      <c r="R5644">
        <v>9598</v>
      </c>
      <c r="S5644" t="s">
        <v>233</v>
      </c>
      <c r="T5644">
        <v>0</v>
      </c>
      <c r="U5644">
        <v>-5</v>
      </c>
      <c r="V5644">
        <v>0</v>
      </c>
      <c r="W5644">
        <v>0</v>
      </c>
      <c r="X5644">
        <v>0</v>
      </c>
    </row>
    <row r="5645" spans="1:40" x14ac:dyDescent="0.25">
      <c r="A5645" t="s">
        <v>15</v>
      </c>
      <c r="B5645" t="s">
        <v>24</v>
      </c>
      <c r="C5645">
        <v>20150316</v>
      </c>
      <c r="D5645">
        <v>0</v>
      </c>
      <c r="F5645">
        <v>62500</v>
      </c>
      <c r="G5645" t="s">
        <v>17</v>
      </c>
      <c r="I5645" t="s">
        <v>16</v>
      </c>
      <c r="J5645" t="s">
        <v>180</v>
      </c>
      <c r="K5645" t="s">
        <v>25</v>
      </c>
      <c r="L5645">
        <v>132757294</v>
      </c>
      <c r="R5645">
        <v>9598</v>
      </c>
      <c r="S5645" t="s">
        <v>37</v>
      </c>
      <c r="T5645">
        <v>5</v>
      </c>
      <c r="U5645">
        <v>0</v>
      </c>
      <c r="V5645">
        <v>1.5250999999999999</v>
      </c>
      <c r="W5645">
        <v>1.5250999999999999</v>
      </c>
      <c r="X5645">
        <v>0</v>
      </c>
    </row>
    <row r="5646" spans="1:40" x14ac:dyDescent="0.25">
      <c r="A5646" t="s">
        <v>15</v>
      </c>
      <c r="B5646" t="s">
        <v>24</v>
      </c>
      <c r="C5646">
        <v>20150316</v>
      </c>
      <c r="D5646">
        <v>0</v>
      </c>
      <c r="F5646">
        <v>62500</v>
      </c>
      <c r="G5646" t="s">
        <v>17</v>
      </c>
      <c r="I5646" t="s">
        <v>16</v>
      </c>
      <c r="J5646" t="s">
        <v>180</v>
      </c>
      <c r="K5646" t="s">
        <v>25</v>
      </c>
      <c r="L5646">
        <v>132757294</v>
      </c>
      <c r="R5646">
        <v>9598</v>
      </c>
      <c r="S5646" t="s">
        <v>37</v>
      </c>
      <c r="T5646">
        <v>5</v>
      </c>
      <c r="U5646">
        <v>0</v>
      </c>
      <c r="V5646">
        <v>1.5250999999999999</v>
      </c>
      <c r="W5646">
        <v>1.5250999999999999</v>
      </c>
      <c r="X5646">
        <v>0</v>
      </c>
    </row>
    <row r="5647" spans="1:40" x14ac:dyDescent="0.25">
      <c r="A5647" t="s">
        <v>15</v>
      </c>
      <c r="B5647" t="s">
        <v>24</v>
      </c>
      <c r="C5647">
        <v>20150316</v>
      </c>
      <c r="D5647">
        <v>0</v>
      </c>
      <c r="F5647">
        <v>62500</v>
      </c>
      <c r="G5647" t="s">
        <v>17</v>
      </c>
      <c r="I5647" t="s">
        <v>16</v>
      </c>
      <c r="J5647" t="s">
        <v>180</v>
      </c>
      <c r="K5647" t="s">
        <v>25</v>
      </c>
      <c r="L5647">
        <v>132757294</v>
      </c>
      <c r="R5647">
        <v>9598</v>
      </c>
      <c r="S5647" t="s">
        <v>37</v>
      </c>
      <c r="T5647">
        <v>5</v>
      </c>
      <c r="U5647">
        <v>0</v>
      </c>
      <c r="V5647">
        <v>1.5250999999999999</v>
      </c>
      <c r="W5647">
        <v>1.5250999999999999</v>
      </c>
      <c r="X5647">
        <v>0</v>
      </c>
    </row>
    <row r="5648" spans="1:40" x14ac:dyDescent="0.25">
      <c r="A5648" t="s">
        <v>15</v>
      </c>
      <c r="B5648" t="s">
        <v>24</v>
      </c>
      <c r="C5648">
        <v>20150316</v>
      </c>
      <c r="D5648">
        <v>0</v>
      </c>
      <c r="F5648">
        <v>62500</v>
      </c>
      <c r="G5648" t="s">
        <v>17</v>
      </c>
      <c r="I5648" t="s">
        <v>16</v>
      </c>
      <c r="J5648" t="s">
        <v>180</v>
      </c>
      <c r="K5648" t="s">
        <v>25</v>
      </c>
      <c r="L5648">
        <v>132757294</v>
      </c>
      <c r="R5648">
        <v>9598</v>
      </c>
      <c r="S5648" t="s">
        <v>37</v>
      </c>
      <c r="T5648">
        <v>5</v>
      </c>
      <c r="U5648">
        <v>0</v>
      </c>
      <c r="V5648">
        <v>1.5250999999999999</v>
      </c>
      <c r="W5648">
        <v>1.5250999999999999</v>
      </c>
      <c r="X5648">
        <v>0</v>
      </c>
    </row>
    <row r="5649" spans="1:40" x14ac:dyDescent="0.25">
      <c r="A5649" t="s">
        <v>15</v>
      </c>
      <c r="B5649" t="s">
        <v>24</v>
      </c>
      <c r="C5649">
        <v>20150316</v>
      </c>
      <c r="D5649">
        <v>0</v>
      </c>
      <c r="F5649">
        <v>62500</v>
      </c>
      <c r="G5649" t="s">
        <v>17</v>
      </c>
      <c r="I5649" t="s">
        <v>16</v>
      </c>
      <c r="J5649" t="s">
        <v>180</v>
      </c>
      <c r="K5649" t="s">
        <v>25</v>
      </c>
      <c r="L5649">
        <v>132757294</v>
      </c>
      <c r="R5649">
        <v>9598</v>
      </c>
      <c r="S5649" t="s">
        <v>37</v>
      </c>
      <c r="T5649">
        <v>5</v>
      </c>
      <c r="U5649">
        <v>0</v>
      </c>
      <c r="V5649">
        <v>1.5250999999999999</v>
      </c>
      <c r="W5649">
        <v>1.5250999999999999</v>
      </c>
      <c r="X5649">
        <v>0</v>
      </c>
    </row>
    <row r="5650" spans="1:40" x14ac:dyDescent="0.25">
      <c r="A5650" t="s">
        <v>15</v>
      </c>
      <c r="B5650" t="s">
        <v>24</v>
      </c>
      <c r="C5650">
        <v>20150316</v>
      </c>
      <c r="D5650">
        <v>0</v>
      </c>
      <c r="F5650">
        <v>62500</v>
      </c>
      <c r="G5650" t="s">
        <v>17</v>
      </c>
      <c r="I5650" t="s">
        <v>16</v>
      </c>
      <c r="J5650" t="s">
        <v>180</v>
      </c>
      <c r="K5650" t="s">
        <v>25</v>
      </c>
      <c r="L5650">
        <v>132757294</v>
      </c>
      <c r="R5650">
        <v>9601</v>
      </c>
      <c r="S5650" t="s">
        <v>232</v>
      </c>
      <c r="T5650">
        <v>0</v>
      </c>
      <c r="U5650">
        <v>5</v>
      </c>
      <c r="V5650">
        <v>0</v>
      </c>
      <c r="W5650">
        <v>0</v>
      </c>
      <c r="X5650">
        <v>0</v>
      </c>
    </row>
    <row r="5651" spans="1:40" x14ac:dyDescent="0.25">
      <c r="A5651" t="s">
        <v>15</v>
      </c>
      <c r="B5651" t="s">
        <v>24</v>
      </c>
      <c r="C5651">
        <v>20150316</v>
      </c>
      <c r="D5651">
        <v>0</v>
      </c>
      <c r="F5651">
        <v>62500</v>
      </c>
      <c r="G5651" t="s">
        <v>17</v>
      </c>
      <c r="I5651" t="s">
        <v>16</v>
      </c>
      <c r="J5651" t="s">
        <v>180</v>
      </c>
      <c r="K5651" t="s">
        <v>25</v>
      </c>
      <c r="L5651">
        <v>132757294</v>
      </c>
      <c r="R5651">
        <v>9601</v>
      </c>
      <c r="S5651" t="s">
        <v>232</v>
      </c>
      <c r="T5651">
        <v>0</v>
      </c>
      <c r="U5651">
        <v>5</v>
      </c>
      <c r="V5651">
        <v>0</v>
      </c>
      <c r="W5651">
        <v>0</v>
      </c>
      <c r="X5651">
        <v>0</v>
      </c>
    </row>
    <row r="5652" spans="1:40" x14ac:dyDescent="0.25">
      <c r="A5652" t="s">
        <v>15</v>
      </c>
      <c r="B5652" t="s">
        <v>24</v>
      </c>
      <c r="C5652">
        <v>20150316</v>
      </c>
      <c r="D5652">
        <v>0</v>
      </c>
      <c r="F5652">
        <v>62500</v>
      </c>
      <c r="G5652" t="s">
        <v>17</v>
      </c>
      <c r="I5652" t="s">
        <v>16</v>
      </c>
      <c r="J5652" t="s">
        <v>180</v>
      </c>
      <c r="K5652" t="s">
        <v>25</v>
      </c>
      <c r="L5652">
        <v>132757294</v>
      </c>
      <c r="R5652">
        <v>9601</v>
      </c>
      <c r="S5652" t="s">
        <v>233</v>
      </c>
      <c r="T5652">
        <v>0</v>
      </c>
      <c r="U5652">
        <v>5</v>
      </c>
      <c r="V5652">
        <v>0</v>
      </c>
      <c r="W5652">
        <v>0</v>
      </c>
      <c r="X5652">
        <v>0</v>
      </c>
    </row>
    <row r="5653" spans="1:40" x14ac:dyDescent="0.25">
      <c r="A5653" t="s">
        <v>15</v>
      </c>
      <c r="B5653" t="s">
        <v>24</v>
      </c>
      <c r="C5653">
        <v>20150316</v>
      </c>
      <c r="D5653">
        <v>0</v>
      </c>
      <c r="F5653">
        <v>62500</v>
      </c>
      <c r="G5653" t="s">
        <v>17</v>
      </c>
      <c r="I5653" t="s">
        <v>16</v>
      </c>
      <c r="J5653" t="s">
        <v>180</v>
      </c>
      <c r="K5653" t="s">
        <v>25</v>
      </c>
      <c r="L5653">
        <v>132757294</v>
      </c>
      <c r="R5653">
        <v>9601</v>
      </c>
      <c r="S5653" t="s">
        <v>233</v>
      </c>
      <c r="T5653">
        <v>0</v>
      </c>
      <c r="U5653">
        <v>-1</v>
      </c>
      <c r="V5653">
        <v>0</v>
      </c>
      <c r="W5653">
        <v>0</v>
      </c>
      <c r="X5653">
        <v>0</v>
      </c>
      <c r="Y5653">
        <v>9601</v>
      </c>
      <c r="Z5653" t="s">
        <v>347</v>
      </c>
      <c r="AA5653" t="s">
        <v>348</v>
      </c>
      <c r="AB5653" t="s">
        <v>234</v>
      </c>
      <c r="AC5653" t="s">
        <v>17</v>
      </c>
      <c r="AD5653" t="s">
        <v>235</v>
      </c>
      <c r="AE5653">
        <v>3</v>
      </c>
      <c r="AF5653">
        <v>3</v>
      </c>
      <c r="AG5653">
        <v>1.5250999999999999</v>
      </c>
      <c r="AH5653">
        <v>1.5250999999999999</v>
      </c>
      <c r="AI5653">
        <v>415886634</v>
      </c>
      <c r="AJ5653">
        <v>0</v>
      </c>
      <c r="AK5653">
        <v>7</v>
      </c>
      <c r="AN5653">
        <v>0</v>
      </c>
    </row>
    <row r="5654" spans="1:40" x14ac:dyDescent="0.25">
      <c r="A5654" t="s">
        <v>15</v>
      </c>
      <c r="B5654" t="s">
        <v>24</v>
      </c>
      <c r="C5654">
        <v>20150316</v>
      </c>
      <c r="D5654">
        <v>0</v>
      </c>
      <c r="F5654">
        <v>62500</v>
      </c>
      <c r="G5654" t="s">
        <v>17</v>
      </c>
      <c r="I5654" t="s">
        <v>16</v>
      </c>
      <c r="J5654" t="s">
        <v>180</v>
      </c>
      <c r="K5654" t="s">
        <v>25</v>
      </c>
      <c r="L5654">
        <v>132757294</v>
      </c>
      <c r="R5654">
        <v>9601</v>
      </c>
      <c r="S5654" t="s">
        <v>233</v>
      </c>
      <c r="T5654">
        <v>0</v>
      </c>
      <c r="U5654">
        <v>-1</v>
      </c>
      <c r="V5654">
        <v>0</v>
      </c>
      <c r="W5654">
        <v>0</v>
      </c>
      <c r="X5654">
        <v>0</v>
      </c>
    </row>
    <row r="5655" spans="1:40" x14ac:dyDescent="0.25">
      <c r="A5655" t="s">
        <v>15</v>
      </c>
      <c r="B5655" t="s">
        <v>24</v>
      </c>
      <c r="C5655">
        <v>20150316</v>
      </c>
      <c r="D5655">
        <v>0</v>
      </c>
      <c r="F5655">
        <v>62500</v>
      </c>
      <c r="G5655" t="s">
        <v>17</v>
      </c>
      <c r="I5655" t="s">
        <v>16</v>
      </c>
      <c r="J5655" t="s">
        <v>180</v>
      </c>
      <c r="K5655" t="s">
        <v>25</v>
      </c>
      <c r="L5655">
        <v>132757294</v>
      </c>
      <c r="R5655">
        <v>9601</v>
      </c>
      <c r="S5655" t="s">
        <v>233</v>
      </c>
      <c r="T5655">
        <v>3</v>
      </c>
      <c r="U5655">
        <v>2</v>
      </c>
      <c r="V5655">
        <v>1.5250999999999999</v>
      </c>
      <c r="W5655">
        <v>1.5250999999999999</v>
      </c>
      <c r="X5655">
        <v>0</v>
      </c>
    </row>
    <row r="5656" spans="1:40" x14ac:dyDescent="0.25">
      <c r="A5656" t="s">
        <v>15</v>
      </c>
      <c r="B5656" t="s">
        <v>24</v>
      </c>
      <c r="C5656">
        <v>20150316</v>
      </c>
      <c r="D5656">
        <v>0</v>
      </c>
      <c r="F5656">
        <v>62500</v>
      </c>
      <c r="G5656" t="s">
        <v>17</v>
      </c>
      <c r="I5656" t="s">
        <v>16</v>
      </c>
      <c r="J5656" t="s">
        <v>180</v>
      </c>
      <c r="K5656" t="s">
        <v>25</v>
      </c>
      <c r="L5656">
        <v>132757294</v>
      </c>
      <c r="R5656">
        <v>9601</v>
      </c>
      <c r="S5656" t="s">
        <v>233</v>
      </c>
      <c r="T5656">
        <v>3</v>
      </c>
      <c r="U5656">
        <v>2</v>
      </c>
      <c r="V5656">
        <v>1.5250999999999999</v>
      </c>
      <c r="W5656">
        <v>1.5250999999999999</v>
      </c>
      <c r="X5656">
        <v>0</v>
      </c>
    </row>
    <row r="5657" spans="1:40" x14ac:dyDescent="0.25">
      <c r="A5657" t="s">
        <v>15</v>
      </c>
      <c r="B5657" t="s">
        <v>24</v>
      </c>
      <c r="C5657">
        <v>20150316</v>
      </c>
      <c r="D5657">
        <v>0</v>
      </c>
      <c r="F5657">
        <v>62500</v>
      </c>
      <c r="G5657" t="s">
        <v>17</v>
      </c>
      <c r="I5657" t="s">
        <v>16</v>
      </c>
      <c r="J5657" t="s">
        <v>180</v>
      </c>
      <c r="K5657" t="s">
        <v>25</v>
      </c>
      <c r="L5657">
        <v>132757294</v>
      </c>
      <c r="R5657">
        <v>9601</v>
      </c>
      <c r="S5657" t="s">
        <v>233</v>
      </c>
      <c r="T5657">
        <v>3</v>
      </c>
      <c r="U5657">
        <v>2</v>
      </c>
      <c r="V5657">
        <v>1.5250999999999999</v>
      </c>
      <c r="W5657">
        <v>1.5250999999999999</v>
      </c>
      <c r="X5657">
        <v>0</v>
      </c>
    </row>
    <row r="5658" spans="1:40" x14ac:dyDescent="0.25">
      <c r="A5658" t="s">
        <v>15</v>
      </c>
      <c r="B5658" t="s">
        <v>24</v>
      </c>
      <c r="C5658">
        <v>20150316</v>
      </c>
      <c r="D5658">
        <v>0</v>
      </c>
      <c r="F5658">
        <v>62500</v>
      </c>
      <c r="G5658" t="s">
        <v>17</v>
      </c>
      <c r="I5658" t="s">
        <v>16</v>
      </c>
      <c r="J5658" t="s">
        <v>180</v>
      </c>
      <c r="K5658" t="s">
        <v>25</v>
      </c>
      <c r="L5658">
        <v>132757294</v>
      </c>
      <c r="R5658">
        <v>9602</v>
      </c>
      <c r="S5658" t="s">
        <v>232</v>
      </c>
      <c r="T5658">
        <v>0</v>
      </c>
      <c r="U5658">
        <v>14</v>
      </c>
      <c r="V5658">
        <v>0</v>
      </c>
      <c r="W5658">
        <v>0</v>
      </c>
      <c r="X5658">
        <v>0</v>
      </c>
    </row>
    <row r="5659" spans="1:40" x14ac:dyDescent="0.25">
      <c r="A5659" t="s">
        <v>15</v>
      </c>
      <c r="B5659" t="s">
        <v>24</v>
      </c>
      <c r="C5659">
        <v>20150316</v>
      </c>
      <c r="D5659">
        <v>0</v>
      </c>
      <c r="F5659">
        <v>62500</v>
      </c>
      <c r="G5659" t="s">
        <v>17</v>
      </c>
      <c r="I5659" t="s">
        <v>16</v>
      </c>
      <c r="J5659" t="s">
        <v>180</v>
      </c>
      <c r="K5659" t="s">
        <v>25</v>
      </c>
      <c r="L5659">
        <v>132757294</v>
      </c>
      <c r="R5659">
        <v>9599</v>
      </c>
      <c r="S5659" t="s">
        <v>223</v>
      </c>
      <c r="T5659">
        <v>0</v>
      </c>
      <c r="U5659">
        <v>12</v>
      </c>
      <c r="V5659">
        <v>0</v>
      </c>
      <c r="W5659">
        <v>0</v>
      </c>
      <c r="X5659">
        <v>0</v>
      </c>
    </row>
    <row r="5660" spans="1:40" x14ac:dyDescent="0.25">
      <c r="A5660" t="s">
        <v>15</v>
      </c>
      <c r="B5660" t="s">
        <v>24</v>
      </c>
      <c r="C5660">
        <v>20150316</v>
      </c>
      <c r="D5660">
        <v>0</v>
      </c>
      <c r="F5660">
        <v>62500</v>
      </c>
      <c r="G5660" t="s">
        <v>17</v>
      </c>
      <c r="I5660" t="s">
        <v>16</v>
      </c>
      <c r="J5660" t="s">
        <v>180</v>
      </c>
      <c r="K5660" t="s">
        <v>25</v>
      </c>
      <c r="L5660">
        <v>132757294</v>
      </c>
      <c r="R5660">
        <v>9599</v>
      </c>
      <c r="S5660" t="s">
        <v>224</v>
      </c>
      <c r="T5660">
        <v>0</v>
      </c>
      <c r="U5660">
        <v>12</v>
      </c>
      <c r="V5660">
        <v>0</v>
      </c>
      <c r="W5660">
        <v>0</v>
      </c>
      <c r="X5660">
        <v>0</v>
      </c>
    </row>
    <row r="5661" spans="1:40" x14ac:dyDescent="0.25">
      <c r="A5661" t="s">
        <v>15</v>
      </c>
      <c r="B5661" t="s">
        <v>24</v>
      </c>
      <c r="C5661">
        <v>20150316</v>
      </c>
      <c r="D5661">
        <v>0</v>
      </c>
      <c r="F5661">
        <v>62500</v>
      </c>
      <c r="G5661" t="s">
        <v>17</v>
      </c>
      <c r="I5661" t="s">
        <v>16</v>
      </c>
      <c r="J5661" t="s">
        <v>180</v>
      </c>
      <c r="K5661" t="s">
        <v>25</v>
      </c>
      <c r="L5661">
        <v>132757294</v>
      </c>
      <c r="R5661">
        <v>9602</v>
      </c>
      <c r="S5661" t="s">
        <v>232</v>
      </c>
      <c r="T5661">
        <v>0</v>
      </c>
      <c r="U5661">
        <v>14</v>
      </c>
      <c r="V5661">
        <v>0</v>
      </c>
      <c r="W5661">
        <v>0</v>
      </c>
      <c r="X5661">
        <v>0</v>
      </c>
    </row>
    <row r="5662" spans="1:40" x14ac:dyDescent="0.25">
      <c r="A5662" t="s">
        <v>15</v>
      </c>
      <c r="B5662" t="s">
        <v>24</v>
      </c>
      <c r="C5662">
        <v>20150316</v>
      </c>
      <c r="D5662">
        <v>0</v>
      </c>
      <c r="F5662">
        <v>62500</v>
      </c>
      <c r="G5662" t="s">
        <v>17</v>
      </c>
      <c r="I5662" t="s">
        <v>16</v>
      </c>
      <c r="J5662" t="s">
        <v>180</v>
      </c>
      <c r="K5662" t="s">
        <v>25</v>
      </c>
      <c r="L5662">
        <v>132757294</v>
      </c>
      <c r="R5662">
        <v>9602</v>
      </c>
      <c r="S5662" t="s">
        <v>192</v>
      </c>
      <c r="T5662">
        <v>0</v>
      </c>
      <c r="U5662">
        <v>14</v>
      </c>
      <c r="V5662">
        <v>0</v>
      </c>
      <c r="W5662">
        <v>0</v>
      </c>
      <c r="X5662">
        <v>0</v>
      </c>
    </row>
    <row r="5663" spans="1:40" x14ac:dyDescent="0.25">
      <c r="A5663" t="s">
        <v>15</v>
      </c>
      <c r="B5663" t="s">
        <v>24</v>
      </c>
      <c r="C5663">
        <v>20150316</v>
      </c>
      <c r="D5663">
        <v>0</v>
      </c>
      <c r="F5663">
        <v>62500</v>
      </c>
      <c r="G5663" t="s">
        <v>17</v>
      </c>
      <c r="I5663" t="s">
        <v>16</v>
      </c>
      <c r="J5663" t="s">
        <v>180</v>
      </c>
      <c r="K5663" t="s">
        <v>25</v>
      </c>
      <c r="L5663">
        <v>132757294</v>
      </c>
      <c r="R5663">
        <v>9601</v>
      </c>
      <c r="S5663" t="s">
        <v>233</v>
      </c>
      <c r="T5663">
        <v>3</v>
      </c>
      <c r="U5663">
        <v>0</v>
      </c>
      <c r="V5663">
        <v>1.5250999999999999</v>
      </c>
      <c r="W5663">
        <v>1.5250999999999999</v>
      </c>
      <c r="X5663">
        <v>0</v>
      </c>
      <c r="Y5663">
        <v>9601</v>
      </c>
      <c r="Z5663" t="s">
        <v>349</v>
      </c>
      <c r="AA5663" t="s">
        <v>350</v>
      </c>
      <c r="AB5663" t="s">
        <v>234</v>
      </c>
      <c r="AC5663" t="s">
        <v>17</v>
      </c>
      <c r="AD5663" t="s">
        <v>235</v>
      </c>
      <c r="AE5663">
        <v>1</v>
      </c>
      <c r="AF5663">
        <v>4</v>
      </c>
      <c r="AG5663">
        <v>1.5250999999999999</v>
      </c>
      <c r="AH5663">
        <v>1.5250999999999999</v>
      </c>
      <c r="AI5663">
        <v>415886634</v>
      </c>
      <c r="AJ5663">
        <v>0</v>
      </c>
      <c r="AK5663">
        <v>7</v>
      </c>
      <c r="AN5663">
        <v>0</v>
      </c>
    </row>
    <row r="5664" spans="1:40" x14ac:dyDescent="0.25">
      <c r="A5664" t="s">
        <v>15</v>
      </c>
      <c r="B5664" t="s">
        <v>24</v>
      </c>
      <c r="C5664">
        <v>20150316</v>
      </c>
      <c r="D5664">
        <v>0</v>
      </c>
      <c r="F5664">
        <v>62500</v>
      </c>
      <c r="G5664" t="s">
        <v>17</v>
      </c>
      <c r="I5664" t="s">
        <v>16</v>
      </c>
      <c r="J5664" t="s">
        <v>180</v>
      </c>
      <c r="K5664" t="s">
        <v>25</v>
      </c>
      <c r="L5664">
        <v>132757294</v>
      </c>
      <c r="R5664">
        <v>9601</v>
      </c>
      <c r="S5664" t="s">
        <v>233</v>
      </c>
      <c r="T5664">
        <v>3</v>
      </c>
      <c r="U5664">
        <v>0</v>
      </c>
      <c r="V5664">
        <v>1.5250999999999999</v>
      </c>
      <c r="W5664">
        <v>1.5250999999999999</v>
      </c>
      <c r="X5664">
        <v>0</v>
      </c>
    </row>
    <row r="5665" spans="1:40" x14ac:dyDescent="0.25">
      <c r="A5665" t="s">
        <v>15</v>
      </c>
      <c r="B5665" t="s">
        <v>24</v>
      </c>
      <c r="C5665">
        <v>20150316</v>
      </c>
      <c r="D5665">
        <v>0</v>
      </c>
      <c r="F5665">
        <v>62500</v>
      </c>
      <c r="G5665" t="s">
        <v>17</v>
      </c>
      <c r="I5665" t="s">
        <v>16</v>
      </c>
      <c r="J5665" t="s">
        <v>180</v>
      </c>
      <c r="K5665" t="s">
        <v>25</v>
      </c>
      <c r="L5665">
        <v>132757294</v>
      </c>
      <c r="R5665">
        <v>9601</v>
      </c>
      <c r="S5665" t="s">
        <v>233</v>
      </c>
      <c r="T5665">
        <v>4</v>
      </c>
      <c r="U5665">
        <v>1</v>
      </c>
      <c r="V5665">
        <v>1.5250999999999999</v>
      </c>
      <c r="W5665">
        <v>1.5250999999999999</v>
      </c>
      <c r="X5665">
        <v>0</v>
      </c>
    </row>
    <row r="5666" spans="1:40" x14ac:dyDescent="0.25">
      <c r="A5666" t="s">
        <v>15</v>
      </c>
      <c r="B5666" t="s">
        <v>24</v>
      </c>
      <c r="C5666">
        <v>20150316</v>
      </c>
      <c r="D5666">
        <v>0</v>
      </c>
      <c r="F5666">
        <v>62500</v>
      </c>
      <c r="G5666" t="s">
        <v>17</v>
      </c>
      <c r="I5666" t="s">
        <v>16</v>
      </c>
      <c r="J5666" t="s">
        <v>180</v>
      </c>
      <c r="K5666" t="s">
        <v>25</v>
      </c>
      <c r="L5666">
        <v>132757294</v>
      </c>
      <c r="R5666">
        <v>9601</v>
      </c>
      <c r="S5666" t="s">
        <v>233</v>
      </c>
      <c r="T5666">
        <v>4</v>
      </c>
      <c r="U5666">
        <v>1</v>
      </c>
      <c r="V5666">
        <v>1.5250999999999999</v>
      </c>
      <c r="W5666">
        <v>1.5250999999999999</v>
      </c>
      <c r="X5666">
        <v>0</v>
      </c>
    </row>
    <row r="5667" spans="1:40" x14ac:dyDescent="0.25">
      <c r="A5667" t="s">
        <v>15</v>
      </c>
      <c r="B5667" t="s">
        <v>24</v>
      </c>
      <c r="C5667">
        <v>20150316</v>
      </c>
      <c r="D5667">
        <v>0</v>
      </c>
      <c r="F5667">
        <v>62500</v>
      </c>
      <c r="G5667" t="s">
        <v>17</v>
      </c>
      <c r="I5667" t="s">
        <v>16</v>
      </c>
      <c r="J5667" t="s">
        <v>180</v>
      </c>
      <c r="K5667" t="s">
        <v>25</v>
      </c>
      <c r="L5667">
        <v>132757294</v>
      </c>
      <c r="R5667">
        <v>9601</v>
      </c>
      <c r="S5667" t="s">
        <v>233</v>
      </c>
      <c r="T5667">
        <v>4</v>
      </c>
      <c r="U5667">
        <v>1</v>
      </c>
      <c r="V5667">
        <v>1.5250999999999999</v>
      </c>
      <c r="W5667">
        <v>1.5250999999999999</v>
      </c>
      <c r="X5667">
        <v>0</v>
      </c>
    </row>
    <row r="5668" spans="1:40" x14ac:dyDescent="0.25">
      <c r="A5668" t="s">
        <v>15</v>
      </c>
      <c r="B5668" t="s">
        <v>24</v>
      </c>
      <c r="C5668">
        <v>20150316</v>
      </c>
      <c r="D5668">
        <v>0</v>
      </c>
      <c r="F5668">
        <v>62500</v>
      </c>
      <c r="G5668" t="s">
        <v>17</v>
      </c>
      <c r="I5668" t="s">
        <v>16</v>
      </c>
      <c r="J5668" t="s">
        <v>180</v>
      </c>
      <c r="K5668" t="s">
        <v>25</v>
      </c>
      <c r="L5668">
        <v>132757294</v>
      </c>
      <c r="R5668">
        <v>9601</v>
      </c>
      <c r="S5668" t="s">
        <v>233</v>
      </c>
      <c r="T5668">
        <v>4</v>
      </c>
      <c r="U5668">
        <v>-1</v>
      </c>
      <c r="V5668">
        <v>1.5250999999999999</v>
      </c>
      <c r="W5668">
        <v>1.5250999999999999</v>
      </c>
      <c r="X5668">
        <v>0</v>
      </c>
      <c r="Y5668">
        <v>9601</v>
      </c>
      <c r="Z5668" t="s">
        <v>351</v>
      </c>
      <c r="AA5668" t="s">
        <v>352</v>
      </c>
      <c r="AB5668" t="s">
        <v>234</v>
      </c>
      <c r="AC5668" t="s">
        <v>17</v>
      </c>
      <c r="AD5668" t="s">
        <v>235</v>
      </c>
      <c r="AE5668">
        <v>1</v>
      </c>
      <c r="AF5668">
        <v>5</v>
      </c>
      <c r="AG5668">
        <v>1.5250999999999999</v>
      </c>
      <c r="AH5668">
        <v>1.5250999999999999</v>
      </c>
      <c r="AI5668">
        <v>415886634</v>
      </c>
      <c r="AJ5668">
        <v>0</v>
      </c>
      <c r="AK5668">
        <v>7</v>
      </c>
      <c r="AN5668">
        <v>0</v>
      </c>
    </row>
    <row r="5669" spans="1:40" x14ac:dyDescent="0.25">
      <c r="A5669" t="s">
        <v>15</v>
      </c>
      <c r="B5669" t="s">
        <v>24</v>
      </c>
      <c r="C5669">
        <v>20150316</v>
      </c>
      <c r="D5669">
        <v>0</v>
      </c>
      <c r="F5669">
        <v>62500</v>
      </c>
      <c r="G5669" t="s">
        <v>17</v>
      </c>
      <c r="I5669" t="s">
        <v>16</v>
      </c>
      <c r="J5669" t="s">
        <v>180</v>
      </c>
      <c r="K5669" t="s">
        <v>25</v>
      </c>
      <c r="L5669">
        <v>132757294</v>
      </c>
      <c r="R5669">
        <v>9601</v>
      </c>
      <c r="S5669" t="s">
        <v>233</v>
      </c>
      <c r="T5669">
        <v>4</v>
      </c>
      <c r="U5669">
        <v>-1</v>
      </c>
      <c r="V5669">
        <v>1.5250999999999999</v>
      </c>
      <c r="W5669">
        <v>1.5250999999999999</v>
      </c>
      <c r="X5669">
        <v>0</v>
      </c>
    </row>
    <row r="5670" spans="1:40" x14ac:dyDescent="0.25">
      <c r="A5670" t="s">
        <v>15</v>
      </c>
      <c r="B5670" t="s">
        <v>24</v>
      </c>
      <c r="C5670">
        <v>20150316</v>
      </c>
      <c r="D5670">
        <v>0</v>
      </c>
      <c r="F5670">
        <v>62500</v>
      </c>
      <c r="G5670" t="s">
        <v>17</v>
      </c>
      <c r="I5670" t="s">
        <v>16</v>
      </c>
      <c r="J5670" t="s">
        <v>180</v>
      </c>
      <c r="K5670" t="s">
        <v>25</v>
      </c>
      <c r="L5670">
        <v>132757294</v>
      </c>
      <c r="R5670">
        <v>9601</v>
      </c>
      <c r="S5670" t="s">
        <v>37</v>
      </c>
      <c r="T5670">
        <v>5</v>
      </c>
      <c r="U5670">
        <v>0</v>
      </c>
      <c r="V5670">
        <v>1.5250999999999999</v>
      </c>
      <c r="W5670">
        <v>1.5250999999999999</v>
      </c>
      <c r="X5670">
        <v>0</v>
      </c>
    </row>
    <row r="5671" spans="1:40" x14ac:dyDescent="0.25">
      <c r="A5671" t="s">
        <v>15</v>
      </c>
      <c r="B5671" t="s">
        <v>24</v>
      </c>
      <c r="C5671">
        <v>20150316</v>
      </c>
      <c r="D5671">
        <v>0</v>
      </c>
      <c r="F5671">
        <v>62500</v>
      </c>
      <c r="G5671" t="s">
        <v>17</v>
      </c>
      <c r="I5671" t="s">
        <v>16</v>
      </c>
      <c r="J5671" t="s">
        <v>180</v>
      </c>
      <c r="K5671" t="s">
        <v>25</v>
      </c>
      <c r="L5671">
        <v>132757294</v>
      </c>
      <c r="R5671">
        <v>9601</v>
      </c>
      <c r="S5671" t="s">
        <v>37</v>
      </c>
      <c r="T5671">
        <v>5</v>
      </c>
      <c r="U5671">
        <v>0</v>
      </c>
      <c r="V5671">
        <v>1.5250999999999999</v>
      </c>
      <c r="W5671">
        <v>1.5250999999999999</v>
      </c>
      <c r="X5671">
        <v>0</v>
      </c>
    </row>
    <row r="5672" spans="1:40" x14ac:dyDescent="0.25">
      <c r="A5672" t="s">
        <v>15</v>
      </c>
      <c r="B5672" t="s">
        <v>24</v>
      </c>
      <c r="C5672">
        <v>20150316</v>
      </c>
      <c r="D5672">
        <v>0</v>
      </c>
      <c r="F5672">
        <v>62500</v>
      </c>
      <c r="G5672" t="s">
        <v>17</v>
      </c>
      <c r="I5672" t="s">
        <v>16</v>
      </c>
      <c r="J5672" t="s">
        <v>180</v>
      </c>
      <c r="K5672" t="s">
        <v>25</v>
      </c>
      <c r="L5672">
        <v>132757294</v>
      </c>
      <c r="R5672">
        <v>9601</v>
      </c>
      <c r="S5672" t="s">
        <v>37</v>
      </c>
      <c r="T5672">
        <v>5</v>
      </c>
      <c r="U5672">
        <v>0</v>
      </c>
      <c r="V5672">
        <v>1.5250999999999999</v>
      </c>
      <c r="W5672">
        <v>1.5250999999999999</v>
      </c>
      <c r="X5672">
        <v>0</v>
      </c>
    </row>
    <row r="5673" spans="1:40" x14ac:dyDescent="0.25">
      <c r="A5673" t="s">
        <v>15</v>
      </c>
      <c r="B5673" t="s">
        <v>24</v>
      </c>
      <c r="C5673">
        <v>20150316</v>
      </c>
      <c r="D5673">
        <v>0</v>
      </c>
      <c r="F5673">
        <v>62500</v>
      </c>
      <c r="G5673" t="s">
        <v>17</v>
      </c>
      <c r="I5673" t="s">
        <v>16</v>
      </c>
      <c r="J5673" t="s">
        <v>180</v>
      </c>
      <c r="K5673" t="s">
        <v>25</v>
      </c>
      <c r="L5673">
        <v>132757294</v>
      </c>
      <c r="R5673">
        <v>9601</v>
      </c>
      <c r="S5673" t="s">
        <v>37</v>
      </c>
      <c r="T5673">
        <v>5</v>
      </c>
      <c r="U5673">
        <v>0</v>
      </c>
      <c r="V5673">
        <v>1.5250999999999999</v>
      </c>
      <c r="W5673">
        <v>1.5250999999999999</v>
      </c>
      <c r="X5673">
        <v>0</v>
      </c>
    </row>
    <row r="5674" spans="1:40" x14ac:dyDescent="0.25">
      <c r="A5674" t="s">
        <v>15</v>
      </c>
      <c r="B5674" t="s">
        <v>24</v>
      </c>
      <c r="C5674">
        <v>20150316</v>
      </c>
      <c r="D5674">
        <v>0</v>
      </c>
      <c r="F5674">
        <v>62500</v>
      </c>
      <c r="G5674" t="s">
        <v>17</v>
      </c>
      <c r="I5674" t="s">
        <v>16</v>
      </c>
      <c r="J5674" t="s">
        <v>180</v>
      </c>
      <c r="K5674" t="s">
        <v>25</v>
      </c>
      <c r="L5674">
        <v>132757294</v>
      </c>
      <c r="R5674">
        <v>9601</v>
      </c>
      <c r="S5674" t="s">
        <v>37</v>
      </c>
      <c r="T5674">
        <v>5</v>
      </c>
      <c r="U5674">
        <v>0</v>
      </c>
      <c r="V5674">
        <v>1.5250999999999999</v>
      </c>
      <c r="W5674">
        <v>1.5250999999999999</v>
      </c>
      <c r="X5674">
        <v>0</v>
      </c>
    </row>
    <row r="5675" spans="1:40" x14ac:dyDescent="0.25">
      <c r="A5675" t="s">
        <v>15</v>
      </c>
      <c r="B5675" t="s">
        <v>24</v>
      </c>
      <c r="C5675">
        <v>20150316</v>
      </c>
      <c r="D5675">
        <v>0</v>
      </c>
      <c r="F5675">
        <v>62500</v>
      </c>
      <c r="G5675" t="s">
        <v>17</v>
      </c>
      <c r="I5675" t="s">
        <v>16</v>
      </c>
      <c r="J5675" t="s">
        <v>180</v>
      </c>
      <c r="K5675" t="s">
        <v>25</v>
      </c>
      <c r="L5675">
        <v>132757294</v>
      </c>
      <c r="R5675">
        <v>9603</v>
      </c>
      <c r="S5675" t="s">
        <v>232</v>
      </c>
      <c r="T5675">
        <v>0</v>
      </c>
      <c r="U5675">
        <v>5</v>
      </c>
      <c r="V5675">
        <v>0</v>
      </c>
      <c r="W5675">
        <v>0</v>
      </c>
      <c r="X5675">
        <v>0</v>
      </c>
    </row>
    <row r="5676" spans="1:40" x14ac:dyDescent="0.25">
      <c r="A5676" t="s">
        <v>15</v>
      </c>
      <c r="B5676" t="s">
        <v>24</v>
      </c>
      <c r="C5676">
        <v>20150316</v>
      </c>
      <c r="D5676">
        <v>0</v>
      </c>
      <c r="F5676">
        <v>62500</v>
      </c>
      <c r="G5676" t="s">
        <v>17</v>
      </c>
      <c r="I5676" t="s">
        <v>16</v>
      </c>
      <c r="J5676" t="s">
        <v>180</v>
      </c>
      <c r="K5676" t="s">
        <v>25</v>
      </c>
      <c r="L5676">
        <v>132757294</v>
      </c>
      <c r="R5676">
        <v>9603</v>
      </c>
      <c r="S5676" t="s">
        <v>232</v>
      </c>
      <c r="T5676">
        <v>0</v>
      </c>
      <c r="U5676">
        <v>5</v>
      </c>
      <c r="V5676">
        <v>0</v>
      </c>
      <c r="W5676">
        <v>0</v>
      </c>
      <c r="X5676">
        <v>0</v>
      </c>
    </row>
    <row r="5677" spans="1:40" x14ac:dyDescent="0.25">
      <c r="A5677" t="s">
        <v>15</v>
      </c>
      <c r="B5677" t="s">
        <v>24</v>
      </c>
      <c r="C5677">
        <v>20150316</v>
      </c>
      <c r="D5677">
        <v>0</v>
      </c>
      <c r="F5677">
        <v>62500</v>
      </c>
      <c r="G5677" t="s">
        <v>17</v>
      </c>
      <c r="I5677" t="s">
        <v>16</v>
      </c>
      <c r="J5677" t="s">
        <v>180</v>
      </c>
      <c r="K5677" t="s">
        <v>25</v>
      </c>
      <c r="L5677">
        <v>132757294</v>
      </c>
      <c r="R5677">
        <v>9603</v>
      </c>
      <c r="S5677" t="s">
        <v>233</v>
      </c>
      <c r="T5677">
        <v>0</v>
      </c>
      <c r="U5677">
        <v>5</v>
      </c>
      <c r="V5677">
        <v>0</v>
      </c>
      <c r="W5677">
        <v>0</v>
      </c>
      <c r="X5677">
        <v>0</v>
      </c>
    </row>
    <row r="5678" spans="1:40" x14ac:dyDescent="0.25">
      <c r="A5678" t="s">
        <v>15</v>
      </c>
      <c r="B5678" t="s">
        <v>24</v>
      </c>
      <c r="C5678">
        <v>20150316</v>
      </c>
      <c r="D5678">
        <v>0</v>
      </c>
      <c r="F5678">
        <v>62500</v>
      </c>
      <c r="G5678" t="s">
        <v>17</v>
      </c>
      <c r="I5678" t="s">
        <v>16</v>
      </c>
      <c r="J5678" t="s">
        <v>180</v>
      </c>
      <c r="K5678" t="s">
        <v>25</v>
      </c>
      <c r="L5678">
        <v>132757294</v>
      </c>
      <c r="R5678">
        <v>9604</v>
      </c>
      <c r="S5678" t="s">
        <v>232</v>
      </c>
      <c r="T5678">
        <v>0</v>
      </c>
      <c r="U5678">
        <v>17</v>
      </c>
      <c r="V5678">
        <v>0</v>
      </c>
      <c r="W5678">
        <v>0</v>
      </c>
      <c r="X5678">
        <v>0</v>
      </c>
    </row>
    <row r="5679" spans="1:40" x14ac:dyDescent="0.25">
      <c r="A5679" t="s">
        <v>15</v>
      </c>
      <c r="B5679" t="s">
        <v>24</v>
      </c>
      <c r="C5679">
        <v>20150316</v>
      </c>
      <c r="D5679">
        <v>0</v>
      </c>
      <c r="F5679">
        <v>62500</v>
      </c>
      <c r="G5679" t="s">
        <v>17</v>
      </c>
      <c r="I5679" t="s">
        <v>16</v>
      </c>
      <c r="J5679" t="s">
        <v>180</v>
      </c>
      <c r="K5679" t="s">
        <v>25</v>
      </c>
      <c r="L5679">
        <v>132757294</v>
      </c>
      <c r="R5679">
        <v>9602</v>
      </c>
      <c r="S5679" t="s">
        <v>223</v>
      </c>
      <c r="T5679">
        <v>0</v>
      </c>
      <c r="U5679">
        <v>14</v>
      </c>
      <c r="V5679">
        <v>0</v>
      </c>
      <c r="W5679">
        <v>0</v>
      </c>
      <c r="X5679">
        <v>0</v>
      </c>
    </row>
    <row r="5680" spans="1:40" x14ac:dyDescent="0.25">
      <c r="A5680" t="s">
        <v>15</v>
      </c>
      <c r="B5680" t="s">
        <v>24</v>
      </c>
      <c r="C5680">
        <v>20150316</v>
      </c>
      <c r="D5680">
        <v>0</v>
      </c>
      <c r="F5680">
        <v>62500</v>
      </c>
      <c r="G5680" t="s">
        <v>17</v>
      </c>
      <c r="I5680" t="s">
        <v>16</v>
      </c>
      <c r="J5680" t="s">
        <v>180</v>
      </c>
      <c r="K5680" t="s">
        <v>25</v>
      </c>
      <c r="L5680">
        <v>132757294</v>
      </c>
      <c r="R5680">
        <v>9602</v>
      </c>
      <c r="S5680" t="s">
        <v>224</v>
      </c>
      <c r="T5680">
        <v>0</v>
      </c>
      <c r="U5680">
        <v>14</v>
      </c>
      <c r="V5680">
        <v>0</v>
      </c>
      <c r="W5680">
        <v>0</v>
      </c>
      <c r="X5680">
        <v>0</v>
      </c>
    </row>
    <row r="5681" spans="1:40" x14ac:dyDescent="0.25">
      <c r="A5681" t="s">
        <v>15</v>
      </c>
      <c r="B5681" t="s">
        <v>24</v>
      </c>
      <c r="C5681">
        <v>20150316</v>
      </c>
      <c r="D5681">
        <v>0</v>
      </c>
      <c r="F5681">
        <v>62500</v>
      </c>
      <c r="G5681" t="s">
        <v>17</v>
      </c>
      <c r="I5681" t="s">
        <v>16</v>
      </c>
      <c r="J5681" t="s">
        <v>180</v>
      </c>
      <c r="K5681" t="s">
        <v>25</v>
      </c>
      <c r="L5681">
        <v>132757294</v>
      </c>
      <c r="R5681">
        <v>9600</v>
      </c>
      <c r="S5681" t="s">
        <v>223</v>
      </c>
      <c r="T5681">
        <v>0</v>
      </c>
      <c r="U5681">
        <v>12</v>
      </c>
      <c r="V5681">
        <v>0</v>
      </c>
      <c r="W5681">
        <v>0</v>
      </c>
      <c r="X5681">
        <v>0</v>
      </c>
    </row>
    <row r="5682" spans="1:40" x14ac:dyDescent="0.25">
      <c r="A5682" t="s">
        <v>15</v>
      </c>
      <c r="B5682" t="s">
        <v>24</v>
      </c>
      <c r="C5682">
        <v>20150316</v>
      </c>
      <c r="D5682">
        <v>0</v>
      </c>
      <c r="F5682">
        <v>62500</v>
      </c>
      <c r="G5682" t="s">
        <v>17</v>
      </c>
      <c r="I5682" t="s">
        <v>16</v>
      </c>
      <c r="J5682" t="s">
        <v>180</v>
      </c>
      <c r="K5682" t="s">
        <v>25</v>
      </c>
      <c r="L5682">
        <v>132757294</v>
      </c>
      <c r="R5682">
        <v>9600</v>
      </c>
      <c r="S5682" t="s">
        <v>224</v>
      </c>
      <c r="T5682">
        <v>0</v>
      </c>
      <c r="U5682">
        <v>12</v>
      </c>
      <c r="V5682">
        <v>0</v>
      </c>
      <c r="W5682">
        <v>0</v>
      </c>
      <c r="X5682">
        <v>0</v>
      </c>
    </row>
    <row r="5683" spans="1:40" x14ac:dyDescent="0.25">
      <c r="A5683" t="s">
        <v>15</v>
      </c>
      <c r="B5683" t="s">
        <v>24</v>
      </c>
      <c r="C5683">
        <v>20150316</v>
      </c>
      <c r="D5683">
        <v>0</v>
      </c>
      <c r="F5683">
        <v>62500</v>
      </c>
      <c r="G5683" t="s">
        <v>17</v>
      </c>
      <c r="I5683" t="s">
        <v>16</v>
      </c>
      <c r="J5683" t="s">
        <v>180</v>
      </c>
      <c r="K5683" t="s">
        <v>25</v>
      </c>
      <c r="L5683">
        <v>132757294</v>
      </c>
      <c r="R5683">
        <v>9604</v>
      </c>
      <c r="S5683" t="s">
        <v>232</v>
      </c>
      <c r="T5683">
        <v>0</v>
      </c>
      <c r="U5683">
        <v>17</v>
      </c>
      <c r="V5683">
        <v>0</v>
      </c>
      <c r="W5683">
        <v>0</v>
      </c>
      <c r="X5683">
        <v>0</v>
      </c>
    </row>
    <row r="5684" spans="1:40" x14ac:dyDescent="0.25">
      <c r="A5684" t="s">
        <v>15</v>
      </c>
      <c r="B5684" t="s">
        <v>24</v>
      </c>
      <c r="C5684">
        <v>20150316</v>
      </c>
      <c r="D5684">
        <v>0</v>
      </c>
      <c r="F5684">
        <v>62500</v>
      </c>
      <c r="G5684" t="s">
        <v>17</v>
      </c>
      <c r="I5684" t="s">
        <v>16</v>
      </c>
      <c r="J5684" t="s">
        <v>180</v>
      </c>
      <c r="K5684" t="s">
        <v>25</v>
      </c>
      <c r="L5684">
        <v>132757294</v>
      </c>
      <c r="R5684">
        <v>9604</v>
      </c>
      <c r="S5684" t="s">
        <v>192</v>
      </c>
      <c r="T5684">
        <v>0</v>
      </c>
      <c r="U5684">
        <v>17</v>
      </c>
      <c r="V5684">
        <v>0</v>
      </c>
      <c r="W5684">
        <v>0</v>
      </c>
      <c r="X5684">
        <v>0</v>
      </c>
    </row>
    <row r="5685" spans="1:40" x14ac:dyDescent="0.25">
      <c r="A5685" t="s">
        <v>15</v>
      </c>
      <c r="B5685" t="s">
        <v>24</v>
      </c>
      <c r="C5685">
        <v>20150316</v>
      </c>
      <c r="D5685">
        <v>0</v>
      </c>
      <c r="F5685">
        <v>62500</v>
      </c>
      <c r="G5685" t="s">
        <v>17</v>
      </c>
      <c r="I5685" t="s">
        <v>16</v>
      </c>
      <c r="J5685" t="s">
        <v>180</v>
      </c>
      <c r="K5685" t="s">
        <v>25</v>
      </c>
      <c r="L5685">
        <v>132757294</v>
      </c>
      <c r="R5685">
        <v>9605</v>
      </c>
      <c r="S5685" t="s">
        <v>232</v>
      </c>
      <c r="T5685">
        <v>0</v>
      </c>
      <c r="U5685">
        <v>-17</v>
      </c>
      <c r="V5685">
        <v>0</v>
      </c>
      <c r="W5685">
        <v>0</v>
      </c>
      <c r="X5685">
        <v>0</v>
      </c>
    </row>
    <row r="5686" spans="1:40" x14ac:dyDescent="0.25">
      <c r="A5686" t="s">
        <v>15</v>
      </c>
      <c r="B5686" t="s">
        <v>24</v>
      </c>
      <c r="C5686">
        <v>20150316</v>
      </c>
      <c r="D5686">
        <v>0</v>
      </c>
      <c r="F5686">
        <v>62500</v>
      </c>
      <c r="G5686" t="s">
        <v>17</v>
      </c>
      <c r="I5686" t="s">
        <v>16</v>
      </c>
      <c r="J5686" t="s">
        <v>180</v>
      </c>
      <c r="K5686" t="s">
        <v>25</v>
      </c>
      <c r="L5686">
        <v>132757294</v>
      </c>
      <c r="R5686">
        <v>9605</v>
      </c>
      <c r="S5686" t="s">
        <v>232</v>
      </c>
      <c r="T5686">
        <v>0</v>
      </c>
      <c r="U5686">
        <v>-17</v>
      </c>
      <c r="V5686">
        <v>0</v>
      </c>
      <c r="W5686">
        <v>0</v>
      </c>
      <c r="X5686">
        <v>0</v>
      </c>
    </row>
    <row r="5687" spans="1:40" x14ac:dyDescent="0.25">
      <c r="A5687" t="s">
        <v>15</v>
      </c>
      <c r="B5687" t="s">
        <v>24</v>
      </c>
      <c r="C5687">
        <v>20150316</v>
      </c>
      <c r="D5687">
        <v>0</v>
      </c>
      <c r="F5687">
        <v>62500</v>
      </c>
      <c r="G5687" t="s">
        <v>17</v>
      </c>
      <c r="I5687" t="s">
        <v>16</v>
      </c>
      <c r="J5687" t="s">
        <v>180</v>
      </c>
      <c r="K5687" t="s">
        <v>25</v>
      </c>
      <c r="L5687">
        <v>132757294</v>
      </c>
      <c r="R5687">
        <v>9605</v>
      </c>
      <c r="S5687" t="s">
        <v>192</v>
      </c>
      <c r="T5687">
        <v>0</v>
      </c>
      <c r="U5687">
        <v>17</v>
      </c>
      <c r="V5687">
        <v>0</v>
      </c>
      <c r="W5687">
        <v>0</v>
      </c>
      <c r="X5687">
        <v>0</v>
      </c>
    </row>
    <row r="5688" spans="1:40" x14ac:dyDescent="0.25">
      <c r="A5688" t="s">
        <v>15</v>
      </c>
      <c r="B5688" t="s">
        <v>24</v>
      </c>
      <c r="C5688">
        <v>20150316</v>
      </c>
      <c r="D5688">
        <v>0</v>
      </c>
      <c r="F5688">
        <v>62500</v>
      </c>
      <c r="G5688" t="s">
        <v>17</v>
      </c>
      <c r="I5688" t="s">
        <v>16</v>
      </c>
      <c r="J5688" t="s">
        <v>180</v>
      </c>
      <c r="K5688" t="s">
        <v>25</v>
      </c>
      <c r="L5688">
        <v>132757294</v>
      </c>
      <c r="R5688">
        <v>9603</v>
      </c>
      <c r="S5688" t="s">
        <v>223</v>
      </c>
      <c r="T5688">
        <v>0</v>
      </c>
      <c r="U5688">
        <v>5</v>
      </c>
      <c r="V5688">
        <v>0</v>
      </c>
      <c r="W5688">
        <v>0</v>
      </c>
      <c r="X5688">
        <v>0</v>
      </c>
    </row>
    <row r="5689" spans="1:40" x14ac:dyDescent="0.25">
      <c r="A5689" t="s">
        <v>15</v>
      </c>
      <c r="B5689" t="s">
        <v>24</v>
      </c>
      <c r="C5689">
        <v>20150316</v>
      </c>
      <c r="D5689">
        <v>0</v>
      </c>
      <c r="F5689">
        <v>62500</v>
      </c>
      <c r="G5689" t="s">
        <v>17</v>
      </c>
      <c r="I5689" t="s">
        <v>16</v>
      </c>
      <c r="J5689" t="s">
        <v>180</v>
      </c>
      <c r="K5689" t="s">
        <v>25</v>
      </c>
      <c r="L5689">
        <v>132757294</v>
      </c>
      <c r="R5689">
        <v>9603</v>
      </c>
      <c r="S5689" t="s">
        <v>224</v>
      </c>
      <c r="T5689">
        <v>0</v>
      </c>
      <c r="U5689">
        <v>5</v>
      </c>
      <c r="V5689">
        <v>0</v>
      </c>
      <c r="W5689">
        <v>0</v>
      </c>
      <c r="X5689">
        <v>0</v>
      </c>
    </row>
    <row r="5690" spans="1:40" x14ac:dyDescent="0.25">
      <c r="A5690" t="s">
        <v>15</v>
      </c>
      <c r="B5690" t="s">
        <v>24</v>
      </c>
      <c r="C5690">
        <v>20150316</v>
      </c>
      <c r="D5690">
        <v>0</v>
      </c>
      <c r="F5690">
        <v>62500</v>
      </c>
      <c r="G5690" t="s">
        <v>17</v>
      </c>
      <c r="I5690" t="s">
        <v>16</v>
      </c>
      <c r="J5690" t="s">
        <v>180</v>
      </c>
      <c r="K5690" t="s">
        <v>25</v>
      </c>
      <c r="L5690">
        <v>132757294</v>
      </c>
      <c r="R5690">
        <v>9606</v>
      </c>
      <c r="S5690" t="s">
        <v>232</v>
      </c>
      <c r="T5690">
        <v>0</v>
      </c>
      <c r="U5690">
        <v>5</v>
      </c>
      <c r="V5690">
        <v>0</v>
      </c>
      <c r="W5690">
        <v>0</v>
      </c>
      <c r="X5690">
        <v>0</v>
      </c>
    </row>
    <row r="5691" spans="1:40" x14ac:dyDescent="0.25">
      <c r="A5691" t="s">
        <v>15</v>
      </c>
      <c r="B5691" t="s">
        <v>24</v>
      </c>
      <c r="C5691">
        <v>20150316</v>
      </c>
      <c r="D5691">
        <v>0</v>
      </c>
      <c r="F5691">
        <v>62500</v>
      </c>
      <c r="G5691" t="s">
        <v>17</v>
      </c>
      <c r="I5691" t="s">
        <v>16</v>
      </c>
      <c r="J5691" t="s">
        <v>180</v>
      </c>
      <c r="K5691" t="s">
        <v>25</v>
      </c>
      <c r="L5691">
        <v>132757294</v>
      </c>
      <c r="R5691">
        <v>9606</v>
      </c>
      <c r="S5691" t="s">
        <v>232</v>
      </c>
      <c r="T5691">
        <v>0</v>
      </c>
      <c r="U5691">
        <v>5</v>
      </c>
      <c r="V5691">
        <v>0</v>
      </c>
      <c r="W5691">
        <v>0</v>
      </c>
      <c r="X5691">
        <v>0</v>
      </c>
    </row>
    <row r="5692" spans="1:40" x14ac:dyDescent="0.25">
      <c r="A5692" t="s">
        <v>15</v>
      </c>
      <c r="B5692" t="s">
        <v>24</v>
      </c>
      <c r="C5692">
        <v>20150316</v>
      </c>
      <c r="D5692">
        <v>0</v>
      </c>
      <c r="F5692">
        <v>62500</v>
      </c>
      <c r="G5692" t="s">
        <v>17</v>
      </c>
      <c r="I5692" t="s">
        <v>16</v>
      </c>
      <c r="J5692" t="s">
        <v>180</v>
      </c>
      <c r="K5692" t="s">
        <v>25</v>
      </c>
      <c r="L5692">
        <v>132757294</v>
      </c>
      <c r="R5692">
        <v>9606</v>
      </c>
      <c r="S5692" t="s">
        <v>233</v>
      </c>
      <c r="T5692">
        <v>0</v>
      </c>
      <c r="U5692">
        <v>5</v>
      </c>
      <c r="V5692">
        <v>0</v>
      </c>
      <c r="W5692">
        <v>0</v>
      </c>
      <c r="X5692">
        <v>0</v>
      </c>
    </row>
    <row r="5693" spans="1:40" x14ac:dyDescent="0.25">
      <c r="A5693" t="s">
        <v>15</v>
      </c>
      <c r="B5693" t="s">
        <v>24</v>
      </c>
      <c r="C5693">
        <v>20150316</v>
      </c>
      <c r="D5693">
        <v>0</v>
      </c>
      <c r="F5693">
        <v>62500</v>
      </c>
      <c r="G5693" t="s">
        <v>17</v>
      </c>
      <c r="I5693" t="s">
        <v>16</v>
      </c>
      <c r="J5693" t="s">
        <v>180</v>
      </c>
      <c r="K5693" t="s">
        <v>25</v>
      </c>
      <c r="L5693">
        <v>132757294</v>
      </c>
      <c r="R5693">
        <v>9606</v>
      </c>
      <c r="S5693" t="s">
        <v>233</v>
      </c>
      <c r="T5693">
        <v>0</v>
      </c>
      <c r="U5693">
        <v>1</v>
      </c>
      <c r="V5693">
        <v>0</v>
      </c>
      <c r="W5693">
        <v>0</v>
      </c>
      <c r="X5693">
        <v>0</v>
      </c>
      <c r="Y5693">
        <v>9606</v>
      </c>
      <c r="Z5693" t="s">
        <v>353</v>
      </c>
      <c r="AA5693" t="s">
        <v>354</v>
      </c>
      <c r="AB5693" t="s">
        <v>234</v>
      </c>
      <c r="AC5693" t="s">
        <v>17</v>
      </c>
      <c r="AD5693" t="s">
        <v>235</v>
      </c>
      <c r="AE5693">
        <v>2</v>
      </c>
      <c r="AF5693">
        <v>2</v>
      </c>
      <c r="AG5693">
        <v>1.5250999999999999</v>
      </c>
      <c r="AH5693">
        <v>1.5250999999999999</v>
      </c>
      <c r="AI5693">
        <v>415886639</v>
      </c>
      <c r="AJ5693">
        <v>0</v>
      </c>
      <c r="AK5693">
        <v>7</v>
      </c>
      <c r="AN5693">
        <v>0</v>
      </c>
    </row>
    <row r="5694" spans="1:40" x14ac:dyDescent="0.25">
      <c r="A5694" t="s">
        <v>15</v>
      </c>
      <c r="B5694" t="s">
        <v>24</v>
      </c>
      <c r="C5694">
        <v>20150316</v>
      </c>
      <c r="D5694">
        <v>0</v>
      </c>
      <c r="F5694">
        <v>62500</v>
      </c>
      <c r="G5694" t="s">
        <v>17</v>
      </c>
      <c r="I5694" t="s">
        <v>16</v>
      </c>
      <c r="J5694" t="s">
        <v>180</v>
      </c>
      <c r="K5694" t="s">
        <v>25</v>
      </c>
      <c r="L5694">
        <v>132757294</v>
      </c>
      <c r="R5694">
        <v>9606</v>
      </c>
      <c r="S5694" t="s">
        <v>233</v>
      </c>
      <c r="T5694">
        <v>0</v>
      </c>
      <c r="U5694">
        <v>1</v>
      </c>
      <c r="V5694">
        <v>0</v>
      </c>
      <c r="W5694">
        <v>0</v>
      </c>
      <c r="X5694">
        <v>0</v>
      </c>
    </row>
    <row r="5695" spans="1:40" x14ac:dyDescent="0.25">
      <c r="A5695" t="s">
        <v>15</v>
      </c>
      <c r="B5695" t="s">
        <v>24</v>
      </c>
      <c r="C5695">
        <v>20150316</v>
      </c>
      <c r="D5695">
        <v>0</v>
      </c>
      <c r="F5695">
        <v>62500</v>
      </c>
      <c r="G5695" t="s">
        <v>17</v>
      </c>
      <c r="I5695" t="s">
        <v>16</v>
      </c>
      <c r="J5695" t="s">
        <v>180</v>
      </c>
      <c r="K5695" t="s">
        <v>25</v>
      </c>
      <c r="L5695">
        <v>132757294</v>
      </c>
      <c r="R5695">
        <v>9606</v>
      </c>
      <c r="S5695" t="s">
        <v>233</v>
      </c>
      <c r="T5695">
        <v>2</v>
      </c>
      <c r="U5695">
        <v>3</v>
      </c>
      <c r="V5695">
        <v>1.5250999999999999</v>
      </c>
      <c r="W5695">
        <v>1.5250999999999999</v>
      </c>
      <c r="X5695">
        <v>0</v>
      </c>
    </row>
    <row r="5696" spans="1:40" x14ac:dyDescent="0.25">
      <c r="A5696" t="s">
        <v>15</v>
      </c>
      <c r="B5696" t="s">
        <v>24</v>
      </c>
      <c r="C5696">
        <v>20150316</v>
      </c>
      <c r="D5696">
        <v>0</v>
      </c>
      <c r="F5696">
        <v>62500</v>
      </c>
      <c r="G5696" t="s">
        <v>17</v>
      </c>
      <c r="I5696" t="s">
        <v>16</v>
      </c>
      <c r="J5696" t="s">
        <v>180</v>
      </c>
      <c r="K5696" t="s">
        <v>25</v>
      </c>
      <c r="L5696">
        <v>132757294</v>
      </c>
      <c r="R5696">
        <v>9606</v>
      </c>
      <c r="S5696" t="s">
        <v>233</v>
      </c>
      <c r="T5696">
        <v>2</v>
      </c>
      <c r="U5696">
        <v>3</v>
      </c>
      <c r="V5696">
        <v>1.5250999999999999</v>
      </c>
      <c r="W5696">
        <v>1.5250999999999999</v>
      </c>
      <c r="X5696">
        <v>0</v>
      </c>
    </row>
    <row r="5697" spans="1:40" x14ac:dyDescent="0.25">
      <c r="A5697" t="s">
        <v>15</v>
      </c>
      <c r="B5697" t="s">
        <v>24</v>
      </c>
      <c r="C5697">
        <v>20150316</v>
      </c>
      <c r="D5697">
        <v>0</v>
      </c>
      <c r="F5697">
        <v>62500</v>
      </c>
      <c r="G5697" t="s">
        <v>17</v>
      </c>
      <c r="I5697" t="s">
        <v>16</v>
      </c>
      <c r="J5697" t="s">
        <v>180</v>
      </c>
      <c r="K5697" t="s">
        <v>25</v>
      </c>
      <c r="L5697">
        <v>132757294</v>
      </c>
      <c r="R5697">
        <v>9606</v>
      </c>
      <c r="S5697" t="s">
        <v>233</v>
      </c>
      <c r="T5697">
        <v>2</v>
      </c>
      <c r="U5697">
        <v>3</v>
      </c>
      <c r="V5697">
        <v>1.5250999999999999</v>
      </c>
      <c r="W5697">
        <v>1.5250999999999999</v>
      </c>
      <c r="X5697">
        <v>0</v>
      </c>
    </row>
    <row r="5698" spans="1:40" x14ac:dyDescent="0.25">
      <c r="A5698" t="s">
        <v>15</v>
      </c>
      <c r="B5698" t="s">
        <v>24</v>
      </c>
      <c r="C5698">
        <v>20150316</v>
      </c>
      <c r="D5698">
        <v>0</v>
      </c>
      <c r="F5698">
        <v>62500</v>
      </c>
      <c r="G5698" t="s">
        <v>17</v>
      </c>
      <c r="I5698" t="s">
        <v>16</v>
      </c>
      <c r="J5698" t="s">
        <v>180</v>
      </c>
      <c r="K5698" t="s">
        <v>25</v>
      </c>
      <c r="L5698">
        <v>132757294</v>
      </c>
      <c r="R5698">
        <v>9606</v>
      </c>
      <c r="S5698" t="s">
        <v>233</v>
      </c>
      <c r="T5698">
        <v>2</v>
      </c>
      <c r="U5698">
        <v>-3</v>
      </c>
      <c r="V5698">
        <v>1.5250999999999999</v>
      </c>
      <c r="W5698">
        <v>1.5250999999999999</v>
      </c>
      <c r="X5698">
        <v>0</v>
      </c>
      <c r="Y5698">
        <v>9606</v>
      </c>
      <c r="Z5698" t="s">
        <v>355</v>
      </c>
      <c r="AA5698" t="s">
        <v>356</v>
      </c>
      <c r="AB5698" t="s">
        <v>234</v>
      </c>
      <c r="AC5698" t="s">
        <v>17</v>
      </c>
      <c r="AD5698" t="s">
        <v>235</v>
      </c>
      <c r="AE5698">
        <v>3</v>
      </c>
      <c r="AF5698">
        <v>5</v>
      </c>
      <c r="AG5698">
        <v>1.5250999999999999</v>
      </c>
      <c r="AH5698">
        <v>1.5250999999999999</v>
      </c>
      <c r="AI5698">
        <v>415886639</v>
      </c>
      <c r="AJ5698">
        <v>0</v>
      </c>
      <c r="AK5698">
        <v>7</v>
      </c>
      <c r="AN5698">
        <v>0</v>
      </c>
    </row>
    <row r="5699" spans="1:40" x14ac:dyDescent="0.25">
      <c r="A5699" t="s">
        <v>15</v>
      </c>
      <c r="B5699" t="s">
        <v>24</v>
      </c>
      <c r="C5699">
        <v>20150316</v>
      </c>
      <c r="D5699">
        <v>0</v>
      </c>
      <c r="F5699">
        <v>62500</v>
      </c>
      <c r="G5699" t="s">
        <v>17</v>
      </c>
      <c r="I5699" t="s">
        <v>16</v>
      </c>
      <c r="J5699" t="s">
        <v>180</v>
      </c>
      <c r="K5699" t="s">
        <v>25</v>
      </c>
      <c r="L5699">
        <v>132757294</v>
      </c>
      <c r="R5699">
        <v>9606</v>
      </c>
      <c r="S5699" t="s">
        <v>233</v>
      </c>
      <c r="T5699">
        <v>2</v>
      </c>
      <c r="U5699">
        <v>-3</v>
      </c>
      <c r="V5699">
        <v>1.5250999999999999</v>
      </c>
      <c r="W5699">
        <v>1.5250999999999999</v>
      </c>
      <c r="X5699">
        <v>0</v>
      </c>
    </row>
    <row r="5700" spans="1:40" x14ac:dyDescent="0.25">
      <c r="A5700" t="s">
        <v>15</v>
      </c>
      <c r="B5700" t="s">
        <v>24</v>
      </c>
      <c r="C5700">
        <v>20150316</v>
      </c>
      <c r="D5700">
        <v>0</v>
      </c>
      <c r="F5700">
        <v>62500</v>
      </c>
      <c r="G5700" t="s">
        <v>17</v>
      </c>
      <c r="I5700" t="s">
        <v>16</v>
      </c>
      <c r="J5700" t="s">
        <v>180</v>
      </c>
      <c r="K5700" t="s">
        <v>25</v>
      </c>
      <c r="L5700">
        <v>132757294</v>
      </c>
      <c r="R5700">
        <v>9606</v>
      </c>
      <c r="S5700" t="s">
        <v>37</v>
      </c>
      <c r="T5700">
        <v>5</v>
      </c>
      <c r="U5700">
        <v>0</v>
      </c>
      <c r="V5700">
        <v>1.5250999999999999</v>
      </c>
      <c r="W5700">
        <v>1.5250999999999999</v>
      </c>
      <c r="X5700">
        <v>0</v>
      </c>
    </row>
    <row r="5701" spans="1:40" x14ac:dyDescent="0.25">
      <c r="A5701" t="s">
        <v>15</v>
      </c>
      <c r="B5701" t="s">
        <v>24</v>
      </c>
      <c r="C5701">
        <v>20150316</v>
      </c>
      <c r="D5701">
        <v>0</v>
      </c>
      <c r="F5701">
        <v>62500</v>
      </c>
      <c r="G5701" t="s">
        <v>17</v>
      </c>
      <c r="I5701" t="s">
        <v>16</v>
      </c>
      <c r="J5701" t="s">
        <v>180</v>
      </c>
      <c r="K5701" t="s">
        <v>25</v>
      </c>
      <c r="L5701">
        <v>132757294</v>
      </c>
      <c r="R5701">
        <v>9606</v>
      </c>
      <c r="S5701" t="s">
        <v>37</v>
      </c>
      <c r="T5701">
        <v>5</v>
      </c>
      <c r="U5701">
        <v>0</v>
      </c>
      <c r="V5701">
        <v>1.5250999999999999</v>
      </c>
      <c r="W5701">
        <v>1.5250999999999999</v>
      </c>
      <c r="X5701">
        <v>0</v>
      </c>
    </row>
    <row r="5702" spans="1:40" x14ac:dyDescent="0.25">
      <c r="A5702" t="s">
        <v>15</v>
      </c>
      <c r="B5702" t="s">
        <v>24</v>
      </c>
      <c r="C5702">
        <v>20150316</v>
      </c>
      <c r="D5702">
        <v>0</v>
      </c>
      <c r="F5702">
        <v>62500</v>
      </c>
      <c r="G5702" t="s">
        <v>17</v>
      </c>
      <c r="I5702" t="s">
        <v>16</v>
      </c>
      <c r="J5702" t="s">
        <v>180</v>
      </c>
      <c r="K5702" t="s">
        <v>25</v>
      </c>
      <c r="L5702">
        <v>132757294</v>
      </c>
      <c r="R5702">
        <v>9606</v>
      </c>
      <c r="S5702" t="s">
        <v>37</v>
      </c>
      <c r="T5702">
        <v>5</v>
      </c>
      <c r="U5702">
        <v>0</v>
      </c>
      <c r="V5702">
        <v>1.5250999999999999</v>
      </c>
      <c r="W5702">
        <v>1.5250999999999999</v>
      </c>
      <c r="X5702">
        <v>0</v>
      </c>
    </row>
    <row r="5703" spans="1:40" x14ac:dyDescent="0.25">
      <c r="A5703" t="s">
        <v>15</v>
      </c>
      <c r="B5703" t="s">
        <v>24</v>
      </c>
      <c r="C5703">
        <v>20150316</v>
      </c>
      <c r="D5703">
        <v>0</v>
      </c>
      <c r="F5703">
        <v>62500</v>
      </c>
      <c r="G5703" t="s">
        <v>17</v>
      </c>
      <c r="I5703" t="s">
        <v>16</v>
      </c>
      <c r="J5703" t="s">
        <v>180</v>
      </c>
      <c r="K5703" t="s">
        <v>25</v>
      </c>
      <c r="L5703">
        <v>132757294</v>
      </c>
      <c r="R5703">
        <v>9606</v>
      </c>
      <c r="S5703" t="s">
        <v>37</v>
      </c>
      <c r="T5703">
        <v>5</v>
      </c>
      <c r="U5703">
        <v>0</v>
      </c>
      <c r="V5703">
        <v>1.5250999999999999</v>
      </c>
      <c r="W5703">
        <v>1.5250999999999999</v>
      </c>
      <c r="X5703">
        <v>0</v>
      </c>
    </row>
    <row r="5704" spans="1:40" x14ac:dyDescent="0.25">
      <c r="A5704" t="s">
        <v>15</v>
      </c>
      <c r="B5704" t="s">
        <v>24</v>
      </c>
      <c r="C5704">
        <v>20150316</v>
      </c>
      <c r="D5704">
        <v>0</v>
      </c>
      <c r="F5704">
        <v>62500</v>
      </c>
      <c r="G5704" t="s">
        <v>17</v>
      </c>
      <c r="I5704" t="s">
        <v>16</v>
      </c>
      <c r="J5704" t="s">
        <v>180</v>
      </c>
      <c r="K5704" t="s">
        <v>25</v>
      </c>
      <c r="L5704">
        <v>132757294</v>
      </c>
      <c r="R5704">
        <v>9606</v>
      </c>
      <c r="S5704" t="s">
        <v>37</v>
      </c>
      <c r="T5704">
        <v>5</v>
      </c>
      <c r="U5704">
        <v>0</v>
      </c>
      <c r="V5704">
        <v>1.5250999999999999</v>
      </c>
      <c r="W5704">
        <v>1.5250999999999999</v>
      </c>
      <c r="X5704">
        <v>0</v>
      </c>
    </row>
    <row r="5705" spans="1:40" x14ac:dyDescent="0.25">
      <c r="A5705" t="s">
        <v>15</v>
      </c>
      <c r="B5705" t="s">
        <v>24</v>
      </c>
      <c r="C5705">
        <v>20150316</v>
      </c>
      <c r="D5705">
        <v>0</v>
      </c>
      <c r="F5705">
        <v>62500</v>
      </c>
      <c r="G5705" t="s">
        <v>17</v>
      </c>
      <c r="I5705" t="s">
        <v>16</v>
      </c>
      <c r="J5705" t="s">
        <v>180</v>
      </c>
      <c r="K5705" t="s">
        <v>25</v>
      </c>
      <c r="L5705">
        <v>132757294</v>
      </c>
      <c r="R5705">
        <v>9607</v>
      </c>
      <c r="S5705" t="s">
        <v>232</v>
      </c>
      <c r="T5705">
        <v>0</v>
      </c>
      <c r="U5705">
        <v>5</v>
      </c>
      <c r="V5705">
        <v>0</v>
      </c>
      <c r="W5705">
        <v>0</v>
      </c>
      <c r="X5705">
        <v>0</v>
      </c>
    </row>
    <row r="5706" spans="1:40" x14ac:dyDescent="0.25">
      <c r="A5706" t="s">
        <v>15</v>
      </c>
      <c r="B5706" t="s">
        <v>24</v>
      </c>
      <c r="C5706">
        <v>20150316</v>
      </c>
      <c r="D5706">
        <v>0</v>
      </c>
      <c r="F5706">
        <v>62500</v>
      </c>
      <c r="G5706" t="s">
        <v>17</v>
      </c>
      <c r="I5706" t="s">
        <v>16</v>
      </c>
      <c r="J5706" t="s">
        <v>180</v>
      </c>
      <c r="K5706" t="s">
        <v>25</v>
      </c>
      <c r="L5706">
        <v>132757294</v>
      </c>
      <c r="R5706">
        <v>9607</v>
      </c>
      <c r="S5706" t="s">
        <v>232</v>
      </c>
      <c r="T5706">
        <v>0</v>
      </c>
      <c r="U5706">
        <v>5</v>
      </c>
      <c r="V5706">
        <v>0</v>
      </c>
      <c r="W5706">
        <v>0</v>
      </c>
      <c r="X5706">
        <v>0</v>
      </c>
    </row>
    <row r="5707" spans="1:40" x14ac:dyDescent="0.25">
      <c r="A5707" t="s">
        <v>15</v>
      </c>
      <c r="B5707" t="s">
        <v>24</v>
      </c>
      <c r="C5707">
        <v>20150316</v>
      </c>
      <c r="D5707">
        <v>0</v>
      </c>
      <c r="F5707">
        <v>62500</v>
      </c>
      <c r="G5707" t="s">
        <v>17</v>
      </c>
      <c r="I5707" t="s">
        <v>16</v>
      </c>
      <c r="J5707" t="s">
        <v>180</v>
      </c>
      <c r="K5707" t="s">
        <v>25</v>
      </c>
      <c r="L5707">
        <v>132757294</v>
      </c>
      <c r="R5707">
        <v>9607</v>
      </c>
      <c r="S5707" t="s">
        <v>233</v>
      </c>
      <c r="T5707">
        <v>0</v>
      </c>
      <c r="U5707">
        <v>5</v>
      </c>
      <c r="V5707">
        <v>0</v>
      </c>
      <c r="W5707">
        <v>0</v>
      </c>
      <c r="X5707">
        <v>0</v>
      </c>
    </row>
    <row r="5708" spans="1:40" x14ac:dyDescent="0.25">
      <c r="A5708" t="s">
        <v>15</v>
      </c>
      <c r="B5708" t="s">
        <v>24</v>
      </c>
      <c r="C5708">
        <v>20150316</v>
      </c>
      <c r="D5708">
        <v>0</v>
      </c>
      <c r="F5708">
        <v>62500</v>
      </c>
      <c r="G5708" t="s">
        <v>17</v>
      </c>
      <c r="I5708" t="s">
        <v>16</v>
      </c>
      <c r="J5708" t="s">
        <v>180</v>
      </c>
      <c r="K5708" t="s">
        <v>25</v>
      </c>
      <c r="L5708">
        <v>132757294</v>
      </c>
      <c r="R5708">
        <v>9608</v>
      </c>
      <c r="S5708" t="s">
        <v>232</v>
      </c>
      <c r="T5708">
        <v>0</v>
      </c>
      <c r="U5708">
        <v>21</v>
      </c>
      <c r="V5708">
        <v>0</v>
      </c>
      <c r="W5708">
        <v>0</v>
      </c>
      <c r="X5708">
        <v>0</v>
      </c>
    </row>
    <row r="5709" spans="1:40" x14ac:dyDescent="0.25">
      <c r="A5709" t="s">
        <v>15</v>
      </c>
      <c r="B5709" t="s">
        <v>24</v>
      </c>
      <c r="C5709">
        <v>20150316</v>
      </c>
      <c r="D5709">
        <v>0</v>
      </c>
      <c r="F5709">
        <v>62500</v>
      </c>
      <c r="G5709" t="s">
        <v>17</v>
      </c>
      <c r="I5709" t="s">
        <v>16</v>
      </c>
      <c r="J5709" t="s">
        <v>180</v>
      </c>
      <c r="K5709" t="s">
        <v>25</v>
      </c>
      <c r="L5709">
        <v>132757294</v>
      </c>
      <c r="R5709">
        <v>9604</v>
      </c>
      <c r="S5709" t="s">
        <v>223</v>
      </c>
      <c r="T5709">
        <v>0</v>
      </c>
      <c r="U5709">
        <v>17</v>
      </c>
      <c r="V5709">
        <v>0</v>
      </c>
      <c r="W5709">
        <v>0</v>
      </c>
      <c r="X5709">
        <v>0</v>
      </c>
    </row>
    <row r="5710" spans="1:40" x14ac:dyDescent="0.25">
      <c r="A5710" t="s">
        <v>15</v>
      </c>
      <c r="B5710" t="s">
        <v>24</v>
      </c>
      <c r="C5710">
        <v>20150316</v>
      </c>
      <c r="D5710">
        <v>0</v>
      </c>
      <c r="F5710">
        <v>62500</v>
      </c>
      <c r="G5710" t="s">
        <v>17</v>
      </c>
      <c r="I5710" t="s">
        <v>16</v>
      </c>
      <c r="J5710" t="s">
        <v>180</v>
      </c>
      <c r="K5710" t="s">
        <v>25</v>
      </c>
      <c r="L5710">
        <v>132757294</v>
      </c>
      <c r="R5710">
        <v>9604</v>
      </c>
      <c r="S5710" t="s">
        <v>224</v>
      </c>
      <c r="T5710">
        <v>0</v>
      </c>
      <c r="U5710">
        <v>17</v>
      </c>
      <c r="V5710">
        <v>0</v>
      </c>
      <c r="W5710">
        <v>0</v>
      </c>
      <c r="X5710">
        <v>0</v>
      </c>
    </row>
    <row r="5711" spans="1:40" x14ac:dyDescent="0.25">
      <c r="A5711" t="s">
        <v>15</v>
      </c>
      <c r="B5711" t="s">
        <v>24</v>
      </c>
      <c r="C5711">
        <v>20150316</v>
      </c>
      <c r="D5711">
        <v>0</v>
      </c>
      <c r="F5711">
        <v>62500</v>
      </c>
      <c r="G5711" t="s">
        <v>17</v>
      </c>
      <c r="I5711" t="s">
        <v>16</v>
      </c>
      <c r="J5711" t="s">
        <v>180</v>
      </c>
      <c r="K5711" t="s">
        <v>25</v>
      </c>
      <c r="L5711">
        <v>132757294</v>
      </c>
      <c r="R5711">
        <v>9605</v>
      </c>
      <c r="S5711" t="s">
        <v>223</v>
      </c>
      <c r="T5711">
        <v>0</v>
      </c>
      <c r="U5711">
        <v>17</v>
      </c>
      <c r="V5711">
        <v>0</v>
      </c>
      <c r="W5711">
        <v>0</v>
      </c>
      <c r="X5711">
        <v>0</v>
      </c>
    </row>
    <row r="5712" spans="1:40" x14ac:dyDescent="0.25">
      <c r="A5712" t="s">
        <v>15</v>
      </c>
      <c r="B5712" t="s">
        <v>24</v>
      </c>
      <c r="C5712">
        <v>20150316</v>
      </c>
      <c r="D5712">
        <v>0</v>
      </c>
      <c r="F5712">
        <v>62500</v>
      </c>
      <c r="G5712" t="s">
        <v>17</v>
      </c>
      <c r="I5712" t="s">
        <v>16</v>
      </c>
      <c r="J5712" t="s">
        <v>180</v>
      </c>
      <c r="K5712" t="s">
        <v>25</v>
      </c>
      <c r="L5712">
        <v>132757294</v>
      </c>
      <c r="R5712">
        <v>9605</v>
      </c>
      <c r="S5712" t="s">
        <v>224</v>
      </c>
      <c r="T5712">
        <v>0</v>
      </c>
      <c r="U5712">
        <v>17</v>
      </c>
      <c r="V5712">
        <v>0</v>
      </c>
      <c r="W5712">
        <v>0</v>
      </c>
      <c r="X5712">
        <v>0</v>
      </c>
    </row>
    <row r="5713" spans="1:40" x14ac:dyDescent="0.25">
      <c r="A5713" t="s">
        <v>15</v>
      </c>
      <c r="B5713" t="s">
        <v>24</v>
      </c>
      <c r="C5713">
        <v>20150316</v>
      </c>
      <c r="D5713">
        <v>0</v>
      </c>
      <c r="F5713">
        <v>62500</v>
      </c>
      <c r="G5713" t="s">
        <v>17</v>
      </c>
      <c r="I5713" t="s">
        <v>16</v>
      </c>
      <c r="J5713" t="s">
        <v>180</v>
      </c>
      <c r="K5713" t="s">
        <v>25</v>
      </c>
      <c r="L5713">
        <v>132757294</v>
      </c>
      <c r="R5713">
        <v>9608</v>
      </c>
      <c r="S5713" t="s">
        <v>232</v>
      </c>
      <c r="T5713">
        <v>0</v>
      </c>
      <c r="U5713">
        <v>21</v>
      </c>
      <c r="V5713">
        <v>0</v>
      </c>
      <c r="W5713">
        <v>0</v>
      </c>
      <c r="X5713">
        <v>0</v>
      </c>
    </row>
    <row r="5714" spans="1:40" x14ac:dyDescent="0.25">
      <c r="A5714" t="s">
        <v>15</v>
      </c>
      <c r="B5714" t="s">
        <v>24</v>
      </c>
      <c r="C5714">
        <v>20150316</v>
      </c>
      <c r="D5714">
        <v>0</v>
      </c>
      <c r="F5714">
        <v>62500</v>
      </c>
      <c r="G5714" t="s">
        <v>17</v>
      </c>
      <c r="I5714" t="s">
        <v>16</v>
      </c>
      <c r="J5714" t="s">
        <v>180</v>
      </c>
      <c r="K5714" t="s">
        <v>25</v>
      </c>
      <c r="L5714">
        <v>132757294</v>
      </c>
      <c r="R5714">
        <v>9608</v>
      </c>
      <c r="S5714" t="s">
        <v>192</v>
      </c>
      <c r="T5714">
        <v>0</v>
      </c>
      <c r="U5714">
        <v>21</v>
      </c>
      <c r="V5714">
        <v>0</v>
      </c>
      <c r="W5714">
        <v>0</v>
      </c>
      <c r="X5714">
        <v>0</v>
      </c>
    </row>
    <row r="5715" spans="1:40" x14ac:dyDescent="0.25">
      <c r="A5715" t="s">
        <v>15</v>
      </c>
      <c r="B5715" t="s">
        <v>24</v>
      </c>
      <c r="C5715">
        <v>20150316</v>
      </c>
      <c r="D5715">
        <v>0</v>
      </c>
      <c r="F5715">
        <v>62500</v>
      </c>
      <c r="G5715" t="s">
        <v>17</v>
      </c>
      <c r="I5715" t="s">
        <v>16</v>
      </c>
      <c r="J5715" t="s">
        <v>180</v>
      </c>
      <c r="K5715" t="s">
        <v>25</v>
      </c>
      <c r="L5715">
        <v>132757294</v>
      </c>
      <c r="R5715">
        <v>9607</v>
      </c>
      <c r="S5715" t="s">
        <v>223</v>
      </c>
      <c r="T5715">
        <v>0</v>
      </c>
      <c r="U5715">
        <v>5</v>
      </c>
      <c r="V5715">
        <v>0</v>
      </c>
      <c r="W5715">
        <v>0</v>
      </c>
      <c r="X5715">
        <v>0</v>
      </c>
    </row>
    <row r="5716" spans="1:40" x14ac:dyDescent="0.25">
      <c r="A5716" t="s">
        <v>15</v>
      </c>
      <c r="B5716" t="s">
        <v>24</v>
      </c>
      <c r="C5716">
        <v>20150316</v>
      </c>
      <c r="D5716">
        <v>0</v>
      </c>
      <c r="F5716">
        <v>62500</v>
      </c>
      <c r="G5716" t="s">
        <v>17</v>
      </c>
      <c r="I5716" t="s">
        <v>16</v>
      </c>
      <c r="J5716" t="s">
        <v>180</v>
      </c>
      <c r="K5716" t="s">
        <v>25</v>
      </c>
      <c r="L5716">
        <v>132757294</v>
      </c>
      <c r="R5716">
        <v>9607</v>
      </c>
      <c r="S5716" t="s">
        <v>224</v>
      </c>
      <c r="T5716">
        <v>0</v>
      </c>
      <c r="U5716">
        <v>5</v>
      </c>
      <c r="V5716">
        <v>0</v>
      </c>
      <c r="W5716">
        <v>0</v>
      </c>
      <c r="X5716">
        <v>0</v>
      </c>
    </row>
    <row r="5717" spans="1:40" x14ac:dyDescent="0.25">
      <c r="A5717" t="s">
        <v>15</v>
      </c>
      <c r="B5717" t="s">
        <v>24</v>
      </c>
      <c r="C5717">
        <v>20150316</v>
      </c>
      <c r="D5717">
        <v>0</v>
      </c>
      <c r="F5717">
        <v>62500</v>
      </c>
      <c r="G5717" t="s">
        <v>17</v>
      </c>
      <c r="I5717" t="s">
        <v>16</v>
      </c>
      <c r="J5717" t="s">
        <v>180</v>
      </c>
      <c r="K5717" t="s">
        <v>25</v>
      </c>
      <c r="L5717">
        <v>132757294</v>
      </c>
      <c r="R5717">
        <v>9609</v>
      </c>
      <c r="S5717" t="s">
        <v>232</v>
      </c>
      <c r="T5717">
        <v>0</v>
      </c>
      <c r="U5717">
        <v>5</v>
      </c>
      <c r="V5717">
        <v>0</v>
      </c>
      <c r="W5717">
        <v>0</v>
      </c>
      <c r="X5717">
        <v>0</v>
      </c>
    </row>
    <row r="5718" spans="1:40" x14ac:dyDescent="0.25">
      <c r="A5718" t="s">
        <v>15</v>
      </c>
      <c r="B5718" t="s">
        <v>24</v>
      </c>
      <c r="C5718">
        <v>20150316</v>
      </c>
      <c r="D5718">
        <v>0</v>
      </c>
      <c r="F5718">
        <v>62500</v>
      </c>
      <c r="G5718" t="s">
        <v>17</v>
      </c>
      <c r="I5718" t="s">
        <v>16</v>
      </c>
      <c r="J5718" t="s">
        <v>180</v>
      </c>
      <c r="K5718" t="s">
        <v>25</v>
      </c>
      <c r="L5718">
        <v>132757294</v>
      </c>
      <c r="R5718">
        <v>9610</v>
      </c>
      <c r="S5718" t="s">
        <v>232</v>
      </c>
      <c r="T5718">
        <v>0</v>
      </c>
      <c r="U5718">
        <v>-21</v>
      </c>
      <c r="V5718">
        <v>0</v>
      </c>
      <c r="W5718">
        <v>0</v>
      </c>
      <c r="X5718">
        <v>0</v>
      </c>
    </row>
    <row r="5719" spans="1:40" x14ac:dyDescent="0.25">
      <c r="A5719" t="s">
        <v>15</v>
      </c>
      <c r="B5719" t="s">
        <v>24</v>
      </c>
      <c r="C5719">
        <v>20150316</v>
      </c>
      <c r="D5719">
        <v>0</v>
      </c>
      <c r="F5719">
        <v>62500</v>
      </c>
      <c r="G5719" t="s">
        <v>17</v>
      </c>
      <c r="I5719" t="s">
        <v>16</v>
      </c>
      <c r="J5719" t="s">
        <v>180</v>
      </c>
      <c r="K5719" t="s">
        <v>25</v>
      </c>
      <c r="L5719">
        <v>132757294</v>
      </c>
      <c r="R5719">
        <v>9609</v>
      </c>
      <c r="S5719" t="s">
        <v>232</v>
      </c>
      <c r="T5719">
        <v>0</v>
      </c>
      <c r="U5719">
        <v>5</v>
      </c>
      <c r="V5719">
        <v>0</v>
      </c>
      <c r="W5719">
        <v>0</v>
      </c>
      <c r="X5719">
        <v>0</v>
      </c>
    </row>
    <row r="5720" spans="1:40" x14ac:dyDescent="0.25">
      <c r="A5720" t="s">
        <v>15</v>
      </c>
      <c r="B5720" t="s">
        <v>24</v>
      </c>
      <c r="C5720">
        <v>20150316</v>
      </c>
      <c r="D5720">
        <v>0</v>
      </c>
      <c r="F5720">
        <v>62500</v>
      </c>
      <c r="G5720" t="s">
        <v>17</v>
      </c>
      <c r="I5720" t="s">
        <v>16</v>
      </c>
      <c r="J5720" t="s">
        <v>180</v>
      </c>
      <c r="K5720" t="s">
        <v>25</v>
      </c>
      <c r="L5720">
        <v>132757294</v>
      </c>
      <c r="R5720">
        <v>9609</v>
      </c>
      <c r="S5720" t="s">
        <v>233</v>
      </c>
      <c r="T5720">
        <v>0</v>
      </c>
      <c r="U5720">
        <v>5</v>
      </c>
      <c r="V5720">
        <v>0</v>
      </c>
      <c r="W5720">
        <v>0</v>
      </c>
      <c r="X5720">
        <v>0</v>
      </c>
    </row>
    <row r="5721" spans="1:40" x14ac:dyDescent="0.25">
      <c r="A5721" t="s">
        <v>15</v>
      </c>
      <c r="B5721" t="s">
        <v>24</v>
      </c>
      <c r="C5721">
        <v>20150316</v>
      </c>
      <c r="D5721">
        <v>0</v>
      </c>
      <c r="F5721">
        <v>62500</v>
      </c>
      <c r="G5721" t="s">
        <v>17</v>
      </c>
      <c r="I5721" t="s">
        <v>16</v>
      </c>
      <c r="J5721" t="s">
        <v>180</v>
      </c>
      <c r="K5721" t="s">
        <v>25</v>
      </c>
      <c r="L5721">
        <v>132757294</v>
      </c>
      <c r="R5721">
        <v>9610</v>
      </c>
      <c r="S5721" t="s">
        <v>232</v>
      </c>
      <c r="T5721">
        <v>0</v>
      </c>
      <c r="U5721">
        <v>-21</v>
      </c>
      <c r="V5721">
        <v>0</v>
      </c>
      <c r="W5721">
        <v>0</v>
      </c>
      <c r="X5721">
        <v>0</v>
      </c>
    </row>
    <row r="5722" spans="1:40" x14ac:dyDescent="0.25">
      <c r="A5722" t="s">
        <v>15</v>
      </c>
      <c r="B5722" t="s">
        <v>24</v>
      </c>
      <c r="C5722">
        <v>20150316</v>
      </c>
      <c r="D5722">
        <v>0</v>
      </c>
      <c r="F5722">
        <v>62500</v>
      </c>
      <c r="G5722" t="s">
        <v>17</v>
      </c>
      <c r="I5722" t="s">
        <v>16</v>
      </c>
      <c r="J5722" t="s">
        <v>180</v>
      </c>
      <c r="K5722" t="s">
        <v>25</v>
      </c>
      <c r="L5722">
        <v>132757294</v>
      </c>
      <c r="R5722">
        <v>9610</v>
      </c>
      <c r="S5722" t="s">
        <v>192</v>
      </c>
      <c r="T5722">
        <v>0</v>
      </c>
      <c r="U5722">
        <v>21</v>
      </c>
      <c r="V5722">
        <v>0</v>
      </c>
      <c r="W5722">
        <v>0</v>
      </c>
      <c r="X5722">
        <v>0</v>
      </c>
    </row>
    <row r="5723" spans="1:40" x14ac:dyDescent="0.25">
      <c r="A5723" t="s">
        <v>15</v>
      </c>
      <c r="B5723" t="s">
        <v>24</v>
      </c>
      <c r="C5723">
        <v>20150316</v>
      </c>
      <c r="D5723">
        <v>0</v>
      </c>
      <c r="F5723">
        <v>62500</v>
      </c>
      <c r="G5723" t="s">
        <v>17</v>
      </c>
      <c r="I5723" t="s">
        <v>16</v>
      </c>
      <c r="J5723" t="s">
        <v>180</v>
      </c>
      <c r="K5723" t="s">
        <v>25</v>
      </c>
      <c r="L5723">
        <v>132757294</v>
      </c>
      <c r="R5723">
        <v>9609</v>
      </c>
      <c r="S5723" t="s">
        <v>233</v>
      </c>
      <c r="T5723">
        <v>0</v>
      </c>
      <c r="U5723">
        <v>1</v>
      </c>
      <c r="V5723">
        <v>0</v>
      </c>
      <c r="W5723">
        <v>0</v>
      </c>
      <c r="X5723">
        <v>0</v>
      </c>
      <c r="Y5723">
        <v>9609</v>
      </c>
      <c r="Z5723" t="s">
        <v>357</v>
      </c>
      <c r="AA5723" t="s">
        <v>358</v>
      </c>
      <c r="AB5723" t="s">
        <v>234</v>
      </c>
      <c r="AC5723" t="s">
        <v>17</v>
      </c>
      <c r="AD5723" t="s">
        <v>235</v>
      </c>
      <c r="AE5723">
        <v>2</v>
      </c>
      <c r="AF5723">
        <v>2</v>
      </c>
      <c r="AG5723">
        <v>1.5250999999999999</v>
      </c>
      <c r="AH5723">
        <v>1.5250999999999999</v>
      </c>
      <c r="AI5723">
        <v>415886642</v>
      </c>
      <c r="AJ5723">
        <v>0</v>
      </c>
      <c r="AK5723">
        <v>7</v>
      </c>
      <c r="AN5723">
        <v>0</v>
      </c>
    </row>
    <row r="5724" spans="1:40" x14ac:dyDescent="0.25">
      <c r="A5724" t="s">
        <v>15</v>
      </c>
      <c r="B5724" t="s">
        <v>24</v>
      </c>
      <c r="C5724">
        <v>20150316</v>
      </c>
      <c r="D5724">
        <v>0</v>
      </c>
      <c r="F5724">
        <v>62500</v>
      </c>
      <c r="G5724" t="s">
        <v>17</v>
      </c>
      <c r="I5724" t="s">
        <v>16</v>
      </c>
      <c r="J5724" t="s">
        <v>180</v>
      </c>
      <c r="K5724" t="s">
        <v>25</v>
      </c>
      <c r="L5724">
        <v>132757294</v>
      </c>
      <c r="R5724">
        <v>9609</v>
      </c>
      <c r="S5724" t="s">
        <v>233</v>
      </c>
      <c r="T5724">
        <v>0</v>
      </c>
      <c r="U5724">
        <v>1</v>
      </c>
      <c r="V5724">
        <v>0</v>
      </c>
      <c r="W5724">
        <v>0</v>
      </c>
      <c r="X5724">
        <v>0</v>
      </c>
    </row>
    <row r="5725" spans="1:40" x14ac:dyDescent="0.25">
      <c r="A5725" t="s">
        <v>15</v>
      </c>
      <c r="B5725" t="s">
        <v>24</v>
      </c>
      <c r="C5725">
        <v>20150316</v>
      </c>
      <c r="D5725">
        <v>0</v>
      </c>
      <c r="F5725">
        <v>62500</v>
      </c>
      <c r="G5725" t="s">
        <v>17</v>
      </c>
      <c r="I5725" t="s">
        <v>16</v>
      </c>
      <c r="J5725" t="s">
        <v>180</v>
      </c>
      <c r="K5725" t="s">
        <v>25</v>
      </c>
      <c r="L5725">
        <v>132757294</v>
      </c>
      <c r="R5725">
        <v>9609</v>
      </c>
      <c r="S5725" t="s">
        <v>233</v>
      </c>
      <c r="T5725">
        <v>2</v>
      </c>
      <c r="U5725">
        <v>3</v>
      </c>
      <c r="V5725">
        <v>1.5250999999999999</v>
      </c>
      <c r="W5725">
        <v>1.5250999999999999</v>
      </c>
      <c r="X5725">
        <v>0</v>
      </c>
    </row>
    <row r="5726" spans="1:40" x14ac:dyDescent="0.25">
      <c r="A5726" t="s">
        <v>15</v>
      </c>
      <c r="B5726" t="s">
        <v>24</v>
      </c>
      <c r="C5726">
        <v>20150316</v>
      </c>
      <c r="D5726">
        <v>0</v>
      </c>
      <c r="F5726">
        <v>62500</v>
      </c>
      <c r="G5726" t="s">
        <v>17</v>
      </c>
      <c r="I5726" t="s">
        <v>16</v>
      </c>
      <c r="J5726" t="s">
        <v>180</v>
      </c>
      <c r="K5726" t="s">
        <v>25</v>
      </c>
      <c r="L5726">
        <v>132757294</v>
      </c>
      <c r="R5726">
        <v>9609</v>
      </c>
      <c r="S5726" t="s">
        <v>233</v>
      </c>
      <c r="T5726">
        <v>2</v>
      </c>
      <c r="U5726">
        <v>3</v>
      </c>
      <c r="V5726">
        <v>1.5250999999999999</v>
      </c>
      <c r="W5726">
        <v>1.5250999999999999</v>
      </c>
      <c r="X5726">
        <v>0</v>
      </c>
    </row>
    <row r="5727" spans="1:40" x14ac:dyDescent="0.25">
      <c r="A5727" t="s">
        <v>15</v>
      </c>
      <c r="B5727" t="s">
        <v>24</v>
      </c>
      <c r="C5727">
        <v>20150316</v>
      </c>
      <c r="D5727">
        <v>0</v>
      </c>
      <c r="F5727">
        <v>62500</v>
      </c>
      <c r="G5727" t="s">
        <v>17</v>
      </c>
      <c r="I5727" t="s">
        <v>16</v>
      </c>
      <c r="J5727" t="s">
        <v>180</v>
      </c>
      <c r="K5727" t="s">
        <v>25</v>
      </c>
      <c r="L5727">
        <v>132757294</v>
      </c>
      <c r="R5727">
        <v>9609</v>
      </c>
      <c r="S5727" t="s">
        <v>233</v>
      </c>
      <c r="T5727">
        <v>2</v>
      </c>
      <c r="U5727">
        <v>3</v>
      </c>
      <c r="V5727">
        <v>1.5250999999999999</v>
      </c>
      <c r="W5727">
        <v>1.5250999999999999</v>
      </c>
      <c r="X5727">
        <v>0</v>
      </c>
    </row>
    <row r="5728" spans="1:40" x14ac:dyDescent="0.25">
      <c r="A5728" t="s">
        <v>15</v>
      </c>
      <c r="B5728" t="s">
        <v>24</v>
      </c>
      <c r="C5728">
        <v>20150316</v>
      </c>
      <c r="D5728">
        <v>0</v>
      </c>
      <c r="F5728">
        <v>62500</v>
      </c>
      <c r="G5728" t="s">
        <v>17</v>
      </c>
      <c r="I5728" t="s">
        <v>16</v>
      </c>
      <c r="J5728" t="s">
        <v>180</v>
      </c>
      <c r="K5728" t="s">
        <v>25</v>
      </c>
      <c r="L5728">
        <v>132757294</v>
      </c>
      <c r="R5728">
        <v>9609</v>
      </c>
      <c r="S5728" t="s">
        <v>233</v>
      </c>
      <c r="T5728">
        <v>2</v>
      </c>
      <c r="U5728">
        <v>-1</v>
      </c>
      <c r="V5728">
        <v>1.5250999999999999</v>
      </c>
      <c r="W5728">
        <v>1.5250999999999999</v>
      </c>
      <c r="X5728">
        <v>0</v>
      </c>
      <c r="Y5728">
        <v>9609</v>
      </c>
      <c r="Z5728" t="s">
        <v>359</v>
      </c>
      <c r="AA5728" t="s">
        <v>360</v>
      </c>
      <c r="AB5728" t="s">
        <v>234</v>
      </c>
      <c r="AC5728" t="s">
        <v>17</v>
      </c>
      <c r="AD5728" t="s">
        <v>235</v>
      </c>
      <c r="AE5728">
        <v>2</v>
      </c>
      <c r="AF5728">
        <v>4</v>
      </c>
      <c r="AG5728">
        <v>1.5250999999999999</v>
      </c>
      <c r="AH5728">
        <v>1.5250999999999999</v>
      </c>
      <c r="AI5728">
        <v>415886642</v>
      </c>
      <c r="AJ5728">
        <v>0</v>
      </c>
      <c r="AK5728">
        <v>7</v>
      </c>
      <c r="AN5728">
        <v>0</v>
      </c>
    </row>
    <row r="5729" spans="1:40" x14ac:dyDescent="0.25">
      <c r="A5729" t="s">
        <v>15</v>
      </c>
      <c r="B5729" t="s">
        <v>24</v>
      </c>
      <c r="C5729">
        <v>20150316</v>
      </c>
      <c r="D5729">
        <v>0</v>
      </c>
      <c r="F5729">
        <v>62500</v>
      </c>
      <c r="G5729" t="s">
        <v>17</v>
      </c>
      <c r="I5729" t="s">
        <v>16</v>
      </c>
      <c r="J5729" t="s">
        <v>180</v>
      </c>
      <c r="K5729" t="s">
        <v>25</v>
      </c>
      <c r="L5729">
        <v>132757294</v>
      </c>
      <c r="R5729">
        <v>9609</v>
      </c>
      <c r="S5729" t="s">
        <v>233</v>
      </c>
      <c r="T5729">
        <v>2</v>
      </c>
      <c r="U5729">
        <v>-1</v>
      </c>
      <c r="V5729">
        <v>1.5250999999999999</v>
      </c>
      <c r="W5729">
        <v>1.5250999999999999</v>
      </c>
      <c r="X5729">
        <v>0</v>
      </c>
    </row>
    <row r="5730" spans="1:40" x14ac:dyDescent="0.25">
      <c r="A5730" t="s">
        <v>15</v>
      </c>
      <c r="B5730" t="s">
        <v>24</v>
      </c>
      <c r="C5730">
        <v>20150316</v>
      </c>
      <c r="D5730">
        <v>0</v>
      </c>
      <c r="F5730">
        <v>62500</v>
      </c>
      <c r="G5730" t="s">
        <v>17</v>
      </c>
      <c r="I5730" t="s">
        <v>16</v>
      </c>
      <c r="J5730" t="s">
        <v>180</v>
      </c>
      <c r="K5730" t="s">
        <v>25</v>
      </c>
      <c r="L5730">
        <v>132757294</v>
      </c>
      <c r="R5730">
        <v>9609</v>
      </c>
      <c r="S5730" t="s">
        <v>233</v>
      </c>
      <c r="T5730">
        <v>4</v>
      </c>
      <c r="U5730">
        <v>1</v>
      </c>
      <c r="V5730">
        <v>1.5250999999999999</v>
      </c>
      <c r="W5730">
        <v>1.5250999999999999</v>
      </c>
      <c r="X5730">
        <v>0</v>
      </c>
    </row>
    <row r="5731" spans="1:40" x14ac:dyDescent="0.25">
      <c r="A5731" t="s">
        <v>15</v>
      </c>
      <c r="B5731" t="s">
        <v>24</v>
      </c>
      <c r="C5731">
        <v>20150316</v>
      </c>
      <c r="D5731">
        <v>0</v>
      </c>
      <c r="F5731">
        <v>62500</v>
      </c>
      <c r="G5731" t="s">
        <v>17</v>
      </c>
      <c r="I5731" t="s">
        <v>16</v>
      </c>
      <c r="J5731" t="s">
        <v>180</v>
      </c>
      <c r="K5731" t="s">
        <v>25</v>
      </c>
      <c r="L5731">
        <v>132757294</v>
      </c>
      <c r="R5731">
        <v>9609</v>
      </c>
      <c r="S5731" t="s">
        <v>233</v>
      </c>
      <c r="T5731">
        <v>4</v>
      </c>
      <c r="U5731">
        <v>1</v>
      </c>
      <c r="V5731">
        <v>1.5250999999999999</v>
      </c>
      <c r="W5731">
        <v>1.5250999999999999</v>
      </c>
      <c r="X5731">
        <v>0</v>
      </c>
    </row>
    <row r="5732" spans="1:40" x14ac:dyDescent="0.25">
      <c r="A5732" t="s">
        <v>15</v>
      </c>
      <c r="B5732" t="s">
        <v>24</v>
      </c>
      <c r="C5732">
        <v>20150316</v>
      </c>
      <c r="D5732">
        <v>0</v>
      </c>
      <c r="F5732">
        <v>62500</v>
      </c>
      <c r="G5732" t="s">
        <v>17</v>
      </c>
      <c r="I5732" t="s">
        <v>16</v>
      </c>
      <c r="J5732" t="s">
        <v>180</v>
      </c>
      <c r="K5732" t="s">
        <v>25</v>
      </c>
      <c r="L5732">
        <v>132757294</v>
      </c>
      <c r="R5732">
        <v>9609</v>
      </c>
      <c r="S5732" t="s">
        <v>233</v>
      </c>
      <c r="T5732">
        <v>4</v>
      </c>
      <c r="U5732">
        <v>1</v>
      </c>
      <c r="V5732">
        <v>1.5250999999999999</v>
      </c>
      <c r="W5732">
        <v>1.5250999999999999</v>
      </c>
      <c r="X5732">
        <v>0</v>
      </c>
    </row>
    <row r="5733" spans="1:40" x14ac:dyDescent="0.25">
      <c r="A5733" t="s">
        <v>15</v>
      </c>
      <c r="B5733" t="s">
        <v>24</v>
      </c>
      <c r="C5733">
        <v>20150316</v>
      </c>
      <c r="D5733">
        <v>0</v>
      </c>
      <c r="F5733">
        <v>62500</v>
      </c>
      <c r="G5733" t="s">
        <v>17</v>
      </c>
      <c r="I5733" t="s">
        <v>16</v>
      </c>
      <c r="J5733" t="s">
        <v>180</v>
      </c>
      <c r="K5733" t="s">
        <v>25</v>
      </c>
      <c r="L5733">
        <v>132757294</v>
      </c>
      <c r="R5733">
        <v>9609</v>
      </c>
      <c r="S5733" t="s">
        <v>233</v>
      </c>
      <c r="T5733">
        <v>4</v>
      </c>
      <c r="U5733">
        <v>-1</v>
      </c>
      <c r="V5733">
        <v>1.5250999999999999</v>
      </c>
      <c r="W5733">
        <v>1.5250999999999999</v>
      </c>
      <c r="X5733">
        <v>0</v>
      </c>
      <c r="Y5733">
        <v>9609</v>
      </c>
      <c r="Z5733" t="s">
        <v>361</v>
      </c>
      <c r="AA5733" t="s">
        <v>360</v>
      </c>
      <c r="AB5733" t="s">
        <v>234</v>
      </c>
      <c r="AC5733" t="s">
        <v>17</v>
      </c>
      <c r="AD5733" t="s">
        <v>235</v>
      </c>
      <c r="AE5733">
        <v>1</v>
      </c>
      <c r="AF5733">
        <v>5</v>
      </c>
      <c r="AG5733">
        <v>1.5250999999999999</v>
      </c>
      <c r="AH5733">
        <v>1.5250999999999999</v>
      </c>
      <c r="AI5733">
        <v>415886642</v>
      </c>
      <c r="AJ5733">
        <v>0</v>
      </c>
      <c r="AK5733">
        <v>7</v>
      </c>
      <c r="AN5733">
        <v>0</v>
      </c>
    </row>
    <row r="5734" spans="1:40" x14ac:dyDescent="0.25">
      <c r="A5734" t="s">
        <v>15</v>
      </c>
      <c r="B5734" t="s">
        <v>24</v>
      </c>
      <c r="C5734">
        <v>20150316</v>
      </c>
      <c r="D5734">
        <v>0</v>
      </c>
      <c r="F5734">
        <v>62500</v>
      </c>
      <c r="G5734" t="s">
        <v>17</v>
      </c>
      <c r="I5734" t="s">
        <v>16</v>
      </c>
      <c r="J5734" t="s">
        <v>180</v>
      </c>
      <c r="K5734" t="s">
        <v>25</v>
      </c>
      <c r="L5734">
        <v>132757294</v>
      </c>
      <c r="R5734">
        <v>9609</v>
      </c>
      <c r="S5734" t="s">
        <v>233</v>
      </c>
      <c r="T5734">
        <v>4</v>
      </c>
      <c r="U5734">
        <v>-1</v>
      </c>
      <c r="V5734">
        <v>1.5250999999999999</v>
      </c>
      <c r="W5734">
        <v>1.5250999999999999</v>
      </c>
      <c r="X5734">
        <v>0</v>
      </c>
    </row>
    <row r="5735" spans="1:40" x14ac:dyDescent="0.25">
      <c r="A5735" t="s">
        <v>15</v>
      </c>
      <c r="B5735" t="s">
        <v>24</v>
      </c>
      <c r="C5735">
        <v>20150316</v>
      </c>
      <c r="D5735">
        <v>0</v>
      </c>
      <c r="F5735">
        <v>62500</v>
      </c>
      <c r="G5735" t="s">
        <v>17</v>
      </c>
      <c r="I5735" t="s">
        <v>16</v>
      </c>
      <c r="J5735" t="s">
        <v>180</v>
      </c>
      <c r="K5735" t="s">
        <v>25</v>
      </c>
      <c r="L5735">
        <v>132757294</v>
      </c>
      <c r="R5735">
        <v>9609</v>
      </c>
      <c r="S5735" t="s">
        <v>37</v>
      </c>
      <c r="T5735">
        <v>5</v>
      </c>
      <c r="U5735">
        <v>0</v>
      </c>
      <c r="V5735">
        <v>1.5250999999999999</v>
      </c>
      <c r="W5735">
        <v>1.5250999999999999</v>
      </c>
      <c r="X5735">
        <v>0</v>
      </c>
    </row>
    <row r="5736" spans="1:40" x14ac:dyDescent="0.25">
      <c r="A5736" t="s">
        <v>15</v>
      </c>
      <c r="B5736" t="s">
        <v>24</v>
      </c>
      <c r="C5736">
        <v>20150316</v>
      </c>
      <c r="D5736">
        <v>0</v>
      </c>
      <c r="F5736">
        <v>62500</v>
      </c>
      <c r="G5736" t="s">
        <v>17</v>
      </c>
      <c r="I5736" t="s">
        <v>16</v>
      </c>
      <c r="J5736" t="s">
        <v>180</v>
      </c>
      <c r="K5736" t="s">
        <v>25</v>
      </c>
      <c r="L5736">
        <v>132757294</v>
      </c>
      <c r="R5736">
        <v>9609</v>
      </c>
      <c r="S5736" t="s">
        <v>37</v>
      </c>
      <c r="T5736">
        <v>5</v>
      </c>
      <c r="U5736">
        <v>0</v>
      </c>
      <c r="V5736">
        <v>1.5250999999999999</v>
      </c>
      <c r="W5736">
        <v>1.5250999999999999</v>
      </c>
      <c r="X5736">
        <v>0</v>
      </c>
    </row>
    <row r="5737" spans="1:40" x14ac:dyDescent="0.25">
      <c r="A5737" t="s">
        <v>15</v>
      </c>
      <c r="B5737" t="s">
        <v>24</v>
      </c>
      <c r="C5737">
        <v>20150316</v>
      </c>
      <c r="D5737">
        <v>0</v>
      </c>
      <c r="F5737">
        <v>62500</v>
      </c>
      <c r="G5737" t="s">
        <v>17</v>
      </c>
      <c r="I5737" t="s">
        <v>16</v>
      </c>
      <c r="J5737" t="s">
        <v>180</v>
      </c>
      <c r="K5737" t="s">
        <v>25</v>
      </c>
      <c r="L5737">
        <v>132757294</v>
      </c>
      <c r="R5737">
        <v>9609</v>
      </c>
      <c r="S5737" t="s">
        <v>37</v>
      </c>
      <c r="T5737">
        <v>5</v>
      </c>
      <c r="U5737">
        <v>0</v>
      </c>
      <c r="V5737">
        <v>1.5250999999999999</v>
      </c>
      <c r="W5737">
        <v>1.5250999999999999</v>
      </c>
      <c r="X5737">
        <v>0</v>
      </c>
    </row>
    <row r="5738" spans="1:40" x14ac:dyDescent="0.25">
      <c r="A5738" t="s">
        <v>15</v>
      </c>
      <c r="B5738" t="s">
        <v>24</v>
      </c>
      <c r="C5738">
        <v>20150316</v>
      </c>
      <c r="D5738">
        <v>0</v>
      </c>
      <c r="F5738">
        <v>62500</v>
      </c>
      <c r="G5738" t="s">
        <v>17</v>
      </c>
      <c r="I5738" t="s">
        <v>16</v>
      </c>
      <c r="J5738" t="s">
        <v>180</v>
      </c>
      <c r="K5738" t="s">
        <v>25</v>
      </c>
      <c r="L5738">
        <v>132757294</v>
      </c>
      <c r="R5738">
        <v>9609</v>
      </c>
      <c r="S5738" t="s">
        <v>37</v>
      </c>
      <c r="T5738">
        <v>5</v>
      </c>
      <c r="U5738">
        <v>0</v>
      </c>
      <c r="V5738">
        <v>1.5250999999999999</v>
      </c>
      <c r="W5738">
        <v>1.5250999999999999</v>
      </c>
      <c r="X5738">
        <v>0</v>
      </c>
    </row>
    <row r="5739" spans="1:40" x14ac:dyDescent="0.25">
      <c r="A5739" t="s">
        <v>15</v>
      </c>
      <c r="B5739" t="s">
        <v>24</v>
      </c>
      <c r="C5739">
        <v>20150316</v>
      </c>
      <c r="D5739">
        <v>0</v>
      </c>
      <c r="F5739">
        <v>62500</v>
      </c>
      <c r="G5739" t="s">
        <v>17</v>
      </c>
      <c r="I5739" t="s">
        <v>16</v>
      </c>
      <c r="J5739" t="s">
        <v>180</v>
      </c>
      <c r="K5739" t="s">
        <v>25</v>
      </c>
      <c r="L5739">
        <v>132757294</v>
      </c>
      <c r="R5739">
        <v>9609</v>
      </c>
      <c r="S5739" t="s">
        <v>37</v>
      </c>
      <c r="T5739">
        <v>5</v>
      </c>
      <c r="U5739">
        <v>0</v>
      </c>
      <c r="V5739">
        <v>1.5250999999999999</v>
      </c>
      <c r="W5739">
        <v>1.5250999999999999</v>
      </c>
      <c r="X5739">
        <v>0</v>
      </c>
    </row>
    <row r="5740" spans="1:40" x14ac:dyDescent="0.25">
      <c r="A5740" t="s">
        <v>15</v>
      </c>
      <c r="B5740" t="s">
        <v>24</v>
      </c>
      <c r="C5740">
        <v>20150316</v>
      </c>
      <c r="D5740">
        <v>0</v>
      </c>
      <c r="F5740">
        <v>62500</v>
      </c>
      <c r="G5740" t="s">
        <v>17</v>
      </c>
      <c r="I5740" t="s">
        <v>16</v>
      </c>
      <c r="J5740" t="s">
        <v>180</v>
      </c>
      <c r="K5740" t="s">
        <v>25</v>
      </c>
      <c r="L5740">
        <v>132757294</v>
      </c>
      <c r="R5740">
        <v>9611</v>
      </c>
      <c r="S5740" t="s">
        <v>232</v>
      </c>
      <c r="T5740">
        <v>0</v>
      </c>
      <c r="U5740">
        <v>5</v>
      </c>
      <c r="V5740">
        <v>0</v>
      </c>
      <c r="W5740">
        <v>0</v>
      </c>
      <c r="X5740">
        <v>0</v>
      </c>
    </row>
    <row r="5741" spans="1:40" x14ac:dyDescent="0.25">
      <c r="A5741" t="s">
        <v>15</v>
      </c>
      <c r="B5741" t="s">
        <v>24</v>
      </c>
      <c r="C5741">
        <v>20150316</v>
      </c>
      <c r="D5741">
        <v>0</v>
      </c>
      <c r="F5741">
        <v>62500</v>
      </c>
      <c r="G5741" t="s">
        <v>17</v>
      </c>
      <c r="I5741" t="s">
        <v>16</v>
      </c>
      <c r="J5741" t="s">
        <v>180</v>
      </c>
      <c r="K5741" t="s">
        <v>25</v>
      </c>
      <c r="L5741">
        <v>132757294</v>
      </c>
      <c r="R5741">
        <v>9611</v>
      </c>
      <c r="S5741" t="s">
        <v>232</v>
      </c>
      <c r="T5741">
        <v>0</v>
      </c>
      <c r="U5741">
        <v>5</v>
      </c>
      <c r="V5741">
        <v>0</v>
      </c>
      <c r="W5741">
        <v>0</v>
      </c>
      <c r="X5741">
        <v>0</v>
      </c>
    </row>
    <row r="5742" spans="1:40" x14ac:dyDescent="0.25">
      <c r="A5742" t="s">
        <v>15</v>
      </c>
      <c r="B5742" t="s">
        <v>24</v>
      </c>
      <c r="C5742">
        <v>20150316</v>
      </c>
      <c r="D5742">
        <v>0</v>
      </c>
      <c r="F5742">
        <v>62500</v>
      </c>
      <c r="G5742" t="s">
        <v>17</v>
      </c>
      <c r="I5742" t="s">
        <v>16</v>
      </c>
      <c r="J5742" t="s">
        <v>180</v>
      </c>
      <c r="K5742" t="s">
        <v>25</v>
      </c>
      <c r="L5742">
        <v>132757294</v>
      </c>
      <c r="R5742">
        <v>9611</v>
      </c>
      <c r="S5742" t="s">
        <v>233</v>
      </c>
      <c r="T5742">
        <v>0</v>
      </c>
      <c r="U5742">
        <v>5</v>
      </c>
      <c r="V5742">
        <v>0</v>
      </c>
      <c r="W5742">
        <v>0</v>
      </c>
      <c r="X5742">
        <v>0</v>
      </c>
    </row>
    <row r="5743" spans="1:40" x14ac:dyDescent="0.25">
      <c r="A5743" t="s">
        <v>15</v>
      </c>
      <c r="B5743" t="s">
        <v>24</v>
      </c>
      <c r="C5743">
        <v>20150316</v>
      </c>
      <c r="D5743">
        <v>0</v>
      </c>
      <c r="F5743">
        <v>62500</v>
      </c>
      <c r="G5743" t="s">
        <v>17</v>
      </c>
      <c r="I5743" t="s">
        <v>16</v>
      </c>
      <c r="J5743" t="s">
        <v>180</v>
      </c>
      <c r="K5743" t="s">
        <v>25</v>
      </c>
      <c r="L5743">
        <v>132757294</v>
      </c>
      <c r="R5743">
        <v>9611</v>
      </c>
      <c r="S5743" t="s">
        <v>233</v>
      </c>
      <c r="T5743">
        <v>0</v>
      </c>
      <c r="U5743">
        <v>1</v>
      </c>
      <c r="V5743">
        <v>0</v>
      </c>
      <c r="W5743">
        <v>0</v>
      </c>
      <c r="X5743">
        <v>0</v>
      </c>
      <c r="Y5743">
        <v>9611</v>
      </c>
      <c r="Z5743" t="s">
        <v>362</v>
      </c>
      <c r="AA5743" t="s">
        <v>363</v>
      </c>
      <c r="AB5743" t="s">
        <v>234</v>
      </c>
      <c r="AC5743" t="s">
        <v>17</v>
      </c>
      <c r="AD5743" t="s">
        <v>235</v>
      </c>
      <c r="AE5743">
        <v>2</v>
      </c>
      <c r="AF5743">
        <v>2</v>
      </c>
      <c r="AG5743">
        <v>1.5249999999999999</v>
      </c>
      <c r="AH5743">
        <v>1.5249999999999999</v>
      </c>
      <c r="AI5743">
        <v>415886644</v>
      </c>
      <c r="AJ5743">
        <v>0</v>
      </c>
      <c r="AK5743">
        <v>7</v>
      </c>
      <c r="AN5743">
        <v>0</v>
      </c>
    </row>
    <row r="5744" spans="1:40" x14ac:dyDescent="0.25">
      <c r="A5744" t="s">
        <v>15</v>
      </c>
      <c r="B5744" t="s">
        <v>24</v>
      </c>
      <c r="C5744">
        <v>20150316</v>
      </c>
      <c r="D5744">
        <v>0</v>
      </c>
      <c r="F5744">
        <v>62500</v>
      </c>
      <c r="G5744" t="s">
        <v>17</v>
      </c>
      <c r="I5744" t="s">
        <v>16</v>
      </c>
      <c r="J5744" t="s">
        <v>180</v>
      </c>
      <c r="K5744" t="s">
        <v>25</v>
      </c>
      <c r="L5744">
        <v>132757294</v>
      </c>
      <c r="R5744">
        <v>9611</v>
      </c>
      <c r="S5744" t="s">
        <v>233</v>
      </c>
      <c r="T5744">
        <v>0</v>
      </c>
      <c r="U5744">
        <v>1</v>
      </c>
      <c r="V5744">
        <v>0</v>
      </c>
      <c r="W5744">
        <v>0</v>
      </c>
      <c r="X5744">
        <v>0</v>
      </c>
    </row>
    <row r="5745" spans="1:40" x14ac:dyDescent="0.25">
      <c r="A5745" t="s">
        <v>15</v>
      </c>
      <c r="B5745" t="s">
        <v>24</v>
      </c>
      <c r="C5745">
        <v>20150316</v>
      </c>
      <c r="D5745">
        <v>0</v>
      </c>
      <c r="F5745">
        <v>62500</v>
      </c>
      <c r="G5745" t="s">
        <v>17</v>
      </c>
      <c r="I5745" t="s">
        <v>16</v>
      </c>
      <c r="J5745" t="s">
        <v>180</v>
      </c>
      <c r="K5745" t="s">
        <v>25</v>
      </c>
      <c r="L5745">
        <v>132757294</v>
      </c>
      <c r="R5745">
        <v>9611</v>
      </c>
      <c r="S5745" t="s">
        <v>233</v>
      </c>
      <c r="T5745">
        <v>2</v>
      </c>
      <c r="U5745">
        <v>3</v>
      </c>
      <c r="V5745">
        <v>1.5249999999999999</v>
      </c>
      <c r="W5745">
        <v>1.5249999999999999</v>
      </c>
      <c r="X5745">
        <v>0</v>
      </c>
    </row>
    <row r="5746" spans="1:40" x14ac:dyDescent="0.25">
      <c r="A5746" t="s">
        <v>15</v>
      </c>
      <c r="B5746" t="s">
        <v>24</v>
      </c>
      <c r="C5746">
        <v>20150316</v>
      </c>
      <c r="D5746">
        <v>0</v>
      </c>
      <c r="F5746">
        <v>62500</v>
      </c>
      <c r="G5746" t="s">
        <v>17</v>
      </c>
      <c r="I5746" t="s">
        <v>16</v>
      </c>
      <c r="J5746" t="s">
        <v>180</v>
      </c>
      <c r="K5746" t="s">
        <v>25</v>
      </c>
      <c r="L5746">
        <v>132757294</v>
      </c>
      <c r="R5746">
        <v>9612</v>
      </c>
      <c r="S5746" t="s">
        <v>232</v>
      </c>
      <c r="T5746">
        <v>0</v>
      </c>
      <c r="U5746">
        <v>25</v>
      </c>
      <c r="V5746">
        <v>0</v>
      </c>
      <c r="W5746">
        <v>0</v>
      </c>
      <c r="X5746">
        <v>0</v>
      </c>
    </row>
    <row r="5747" spans="1:40" x14ac:dyDescent="0.25">
      <c r="A5747" t="s">
        <v>15</v>
      </c>
      <c r="B5747" t="s">
        <v>24</v>
      </c>
      <c r="C5747">
        <v>20150316</v>
      </c>
      <c r="D5747">
        <v>0</v>
      </c>
      <c r="F5747">
        <v>62500</v>
      </c>
      <c r="G5747" t="s">
        <v>17</v>
      </c>
      <c r="I5747" t="s">
        <v>16</v>
      </c>
      <c r="J5747" t="s">
        <v>180</v>
      </c>
      <c r="K5747" t="s">
        <v>25</v>
      </c>
      <c r="L5747">
        <v>132757294</v>
      </c>
      <c r="R5747">
        <v>9611</v>
      </c>
      <c r="S5747" t="s">
        <v>233</v>
      </c>
      <c r="T5747">
        <v>2</v>
      </c>
      <c r="U5747">
        <v>3</v>
      </c>
      <c r="V5747">
        <v>1.5249999999999999</v>
      </c>
      <c r="W5747">
        <v>1.5249999999999999</v>
      </c>
      <c r="X5747">
        <v>0</v>
      </c>
    </row>
    <row r="5748" spans="1:40" x14ac:dyDescent="0.25">
      <c r="A5748" t="s">
        <v>15</v>
      </c>
      <c r="B5748" t="s">
        <v>24</v>
      </c>
      <c r="C5748">
        <v>20150316</v>
      </c>
      <c r="D5748">
        <v>0</v>
      </c>
      <c r="F5748">
        <v>62500</v>
      </c>
      <c r="G5748" t="s">
        <v>17</v>
      </c>
      <c r="I5748" t="s">
        <v>16</v>
      </c>
      <c r="J5748" t="s">
        <v>180</v>
      </c>
      <c r="K5748" t="s">
        <v>25</v>
      </c>
      <c r="L5748">
        <v>132757294</v>
      </c>
      <c r="R5748">
        <v>9611</v>
      </c>
      <c r="S5748" t="s">
        <v>233</v>
      </c>
      <c r="T5748">
        <v>2</v>
      </c>
      <c r="U5748">
        <v>3</v>
      </c>
      <c r="V5748">
        <v>1.5249999999999999</v>
      </c>
      <c r="W5748">
        <v>1.5249999999999999</v>
      </c>
      <c r="X5748">
        <v>0</v>
      </c>
    </row>
    <row r="5749" spans="1:40" x14ac:dyDescent="0.25">
      <c r="A5749" t="s">
        <v>15</v>
      </c>
      <c r="B5749" t="s">
        <v>24</v>
      </c>
      <c r="C5749">
        <v>20150316</v>
      </c>
      <c r="D5749">
        <v>0</v>
      </c>
      <c r="F5749">
        <v>62500</v>
      </c>
      <c r="G5749" t="s">
        <v>17</v>
      </c>
      <c r="I5749" t="s">
        <v>16</v>
      </c>
      <c r="J5749" t="s">
        <v>180</v>
      </c>
      <c r="K5749" t="s">
        <v>25</v>
      </c>
      <c r="L5749">
        <v>132757294</v>
      </c>
      <c r="R5749">
        <v>9611</v>
      </c>
      <c r="S5749" t="s">
        <v>233</v>
      </c>
      <c r="T5749">
        <v>2</v>
      </c>
      <c r="U5749">
        <v>-3</v>
      </c>
      <c r="V5749">
        <v>1.5249999999999999</v>
      </c>
      <c r="W5749">
        <v>1.5249999999999999</v>
      </c>
      <c r="X5749">
        <v>0</v>
      </c>
      <c r="Y5749">
        <v>9611</v>
      </c>
      <c r="Z5749" t="s">
        <v>364</v>
      </c>
      <c r="AA5749" t="s">
        <v>365</v>
      </c>
      <c r="AB5749" t="s">
        <v>234</v>
      </c>
      <c r="AC5749" t="s">
        <v>17</v>
      </c>
      <c r="AD5749" t="s">
        <v>235</v>
      </c>
      <c r="AE5749">
        <v>3</v>
      </c>
      <c r="AF5749">
        <v>5</v>
      </c>
      <c r="AG5749">
        <v>1.5249999999999999</v>
      </c>
      <c r="AH5749">
        <v>1.5249999999999999</v>
      </c>
      <c r="AI5749">
        <v>415886644</v>
      </c>
      <c r="AJ5749">
        <v>0</v>
      </c>
      <c r="AK5749">
        <v>7</v>
      </c>
      <c r="AN5749">
        <v>0</v>
      </c>
    </row>
    <row r="5750" spans="1:40" x14ac:dyDescent="0.25">
      <c r="A5750" t="s">
        <v>15</v>
      </c>
      <c r="B5750" t="s">
        <v>24</v>
      </c>
      <c r="C5750">
        <v>20150316</v>
      </c>
      <c r="D5750">
        <v>0</v>
      </c>
      <c r="F5750">
        <v>62500</v>
      </c>
      <c r="G5750" t="s">
        <v>17</v>
      </c>
      <c r="I5750" t="s">
        <v>16</v>
      </c>
      <c r="J5750" t="s">
        <v>180</v>
      </c>
      <c r="K5750" t="s">
        <v>25</v>
      </c>
      <c r="L5750">
        <v>132757294</v>
      </c>
      <c r="R5750">
        <v>9611</v>
      </c>
      <c r="S5750" t="s">
        <v>233</v>
      </c>
      <c r="T5750">
        <v>2</v>
      </c>
      <c r="U5750">
        <v>-3</v>
      </c>
      <c r="V5750">
        <v>1.5249999999999999</v>
      </c>
      <c r="W5750">
        <v>1.5249999999999999</v>
      </c>
      <c r="X5750">
        <v>0</v>
      </c>
    </row>
    <row r="5751" spans="1:40" x14ac:dyDescent="0.25">
      <c r="A5751" t="s">
        <v>15</v>
      </c>
      <c r="B5751" t="s">
        <v>24</v>
      </c>
      <c r="C5751">
        <v>20150316</v>
      </c>
      <c r="D5751">
        <v>0</v>
      </c>
      <c r="F5751">
        <v>62500</v>
      </c>
      <c r="G5751" t="s">
        <v>17</v>
      </c>
      <c r="I5751" t="s">
        <v>16</v>
      </c>
      <c r="J5751" t="s">
        <v>180</v>
      </c>
      <c r="K5751" t="s">
        <v>25</v>
      </c>
      <c r="L5751">
        <v>132757294</v>
      </c>
      <c r="R5751">
        <v>9611</v>
      </c>
      <c r="S5751" t="s">
        <v>37</v>
      </c>
      <c r="T5751">
        <v>5</v>
      </c>
      <c r="U5751">
        <v>0</v>
      </c>
      <c r="V5751">
        <v>1.5249999999999999</v>
      </c>
      <c r="W5751">
        <v>1.5249999999999999</v>
      </c>
      <c r="X5751">
        <v>0</v>
      </c>
    </row>
    <row r="5752" spans="1:40" x14ac:dyDescent="0.25">
      <c r="A5752" t="s">
        <v>15</v>
      </c>
      <c r="B5752" t="s">
        <v>24</v>
      </c>
      <c r="C5752">
        <v>20150316</v>
      </c>
      <c r="D5752">
        <v>0</v>
      </c>
      <c r="F5752">
        <v>62500</v>
      </c>
      <c r="G5752" t="s">
        <v>17</v>
      </c>
      <c r="I5752" t="s">
        <v>16</v>
      </c>
      <c r="J5752" t="s">
        <v>180</v>
      </c>
      <c r="K5752" t="s">
        <v>25</v>
      </c>
      <c r="L5752">
        <v>132757294</v>
      </c>
      <c r="R5752">
        <v>9611</v>
      </c>
      <c r="S5752" t="s">
        <v>37</v>
      </c>
      <c r="T5752">
        <v>5</v>
      </c>
      <c r="U5752">
        <v>0</v>
      </c>
      <c r="V5752">
        <v>1.5249999999999999</v>
      </c>
      <c r="W5752">
        <v>1.5249999999999999</v>
      </c>
      <c r="X5752">
        <v>0</v>
      </c>
    </row>
    <row r="5753" spans="1:40" x14ac:dyDescent="0.25">
      <c r="A5753" t="s">
        <v>15</v>
      </c>
      <c r="B5753" t="s">
        <v>24</v>
      </c>
      <c r="C5753">
        <v>20150316</v>
      </c>
      <c r="D5753">
        <v>0</v>
      </c>
      <c r="F5753">
        <v>62500</v>
      </c>
      <c r="G5753" t="s">
        <v>17</v>
      </c>
      <c r="I5753" t="s">
        <v>16</v>
      </c>
      <c r="J5753" t="s">
        <v>180</v>
      </c>
      <c r="K5753" t="s">
        <v>25</v>
      </c>
      <c r="L5753">
        <v>132757294</v>
      </c>
      <c r="R5753">
        <v>9611</v>
      </c>
      <c r="S5753" t="s">
        <v>37</v>
      </c>
      <c r="T5753">
        <v>5</v>
      </c>
      <c r="U5753">
        <v>0</v>
      </c>
      <c r="V5753">
        <v>1.5249999999999999</v>
      </c>
      <c r="W5753">
        <v>1.5249999999999999</v>
      </c>
      <c r="X5753">
        <v>0</v>
      </c>
    </row>
    <row r="5754" spans="1:40" x14ac:dyDescent="0.25">
      <c r="A5754" t="s">
        <v>15</v>
      </c>
      <c r="B5754" t="s">
        <v>24</v>
      </c>
      <c r="C5754">
        <v>20150316</v>
      </c>
      <c r="D5754">
        <v>0</v>
      </c>
      <c r="F5754">
        <v>62500</v>
      </c>
      <c r="G5754" t="s">
        <v>17</v>
      </c>
      <c r="I5754" t="s">
        <v>16</v>
      </c>
      <c r="J5754" t="s">
        <v>180</v>
      </c>
      <c r="K5754" t="s">
        <v>25</v>
      </c>
      <c r="L5754">
        <v>132757294</v>
      </c>
      <c r="R5754">
        <v>9611</v>
      </c>
      <c r="S5754" t="s">
        <v>37</v>
      </c>
      <c r="T5754">
        <v>5</v>
      </c>
      <c r="U5754">
        <v>0</v>
      </c>
      <c r="V5754">
        <v>1.5249999999999999</v>
      </c>
      <c r="W5754">
        <v>1.5249999999999999</v>
      </c>
      <c r="X5754">
        <v>0</v>
      </c>
    </row>
    <row r="5755" spans="1:40" x14ac:dyDescent="0.25">
      <c r="A5755" t="s">
        <v>15</v>
      </c>
      <c r="B5755" t="s">
        <v>24</v>
      </c>
      <c r="C5755">
        <v>20150316</v>
      </c>
      <c r="D5755">
        <v>0</v>
      </c>
      <c r="F5755">
        <v>62500</v>
      </c>
      <c r="G5755" t="s">
        <v>17</v>
      </c>
      <c r="I5755" t="s">
        <v>16</v>
      </c>
      <c r="J5755" t="s">
        <v>180</v>
      </c>
      <c r="K5755" t="s">
        <v>25</v>
      </c>
      <c r="L5755">
        <v>132757294</v>
      </c>
      <c r="R5755">
        <v>9611</v>
      </c>
      <c r="S5755" t="s">
        <v>37</v>
      </c>
      <c r="T5755">
        <v>5</v>
      </c>
      <c r="U5755">
        <v>0</v>
      </c>
      <c r="V5755">
        <v>1.5249999999999999</v>
      </c>
      <c r="W5755">
        <v>1.5249999999999999</v>
      </c>
      <c r="X5755">
        <v>0</v>
      </c>
    </row>
    <row r="5756" spans="1:40" x14ac:dyDescent="0.25">
      <c r="A5756" t="s">
        <v>15</v>
      </c>
      <c r="B5756" t="s">
        <v>24</v>
      </c>
      <c r="C5756">
        <v>20150316</v>
      </c>
      <c r="D5756">
        <v>0</v>
      </c>
      <c r="F5756">
        <v>62500</v>
      </c>
      <c r="G5756" t="s">
        <v>17</v>
      </c>
      <c r="I5756" t="s">
        <v>16</v>
      </c>
      <c r="J5756" t="s">
        <v>180</v>
      </c>
      <c r="K5756" t="s">
        <v>25</v>
      </c>
      <c r="L5756">
        <v>132757294</v>
      </c>
      <c r="R5756">
        <v>9613</v>
      </c>
      <c r="S5756" t="s">
        <v>232</v>
      </c>
      <c r="T5756">
        <v>0</v>
      </c>
      <c r="U5756">
        <v>-5</v>
      </c>
      <c r="V5756">
        <v>0</v>
      </c>
      <c r="W5756">
        <v>0</v>
      </c>
      <c r="X5756">
        <v>0</v>
      </c>
    </row>
    <row r="5757" spans="1:40" x14ac:dyDescent="0.25">
      <c r="A5757" t="s">
        <v>15</v>
      </c>
      <c r="B5757" t="s">
        <v>24</v>
      </c>
      <c r="C5757">
        <v>20150316</v>
      </c>
      <c r="D5757">
        <v>0</v>
      </c>
      <c r="F5757">
        <v>62500</v>
      </c>
      <c r="G5757" t="s">
        <v>17</v>
      </c>
      <c r="I5757" t="s">
        <v>16</v>
      </c>
      <c r="J5757" t="s">
        <v>180</v>
      </c>
      <c r="K5757" t="s">
        <v>25</v>
      </c>
      <c r="L5757">
        <v>132757294</v>
      </c>
      <c r="R5757">
        <v>9608</v>
      </c>
      <c r="S5757" t="s">
        <v>223</v>
      </c>
      <c r="T5757">
        <v>0</v>
      </c>
      <c r="U5757">
        <v>21</v>
      </c>
      <c r="V5757">
        <v>0</v>
      </c>
      <c r="W5757">
        <v>0</v>
      </c>
      <c r="X5757">
        <v>0</v>
      </c>
    </row>
    <row r="5758" spans="1:40" x14ac:dyDescent="0.25">
      <c r="A5758" t="s">
        <v>15</v>
      </c>
      <c r="B5758" t="s">
        <v>24</v>
      </c>
      <c r="C5758">
        <v>20150316</v>
      </c>
      <c r="D5758">
        <v>0</v>
      </c>
      <c r="F5758">
        <v>62500</v>
      </c>
      <c r="G5758" t="s">
        <v>17</v>
      </c>
      <c r="I5758" t="s">
        <v>16</v>
      </c>
      <c r="J5758" t="s">
        <v>180</v>
      </c>
      <c r="K5758" t="s">
        <v>25</v>
      </c>
      <c r="L5758">
        <v>132757294</v>
      </c>
      <c r="R5758">
        <v>9608</v>
      </c>
      <c r="S5758" t="s">
        <v>224</v>
      </c>
      <c r="T5758">
        <v>0</v>
      </c>
      <c r="U5758">
        <v>21</v>
      </c>
      <c r="V5758">
        <v>0</v>
      </c>
      <c r="W5758">
        <v>0</v>
      </c>
      <c r="X5758">
        <v>0</v>
      </c>
    </row>
    <row r="5759" spans="1:40" x14ac:dyDescent="0.25">
      <c r="A5759" t="s">
        <v>15</v>
      </c>
      <c r="B5759" t="s">
        <v>24</v>
      </c>
      <c r="C5759">
        <v>20150316</v>
      </c>
      <c r="D5759">
        <v>0</v>
      </c>
      <c r="F5759">
        <v>62500</v>
      </c>
      <c r="G5759" t="s">
        <v>17</v>
      </c>
      <c r="I5759" t="s">
        <v>16</v>
      </c>
      <c r="J5759" t="s">
        <v>180</v>
      </c>
      <c r="K5759" t="s">
        <v>25</v>
      </c>
      <c r="L5759">
        <v>132757294</v>
      </c>
      <c r="R5759">
        <v>9610</v>
      </c>
      <c r="S5759" t="s">
        <v>223</v>
      </c>
      <c r="T5759">
        <v>0</v>
      </c>
      <c r="U5759">
        <v>21</v>
      </c>
      <c r="V5759">
        <v>0</v>
      </c>
      <c r="W5759">
        <v>0</v>
      </c>
      <c r="X5759">
        <v>0</v>
      </c>
    </row>
    <row r="5760" spans="1:40" x14ac:dyDescent="0.25">
      <c r="A5760" t="s">
        <v>15</v>
      </c>
      <c r="B5760" t="s">
        <v>24</v>
      </c>
      <c r="C5760">
        <v>20150316</v>
      </c>
      <c r="D5760">
        <v>0</v>
      </c>
      <c r="F5760">
        <v>62500</v>
      </c>
      <c r="G5760" t="s">
        <v>17</v>
      </c>
      <c r="I5760" t="s">
        <v>16</v>
      </c>
      <c r="J5760" t="s">
        <v>180</v>
      </c>
      <c r="K5760" t="s">
        <v>25</v>
      </c>
      <c r="L5760">
        <v>132757294</v>
      </c>
      <c r="R5760">
        <v>9610</v>
      </c>
      <c r="S5760" t="s">
        <v>224</v>
      </c>
      <c r="T5760">
        <v>0</v>
      </c>
      <c r="U5760">
        <v>21</v>
      </c>
      <c r="V5760">
        <v>0</v>
      </c>
      <c r="W5760">
        <v>0</v>
      </c>
      <c r="X5760">
        <v>0</v>
      </c>
    </row>
    <row r="5761" spans="1:40" x14ac:dyDescent="0.25">
      <c r="A5761" t="s">
        <v>15</v>
      </c>
      <c r="B5761" t="s">
        <v>24</v>
      </c>
      <c r="C5761">
        <v>20150316</v>
      </c>
      <c r="D5761">
        <v>0</v>
      </c>
      <c r="F5761">
        <v>62500</v>
      </c>
      <c r="G5761" t="s">
        <v>17</v>
      </c>
      <c r="I5761" t="s">
        <v>16</v>
      </c>
      <c r="J5761" t="s">
        <v>180</v>
      </c>
      <c r="K5761" t="s">
        <v>25</v>
      </c>
      <c r="L5761">
        <v>132757294</v>
      </c>
      <c r="R5761">
        <v>9612</v>
      </c>
      <c r="S5761" t="s">
        <v>232</v>
      </c>
      <c r="T5761">
        <v>0</v>
      </c>
      <c r="U5761">
        <v>25</v>
      </c>
      <c r="V5761">
        <v>0</v>
      </c>
      <c r="W5761">
        <v>0</v>
      </c>
      <c r="X5761">
        <v>0</v>
      </c>
    </row>
    <row r="5762" spans="1:40" x14ac:dyDescent="0.25">
      <c r="A5762" t="s">
        <v>15</v>
      </c>
      <c r="B5762" t="s">
        <v>24</v>
      </c>
      <c r="C5762">
        <v>20150316</v>
      </c>
      <c r="D5762">
        <v>0</v>
      </c>
      <c r="F5762">
        <v>62500</v>
      </c>
      <c r="G5762" t="s">
        <v>17</v>
      </c>
      <c r="I5762" t="s">
        <v>16</v>
      </c>
      <c r="J5762" t="s">
        <v>180</v>
      </c>
      <c r="K5762" t="s">
        <v>25</v>
      </c>
      <c r="L5762">
        <v>132757294</v>
      </c>
      <c r="R5762">
        <v>9612</v>
      </c>
      <c r="S5762" t="s">
        <v>192</v>
      </c>
      <c r="T5762">
        <v>0</v>
      </c>
      <c r="U5762">
        <v>25</v>
      </c>
      <c r="V5762">
        <v>0</v>
      </c>
      <c r="W5762">
        <v>0</v>
      </c>
      <c r="X5762">
        <v>0</v>
      </c>
    </row>
    <row r="5763" spans="1:40" x14ac:dyDescent="0.25">
      <c r="A5763" t="s">
        <v>15</v>
      </c>
      <c r="B5763" t="s">
        <v>24</v>
      </c>
      <c r="C5763">
        <v>20150316</v>
      </c>
      <c r="D5763">
        <v>0</v>
      </c>
      <c r="F5763">
        <v>62500</v>
      </c>
      <c r="G5763" t="s">
        <v>17</v>
      </c>
      <c r="I5763" t="s">
        <v>16</v>
      </c>
      <c r="J5763" t="s">
        <v>180</v>
      </c>
      <c r="K5763" t="s">
        <v>25</v>
      </c>
      <c r="L5763">
        <v>132757294</v>
      </c>
      <c r="R5763">
        <v>9613</v>
      </c>
      <c r="S5763" t="s">
        <v>232</v>
      </c>
      <c r="T5763">
        <v>0</v>
      </c>
      <c r="U5763">
        <v>-5</v>
      </c>
      <c r="V5763">
        <v>0</v>
      </c>
      <c r="W5763">
        <v>0</v>
      </c>
      <c r="X5763">
        <v>0</v>
      </c>
      <c r="Y5763">
        <v>9613</v>
      </c>
      <c r="Z5763" t="s">
        <v>366</v>
      </c>
      <c r="AA5763" t="s">
        <v>367</v>
      </c>
      <c r="AB5763" t="s">
        <v>234</v>
      </c>
      <c r="AC5763" t="s">
        <v>17</v>
      </c>
      <c r="AD5763" t="s">
        <v>237</v>
      </c>
      <c r="AE5763">
        <v>5</v>
      </c>
      <c r="AF5763">
        <v>5</v>
      </c>
      <c r="AG5763">
        <v>1.5248999999999999</v>
      </c>
      <c r="AH5763">
        <v>1.5248999999999999</v>
      </c>
      <c r="AI5763">
        <v>415886646</v>
      </c>
      <c r="AJ5763">
        <v>0</v>
      </c>
      <c r="AK5763">
        <v>7</v>
      </c>
      <c r="AN5763">
        <v>0</v>
      </c>
    </row>
    <row r="5764" spans="1:40" x14ac:dyDescent="0.25">
      <c r="A5764" t="s">
        <v>15</v>
      </c>
      <c r="B5764" t="s">
        <v>24</v>
      </c>
      <c r="C5764">
        <v>20150316</v>
      </c>
      <c r="D5764">
        <v>0</v>
      </c>
      <c r="F5764">
        <v>62500</v>
      </c>
      <c r="G5764" t="s">
        <v>17</v>
      </c>
      <c r="I5764" t="s">
        <v>16</v>
      </c>
      <c r="J5764" t="s">
        <v>180</v>
      </c>
      <c r="K5764" t="s">
        <v>25</v>
      </c>
      <c r="L5764">
        <v>132757294</v>
      </c>
      <c r="R5764">
        <v>9613</v>
      </c>
      <c r="S5764" t="s">
        <v>232</v>
      </c>
      <c r="T5764">
        <v>0</v>
      </c>
      <c r="U5764">
        <v>-5</v>
      </c>
      <c r="V5764">
        <v>0</v>
      </c>
      <c r="W5764">
        <v>0</v>
      </c>
      <c r="X5764">
        <v>0</v>
      </c>
    </row>
    <row r="5765" spans="1:40" x14ac:dyDescent="0.25">
      <c r="A5765" t="s">
        <v>15</v>
      </c>
      <c r="B5765" t="s">
        <v>24</v>
      </c>
      <c r="C5765">
        <v>20150316</v>
      </c>
      <c r="D5765">
        <v>0</v>
      </c>
      <c r="F5765">
        <v>62500</v>
      </c>
      <c r="G5765" t="s">
        <v>17</v>
      </c>
      <c r="I5765" t="s">
        <v>16</v>
      </c>
      <c r="J5765" t="s">
        <v>180</v>
      </c>
      <c r="K5765" t="s">
        <v>25</v>
      </c>
      <c r="L5765">
        <v>132757294</v>
      </c>
      <c r="R5765">
        <v>9613</v>
      </c>
      <c r="S5765" t="s">
        <v>37</v>
      </c>
      <c r="T5765">
        <v>5</v>
      </c>
      <c r="U5765">
        <v>0</v>
      </c>
      <c r="V5765">
        <v>1.5248999999999999</v>
      </c>
      <c r="W5765">
        <v>1.5248999999999999</v>
      </c>
      <c r="X5765">
        <v>0</v>
      </c>
    </row>
    <row r="5766" spans="1:40" x14ac:dyDescent="0.25">
      <c r="A5766" t="s">
        <v>15</v>
      </c>
      <c r="B5766" t="s">
        <v>24</v>
      </c>
      <c r="C5766">
        <v>20150316</v>
      </c>
      <c r="D5766">
        <v>0</v>
      </c>
      <c r="F5766">
        <v>62500</v>
      </c>
      <c r="G5766" t="s">
        <v>17</v>
      </c>
      <c r="I5766" t="s">
        <v>16</v>
      </c>
      <c r="J5766" t="s">
        <v>180</v>
      </c>
      <c r="K5766" t="s">
        <v>25</v>
      </c>
      <c r="L5766">
        <v>132757294</v>
      </c>
      <c r="R5766">
        <v>9613</v>
      </c>
      <c r="S5766" t="s">
        <v>37</v>
      </c>
      <c r="T5766">
        <v>5</v>
      </c>
      <c r="U5766">
        <v>0</v>
      </c>
      <c r="V5766">
        <v>1.5248999999999999</v>
      </c>
      <c r="W5766">
        <v>1.5248999999999999</v>
      </c>
      <c r="X5766">
        <v>0</v>
      </c>
    </row>
    <row r="5767" spans="1:40" x14ac:dyDescent="0.25">
      <c r="A5767" t="s">
        <v>15</v>
      </c>
      <c r="B5767" t="s">
        <v>24</v>
      </c>
      <c r="C5767">
        <v>20150316</v>
      </c>
      <c r="D5767">
        <v>0</v>
      </c>
      <c r="F5767">
        <v>62500</v>
      </c>
      <c r="G5767" t="s">
        <v>17</v>
      </c>
      <c r="I5767" t="s">
        <v>16</v>
      </c>
      <c r="J5767" t="s">
        <v>180</v>
      </c>
      <c r="K5767" t="s">
        <v>25</v>
      </c>
      <c r="L5767">
        <v>132757294</v>
      </c>
      <c r="R5767">
        <v>9613</v>
      </c>
      <c r="S5767" t="s">
        <v>37</v>
      </c>
      <c r="T5767">
        <v>5</v>
      </c>
      <c r="U5767">
        <v>0</v>
      </c>
      <c r="V5767">
        <v>1.5248999999999999</v>
      </c>
      <c r="W5767">
        <v>1.5248999999999999</v>
      </c>
      <c r="X5767">
        <v>0</v>
      </c>
    </row>
    <row r="5768" spans="1:40" x14ac:dyDescent="0.25">
      <c r="A5768" t="s">
        <v>15</v>
      </c>
      <c r="B5768" t="s">
        <v>24</v>
      </c>
      <c r="C5768">
        <v>20150316</v>
      </c>
      <c r="D5768">
        <v>0</v>
      </c>
      <c r="F5768">
        <v>62500</v>
      </c>
      <c r="G5768" t="s">
        <v>17</v>
      </c>
      <c r="I5768" t="s">
        <v>16</v>
      </c>
      <c r="J5768" t="s">
        <v>180</v>
      </c>
      <c r="K5768" t="s">
        <v>25</v>
      </c>
      <c r="L5768">
        <v>132757294</v>
      </c>
      <c r="R5768">
        <v>9613</v>
      </c>
      <c r="S5768" t="s">
        <v>37</v>
      </c>
      <c r="T5768">
        <v>5</v>
      </c>
      <c r="U5768">
        <v>0</v>
      </c>
      <c r="V5768">
        <v>1.5248999999999999</v>
      </c>
      <c r="W5768">
        <v>1.5248999999999999</v>
      </c>
      <c r="X5768">
        <v>0</v>
      </c>
    </row>
    <row r="5769" spans="1:40" x14ac:dyDescent="0.25">
      <c r="A5769" t="s">
        <v>15</v>
      </c>
      <c r="B5769" t="s">
        <v>24</v>
      </c>
      <c r="C5769">
        <v>20150316</v>
      </c>
      <c r="D5769">
        <v>0</v>
      </c>
      <c r="F5769">
        <v>62500</v>
      </c>
      <c r="G5769" t="s">
        <v>17</v>
      </c>
      <c r="I5769" t="s">
        <v>16</v>
      </c>
      <c r="J5769" t="s">
        <v>180</v>
      </c>
      <c r="K5769" t="s">
        <v>25</v>
      </c>
      <c r="L5769">
        <v>132757294</v>
      </c>
      <c r="R5769">
        <v>9613</v>
      </c>
      <c r="S5769" t="s">
        <v>37</v>
      </c>
      <c r="T5769">
        <v>5</v>
      </c>
      <c r="U5769">
        <v>0</v>
      </c>
      <c r="V5769">
        <v>1.5248999999999999</v>
      </c>
      <c r="W5769">
        <v>1.5248999999999999</v>
      </c>
      <c r="X5769">
        <v>0</v>
      </c>
    </row>
    <row r="5770" spans="1:40" x14ac:dyDescent="0.25">
      <c r="A5770" t="s">
        <v>15</v>
      </c>
      <c r="B5770" t="s">
        <v>24</v>
      </c>
      <c r="C5770">
        <v>20150316</v>
      </c>
      <c r="D5770">
        <v>0</v>
      </c>
      <c r="F5770">
        <v>62500</v>
      </c>
      <c r="G5770" t="s">
        <v>17</v>
      </c>
      <c r="I5770" t="s">
        <v>16</v>
      </c>
      <c r="J5770" t="s">
        <v>180</v>
      </c>
      <c r="K5770" t="s">
        <v>25</v>
      </c>
      <c r="L5770">
        <v>132757294</v>
      </c>
      <c r="R5770">
        <v>9613</v>
      </c>
      <c r="S5770" t="s">
        <v>37</v>
      </c>
      <c r="T5770">
        <v>5</v>
      </c>
      <c r="U5770">
        <v>0</v>
      </c>
      <c r="V5770">
        <v>1.5248999999999999</v>
      </c>
      <c r="W5770">
        <v>1.5248999999999999</v>
      </c>
      <c r="X5770">
        <v>0</v>
      </c>
    </row>
    <row r="5771" spans="1:40" x14ac:dyDescent="0.25">
      <c r="A5771" t="s">
        <v>15</v>
      </c>
      <c r="B5771" t="s">
        <v>24</v>
      </c>
      <c r="C5771">
        <v>20150316</v>
      </c>
      <c r="D5771">
        <v>0</v>
      </c>
      <c r="F5771">
        <v>62500</v>
      </c>
      <c r="G5771" t="s">
        <v>17</v>
      </c>
      <c r="I5771" t="s">
        <v>16</v>
      </c>
      <c r="J5771" t="s">
        <v>180</v>
      </c>
      <c r="K5771" t="s">
        <v>25</v>
      </c>
      <c r="L5771">
        <v>132757294</v>
      </c>
      <c r="R5771">
        <v>9613</v>
      </c>
      <c r="S5771" t="s">
        <v>37</v>
      </c>
      <c r="T5771">
        <v>5</v>
      </c>
      <c r="U5771">
        <v>0</v>
      </c>
      <c r="V5771">
        <v>1.5248999999999999</v>
      </c>
      <c r="W5771">
        <v>1.5248999999999999</v>
      </c>
      <c r="X5771">
        <v>0</v>
      </c>
    </row>
    <row r="5772" spans="1:40" x14ac:dyDescent="0.25">
      <c r="A5772" t="s">
        <v>15</v>
      </c>
      <c r="B5772" t="s">
        <v>24</v>
      </c>
      <c r="C5772">
        <v>20150316</v>
      </c>
      <c r="D5772">
        <v>0</v>
      </c>
      <c r="F5772">
        <v>62500</v>
      </c>
      <c r="G5772" t="s">
        <v>17</v>
      </c>
      <c r="I5772" t="s">
        <v>16</v>
      </c>
      <c r="J5772" t="s">
        <v>180</v>
      </c>
      <c r="K5772" t="s">
        <v>25</v>
      </c>
      <c r="L5772">
        <v>132757294</v>
      </c>
      <c r="R5772">
        <v>9613</v>
      </c>
      <c r="S5772" t="s">
        <v>37</v>
      </c>
      <c r="T5772">
        <v>5</v>
      </c>
      <c r="U5772">
        <v>0</v>
      </c>
      <c r="V5772">
        <v>1.5248999999999999</v>
      </c>
      <c r="W5772">
        <v>1.5248999999999999</v>
      </c>
      <c r="X5772">
        <v>0</v>
      </c>
    </row>
    <row r="5773" spans="1:40" x14ac:dyDescent="0.25">
      <c r="A5773" t="s">
        <v>15</v>
      </c>
      <c r="B5773" t="s">
        <v>24</v>
      </c>
      <c r="C5773">
        <v>20150316</v>
      </c>
      <c r="D5773">
        <v>0</v>
      </c>
      <c r="F5773">
        <v>62500</v>
      </c>
      <c r="G5773" t="s">
        <v>17</v>
      </c>
      <c r="I5773" t="s">
        <v>16</v>
      </c>
      <c r="J5773" t="s">
        <v>180</v>
      </c>
      <c r="K5773" t="s">
        <v>25</v>
      </c>
      <c r="L5773">
        <v>132757294</v>
      </c>
      <c r="R5773">
        <v>9614</v>
      </c>
      <c r="S5773" t="s">
        <v>232</v>
      </c>
      <c r="T5773">
        <v>0</v>
      </c>
      <c r="U5773">
        <v>-5</v>
      </c>
      <c r="V5773">
        <v>0</v>
      </c>
      <c r="W5773">
        <v>0</v>
      </c>
      <c r="X5773">
        <v>0</v>
      </c>
    </row>
    <row r="5774" spans="1:40" x14ac:dyDescent="0.25">
      <c r="A5774" t="s">
        <v>15</v>
      </c>
      <c r="B5774" t="s">
        <v>24</v>
      </c>
      <c r="C5774">
        <v>20150316</v>
      </c>
      <c r="D5774">
        <v>0</v>
      </c>
      <c r="F5774">
        <v>62500</v>
      </c>
      <c r="G5774" t="s">
        <v>17</v>
      </c>
      <c r="I5774" t="s">
        <v>16</v>
      </c>
      <c r="J5774" t="s">
        <v>180</v>
      </c>
      <c r="K5774" t="s">
        <v>25</v>
      </c>
      <c r="L5774">
        <v>132757294</v>
      </c>
      <c r="R5774">
        <v>9614</v>
      </c>
      <c r="S5774" t="s">
        <v>232</v>
      </c>
      <c r="T5774">
        <v>0</v>
      </c>
      <c r="U5774">
        <v>-5</v>
      </c>
      <c r="V5774">
        <v>0</v>
      </c>
      <c r="W5774">
        <v>0</v>
      </c>
      <c r="X5774">
        <v>0</v>
      </c>
      <c r="Y5774">
        <v>9614</v>
      </c>
      <c r="Z5774" t="s">
        <v>368</v>
      </c>
      <c r="AA5774" t="s">
        <v>369</v>
      </c>
      <c r="AB5774" t="s">
        <v>234</v>
      </c>
      <c r="AC5774" t="s">
        <v>17</v>
      </c>
      <c r="AD5774" t="s">
        <v>237</v>
      </c>
      <c r="AE5774">
        <v>5</v>
      </c>
      <c r="AF5774">
        <v>5</v>
      </c>
      <c r="AG5774">
        <v>1.5248999999999999</v>
      </c>
      <c r="AH5774">
        <v>1.5248999999999999</v>
      </c>
      <c r="AI5774">
        <v>415886647</v>
      </c>
      <c r="AJ5774">
        <v>0</v>
      </c>
      <c r="AK5774">
        <v>7</v>
      </c>
      <c r="AN5774">
        <v>0</v>
      </c>
    </row>
    <row r="5775" spans="1:40" x14ac:dyDescent="0.25">
      <c r="A5775" t="s">
        <v>15</v>
      </c>
      <c r="B5775" t="s">
        <v>24</v>
      </c>
      <c r="C5775">
        <v>20150316</v>
      </c>
      <c r="D5775">
        <v>0</v>
      </c>
      <c r="F5775">
        <v>62500</v>
      </c>
      <c r="G5775" t="s">
        <v>17</v>
      </c>
      <c r="I5775" t="s">
        <v>16</v>
      </c>
      <c r="J5775" t="s">
        <v>180</v>
      </c>
      <c r="K5775" t="s">
        <v>25</v>
      </c>
      <c r="L5775">
        <v>132757294</v>
      </c>
      <c r="R5775">
        <v>9614</v>
      </c>
      <c r="S5775" t="s">
        <v>232</v>
      </c>
      <c r="T5775">
        <v>0</v>
      </c>
      <c r="U5775">
        <v>-5</v>
      </c>
      <c r="V5775">
        <v>0</v>
      </c>
      <c r="W5775">
        <v>0</v>
      </c>
      <c r="X5775">
        <v>0</v>
      </c>
    </row>
    <row r="5776" spans="1:40" x14ac:dyDescent="0.25">
      <c r="A5776" t="s">
        <v>15</v>
      </c>
      <c r="B5776" t="s">
        <v>24</v>
      </c>
      <c r="C5776">
        <v>20150316</v>
      </c>
      <c r="D5776">
        <v>0</v>
      </c>
      <c r="F5776">
        <v>62500</v>
      </c>
      <c r="G5776" t="s">
        <v>17</v>
      </c>
      <c r="I5776" t="s">
        <v>16</v>
      </c>
      <c r="J5776" t="s">
        <v>180</v>
      </c>
      <c r="K5776" t="s">
        <v>25</v>
      </c>
      <c r="L5776">
        <v>132757294</v>
      </c>
      <c r="R5776">
        <v>9614</v>
      </c>
      <c r="S5776" t="s">
        <v>37</v>
      </c>
      <c r="T5776">
        <v>5</v>
      </c>
      <c r="U5776">
        <v>0</v>
      </c>
      <c r="V5776">
        <v>1.5248999999999999</v>
      </c>
      <c r="W5776">
        <v>1.5248999999999999</v>
      </c>
      <c r="X5776">
        <v>0</v>
      </c>
    </row>
    <row r="5777" spans="1:40" x14ac:dyDescent="0.25">
      <c r="A5777" t="s">
        <v>15</v>
      </c>
      <c r="B5777" t="s">
        <v>24</v>
      </c>
      <c r="C5777">
        <v>20150316</v>
      </c>
      <c r="D5777">
        <v>0</v>
      </c>
      <c r="F5777">
        <v>62500</v>
      </c>
      <c r="G5777" t="s">
        <v>17</v>
      </c>
      <c r="I5777" t="s">
        <v>16</v>
      </c>
      <c r="J5777" t="s">
        <v>180</v>
      </c>
      <c r="K5777" t="s">
        <v>25</v>
      </c>
      <c r="L5777">
        <v>132757294</v>
      </c>
      <c r="R5777">
        <v>9614</v>
      </c>
      <c r="S5777" t="s">
        <v>37</v>
      </c>
      <c r="T5777">
        <v>5</v>
      </c>
      <c r="U5777">
        <v>0</v>
      </c>
      <c r="V5777">
        <v>1.5248999999999999</v>
      </c>
      <c r="W5777">
        <v>1.5248999999999999</v>
      </c>
      <c r="X5777">
        <v>0</v>
      </c>
    </row>
    <row r="5778" spans="1:40" x14ac:dyDescent="0.25">
      <c r="A5778" t="s">
        <v>15</v>
      </c>
      <c r="B5778" t="s">
        <v>24</v>
      </c>
      <c r="C5778">
        <v>20150316</v>
      </c>
      <c r="D5778">
        <v>0</v>
      </c>
      <c r="F5778">
        <v>62500</v>
      </c>
      <c r="G5778" t="s">
        <v>17</v>
      </c>
      <c r="I5778" t="s">
        <v>16</v>
      </c>
      <c r="J5778" t="s">
        <v>180</v>
      </c>
      <c r="K5778" t="s">
        <v>25</v>
      </c>
      <c r="L5778">
        <v>132757294</v>
      </c>
      <c r="R5778">
        <v>9614</v>
      </c>
      <c r="S5778" t="s">
        <v>37</v>
      </c>
      <c r="T5778">
        <v>5</v>
      </c>
      <c r="U5778">
        <v>0</v>
      </c>
      <c r="V5778">
        <v>1.5248999999999999</v>
      </c>
      <c r="W5778">
        <v>1.5248999999999999</v>
      </c>
      <c r="X5778">
        <v>0</v>
      </c>
    </row>
    <row r="5779" spans="1:40" x14ac:dyDescent="0.25">
      <c r="A5779" t="s">
        <v>15</v>
      </c>
      <c r="B5779" t="s">
        <v>24</v>
      </c>
      <c r="C5779">
        <v>20150316</v>
      </c>
      <c r="D5779">
        <v>0</v>
      </c>
      <c r="F5779">
        <v>62500</v>
      </c>
      <c r="G5779" t="s">
        <v>17</v>
      </c>
      <c r="I5779" t="s">
        <v>16</v>
      </c>
      <c r="J5779" t="s">
        <v>180</v>
      </c>
      <c r="K5779" t="s">
        <v>25</v>
      </c>
      <c r="L5779">
        <v>132757294</v>
      </c>
      <c r="R5779">
        <v>9614</v>
      </c>
      <c r="S5779" t="s">
        <v>37</v>
      </c>
      <c r="T5779">
        <v>5</v>
      </c>
      <c r="U5779">
        <v>0</v>
      </c>
      <c r="V5779">
        <v>1.5248999999999999</v>
      </c>
      <c r="W5779">
        <v>1.5248999999999999</v>
      </c>
      <c r="X5779">
        <v>0</v>
      </c>
    </row>
    <row r="5780" spans="1:40" x14ac:dyDescent="0.25">
      <c r="A5780" t="s">
        <v>15</v>
      </c>
      <c r="B5780" t="s">
        <v>24</v>
      </c>
      <c r="C5780">
        <v>20150316</v>
      </c>
      <c r="D5780">
        <v>0</v>
      </c>
      <c r="F5780">
        <v>62500</v>
      </c>
      <c r="G5780" t="s">
        <v>17</v>
      </c>
      <c r="I5780" t="s">
        <v>16</v>
      </c>
      <c r="J5780" t="s">
        <v>180</v>
      </c>
      <c r="K5780" t="s">
        <v>25</v>
      </c>
      <c r="L5780">
        <v>132757294</v>
      </c>
      <c r="R5780">
        <v>9614</v>
      </c>
      <c r="S5780" t="s">
        <v>37</v>
      </c>
      <c r="T5780">
        <v>5</v>
      </c>
      <c r="U5780">
        <v>0</v>
      </c>
      <c r="V5780">
        <v>1.5248999999999999</v>
      </c>
      <c r="W5780">
        <v>1.5248999999999999</v>
      </c>
      <c r="X5780">
        <v>0</v>
      </c>
    </row>
    <row r="5781" spans="1:40" x14ac:dyDescent="0.25">
      <c r="A5781" t="s">
        <v>15</v>
      </c>
      <c r="B5781" t="s">
        <v>24</v>
      </c>
      <c r="C5781">
        <v>20150316</v>
      </c>
      <c r="D5781">
        <v>0</v>
      </c>
      <c r="F5781">
        <v>62500</v>
      </c>
      <c r="G5781" t="s">
        <v>17</v>
      </c>
      <c r="I5781" t="s">
        <v>16</v>
      </c>
      <c r="J5781" t="s">
        <v>180</v>
      </c>
      <c r="K5781" t="s">
        <v>25</v>
      </c>
      <c r="L5781">
        <v>132757294</v>
      </c>
      <c r="R5781">
        <v>9614</v>
      </c>
      <c r="S5781" t="s">
        <v>37</v>
      </c>
      <c r="T5781">
        <v>5</v>
      </c>
      <c r="U5781">
        <v>0</v>
      </c>
      <c r="V5781">
        <v>1.5248999999999999</v>
      </c>
      <c r="W5781">
        <v>1.5248999999999999</v>
      </c>
      <c r="X5781">
        <v>0</v>
      </c>
    </row>
    <row r="5782" spans="1:40" x14ac:dyDescent="0.25">
      <c r="A5782" t="s">
        <v>15</v>
      </c>
      <c r="B5782" t="s">
        <v>24</v>
      </c>
      <c r="C5782">
        <v>20150316</v>
      </c>
      <c r="D5782">
        <v>0</v>
      </c>
      <c r="F5782">
        <v>62500</v>
      </c>
      <c r="G5782" t="s">
        <v>17</v>
      </c>
      <c r="I5782" t="s">
        <v>16</v>
      </c>
      <c r="J5782" t="s">
        <v>180</v>
      </c>
      <c r="K5782" t="s">
        <v>25</v>
      </c>
      <c r="L5782">
        <v>132757294</v>
      </c>
      <c r="R5782">
        <v>9614</v>
      </c>
      <c r="S5782" t="s">
        <v>37</v>
      </c>
      <c r="T5782">
        <v>5</v>
      </c>
      <c r="U5782">
        <v>0</v>
      </c>
      <c r="V5782">
        <v>1.5248999999999999</v>
      </c>
      <c r="W5782">
        <v>1.5248999999999999</v>
      </c>
      <c r="X5782">
        <v>0</v>
      </c>
    </row>
    <row r="5783" spans="1:40" x14ac:dyDescent="0.25">
      <c r="A5783" t="s">
        <v>15</v>
      </c>
      <c r="B5783" t="s">
        <v>24</v>
      </c>
      <c r="C5783">
        <v>20150316</v>
      </c>
      <c r="D5783">
        <v>0</v>
      </c>
      <c r="F5783">
        <v>62500</v>
      </c>
      <c r="G5783" t="s">
        <v>17</v>
      </c>
      <c r="I5783" t="s">
        <v>16</v>
      </c>
      <c r="J5783" t="s">
        <v>180</v>
      </c>
      <c r="K5783" t="s">
        <v>25</v>
      </c>
      <c r="L5783">
        <v>132757294</v>
      </c>
      <c r="R5783">
        <v>9614</v>
      </c>
      <c r="S5783" t="s">
        <v>37</v>
      </c>
      <c r="T5783">
        <v>5</v>
      </c>
      <c r="U5783">
        <v>0</v>
      </c>
      <c r="V5783">
        <v>1.5248999999999999</v>
      </c>
      <c r="W5783">
        <v>1.5248999999999999</v>
      </c>
      <c r="X5783">
        <v>0</v>
      </c>
    </row>
    <row r="5784" spans="1:40" x14ac:dyDescent="0.25">
      <c r="A5784" t="s">
        <v>15</v>
      </c>
      <c r="B5784" t="s">
        <v>24</v>
      </c>
      <c r="C5784">
        <v>20150316</v>
      </c>
      <c r="D5784">
        <v>0</v>
      </c>
      <c r="F5784">
        <v>62500</v>
      </c>
      <c r="G5784" t="s">
        <v>17</v>
      </c>
      <c r="I5784" t="s">
        <v>16</v>
      </c>
      <c r="J5784" t="s">
        <v>180</v>
      </c>
      <c r="K5784" t="s">
        <v>25</v>
      </c>
      <c r="L5784">
        <v>132757294</v>
      </c>
      <c r="R5784">
        <v>9615</v>
      </c>
      <c r="S5784" t="s">
        <v>232</v>
      </c>
      <c r="T5784">
        <v>0</v>
      </c>
      <c r="U5784">
        <v>-5</v>
      </c>
      <c r="V5784">
        <v>0</v>
      </c>
      <c r="W5784">
        <v>0</v>
      </c>
      <c r="X5784">
        <v>0</v>
      </c>
    </row>
    <row r="5785" spans="1:40" x14ac:dyDescent="0.25">
      <c r="A5785" t="s">
        <v>15</v>
      </c>
      <c r="B5785" t="s">
        <v>24</v>
      </c>
      <c r="C5785">
        <v>20150316</v>
      </c>
      <c r="D5785">
        <v>0</v>
      </c>
      <c r="F5785">
        <v>62500</v>
      </c>
      <c r="G5785" t="s">
        <v>17</v>
      </c>
      <c r="I5785" t="s">
        <v>16</v>
      </c>
      <c r="J5785" t="s">
        <v>180</v>
      </c>
      <c r="K5785" t="s">
        <v>25</v>
      </c>
      <c r="L5785">
        <v>132757294</v>
      </c>
      <c r="R5785">
        <v>9616</v>
      </c>
      <c r="S5785" t="s">
        <v>232</v>
      </c>
      <c r="T5785">
        <v>0</v>
      </c>
      <c r="U5785">
        <v>22</v>
      </c>
      <c r="V5785">
        <v>0</v>
      </c>
      <c r="W5785">
        <v>0</v>
      </c>
      <c r="X5785">
        <v>0</v>
      </c>
    </row>
    <row r="5786" spans="1:40" x14ac:dyDescent="0.25">
      <c r="A5786" t="s">
        <v>15</v>
      </c>
      <c r="B5786" t="s">
        <v>24</v>
      </c>
      <c r="C5786">
        <v>20150316</v>
      </c>
      <c r="D5786">
        <v>0</v>
      </c>
      <c r="F5786">
        <v>62500</v>
      </c>
      <c r="G5786" t="s">
        <v>17</v>
      </c>
      <c r="I5786" t="s">
        <v>16</v>
      </c>
      <c r="J5786" t="s">
        <v>180</v>
      </c>
      <c r="K5786" t="s">
        <v>25</v>
      </c>
      <c r="L5786">
        <v>132757294</v>
      </c>
      <c r="R5786">
        <v>9615</v>
      </c>
      <c r="S5786" t="s">
        <v>232</v>
      </c>
      <c r="T5786">
        <v>0</v>
      </c>
      <c r="U5786">
        <v>-5</v>
      </c>
      <c r="V5786">
        <v>0</v>
      </c>
      <c r="W5786">
        <v>0</v>
      </c>
      <c r="X5786">
        <v>0</v>
      </c>
      <c r="Y5786">
        <v>9615</v>
      </c>
      <c r="Z5786" t="s">
        <v>370</v>
      </c>
      <c r="AA5786" t="s">
        <v>371</v>
      </c>
      <c r="AB5786" t="s">
        <v>234</v>
      </c>
      <c r="AC5786" t="s">
        <v>17</v>
      </c>
      <c r="AD5786" t="s">
        <v>237</v>
      </c>
      <c r="AE5786">
        <v>4</v>
      </c>
      <c r="AF5786">
        <v>4</v>
      </c>
      <c r="AG5786">
        <v>1.5248999999999999</v>
      </c>
      <c r="AH5786">
        <v>1.5248999999999999</v>
      </c>
      <c r="AI5786">
        <v>415886648</v>
      </c>
      <c r="AJ5786">
        <v>0</v>
      </c>
      <c r="AK5786">
        <v>7</v>
      </c>
      <c r="AN5786">
        <v>0</v>
      </c>
    </row>
    <row r="5787" spans="1:40" x14ac:dyDescent="0.25">
      <c r="A5787" t="s">
        <v>15</v>
      </c>
      <c r="B5787" t="s">
        <v>24</v>
      </c>
      <c r="C5787">
        <v>20150316</v>
      </c>
      <c r="D5787">
        <v>0</v>
      </c>
      <c r="F5787">
        <v>62500</v>
      </c>
      <c r="G5787" t="s">
        <v>17</v>
      </c>
      <c r="I5787" t="s">
        <v>16</v>
      </c>
      <c r="J5787" t="s">
        <v>180</v>
      </c>
      <c r="K5787" t="s">
        <v>25</v>
      </c>
      <c r="L5787">
        <v>132757294</v>
      </c>
      <c r="R5787">
        <v>9615</v>
      </c>
      <c r="S5787" t="s">
        <v>232</v>
      </c>
      <c r="T5787">
        <v>0</v>
      </c>
      <c r="U5787">
        <v>-5</v>
      </c>
      <c r="V5787">
        <v>0</v>
      </c>
      <c r="W5787">
        <v>0</v>
      </c>
      <c r="X5787">
        <v>0</v>
      </c>
    </row>
    <row r="5788" spans="1:40" x14ac:dyDescent="0.25">
      <c r="A5788" t="s">
        <v>15</v>
      </c>
      <c r="B5788" t="s">
        <v>24</v>
      </c>
      <c r="C5788">
        <v>20150316</v>
      </c>
      <c r="D5788">
        <v>0</v>
      </c>
      <c r="F5788">
        <v>62500</v>
      </c>
      <c r="G5788" t="s">
        <v>17</v>
      </c>
      <c r="I5788" t="s">
        <v>16</v>
      </c>
      <c r="J5788" t="s">
        <v>180</v>
      </c>
      <c r="K5788" t="s">
        <v>25</v>
      </c>
      <c r="L5788">
        <v>132757294</v>
      </c>
      <c r="R5788">
        <v>9615</v>
      </c>
      <c r="S5788" t="s">
        <v>236</v>
      </c>
      <c r="T5788">
        <v>4</v>
      </c>
      <c r="U5788">
        <v>1</v>
      </c>
      <c r="V5788">
        <v>1.5248999999999999</v>
      </c>
      <c r="W5788">
        <v>1.5248999999999999</v>
      </c>
      <c r="X5788">
        <v>0</v>
      </c>
    </row>
    <row r="5789" spans="1:40" x14ac:dyDescent="0.25">
      <c r="A5789" t="s">
        <v>15</v>
      </c>
      <c r="B5789" t="s">
        <v>24</v>
      </c>
      <c r="C5789">
        <v>20150316</v>
      </c>
      <c r="D5789">
        <v>0</v>
      </c>
      <c r="F5789">
        <v>62500</v>
      </c>
      <c r="G5789" t="s">
        <v>17</v>
      </c>
      <c r="I5789" t="s">
        <v>16</v>
      </c>
      <c r="J5789" t="s">
        <v>180</v>
      </c>
      <c r="K5789" t="s">
        <v>25</v>
      </c>
      <c r="L5789">
        <v>132757294</v>
      </c>
      <c r="R5789">
        <v>9615</v>
      </c>
      <c r="S5789" t="s">
        <v>236</v>
      </c>
      <c r="T5789">
        <v>4</v>
      </c>
      <c r="U5789">
        <v>1</v>
      </c>
      <c r="V5789">
        <v>1.5248999999999999</v>
      </c>
      <c r="W5789">
        <v>1.5248999999999999</v>
      </c>
      <c r="X5789">
        <v>0</v>
      </c>
    </row>
    <row r="5790" spans="1:40" x14ac:dyDescent="0.25">
      <c r="A5790" t="s">
        <v>15</v>
      </c>
      <c r="B5790" t="s">
        <v>24</v>
      </c>
      <c r="C5790">
        <v>20150316</v>
      </c>
      <c r="D5790">
        <v>0</v>
      </c>
      <c r="F5790">
        <v>62500</v>
      </c>
      <c r="G5790" t="s">
        <v>17</v>
      </c>
      <c r="I5790" t="s">
        <v>16</v>
      </c>
      <c r="J5790" t="s">
        <v>180</v>
      </c>
      <c r="K5790" t="s">
        <v>25</v>
      </c>
      <c r="L5790">
        <v>132757294</v>
      </c>
      <c r="R5790">
        <v>9615</v>
      </c>
      <c r="S5790" t="s">
        <v>233</v>
      </c>
      <c r="T5790">
        <v>4</v>
      </c>
      <c r="U5790">
        <v>1</v>
      </c>
      <c r="V5790">
        <v>1.5248999999999999</v>
      </c>
      <c r="W5790">
        <v>1.5248999999999999</v>
      </c>
      <c r="X5790">
        <v>0</v>
      </c>
    </row>
    <row r="5791" spans="1:40" x14ac:dyDescent="0.25">
      <c r="A5791" t="s">
        <v>15</v>
      </c>
      <c r="B5791" t="s">
        <v>24</v>
      </c>
      <c r="C5791">
        <v>20150316</v>
      </c>
      <c r="D5791">
        <v>0</v>
      </c>
      <c r="F5791">
        <v>62500</v>
      </c>
      <c r="G5791" t="s">
        <v>17</v>
      </c>
      <c r="I5791" t="s">
        <v>16</v>
      </c>
      <c r="J5791" t="s">
        <v>180</v>
      </c>
      <c r="K5791" t="s">
        <v>25</v>
      </c>
      <c r="L5791">
        <v>132757294</v>
      </c>
      <c r="R5791">
        <v>9615</v>
      </c>
      <c r="S5791" t="s">
        <v>233</v>
      </c>
      <c r="T5791">
        <v>4</v>
      </c>
      <c r="U5791">
        <v>1</v>
      </c>
      <c r="V5791">
        <v>1.5248999999999999</v>
      </c>
      <c r="W5791">
        <v>1.5248999999999999</v>
      </c>
      <c r="X5791">
        <v>0</v>
      </c>
    </row>
    <row r="5792" spans="1:40" x14ac:dyDescent="0.25">
      <c r="A5792" t="s">
        <v>15</v>
      </c>
      <c r="B5792" t="s">
        <v>24</v>
      </c>
      <c r="C5792">
        <v>20150316</v>
      </c>
      <c r="D5792">
        <v>0</v>
      </c>
      <c r="F5792">
        <v>62500</v>
      </c>
      <c r="G5792" t="s">
        <v>17</v>
      </c>
      <c r="I5792" t="s">
        <v>16</v>
      </c>
      <c r="J5792" t="s">
        <v>180</v>
      </c>
      <c r="K5792" t="s">
        <v>25</v>
      </c>
      <c r="L5792">
        <v>132757294</v>
      </c>
      <c r="R5792">
        <v>9615</v>
      </c>
      <c r="S5792" t="s">
        <v>233</v>
      </c>
      <c r="T5792">
        <v>4</v>
      </c>
      <c r="U5792">
        <v>1</v>
      </c>
      <c r="V5792">
        <v>1.5248999999999999</v>
      </c>
      <c r="W5792">
        <v>1.5248999999999999</v>
      </c>
      <c r="X5792">
        <v>0</v>
      </c>
    </row>
    <row r="5793" spans="1:40" x14ac:dyDescent="0.25">
      <c r="A5793" t="s">
        <v>15</v>
      </c>
      <c r="B5793" t="s">
        <v>24</v>
      </c>
      <c r="C5793">
        <v>20150316</v>
      </c>
      <c r="D5793">
        <v>0</v>
      </c>
      <c r="F5793">
        <v>62500</v>
      </c>
      <c r="G5793" t="s">
        <v>17</v>
      </c>
      <c r="I5793" t="s">
        <v>16</v>
      </c>
      <c r="J5793" t="s">
        <v>180</v>
      </c>
      <c r="K5793" t="s">
        <v>25</v>
      </c>
      <c r="L5793">
        <v>132757294</v>
      </c>
      <c r="R5793">
        <v>9612</v>
      </c>
      <c r="S5793" t="s">
        <v>223</v>
      </c>
      <c r="T5793">
        <v>0</v>
      </c>
      <c r="U5793">
        <v>25</v>
      </c>
      <c r="V5793">
        <v>0</v>
      </c>
      <c r="W5793">
        <v>0</v>
      </c>
      <c r="X5793">
        <v>0</v>
      </c>
    </row>
    <row r="5794" spans="1:40" x14ac:dyDescent="0.25">
      <c r="A5794" t="s">
        <v>15</v>
      </c>
      <c r="B5794" t="s">
        <v>24</v>
      </c>
      <c r="C5794">
        <v>20150316</v>
      </c>
      <c r="D5794">
        <v>0</v>
      </c>
      <c r="F5794">
        <v>62500</v>
      </c>
      <c r="G5794" t="s">
        <v>17</v>
      </c>
      <c r="I5794" t="s">
        <v>16</v>
      </c>
      <c r="J5794" t="s">
        <v>180</v>
      </c>
      <c r="K5794" t="s">
        <v>25</v>
      </c>
      <c r="L5794">
        <v>132757294</v>
      </c>
      <c r="R5794">
        <v>9612</v>
      </c>
      <c r="S5794" t="s">
        <v>224</v>
      </c>
      <c r="T5794">
        <v>0</v>
      </c>
      <c r="U5794">
        <v>25</v>
      </c>
      <c r="V5794">
        <v>0</v>
      </c>
      <c r="W5794">
        <v>0</v>
      </c>
      <c r="X5794">
        <v>0</v>
      </c>
    </row>
    <row r="5795" spans="1:40" x14ac:dyDescent="0.25">
      <c r="A5795" t="s">
        <v>15</v>
      </c>
      <c r="B5795" t="s">
        <v>24</v>
      </c>
      <c r="C5795">
        <v>20150316</v>
      </c>
      <c r="D5795">
        <v>0</v>
      </c>
      <c r="F5795">
        <v>62500</v>
      </c>
      <c r="G5795" t="s">
        <v>17</v>
      </c>
      <c r="I5795" t="s">
        <v>16</v>
      </c>
      <c r="J5795" t="s">
        <v>180</v>
      </c>
      <c r="K5795" t="s">
        <v>25</v>
      </c>
      <c r="L5795">
        <v>132757294</v>
      </c>
      <c r="R5795">
        <v>9616</v>
      </c>
      <c r="S5795" t="s">
        <v>232</v>
      </c>
      <c r="T5795">
        <v>0</v>
      </c>
      <c r="U5795">
        <v>22</v>
      </c>
      <c r="V5795">
        <v>0</v>
      </c>
      <c r="W5795">
        <v>0</v>
      </c>
      <c r="X5795">
        <v>0</v>
      </c>
    </row>
    <row r="5796" spans="1:40" x14ac:dyDescent="0.25">
      <c r="A5796" t="s">
        <v>15</v>
      </c>
      <c r="B5796" t="s">
        <v>24</v>
      </c>
      <c r="C5796">
        <v>20150316</v>
      </c>
      <c r="D5796">
        <v>0</v>
      </c>
      <c r="F5796">
        <v>62500</v>
      </c>
      <c r="G5796" t="s">
        <v>17</v>
      </c>
      <c r="I5796" t="s">
        <v>16</v>
      </c>
      <c r="J5796" t="s">
        <v>180</v>
      </c>
      <c r="K5796" t="s">
        <v>25</v>
      </c>
      <c r="L5796">
        <v>132757294</v>
      </c>
      <c r="R5796">
        <v>9616</v>
      </c>
      <c r="S5796" t="s">
        <v>192</v>
      </c>
      <c r="T5796">
        <v>0</v>
      </c>
      <c r="U5796">
        <v>22</v>
      </c>
      <c r="V5796">
        <v>0</v>
      </c>
      <c r="W5796">
        <v>0</v>
      </c>
      <c r="X5796">
        <v>0</v>
      </c>
    </row>
    <row r="5797" spans="1:40" x14ac:dyDescent="0.25">
      <c r="A5797" t="s">
        <v>15</v>
      </c>
      <c r="B5797" t="s">
        <v>24</v>
      </c>
      <c r="C5797">
        <v>20150316</v>
      </c>
      <c r="D5797">
        <v>0</v>
      </c>
      <c r="F5797">
        <v>62500</v>
      </c>
      <c r="G5797" t="s">
        <v>17</v>
      </c>
      <c r="I5797" t="s">
        <v>16</v>
      </c>
      <c r="J5797" t="s">
        <v>180</v>
      </c>
      <c r="K5797" t="s">
        <v>25</v>
      </c>
      <c r="L5797">
        <v>132757294</v>
      </c>
      <c r="R5797">
        <v>9615</v>
      </c>
      <c r="S5797" t="s">
        <v>233</v>
      </c>
      <c r="T5797">
        <v>4</v>
      </c>
      <c r="U5797">
        <v>1</v>
      </c>
      <c r="V5797">
        <v>1.5248999999999999</v>
      </c>
      <c r="W5797">
        <v>1.5248999999999999</v>
      </c>
      <c r="X5797">
        <v>0</v>
      </c>
      <c r="Y5797">
        <v>9615</v>
      </c>
      <c r="Z5797" t="s">
        <v>372</v>
      </c>
      <c r="AA5797" t="s">
        <v>373</v>
      </c>
      <c r="AB5797" t="s">
        <v>234</v>
      </c>
      <c r="AC5797" t="s">
        <v>17</v>
      </c>
      <c r="AD5797" t="s">
        <v>237</v>
      </c>
      <c r="AE5797">
        <v>1</v>
      </c>
      <c r="AF5797">
        <v>5</v>
      </c>
      <c r="AG5797">
        <v>1.5247999999999999</v>
      </c>
      <c r="AH5797">
        <v>1.52488</v>
      </c>
      <c r="AI5797">
        <v>415886648</v>
      </c>
      <c r="AJ5797">
        <v>0</v>
      </c>
      <c r="AK5797">
        <v>7</v>
      </c>
      <c r="AN5797">
        <v>0</v>
      </c>
    </row>
    <row r="5798" spans="1:40" x14ac:dyDescent="0.25">
      <c r="A5798" t="s">
        <v>15</v>
      </c>
      <c r="B5798" t="s">
        <v>24</v>
      </c>
      <c r="C5798">
        <v>20150316</v>
      </c>
      <c r="D5798">
        <v>0</v>
      </c>
      <c r="F5798">
        <v>62500</v>
      </c>
      <c r="G5798" t="s">
        <v>17</v>
      </c>
      <c r="I5798" t="s">
        <v>16</v>
      </c>
      <c r="J5798" t="s">
        <v>180</v>
      </c>
      <c r="K5798" t="s">
        <v>25</v>
      </c>
      <c r="L5798">
        <v>132757294</v>
      </c>
      <c r="R5798">
        <v>9615</v>
      </c>
      <c r="S5798" t="s">
        <v>233</v>
      </c>
      <c r="T5798">
        <v>4</v>
      </c>
      <c r="U5798">
        <v>1</v>
      </c>
      <c r="V5798">
        <v>1.5248999999999999</v>
      </c>
      <c r="W5798">
        <v>1.5248999999999999</v>
      </c>
      <c r="X5798">
        <v>0</v>
      </c>
    </row>
    <row r="5799" spans="1:40" x14ac:dyDescent="0.25">
      <c r="A5799" t="s">
        <v>15</v>
      </c>
      <c r="B5799" t="s">
        <v>24</v>
      </c>
      <c r="C5799">
        <v>20150316</v>
      </c>
      <c r="D5799">
        <v>0</v>
      </c>
      <c r="F5799">
        <v>62500</v>
      </c>
      <c r="G5799" t="s">
        <v>17</v>
      </c>
      <c r="I5799" t="s">
        <v>16</v>
      </c>
      <c r="J5799" t="s">
        <v>180</v>
      </c>
      <c r="K5799" t="s">
        <v>25</v>
      </c>
      <c r="L5799">
        <v>132757294</v>
      </c>
      <c r="R5799">
        <v>9615</v>
      </c>
      <c r="S5799" t="s">
        <v>37</v>
      </c>
      <c r="T5799">
        <v>5</v>
      </c>
      <c r="U5799">
        <v>0</v>
      </c>
      <c r="V5799">
        <v>1.52488</v>
      </c>
      <c r="W5799">
        <v>1.5247999999999999</v>
      </c>
      <c r="X5799">
        <v>0</v>
      </c>
    </row>
    <row r="5800" spans="1:40" x14ac:dyDescent="0.25">
      <c r="A5800" t="s">
        <v>15</v>
      </c>
      <c r="B5800" t="s">
        <v>24</v>
      </c>
      <c r="C5800">
        <v>20150316</v>
      </c>
      <c r="D5800">
        <v>0</v>
      </c>
      <c r="F5800">
        <v>62500</v>
      </c>
      <c r="G5800" t="s">
        <v>17</v>
      </c>
      <c r="I5800" t="s">
        <v>16</v>
      </c>
      <c r="J5800" t="s">
        <v>180</v>
      </c>
      <c r="K5800" t="s">
        <v>25</v>
      </c>
      <c r="L5800">
        <v>132757294</v>
      </c>
      <c r="R5800">
        <v>9615</v>
      </c>
      <c r="S5800" t="s">
        <v>37</v>
      </c>
      <c r="T5800">
        <v>5</v>
      </c>
      <c r="U5800">
        <v>0</v>
      </c>
      <c r="V5800">
        <v>1.52488</v>
      </c>
      <c r="W5800">
        <v>1.5247999999999999</v>
      </c>
      <c r="X5800">
        <v>0</v>
      </c>
    </row>
    <row r="5801" spans="1:40" x14ac:dyDescent="0.25">
      <c r="A5801" t="s">
        <v>15</v>
      </c>
      <c r="B5801" t="s">
        <v>24</v>
      </c>
      <c r="C5801">
        <v>20150316</v>
      </c>
      <c r="D5801">
        <v>0</v>
      </c>
      <c r="F5801">
        <v>62500</v>
      </c>
      <c r="G5801" t="s">
        <v>17</v>
      </c>
      <c r="I5801" t="s">
        <v>16</v>
      </c>
      <c r="J5801" t="s">
        <v>180</v>
      </c>
      <c r="K5801" t="s">
        <v>25</v>
      </c>
      <c r="L5801">
        <v>132757294</v>
      </c>
      <c r="R5801">
        <v>9617</v>
      </c>
      <c r="S5801" t="s">
        <v>232</v>
      </c>
      <c r="T5801">
        <v>0</v>
      </c>
      <c r="U5801">
        <v>-5</v>
      </c>
      <c r="V5801">
        <v>0</v>
      </c>
      <c r="W5801">
        <v>0</v>
      </c>
      <c r="X5801">
        <v>0</v>
      </c>
    </row>
    <row r="5802" spans="1:40" x14ac:dyDescent="0.25">
      <c r="A5802" t="s">
        <v>15</v>
      </c>
      <c r="B5802" t="s">
        <v>24</v>
      </c>
      <c r="C5802">
        <v>20150316</v>
      </c>
      <c r="D5802">
        <v>0</v>
      </c>
      <c r="F5802">
        <v>62500</v>
      </c>
      <c r="G5802" t="s">
        <v>17</v>
      </c>
      <c r="I5802" t="s">
        <v>16</v>
      </c>
      <c r="J5802" t="s">
        <v>180</v>
      </c>
      <c r="K5802" t="s">
        <v>25</v>
      </c>
      <c r="L5802">
        <v>132757294</v>
      </c>
      <c r="R5802">
        <v>9615</v>
      </c>
      <c r="S5802" t="s">
        <v>37</v>
      </c>
      <c r="T5802">
        <v>5</v>
      </c>
      <c r="U5802">
        <v>0</v>
      </c>
      <c r="V5802">
        <v>1.52488</v>
      </c>
      <c r="W5802">
        <v>1.5247999999999999</v>
      </c>
      <c r="X5802">
        <v>0</v>
      </c>
    </row>
    <row r="5803" spans="1:40" x14ac:dyDescent="0.25">
      <c r="A5803" t="s">
        <v>15</v>
      </c>
      <c r="B5803" t="s">
        <v>24</v>
      </c>
      <c r="C5803">
        <v>20150316</v>
      </c>
      <c r="D5803">
        <v>0</v>
      </c>
      <c r="F5803">
        <v>62500</v>
      </c>
      <c r="G5803" t="s">
        <v>17</v>
      </c>
      <c r="I5803" t="s">
        <v>16</v>
      </c>
      <c r="J5803" t="s">
        <v>180</v>
      </c>
      <c r="K5803" t="s">
        <v>25</v>
      </c>
      <c r="L5803">
        <v>132757294</v>
      </c>
      <c r="R5803">
        <v>9615</v>
      </c>
      <c r="S5803" t="s">
        <v>37</v>
      </c>
      <c r="T5803">
        <v>5</v>
      </c>
      <c r="U5803">
        <v>0</v>
      </c>
      <c r="V5803">
        <v>1.52488</v>
      </c>
      <c r="W5803">
        <v>1.5247999999999999</v>
      </c>
      <c r="X5803">
        <v>0</v>
      </c>
    </row>
    <row r="5804" spans="1:40" x14ac:dyDescent="0.25">
      <c r="A5804" t="s">
        <v>15</v>
      </c>
      <c r="B5804" t="s">
        <v>24</v>
      </c>
      <c r="C5804">
        <v>20150316</v>
      </c>
      <c r="D5804">
        <v>0</v>
      </c>
      <c r="F5804">
        <v>62500</v>
      </c>
      <c r="G5804" t="s">
        <v>17</v>
      </c>
      <c r="I5804" t="s">
        <v>16</v>
      </c>
      <c r="J5804" t="s">
        <v>180</v>
      </c>
      <c r="K5804" t="s">
        <v>25</v>
      </c>
      <c r="L5804">
        <v>132757294</v>
      </c>
      <c r="R5804">
        <v>9615</v>
      </c>
      <c r="S5804" t="s">
        <v>37</v>
      </c>
      <c r="T5804">
        <v>5</v>
      </c>
      <c r="U5804">
        <v>0</v>
      </c>
      <c r="V5804">
        <v>1.52488</v>
      </c>
      <c r="W5804">
        <v>1.5247999999999999</v>
      </c>
      <c r="X5804">
        <v>0</v>
      </c>
    </row>
    <row r="5805" spans="1:40" x14ac:dyDescent="0.25">
      <c r="A5805" t="s">
        <v>15</v>
      </c>
      <c r="B5805" t="s">
        <v>24</v>
      </c>
      <c r="C5805">
        <v>20150316</v>
      </c>
      <c r="D5805">
        <v>0</v>
      </c>
      <c r="F5805">
        <v>62500</v>
      </c>
      <c r="G5805" t="s">
        <v>17</v>
      </c>
      <c r="I5805" t="s">
        <v>16</v>
      </c>
      <c r="J5805" t="s">
        <v>180</v>
      </c>
      <c r="K5805" t="s">
        <v>25</v>
      </c>
      <c r="L5805">
        <v>132757294</v>
      </c>
      <c r="R5805">
        <v>9617</v>
      </c>
      <c r="S5805" t="s">
        <v>232</v>
      </c>
      <c r="T5805">
        <v>0</v>
      </c>
      <c r="U5805">
        <v>-5</v>
      </c>
      <c r="V5805">
        <v>0</v>
      </c>
      <c r="W5805">
        <v>0</v>
      </c>
      <c r="X5805">
        <v>0</v>
      </c>
      <c r="Y5805">
        <v>9617</v>
      </c>
      <c r="Z5805" t="s">
        <v>374</v>
      </c>
      <c r="AA5805" t="s">
        <v>373</v>
      </c>
      <c r="AB5805" t="s">
        <v>234</v>
      </c>
      <c r="AC5805" t="s">
        <v>17</v>
      </c>
      <c r="AD5805" t="s">
        <v>237</v>
      </c>
      <c r="AE5805">
        <v>5</v>
      </c>
      <c r="AF5805">
        <v>5</v>
      </c>
      <c r="AG5805">
        <v>1.5248999999999999</v>
      </c>
      <c r="AH5805">
        <v>1.5248999999999999</v>
      </c>
      <c r="AI5805">
        <v>415886650</v>
      </c>
      <c r="AJ5805">
        <v>0</v>
      </c>
      <c r="AK5805">
        <v>7</v>
      </c>
      <c r="AN5805">
        <v>0</v>
      </c>
    </row>
    <row r="5806" spans="1:40" x14ac:dyDescent="0.25">
      <c r="A5806" t="s">
        <v>15</v>
      </c>
      <c r="B5806" t="s">
        <v>24</v>
      </c>
      <c r="C5806">
        <v>20150316</v>
      </c>
      <c r="D5806">
        <v>0</v>
      </c>
      <c r="F5806">
        <v>62500</v>
      </c>
      <c r="G5806" t="s">
        <v>17</v>
      </c>
      <c r="I5806" t="s">
        <v>16</v>
      </c>
      <c r="J5806" t="s">
        <v>180</v>
      </c>
      <c r="K5806" t="s">
        <v>25</v>
      </c>
      <c r="L5806">
        <v>132757294</v>
      </c>
      <c r="R5806">
        <v>9617</v>
      </c>
      <c r="S5806" t="s">
        <v>232</v>
      </c>
      <c r="T5806">
        <v>0</v>
      </c>
      <c r="U5806">
        <v>-5</v>
      </c>
      <c r="V5806">
        <v>0</v>
      </c>
      <c r="W5806">
        <v>0</v>
      </c>
      <c r="X5806">
        <v>0</v>
      </c>
    </row>
    <row r="5807" spans="1:40" x14ac:dyDescent="0.25">
      <c r="A5807" t="s">
        <v>15</v>
      </c>
      <c r="B5807" t="s">
        <v>24</v>
      </c>
      <c r="C5807">
        <v>20150316</v>
      </c>
      <c r="D5807">
        <v>0</v>
      </c>
      <c r="F5807">
        <v>62500</v>
      </c>
      <c r="G5807" t="s">
        <v>17</v>
      </c>
      <c r="I5807" t="s">
        <v>16</v>
      </c>
      <c r="J5807" t="s">
        <v>180</v>
      </c>
      <c r="K5807" t="s">
        <v>25</v>
      </c>
      <c r="L5807">
        <v>132757294</v>
      </c>
      <c r="R5807">
        <v>9617</v>
      </c>
      <c r="S5807" t="s">
        <v>37</v>
      </c>
      <c r="T5807">
        <v>5</v>
      </c>
      <c r="U5807">
        <v>0</v>
      </c>
      <c r="V5807">
        <v>1.5248999999999999</v>
      </c>
      <c r="W5807">
        <v>1.5248999999999999</v>
      </c>
      <c r="X5807">
        <v>0</v>
      </c>
    </row>
    <row r="5808" spans="1:40" x14ac:dyDescent="0.25">
      <c r="A5808" t="s">
        <v>15</v>
      </c>
      <c r="B5808" t="s">
        <v>24</v>
      </c>
      <c r="C5808">
        <v>20150316</v>
      </c>
      <c r="D5808">
        <v>0</v>
      </c>
      <c r="F5808">
        <v>62500</v>
      </c>
      <c r="G5808" t="s">
        <v>17</v>
      </c>
      <c r="I5808" t="s">
        <v>16</v>
      </c>
      <c r="J5808" t="s">
        <v>180</v>
      </c>
      <c r="K5808" t="s">
        <v>25</v>
      </c>
      <c r="L5808">
        <v>132757294</v>
      </c>
      <c r="R5808">
        <v>9617</v>
      </c>
      <c r="S5808" t="s">
        <v>37</v>
      </c>
      <c r="T5808">
        <v>5</v>
      </c>
      <c r="U5808">
        <v>0</v>
      </c>
      <c r="V5808">
        <v>1.5248999999999999</v>
      </c>
      <c r="W5808">
        <v>1.5248999999999999</v>
      </c>
      <c r="X5808">
        <v>0</v>
      </c>
    </row>
    <row r="5809" spans="1:40" x14ac:dyDescent="0.25">
      <c r="A5809" t="s">
        <v>15</v>
      </c>
      <c r="B5809" t="s">
        <v>24</v>
      </c>
      <c r="C5809">
        <v>20150316</v>
      </c>
      <c r="D5809">
        <v>0</v>
      </c>
      <c r="F5809">
        <v>62500</v>
      </c>
      <c r="G5809" t="s">
        <v>17</v>
      </c>
      <c r="I5809" t="s">
        <v>16</v>
      </c>
      <c r="J5809" t="s">
        <v>180</v>
      </c>
      <c r="K5809" t="s">
        <v>25</v>
      </c>
      <c r="L5809">
        <v>132757294</v>
      </c>
      <c r="R5809">
        <v>9617</v>
      </c>
      <c r="S5809" t="s">
        <v>37</v>
      </c>
      <c r="T5809">
        <v>5</v>
      </c>
      <c r="U5809">
        <v>0</v>
      </c>
      <c r="V5809">
        <v>1.5248999999999999</v>
      </c>
      <c r="W5809">
        <v>1.5248999999999999</v>
      </c>
      <c r="X5809">
        <v>0</v>
      </c>
    </row>
    <row r="5810" spans="1:40" x14ac:dyDescent="0.25">
      <c r="A5810" t="s">
        <v>15</v>
      </c>
      <c r="B5810" t="s">
        <v>24</v>
      </c>
      <c r="C5810">
        <v>20150316</v>
      </c>
      <c r="D5810">
        <v>0</v>
      </c>
      <c r="F5810">
        <v>62500</v>
      </c>
      <c r="G5810" t="s">
        <v>17</v>
      </c>
      <c r="I5810" t="s">
        <v>16</v>
      </c>
      <c r="J5810" t="s">
        <v>180</v>
      </c>
      <c r="K5810" t="s">
        <v>25</v>
      </c>
      <c r="L5810">
        <v>132757294</v>
      </c>
      <c r="R5810">
        <v>9617</v>
      </c>
      <c r="S5810" t="s">
        <v>37</v>
      </c>
      <c r="T5810">
        <v>5</v>
      </c>
      <c r="U5810">
        <v>0</v>
      </c>
      <c r="V5810">
        <v>1.5248999999999999</v>
      </c>
      <c r="W5810">
        <v>1.5248999999999999</v>
      </c>
      <c r="X5810">
        <v>0</v>
      </c>
    </row>
    <row r="5811" spans="1:40" x14ac:dyDescent="0.25">
      <c r="A5811" t="s">
        <v>15</v>
      </c>
      <c r="B5811" t="s">
        <v>24</v>
      </c>
      <c r="C5811">
        <v>20150316</v>
      </c>
      <c r="D5811">
        <v>0</v>
      </c>
      <c r="F5811">
        <v>62500</v>
      </c>
      <c r="G5811" t="s">
        <v>17</v>
      </c>
      <c r="I5811" t="s">
        <v>16</v>
      </c>
      <c r="J5811" t="s">
        <v>180</v>
      </c>
      <c r="K5811" t="s">
        <v>25</v>
      </c>
      <c r="L5811">
        <v>132757294</v>
      </c>
      <c r="R5811">
        <v>9617</v>
      </c>
      <c r="S5811" t="s">
        <v>37</v>
      </c>
      <c r="T5811">
        <v>5</v>
      </c>
      <c r="U5811">
        <v>0</v>
      </c>
      <c r="V5811">
        <v>1.5248999999999999</v>
      </c>
      <c r="W5811">
        <v>1.5248999999999999</v>
      </c>
      <c r="X5811">
        <v>0</v>
      </c>
    </row>
    <row r="5812" spans="1:40" x14ac:dyDescent="0.25">
      <c r="A5812" t="s">
        <v>15</v>
      </c>
      <c r="B5812" t="s">
        <v>24</v>
      </c>
      <c r="C5812">
        <v>20150316</v>
      </c>
      <c r="D5812">
        <v>0</v>
      </c>
      <c r="F5812">
        <v>62500</v>
      </c>
      <c r="G5812" t="s">
        <v>17</v>
      </c>
      <c r="I5812" t="s">
        <v>16</v>
      </c>
      <c r="J5812" t="s">
        <v>180</v>
      </c>
      <c r="K5812" t="s">
        <v>25</v>
      </c>
      <c r="L5812">
        <v>132757294</v>
      </c>
      <c r="R5812">
        <v>9617</v>
      </c>
      <c r="S5812" t="s">
        <v>37</v>
      </c>
      <c r="T5812">
        <v>5</v>
      </c>
      <c r="U5812">
        <v>0</v>
      </c>
      <c r="V5812">
        <v>1.5248999999999999</v>
      </c>
      <c r="W5812">
        <v>1.5248999999999999</v>
      </c>
      <c r="X5812">
        <v>0</v>
      </c>
    </row>
    <row r="5813" spans="1:40" x14ac:dyDescent="0.25">
      <c r="A5813" t="s">
        <v>15</v>
      </c>
      <c r="B5813" t="s">
        <v>24</v>
      </c>
      <c r="C5813">
        <v>20150316</v>
      </c>
      <c r="D5813">
        <v>0</v>
      </c>
      <c r="F5813">
        <v>62500</v>
      </c>
      <c r="G5813" t="s">
        <v>17</v>
      </c>
      <c r="I5813" t="s">
        <v>16</v>
      </c>
      <c r="J5813" t="s">
        <v>180</v>
      </c>
      <c r="K5813" t="s">
        <v>25</v>
      </c>
      <c r="L5813">
        <v>132757294</v>
      </c>
      <c r="R5813">
        <v>9617</v>
      </c>
      <c r="S5813" t="s">
        <v>37</v>
      </c>
      <c r="T5813">
        <v>5</v>
      </c>
      <c r="U5813">
        <v>0</v>
      </c>
      <c r="V5813">
        <v>1.5248999999999999</v>
      </c>
      <c r="W5813">
        <v>1.5248999999999999</v>
      </c>
      <c r="X5813">
        <v>0</v>
      </c>
    </row>
    <row r="5814" spans="1:40" x14ac:dyDescent="0.25">
      <c r="A5814" t="s">
        <v>15</v>
      </c>
      <c r="B5814" t="s">
        <v>24</v>
      </c>
      <c r="C5814">
        <v>20150316</v>
      </c>
      <c r="D5814">
        <v>0</v>
      </c>
      <c r="F5814">
        <v>62500</v>
      </c>
      <c r="G5814" t="s">
        <v>17</v>
      </c>
      <c r="I5814" t="s">
        <v>16</v>
      </c>
      <c r="J5814" t="s">
        <v>180</v>
      </c>
      <c r="K5814" t="s">
        <v>25</v>
      </c>
      <c r="L5814">
        <v>132757294</v>
      </c>
      <c r="R5814">
        <v>9617</v>
      </c>
      <c r="S5814" t="s">
        <v>37</v>
      </c>
      <c r="T5814">
        <v>5</v>
      </c>
      <c r="U5814">
        <v>0</v>
      </c>
      <c r="V5814">
        <v>1.5248999999999999</v>
      </c>
      <c r="W5814">
        <v>1.5248999999999999</v>
      </c>
      <c r="X5814">
        <v>0</v>
      </c>
    </row>
    <row r="5815" spans="1:40" x14ac:dyDescent="0.25">
      <c r="A5815" t="s">
        <v>15</v>
      </c>
      <c r="B5815" t="s">
        <v>24</v>
      </c>
      <c r="C5815">
        <v>20150316</v>
      </c>
      <c r="D5815">
        <v>0</v>
      </c>
      <c r="F5815">
        <v>62500</v>
      </c>
      <c r="G5815" t="s">
        <v>17</v>
      </c>
      <c r="I5815" t="s">
        <v>16</v>
      </c>
      <c r="J5815" t="s">
        <v>180</v>
      </c>
      <c r="K5815" t="s">
        <v>25</v>
      </c>
      <c r="L5815">
        <v>132757294</v>
      </c>
      <c r="R5815">
        <v>9616</v>
      </c>
      <c r="S5815" t="s">
        <v>223</v>
      </c>
      <c r="T5815">
        <v>0</v>
      </c>
      <c r="U5815">
        <v>22</v>
      </c>
      <c r="V5815">
        <v>0</v>
      </c>
      <c r="W5815">
        <v>0</v>
      </c>
      <c r="X5815">
        <v>0</v>
      </c>
    </row>
    <row r="5816" spans="1:40" x14ac:dyDescent="0.25">
      <c r="A5816" t="s">
        <v>15</v>
      </c>
      <c r="B5816" t="s">
        <v>24</v>
      </c>
      <c r="C5816">
        <v>20150316</v>
      </c>
      <c r="D5816">
        <v>0</v>
      </c>
      <c r="F5816">
        <v>62500</v>
      </c>
      <c r="G5816" t="s">
        <v>17</v>
      </c>
      <c r="I5816" t="s">
        <v>16</v>
      </c>
      <c r="J5816" t="s">
        <v>180</v>
      </c>
      <c r="K5816" t="s">
        <v>25</v>
      </c>
      <c r="L5816">
        <v>132757294</v>
      </c>
      <c r="R5816">
        <v>9616</v>
      </c>
      <c r="S5816" t="s">
        <v>224</v>
      </c>
      <c r="T5816">
        <v>0</v>
      </c>
      <c r="U5816">
        <v>22</v>
      </c>
      <c r="V5816">
        <v>0</v>
      </c>
      <c r="W5816">
        <v>0</v>
      </c>
      <c r="X5816">
        <v>0</v>
      </c>
    </row>
    <row r="5817" spans="1:40" x14ac:dyDescent="0.25">
      <c r="A5817" t="s">
        <v>15</v>
      </c>
      <c r="B5817" t="s">
        <v>24</v>
      </c>
      <c r="C5817">
        <v>20150316</v>
      </c>
      <c r="D5817">
        <v>0</v>
      </c>
      <c r="F5817">
        <v>62500</v>
      </c>
      <c r="G5817" t="s">
        <v>17</v>
      </c>
      <c r="I5817" t="s">
        <v>16</v>
      </c>
      <c r="J5817" t="s">
        <v>180</v>
      </c>
      <c r="K5817" t="s">
        <v>25</v>
      </c>
      <c r="L5817">
        <v>132757294</v>
      </c>
      <c r="R5817">
        <v>9618</v>
      </c>
      <c r="S5817" t="s">
        <v>232</v>
      </c>
      <c r="T5817">
        <v>0</v>
      </c>
      <c r="U5817">
        <v>-5</v>
      </c>
      <c r="V5817">
        <v>0</v>
      </c>
      <c r="W5817">
        <v>0</v>
      </c>
      <c r="X5817">
        <v>0</v>
      </c>
    </row>
    <row r="5818" spans="1:40" x14ac:dyDescent="0.25">
      <c r="A5818" t="s">
        <v>15</v>
      </c>
      <c r="B5818" t="s">
        <v>24</v>
      </c>
      <c r="C5818">
        <v>20150316</v>
      </c>
      <c r="D5818">
        <v>0</v>
      </c>
      <c r="F5818">
        <v>62500</v>
      </c>
      <c r="G5818" t="s">
        <v>17</v>
      </c>
      <c r="I5818" t="s">
        <v>16</v>
      </c>
      <c r="J5818" t="s">
        <v>180</v>
      </c>
      <c r="K5818" t="s">
        <v>25</v>
      </c>
      <c r="L5818">
        <v>132757294</v>
      </c>
      <c r="R5818">
        <v>9618</v>
      </c>
      <c r="S5818" t="s">
        <v>232</v>
      </c>
      <c r="T5818">
        <v>0</v>
      </c>
      <c r="U5818">
        <v>-5</v>
      </c>
      <c r="V5818">
        <v>0</v>
      </c>
      <c r="W5818">
        <v>0</v>
      </c>
      <c r="X5818">
        <v>0</v>
      </c>
      <c r="Y5818">
        <v>9618</v>
      </c>
      <c r="Z5818" t="s">
        <v>375</v>
      </c>
      <c r="AA5818" t="s">
        <v>376</v>
      </c>
      <c r="AB5818" t="s">
        <v>234</v>
      </c>
      <c r="AC5818" t="s">
        <v>17</v>
      </c>
      <c r="AD5818" t="s">
        <v>237</v>
      </c>
      <c r="AE5818">
        <v>5</v>
      </c>
      <c r="AF5818">
        <v>5</v>
      </c>
      <c r="AG5818">
        <v>1.5248999999999999</v>
      </c>
      <c r="AH5818">
        <v>1.5248999999999999</v>
      </c>
      <c r="AI5818">
        <v>415886651</v>
      </c>
      <c r="AJ5818">
        <v>0</v>
      </c>
      <c r="AK5818">
        <v>7</v>
      </c>
      <c r="AN5818">
        <v>0</v>
      </c>
    </row>
    <row r="5819" spans="1:40" x14ac:dyDescent="0.25">
      <c r="A5819" t="s">
        <v>15</v>
      </c>
      <c r="B5819" t="s">
        <v>24</v>
      </c>
      <c r="C5819">
        <v>20150316</v>
      </c>
      <c r="D5819">
        <v>0</v>
      </c>
      <c r="F5819">
        <v>62500</v>
      </c>
      <c r="G5819" t="s">
        <v>17</v>
      </c>
      <c r="I5819" t="s">
        <v>16</v>
      </c>
      <c r="J5819" t="s">
        <v>180</v>
      </c>
      <c r="K5819" t="s">
        <v>25</v>
      </c>
      <c r="L5819">
        <v>132757294</v>
      </c>
      <c r="R5819">
        <v>9618</v>
      </c>
      <c r="S5819" t="s">
        <v>232</v>
      </c>
      <c r="T5819">
        <v>0</v>
      </c>
      <c r="U5819">
        <v>-5</v>
      </c>
      <c r="V5819">
        <v>0</v>
      </c>
      <c r="W5819">
        <v>0</v>
      </c>
      <c r="X5819">
        <v>0</v>
      </c>
    </row>
    <row r="5820" spans="1:40" x14ac:dyDescent="0.25">
      <c r="A5820" t="s">
        <v>15</v>
      </c>
      <c r="B5820" t="s">
        <v>24</v>
      </c>
      <c r="C5820">
        <v>20150316</v>
      </c>
      <c r="D5820">
        <v>0</v>
      </c>
      <c r="F5820">
        <v>62500</v>
      </c>
      <c r="G5820" t="s">
        <v>17</v>
      </c>
      <c r="I5820" t="s">
        <v>16</v>
      </c>
      <c r="J5820" t="s">
        <v>180</v>
      </c>
      <c r="K5820" t="s">
        <v>25</v>
      </c>
      <c r="L5820">
        <v>132757294</v>
      </c>
      <c r="R5820">
        <v>9618</v>
      </c>
      <c r="S5820" t="s">
        <v>37</v>
      </c>
      <c r="T5820">
        <v>5</v>
      </c>
      <c r="U5820">
        <v>0</v>
      </c>
      <c r="V5820">
        <v>1.5248999999999999</v>
      </c>
      <c r="W5820">
        <v>1.5248999999999999</v>
      </c>
      <c r="X5820">
        <v>0</v>
      </c>
    </row>
    <row r="5821" spans="1:40" x14ac:dyDescent="0.25">
      <c r="A5821" t="s">
        <v>15</v>
      </c>
      <c r="B5821" t="s">
        <v>24</v>
      </c>
      <c r="C5821">
        <v>20150316</v>
      </c>
      <c r="D5821">
        <v>0</v>
      </c>
      <c r="F5821">
        <v>62500</v>
      </c>
      <c r="G5821" t="s">
        <v>17</v>
      </c>
      <c r="I5821" t="s">
        <v>16</v>
      </c>
      <c r="J5821" t="s">
        <v>180</v>
      </c>
      <c r="K5821" t="s">
        <v>25</v>
      </c>
      <c r="L5821">
        <v>132757294</v>
      </c>
      <c r="R5821">
        <v>9618</v>
      </c>
      <c r="S5821" t="s">
        <v>37</v>
      </c>
      <c r="T5821">
        <v>5</v>
      </c>
      <c r="U5821">
        <v>0</v>
      </c>
      <c r="V5821">
        <v>1.5248999999999999</v>
      </c>
      <c r="W5821">
        <v>1.5248999999999999</v>
      </c>
      <c r="X5821">
        <v>0</v>
      </c>
    </row>
    <row r="5822" spans="1:40" x14ac:dyDescent="0.25">
      <c r="A5822" t="s">
        <v>15</v>
      </c>
      <c r="B5822" t="s">
        <v>24</v>
      </c>
      <c r="C5822">
        <v>20150316</v>
      </c>
      <c r="D5822">
        <v>0</v>
      </c>
      <c r="F5822">
        <v>62500</v>
      </c>
      <c r="G5822" t="s">
        <v>17</v>
      </c>
      <c r="I5822" t="s">
        <v>16</v>
      </c>
      <c r="J5822" t="s">
        <v>180</v>
      </c>
      <c r="K5822" t="s">
        <v>25</v>
      </c>
      <c r="L5822">
        <v>132757294</v>
      </c>
      <c r="R5822">
        <v>9619</v>
      </c>
      <c r="S5822" t="s">
        <v>232</v>
      </c>
      <c r="T5822">
        <v>0</v>
      </c>
      <c r="U5822">
        <v>-5</v>
      </c>
      <c r="V5822">
        <v>0</v>
      </c>
      <c r="W5822">
        <v>0</v>
      </c>
      <c r="X5822">
        <v>0</v>
      </c>
    </row>
    <row r="5823" spans="1:40" x14ac:dyDescent="0.25">
      <c r="A5823" t="s">
        <v>15</v>
      </c>
      <c r="B5823" t="s">
        <v>24</v>
      </c>
      <c r="C5823">
        <v>20150316</v>
      </c>
      <c r="D5823">
        <v>0</v>
      </c>
      <c r="F5823">
        <v>62500</v>
      </c>
      <c r="G5823" t="s">
        <v>17</v>
      </c>
      <c r="I5823" t="s">
        <v>16</v>
      </c>
      <c r="J5823" t="s">
        <v>180</v>
      </c>
      <c r="K5823" t="s">
        <v>25</v>
      </c>
      <c r="L5823">
        <v>132757294</v>
      </c>
      <c r="R5823">
        <v>9618</v>
      </c>
      <c r="S5823" t="s">
        <v>37</v>
      </c>
      <c r="T5823">
        <v>5</v>
      </c>
      <c r="U5823">
        <v>0</v>
      </c>
      <c r="V5823">
        <v>1.5248999999999999</v>
      </c>
      <c r="W5823">
        <v>1.5248999999999999</v>
      </c>
      <c r="X5823">
        <v>0</v>
      </c>
    </row>
    <row r="5824" spans="1:40" x14ac:dyDescent="0.25">
      <c r="A5824" t="s">
        <v>15</v>
      </c>
      <c r="B5824" t="s">
        <v>24</v>
      </c>
      <c r="C5824">
        <v>20150316</v>
      </c>
      <c r="D5824">
        <v>0</v>
      </c>
      <c r="F5824">
        <v>62500</v>
      </c>
      <c r="G5824" t="s">
        <v>17</v>
      </c>
      <c r="I5824" t="s">
        <v>16</v>
      </c>
      <c r="J5824" t="s">
        <v>180</v>
      </c>
      <c r="K5824" t="s">
        <v>25</v>
      </c>
      <c r="L5824">
        <v>132757294</v>
      </c>
      <c r="R5824">
        <v>9618</v>
      </c>
      <c r="S5824" t="s">
        <v>37</v>
      </c>
      <c r="T5824">
        <v>5</v>
      </c>
      <c r="U5824">
        <v>0</v>
      </c>
      <c r="V5824">
        <v>1.5248999999999999</v>
      </c>
      <c r="W5824">
        <v>1.5248999999999999</v>
      </c>
      <c r="X5824">
        <v>0</v>
      </c>
    </row>
    <row r="5825" spans="1:40" x14ac:dyDescent="0.25">
      <c r="A5825" t="s">
        <v>15</v>
      </c>
      <c r="B5825" t="s">
        <v>24</v>
      </c>
      <c r="C5825">
        <v>20150316</v>
      </c>
      <c r="D5825">
        <v>0</v>
      </c>
      <c r="F5825">
        <v>62500</v>
      </c>
      <c r="G5825" t="s">
        <v>17</v>
      </c>
      <c r="I5825" t="s">
        <v>16</v>
      </c>
      <c r="J5825" t="s">
        <v>180</v>
      </c>
      <c r="K5825" t="s">
        <v>25</v>
      </c>
      <c r="L5825">
        <v>132757294</v>
      </c>
      <c r="R5825">
        <v>9618</v>
      </c>
      <c r="S5825" t="s">
        <v>37</v>
      </c>
      <c r="T5825">
        <v>5</v>
      </c>
      <c r="U5825">
        <v>0</v>
      </c>
      <c r="V5825">
        <v>1.5248999999999999</v>
      </c>
      <c r="W5825">
        <v>1.5248999999999999</v>
      </c>
      <c r="X5825">
        <v>0</v>
      </c>
    </row>
    <row r="5826" spans="1:40" x14ac:dyDescent="0.25">
      <c r="A5826" t="s">
        <v>15</v>
      </c>
      <c r="B5826" t="s">
        <v>24</v>
      </c>
      <c r="C5826">
        <v>20150316</v>
      </c>
      <c r="D5826">
        <v>0</v>
      </c>
      <c r="F5826">
        <v>62500</v>
      </c>
      <c r="G5826" t="s">
        <v>17</v>
      </c>
      <c r="I5826" t="s">
        <v>16</v>
      </c>
      <c r="J5826" t="s">
        <v>180</v>
      </c>
      <c r="K5826" t="s">
        <v>25</v>
      </c>
      <c r="L5826">
        <v>132757294</v>
      </c>
      <c r="R5826">
        <v>9618</v>
      </c>
      <c r="S5826" t="s">
        <v>37</v>
      </c>
      <c r="T5826">
        <v>5</v>
      </c>
      <c r="U5826">
        <v>0</v>
      </c>
      <c r="V5826">
        <v>1.5248999999999999</v>
      </c>
      <c r="W5826">
        <v>1.5248999999999999</v>
      </c>
      <c r="X5826">
        <v>0</v>
      </c>
    </row>
    <row r="5827" spans="1:40" x14ac:dyDescent="0.25">
      <c r="A5827" t="s">
        <v>15</v>
      </c>
      <c r="B5827" t="s">
        <v>24</v>
      </c>
      <c r="C5827">
        <v>20150316</v>
      </c>
      <c r="D5827">
        <v>0</v>
      </c>
      <c r="F5827">
        <v>62500</v>
      </c>
      <c r="G5827" t="s">
        <v>17</v>
      </c>
      <c r="I5827" t="s">
        <v>16</v>
      </c>
      <c r="J5827" t="s">
        <v>180</v>
      </c>
      <c r="K5827" t="s">
        <v>25</v>
      </c>
      <c r="L5827">
        <v>132757294</v>
      </c>
      <c r="R5827">
        <v>9618</v>
      </c>
      <c r="S5827" t="s">
        <v>37</v>
      </c>
      <c r="T5827">
        <v>5</v>
      </c>
      <c r="U5827">
        <v>0</v>
      </c>
      <c r="V5827">
        <v>1.5248999999999999</v>
      </c>
      <c r="W5827">
        <v>1.5248999999999999</v>
      </c>
      <c r="X5827">
        <v>0</v>
      </c>
    </row>
    <row r="5828" spans="1:40" x14ac:dyDescent="0.25">
      <c r="A5828" t="s">
        <v>15</v>
      </c>
      <c r="B5828" t="s">
        <v>24</v>
      </c>
      <c r="C5828">
        <v>20150316</v>
      </c>
      <c r="D5828">
        <v>0</v>
      </c>
      <c r="F5828">
        <v>62500</v>
      </c>
      <c r="G5828" t="s">
        <v>17</v>
      </c>
      <c r="I5828" t="s">
        <v>16</v>
      </c>
      <c r="J5828" t="s">
        <v>180</v>
      </c>
      <c r="K5828" t="s">
        <v>25</v>
      </c>
      <c r="L5828">
        <v>132757294</v>
      </c>
      <c r="R5828">
        <v>9618</v>
      </c>
      <c r="S5828" t="s">
        <v>37</v>
      </c>
      <c r="T5828">
        <v>5</v>
      </c>
      <c r="U5828">
        <v>0</v>
      </c>
      <c r="V5828">
        <v>1.5248999999999999</v>
      </c>
      <c r="W5828">
        <v>1.5248999999999999</v>
      </c>
      <c r="X5828">
        <v>0</v>
      </c>
    </row>
    <row r="5829" spans="1:40" x14ac:dyDescent="0.25">
      <c r="A5829" t="s">
        <v>15</v>
      </c>
      <c r="B5829" t="s">
        <v>24</v>
      </c>
      <c r="C5829">
        <v>20150316</v>
      </c>
      <c r="D5829">
        <v>0</v>
      </c>
      <c r="F5829">
        <v>62500</v>
      </c>
      <c r="G5829" t="s">
        <v>17</v>
      </c>
      <c r="I5829" t="s">
        <v>16</v>
      </c>
      <c r="J5829" t="s">
        <v>180</v>
      </c>
      <c r="K5829" t="s">
        <v>25</v>
      </c>
      <c r="L5829">
        <v>132757294</v>
      </c>
      <c r="R5829">
        <v>9619</v>
      </c>
      <c r="S5829" t="s">
        <v>232</v>
      </c>
      <c r="T5829">
        <v>0</v>
      </c>
      <c r="U5829">
        <v>-5</v>
      </c>
      <c r="V5829">
        <v>0</v>
      </c>
      <c r="W5829">
        <v>0</v>
      </c>
      <c r="X5829">
        <v>0</v>
      </c>
      <c r="Y5829">
        <v>9619</v>
      </c>
      <c r="Z5829" t="s">
        <v>377</v>
      </c>
      <c r="AA5829" t="s">
        <v>376</v>
      </c>
      <c r="AB5829" t="s">
        <v>234</v>
      </c>
      <c r="AC5829" t="s">
        <v>17</v>
      </c>
      <c r="AD5829" t="s">
        <v>237</v>
      </c>
      <c r="AE5829">
        <v>5</v>
      </c>
      <c r="AF5829">
        <v>5</v>
      </c>
      <c r="AG5829">
        <v>1.5248999999999999</v>
      </c>
      <c r="AH5829">
        <v>1.5248999999999999</v>
      </c>
      <c r="AI5829">
        <v>415886652</v>
      </c>
      <c r="AJ5829">
        <v>0</v>
      </c>
      <c r="AK5829">
        <v>7</v>
      </c>
      <c r="AN5829">
        <v>0</v>
      </c>
    </row>
    <row r="5830" spans="1:40" x14ac:dyDescent="0.25">
      <c r="A5830" t="s">
        <v>15</v>
      </c>
      <c r="B5830" t="s">
        <v>24</v>
      </c>
      <c r="C5830">
        <v>20150316</v>
      </c>
      <c r="D5830">
        <v>0</v>
      </c>
      <c r="F5830">
        <v>62500</v>
      </c>
      <c r="G5830" t="s">
        <v>17</v>
      </c>
      <c r="I5830" t="s">
        <v>16</v>
      </c>
      <c r="J5830" t="s">
        <v>180</v>
      </c>
      <c r="K5830" t="s">
        <v>25</v>
      </c>
      <c r="L5830">
        <v>132757294</v>
      </c>
      <c r="R5830">
        <v>9619</v>
      </c>
      <c r="S5830" t="s">
        <v>232</v>
      </c>
      <c r="T5830">
        <v>0</v>
      </c>
      <c r="U5830">
        <v>-5</v>
      </c>
      <c r="V5830">
        <v>0</v>
      </c>
      <c r="W5830">
        <v>0</v>
      </c>
      <c r="X5830">
        <v>0</v>
      </c>
    </row>
    <row r="5831" spans="1:40" x14ac:dyDescent="0.25">
      <c r="A5831" t="s">
        <v>15</v>
      </c>
      <c r="B5831" t="s">
        <v>24</v>
      </c>
      <c r="C5831">
        <v>20150316</v>
      </c>
      <c r="D5831">
        <v>0</v>
      </c>
      <c r="F5831">
        <v>62500</v>
      </c>
      <c r="G5831" t="s">
        <v>17</v>
      </c>
      <c r="I5831" t="s">
        <v>16</v>
      </c>
      <c r="J5831" t="s">
        <v>180</v>
      </c>
      <c r="K5831" t="s">
        <v>25</v>
      </c>
      <c r="L5831">
        <v>132757294</v>
      </c>
      <c r="R5831">
        <v>9619</v>
      </c>
      <c r="S5831" t="s">
        <v>37</v>
      </c>
      <c r="T5831">
        <v>5</v>
      </c>
      <c r="U5831">
        <v>0</v>
      </c>
      <c r="V5831">
        <v>1.5248999999999999</v>
      </c>
      <c r="W5831">
        <v>1.5248999999999999</v>
      </c>
      <c r="X5831">
        <v>0</v>
      </c>
    </row>
    <row r="5832" spans="1:40" x14ac:dyDescent="0.25">
      <c r="A5832" t="s">
        <v>15</v>
      </c>
      <c r="B5832" t="s">
        <v>24</v>
      </c>
      <c r="C5832">
        <v>20150316</v>
      </c>
      <c r="D5832">
        <v>0</v>
      </c>
      <c r="F5832">
        <v>62500</v>
      </c>
      <c r="G5832" t="s">
        <v>17</v>
      </c>
      <c r="I5832" t="s">
        <v>16</v>
      </c>
      <c r="J5832" t="s">
        <v>180</v>
      </c>
      <c r="K5832" t="s">
        <v>25</v>
      </c>
      <c r="L5832">
        <v>132757294</v>
      </c>
      <c r="R5832">
        <v>9619</v>
      </c>
      <c r="S5832" t="s">
        <v>37</v>
      </c>
      <c r="T5832">
        <v>5</v>
      </c>
      <c r="U5832">
        <v>0</v>
      </c>
      <c r="V5832">
        <v>1.5248999999999999</v>
      </c>
      <c r="W5832">
        <v>1.5248999999999999</v>
      </c>
      <c r="X5832">
        <v>0</v>
      </c>
    </row>
    <row r="5833" spans="1:40" x14ac:dyDescent="0.25">
      <c r="A5833" t="s">
        <v>15</v>
      </c>
      <c r="B5833" t="s">
        <v>24</v>
      </c>
      <c r="C5833">
        <v>20150316</v>
      </c>
      <c r="D5833">
        <v>0</v>
      </c>
      <c r="F5833">
        <v>62500</v>
      </c>
      <c r="G5833" t="s">
        <v>17</v>
      </c>
      <c r="I5833" t="s">
        <v>16</v>
      </c>
      <c r="J5833" t="s">
        <v>180</v>
      </c>
      <c r="K5833" t="s">
        <v>25</v>
      </c>
      <c r="L5833">
        <v>132757294</v>
      </c>
      <c r="R5833">
        <v>9619</v>
      </c>
      <c r="S5833" t="s">
        <v>37</v>
      </c>
      <c r="T5833">
        <v>5</v>
      </c>
      <c r="U5833">
        <v>0</v>
      </c>
      <c r="V5833">
        <v>1.5248999999999999</v>
      </c>
      <c r="W5833">
        <v>1.5248999999999999</v>
      </c>
      <c r="X5833">
        <v>0</v>
      </c>
    </row>
    <row r="5834" spans="1:40" x14ac:dyDescent="0.25">
      <c r="A5834" t="s">
        <v>15</v>
      </c>
      <c r="B5834" t="s">
        <v>24</v>
      </c>
      <c r="C5834">
        <v>20150316</v>
      </c>
      <c r="D5834">
        <v>0</v>
      </c>
      <c r="F5834">
        <v>62500</v>
      </c>
      <c r="G5834" t="s">
        <v>17</v>
      </c>
      <c r="I5834" t="s">
        <v>16</v>
      </c>
      <c r="J5834" t="s">
        <v>180</v>
      </c>
      <c r="K5834" t="s">
        <v>25</v>
      </c>
      <c r="L5834">
        <v>132757294</v>
      </c>
      <c r="R5834">
        <v>9619</v>
      </c>
      <c r="S5834" t="s">
        <v>37</v>
      </c>
      <c r="T5834">
        <v>5</v>
      </c>
      <c r="U5834">
        <v>0</v>
      </c>
      <c r="V5834">
        <v>1.5248999999999999</v>
      </c>
      <c r="W5834">
        <v>1.5248999999999999</v>
      </c>
      <c r="X5834">
        <v>0</v>
      </c>
    </row>
    <row r="5835" spans="1:40" x14ac:dyDescent="0.25">
      <c r="A5835" t="s">
        <v>15</v>
      </c>
      <c r="B5835" t="s">
        <v>24</v>
      </c>
      <c r="C5835">
        <v>20150316</v>
      </c>
      <c r="D5835">
        <v>0</v>
      </c>
      <c r="F5835">
        <v>62500</v>
      </c>
      <c r="G5835" t="s">
        <v>17</v>
      </c>
      <c r="I5835" t="s">
        <v>16</v>
      </c>
      <c r="J5835" t="s">
        <v>180</v>
      </c>
      <c r="K5835" t="s">
        <v>25</v>
      </c>
      <c r="L5835">
        <v>132757294</v>
      </c>
      <c r="R5835">
        <v>9619</v>
      </c>
      <c r="S5835" t="s">
        <v>37</v>
      </c>
      <c r="T5835">
        <v>5</v>
      </c>
      <c r="U5835">
        <v>0</v>
      </c>
      <c r="V5835">
        <v>1.5248999999999999</v>
      </c>
      <c r="W5835">
        <v>1.5248999999999999</v>
      </c>
      <c r="X5835">
        <v>0</v>
      </c>
    </row>
    <row r="5836" spans="1:40" x14ac:dyDescent="0.25">
      <c r="A5836" t="s">
        <v>15</v>
      </c>
      <c r="B5836" t="s">
        <v>24</v>
      </c>
      <c r="C5836">
        <v>20150316</v>
      </c>
      <c r="D5836">
        <v>0</v>
      </c>
      <c r="F5836">
        <v>62500</v>
      </c>
      <c r="G5836" t="s">
        <v>17</v>
      </c>
      <c r="I5836" t="s">
        <v>16</v>
      </c>
      <c r="J5836" t="s">
        <v>180</v>
      </c>
      <c r="K5836" t="s">
        <v>25</v>
      </c>
      <c r="L5836">
        <v>132757294</v>
      </c>
      <c r="R5836">
        <v>9619</v>
      </c>
      <c r="S5836" t="s">
        <v>37</v>
      </c>
      <c r="T5836">
        <v>5</v>
      </c>
      <c r="U5836">
        <v>0</v>
      </c>
      <c r="V5836">
        <v>1.5248999999999999</v>
      </c>
      <c r="W5836">
        <v>1.5248999999999999</v>
      </c>
      <c r="X5836">
        <v>0</v>
      </c>
    </row>
    <row r="5837" spans="1:40" x14ac:dyDescent="0.25">
      <c r="A5837" t="s">
        <v>15</v>
      </c>
      <c r="B5837" t="s">
        <v>24</v>
      </c>
      <c r="C5837">
        <v>20150316</v>
      </c>
      <c r="D5837">
        <v>0</v>
      </c>
      <c r="F5837">
        <v>62500</v>
      </c>
      <c r="G5837" t="s">
        <v>17</v>
      </c>
      <c r="I5837" t="s">
        <v>16</v>
      </c>
      <c r="J5837" t="s">
        <v>180</v>
      </c>
      <c r="K5837" t="s">
        <v>25</v>
      </c>
      <c r="L5837">
        <v>132757294</v>
      </c>
      <c r="R5837">
        <v>9619</v>
      </c>
      <c r="S5837" t="s">
        <v>37</v>
      </c>
      <c r="T5837">
        <v>5</v>
      </c>
      <c r="U5837">
        <v>0</v>
      </c>
      <c r="V5837">
        <v>1.5248999999999999</v>
      </c>
      <c r="W5837">
        <v>1.5248999999999999</v>
      </c>
      <c r="X5837">
        <v>0</v>
      </c>
    </row>
    <row r="5838" spans="1:40" x14ac:dyDescent="0.25">
      <c r="A5838" t="s">
        <v>15</v>
      </c>
      <c r="B5838" t="s">
        <v>24</v>
      </c>
      <c r="C5838">
        <v>20150316</v>
      </c>
      <c r="D5838">
        <v>0</v>
      </c>
      <c r="F5838">
        <v>62500</v>
      </c>
      <c r="G5838" t="s">
        <v>17</v>
      </c>
      <c r="I5838" t="s">
        <v>16</v>
      </c>
      <c r="J5838" t="s">
        <v>180</v>
      </c>
      <c r="K5838" t="s">
        <v>25</v>
      </c>
      <c r="L5838">
        <v>132757294</v>
      </c>
      <c r="R5838">
        <v>9619</v>
      </c>
      <c r="S5838" t="s">
        <v>37</v>
      </c>
      <c r="T5838">
        <v>5</v>
      </c>
      <c r="U5838">
        <v>0</v>
      </c>
      <c r="V5838">
        <v>1.5248999999999999</v>
      </c>
      <c r="W5838">
        <v>1.5248999999999999</v>
      </c>
      <c r="X5838">
        <v>0</v>
      </c>
    </row>
    <row r="5839" spans="1:40" x14ac:dyDescent="0.25">
      <c r="A5839" t="s">
        <v>15</v>
      </c>
      <c r="B5839" t="s">
        <v>24</v>
      </c>
      <c r="C5839">
        <v>20150316</v>
      </c>
      <c r="D5839">
        <v>0</v>
      </c>
      <c r="F5839">
        <v>62500</v>
      </c>
      <c r="G5839" t="s">
        <v>17</v>
      </c>
      <c r="I5839" t="s">
        <v>16</v>
      </c>
      <c r="J5839" t="s">
        <v>180</v>
      </c>
      <c r="K5839" t="s">
        <v>25</v>
      </c>
      <c r="L5839">
        <v>132757294</v>
      </c>
      <c r="R5839">
        <v>9620</v>
      </c>
      <c r="S5839" t="s">
        <v>232</v>
      </c>
      <c r="T5839">
        <v>0</v>
      </c>
      <c r="U5839">
        <v>-5</v>
      </c>
      <c r="V5839">
        <v>0</v>
      </c>
      <c r="W5839">
        <v>0</v>
      </c>
      <c r="X5839">
        <v>0</v>
      </c>
    </row>
    <row r="5840" spans="1:40" x14ac:dyDescent="0.25">
      <c r="A5840" t="s">
        <v>15</v>
      </c>
      <c r="B5840" t="s">
        <v>24</v>
      </c>
      <c r="C5840">
        <v>20150316</v>
      </c>
      <c r="D5840">
        <v>0</v>
      </c>
      <c r="F5840">
        <v>62500</v>
      </c>
      <c r="G5840" t="s">
        <v>17</v>
      </c>
      <c r="I5840" t="s">
        <v>16</v>
      </c>
      <c r="J5840" t="s">
        <v>180</v>
      </c>
      <c r="K5840" t="s">
        <v>25</v>
      </c>
      <c r="L5840">
        <v>132757294</v>
      </c>
      <c r="R5840">
        <v>9620</v>
      </c>
      <c r="S5840" t="s">
        <v>232</v>
      </c>
      <c r="T5840">
        <v>0</v>
      </c>
      <c r="U5840">
        <v>-5</v>
      </c>
      <c r="V5840">
        <v>0</v>
      </c>
      <c r="W5840">
        <v>0</v>
      </c>
      <c r="X5840">
        <v>0</v>
      </c>
      <c r="Y5840">
        <v>9620</v>
      </c>
      <c r="Z5840" t="s">
        <v>378</v>
      </c>
      <c r="AA5840" t="s">
        <v>379</v>
      </c>
      <c r="AB5840" t="s">
        <v>234</v>
      </c>
      <c r="AC5840" t="s">
        <v>17</v>
      </c>
      <c r="AD5840" t="s">
        <v>237</v>
      </c>
      <c r="AE5840">
        <v>5</v>
      </c>
      <c r="AF5840">
        <v>5</v>
      </c>
      <c r="AG5840">
        <v>1.5248999999999999</v>
      </c>
      <c r="AH5840">
        <v>1.5248999999999999</v>
      </c>
      <c r="AI5840">
        <v>415886653</v>
      </c>
      <c r="AJ5840">
        <v>0</v>
      </c>
      <c r="AK5840">
        <v>7</v>
      </c>
      <c r="AN5840">
        <v>0</v>
      </c>
    </row>
    <row r="5841" spans="1:40" x14ac:dyDescent="0.25">
      <c r="A5841" t="s">
        <v>15</v>
      </c>
      <c r="B5841" t="s">
        <v>24</v>
      </c>
      <c r="C5841">
        <v>20150316</v>
      </c>
      <c r="D5841">
        <v>0</v>
      </c>
      <c r="F5841">
        <v>62500</v>
      </c>
      <c r="G5841" t="s">
        <v>17</v>
      </c>
      <c r="I5841" t="s">
        <v>16</v>
      </c>
      <c r="J5841" t="s">
        <v>180</v>
      </c>
      <c r="K5841" t="s">
        <v>25</v>
      </c>
      <c r="L5841">
        <v>132757294</v>
      </c>
      <c r="R5841">
        <v>9620</v>
      </c>
      <c r="S5841" t="s">
        <v>232</v>
      </c>
      <c r="T5841">
        <v>0</v>
      </c>
      <c r="U5841">
        <v>-5</v>
      </c>
      <c r="V5841">
        <v>0</v>
      </c>
      <c r="W5841">
        <v>0</v>
      </c>
      <c r="X5841">
        <v>0</v>
      </c>
    </row>
    <row r="5842" spans="1:40" x14ac:dyDescent="0.25">
      <c r="A5842" t="s">
        <v>15</v>
      </c>
      <c r="B5842" t="s">
        <v>24</v>
      </c>
      <c r="C5842">
        <v>20150316</v>
      </c>
      <c r="D5842">
        <v>0</v>
      </c>
      <c r="F5842">
        <v>62500</v>
      </c>
      <c r="G5842" t="s">
        <v>17</v>
      </c>
      <c r="I5842" t="s">
        <v>16</v>
      </c>
      <c r="J5842" t="s">
        <v>180</v>
      </c>
      <c r="K5842" t="s">
        <v>25</v>
      </c>
      <c r="L5842">
        <v>132757294</v>
      </c>
      <c r="R5842">
        <v>9620</v>
      </c>
      <c r="S5842" t="s">
        <v>37</v>
      </c>
      <c r="T5842">
        <v>5</v>
      </c>
      <c r="U5842">
        <v>0</v>
      </c>
      <c r="V5842">
        <v>1.5248999999999999</v>
      </c>
      <c r="W5842">
        <v>1.5248999999999999</v>
      </c>
      <c r="X5842">
        <v>0</v>
      </c>
    </row>
    <row r="5843" spans="1:40" x14ac:dyDescent="0.25">
      <c r="A5843" t="s">
        <v>15</v>
      </c>
      <c r="B5843" t="s">
        <v>24</v>
      </c>
      <c r="C5843">
        <v>20150316</v>
      </c>
      <c r="D5843">
        <v>0</v>
      </c>
      <c r="F5843">
        <v>62500</v>
      </c>
      <c r="G5843" t="s">
        <v>17</v>
      </c>
      <c r="I5843" t="s">
        <v>16</v>
      </c>
      <c r="J5843" t="s">
        <v>180</v>
      </c>
      <c r="K5843" t="s">
        <v>25</v>
      </c>
      <c r="L5843">
        <v>132757294</v>
      </c>
      <c r="R5843">
        <v>9620</v>
      </c>
      <c r="S5843" t="s">
        <v>37</v>
      </c>
      <c r="T5843">
        <v>5</v>
      </c>
      <c r="U5843">
        <v>0</v>
      </c>
      <c r="V5843">
        <v>1.5248999999999999</v>
      </c>
      <c r="W5843">
        <v>1.5248999999999999</v>
      </c>
      <c r="X5843">
        <v>0</v>
      </c>
    </row>
    <row r="5844" spans="1:40" x14ac:dyDescent="0.25">
      <c r="A5844" t="s">
        <v>15</v>
      </c>
      <c r="B5844" t="s">
        <v>24</v>
      </c>
      <c r="C5844">
        <v>20150316</v>
      </c>
      <c r="D5844">
        <v>0</v>
      </c>
      <c r="F5844">
        <v>62500</v>
      </c>
      <c r="G5844" t="s">
        <v>17</v>
      </c>
      <c r="I5844" t="s">
        <v>16</v>
      </c>
      <c r="J5844" t="s">
        <v>180</v>
      </c>
      <c r="K5844" t="s">
        <v>25</v>
      </c>
      <c r="L5844">
        <v>132757294</v>
      </c>
      <c r="R5844">
        <v>9620</v>
      </c>
      <c r="S5844" t="s">
        <v>37</v>
      </c>
      <c r="T5844">
        <v>5</v>
      </c>
      <c r="U5844">
        <v>0</v>
      </c>
      <c r="V5844">
        <v>1.5248999999999999</v>
      </c>
      <c r="W5844">
        <v>1.5248999999999999</v>
      </c>
      <c r="X5844">
        <v>0</v>
      </c>
    </row>
    <row r="5845" spans="1:40" x14ac:dyDescent="0.25">
      <c r="A5845" t="s">
        <v>15</v>
      </c>
      <c r="B5845" t="s">
        <v>24</v>
      </c>
      <c r="C5845">
        <v>20150316</v>
      </c>
      <c r="D5845">
        <v>0</v>
      </c>
      <c r="F5845">
        <v>62500</v>
      </c>
      <c r="G5845" t="s">
        <v>17</v>
      </c>
      <c r="I5845" t="s">
        <v>16</v>
      </c>
      <c r="J5845" t="s">
        <v>180</v>
      </c>
      <c r="K5845" t="s">
        <v>25</v>
      </c>
      <c r="L5845">
        <v>132757294</v>
      </c>
      <c r="R5845">
        <v>9620</v>
      </c>
      <c r="S5845" t="s">
        <v>37</v>
      </c>
      <c r="T5845">
        <v>5</v>
      </c>
      <c r="U5845">
        <v>0</v>
      </c>
      <c r="V5845">
        <v>1.5248999999999999</v>
      </c>
      <c r="W5845">
        <v>1.5248999999999999</v>
      </c>
      <c r="X5845">
        <v>0</v>
      </c>
    </row>
    <row r="5846" spans="1:40" x14ac:dyDescent="0.25">
      <c r="A5846" t="s">
        <v>15</v>
      </c>
      <c r="B5846" t="s">
        <v>24</v>
      </c>
      <c r="C5846">
        <v>20150316</v>
      </c>
      <c r="D5846">
        <v>0</v>
      </c>
      <c r="F5846">
        <v>62500</v>
      </c>
      <c r="G5846" t="s">
        <v>17</v>
      </c>
      <c r="I5846" t="s">
        <v>16</v>
      </c>
      <c r="J5846" t="s">
        <v>180</v>
      </c>
      <c r="K5846" t="s">
        <v>25</v>
      </c>
      <c r="L5846">
        <v>132757294</v>
      </c>
      <c r="R5846">
        <v>9620</v>
      </c>
      <c r="S5846" t="s">
        <v>37</v>
      </c>
      <c r="T5846">
        <v>5</v>
      </c>
      <c r="U5846">
        <v>0</v>
      </c>
      <c r="V5846">
        <v>1.5248999999999999</v>
      </c>
      <c r="W5846">
        <v>1.5248999999999999</v>
      </c>
      <c r="X5846">
        <v>0</v>
      </c>
    </row>
    <row r="5847" spans="1:40" x14ac:dyDescent="0.25">
      <c r="A5847" t="s">
        <v>15</v>
      </c>
      <c r="B5847" t="s">
        <v>24</v>
      </c>
      <c r="C5847">
        <v>20150316</v>
      </c>
      <c r="D5847">
        <v>0</v>
      </c>
      <c r="F5847">
        <v>62500</v>
      </c>
      <c r="G5847" t="s">
        <v>17</v>
      </c>
      <c r="I5847" t="s">
        <v>16</v>
      </c>
      <c r="J5847" t="s">
        <v>180</v>
      </c>
      <c r="K5847" t="s">
        <v>25</v>
      </c>
      <c r="L5847">
        <v>132757294</v>
      </c>
      <c r="R5847">
        <v>9620</v>
      </c>
      <c r="S5847" t="s">
        <v>37</v>
      </c>
      <c r="T5847">
        <v>5</v>
      </c>
      <c r="U5847">
        <v>0</v>
      </c>
      <c r="V5847">
        <v>1.5248999999999999</v>
      </c>
      <c r="W5847">
        <v>1.5248999999999999</v>
      </c>
      <c r="X5847">
        <v>0</v>
      </c>
    </row>
    <row r="5848" spans="1:40" x14ac:dyDescent="0.25">
      <c r="A5848" t="s">
        <v>15</v>
      </c>
      <c r="B5848" t="s">
        <v>24</v>
      </c>
      <c r="C5848">
        <v>20150316</v>
      </c>
      <c r="D5848">
        <v>0</v>
      </c>
      <c r="F5848">
        <v>62500</v>
      </c>
      <c r="G5848" t="s">
        <v>17</v>
      </c>
      <c r="I5848" t="s">
        <v>16</v>
      </c>
      <c r="J5848" t="s">
        <v>180</v>
      </c>
      <c r="K5848" t="s">
        <v>25</v>
      </c>
      <c r="L5848">
        <v>132757294</v>
      </c>
      <c r="R5848">
        <v>9620</v>
      </c>
      <c r="S5848" t="s">
        <v>37</v>
      </c>
      <c r="T5848">
        <v>5</v>
      </c>
      <c r="U5848">
        <v>0</v>
      </c>
      <c r="V5848">
        <v>1.5248999999999999</v>
      </c>
      <c r="W5848">
        <v>1.5248999999999999</v>
      </c>
      <c r="X5848">
        <v>0</v>
      </c>
    </row>
    <row r="5849" spans="1:40" x14ac:dyDescent="0.25">
      <c r="A5849" t="s">
        <v>15</v>
      </c>
      <c r="B5849" t="s">
        <v>24</v>
      </c>
      <c r="C5849">
        <v>20150316</v>
      </c>
      <c r="D5849">
        <v>0</v>
      </c>
      <c r="F5849">
        <v>62500</v>
      </c>
      <c r="G5849" t="s">
        <v>17</v>
      </c>
      <c r="I5849" t="s">
        <v>16</v>
      </c>
      <c r="J5849" t="s">
        <v>180</v>
      </c>
      <c r="K5849" t="s">
        <v>25</v>
      </c>
      <c r="L5849">
        <v>132757294</v>
      </c>
      <c r="R5849">
        <v>9620</v>
      </c>
      <c r="S5849" t="s">
        <v>37</v>
      </c>
      <c r="T5849">
        <v>5</v>
      </c>
      <c r="U5849">
        <v>0</v>
      </c>
      <c r="V5849">
        <v>1.5248999999999999</v>
      </c>
      <c r="W5849">
        <v>1.5248999999999999</v>
      </c>
      <c r="X5849">
        <v>0</v>
      </c>
    </row>
    <row r="5850" spans="1:40" x14ac:dyDescent="0.25">
      <c r="A5850" t="s">
        <v>15</v>
      </c>
      <c r="B5850" t="s">
        <v>24</v>
      </c>
      <c r="C5850">
        <v>20150316</v>
      </c>
      <c r="D5850">
        <v>0</v>
      </c>
      <c r="F5850">
        <v>62500</v>
      </c>
      <c r="G5850" t="s">
        <v>17</v>
      </c>
      <c r="I5850" t="s">
        <v>16</v>
      </c>
      <c r="J5850" t="s">
        <v>180</v>
      </c>
      <c r="K5850" t="s">
        <v>25</v>
      </c>
      <c r="L5850">
        <v>132757294</v>
      </c>
      <c r="R5850">
        <v>9621</v>
      </c>
      <c r="S5850" t="s">
        <v>232</v>
      </c>
      <c r="T5850">
        <v>0</v>
      </c>
      <c r="U5850">
        <v>-5</v>
      </c>
      <c r="V5850">
        <v>0</v>
      </c>
      <c r="W5850">
        <v>0</v>
      </c>
      <c r="X5850">
        <v>0</v>
      </c>
    </row>
    <row r="5851" spans="1:40" x14ac:dyDescent="0.25">
      <c r="A5851" t="s">
        <v>15</v>
      </c>
      <c r="B5851" t="s">
        <v>24</v>
      </c>
      <c r="C5851">
        <v>20150316</v>
      </c>
      <c r="D5851">
        <v>0</v>
      </c>
      <c r="F5851">
        <v>62500</v>
      </c>
      <c r="G5851" t="s">
        <v>17</v>
      </c>
      <c r="I5851" t="s">
        <v>16</v>
      </c>
      <c r="J5851" t="s">
        <v>180</v>
      </c>
      <c r="K5851" t="s">
        <v>25</v>
      </c>
      <c r="L5851">
        <v>132757294</v>
      </c>
      <c r="R5851">
        <v>9621</v>
      </c>
      <c r="S5851" t="s">
        <v>232</v>
      </c>
      <c r="T5851">
        <v>0</v>
      </c>
      <c r="U5851">
        <v>-5</v>
      </c>
      <c r="V5851">
        <v>0</v>
      </c>
      <c r="W5851">
        <v>0</v>
      </c>
      <c r="X5851">
        <v>0</v>
      </c>
      <c r="Y5851">
        <v>9621</v>
      </c>
      <c r="Z5851" t="s">
        <v>380</v>
      </c>
      <c r="AA5851" t="s">
        <v>381</v>
      </c>
      <c r="AB5851" t="s">
        <v>234</v>
      </c>
      <c r="AC5851" t="s">
        <v>17</v>
      </c>
      <c r="AD5851" t="s">
        <v>237</v>
      </c>
      <c r="AE5851">
        <v>5</v>
      </c>
      <c r="AF5851">
        <v>5</v>
      </c>
      <c r="AG5851">
        <v>1.5248999999999999</v>
      </c>
      <c r="AH5851">
        <v>1.5248999999999999</v>
      </c>
      <c r="AI5851">
        <v>415886654</v>
      </c>
      <c r="AJ5851">
        <v>0</v>
      </c>
      <c r="AK5851">
        <v>7</v>
      </c>
      <c r="AN5851">
        <v>0</v>
      </c>
    </row>
    <row r="5852" spans="1:40" x14ac:dyDescent="0.25">
      <c r="A5852" t="s">
        <v>15</v>
      </c>
      <c r="B5852" t="s">
        <v>24</v>
      </c>
      <c r="C5852">
        <v>20150316</v>
      </c>
      <c r="D5852">
        <v>0</v>
      </c>
      <c r="F5852">
        <v>62500</v>
      </c>
      <c r="G5852" t="s">
        <v>17</v>
      </c>
      <c r="I5852" t="s">
        <v>16</v>
      </c>
      <c r="J5852" t="s">
        <v>180</v>
      </c>
      <c r="K5852" t="s">
        <v>25</v>
      </c>
      <c r="L5852">
        <v>132757294</v>
      </c>
      <c r="R5852">
        <v>9621</v>
      </c>
      <c r="S5852" t="s">
        <v>232</v>
      </c>
      <c r="T5852">
        <v>0</v>
      </c>
      <c r="U5852">
        <v>-5</v>
      </c>
      <c r="V5852">
        <v>0</v>
      </c>
      <c r="W5852">
        <v>0</v>
      </c>
      <c r="X5852">
        <v>0</v>
      </c>
    </row>
    <row r="5853" spans="1:40" x14ac:dyDescent="0.25">
      <c r="A5853" t="s">
        <v>15</v>
      </c>
      <c r="B5853" t="s">
        <v>24</v>
      </c>
      <c r="C5853">
        <v>20150316</v>
      </c>
      <c r="D5853">
        <v>0</v>
      </c>
      <c r="F5853">
        <v>62500</v>
      </c>
      <c r="G5853" t="s">
        <v>17</v>
      </c>
      <c r="I5853" t="s">
        <v>16</v>
      </c>
      <c r="J5853" t="s">
        <v>180</v>
      </c>
      <c r="K5853" t="s">
        <v>25</v>
      </c>
      <c r="L5853">
        <v>132757294</v>
      </c>
      <c r="R5853">
        <v>9621</v>
      </c>
      <c r="S5853" t="s">
        <v>37</v>
      </c>
      <c r="T5853">
        <v>5</v>
      </c>
      <c r="U5853">
        <v>0</v>
      </c>
      <c r="V5853">
        <v>1.5248999999999999</v>
      </c>
      <c r="W5853">
        <v>1.5248999999999999</v>
      </c>
      <c r="X5853">
        <v>0</v>
      </c>
    </row>
    <row r="5854" spans="1:40" x14ac:dyDescent="0.25">
      <c r="A5854" t="s">
        <v>15</v>
      </c>
      <c r="B5854" t="s">
        <v>24</v>
      </c>
      <c r="C5854">
        <v>20150316</v>
      </c>
      <c r="D5854">
        <v>0</v>
      </c>
      <c r="F5854">
        <v>62500</v>
      </c>
      <c r="G5854" t="s">
        <v>17</v>
      </c>
      <c r="I5854" t="s">
        <v>16</v>
      </c>
      <c r="J5854" t="s">
        <v>180</v>
      </c>
      <c r="K5854" t="s">
        <v>25</v>
      </c>
      <c r="L5854">
        <v>132757294</v>
      </c>
      <c r="R5854">
        <v>9621</v>
      </c>
      <c r="S5854" t="s">
        <v>37</v>
      </c>
      <c r="T5854">
        <v>5</v>
      </c>
      <c r="U5854">
        <v>0</v>
      </c>
      <c r="V5854">
        <v>1.5248999999999999</v>
      </c>
      <c r="W5854">
        <v>1.5248999999999999</v>
      </c>
      <c r="X5854">
        <v>0</v>
      </c>
    </row>
    <row r="5855" spans="1:40" x14ac:dyDescent="0.25">
      <c r="A5855" t="s">
        <v>15</v>
      </c>
      <c r="B5855" t="s">
        <v>24</v>
      </c>
      <c r="C5855">
        <v>20150316</v>
      </c>
      <c r="D5855">
        <v>0</v>
      </c>
      <c r="F5855">
        <v>62500</v>
      </c>
      <c r="G5855" t="s">
        <v>17</v>
      </c>
      <c r="I5855" t="s">
        <v>16</v>
      </c>
      <c r="J5855" t="s">
        <v>180</v>
      </c>
      <c r="K5855" t="s">
        <v>25</v>
      </c>
      <c r="L5855">
        <v>132757294</v>
      </c>
      <c r="R5855">
        <v>9621</v>
      </c>
      <c r="S5855" t="s">
        <v>37</v>
      </c>
      <c r="T5855">
        <v>5</v>
      </c>
      <c r="U5855">
        <v>0</v>
      </c>
      <c r="V5855">
        <v>1.5248999999999999</v>
      </c>
      <c r="W5855">
        <v>1.5248999999999999</v>
      </c>
      <c r="X5855">
        <v>0</v>
      </c>
    </row>
    <row r="5856" spans="1:40" x14ac:dyDescent="0.25">
      <c r="A5856" t="s">
        <v>15</v>
      </c>
      <c r="B5856" t="s">
        <v>24</v>
      </c>
      <c r="C5856">
        <v>20150316</v>
      </c>
      <c r="D5856">
        <v>0</v>
      </c>
      <c r="F5856">
        <v>62500</v>
      </c>
      <c r="G5856" t="s">
        <v>17</v>
      </c>
      <c r="I5856" t="s">
        <v>16</v>
      </c>
      <c r="J5856" t="s">
        <v>180</v>
      </c>
      <c r="K5856" t="s">
        <v>25</v>
      </c>
      <c r="L5856">
        <v>132757294</v>
      </c>
      <c r="R5856">
        <v>9621</v>
      </c>
      <c r="S5856" t="s">
        <v>37</v>
      </c>
      <c r="T5856">
        <v>5</v>
      </c>
      <c r="U5856">
        <v>0</v>
      </c>
      <c r="V5856">
        <v>1.5248999999999999</v>
      </c>
      <c r="W5856">
        <v>1.5248999999999999</v>
      </c>
      <c r="X5856">
        <v>0</v>
      </c>
    </row>
    <row r="5857" spans="1:40" x14ac:dyDescent="0.25">
      <c r="A5857" t="s">
        <v>15</v>
      </c>
      <c r="B5857" t="s">
        <v>24</v>
      </c>
      <c r="C5857">
        <v>20150316</v>
      </c>
      <c r="D5857">
        <v>0</v>
      </c>
      <c r="F5857">
        <v>62500</v>
      </c>
      <c r="G5857" t="s">
        <v>17</v>
      </c>
      <c r="I5857" t="s">
        <v>16</v>
      </c>
      <c r="J5857" t="s">
        <v>180</v>
      </c>
      <c r="K5857" t="s">
        <v>25</v>
      </c>
      <c r="L5857">
        <v>132757294</v>
      </c>
      <c r="R5857">
        <v>9621</v>
      </c>
      <c r="S5857" t="s">
        <v>37</v>
      </c>
      <c r="T5857">
        <v>5</v>
      </c>
      <c r="U5857">
        <v>0</v>
      </c>
      <c r="V5857">
        <v>1.5248999999999999</v>
      </c>
      <c r="W5857">
        <v>1.5248999999999999</v>
      </c>
      <c r="X5857">
        <v>0</v>
      </c>
    </row>
    <row r="5858" spans="1:40" x14ac:dyDescent="0.25">
      <c r="A5858" t="s">
        <v>15</v>
      </c>
      <c r="B5858" t="s">
        <v>24</v>
      </c>
      <c r="C5858">
        <v>20150316</v>
      </c>
      <c r="D5858">
        <v>0</v>
      </c>
      <c r="F5858">
        <v>62500</v>
      </c>
      <c r="G5858" t="s">
        <v>17</v>
      </c>
      <c r="I5858" t="s">
        <v>16</v>
      </c>
      <c r="J5858" t="s">
        <v>180</v>
      </c>
      <c r="K5858" t="s">
        <v>25</v>
      </c>
      <c r="L5858">
        <v>132757294</v>
      </c>
      <c r="R5858">
        <v>9621</v>
      </c>
      <c r="S5858" t="s">
        <v>37</v>
      </c>
      <c r="T5858">
        <v>5</v>
      </c>
      <c r="U5858">
        <v>0</v>
      </c>
      <c r="V5858">
        <v>1.5248999999999999</v>
      </c>
      <c r="W5858">
        <v>1.5248999999999999</v>
      </c>
      <c r="X5858">
        <v>0</v>
      </c>
    </row>
    <row r="5859" spans="1:40" x14ac:dyDescent="0.25">
      <c r="A5859" t="s">
        <v>15</v>
      </c>
      <c r="B5859" t="s">
        <v>24</v>
      </c>
      <c r="C5859">
        <v>20150316</v>
      </c>
      <c r="D5859">
        <v>0</v>
      </c>
      <c r="F5859">
        <v>62500</v>
      </c>
      <c r="G5859" t="s">
        <v>17</v>
      </c>
      <c r="I5859" t="s">
        <v>16</v>
      </c>
      <c r="J5859" t="s">
        <v>180</v>
      </c>
      <c r="K5859" t="s">
        <v>25</v>
      </c>
      <c r="L5859">
        <v>132757294</v>
      </c>
      <c r="R5859">
        <v>9621</v>
      </c>
      <c r="S5859" t="s">
        <v>37</v>
      </c>
      <c r="T5859">
        <v>5</v>
      </c>
      <c r="U5859">
        <v>0</v>
      </c>
      <c r="V5859">
        <v>1.5248999999999999</v>
      </c>
      <c r="W5859">
        <v>1.5248999999999999</v>
      </c>
      <c r="X5859">
        <v>0</v>
      </c>
    </row>
    <row r="5860" spans="1:40" x14ac:dyDescent="0.25">
      <c r="A5860" t="s">
        <v>15</v>
      </c>
      <c r="B5860" t="s">
        <v>24</v>
      </c>
      <c r="C5860">
        <v>20150316</v>
      </c>
      <c r="D5860">
        <v>0</v>
      </c>
      <c r="F5860">
        <v>62500</v>
      </c>
      <c r="G5860" t="s">
        <v>17</v>
      </c>
      <c r="I5860" t="s">
        <v>16</v>
      </c>
      <c r="J5860" t="s">
        <v>180</v>
      </c>
      <c r="K5860" t="s">
        <v>25</v>
      </c>
      <c r="L5860">
        <v>132757294</v>
      </c>
      <c r="R5860">
        <v>9621</v>
      </c>
      <c r="S5860" t="s">
        <v>37</v>
      </c>
      <c r="T5860">
        <v>5</v>
      </c>
      <c r="U5860">
        <v>0</v>
      </c>
      <c r="V5860">
        <v>1.5248999999999999</v>
      </c>
      <c r="W5860">
        <v>1.5248999999999999</v>
      </c>
      <c r="X5860">
        <v>0</v>
      </c>
    </row>
    <row r="5861" spans="1:40" x14ac:dyDescent="0.25">
      <c r="A5861" t="s">
        <v>15</v>
      </c>
      <c r="B5861" t="s">
        <v>24</v>
      </c>
      <c r="C5861">
        <v>20150316</v>
      </c>
      <c r="D5861">
        <v>0</v>
      </c>
      <c r="F5861">
        <v>62500</v>
      </c>
      <c r="G5861" t="s">
        <v>17</v>
      </c>
      <c r="I5861" t="s">
        <v>16</v>
      </c>
      <c r="J5861" t="s">
        <v>180</v>
      </c>
      <c r="K5861" t="s">
        <v>25</v>
      </c>
      <c r="L5861">
        <v>132757294</v>
      </c>
      <c r="R5861">
        <v>9622</v>
      </c>
      <c r="S5861" t="s">
        <v>232</v>
      </c>
      <c r="T5861">
        <v>0</v>
      </c>
      <c r="U5861">
        <v>-5</v>
      </c>
      <c r="V5861">
        <v>0</v>
      </c>
      <c r="W5861">
        <v>0</v>
      </c>
      <c r="X5861">
        <v>0</v>
      </c>
    </row>
    <row r="5862" spans="1:40" x14ac:dyDescent="0.25">
      <c r="A5862" t="s">
        <v>15</v>
      </c>
      <c r="B5862" t="s">
        <v>24</v>
      </c>
      <c r="C5862">
        <v>20150316</v>
      </c>
      <c r="D5862">
        <v>0</v>
      </c>
      <c r="F5862">
        <v>62500</v>
      </c>
      <c r="G5862" t="s">
        <v>17</v>
      </c>
      <c r="I5862" t="s">
        <v>16</v>
      </c>
      <c r="J5862" t="s">
        <v>180</v>
      </c>
      <c r="K5862" t="s">
        <v>25</v>
      </c>
      <c r="L5862">
        <v>132757294</v>
      </c>
      <c r="R5862">
        <v>9622</v>
      </c>
      <c r="S5862" t="s">
        <v>232</v>
      </c>
      <c r="T5862">
        <v>0</v>
      </c>
      <c r="U5862">
        <v>-5</v>
      </c>
      <c r="V5862">
        <v>0</v>
      </c>
      <c r="W5862">
        <v>0</v>
      </c>
      <c r="X5862">
        <v>0</v>
      </c>
      <c r="Y5862">
        <v>9622</v>
      </c>
      <c r="Z5862" t="s">
        <v>382</v>
      </c>
      <c r="AA5862" t="s">
        <v>383</v>
      </c>
      <c r="AB5862" t="s">
        <v>234</v>
      </c>
      <c r="AC5862" t="s">
        <v>17</v>
      </c>
      <c r="AD5862" t="s">
        <v>237</v>
      </c>
      <c r="AE5862">
        <v>5</v>
      </c>
      <c r="AF5862">
        <v>5</v>
      </c>
      <c r="AG5862">
        <v>1.5248999999999999</v>
      </c>
      <c r="AH5862">
        <v>1.5248999999999999</v>
      </c>
      <c r="AI5862">
        <v>415886655</v>
      </c>
      <c r="AJ5862">
        <v>0</v>
      </c>
      <c r="AK5862">
        <v>7</v>
      </c>
      <c r="AN5862">
        <v>0</v>
      </c>
    </row>
    <row r="5863" spans="1:40" x14ac:dyDescent="0.25">
      <c r="A5863" t="s">
        <v>15</v>
      </c>
      <c r="B5863" t="s">
        <v>24</v>
      </c>
      <c r="C5863">
        <v>20150316</v>
      </c>
      <c r="D5863">
        <v>0</v>
      </c>
      <c r="F5863">
        <v>62500</v>
      </c>
      <c r="G5863" t="s">
        <v>17</v>
      </c>
      <c r="I5863" t="s">
        <v>16</v>
      </c>
      <c r="J5863" t="s">
        <v>180</v>
      </c>
      <c r="K5863" t="s">
        <v>25</v>
      </c>
      <c r="L5863">
        <v>132757294</v>
      </c>
      <c r="R5863">
        <v>9622</v>
      </c>
      <c r="S5863" t="s">
        <v>232</v>
      </c>
      <c r="T5863">
        <v>0</v>
      </c>
      <c r="U5863">
        <v>-5</v>
      </c>
      <c r="V5863">
        <v>0</v>
      </c>
      <c r="W5863">
        <v>0</v>
      </c>
      <c r="X5863">
        <v>0</v>
      </c>
    </row>
    <row r="5864" spans="1:40" x14ac:dyDescent="0.25">
      <c r="A5864" t="s">
        <v>15</v>
      </c>
      <c r="B5864" t="s">
        <v>24</v>
      </c>
      <c r="C5864">
        <v>20150316</v>
      </c>
      <c r="D5864">
        <v>0</v>
      </c>
      <c r="F5864">
        <v>62500</v>
      </c>
      <c r="G5864" t="s">
        <v>17</v>
      </c>
      <c r="I5864" t="s">
        <v>16</v>
      </c>
      <c r="J5864" t="s">
        <v>180</v>
      </c>
      <c r="K5864" t="s">
        <v>25</v>
      </c>
      <c r="L5864">
        <v>132757294</v>
      </c>
      <c r="R5864">
        <v>9622</v>
      </c>
      <c r="S5864" t="s">
        <v>37</v>
      </c>
      <c r="T5864">
        <v>5</v>
      </c>
      <c r="U5864">
        <v>0</v>
      </c>
      <c r="V5864">
        <v>1.5248999999999999</v>
      </c>
      <c r="W5864">
        <v>1.5248999999999999</v>
      </c>
      <c r="X5864">
        <v>0</v>
      </c>
    </row>
    <row r="5865" spans="1:40" x14ac:dyDescent="0.25">
      <c r="A5865" t="s">
        <v>15</v>
      </c>
      <c r="B5865" t="s">
        <v>24</v>
      </c>
      <c r="C5865">
        <v>20150316</v>
      </c>
      <c r="D5865">
        <v>0</v>
      </c>
      <c r="F5865">
        <v>62500</v>
      </c>
      <c r="G5865" t="s">
        <v>17</v>
      </c>
      <c r="I5865" t="s">
        <v>16</v>
      </c>
      <c r="J5865" t="s">
        <v>180</v>
      </c>
      <c r="K5865" t="s">
        <v>25</v>
      </c>
      <c r="L5865">
        <v>132757294</v>
      </c>
      <c r="R5865">
        <v>9622</v>
      </c>
      <c r="S5865" t="s">
        <v>37</v>
      </c>
      <c r="T5865">
        <v>5</v>
      </c>
      <c r="U5865">
        <v>0</v>
      </c>
      <c r="V5865">
        <v>1.5248999999999999</v>
      </c>
      <c r="W5865">
        <v>1.5248999999999999</v>
      </c>
      <c r="X5865">
        <v>0</v>
      </c>
    </row>
    <row r="5866" spans="1:40" x14ac:dyDescent="0.25">
      <c r="A5866" t="s">
        <v>15</v>
      </c>
      <c r="B5866" t="s">
        <v>24</v>
      </c>
      <c r="C5866">
        <v>20150316</v>
      </c>
      <c r="D5866">
        <v>0</v>
      </c>
      <c r="F5866">
        <v>62500</v>
      </c>
      <c r="G5866" t="s">
        <v>17</v>
      </c>
      <c r="I5866" t="s">
        <v>16</v>
      </c>
      <c r="J5866" t="s">
        <v>180</v>
      </c>
      <c r="K5866" t="s">
        <v>25</v>
      </c>
      <c r="L5866">
        <v>132757294</v>
      </c>
      <c r="R5866">
        <v>9622</v>
      </c>
      <c r="S5866" t="s">
        <v>37</v>
      </c>
      <c r="T5866">
        <v>5</v>
      </c>
      <c r="U5866">
        <v>0</v>
      </c>
      <c r="V5866">
        <v>1.5248999999999999</v>
      </c>
      <c r="W5866">
        <v>1.5248999999999999</v>
      </c>
      <c r="X5866">
        <v>0</v>
      </c>
    </row>
    <row r="5867" spans="1:40" x14ac:dyDescent="0.25">
      <c r="A5867" t="s">
        <v>15</v>
      </c>
      <c r="B5867" t="s">
        <v>24</v>
      </c>
      <c r="C5867">
        <v>20150316</v>
      </c>
      <c r="D5867">
        <v>0</v>
      </c>
      <c r="F5867">
        <v>62500</v>
      </c>
      <c r="G5867" t="s">
        <v>17</v>
      </c>
      <c r="I5867" t="s">
        <v>16</v>
      </c>
      <c r="J5867" t="s">
        <v>180</v>
      </c>
      <c r="K5867" t="s">
        <v>25</v>
      </c>
      <c r="L5867">
        <v>132757294</v>
      </c>
      <c r="R5867">
        <v>9622</v>
      </c>
      <c r="S5867" t="s">
        <v>37</v>
      </c>
      <c r="T5867">
        <v>5</v>
      </c>
      <c r="U5867">
        <v>0</v>
      </c>
      <c r="V5867">
        <v>1.5248999999999999</v>
      </c>
      <c r="W5867">
        <v>1.5248999999999999</v>
      </c>
      <c r="X5867">
        <v>0</v>
      </c>
    </row>
    <row r="5868" spans="1:40" x14ac:dyDescent="0.25">
      <c r="A5868" t="s">
        <v>15</v>
      </c>
      <c r="B5868" t="s">
        <v>24</v>
      </c>
      <c r="C5868">
        <v>20150316</v>
      </c>
      <c r="D5868">
        <v>0</v>
      </c>
      <c r="F5868">
        <v>62500</v>
      </c>
      <c r="G5868" t="s">
        <v>17</v>
      </c>
      <c r="I5868" t="s">
        <v>16</v>
      </c>
      <c r="J5868" t="s">
        <v>180</v>
      </c>
      <c r="K5868" t="s">
        <v>25</v>
      </c>
      <c r="L5868">
        <v>132757294</v>
      </c>
      <c r="R5868">
        <v>9622</v>
      </c>
      <c r="S5868" t="s">
        <v>37</v>
      </c>
      <c r="T5868">
        <v>5</v>
      </c>
      <c r="U5868">
        <v>0</v>
      </c>
      <c r="V5868">
        <v>1.5248999999999999</v>
      </c>
      <c r="W5868">
        <v>1.5248999999999999</v>
      </c>
      <c r="X5868">
        <v>0</v>
      </c>
    </row>
    <row r="5869" spans="1:40" x14ac:dyDescent="0.25">
      <c r="A5869" t="s">
        <v>15</v>
      </c>
      <c r="B5869" t="s">
        <v>24</v>
      </c>
      <c r="C5869">
        <v>20150316</v>
      </c>
      <c r="D5869">
        <v>0</v>
      </c>
      <c r="F5869">
        <v>62500</v>
      </c>
      <c r="G5869" t="s">
        <v>17</v>
      </c>
      <c r="I5869" t="s">
        <v>16</v>
      </c>
      <c r="J5869" t="s">
        <v>180</v>
      </c>
      <c r="K5869" t="s">
        <v>25</v>
      </c>
      <c r="L5869">
        <v>132757294</v>
      </c>
      <c r="R5869">
        <v>9622</v>
      </c>
      <c r="S5869" t="s">
        <v>37</v>
      </c>
      <c r="T5869">
        <v>5</v>
      </c>
      <c r="U5869">
        <v>0</v>
      </c>
      <c r="V5869">
        <v>1.5248999999999999</v>
      </c>
      <c r="W5869">
        <v>1.5248999999999999</v>
      </c>
      <c r="X5869">
        <v>0</v>
      </c>
    </row>
    <row r="5870" spans="1:40" x14ac:dyDescent="0.25">
      <c r="A5870" t="s">
        <v>15</v>
      </c>
      <c r="B5870" t="s">
        <v>24</v>
      </c>
      <c r="C5870">
        <v>20150316</v>
      </c>
      <c r="D5870">
        <v>0</v>
      </c>
      <c r="F5870">
        <v>62500</v>
      </c>
      <c r="G5870" t="s">
        <v>17</v>
      </c>
      <c r="I5870" t="s">
        <v>16</v>
      </c>
      <c r="J5870" t="s">
        <v>180</v>
      </c>
      <c r="K5870" t="s">
        <v>25</v>
      </c>
      <c r="L5870">
        <v>132757294</v>
      </c>
      <c r="R5870">
        <v>9622</v>
      </c>
      <c r="S5870" t="s">
        <v>37</v>
      </c>
      <c r="T5870">
        <v>5</v>
      </c>
      <c r="U5870">
        <v>0</v>
      </c>
      <c r="V5870">
        <v>1.5248999999999999</v>
      </c>
      <c r="W5870">
        <v>1.5248999999999999</v>
      </c>
      <c r="X5870">
        <v>0</v>
      </c>
    </row>
    <row r="5871" spans="1:40" x14ac:dyDescent="0.25">
      <c r="A5871" t="s">
        <v>15</v>
      </c>
      <c r="B5871" t="s">
        <v>24</v>
      </c>
      <c r="C5871">
        <v>20150316</v>
      </c>
      <c r="D5871">
        <v>0</v>
      </c>
      <c r="F5871">
        <v>62500</v>
      </c>
      <c r="G5871" t="s">
        <v>17</v>
      </c>
      <c r="I5871" t="s">
        <v>16</v>
      </c>
      <c r="J5871" t="s">
        <v>180</v>
      </c>
      <c r="K5871" t="s">
        <v>25</v>
      </c>
      <c r="L5871">
        <v>132757294</v>
      </c>
      <c r="R5871">
        <v>9622</v>
      </c>
      <c r="S5871" t="s">
        <v>37</v>
      </c>
      <c r="T5871">
        <v>5</v>
      </c>
      <c r="U5871">
        <v>0</v>
      </c>
      <c r="V5871">
        <v>1.5248999999999999</v>
      </c>
      <c r="W5871">
        <v>1.5248999999999999</v>
      </c>
      <c r="X5871">
        <v>0</v>
      </c>
    </row>
    <row r="5872" spans="1:40" x14ac:dyDescent="0.25">
      <c r="A5872" t="s">
        <v>15</v>
      </c>
      <c r="B5872" t="s">
        <v>24</v>
      </c>
      <c r="C5872">
        <v>20150316</v>
      </c>
      <c r="D5872">
        <v>0</v>
      </c>
      <c r="F5872">
        <v>62500</v>
      </c>
      <c r="G5872" t="s">
        <v>17</v>
      </c>
      <c r="I5872" t="s">
        <v>16</v>
      </c>
      <c r="J5872" t="s">
        <v>180</v>
      </c>
      <c r="K5872" t="s">
        <v>25</v>
      </c>
      <c r="L5872">
        <v>132757294</v>
      </c>
      <c r="R5872">
        <v>9623</v>
      </c>
      <c r="S5872" t="s">
        <v>232</v>
      </c>
      <c r="T5872">
        <v>0</v>
      </c>
      <c r="U5872">
        <v>-5</v>
      </c>
      <c r="V5872">
        <v>0</v>
      </c>
      <c r="W5872">
        <v>0</v>
      </c>
      <c r="X5872">
        <v>0</v>
      </c>
    </row>
    <row r="5873" spans="1:40" x14ac:dyDescent="0.25">
      <c r="A5873" t="s">
        <v>15</v>
      </c>
      <c r="B5873" t="s">
        <v>24</v>
      </c>
      <c r="C5873">
        <v>20150316</v>
      </c>
      <c r="D5873">
        <v>0</v>
      </c>
      <c r="F5873">
        <v>62500</v>
      </c>
      <c r="G5873" t="s">
        <v>17</v>
      </c>
      <c r="I5873" t="s">
        <v>16</v>
      </c>
      <c r="J5873" t="s">
        <v>180</v>
      </c>
      <c r="K5873" t="s">
        <v>25</v>
      </c>
      <c r="L5873">
        <v>132757294</v>
      </c>
      <c r="R5873">
        <v>9623</v>
      </c>
      <c r="S5873" t="s">
        <v>232</v>
      </c>
      <c r="T5873">
        <v>0</v>
      </c>
      <c r="U5873">
        <v>-5</v>
      </c>
      <c r="V5873">
        <v>0</v>
      </c>
      <c r="W5873">
        <v>0</v>
      </c>
      <c r="X5873">
        <v>0</v>
      </c>
      <c r="Y5873">
        <v>9623</v>
      </c>
      <c r="Z5873" t="s">
        <v>384</v>
      </c>
      <c r="AA5873" t="s">
        <v>385</v>
      </c>
      <c r="AB5873" t="s">
        <v>234</v>
      </c>
      <c r="AC5873" t="s">
        <v>17</v>
      </c>
      <c r="AD5873" t="s">
        <v>237</v>
      </c>
      <c r="AE5873">
        <v>5</v>
      </c>
      <c r="AF5873">
        <v>5</v>
      </c>
      <c r="AG5873">
        <v>1.5248999999999999</v>
      </c>
      <c r="AH5873">
        <v>1.5248999999999999</v>
      </c>
      <c r="AI5873">
        <v>415886656</v>
      </c>
      <c r="AJ5873">
        <v>0</v>
      </c>
      <c r="AK5873">
        <v>7</v>
      </c>
      <c r="AN5873">
        <v>0</v>
      </c>
    </row>
    <row r="5874" spans="1:40" x14ac:dyDescent="0.25">
      <c r="A5874" t="s">
        <v>15</v>
      </c>
      <c r="B5874" t="s">
        <v>24</v>
      </c>
      <c r="C5874">
        <v>20150316</v>
      </c>
      <c r="D5874">
        <v>0</v>
      </c>
      <c r="F5874">
        <v>62500</v>
      </c>
      <c r="G5874" t="s">
        <v>17</v>
      </c>
      <c r="I5874" t="s">
        <v>16</v>
      </c>
      <c r="J5874" t="s">
        <v>180</v>
      </c>
      <c r="K5874" t="s">
        <v>25</v>
      </c>
      <c r="L5874">
        <v>132757294</v>
      </c>
      <c r="R5874">
        <v>9623</v>
      </c>
      <c r="S5874" t="s">
        <v>232</v>
      </c>
      <c r="T5874">
        <v>0</v>
      </c>
      <c r="U5874">
        <v>-5</v>
      </c>
      <c r="V5874">
        <v>0</v>
      </c>
      <c r="W5874">
        <v>0</v>
      </c>
      <c r="X5874">
        <v>0</v>
      </c>
    </row>
    <row r="5875" spans="1:40" x14ac:dyDescent="0.25">
      <c r="A5875" t="s">
        <v>15</v>
      </c>
      <c r="B5875" t="s">
        <v>24</v>
      </c>
      <c r="C5875">
        <v>20150316</v>
      </c>
      <c r="D5875">
        <v>0</v>
      </c>
      <c r="F5875">
        <v>62500</v>
      </c>
      <c r="G5875" t="s">
        <v>17</v>
      </c>
      <c r="I5875" t="s">
        <v>16</v>
      </c>
      <c r="J5875" t="s">
        <v>180</v>
      </c>
      <c r="K5875" t="s">
        <v>25</v>
      </c>
      <c r="L5875">
        <v>132757294</v>
      </c>
      <c r="R5875">
        <v>9623</v>
      </c>
      <c r="S5875" t="s">
        <v>37</v>
      </c>
      <c r="T5875">
        <v>5</v>
      </c>
      <c r="U5875">
        <v>0</v>
      </c>
      <c r="V5875">
        <v>1.5248999999999999</v>
      </c>
      <c r="W5875">
        <v>1.5248999999999999</v>
      </c>
      <c r="X5875">
        <v>0</v>
      </c>
    </row>
    <row r="5876" spans="1:40" x14ac:dyDescent="0.25">
      <c r="A5876" t="s">
        <v>15</v>
      </c>
      <c r="B5876" t="s">
        <v>24</v>
      </c>
      <c r="C5876">
        <v>20150316</v>
      </c>
      <c r="D5876">
        <v>0</v>
      </c>
      <c r="F5876">
        <v>62500</v>
      </c>
      <c r="G5876" t="s">
        <v>17</v>
      </c>
      <c r="I5876" t="s">
        <v>16</v>
      </c>
      <c r="J5876" t="s">
        <v>180</v>
      </c>
      <c r="K5876" t="s">
        <v>25</v>
      </c>
      <c r="L5876">
        <v>132757294</v>
      </c>
      <c r="R5876">
        <v>9623</v>
      </c>
      <c r="S5876" t="s">
        <v>37</v>
      </c>
      <c r="T5876">
        <v>5</v>
      </c>
      <c r="U5876">
        <v>0</v>
      </c>
      <c r="V5876">
        <v>1.5248999999999999</v>
      </c>
      <c r="W5876">
        <v>1.5248999999999999</v>
      </c>
      <c r="X5876">
        <v>0</v>
      </c>
    </row>
    <row r="5877" spans="1:40" x14ac:dyDescent="0.25">
      <c r="A5877" t="s">
        <v>15</v>
      </c>
      <c r="B5877" t="s">
        <v>24</v>
      </c>
      <c r="C5877">
        <v>20150316</v>
      </c>
      <c r="D5877">
        <v>0</v>
      </c>
      <c r="F5877">
        <v>62500</v>
      </c>
      <c r="G5877" t="s">
        <v>17</v>
      </c>
      <c r="I5877" t="s">
        <v>16</v>
      </c>
      <c r="J5877" t="s">
        <v>180</v>
      </c>
      <c r="K5877" t="s">
        <v>25</v>
      </c>
      <c r="L5877">
        <v>132757294</v>
      </c>
      <c r="R5877">
        <v>9623</v>
      </c>
      <c r="S5877" t="s">
        <v>37</v>
      </c>
      <c r="T5877">
        <v>5</v>
      </c>
      <c r="U5877">
        <v>0</v>
      </c>
      <c r="V5877">
        <v>1.5248999999999999</v>
      </c>
      <c r="W5877">
        <v>1.5248999999999999</v>
      </c>
      <c r="X5877">
        <v>0</v>
      </c>
    </row>
    <row r="5878" spans="1:40" x14ac:dyDescent="0.25">
      <c r="A5878" t="s">
        <v>15</v>
      </c>
      <c r="B5878" t="s">
        <v>24</v>
      </c>
      <c r="C5878">
        <v>20150316</v>
      </c>
      <c r="D5878">
        <v>0</v>
      </c>
      <c r="F5878">
        <v>62500</v>
      </c>
      <c r="G5878" t="s">
        <v>17</v>
      </c>
      <c r="I5878" t="s">
        <v>16</v>
      </c>
      <c r="J5878" t="s">
        <v>180</v>
      </c>
      <c r="K5878" t="s">
        <v>25</v>
      </c>
      <c r="L5878">
        <v>132757294</v>
      </c>
      <c r="R5878">
        <v>9623</v>
      </c>
      <c r="S5878" t="s">
        <v>37</v>
      </c>
      <c r="T5878">
        <v>5</v>
      </c>
      <c r="U5878">
        <v>0</v>
      </c>
      <c r="V5878">
        <v>1.5248999999999999</v>
      </c>
      <c r="W5878">
        <v>1.5248999999999999</v>
      </c>
      <c r="X5878">
        <v>0</v>
      </c>
    </row>
    <row r="5879" spans="1:40" x14ac:dyDescent="0.25">
      <c r="A5879" t="s">
        <v>15</v>
      </c>
      <c r="B5879" t="s">
        <v>24</v>
      </c>
      <c r="C5879">
        <v>20150316</v>
      </c>
      <c r="D5879">
        <v>0</v>
      </c>
      <c r="F5879">
        <v>62500</v>
      </c>
      <c r="G5879" t="s">
        <v>17</v>
      </c>
      <c r="I5879" t="s">
        <v>16</v>
      </c>
      <c r="J5879" t="s">
        <v>180</v>
      </c>
      <c r="K5879" t="s">
        <v>25</v>
      </c>
      <c r="L5879">
        <v>132757294</v>
      </c>
      <c r="R5879">
        <v>9623</v>
      </c>
      <c r="S5879" t="s">
        <v>37</v>
      </c>
      <c r="T5879">
        <v>5</v>
      </c>
      <c r="U5879">
        <v>0</v>
      </c>
      <c r="V5879">
        <v>1.5248999999999999</v>
      </c>
      <c r="W5879">
        <v>1.5248999999999999</v>
      </c>
      <c r="X5879">
        <v>0</v>
      </c>
    </row>
    <row r="5880" spans="1:40" x14ac:dyDescent="0.25">
      <c r="A5880" t="s">
        <v>15</v>
      </c>
      <c r="B5880" t="s">
        <v>24</v>
      </c>
      <c r="C5880">
        <v>20150316</v>
      </c>
      <c r="D5880">
        <v>0</v>
      </c>
      <c r="F5880">
        <v>62500</v>
      </c>
      <c r="G5880" t="s">
        <v>17</v>
      </c>
      <c r="I5880" t="s">
        <v>16</v>
      </c>
      <c r="J5880" t="s">
        <v>180</v>
      </c>
      <c r="K5880" t="s">
        <v>25</v>
      </c>
      <c r="L5880">
        <v>132757294</v>
      </c>
      <c r="R5880">
        <v>9623</v>
      </c>
      <c r="S5880" t="s">
        <v>37</v>
      </c>
      <c r="T5880">
        <v>5</v>
      </c>
      <c r="U5880">
        <v>0</v>
      </c>
      <c r="V5880">
        <v>1.5248999999999999</v>
      </c>
      <c r="W5880">
        <v>1.5248999999999999</v>
      </c>
      <c r="X5880">
        <v>0</v>
      </c>
    </row>
    <row r="5881" spans="1:40" x14ac:dyDescent="0.25">
      <c r="A5881" t="s">
        <v>15</v>
      </c>
      <c r="B5881" t="s">
        <v>24</v>
      </c>
      <c r="C5881">
        <v>20150316</v>
      </c>
      <c r="D5881">
        <v>0</v>
      </c>
      <c r="F5881">
        <v>62500</v>
      </c>
      <c r="G5881" t="s">
        <v>17</v>
      </c>
      <c r="I5881" t="s">
        <v>16</v>
      </c>
      <c r="J5881" t="s">
        <v>180</v>
      </c>
      <c r="K5881" t="s">
        <v>25</v>
      </c>
      <c r="L5881">
        <v>132757294</v>
      </c>
      <c r="R5881">
        <v>9623</v>
      </c>
      <c r="S5881" t="s">
        <v>37</v>
      </c>
      <c r="T5881">
        <v>5</v>
      </c>
      <c r="U5881">
        <v>0</v>
      </c>
      <c r="V5881">
        <v>1.5248999999999999</v>
      </c>
      <c r="W5881">
        <v>1.5248999999999999</v>
      </c>
      <c r="X5881">
        <v>0</v>
      </c>
    </row>
    <row r="5882" spans="1:40" x14ac:dyDescent="0.25">
      <c r="A5882" t="s">
        <v>15</v>
      </c>
      <c r="B5882" t="s">
        <v>24</v>
      </c>
      <c r="C5882">
        <v>20150316</v>
      </c>
      <c r="D5882">
        <v>0</v>
      </c>
      <c r="F5882">
        <v>62500</v>
      </c>
      <c r="G5882" t="s">
        <v>17</v>
      </c>
      <c r="I5882" t="s">
        <v>16</v>
      </c>
      <c r="J5882" t="s">
        <v>180</v>
      </c>
      <c r="K5882" t="s">
        <v>25</v>
      </c>
      <c r="L5882">
        <v>132757294</v>
      </c>
      <c r="R5882">
        <v>9623</v>
      </c>
      <c r="S5882" t="s">
        <v>37</v>
      </c>
      <c r="T5882">
        <v>5</v>
      </c>
      <c r="U5882">
        <v>0</v>
      </c>
      <c r="V5882">
        <v>1.5248999999999999</v>
      </c>
      <c r="W5882">
        <v>1.5248999999999999</v>
      </c>
      <c r="X5882">
        <v>0</v>
      </c>
    </row>
    <row r="5883" spans="1:40" x14ac:dyDescent="0.25">
      <c r="A5883" t="s">
        <v>15</v>
      </c>
      <c r="B5883" t="s">
        <v>24</v>
      </c>
      <c r="C5883">
        <v>20150316</v>
      </c>
      <c r="D5883">
        <v>0</v>
      </c>
      <c r="F5883">
        <v>62500</v>
      </c>
      <c r="G5883" t="s">
        <v>17</v>
      </c>
      <c r="I5883" t="s">
        <v>16</v>
      </c>
      <c r="J5883" t="s">
        <v>180</v>
      </c>
      <c r="K5883" t="s">
        <v>25</v>
      </c>
      <c r="L5883">
        <v>132757294</v>
      </c>
      <c r="R5883">
        <v>9624</v>
      </c>
      <c r="S5883" t="s">
        <v>232</v>
      </c>
      <c r="T5883">
        <v>0</v>
      </c>
      <c r="U5883">
        <v>-5</v>
      </c>
      <c r="V5883">
        <v>0</v>
      </c>
      <c r="W5883">
        <v>0</v>
      </c>
      <c r="X5883">
        <v>0</v>
      </c>
    </row>
    <row r="5884" spans="1:40" x14ac:dyDescent="0.25">
      <c r="A5884" t="s">
        <v>15</v>
      </c>
      <c r="B5884" t="s">
        <v>24</v>
      </c>
      <c r="C5884">
        <v>20150316</v>
      </c>
      <c r="D5884">
        <v>0</v>
      </c>
      <c r="F5884">
        <v>62500</v>
      </c>
      <c r="G5884" t="s">
        <v>17</v>
      </c>
      <c r="I5884" t="s">
        <v>16</v>
      </c>
      <c r="J5884" t="s">
        <v>180</v>
      </c>
      <c r="K5884" t="s">
        <v>25</v>
      </c>
      <c r="L5884">
        <v>132757294</v>
      </c>
      <c r="R5884">
        <v>9625</v>
      </c>
      <c r="S5884" t="s">
        <v>232</v>
      </c>
      <c r="T5884">
        <v>0</v>
      </c>
      <c r="U5884">
        <v>27</v>
      </c>
      <c r="V5884">
        <v>0</v>
      </c>
      <c r="W5884">
        <v>0</v>
      </c>
      <c r="X5884">
        <v>0</v>
      </c>
    </row>
    <row r="5885" spans="1:40" x14ac:dyDescent="0.25">
      <c r="A5885" t="s">
        <v>15</v>
      </c>
      <c r="B5885" t="s">
        <v>24</v>
      </c>
      <c r="C5885">
        <v>20150316</v>
      </c>
      <c r="D5885">
        <v>0</v>
      </c>
      <c r="F5885">
        <v>62500</v>
      </c>
      <c r="G5885" t="s">
        <v>17</v>
      </c>
      <c r="I5885" t="s">
        <v>16</v>
      </c>
      <c r="J5885" t="s">
        <v>180</v>
      </c>
      <c r="K5885" t="s">
        <v>25</v>
      </c>
      <c r="L5885">
        <v>132757294</v>
      </c>
      <c r="R5885">
        <v>9624</v>
      </c>
      <c r="S5885" t="s">
        <v>232</v>
      </c>
      <c r="T5885">
        <v>0</v>
      </c>
      <c r="U5885">
        <v>-5</v>
      </c>
      <c r="V5885">
        <v>0</v>
      </c>
      <c r="W5885">
        <v>0</v>
      </c>
      <c r="X5885">
        <v>0</v>
      </c>
      <c r="Y5885">
        <v>9624</v>
      </c>
      <c r="Z5885" t="s">
        <v>386</v>
      </c>
      <c r="AA5885" t="s">
        <v>387</v>
      </c>
      <c r="AB5885" t="s">
        <v>234</v>
      </c>
      <c r="AC5885" t="s">
        <v>17</v>
      </c>
      <c r="AD5885" t="s">
        <v>237</v>
      </c>
      <c r="AE5885">
        <v>1</v>
      </c>
      <c r="AF5885">
        <v>1</v>
      </c>
      <c r="AG5885">
        <v>1.5248999999999999</v>
      </c>
      <c r="AH5885">
        <v>1.5248999999999999</v>
      </c>
      <c r="AI5885">
        <v>415886657</v>
      </c>
      <c r="AJ5885">
        <v>0</v>
      </c>
      <c r="AK5885">
        <v>7</v>
      </c>
      <c r="AN5885">
        <v>0</v>
      </c>
    </row>
    <row r="5886" spans="1:40" x14ac:dyDescent="0.25">
      <c r="A5886" t="s">
        <v>15</v>
      </c>
      <c r="B5886" t="s">
        <v>24</v>
      </c>
      <c r="C5886">
        <v>20150316</v>
      </c>
      <c r="D5886">
        <v>0</v>
      </c>
      <c r="F5886">
        <v>62500</v>
      </c>
      <c r="G5886" t="s">
        <v>17</v>
      </c>
      <c r="I5886" t="s">
        <v>16</v>
      </c>
      <c r="J5886" t="s">
        <v>180</v>
      </c>
      <c r="K5886" t="s">
        <v>25</v>
      </c>
      <c r="L5886">
        <v>132757294</v>
      </c>
      <c r="R5886">
        <v>9624</v>
      </c>
      <c r="S5886" t="s">
        <v>232</v>
      </c>
      <c r="T5886">
        <v>0</v>
      </c>
      <c r="U5886">
        <v>-5</v>
      </c>
      <c r="V5886">
        <v>0</v>
      </c>
      <c r="W5886">
        <v>0</v>
      </c>
      <c r="X5886">
        <v>0</v>
      </c>
    </row>
    <row r="5887" spans="1:40" x14ac:dyDescent="0.25">
      <c r="A5887" t="s">
        <v>15</v>
      </c>
      <c r="B5887" t="s">
        <v>24</v>
      </c>
      <c r="C5887">
        <v>20150316</v>
      </c>
      <c r="D5887">
        <v>0</v>
      </c>
      <c r="F5887">
        <v>62500</v>
      </c>
      <c r="G5887" t="s">
        <v>17</v>
      </c>
      <c r="I5887" t="s">
        <v>16</v>
      </c>
      <c r="J5887" t="s">
        <v>180</v>
      </c>
      <c r="K5887" t="s">
        <v>25</v>
      </c>
      <c r="L5887">
        <v>132757294</v>
      </c>
      <c r="R5887">
        <v>9624</v>
      </c>
      <c r="S5887" t="s">
        <v>236</v>
      </c>
      <c r="T5887">
        <v>1</v>
      </c>
      <c r="U5887">
        <v>4</v>
      </c>
      <c r="V5887">
        <v>1.5248999999999999</v>
      </c>
      <c r="W5887">
        <v>1.5248999999999999</v>
      </c>
      <c r="X5887">
        <v>0</v>
      </c>
    </row>
    <row r="5888" spans="1:40" x14ac:dyDescent="0.25">
      <c r="A5888" t="s">
        <v>15</v>
      </c>
      <c r="B5888" t="s">
        <v>24</v>
      </c>
      <c r="C5888">
        <v>20150316</v>
      </c>
      <c r="D5888">
        <v>0</v>
      </c>
      <c r="F5888">
        <v>62500</v>
      </c>
      <c r="G5888" t="s">
        <v>17</v>
      </c>
      <c r="I5888" t="s">
        <v>16</v>
      </c>
      <c r="J5888" t="s">
        <v>180</v>
      </c>
      <c r="K5888" t="s">
        <v>25</v>
      </c>
      <c r="L5888">
        <v>132757294</v>
      </c>
      <c r="R5888">
        <v>9624</v>
      </c>
      <c r="S5888" t="s">
        <v>236</v>
      </c>
      <c r="T5888">
        <v>1</v>
      </c>
      <c r="U5888">
        <v>4</v>
      </c>
      <c r="V5888">
        <v>1.5248999999999999</v>
      </c>
      <c r="W5888">
        <v>1.5248999999999999</v>
      </c>
      <c r="X5888">
        <v>0</v>
      </c>
    </row>
    <row r="5889" spans="1:40" x14ac:dyDescent="0.25">
      <c r="A5889" t="s">
        <v>15</v>
      </c>
      <c r="B5889" t="s">
        <v>24</v>
      </c>
      <c r="C5889">
        <v>20150316</v>
      </c>
      <c r="D5889">
        <v>0</v>
      </c>
      <c r="F5889">
        <v>62500</v>
      </c>
      <c r="G5889" t="s">
        <v>17</v>
      </c>
      <c r="I5889" t="s">
        <v>16</v>
      </c>
      <c r="J5889" t="s">
        <v>180</v>
      </c>
      <c r="K5889" t="s">
        <v>25</v>
      </c>
      <c r="L5889">
        <v>132757294</v>
      </c>
      <c r="R5889">
        <v>9624</v>
      </c>
      <c r="S5889" t="s">
        <v>233</v>
      </c>
      <c r="T5889">
        <v>1</v>
      </c>
      <c r="U5889">
        <v>4</v>
      </c>
      <c r="V5889">
        <v>1.5248999999999999</v>
      </c>
      <c r="W5889">
        <v>1.5248999999999999</v>
      </c>
      <c r="X5889">
        <v>0</v>
      </c>
    </row>
    <row r="5890" spans="1:40" x14ac:dyDescent="0.25">
      <c r="A5890" t="s">
        <v>15</v>
      </c>
      <c r="B5890" t="s">
        <v>24</v>
      </c>
      <c r="C5890">
        <v>20150316</v>
      </c>
      <c r="D5890">
        <v>0</v>
      </c>
      <c r="F5890">
        <v>62500</v>
      </c>
      <c r="G5890" t="s">
        <v>17</v>
      </c>
      <c r="I5890" t="s">
        <v>16</v>
      </c>
      <c r="J5890" t="s">
        <v>180</v>
      </c>
      <c r="K5890" t="s">
        <v>25</v>
      </c>
      <c r="L5890">
        <v>132757294</v>
      </c>
      <c r="R5890">
        <v>9624</v>
      </c>
      <c r="S5890" t="s">
        <v>233</v>
      </c>
      <c r="T5890">
        <v>1</v>
      </c>
      <c r="U5890">
        <v>4</v>
      </c>
      <c r="V5890">
        <v>1.5248999999999999</v>
      </c>
      <c r="W5890">
        <v>1.5248999999999999</v>
      </c>
      <c r="X5890">
        <v>0</v>
      </c>
    </row>
    <row r="5891" spans="1:40" x14ac:dyDescent="0.25">
      <c r="A5891" t="s">
        <v>15</v>
      </c>
      <c r="B5891" t="s">
        <v>24</v>
      </c>
      <c r="C5891">
        <v>20150316</v>
      </c>
      <c r="D5891">
        <v>0</v>
      </c>
      <c r="F5891">
        <v>62500</v>
      </c>
      <c r="G5891" t="s">
        <v>17</v>
      </c>
      <c r="I5891" t="s">
        <v>16</v>
      </c>
      <c r="J5891" t="s">
        <v>180</v>
      </c>
      <c r="K5891" t="s">
        <v>25</v>
      </c>
      <c r="L5891">
        <v>132757294</v>
      </c>
      <c r="R5891">
        <v>9624</v>
      </c>
      <c r="S5891" t="s">
        <v>233</v>
      </c>
      <c r="T5891">
        <v>1</v>
      </c>
      <c r="U5891">
        <v>4</v>
      </c>
      <c r="V5891">
        <v>1.5248999999999999</v>
      </c>
      <c r="W5891">
        <v>1.5248999999999999</v>
      </c>
      <c r="X5891">
        <v>0</v>
      </c>
    </row>
    <row r="5892" spans="1:40" x14ac:dyDescent="0.25">
      <c r="A5892" t="s">
        <v>15</v>
      </c>
      <c r="B5892" t="s">
        <v>24</v>
      </c>
      <c r="C5892">
        <v>20150316</v>
      </c>
      <c r="D5892">
        <v>0</v>
      </c>
      <c r="F5892">
        <v>62500</v>
      </c>
      <c r="G5892" t="s">
        <v>17</v>
      </c>
      <c r="I5892" t="s">
        <v>16</v>
      </c>
      <c r="J5892" t="s">
        <v>180</v>
      </c>
      <c r="K5892" t="s">
        <v>25</v>
      </c>
      <c r="L5892">
        <v>132757294</v>
      </c>
      <c r="R5892">
        <v>9625</v>
      </c>
      <c r="S5892" t="s">
        <v>232</v>
      </c>
      <c r="T5892">
        <v>0</v>
      </c>
      <c r="U5892">
        <v>27</v>
      </c>
      <c r="V5892">
        <v>0</v>
      </c>
      <c r="W5892">
        <v>0</v>
      </c>
      <c r="X5892">
        <v>0</v>
      </c>
    </row>
    <row r="5893" spans="1:40" x14ac:dyDescent="0.25">
      <c r="A5893" t="s">
        <v>15</v>
      </c>
      <c r="B5893" t="s">
        <v>24</v>
      </c>
      <c r="C5893">
        <v>20150316</v>
      </c>
      <c r="D5893">
        <v>0</v>
      </c>
      <c r="F5893">
        <v>62500</v>
      </c>
      <c r="G5893" t="s">
        <v>17</v>
      </c>
      <c r="I5893" t="s">
        <v>16</v>
      </c>
      <c r="J5893" t="s">
        <v>180</v>
      </c>
      <c r="K5893" t="s">
        <v>25</v>
      </c>
      <c r="L5893">
        <v>132757294</v>
      </c>
      <c r="R5893">
        <v>9625</v>
      </c>
      <c r="S5893" t="s">
        <v>192</v>
      </c>
      <c r="T5893">
        <v>0</v>
      </c>
      <c r="U5893">
        <v>27</v>
      </c>
      <c r="V5893">
        <v>0</v>
      </c>
      <c r="W5893">
        <v>0</v>
      </c>
      <c r="X5893">
        <v>0</v>
      </c>
    </row>
    <row r="5894" spans="1:40" x14ac:dyDescent="0.25">
      <c r="A5894" t="s">
        <v>15</v>
      </c>
      <c r="B5894" t="s">
        <v>24</v>
      </c>
      <c r="C5894">
        <v>20150316</v>
      </c>
      <c r="D5894">
        <v>0</v>
      </c>
      <c r="F5894">
        <v>62500</v>
      </c>
      <c r="G5894" t="s">
        <v>17</v>
      </c>
      <c r="I5894" t="s">
        <v>16</v>
      </c>
      <c r="J5894" t="s">
        <v>180</v>
      </c>
      <c r="K5894" t="s">
        <v>25</v>
      </c>
      <c r="L5894">
        <v>132757294</v>
      </c>
      <c r="R5894">
        <v>9626</v>
      </c>
      <c r="S5894" t="s">
        <v>232</v>
      </c>
      <c r="T5894">
        <v>0</v>
      </c>
      <c r="U5894">
        <v>-28</v>
      </c>
      <c r="V5894">
        <v>0</v>
      </c>
      <c r="W5894">
        <v>0</v>
      </c>
      <c r="X5894">
        <v>0</v>
      </c>
    </row>
    <row r="5895" spans="1:40" x14ac:dyDescent="0.25">
      <c r="A5895" t="s">
        <v>15</v>
      </c>
      <c r="B5895" t="s">
        <v>24</v>
      </c>
      <c r="C5895">
        <v>20150316</v>
      </c>
      <c r="D5895">
        <v>0</v>
      </c>
      <c r="F5895">
        <v>62500</v>
      </c>
      <c r="G5895" t="s">
        <v>17</v>
      </c>
      <c r="I5895" t="s">
        <v>16</v>
      </c>
      <c r="J5895" t="s">
        <v>180</v>
      </c>
      <c r="K5895" t="s">
        <v>25</v>
      </c>
      <c r="L5895">
        <v>132757294</v>
      </c>
      <c r="R5895">
        <v>9626</v>
      </c>
      <c r="S5895" t="s">
        <v>232</v>
      </c>
      <c r="T5895">
        <v>0</v>
      </c>
      <c r="U5895">
        <v>-28</v>
      </c>
      <c r="V5895">
        <v>0</v>
      </c>
      <c r="W5895">
        <v>0</v>
      </c>
      <c r="X5895">
        <v>0</v>
      </c>
    </row>
    <row r="5896" spans="1:40" x14ac:dyDescent="0.25">
      <c r="A5896" t="s">
        <v>15</v>
      </c>
      <c r="B5896" t="s">
        <v>24</v>
      </c>
      <c r="C5896">
        <v>20150316</v>
      </c>
      <c r="D5896">
        <v>0</v>
      </c>
      <c r="F5896">
        <v>62500</v>
      </c>
      <c r="G5896" t="s">
        <v>17</v>
      </c>
      <c r="I5896" t="s">
        <v>16</v>
      </c>
      <c r="J5896" t="s">
        <v>180</v>
      </c>
      <c r="K5896" t="s">
        <v>25</v>
      </c>
      <c r="L5896">
        <v>132757294</v>
      </c>
      <c r="R5896">
        <v>9626</v>
      </c>
      <c r="S5896" t="s">
        <v>192</v>
      </c>
      <c r="T5896">
        <v>0</v>
      </c>
      <c r="U5896">
        <v>28</v>
      </c>
      <c r="V5896">
        <v>0</v>
      </c>
      <c r="W5896">
        <v>0</v>
      </c>
      <c r="X5896">
        <v>0</v>
      </c>
    </row>
    <row r="5897" spans="1:40" x14ac:dyDescent="0.25">
      <c r="A5897" t="s">
        <v>15</v>
      </c>
      <c r="B5897" t="s">
        <v>24</v>
      </c>
      <c r="C5897">
        <v>20150316</v>
      </c>
      <c r="D5897">
        <v>0</v>
      </c>
      <c r="F5897">
        <v>62500</v>
      </c>
      <c r="G5897" t="s">
        <v>17</v>
      </c>
      <c r="I5897" t="s">
        <v>16</v>
      </c>
      <c r="J5897" t="s">
        <v>180</v>
      </c>
      <c r="K5897" t="s">
        <v>25</v>
      </c>
      <c r="L5897">
        <v>132757294</v>
      </c>
      <c r="R5897">
        <v>9624</v>
      </c>
      <c r="S5897" t="s">
        <v>233</v>
      </c>
      <c r="T5897">
        <v>1</v>
      </c>
      <c r="U5897">
        <v>4</v>
      </c>
      <c r="V5897">
        <v>1.5248999999999999</v>
      </c>
      <c r="W5897">
        <v>1.5248999999999999</v>
      </c>
      <c r="X5897">
        <v>0</v>
      </c>
      <c r="Y5897">
        <v>9624</v>
      </c>
      <c r="Z5897" t="s">
        <v>388</v>
      </c>
      <c r="AA5897" t="s">
        <v>389</v>
      </c>
      <c r="AB5897" t="s">
        <v>234</v>
      </c>
      <c r="AC5897" t="s">
        <v>17</v>
      </c>
      <c r="AD5897" t="s">
        <v>237</v>
      </c>
      <c r="AE5897">
        <v>4</v>
      </c>
      <c r="AF5897">
        <v>5</v>
      </c>
      <c r="AG5897">
        <v>1.5247999999999999</v>
      </c>
      <c r="AH5897">
        <v>1.5248200000000001</v>
      </c>
      <c r="AI5897">
        <v>415886657</v>
      </c>
      <c r="AJ5897">
        <v>0</v>
      </c>
      <c r="AK5897">
        <v>7</v>
      </c>
      <c r="AN5897">
        <v>0</v>
      </c>
    </row>
    <row r="5898" spans="1:40" x14ac:dyDescent="0.25">
      <c r="A5898" t="s">
        <v>15</v>
      </c>
      <c r="B5898" t="s">
        <v>24</v>
      </c>
      <c r="C5898">
        <v>20150316</v>
      </c>
      <c r="D5898">
        <v>0</v>
      </c>
      <c r="F5898">
        <v>62500</v>
      </c>
      <c r="G5898" t="s">
        <v>17</v>
      </c>
      <c r="I5898" t="s">
        <v>16</v>
      </c>
      <c r="J5898" t="s">
        <v>180</v>
      </c>
      <c r="K5898" t="s">
        <v>25</v>
      </c>
      <c r="L5898">
        <v>132757294</v>
      </c>
      <c r="R5898">
        <v>9624</v>
      </c>
      <c r="S5898" t="s">
        <v>233</v>
      </c>
      <c r="T5898">
        <v>1</v>
      </c>
      <c r="U5898">
        <v>4</v>
      </c>
      <c r="V5898">
        <v>1.5248999999999999</v>
      </c>
      <c r="W5898">
        <v>1.5248999999999999</v>
      </c>
      <c r="X5898">
        <v>0</v>
      </c>
    </row>
    <row r="5899" spans="1:40" x14ac:dyDescent="0.25">
      <c r="A5899" t="s">
        <v>15</v>
      </c>
      <c r="B5899" t="s">
        <v>24</v>
      </c>
      <c r="C5899">
        <v>20150316</v>
      </c>
      <c r="D5899">
        <v>0</v>
      </c>
      <c r="F5899">
        <v>62500</v>
      </c>
      <c r="G5899" t="s">
        <v>17</v>
      </c>
      <c r="I5899" t="s">
        <v>16</v>
      </c>
      <c r="J5899" t="s">
        <v>180</v>
      </c>
      <c r="K5899" t="s">
        <v>25</v>
      </c>
      <c r="L5899">
        <v>132757294</v>
      </c>
      <c r="R5899">
        <v>9624</v>
      </c>
      <c r="S5899" t="s">
        <v>37</v>
      </c>
      <c r="T5899">
        <v>5</v>
      </c>
      <c r="U5899">
        <v>0</v>
      </c>
      <c r="V5899">
        <v>1.5248200000000001</v>
      </c>
      <c r="W5899">
        <v>1.5247999999999999</v>
      </c>
      <c r="X5899">
        <v>0</v>
      </c>
    </row>
    <row r="5900" spans="1:40" x14ac:dyDescent="0.25">
      <c r="A5900" t="s">
        <v>15</v>
      </c>
      <c r="B5900" t="s">
        <v>24</v>
      </c>
      <c r="C5900">
        <v>20150316</v>
      </c>
      <c r="D5900">
        <v>0</v>
      </c>
      <c r="F5900">
        <v>62500</v>
      </c>
      <c r="G5900" t="s">
        <v>17</v>
      </c>
      <c r="I5900" t="s">
        <v>16</v>
      </c>
      <c r="J5900" t="s">
        <v>180</v>
      </c>
      <c r="K5900" t="s">
        <v>25</v>
      </c>
      <c r="L5900">
        <v>132757294</v>
      </c>
      <c r="R5900">
        <v>9624</v>
      </c>
      <c r="S5900" t="s">
        <v>37</v>
      </c>
      <c r="T5900">
        <v>5</v>
      </c>
      <c r="U5900">
        <v>0</v>
      </c>
      <c r="V5900">
        <v>1.5248200000000001</v>
      </c>
      <c r="W5900">
        <v>1.5247999999999999</v>
      </c>
      <c r="X5900">
        <v>0</v>
      </c>
    </row>
    <row r="5901" spans="1:40" x14ac:dyDescent="0.25">
      <c r="A5901" t="s">
        <v>15</v>
      </c>
      <c r="B5901" t="s">
        <v>24</v>
      </c>
      <c r="C5901">
        <v>20150316</v>
      </c>
      <c r="D5901">
        <v>0</v>
      </c>
      <c r="F5901">
        <v>62500</v>
      </c>
      <c r="G5901" t="s">
        <v>17</v>
      </c>
      <c r="I5901" t="s">
        <v>16</v>
      </c>
      <c r="J5901" t="s">
        <v>180</v>
      </c>
      <c r="K5901" t="s">
        <v>25</v>
      </c>
      <c r="L5901">
        <v>132757294</v>
      </c>
      <c r="R5901">
        <v>9624</v>
      </c>
      <c r="S5901" t="s">
        <v>37</v>
      </c>
      <c r="T5901">
        <v>5</v>
      </c>
      <c r="U5901">
        <v>0</v>
      </c>
      <c r="V5901">
        <v>1.5248200000000001</v>
      </c>
      <c r="W5901">
        <v>1.5247999999999999</v>
      </c>
      <c r="X5901">
        <v>0</v>
      </c>
    </row>
    <row r="5902" spans="1:40" x14ac:dyDescent="0.25">
      <c r="A5902" t="s">
        <v>15</v>
      </c>
      <c r="B5902" t="s">
        <v>24</v>
      </c>
      <c r="C5902">
        <v>20150316</v>
      </c>
      <c r="D5902">
        <v>0</v>
      </c>
      <c r="F5902">
        <v>62500</v>
      </c>
      <c r="G5902" t="s">
        <v>17</v>
      </c>
      <c r="I5902" t="s">
        <v>16</v>
      </c>
      <c r="J5902" t="s">
        <v>180</v>
      </c>
      <c r="K5902" t="s">
        <v>25</v>
      </c>
      <c r="L5902">
        <v>132757294</v>
      </c>
      <c r="R5902">
        <v>9624</v>
      </c>
      <c r="S5902" t="s">
        <v>37</v>
      </c>
      <c r="T5902">
        <v>5</v>
      </c>
      <c r="U5902">
        <v>0</v>
      </c>
      <c r="V5902">
        <v>1.5248200000000001</v>
      </c>
      <c r="W5902">
        <v>1.5247999999999999</v>
      </c>
      <c r="X5902">
        <v>0</v>
      </c>
    </row>
    <row r="5903" spans="1:40" x14ac:dyDescent="0.25">
      <c r="A5903" t="s">
        <v>15</v>
      </c>
      <c r="B5903" t="s">
        <v>24</v>
      </c>
      <c r="C5903">
        <v>20150316</v>
      </c>
      <c r="D5903">
        <v>0</v>
      </c>
      <c r="F5903">
        <v>62500</v>
      </c>
      <c r="G5903" t="s">
        <v>17</v>
      </c>
      <c r="I5903" t="s">
        <v>16</v>
      </c>
      <c r="J5903" t="s">
        <v>180</v>
      </c>
      <c r="K5903" t="s">
        <v>25</v>
      </c>
      <c r="L5903">
        <v>132757294</v>
      </c>
      <c r="R5903">
        <v>9624</v>
      </c>
      <c r="S5903" t="s">
        <v>37</v>
      </c>
      <c r="T5903">
        <v>5</v>
      </c>
      <c r="U5903">
        <v>0</v>
      </c>
      <c r="V5903">
        <v>1.5248200000000001</v>
      </c>
      <c r="W5903">
        <v>1.5247999999999999</v>
      </c>
      <c r="X5903">
        <v>0</v>
      </c>
    </row>
    <row r="5904" spans="1:40" x14ac:dyDescent="0.25">
      <c r="A5904" t="s">
        <v>15</v>
      </c>
      <c r="B5904" t="s">
        <v>24</v>
      </c>
      <c r="C5904">
        <v>20150316</v>
      </c>
      <c r="D5904">
        <v>0</v>
      </c>
      <c r="F5904">
        <v>62500</v>
      </c>
      <c r="G5904" t="s">
        <v>17</v>
      </c>
      <c r="I5904" t="s">
        <v>16</v>
      </c>
      <c r="J5904" t="s">
        <v>180</v>
      </c>
      <c r="K5904" t="s">
        <v>25</v>
      </c>
      <c r="L5904">
        <v>132757294</v>
      </c>
      <c r="R5904">
        <v>9627</v>
      </c>
      <c r="S5904" t="s">
        <v>232</v>
      </c>
      <c r="T5904">
        <v>0</v>
      </c>
      <c r="U5904">
        <v>31</v>
      </c>
      <c r="V5904">
        <v>0</v>
      </c>
      <c r="W5904">
        <v>0</v>
      </c>
      <c r="X5904">
        <v>0</v>
      </c>
    </row>
    <row r="5905" spans="1:24" x14ac:dyDescent="0.25">
      <c r="A5905" t="s">
        <v>15</v>
      </c>
      <c r="B5905" t="s">
        <v>24</v>
      </c>
      <c r="C5905">
        <v>20150316</v>
      </c>
      <c r="D5905">
        <v>0</v>
      </c>
      <c r="F5905">
        <v>62500</v>
      </c>
      <c r="G5905" t="s">
        <v>17</v>
      </c>
      <c r="I5905" t="s">
        <v>16</v>
      </c>
      <c r="J5905" t="s">
        <v>180</v>
      </c>
      <c r="K5905" t="s">
        <v>25</v>
      </c>
      <c r="L5905">
        <v>132757294</v>
      </c>
      <c r="R5905">
        <v>9625</v>
      </c>
      <c r="S5905" t="s">
        <v>223</v>
      </c>
      <c r="T5905">
        <v>0</v>
      </c>
      <c r="U5905">
        <v>27</v>
      </c>
      <c r="V5905">
        <v>0</v>
      </c>
      <c r="W5905">
        <v>0</v>
      </c>
      <c r="X5905">
        <v>0</v>
      </c>
    </row>
    <row r="5906" spans="1:24" x14ac:dyDescent="0.25">
      <c r="A5906" t="s">
        <v>15</v>
      </c>
      <c r="B5906" t="s">
        <v>24</v>
      </c>
      <c r="C5906">
        <v>20150316</v>
      </c>
      <c r="D5906">
        <v>0</v>
      </c>
      <c r="F5906">
        <v>62500</v>
      </c>
      <c r="G5906" t="s">
        <v>17</v>
      </c>
      <c r="I5906" t="s">
        <v>16</v>
      </c>
      <c r="J5906" t="s">
        <v>180</v>
      </c>
      <c r="K5906" t="s">
        <v>25</v>
      </c>
      <c r="L5906">
        <v>132757294</v>
      </c>
      <c r="R5906">
        <v>9625</v>
      </c>
      <c r="S5906" t="s">
        <v>224</v>
      </c>
      <c r="T5906">
        <v>0</v>
      </c>
      <c r="U5906">
        <v>27</v>
      </c>
      <c r="V5906">
        <v>0</v>
      </c>
      <c r="W5906">
        <v>0</v>
      </c>
      <c r="X5906">
        <v>0</v>
      </c>
    </row>
    <row r="5907" spans="1:24" x14ac:dyDescent="0.25">
      <c r="A5907" t="s">
        <v>15</v>
      </c>
      <c r="B5907" t="s">
        <v>24</v>
      </c>
      <c r="C5907">
        <v>20150316</v>
      </c>
      <c r="D5907">
        <v>0</v>
      </c>
      <c r="F5907">
        <v>62500</v>
      </c>
      <c r="G5907" t="s">
        <v>17</v>
      </c>
      <c r="I5907" t="s">
        <v>16</v>
      </c>
      <c r="J5907" t="s">
        <v>180</v>
      </c>
      <c r="K5907" t="s">
        <v>25</v>
      </c>
      <c r="L5907">
        <v>132757294</v>
      </c>
      <c r="R5907">
        <v>9626</v>
      </c>
      <c r="S5907" t="s">
        <v>223</v>
      </c>
      <c r="T5907">
        <v>0</v>
      </c>
      <c r="U5907">
        <v>28</v>
      </c>
      <c r="V5907">
        <v>0</v>
      </c>
      <c r="W5907">
        <v>0</v>
      </c>
      <c r="X5907">
        <v>0</v>
      </c>
    </row>
    <row r="5908" spans="1:24" x14ac:dyDescent="0.25">
      <c r="A5908" t="s">
        <v>15</v>
      </c>
      <c r="B5908" t="s">
        <v>24</v>
      </c>
      <c r="C5908">
        <v>20150316</v>
      </c>
      <c r="D5908">
        <v>0</v>
      </c>
      <c r="F5908">
        <v>62500</v>
      </c>
      <c r="G5908" t="s">
        <v>17</v>
      </c>
      <c r="I5908" t="s">
        <v>16</v>
      </c>
      <c r="J5908" t="s">
        <v>180</v>
      </c>
      <c r="K5908" t="s">
        <v>25</v>
      </c>
      <c r="L5908">
        <v>132757294</v>
      </c>
      <c r="R5908">
        <v>9626</v>
      </c>
      <c r="S5908" t="s">
        <v>224</v>
      </c>
      <c r="T5908">
        <v>0</v>
      </c>
      <c r="U5908">
        <v>28</v>
      </c>
      <c r="V5908">
        <v>0</v>
      </c>
      <c r="W5908">
        <v>0</v>
      </c>
      <c r="X5908">
        <v>0</v>
      </c>
    </row>
    <row r="5909" spans="1:24" x14ac:dyDescent="0.25">
      <c r="A5909" t="s">
        <v>15</v>
      </c>
      <c r="B5909" t="s">
        <v>24</v>
      </c>
      <c r="C5909">
        <v>20150316</v>
      </c>
      <c r="D5909">
        <v>0</v>
      </c>
      <c r="F5909">
        <v>62500</v>
      </c>
      <c r="G5909" t="s">
        <v>17</v>
      </c>
      <c r="I5909" t="s">
        <v>16</v>
      </c>
      <c r="J5909" t="s">
        <v>180</v>
      </c>
      <c r="K5909" t="s">
        <v>25</v>
      </c>
      <c r="L5909">
        <v>132757294</v>
      </c>
      <c r="R5909">
        <v>9627</v>
      </c>
      <c r="S5909" t="s">
        <v>232</v>
      </c>
      <c r="T5909">
        <v>0</v>
      </c>
      <c r="U5909">
        <v>31</v>
      </c>
      <c r="V5909">
        <v>0</v>
      </c>
      <c r="W5909">
        <v>0</v>
      </c>
      <c r="X5909">
        <v>0</v>
      </c>
    </row>
    <row r="5910" spans="1:24" x14ac:dyDescent="0.25">
      <c r="A5910" t="s">
        <v>15</v>
      </c>
      <c r="B5910" t="s">
        <v>24</v>
      </c>
      <c r="C5910">
        <v>20150316</v>
      </c>
      <c r="D5910">
        <v>0</v>
      </c>
      <c r="F5910">
        <v>62500</v>
      </c>
      <c r="G5910" t="s">
        <v>17</v>
      </c>
      <c r="I5910" t="s">
        <v>16</v>
      </c>
      <c r="J5910" t="s">
        <v>180</v>
      </c>
      <c r="K5910" t="s">
        <v>25</v>
      </c>
      <c r="L5910">
        <v>132757294</v>
      </c>
      <c r="R5910">
        <v>9627</v>
      </c>
      <c r="S5910" t="s">
        <v>192</v>
      </c>
      <c r="T5910">
        <v>0</v>
      </c>
      <c r="U5910">
        <v>31</v>
      </c>
      <c r="V5910">
        <v>0</v>
      </c>
      <c r="W5910">
        <v>0</v>
      </c>
      <c r="X5910">
        <v>0</v>
      </c>
    </row>
    <row r="5911" spans="1:24" x14ac:dyDescent="0.25">
      <c r="A5911" t="s">
        <v>15</v>
      </c>
      <c r="B5911" t="s">
        <v>24</v>
      </c>
      <c r="C5911">
        <v>20150316</v>
      </c>
      <c r="D5911">
        <v>0</v>
      </c>
      <c r="F5911">
        <v>62500</v>
      </c>
      <c r="G5911" t="s">
        <v>17</v>
      </c>
      <c r="I5911" t="s">
        <v>16</v>
      </c>
      <c r="J5911" t="s">
        <v>180</v>
      </c>
      <c r="K5911" t="s">
        <v>25</v>
      </c>
      <c r="L5911">
        <v>132757294</v>
      </c>
      <c r="R5911">
        <v>9628</v>
      </c>
      <c r="S5911" t="s">
        <v>232</v>
      </c>
      <c r="T5911">
        <v>0</v>
      </c>
      <c r="U5911">
        <v>-31</v>
      </c>
      <c r="V5911">
        <v>0</v>
      </c>
      <c r="W5911">
        <v>0</v>
      </c>
      <c r="X5911">
        <v>0</v>
      </c>
    </row>
    <row r="5912" spans="1:24" x14ac:dyDescent="0.25">
      <c r="A5912" t="s">
        <v>15</v>
      </c>
      <c r="B5912" t="s">
        <v>24</v>
      </c>
      <c r="C5912">
        <v>20150316</v>
      </c>
      <c r="D5912">
        <v>0</v>
      </c>
      <c r="F5912">
        <v>62500</v>
      </c>
      <c r="G5912" t="s">
        <v>17</v>
      </c>
      <c r="I5912" t="s">
        <v>16</v>
      </c>
      <c r="J5912" t="s">
        <v>180</v>
      </c>
      <c r="K5912" t="s">
        <v>25</v>
      </c>
      <c r="L5912">
        <v>132757294</v>
      </c>
      <c r="R5912">
        <v>9628</v>
      </c>
      <c r="S5912" t="s">
        <v>232</v>
      </c>
      <c r="T5912">
        <v>0</v>
      </c>
      <c r="U5912">
        <v>-31</v>
      </c>
      <c r="V5912">
        <v>0</v>
      </c>
      <c r="W5912">
        <v>0</v>
      </c>
      <c r="X5912">
        <v>0</v>
      </c>
    </row>
    <row r="5913" spans="1:24" x14ac:dyDescent="0.25">
      <c r="A5913" t="s">
        <v>15</v>
      </c>
      <c r="B5913" t="s">
        <v>24</v>
      </c>
      <c r="C5913">
        <v>20150316</v>
      </c>
      <c r="D5913">
        <v>0</v>
      </c>
      <c r="F5913">
        <v>62500</v>
      </c>
      <c r="G5913" t="s">
        <v>17</v>
      </c>
      <c r="I5913" t="s">
        <v>16</v>
      </c>
      <c r="J5913" t="s">
        <v>180</v>
      </c>
      <c r="K5913" t="s">
        <v>25</v>
      </c>
      <c r="L5913">
        <v>132757294</v>
      </c>
      <c r="R5913">
        <v>9628</v>
      </c>
      <c r="S5913" t="s">
        <v>192</v>
      </c>
      <c r="T5913">
        <v>0</v>
      </c>
      <c r="U5913">
        <v>31</v>
      </c>
      <c r="V5913">
        <v>0</v>
      </c>
      <c r="W5913">
        <v>0</v>
      </c>
      <c r="X5913">
        <v>0</v>
      </c>
    </row>
    <row r="5914" spans="1:24" x14ac:dyDescent="0.25">
      <c r="A5914" t="s">
        <v>15</v>
      </c>
      <c r="B5914" t="s">
        <v>24</v>
      </c>
      <c r="C5914">
        <v>20150316</v>
      </c>
      <c r="D5914">
        <v>0</v>
      </c>
      <c r="F5914">
        <v>62500</v>
      </c>
      <c r="G5914" t="s">
        <v>17</v>
      </c>
      <c r="I5914" t="s">
        <v>16</v>
      </c>
      <c r="J5914" t="s">
        <v>180</v>
      </c>
      <c r="K5914" t="s">
        <v>25</v>
      </c>
      <c r="L5914">
        <v>132757294</v>
      </c>
      <c r="R5914">
        <v>9629</v>
      </c>
      <c r="S5914" t="s">
        <v>232</v>
      </c>
      <c r="T5914">
        <v>0</v>
      </c>
      <c r="U5914">
        <v>5</v>
      </c>
      <c r="V5914">
        <v>0</v>
      </c>
      <c r="W5914">
        <v>0</v>
      </c>
      <c r="X5914">
        <v>0</v>
      </c>
    </row>
    <row r="5915" spans="1:24" x14ac:dyDescent="0.25">
      <c r="A5915" t="s">
        <v>15</v>
      </c>
      <c r="B5915" t="s">
        <v>24</v>
      </c>
      <c r="C5915">
        <v>20150316</v>
      </c>
      <c r="D5915">
        <v>0</v>
      </c>
      <c r="F5915">
        <v>62500</v>
      </c>
      <c r="G5915" t="s">
        <v>17</v>
      </c>
      <c r="I5915" t="s">
        <v>16</v>
      </c>
      <c r="J5915" t="s">
        <v>180</v>
      </c>
      <c r="K5915" t="s">
        <v>25</v>
      </c>
      <c r="L5915">
        <v>132757294</v>
      </c>
      <c r="R5915">
        <v>9629</v>
      </c>
      <c r="S5915" t="s">
        <v>232</v>
      </c>
      <c r="T5915">
        <v>0</v>
      </c>
      <c r="U5915">
        <v>5</v>
      </c>
      <c r="V5915">
        <v>0</v>
      </c>
      <c r="W5915">
        <v>0</v>
      </c>
      <c r="X5915">
        <v>0</v>
      </c>
    </row>
    <row r="5916" spans="1:24" x14ac:dyDescent="0.25">
      <c r="A5916" t="s">
        <v>15</v>
      </c>
      <c r="B5916" t="s">
        <v>24</v>
      </c>
      <c r="C5916">
        <v>20150316</v>
      </c>
      <c r="D5916">
        <v>0</v>
      </c>
      <c r="F5916">
        <v>62500</v>
      </c>
      <c r="G5916" t="s">
        <v>17</v>
      </c>
      <c r="I5916" t="s">
        <v>16</v>
      </c>
      <c r="J5916" t="s">
        <v>180</v>
      </c>
      <c r="K5916" t="s">
        <v>25</v>
      </c>
      <c r="L5916">
        <v>132757294</v>
      </c>
      <c r="R5916">
        <v>9629</v>
      </c>
      <c r="S5916" t="s">
        <v>233</v>
      </c>
      <c r="T5916">
        <v>0</v>
      </c>
      <c r="U5916">
        <v>5</v>
      </c>
      <c r="V5916">
        <v>0</v>
      </c>
      <c r="W5916">
        <v>0</v>
      </c>
      <c r="X5916">
        <v>0</v>
      </c>
    </row>
    <row r="5917" spans="1:24" x14ac:dyDescent="0.25">
      <c r="A5917" t="s">
        <v>15</v>
      </c>
      <c r="B5917" t="s">
        <v>24</v>
      </c>
      <c r="C5917">
        <v>20150316</v>
      </c>
      <c r="D5917">
        <v>0</v>
      </c>
      <c r="F5917">
        <v>62500</v>
      </c>
      <c r="G5917" t="s">
        <v>17</v>
      </c>
      <c r="I5917" t="s">
        <v>16</v>
      </c>
      <c r="J5917" t="s">
        <v>180</v>
      </c>
      <c r="K5917" t="s">
        <v>25</v>
      </c>
      <c r="L5917">
        <v>132757294</v>
      </c>
      <c r="R5917">
        <v>9629</v>
      </c>
      <c r="S5917" t="s">
        <v>223</v>
      </c>
      <c r="T5917">
        <v>0</v>
      </c>
      <c r="U5917">
        <v>5</v>
      </c>
      <c r="V5917">
        <v>0</v>
      </c>
      <c r="W5917">
        <v>0</v>
      </c>
      <c r="X5917">
        <v>0</v>
      </c>
    </row>
    <row r="5918" spans="1:24" x14ac:dyDescent="0.25">
      <c r="A5918" t="s">
        <v>15</v>
      </c>
      <c r="B5918" t="s">
        <v>24</v>
      </c>
      <c r="C5918">
        <v>20150316</v>
      </c>
      <c r="D5918">
        <v>0</v>
      </c>
      <c r="F5918">
        <v>62500</v>
      </c>
      <c r="G5918" t="s">
        <v>17</v>
      </c>
      <c r="I5918" t="s">
        <v>16</v>
      </c>
      <c r="J5918" t="s">
        <v>180</v>
      </c>
      <c r="K5918" t="s">
        <v>25</v>
      </c>
      <c r="L5918">
        <v>132757294</v>
      </c>
      <c r="R5918">
        <v>9629</v>
      </c>
      <c r="S5918" t="s">
        <v>224</v>
      </c>
      <c r="T5918">
        <v>0</v>
      </c>
      <c r="U5918">
        <v>5</v>
      </c>
      <c r="V5918">
        <v>0</v>
      </c>
      <c r="W5918">
        <v>0</v>
      </c>
      <c r="X5918">
        <v>0</v>
      </c>
    </row>
    <row r="5919" spans="1:24" x14ac:dyDescent="0.25">
      <c r="A5919" t="s">
        <v>15</v>
      </c>
      <c r="B5919" t="s">
        <v>24</v>
      </c>
      <c r="C5919">
        <v>20150316</v>
      </c>
      <c r="D5919">
        <v>0</v>
      </c>
      <c r="F5919">
        <v>62500</v>
      </c>
      <c r="G5919" t="s">
        <v>17</v>
      </c>
      <c r="I5919" t="s">
        <v>16</v>
      </c>
      <c r="J5919" t="s">
        <v>180</v>
      </c>
      <c r="K5919" t="s">
        <v>25</v>
      </c>
      <c r="L5919">
        <v>132757294</v>
      </c>
      <c r="R5919">
        <v>9630</v>
      </c>
      <c r="S5919" t="s">
        <v>232</v>
      </c>
      <c r="T5919">
        <v>0</v>
      </c>
      <c r="U5919">
        <v>5</v>
      </c>
      <c r="V5919">
        <v>0</v>
      </c>
      <c r="W5919">
        <v>0</v>
      </c>
      <c r="X5919">
        <v>0</v>
      </c>
    </row>
    <row r="5920" spans="1:24" x14ac:dyDescent="0.25">
      <c r="A5920" t="s">
        <v>15</v>
      </c>
      <c r="B5920" t="s">
        <v>24</v>
      </c>
      <c r="C5920">
        <v>20150316</v>
      </c>
      <c r="D5920">
        <v>0</v>
      </c>
      <c r="F5920">
        <v>62500</v>
      </c>
      <c r="G5920" t="s">
        <v>17</v>
      </c>
      <c r="I5920" t="s">
        <v>16</v>
      </c>
      <c r="J5920" t="s">
        <v>180</v>
      </c>
      <c r="K5920" t="s">
        <v>25</v>
      </c>
      <c r="L5920">
        <v>132757294</v>
      </c>
      <c r="R5920">
        <v>9630</v>
      </c>
      <c r="S5920" t="s">
        <v>232</v>
      </c>
      <c r="T5920">
        <v>0</v>
      </c>
      <c r="U5920">
        <v>5</v>
      </c>
      <c r="V5920">
        <v>0</v>
      </c>
      <c r="W5920">
        <v>0</v>
      </c>
      <c r="X5920">
        <v>0</v>
      </c>
    </row>
    <row r="5921" spans="1:40" x14ac:dyDescent="0.25">
      <c r="A5921" t="s">
        <v>15</v>
      </c>
      <c r="B5921" t="s">
        <v>24</v>
      </c>
      <c r="C5921">
        <v>20150316</v>
      </c>
      <c r="D5921">
        <v>0</v>
      </c>
      <c r="F5921">
        <v>62500</v>
      </c>
      <c r="G5921" t="s">
        <v>17</v>
      </c>
      <c r="I5921" t="s">
        <v>16</v>
      </c>
      <c r="J5921" t="s">
        <v>180</v>
      </c>
      <c r="K5921" t="s">
        <v>25</v>
      </c>
      <c r="L5921">
        <v>132757294</v>
      </c>
      <c r="R5921">
        <v>9630</v>
      </c>
      <c r="S5921" t="s">
        <v>233</v>
      </c>
      <c r="T5921">
        <v>0</v>
      </c>
      <c r="U5921">
        <v>5</v>
      </c>
      <c r="V5921">
        <v>0</v>
      </c>
      <c r="W5921">
        <v>0</v>
      </c>
      <c r="X5921">
        <v>0</v>
      </c>
    </row>
    <row r="5922" spans="1:40" x14ac:dyDescent="0.25">
      <c r="A5922" t="s">
        <v>15</v>
      </c>
      <c r="B5922" t="s">
        <v>24</v>
      </c>
      <c r="C5922">
        <v>20150316</v>
      </c>
      <c r="D5922">
        <v>0</v>
      </c>
      <c r="F5922">
        <v>62500</v>
      </c>
      <c r="G5922" t="s">
        <v>17</v>
      </c>
      <c r="I5922" t="s">
        <v>16</v>
      </c>
      <c r="J5922" t="s">
        <v>180</v>
      </c>
      <c r="K5922" t="s">
        <v>25</v>
      </c>
      <c r="L5922">
        <v>132757294</v>
      </c>
      <c r="R5922">
        <v>9630</v>
      </c>
      <c r="S5922" t="s">
        <v>223</v>
      </c>
      <c r="T5922">
        <v>0</v>
      </c>
      <c r="U5922">
        <v>5</v>
      </c>
      <c r="V5922">
        <v>0</v>
      </c>
      <c r="W5922">
        <v>0</v>
      </c>
      <c r="X5922">
        <v>0</v>
      </c>
    </row>
    <row r="5923" spans="1:40" x14ac:dyDescent="0.25">
      <c r="A5923" t="s">
        <v>15</v>
      </c>
      <c r="B5923" t="s">
        <v>24</v>
      </c>
      <c r="C5923">
        <v>20150316</v>
      </c>
      <c r="D5923">
        <v>0</v>
      </c>
      <c r="F5923">
        <v>62500</v>
      </c>
      <c r="G5923" t="s">
        <v>17</v>
      </c>
      <c r="I5923" t="s">
        <v>16</v>
      </c>
      <c r="J5923" t="s">
        <v>180</v>
      </c>
      <c r="K5923" t="s">
        <v>25</v>
      </c>
      <c r="L5923">
        <v>132757294</v>
      </c>
      <c r="R5923">
        <v>9630</v>
      </c>
      <c r="S5923" t="s">
        <v>224</v>
      </c>
      <c r="T5923">
        <v>0</v>
      </c>
      <c r="U5923">
        <v>5</v>
      </c>
      <c r="V5923">
        <v>0</v>
      </c>
      <c r="W5923">
        <v>0</v>
      </c>
      <c r="X5923">
        <v>0</v>
      </c>
    </row>
    <row r="5924" spans="1:40" x14ac:dyDescent="0.25">
      <c r="A5924" t="s">
        <v>15</v>
      </c>
      <c r="B5924" t="s">
        <v>24</v>
      </c>
      <c r="C5924">
        <v>20150316</v>
      </c>
      <c r="D5924">
        <v>0</v>
      </c>
      <c r="F5924">
        <v>62500</v>
      </c>
      <c r="G5924" t="s">
        <v>17</v>
      </c>
      <c r="I5924" t="s">
        <v>16</v>
      </c>
      <c r="J5924" t="s">
        <v>180</v>
      </c>
      <c r="K5924" t="s">
        <v>25</v>
      </c>
      <c r="L5924">
        <v>132757294</v>
      </c>
      <c r="R5924">
        <v>9631</v>
      </c>
      <c r="S5924" t="s">
        <v>232</v>
      </c>
      <c r="T5924">
        <v>0</v>
      </c>
      <c r="U5924">
        <v>5</v>
      </c>
      <c r="V5924">
        <v>0</v>
      </c>
      <c r="W5924">
        <v>0</v>
      </c>
      <c r="X5924">
        <v>0</v>
      </c>
    </row>
    <row r="5925" spans="1:40" x14ac:dyDescent="0.25">
      <c r="A5925" t="s">
        <v>15</v>
      </c>
      <c r="B5925" t="s">
        <v>24</v>
      </c>
      <c r="C5925">
        <v>20150316</v>
      </c>
      <c r="D5925">
        <v>0</v>
      </c>
      <c r="F5925">
        <v>62500</v>
      </c>
      <c r="G5925" t="s">
        <v>17</v>
      </c>
      <c r="I5925" t="s">
        <v>16</v>
      </c>
      <c r="J5925" t="s">
        <v>180</v>
      </c>
      <c r="K5925" t="s">
        <v>25</v>
      </c>
      <c r="L5925">
        <v>132757294</v>
      </c>
      <c r="R5925">
        <v>9631</v>
      </c>
      <c r="S5925" t="s">
        <v>232</v>
      </c>
      <c r="T5925">
        <v>0</v>
      </c>
      <c r="U5925">
        <v>5</v>
      </c>
      <c r="V5925">
        <v>0</v>
      </c>
      <c r="W5925">
        <v>0</v>
      </c>
      <c r="X5925">
        <v>0</v>
      </c>
    </row>
    <row r="5926" spans="1:40" x14ac:dyDescent="0.25">
      <c r="A5926" t="s">
        <v>15</v>
      </c>
      <c r="B5926" t="s">
        <v>24</v>
      </c>
      <c r="C5926">
        <v>20150316</v>
      </c>
      <c r="D5926">
        <v>0</v>
      </c>
      <c r="F5926">
        <v>62500</v>
      </c>
      <c r="G5926" t="s">
        <v>17</v>
      </c>
      <c r="I5926" t="s">
        <v>16</v>
      </c>
      <c r="J5926" t="s">
        <v>180</v>
      </c>
      <c r="K5926" t="s">
        <v>25</v>
      </c>
      <c r="L5926">
        <v>132757294</v>
      </c>
      <c r="R5926">
        <v>9631</v>
      </c>
      <c r="S5926" t="s">
        <v>233</v>
      </c>
      <c r="T5926">
        <v>0</v>
      </c>
      <c r="U5926">
        <v>5</v>
      </c>
      <c r="V5926">
        <v>0</v>
      </c>
      <c r="W5926">
        <v>0</v>
      </c>
      <c r="X5926">
        <v>0</v>
      </c>
    </row>
    <row r="5927" spans="1:40" x14ac:dyDescent="0.25">
      <c r="A5927" t="s">
        <v>15</v>
      </c>
      <c r="B5927" t="s">
        <v>24</v>
      </c>
      <c r="C5927">
        <v>20150316</v>
      </c>
      <c r="D5927">
        <v>0</v>
      </c>
      <c r="F5927">
        <v>62500</v>
      </c>
      <c r="G5927" t="s">
        <v>17</v>
      </c>
      <c r="I5927" t="s">
        <v>16</v>
      </c>
      <c r="J5927" t="s">
        <v>180</v>
      </c>
      <c r="K5927" t="s">
        <v>25</v>
      </c>
      <c r="L5927">
        <v>132757294</v>
      </c>
      <c r="R5927">
        <v>9631</v>
      </c>
      <c r="S5927" t="s">
        <v>233</v>
      </c>
      <c r="T5927">
        <v>0</v>
      </c>
      <c r="U5927">
        <v>3</v>
      </c>
      <c r="V5927">
        <v>0</v>
      </c>
      <c r="W5927">
        <v>0</v>
      </c>
      <c r="X5927">
        <v>0</v>
      </c>
      <c r="Y5927">
        <v>9631</v>
      </c>
      <c r="Z5927" t="s">
        <v>390</v>
      </c>
      <c r="AA5927" t="s">
        <v>391</v>
      </c>
      <c r="AB5927" t="s">
        <v>234</v>
      </c>
      <c r="AC5927" t="s">
        <v>17</v>
      </c>
      <c r="AD5927" t="s">
        <v>235</v>
      </c>
      <c r="AE5927">
        <v>1</v>
      </c>
      <c r="AF5927">
        <v>1</v>
      </c>
      <c r="AG5927">
        <v>1.5250999999999999</v>
      </c>
      <c r="AH5927">
        <v>1.5250999999999999</v>
      </c>
      <c r="AI5927">
        <v>415886664</v>
      </c>
      <c r="AJ5927">
        <v>0</v>
      </c>
      <c r="AK5927">
        <v>7</v>
      </c>
      <c r="AN5927">
        <v>0</v>
      </c>
    </row>
    <row r="5928" spans="1:40" x14ac:dyDescent="0.25">
      <c r="A5928" t="s">
        <v>15</v>
      </c>
      <c r="B5928" t="s">
        <v>24</v>
      </c>
      <c r="C5928">
        <v>20150316</v>
      </c>
      <c r="D5928">
        <v>0</v>
      </c>
      <c r="F5928">
        <v>62500</v>
      </c>
      <c r="G5928" t="s">
        <v>17</v>
      </c>
      <c r="I5928" t="s">
        <v>16</v>
      </c>
      <c r="J5928" t="s">
        <v>180</v>
      </c>
      <c r="K5928" t="s">
        <v>25</v>
      </c>
      <c r="L5928">
        <v>132757294</v>
      </c>
      <c r="R5928">
        <v>9631</v>
      </c>
      <c r="S5928" t="s">
        <v>233</v>
      </c>
      <c r="T5928">
        <v>0</v>
      </c>
      <c r="U5928">
        <v>3</v>
      </c>
      <c r="V5928">
        <v>0</v>
      </c>
      <c r="W5928">
        <v>0</v>
      </c>
      <c r="X5928">
        <v>0</v>
      </c>
    </row>
    <row r="5929" spans="1:40" x14ac:dyDescent="0.25">
      <c r="A5929" t="s">
        <v>15</v>
      </c>
      <c r="B5929" t="s">
        <v>24</v>
      </c>
      <c r="C5929">
        <v>20150316</v>
      </c>
      <c r="D5929">
        <v>0</v>
      </c>
      <c r="F5929">
        <v>62500</v>
      </c>
      <c r="G5929" t="s">
        <v>17</v>
      </c>
      <c r="I5929" t="s">
        <v>16</v>
      </c>
      <c r="J5929" t="s">
        <v>180</v>
      </c>
      <c r="K5929" t="s">
        <v>25</v>
      </c>
      <c r="L5929">
        <v>132757294</v>
      </c>
      <c r="R5929">
        <v>9631</v>
      </c>
      <c r="S5929" t="s">
        <v>233</v>
      </c>
      <c r="T5929">
        <v>1</v>
      </c>
      <c r="U5929">
        <v>4</v>
      </c>
      <c r="V5929">
        <v>1.5250999999999999</v>
      </c>
      <c r="W5929">
        <v>1.5250999999999999</v>
      </c>
      <c r="X5929">
        <v>0</v>
      </c>
    </row>
    <row r="5930" spans="1:40" x14ac:dyDescent="0.25">
      <c r="A5930" t="s">
        <v>15</v>
      </c>
      <c r="B5930" t="s">
        <v>24</v>
      </c>
      <c r="C5930">
        <v>20150316</v>
      </c>
      <c r="D5930">
        <v>0</v>
      </c>
      <c r="F5930">
        <v>62500</v>
      </c>
      <c r="G5930" t="s">
        <v>17</v>
      </c>
      <c r="I5930" t="s">
        <v>16</v>
      </c>
      <c r="J5930" t="s">
        <v>180</v>
      </c>
      <c r="K5930" t="s">
        <v>25</v>
      </c>
      <c r="L5930">
        <v>132757294</v>
      </c>
      <c r="R5930">
        <v>9631</v>
      </c>
      <c r="S5930" t="s">
        <v>233</v>
      </c>
      <c r="T5930">
        <v>1</v>
      </c>
      <c r="U5930">
        <v>4</v>
      </c>
      <c r="V5930">
        <v>1.5250999999999999</v>
      </c>
      <c r="W5930">
        <v>1.5250999999999999</v>
      </c>
      <c r="X5930">
        <v>0</v>
      </c>
    </row>
    <row r="5931" spans="1:40" x14ac:dyDescent="0.25">
      <c r="A5931" t="s">
        <v>15</v>
      </c>
      <c r="B5931" t="s">
        <v>24</v>
      </c>
      <c r="C5931">
        <v>20150316</v>
      </c>
      <c r="D5931">
        <v>0</v>
      </c>
      <c r="F5931">
        <v>62500</v>
      </c>
      <c r="G5931" t="s">
        <v>17</v>
      </c>
      <c r="I5931" t="s">
        <v>16</v>
      </c>
      <c r="J5931" t="s">
        <v>180</v>
      </c>
      <c r="K5931" t="s">
        <v>25</v>
      </c>
      <c r="L5931">
        <v>132757294</v>
      </c>
      <c r="R5931">
        <v>9631</v>
      </c>
      <c r="S5931" t="s">
        <v>233</v>
      </c>
      <c r="T5931">
        <v>1</v>
      </c>
      <c r="U5931">
        <v>4</v>
      </c>
      <c r="V5931">
        <v>1.5250999999999999</v>
      </c>
      <c r="W5931">
        <v>1.5250999999999999</v>
      </c>
      <c r="X5931">
        <v>0</v>
      </c>
    </row>
    <row r="5932" spans="1:40" x14ac:dyDescent="0.25">
      <c r="A5932" t="s">
        <v>15</v>
      </c>
      <c r="B5932" t="s">
        <v>24</v>
      </c>
      <c r="C5932">
        <v>20150316</v>
      </c>
      <c r="D5932">
        <v>0</v>
      </c>
      <c r="F5932">
        <v>62500</v>
      </c>
      <c r="G5932" t="s">
        <v>17</v>
      </c>
      <c r="I5932" t="s">
        <v>16</v>
      </c>
      <c r="J5932" t="s">
        <v>180</v>
      </c>
      <c r="K5932" t="s">
        <v>25</v>
      </c>
      <c r="L5932">
        <v>132757294</v>
      </c>
      <c r="R5932">
        <v>9631</v>
      </c>
      <c r="S5932" t="s">
        <v>223</v>
      </c>
      <c r="T5932">
        <v>1</v>
      </c>
      <c r="U5932">
        <v>4</v>
      </c>
      <c r="V5932">
        <v>1.5250999999999999</v>
      </c>
      <c r="W5932">
        <v>1.5250999999999999</v>
      </c>
      <c r="X5932">
        <v>0</v>
      </c>
    </row>
    <row r="5933" spans="1:40" x14ac:dyDescent="0.25">
      <c r="A5933" t="s">
        <v>15</v>
      </c>
      <c r="B5933" t="s">
        <v>24</v>
      </c>
      <c r="C5933">
        <v>20150316</v>
      </c>
      <c r="D5933">
        <v>0</v>
      </c>
      <c r="F5933">
        <v>62500</v>
      </c>
      <c r="G5933" t="s">
        <v>17</v>
      </c>
      <c r="I5933" t="s">
        <v>16</v>
      </c>
      <c r="J5933" t="s">
        <v>180</v>
      </c>
      <c r="K5933" t="s">
        <v>25</v>
      </c>
      <c r="L5933">
        <v>132757294</v>
      </c>
      <c r="R5933">
        <v>9631</v>
      </c>
      <c r="S5933" t="s">
        <v>224</v>
      </c>
      <c r="T5933">
        <v>1</v>
      </c>
      <c r="U5933">
        <v>4</v>
      </c>
      <c r="V5933">
        <v>1.5250999999999999</v>
      </c>
      <c r="W5933">
        <v>1.5250999999999999</v>
      </c>
      <c r="X5933">
        <v>0</v>
      </c>
    </row>
    <row r="5934" spans="1:40" x14ac:dyDescent="0.25">
      <c r="A5934" t="s">
        <v>15</v>
      </c>
      <c r="B5934" t="s">
        <v>24</v>
      </c>
      <c r="C5934">
        <v>20150316</v>
      </c>
      <c r="D5934">
        <v>0</v>
      </c>
      <c r="F5934">
        <v>62500</v>
      </c>
      <c r="G5934" t="s">
        <v>17</v>
      </c>
      <c r="I5934" t="s">
        <v>16</v>
      </c>
      <c r="J5934" t="s">
        <v>180</v>
      </c>
      <c r="K5934" t="s">
        <v>25</v>
      </c>
      <c r="L5934">
        <v>132757294</v>
      </c>
      <c r="R5934">
        <v>9632</v>
      </c>
      <c r="S5934" t="s">
        <v>232</v>
      </c>
      <c r="T5934">
        <v>0</v>
      </c>
      <c r="U5934">
        <v>5</v>
      </c>
      <c r="V5934">
        <v>0</v>
      </c>
      <c r="W5934">
        <v>0</v>
      </c>
      <c r="X5934">
        <v>0</v>
      </c>
    </row>
    <row r="5935" spans="1:40" x14ac:dyDescent="0.25">
      <c r="A5935" t="s">
        <v>15</v>
      </c>
      <c r="B5935" t="s">
        <v>24</v>
      </c>
      <c r="C5935">
        <v>20150316</v>
      </c>
      <c r="D5935">
        <v>0</v>
      </c>
      <c r="F5935">
        <v>62500</v>
      </c>
      <c r="G5935" t="s">
        <v>17</v>
      </c>
      <c r="I5935" t="s">
        <v>16</v>
      </c>
      <c r="J5935" t="s">
        <v>180</v>
      </c>
      <c r="K5935" t="s">
        <v>25</v>
      </c>
      <c r="L5935">
        <v>132757294</v>
      </c>
      <c r="R5935">
        <v>9632</v>
      </c>
      <c r="S5935" t="s">
        <v>232</v>
      </c>
      <c r="T5935">
        <v>0</v>
      </c>
      <c r="U5935">
        <v>-5</v>
      </c>
      <c r="V5935">
        <v>0</v>
      </c>
      <c r="W5935">
        <v>0</v>
      </c>
      <c r="X5935">
        <v>0</v>
      </c>
      <c r="Y5935">
        <v>9632</v>
      </c>
      <c r="Z5935" t="s">
        <v>392</v>
      </c>
      <c r="AA5935" t="s">
        <v>393</v>
      </c>
      <c r="AB5935" t="s">
        <v>234</v>
      </c>
      <c r="AC5935" t="s">
        <v>17</v>
      </c>
      <c r="AD5935" t="s">
        <v>235</v>
      </c>
      <c r="AE5935">
        <v>5</v>
      </c>
      <c r="AF5935">
        <v>5</v>
      </c>
      <c r="AG5935">
        <v>1.5253000000000001</v>
      </c>
      <c r="AH5935">
        <v>1.5253000000000001</v>
      </c>
      <c r="AI5935">
        <v>415886665</v>
      </c>
      <c r="AJ5935">
        <v>0</v>
      </c>
      <c r="AK5935">
        <v>7</v>
      </c>
      <c r="AN5935">
        <v>0</v>
      </c>
    </row>
    <row r="5936" spans="1:40" x14ac:dyDescent="0.25">
      <c r="A5936" t="s">
        <v>15</v>
      </c>
      <c r="B5936" t="s">
        <v>24</v>
      </c>
      <c r="C5936">
        <v>20150316</v>
      </c>
      <c r="D5936">
        <v>0</v>
      </c>
      <c r="F5936">
        <v>62500</v>
      </c>
      <c r="G5936" t="s">
        <v>17</v>
      </c>
      <c r="I5936" t="s">
        <v>16</v>
      </c>
      <c r="J5936" t="s">
        <v>180</v>
      </c>
      <c r="K5936" t="s">
        <v>25</v>
      </c>
      <c r="L5936">
        <v>132757294</v>
      </c>
      <c r="R5936">
        <v>9632</v>
      </c>
      <c r="S5936" t="s">
        <v>232</v>
      </c>
      <c r="T5936">
        <v>0</v>
      </c>
      <c r="U5936">
        <v>-5</v>
      </c>
      <c r="V5936">
        <v>0</v>
      </c>
      <c r="W5936">
        <v>0</v>
      </c>
      <c r="X5936">
        <v>0</v>
      </c>
    </row>
    <row r="5937" spans="1:24" x14ac:dyDescent="0.25">
      <c r="A5937" t="s">
        <v>15</v>
      </c>
      <c r="B5937" t="s">
        <v>24</v>
      </c>
      <c r="C5937">
        <v>20150316</v>
      </c>
      <c r="D5937">
        <v>0</v>
      </c>
      <c r="F5937">
        <v>62500</v>
      </c>
      <c r="G5937" t="s">
        <v>17</v>
      </c>
      <c r="I5937" t="s">
        <v>16</v>
      </c>
      <c r="J5937" t="s">
        <v>180</v>
      </c>
      <c r="K5937" t="s">
        <v>25</v>
      </c>
      <c r="L5937">
        <v>132757294</v>
      </c>
      <c r="R5937">
        <v>9632</v>
      </c>
      <c r="S5937" t="s">
        <v>37</v>
      </c>
      <c r="T5937">
        <v>5</v>
      </c>
      <c r="U5937">
        <v>0</v>
      </c>
      <c r="V5937">
        <v>1.5253000000000001</v>
      </c>
      <c r="W5937">
        <v>1.5253000000000001</v>
      </c>
      <c r="X5937">
        <v>0</v>
      </c>
    </row>
    <row r="5938" spans="1:24" x14ac:dyDescent="0.25">
      <c r="A5938" t="s">
        <v>15</v>
      </c>
      <c r="B5938" t="s">
        <v>24</v>
      </c>
      <c r="C5938">
        <v>20150316</v>
      </c>
      <c r="D5938">
        <v>0</v>
      </c>
      <c r="F5938">
        <v>62500</v>
      </c>
      <c r="G5938" t="s">
        <v>17</v>
      </c>
      <c r="I5938" t="s">
        <v>16</v>
      </c>
      <c r="J5938" t="s">
        <v>180</v>
      </c>
      <c r="K5938" t="s">
        <v>25</v>
      </c>
      <c r="L5938">
        <v>132757294</v>
      </c>
      <c r="R5938">
        <v>9632</v>
      </c>
      <c r="S5938" t="s">
        <v>37</v>
      </c>
      <c r="T5938">
        <v>5</v>
      </c>
      <c r="U5938">
        <v>0</v>
      </c>
      <c r="V5938">
        <v>1.5253000000000001</v>
      </c>
      <c r="W5938">
        <v>1.5253000000000001</v>
      </c>
      <c r="X5938">
        <v>0</v>
      </c>
    </row>
    <row r="5939" spans="1:24" x14ac:dyDescent="0.25">
      <c r="A5939" t="s">
        <v>15</v>
      </c>
      <c r="B5939" t="s">
        <v>24</v>
      </c>
      <c r="C5939">
        <v>20150316</v>
      </c>
      <c r="D5939">
        <v>0</v>
      </c>
      <c r="F5939">
        <v>62500</v>
      </c>
      <c r="G5939" t="s">
        <v>17</v>
      </c>
      <c r="I5939" t="s">
        <v>16</v>
      </c>
      <c r="J5939" t="s">
        <v>180</v>
      </c>
      <c r="K5939" t="s">
        <v>25</v>
      </c>
      <c r="L5939">
        <v>132757294</v>
      </c>
      <c r="R5939">
        <v>9633</v>
      </c>
      <c r="S5939" t="s">
        <v>232</v>
      </c>
      <c r="T5939">
        <v>0</v>
      </c>
      <c r="U5939">
        <v>5</v>
      </c>
      <c r="V5939">
        <v>0</v>
      </c>
      <c r="W5939">
        <v>0</v>
      </c>
      <c r="X5939">
        <v>0</v>
      </c>
    </row>
    <row r="5940" spans="1:24" x14ac:dyDescent="0.25">
      <c r="A5940" t="s">
        <v>15</v>
      </c>
      <c r="B5940" t="s">
        <v>24</v>
      </c>
      <c r="C5940">
        <v>20150316</v>
      </c>
      <c r="D5940">
        <v>0</v>
      </c>
      <c r="F5940">
        <v>62500</v>
      </c>
      <c r="G5940" t="s">
        <v>17</v>
      </c>
      <c r="I5940" t="s">
        <v>16</v>
      </c>
      <c r="J5940" t="s">
        <v>180</v>
      </c>
      <c r="K5940" t="s">
        <v>25</v>
      </c>
      <c r="L5940">
        <v>132757294</v>
      </c>
      <c r="R5940">
        <v>9632</v>
      </c>
      <c r="S5940" t="s">
        <v>37</v>
      </c>
      <c r="T5940">
        <v>5</v>
      </c>
      <c r="U5940">
        <v>0</v>
      </c>
      <c r="V5940">
        <v>1.5253000000000001</v>
      </c>
      <c r="W5940">
        <v>1.5253000000000001</v>
      </c>
      <c r="X5940">
        <v>0</v>
      </c>
    </row>
    <row r="5941" spans="1:24" x14ac:dyDescent="0.25">
      <c r="A5941" t="s">
        <v>15</v>
      </c>
      <c r="B5941" t="s">
        <v>24</v>
      </c>
      <c r="C5941">
        <v>20150316</v>
      </c>
      <c r="D5941">
        <v>0</v>
      </c>
      <c r="F5941">
        <v>62500</v>
      </c>
      <c r="G5941" t="s">
        <v>17</v>
      </c>
      <c r="I5941" t="s">
        <v>16</v>
      </c>
      <c r="J5941" t="s">
        <v>180</v>
      </c>
      <c r="K5941" t="s">
        <v>25</v>
      </c>
      <c r="L5941">
        <v>132757294</v>
      </c>
      <c r="R5941">
        <v>9632</v>
      </c>
      <c r="S5941" t="s">
        <v>37</v>
      </c>
      <c r="T5941">
        <v>5</v>
      </c>
      <c r="U5941">
        <v>0</v>
      </c>
      <c r="V5941">
        <v>1.5253000000000001</v>
      </c>
      <c r="W5941">
        <v>1.5253000000000001</v>
      </c>
      <c r="X5941">
        <v>0</v>
      </c>
    </row>
    <row r="5942" spans="1:24" x14ac:dyDescent="0.25">
      <c r="A5942" t="s">
        <v>15</v>
      </c>
      <c r="B5942" t="s">
        <v>24</v>
      </c>
      <c r="C5942">
        <v>20150316</v>
      </c>
      <c r="D5942">
        <v>0</v>
      </c>
      <c r="F5942">
        <v>62500</v>
      </c>
      <c r="G5942" t="s">
        <v>17</v>
      </c>
      <c r="I5942" t="s">
        <v>16</v>
      </c>
      <c r="J5942" t="s">
        <v>180</v>
      </c>
      <c r="K5942" t="s">
        <v>25</v>
      </c>
      <c r="L5942">
        <v>132757294</v>
      </c>
      <c r="R5942">
        <v>9632</v>
      </c>
      <c r="S5942" t="s">
        <v>37</v>
      </c>
      <c r="T5942">
        <v>5</v>
      </c>
      <c r="U5942">
        <v>0</v>
      </c>
      <c r="V5942">
        <v>1.5253000000000001</v>
      </c>
      <c r="W5942">
        <v>1.5253000000000001</v>
      </c>
      <c r="X5942">
        <v>0</v>
      </c>
    </row>
    <row r="5943" spans="1:24" x14ac:dyDescent="0.25">
      <c r="A5943" t="s">
        <v>15</v>
      </c>
      <c r="B5943" t="s">
        <v>24</v>
      </c>
      <c r="C5943">
        <v>20150316</v>
      </c>
      <c r="D5943">
        <v>0</v>
      </c>
      <c r="F5943">
        <v>62500</v>
      </c>
      <c r="G5943" t="s">
        <v>17</v>
      </c>
      <c r="I5943" t="s">
        <v>16</v>
      </c>
      <c r="J5943" t="s">
        <v>180</v>
      </c>
      <c r="K5943" t="s">
        <v>25</v>
      </c>
      <c r="L5943">
        <v>132757294</v>
      </c>
      <c r="R5943">
        <v>9632</v>
      </c>
      <c r="S5943" t="s">
        <v>37</v>
      </c>
      <c r="T5943">
        <v>5</v>
      </c>
      <c r="U5943">
        <v>0</v>
      </c>
      <c r="V5943">
        <v>1.5253000000000001</v>
      </c>
      <c r="W5943">
        <v>1.5253000000000001</v>
      </c>
      <c r="X5943">
        <v>0</v>
      </c>
    </row>
    <row r="5944" spans="1:24" x14ac:dyDescent="0.25">
      <c r="A5944" t="s">
        <v>15</v>
      </c>
      <c r="B5944" t="s">
        <v>24</v>
      </c>
      <c r="C5944">
        <v>20150316</v>
      </c>
      <c r="D5944">
        <v>0</v>
      </c>
      <c r="F5944">
        <v>62500</v>
      </c>
      <c r="G5944" t="s">
        <v>17</v>
      </c>
      <c r="I5944" t="s">
        <v>16</v>
      </c>
      <c r="J5944" t="s">
        <v>180</v>
      </c>
      <c r="K5944" t="s">
        <v>25</v>
      </c>
      <c r="L5944">
        <v>132757294</v>
      </c>
      <c r="R5944">
        <v>9632</v>
      </c>
      <c r="S5944" t="s">
        <v>37</v>
      </c>
      <c r="T5944">
        <v>5</v>
      </c>
      <c r="U5944">
        <v>0</v>
      </c>
      <c r="V5944">
        <v>1.5253000000000001</v>
      </c>
      <c r="W5944">
        <v>1.5253000000000001</v>
      </c>
      <c r="X5944">
        <v>0</v>
      </c>
    </row>
    <row r="5945" spans="1:24" x14ac:dyDescent="0.25">
      <c r="A5945" t="s">
        <v>15</v>
      </c>
      <c r="B5945" t="s">
        <v>24</v>
      </c>
      <c r="C5945">
        <v>20150316</v>
      </c>
      <c r="D5945">
        <v>0</v>
      </c>
      <c r="F5945">
        <v>62500</v>
      </c>
      <c r="G5945" t="s">
        <v>17</v>
      </c>
      <c r="I5945" t="s">
        <v>16</v>
      </c>
      <c r="J5945" t="s">
        <v>180</v>
      </c>
      <c r="K5945" t="s">
        <v>25</v>
      </c>
      <c r="L5945">
        <v>132757294</v>
      </c>
      <c r="R5945">
        <v>9632</v>
      </c>
      <c r="S5945" t="s">
        <v>37</v>
      </c>
      <c r="T5945">
        <v>5</v>
      </c>
      <c r="U5945">
        <v>0</v>
      </c>
      <c r="V5945">
        <v>1.5253000000000001</v>
      </c>
      <c r="W5945">
        <v>1.5253000000000001</v>
      </c>
      <c r="X5945">
        <v>0</v>
      </c>
    </row>
    <row r="5946" spans="1:24" x14ac:dyDescent="0.25">
      <c r="A5946" t="s">
        <v>15</v>
      </c>
      <c r="B5946" t="s">
        <v>24</v>
      </c>
      <c r="C5946">
        <v>20150316</v>
      </c>
      <c r="D5946">
        <v>0</v>
      </c>
      <c r="F5946">
        <v>62500</v>
      </c>
      <c r="G5946" t="s">
        <v>17</v>
      </c>
      <c r="I5946" t="s">
        <v>16</v>
      </c>
      <c r="J5946" t="s">
        <v>180</v>
      </c>
      <c r="K5946" t="s">
        <v>25</v>
      </c>
      <c r="L5946">
        <v>132757294</v>
      </c>
      <c r="R5946">
        <v>9633</v>
      </c>
      <c r="S5946" t="s">
        <v>232</v>
      </c>
      <c r="T5946">
        <v>0</v>
      </c>
      <c r="U5946">
        <v>5</v>
      </c>
      <c r="V5946">
        <v>0</v>
      </c>
      <c r="W5946">
        <v>0</v>
      </c>
      <c r="X5946">
        <v>0</v>
      </c>
    </row>
    <row r="5947" spans="1:24" x14ac:dyDescent="0.25">
      <c r="A5947" t="s">
        <v>15</v>
      </c>
      <c r="B5947" t="s">
        <v>24</v>
      </c>
      <c r="C5947">
        <v>20150316</v>
      </c>
      <c r="D5947">
        <v>0</v>
      </c>
      <c r="F5947">
        <v>62500</v>
      </c>
      <c r="G5947" t="s">
        <v>17</v>
      </c>
      <c r="I5947" t="s">
        <v>16</v>
      </c>
      <c r="J5947" t="s">
        <v>180</v>
      </c>
      <c r="K5947" t="s">
        <v>25</v>
      </c>
      <c r="L5947">
        <v>132757294</v>
      </c>
      <c r="R5947">
        <v>9633</v>
      </c>
      <c r="S5947" t="s">
        <v>233</v>
      </c>
      <c r="T5947">
        <v>0</v>
      </c>
      <c r="U5947">
        <v>5</v>
      </c>
      <c r="V5947">
        <v>0</v>
      </c>
      <c r="W5947">
        <v>0</v>
      </c>
      <c r="X5947">
        <v>0</v>
      </c>
    </row>
    <row r="5948" spans="1:24" x14ac:dyDescent="0.25">
      <c r="A5948" t="s">
        <v>15</v>
      </c>
      <c r="B5948" t="s">
        <v>24</v>
      </c>
      <c r="C5948">
        <v>20150316</v>
      </c>
      <c r="D5948">
        <v>0</v>
      </c>
      <c r="F5948">
        <v>62500</v>
      </c>
      <c r="G5948" t="s">
        <v>17</v>
      </c>
      <c r="I5948" t="s">
        <v>16</v>
      </c>
      <c r="J5948" t="s">
        <v>180</v>
      </c>
      <c r="K5948" t="s">
        <v>25</v>
      </c>
      <c r="L5948">
        <v>132757294</v>
      </c>
      <c r="R5948">
        <v>9634</v>
      </c>
      <c r="S5948" t="s">
        <v>232</v>
      </c>
      <c r="T5948">
        <v>0</v>
      </c>
      <c r="U5948">
        <v>26</v>
      </c>
      <c r="V5948">
        <v>0</v>
      </c>
      <c r="W5948">
        <v>0</v>
      </c>
      <c r="X5948">
        <v>0</v>
      </c>
    </row>
    <row r="5949" spans="1:24" x14ac:dyDescent="0.25">
      <c r="A5949" t="s">
        <v>15</v>
      </c>
      <c r="B5949" t="s">
        <v>24</v>
      </c>
      <c r="C5949">
        <v>20150316</v>
      </c>
      <c r="D5949">
        <v>0</v>
      </c>
      <c r="F5949">
        <v>62500</v>
      </c>
      <c r="G5949" t="s">
        <v>17</v>
      </c>
      <c r="I5949" t="s">
        <v>16</v>
      </c>
      <c r="J5949" t="s">
        <v>180</v>
      </c>
      <c r="K5949" t="s">
        <v>25</v>
      </c>
      <c r="L5949">
        <v>132757294</v>
      </c>
      <c r="R5949">
        <v>9627</v>
      </c>
      <c r="S5949" t="s">
        <v>223</v>
      </c>
      <c r="T5949">
        <v>0</v>
      </c>
      <c r="U5949">
        <v>31</v>
      </c>
      <c r="V5949">
        <v>0</v>
      </c>
      <c r="W5949">
        <v>0</v>
      </c>
      <c r="X5949">
        <v>0</v>
      </c>
    </row>
    <row r="5950" spans="1:24" x14ac:dyDescent="0.25">
      <c r="A5950" t="s">
        <v>15</v>
      </c>
      <c r="B5950" t="s">
        <v>24</v>
      </c>
      <c r="C5950">
        <v>20150316</v>
      </c>
      <c r="D5950">
        <v>0</v>
      </c>
      <c r="F5950">
        <v>62500</v>
      </c>
      <c r="G5950" t="s">
        <v>17</v>
      </c>
      <c r="I5950" t="s">
        <v>16</v>
      </c>
      <c r="J5950" t="s">
        <v>180</v>
      </c>
      <c r="K5950" t="s">
        <v>25</v>
      </c>
      <c r="L5950">
        <v>132757294</v>
      </c>
      <c r="R5950">
        <v>9627</v>
      </c>
      <c r="S5950" t="s">
        <v>224</v>
      </c>
      <c r="T5950">
        <v>0</v>
      </c>
      <c r="U5950">
        <v>31</v>
      </c>
      <c r="V5950">
        <v>0</v>
      </c>
      <c r="W5950">
        <v>0</v>
      </c>
      <c r="X5950">
        <v>0</v>
      </c>
    </row>
    <row r="5951" spans="1:24" x14ac:dyDescent="0.25">
      <c r="A5951" t="s">
        <v>15</v>
      </c>
      <c r="B5951" t="s">
        <v>24</v>
      </c>
      <c r="C5951">
        <v>20150316</v>
      </c>
      <c r="D5951">
        <v>0</v>
      </c>
      <c r="F5951">
        <v>62500</v>
      </c>
      <c r="G5951" t="s">
        <v>17</v>
      </c>
      <c r="I5951" t="s">
        <v>16</v>
      </c>
      <c r="J5951" t="s">
        <v>180</v>
      </c>
      <c r="K5951" t="s">
        <v>25</v>
      </c>
      <c r="L5951">
        <v>132757294</v>
      </c>
      <c r="R5951">
        <v>9628</v>
      </c>
      <c r="S5951" t="s">
        <v>223</v>
      </c>
      <c r="T5951">
        <v>0</v>
      </c>
      <c r="U5951">
        <v>31</v>
      </c>
      <c r="V5951">
        <v>0</v>
      </c>
      <c r="W5951">
        <v>0</v>
      </c>
      <c r="X5951">
        <v>0</v>
      </c>
    </row>
    <row r="5952" spans="1:24" x14ac:dyDescent="0.25">
      <c r="A5952" t="s">
        <v>15</v>
      </c>
      <c r="B5952" t="s">
        <v>24</v>
      </c>
      <c r="C5952">
        <v>20150316</v>
      </c>
      <c r="D5952">
        <v>0</v>
      </c>
      <c r="F5952">
        <v>62500</v>
      </c>
      <c r="G5952" t="s">
        <v>17</v>
      </c>
      <c r="I5952" t="s">
        <v>16</v>
      </c>
      <c r="J5952" t="s">
        <v>180</v>
      </c>
      <c r="K5952" t="s">
        <v>25</v>
      </c>
      <c r="L5952">
        <v>132757294</v>
      </c>
      <c r="R5952">
        <v>9628</v>
      </c>
      <c r="S5952" t="s">
        <v>224</v>
      </c>
      <c r="T5952">
        <v>0</v>
      </c>
      <c r="U5952">
        <v>31</v>
      </c>
      <c r="V5952">
        <v>0</v>
      </c>
      <c r="W5952">
        <v>0</v>
      </c>
      <c r="X5952">
        <v>0</v>
      </c>
    </row>
    <row r="5953" spans="1:40" x14ac:dyDescent="0.25">
      <c r="A5953" t="s">
        <v>15</v>
      </c>
      <c r="B5953" t="s">
        <v>24</v>
      </c>
      <c r="C5953">
        <v>20150316</v>
      </c>
      <c r="D5953">
        <v>0</v>
      </c>
      <c r="F5953">
        <v>62500</v>
      </c>
      <c r="G5953" t="s">
        <v>17</v>
      </c>
      <c r="I5953" t="s">
        <v>16</v>
      </c>
      <c r="J5953" t="s">
        <v>180</v>
      </c>
      <c r="K5953" t="s">
        <v>25</v>
      </c>
      <c r="L5953">
        <v>132757294</v>
      </c>
      <c r="R5953">
        <v>9634</v>
      </c>
      <c r="S5953" t="s">
        <v>232</v>
      </c>
      <c r="T5953">
        <v>0</v>
      </c>
      <c r="U5953">
        <v>26</v>
      </c>
      <c r="V5953">
        <v>0</v>
      </c>
      <c r="W5953">
        <v>0</v>
      </c>
      <c r="X5953">
        <v>0</v>
      </c>
    </row>
    <row r="5954" spans="1:40" x14ac:dyDescent="0.25">
      <c r="A5954" t="s">
        <v>15</v>
      </c>
      <c r="B5954" t="s">
        <v>24</v>
      </c>
      <c r="C5954">
        <v>20150316</v>
      </c>
      <c r="D5954">
        <v>0</v>
      </c>
      <c r="F5954">
        <v>62500</v>
      </c>
      <c r="G5954" t="s">
        <v>17</v>
      </c>
      <c r="I5954" t="s">
        <v>16</v>
      </c>
      <c r="J5954" t="s">
        <v>180</v>
      </c>
      <c r="K5954" t="s">
        <v>25</v>
      </c>
      <c r="L5954">
        <v>132757294</v>
      </c>
      <c r="R5954">
        <v>9634</v>
      </c>
      <c r="S5954" t="s">
        <v>192</v>
      </c>
      <c r="T5954">
        <v>0</v>
      </c>
      <c r="U5954">
        <v>26</v>
      </c>
      <c r="V5954">
        <v>0</v>
      </c>
      <c r="W5954">
        <v>0</v>
      </c>
      <c r="X5954">
        <v>0</v>
      </c>
    </row>
    <row r="5955" spans="1:40" x14ac:dyDescent="0.25">
      <c r="A5955" t="s">
        <v>15</v>
      </c>
      <c r="B5955" t="s">
        <v>24</v>
      </c>
      <c r="C5955">
        <v>20150316</v>
      </c>
      <c r="D5955">
        <v>0</v>
      </c>
      <c r="F5955">
        <v>62500</v>
      </c>
      <c r="G5955" t="s">
        <v>17</v>
      </c>
      <c r="I5955" t="s">
        <v>16</v>
      </c>
      <c r="J5955" t="s">
        <v>180</v>
      </c>
      <c r="K5955" t="s">
        <v>25</v>
      </c>
      <c r="L5955">
        <v>132757294</v>
      </c>
      <c r="R5955">
        <v>9633</v>
      </c>
      <c r="S5955" t="s">
        <v>233</v>
      </c>
      <c r="T5955">
        <v>0</v>
      </c>
      <c r="U5955">
        <v>3</v>
      </c>
      <c r="V5955">
        <v>0</v>
      </c>
      <c r="W5955">
        <v>0</v>
      </c>
      <c r="X5955">
        <v>0</v>
      </c>
      <c r="Y5955">
        <v>9633</v>
      </c>
      <c r="Z5955" t="s">
        <v>394</v>
      </c>
      <c r="AA5955" t="s">
        <v>395</v>
      </c>
      <c r="AB5955" t="s">
        <v>234</v>
      </c>
      <c r="AC5955" t="s">
        <v>17</v>
      </c>
      <c r="AD5955" t="s">
        <v>235</v>
      </c>
      <c r="AE5955">
        <v>1</v>
      </c>
      <c r="AF5955">
        <v>1</v>
      </c>
      <c r="AG5955">
        <v>1.5250999999999999</v>
      </c>
      <c r="AH5955">
        <v>1.5250999999999999</v>
      </c>
      <c r="AI5955">
        <v>415886666</v>
      </c>
      <c r="AJ5955">
        <v>0</v>
      </c>
      <c r="AK5955">
        <v>7</v>
      </c>
      <c r="AN5955">
        <v>0</v>
      </c>
    </row>
    <row r="5956" spans="1:40" x14ac:dyDescent="0.25">
      <c r="A5956" t="s">
        <v>15</v>
      </c>
      <c r="B5956" t="s">
        <v>24</v>
      </c>
      <c r="C5956">
        <v>20150316</v>
      </c>
      <c r="D5956">
        <v>0</v>
      </c>
      <c r="F5956">
        <v>62500</v>
      </c>
      <c r="G5956" t="s">
        <v>17</v>
      </c>
      <c r="I5956" t="s">
        <v>16</v>
      </c>
      <c r="J5956" t="s">
        <v>180</v>
      </c>
      <c r="K5956" t="s">
        <v>25</v>
      </c>
      <c r="L5956">
        <v>132757294</v>
      </c>
      <c r="R5956">
        <v>9633</v>
      </c>
      <c r="S5956" t="s">
        <v>233</v>
      </c>
      <c r="T5956">
        <v>0</v>
      </c>
      <c r="U5956">
        <v>3</v>
      </c>
      <c r="V5956">
        <v>0</v>
      </c>
      <c r="W5956">
        <v>0</v>
      </c>
      <c r="X5956">
        <v>0</v>
      </c>
    </row>
    <row r="5957" spans="1:40" x14ac:dyDescent="0.25">
      <c r="A5957" t="s">
        <v>15</v>
      </c>
      <c r="B5957" t="s">
        <v>24</v>
      </c>
      <c r="C5957">
        <v>20150316</v>
      </c>
      <c r="D5957">
        <v>0</v>
      </c>
      <c r="F5957">
        <v>62500</v>
      </c>
      <c r="G5957" t="s">
        <v>17</v>
      </c>
      <c r="I5957" t="s">
        <v>16</v>
      </c>
      <c r="J5957" t="s">
        <v>180</v>
      </c>
      <c r="K5957" t="s">
        <v>25</v>
      </c>
      <c r="L5957">
        <v>132757294</v>
      </c>
      <c r="R5957">
        <v>9633</v>
      </c>
      <c r="S5957" t="s">
        <v>233</v>
      </c>
      <c r="T5957">
        <v>1</v>
      </c>
      <c r="U5957">
        <v>4</v>
      </c>
      <c r="V5957">
        <v>1.5250999999999999</v>
      </c>
      <c r="W5957">
        <v>1.5250999999999999</v>
      </c>
      <c r="X5957">
        <v>0</v>
      </c>
    </row>
    <row r="5958" spans="1:40" x14ac:dyDescent="0.25">
      <c r="A5958" t="s">
        <v>15</v>
      </c>
      <c r="B5958" t="s">
        <v>24</v>
      </c>
      <c r="C5958">
        <v>20150316</v>
      </c>
      <c r="D5958">
        <v>0</v>
      </c>
      <c r="F5958">
        <v>62500</v>
      </c>
      <c r="G5958" t="s">
        <v>17</v>
      </c>
      <c r="I5958" t="s">
        <v>16</v>
      </c>
      <c r="J5958" t="s">
        <v>180</v>
      </c>
      <c r="K5958" t="s">
        <v>25</v>
      </c>
      <c r="L5958">
        <v>132757294</v>
      </c>
      <c r="R5958">
        <v>9635</v>
      </c>
      <c r="S5958" t="s">
        <v>232</v>
      </c>
      <c r="T5958">
        <v>0</v>
      </c>
      <c r="U5958">
        <v>-26</v>
      </c>
      <c r="V5958">
        <v>0</v>
      </c>
      <c r="W5958">
        <v>0</v>
      </c>
      <c r="X5958">
        <v>0</v>
      </c>
    </row>
    <row r="5959" spans="1:40" x14ac:dyDescent="0.25">
      <c r="A5959" t="s">
        <v>15</v>
      </c>
      <c r="B5959" t="s">
        <v>24</v>
      </c>
      <c r="C5959">
        <v>20150316</v>
      </c>
      <c r="D5959">
        <v>0</v>
      </c>
      <c r="F5959">
        <v>62500</v>
      </c>
      <c r="G5959" t="s">
        <v>17</v>
      </c>
      <c r="I5959" t="s">
        <v>16</v>
      </c>
      <c r="J5959" t="s">
        <v>180</v>
      </c>
      <c r="K5959" t="s">
        <v>25</v>
      </c>
      <c r="L5959">
        <v>132757294</v>
      </c>
      <c r="R5959">
        <v>9633</v>
      </c>
      <c r="S5959" t="s">
        <v>233</v>
      </c>
      <c r="T5959">
        <v>1</v>
      </c>
      <c r="U5959">
        <v>4</v>
      </c>
      <c r="V5959">
        <v>1.5250999999999999</v>
      </c>
      <c r="W5959">
        <v>1.5250999999999999</v>
      </c>
      <c r="X5959">
        <v>0</v>
      </c>
    </row>
    <row r="5960" spans="1:40" x14ac:dyDescent="0.25">
      <c r="A5960" t="s">
        <v>15</v>
      </c>
      <c r="B5960" t="s">
        <v>24</v>
      </c>
      <c r="C5960">
        <v>20150316</v>
      </c>
      <c r="D5960">
        <v>0</v>
      </c>
      <c r="F5960">
        <v>62500</v>
      </c>
      <c r="G5960" t="s">
        <v>17</v>
      </c>
      <c r="I5960" t="s">
        <v>16</v>
      </c>
      <c r="J5960" t="s">
        <v>180</v>
      </c>
      <c r="K5960" t="s">
        <v>25</v>
      </c>
      <c r="L5960">
        <v>132757294</v>
      </c>
      <c r="R5960">
        <v>9633</v>
      </c>
      <c r="S5960" t="s">
        <v>233</v>
      </c>
      <c r="T5960">
        <v>1</v>
      </c>
      <c r="U5960">
        <v>4</v>
      </c>
      <c r="V5960">
        <v>1.5250999999999999</v>
      </c>
      <c r="W5960">
        <v>1.5250999999999999</v>
      </c>
      <c r="X5960">
        <v>0</v>
      </c>
    </row>
    <row r="5961" spans="1:40" x14ac:dyDescent="0.25">
      <c r="A5961" t="s">
        <v>15</v>
      </c>
      <c r="B5961" t="s">
        <v>24</v>
      </c>
      <c r="C5961">
        <v>20150316</v>
      </c>
      <c r="D5961">
        <v>0</v>
      </c>
      <c r="F5961">
        <v>62500</v>
      </c>
      <c r="G5961" t="s">
        <v>17</v>
      </c>
      <c r="I5961" t="s">
        <v>16</v>
      </c>
      <c r="J5961" t="s">
        <v>180</v>
      </c>
      <c r="K5961" t="s">
        <v>25</v>
      </c>
      <c r="L5961">
        <v>132757294</v>
      </c>
      <c r="R5961">
        <v>9635</v>
      </c>
      <c r="S5961" t="s">
        <v>232</v>
      </c>
      <c r="T5961">
        <v>0</v>
      </c>
      <c r="U5961">
        <v>-26</v>
      </c>
      <c r="V5961">
        <v>0</v>
      </c>
      <c r="W5961">
        <v>0</v>
      </c>
      <c r="X5961">
        <v>0</v>
      </c>
    </row>
    <row r="5962" spans="1:40" x14ac:dyDescent="0.25">
      <c r="A5962" t="s">
        <v>15</v>
      </c>
      <c r="B5962" t="s">
        <v>24</v>
      </c>
      <c r="C5962">
        <v>20150316</v>
      </c>
      <c r="D5962">
        <v>0</v>
      </c>
      <c r="F5962">
        <v>62500</v>
      </c>
      <c r="G5962" t="s">
        <v>17</v>
      </c>
      <c r="I5962" t="s">
        <v>16</v>
      </c>
      <c r="J5962" t="s">
        <v>180</v>
      </c>
      <c r="K5962" t="s">
        <v>25</v>
      </c>
      <c r="L5962">
        <v>132757294</v>
      </c>
      <c r="R5962">
        <v>9635</v>
      </c>
      <c r="S5962" t="s">
        <v>192</v>
      </c>
      <c r="T5962">
        <v>0</v>
      </c>
      <c r="U5962">
        <v>26</v>
      </c>
      <c r="V5962">
        <v>0</v>
      </c>
      <c r="W5962">
        <v>0</v>
      </c>
      <c r="X5962">
        <v>0</v>
      </c>
    </row>
    <row r="5963" spans="1:40" x14ac:dyDescent="0.25">
      <c r="A5963" t="s">
        <v>15</v>
      </c>
      <c r="B5963" t="s">
        <v>24</v>
      </c>
      <c r="C5963">
        <v>20150316</v>
      </c>
      <c r="D5963">
        <v>0</v>
      </c>
      <c r="F5963">
        <v>62500</v>
      </c>
      <c r="G5963" t="s">
        <v>17</v>
      </c>
      <c r="I5963" t="s">
        <v>16</v>
      </c>
      <c r="J5963" t="s">
        <v>180</v>
      </c>
      <c r="K5963" t="s">
        <v>25</v>
      </c>
      <c r="L5963">
        <v>132757294</v>
      </c>
      <c r="R5963">
        <v>9633</v>
      </c>
      <c r="S5963" t="s">
        <v>233</v>
      </c>
      <c r="T5963">
        <v>1</v>
      </c>
      <c r="U5963">
        <v>0</v>
      </c>
      <c r="V5963">
        <v>1.5250999999999999</v>
      </c>
      <c r="W5963">
        <v>1.5250999999999999</v>
      </c>
      <c r="X5963">
        <v>0</v>
      </c>
      <c r="Y5963">
        <v>9633</v>
      </c>
      <c r="Z5963" t="s">
        <v>396</v>
      </c>
      <c r="AA5963" t="s">
        <v>397</v>
      </c>
      <c r="AB5963" t="s">
        <v>234</v>
      </c>
      <c r="AC5963" t="s">
        <v>17</v>
      </c>
      <c r="AD5963" t="s">
        <v>235</v>
      </c>
      <c r="AE5963">
        <v>2</v>
      </c>
      <c r="AF5963">
        <v>3</v>
      </c>
      <c r="AG5963">
        <v>1.5250999999999999</v>
      </c>
      <c r="AH5963">
        <v>1.5250999999999999</v>
      </c>
      <c r="AI5963">
        <v>415886666</v>
      </c>
      <c r="AJ5963">
        <v>0</v>
      </c>
      <c r="AK5963">
        <v>7</v>
      </c>
      <c r="AN5963">
        <v>0</v>
      </c>
    </row>
    <row r="5964" spans="1:40" x14ac:dyDescent="0.25">
      <c r="A5964" t="s">
        <v>15</v>
      </c>
      <c r="B5964" t="s">
        <v>24</v>
      </c>
      <c r="C5964">
        <v>20150316</v>
      </c>
      <c r="D5964">
        <v>0</v>
      </c>
      <c r="F5964">
        <v>62500</v>
      </c>
      <c r="G5964" t="s">
        <v>17</v>
      </c>
      <c r="I5964" t="s">
        <v>16</v>
      </c>
      <c r="J5964" t="s">
        <v>180</v>
      </c>
      <c r="K5964" t="s">
        <v>25</v>
      </c>
      <c r="L5964">
        <v>132757294</v>
      </c>
      <c r="R5964">
        <v>9633</v>
      </c>
      <c r="S5964" t="s">
        <v>233</v>
      </c>
      <c r="T5964">
        <v>1</v>
      </c>
      <c r="U5964">
        <v>0</v>
      </c>
      <c r="V5964">
        <v>1.5250999999999999</v>
      </c>
      <c r="W5964">
        <v>1.5250999999999999</v>
      </c>
      <c r="X5964">
        <v>0</v>
      </c>
    </row>
    <row r="5965" spans="1:40" x14ac:dyDescent="0.25">
      <c r="A5965" t="s">
        <v>15</v>
      </c>
      <c r="B5965" t="s">
        <v>24</v>
      </c>
      <c r="C5965">
        <v>20150316</v>
      </c>
      <c r="D5965">
        <v>0</v>
      </c>
      <c r="F5965">
        <v>62500</v>
      </c>
      <c r="G5965" t="s">
        <v>17</v>
      </c>
      <c r="I5965" t="s">
        <v>16</v>
      </c>
      <c r="J5965" t="s">
        <v>180</v>
      </c>
      <c r="K5965" t="s">
        <v>25</v>
      </c>
      <c r="L5965">
        <v>132757294</v>
      </c>
      <c r="R5965">
        <v>9633</v>
      </c>
      <c r="S5965" t="s">
        <v>233</v>
      </c>
      <c r="T5965">
        <v>3</v>
      </c>
      <c r="U5965">
        <v>2</v>
      </c>
      <c r="V5965">
        <v>1.5250999999999999</v>
      </c>
      <c r="W5965">
        <v>1.5250999999999999</v>
      </c>
      <c r="X5965">
        <v>0</v>
      </c>
    </row>
    <row r="5966" spans="1:40" x14ac:dyDescent="0.25">
      <c r="A5966" t="s">
        <v>15</v>
      </c>
      <c r="B5966" t="s">
        <v>24</v>
      </c>
      <c r="C5966">
        <v>20150316</v>
      </c>
      <c r="D5966">
        <v>0</v>
      </c>
      <c r="F5966">
        <v>62500</v>
      </c>
      <c r="G5966" t="s">
        <v>17</v>
      </c>
      <c r="I5966" t="s">
        <v>16</v>
      </c>
      <c r="J5966" t="s">
        <v>180</v>
      </c>
      <c r="K5966" t="s">
        <v>25</v>
      </c>
      <c r="L5966">
        <v>132757294</v>
      </c>
      <c r="R5966">
        <v>9633</v>
      </c>
      <c r="S5966" t="s">
        <v>233</v>
      </c>
      <c r="T5966">
        <v>3</v>
      </c>
      <c r="U5966">
        <v>2</v>
      </c>
      <c r="V5966">
        <v>1.5250999999999999</v>
      </c>
      <c r="W5966">
        <v>1.5250999999999999</v>
      </c>
      <c r="X5966">
        <v>0</v>
      </c>
    </row>
    <row r="5967" spans="1:40" x14ac:dyDescent="0.25">
      <c r="A5967" t="s">
        <v>15</v>
      </c>
      <c r="B5967" t="s">
        <v>24</v>
      </c>
      <c r="C5967">
        <v>20150316</v>
      </c>
      <c r="D5967">
        <v>0</v>
      </c>
      <c r="F5967">
        <v>62500</v>
      </c>
      <c r="G5967" t="s">
        <v>17</v>
      </c>
      <c r="I5967" t="s">
        <v>16</v>
      </c>
      <c r="J5967" t="s">
        <v>180</v>
      </c>
      <c r="K5967" t="s">
        <v>25</v>
      </c>
      <c r="L5967">
        <v>132757294</v>
      </c>
      <c r="R5967">
        <v>9633</v>
      </c>
      <c r="S5967" t="s">
        <v>233</v>
      </c>
      <c r="T5967">
        <v>3</v>
      </c>
      <c r="U5967">
        <v>2</v>
      </c>
      <c r="V5967">
        <v>1.5250999999999999</v>
      </c>
      <c r="W5967">
        <v>1.5250999999999999</v>
      </c>
      <c r="X5967">
        <v>0</v>
      </c>
    </row>
    <row r="5968" spans="1:40" x14ac:dyDescent="0.25">
      <c r="A5968" t="s">
        <v>15</v>
      </c>
      <c r="B5968" t="s">
        <v>24</v>
      </c>
      <c r="C5968">
        <v>20150316</v>
      </c>
      <c r="D5968">
        <v>0</v>
      </c>
      <c r="F5968">
        <v>62500</v>
      </c>
      <c r="G5968" t="s">
        <v>17</v>
      </c>
      <c r="I5968" t="s">
        <v>16</v>
      </c>
      <c r="J5968" t="s">
        <v>180</v>
      </c>
      <c r="K5968" t="s">
        <v>25</v>
      </c>
      <c r="L5968">
        <v>132757294</v>
      </c>
      <c r="R5968">
        <v>9633</v>
      </c>
      <c r="S5968" t="s">
        <v>233</v>
      </c>
      <c r="T5968">
        <v>3</v>
      </c>
      <c r="U5968">
        <v>0</v>
      </c>
      <c r="V5968">
        <v>1.5250999999999999</v>
      </c>
      <c r="W5968">
        <v>1.5250999999999999</v>
      </c>
      <c r="X5968">
        <v>0</v>
      </c>
      <c r="Y5968">
        <v>9633</v>
      </c>
      <c r="Z5968" t="s">
        <v>398</v>
      </c>
      <c r="AA5968" t="s">
        <v>399</v>
      </c>
      <c r="AB5968" t="s">
        <v>234</v>
      </c>
      <c r="AC5968" t="s">
        <v>17</v>
      </c>
      <c r="AD5968" t="s">
        <v>235</v>
      </c>
      <c r="AE5968">
        <v>1</v>
      </c>
      <c r="AF5968">
        <v>4</v>
      </c>
      <c r="AG5968">
        <v>1.5250999999999999</v>
      </c>
      <c r="AH5968">
        <v>1.5250999999999999</v>
      </c>
      <c r="AI5968">
        <v>415886666</v>
      </c>
      <c r="AJ5968">
        <v>0</v>
      </c>
      <c r="AK5968">
        <v>7</v>
      </c>
      <c r="AN5968">
        <v>0</v>
      </c>
    </row>
    <row r="5969" spans="1:40" x14ac:dyDescent="0.25">
      <c r="A5969" t="s">
        <v>15</v>
      </c>
      <c r="B5969" t="s">
        <v>24</v>
      </c>
      <c r="C5969">
        <v>20150316</v>
      </c>
      <c r="D5969">
        <v>0</v>
      </c>
      <c r="F5969">
        <v>62500</v>
      </c>
      <c r="G5969" t="s">
        <v>17</v>
      </c>
      <c r="I5969" t="s">
        <v>16</v>
      </c>
      <c r="J5969" t="s">
        <v>180</v>
      </c>
      <c r="K5969" t="s">
        <v>25</v>
      </c>
      <c r="L5969">
        <v>132757294</v>
      </c>
      <c r="R5969">
        <v>9633</v>
      </c>
      <c r="S5969" t="s">
        <v>233</v>
      </c>
      <c r="T5969">
        <v>3</v>
      </c>
      <c r="U5969">
        <v>0</v>
      </c>
      <c r="V5969">
        <v>1.5250999999999999</v>
      </c>
      <c r="W5969">
        <v>1.5250999999999999</v>
      </c>
      <c r="X5969">
        <v>0</v>
      </c>
    </row>
    <row r="5970" spans="1:40" x14ac:dyDescent="0.25">
      <c r="A5970" t="s">
        <v>15</v>
      </c>
      <c r="B5970" t="s">
        <v>24</v>
      </c>
      <c r="C5970">
        <v>20150316</v>
      </c>
      <c r="D5970">
        <v>0</v>
      </c>
      <c r="F5970">
        <v>62500</v>
      </c>
      <c r="G5970" t="s">
        <v>17</v>
      </c>
      <c r="I5970" t="s">
        <v>16</v>
      </c>
      <c r="J5970" t="s">
        <v>180</v>
      </c>
      <c r="K5970" t="s">
        <v>25</v>
      </c>
      <c r="L5970">
        <v>132757294</v>
      </c>
      <c r="R5970">
        <v>9633</v>
      </c>
      <c r="S5970" t="s">
        <v>233</v>
      </c>
      <c r="T5970">
        <v>4</v>
      </c>
      <c r="U5970">
        <v>1</v>
      </c>
      <c r="V5970">
        <v>1.5250999999999999</v>
      </c>
      <c r="W5970">
        <v>1.5250999999999999</v>
      </c>
      <c r="X5970">
        <v>0</v>
      </c>
    </row>
    <row r="5971" spans="1:40" x14ac:dyDescent="0.25">
      <c r="A5971" t="s">
        <v>15</v>
      </c>
      <c r="B5971" t="s">
        <v>24</v>
      </c>
      <c r="C5971">
        <v>20150316</v>
      </c>
      <c r="D5971">
        <v>0</v>
      </c>
      <c r="F5971">
        <v>62500</v>
      </c>
      <c r="G5971" t="s">
        <v>17</v>
      </c>
      <c r="I5971" t="s">
        <v>16</v>
      </c>
      <c r="J5971" t="s">
        <v>180</v>
      </c>
      <c r="K5971" t="s">
        <v>25</v>
      </c>
      <c r="L5971">
        <v>132757294</v>
      </c>
      <c r="R5971">
        <v>9633</v>
      </c>
      <c r="S5971" t="s">
        <v>233</v>
      </c>
      <c r="T5971">
        <v>4</v>
      </c>
      <c r="U5971">
        <v>1</v>
      </c>
      <c r="V5971">
        <v>1.5250999999999999</v>
      </c>
      <c r="W5971">
        <v>1.5250999999999999</v>
      </c>
      <c r="X5971">
        <v>0</v>
      </c>
    </row>
    <row r="5972" spans="1:40" x14ac:dyDescent="0.25">
      <c r="A5972" t="s">
        <v>15</v>
      </c>
      <c r="B5972" t="s">
        <v>24</v>
      </c>
      <c r="C5972">
        <v>20150316</v>
      </c>
      <c r="D5972">
        <v>0</v>
      </c>
      <c r="F5972">
        <v>62500</v>
      </c>
      <c r="G5972" t="s">
        <v>17</v>
      </c>
      <c r="I5972" t="s">
        <v>16</v>
      </c>
      <c r="J5972" t="s">
        <v>180</v>
      </c>
      <c r="K5972" t="s">
        <v>25</v>
      </c>
      <c r="L5972">
        <v>132757294</v>
      </c>
      <c r="R5972">
        <v>9633</v>
      </c>
      <c r="S5972" t="s">
        <v>233</v>
      </c>
      <c r="T5972">
        <v>4</v>
      </c>
      <c r="U5972">
        <v>1</v>
      </c>
      <c r="V5972">
        <v>1.5250999999999999</v>
      </c>
      <c r="W5972">
        <v>1.5250999999999999</v>
      </c>
      <c r="X5972">
        <v>0</v>
      </c>
    </row>
    <row r="5973" spans="1:40" x14ac:dyDescent="0.25">
      <c r="A5973" t="s">
        <v>15</v>
      </c>
      <c r="B5973" t="s">
        <v>24</v>
      </c>
      <c r="C5973">
        <v>20150316</v>
      </c>
      <c r="D5973">
        <v>0</v>
      </c>
      <c r="F5973">
        <v>62500</v>
      </c>
      <c r="G5973" t="s">
        <v>17</v>
      </c>
      <c r="I5973" t="s">
        <v>16</v>
      </c>
      <c r="J5973" t="s">
        <v>180</v>
      </c>
      <c r="K5973" t="s">
        <v>25</v>
      </c>
      <c r="L5973">
        <v>132757294</v>
      </c>
      <c r="R5973">
        <v>9636</v>
      </c>
      <c r="S5973" t="s">
        <v>232</v>
      </c>
      <c r="T5973">
        <v>0</v>
      </c>
      <c r="U5973">
        <v>22</v>
      </c>
      <c r="V5973">
        <v>0</v>
      </c>
      <c r="W5973">
        <v>0</v>
      </c>
      <c r="X5973">
        <v>0</v>
      </c>
    </row>
    <row r="5974" spans="1:40" x14ac:dyDescent="0.25">
      <c r="A5974" t="s">
        <v>15</v>
      </c>
      <c r="B5974" t="s">
        <v>24</v>
      </c>
      <c r="C5974">
        <v>20150316</v>
      </c>
      <c r="D5974">
        <v>0</v>
      </c>
      <c r="F5974">
        <v>62500</v>
      </c>
      <c r="G5974" t="s">
        <v>17</v>
      </c>
      <c r="I5974" t="s">
        <v>16</v>
      </c>
      <c r="J5974" t="s">
        <v>180</v>
      </c>
      <c r="K5974" t="s">
        <v>25</v>
      </c>
      <c r="L5974">
        <v>132757294</v>
      </c>
      <c r="R5974">
        <v>9633</v>
      </c>
      <c r="S5974" t="s">
        <v>233</v>
      </c>
      <c r="T5974">
        <v>4</v>
      </c>
      <c r="U5974">
        <v>-1</v>
      </c>
      <c r="V5974">
        <v>1.5250999999999999</v>
      </c>
      <c r="W5974">
        <v>1.5250999999999999</v>
      </c>
      <c r="X5974">
        <v>0</v>
      </c>
      <c r="Y5974">
        <v>9633</v>
      </c>
      <c r="Z5974" t="s">
        <v>400</v>
      </c>
      <c r="AA5974" t="s">
        <v>401</v>
      </c>
      <c r="AB5974" t="s">
        <v>234</v>
      </c>
      <c r="AC5974" t="s">
        <v>17</v>
      </c>
      <c r="AD5974" t="s">
        <v>235</v>
      </c>
      <c r="AE5974">
        <v>1</v>
      </c>
      <c r="AF5974">
        <v>5</v>
      </c>
      <c r="AG5974">
        <v>1.5250999999999999</v>
      </c>
      <c r="AH5974">
        <v>1.5250999999999999</v>
      </c>
      <c r="AI5974">
        <v>415886666</v>
      </c>
      <c r="AJ5974">
        <v>0</v>
      </c>
      <c r="AK5974">
        <v>7</v>
      </c>
      <c r="AN5974">
        <v>0</v>
      </c>
    </row>
    <row r="5975" spans="1:40" x14ac:dyDescent="0.25">
      <c r="A5975" t="s">
        <v>15</v>
      </c>
      <c r="B5975" t="s">
        <v>24</v>
      </c>
      <c r="C5975">
        <v>20150316</v>
      </c>
      <c r="D5975">
        <v>0</v>
      </c>
      <c r="F5975">
        <v>62500</v>
      </c>
      <c r="G5975" t="s">
        <v>17</v>
      </c>
      <c r="I5975" t="s">
        <v>16</v>
      </c>
      <c r="J5975" t="s">
        <v>180</v>
      </c>
      <c r="K5975" t="s">
        <v>25</v>
      </c>
      <c r="L5975">
        <v>132757294</v>
      </c>
      <c r="R5975">
        <v>9633</v>
      </c>
      <c r="S5975" t="s">
        <v>233</v>
      </c>
      <c r="T5975">
        <v>4</v>
      </c>
      <c r="U5975">
        <v>-1</v>
      </c>
      <c r="V5975">
        <v>1.5250999999999999</v>
      </c>
      <c r="W5975">
        <v>1.5250999999999999</v>
      </c>
      <c r="X5975">
        <v>0</v>
      </c>
    </row>
    <row r="5976" spans="1:40" x14ac:dyDescent="0.25">
      <c r="A5976" t="s">
        <v>15</v>
      </c>
      <c r="B5976" t="s">
        <v>24</v>
      </c>
      <c r="C5976">
        <v>20150316</v>
      </c>
      <c r="D5976">
        <v>0</v>
      </c>
      <c r="F5976">
        <v>62500</v>
      </c>
      <c r="G5976" t="s">
        <v>17</v>
      </c>
      <c r="I5976" t="s">
        <v>16</v>
      </c>
      <c r="J5976" t="s">
        <v>180</v>
      </c>
      <c r="K5976" t="s">
        <v>25</v>
      </c>
      <c r="L5976">
        <v>132757294</v>
      </c>
      <c r="R5976">
        <v>9633</v>
      </c>
      <c r="S5976" t="s">
        <v>37</v>
      </c>
      <c r="T5976">
        <v>5</v>
      </c>
      <c r="U5976">
        <v>0</v>
      </c>
      <c r="V5976">
        <v>1.5250999999999999</v>
      </c>
      <c r="W5976">
        <v>1.5250999999999999</v>
      </c>
      <c r="X5976">
        <v>0</v>
      </c>
    </row>
    <row r="5977" spans="1:40" x14ac:dyDescent="0.25">
      <c r="A5977" t="s">
        <v>15</v>
      </c>
      <c r="B5977" t="s">
        <v>24</v>
      </c>
      <c r="C5977">
        <v>20150316</v>
      </c>
      <c r="D5977">
        <v>0</v>
      </c>
      <c r="F5977">
        <v>62500</v>
      </c>
      <c r="G5977" t="s">
        <v>17</v>
      </c>
      <c r="I5977" t="s">
        <v>16</v>
      </c>
      <c r="J5977" t="s">
        <v>180</v>
      </c>
      <c r="K5977" t="s">
        <v>25</v>
      </c>
      <c r="L5977">
        <v>132757294</v>
      </c>
      <c r="R5977">
        <v>9633</v>
      </c>
      <c r="S5977" t="s">
        <v>37</v>
      </c>
      <c r="T5977">
        <v>5</v>
      </c>
      <c r="U5977">
        <v>0</v>
      </c>
      <c r="V5977">
        <v>1.5250999999999999</v>
      </c>
      <c r="W5977">
        <v>1.5250999999999999</v>
      </c>
      <c r="X5977">
        <v>0</v>
      </c>
    </row>
    <row r="5978" spans="1:40" x14ac:dyDescent="0.25">
      <c r="A5978" t="s">
        <v>15</v>
      </c>
      <c r="B5978" t="s">
        <v>24</v>
      </c>
      <c r="C5978">
        <v>20150316</v>
      </c>
      <c r="D5978">
        <v>0</v>
      </c>
      <c r="F5978">
        <v>62500</v>
      </c>
      <c r="G5978" t="s">
        <v>17</v>
      </c>
      <c r="I5978" t="s">
        <v>16</v>
      </c>
      <c r="J5978" t="s">
        <v>180</v>
      </c>
      <c r="K5978" t="s">
        <v>25</v>
      </c>
      <c r="L5978">
        <v>132757294</v>
      </c>
      <c r="R5978">
        <v>9633</v>
      </c>
      <c r="S5978" t="s">
        <v>37</v>
      </c>
      <c r="T5978">
        <v>5</v>
      </c>
      <c r="U5978">
        <v>0</v>
      </c>
      <c r="V5978">
        <v>1.5250999999999999</v>
      </c>
      <c r="W5978">
        <v>1.5250999999999999</v>
      </c>
      <c r="X5978">
        <v>0</v>
      </c>
    </row>
    <row r="5979" spans="1:40" x14ac:dyDescent="0.25">
      <c r="A5979" t="s">
        <v>15</v>
      </c>
      <c r="B5979" t="s">
        <v>24</v>
      </c>
      <c r="C5979">
        <v>20150316</v>
      </c>
      <c r="D5979">
        <v>0</v>
      </c>
      <c r="F5979">
        <v>62500</v>
      </c>
      <c r="G5979" t="s">
        <v>17</v>
      </c>
      <c r="I5979" t="s">
        <v>16</v>
      </c>
      <c r="J5979" t="s">
        <v>180</v>
      </c>
      <c r="K5979" t="s">
        <v>25</v>
      </c>
      <c r="L5979">
        <v>132757294</v>
      </c>
      <c r="R5979">
        <v>9633</v>
      </c>
      <c r="S5979" t="s">
        <v>37</v>
      </c>
      <c r="T5979">
        <v>5</v>
      </c>
      <c r="U5979">
        <v>0</v>
      </c>
      <c r="V5979">
        <v>1.5250999999999999</v>
      </c>
      <c r="W5979">
        <v>1.5250999999999999</v>
      </c>
      <c r="X5979">
        <v>0</v>
      </c>
    </row>
    <row r="5980" spans="1:40" x14ac:dyDescent="0.25">
      <c r="A5980" t="s">
        <v>15</v>
      </c>
      <c r="B5980" t="s">
        <v>24</v>
      </c>
      <c r="C5980">
        <v>20150316</v>
      </c>
      <c r="D5980">
        <v>0</v>
      </c>
      <c r="F5980">
        <v>62500</v>
      </c>
      <c r="G5980" t="s">
        <v>17</v>
      </c>
      <c r="I5980" t="s">
        <v>16</v>
      </c>
      <c r="J5980" t="s">
        <v>180</v>
      </c>
      <c r="K5980" t="s">
        <v>25</v>
      </c>
      <c r="L5980">
        <v>132757294</v>
      </c>
      <c r="R5980">
        <v>9633</v>
      </c>
      <c r="S5980" t="s">
        <v>37</v>
      </c>
      <c r="T5980">
        <v>5</v>
      </c>
      <c r="U5980">
        <v>0</v>
      </c>
      <c r="V5980">
        <v>1.5250999999999999</v>
      </c>
      <c r="W5980">
        <v>1.5250999999999999</v>
      </c>
      <c r="X5980">
        <v>0</v>
      </c>
    </row>
    <row r="5981" spans="1:40" x14ac:dyDescent="0.25">
      <c r="A5981" t="s">
        <v>15</v>
      </c>
      <c r="B5981" t="s">
        <v>24</v>
      </c>
      <c r="C5981">
        <v>20150316</v>
      </c>
      <c r="D5981">
        <v>0</v>
      </c>
      <c r="F5981">
        <v>62500</v>
      </c>
      <c r="G5981" t="s">
        <v>17</v>
      </c>
      <c r="I5981" t="s">
        <v>16</v>
      </c>
      <c r="J5981" t="s">
        <v>180</v>
      </c>
      <c r="K5981" t="s">
        <v>25</v>
      </c>
      <c r="L5981">
        <v>132757294</v>
      </c>
      <c r="R5981">
        <v>9634</v>
      </c>
      <c r="S5981" t="s">
        <v>223</v>
      </c>
      <c r="T5981">
        <v>0</v>
      </c>
      <c r="U5981">
        <v>26</v>
      </c>
      <c r="V5981">
        <v>0</v>
      </c>
      <c r="W5981">
        <v>0</v>
      </c>
      <c r="X5981">
        <v>0</v>
      </c>
    </row>
    <row r="5982" spans="1:40" x14ac:dyDescent="0.25">
      <c r="A5982" t="s">
        <v>15</v>
      </c>
      <c r="B5982" t="s">
        <v>24</v>
      </c>
      <c r="C5982">
        <v>20150316</v>
      </c>
      <c r="D5982">
        <v>0</v>
      </c>
      <c r="F5982">
        <v>62500</v>
      </c>
      <c r="G5982" t="s">
        <v>17</v>
      </c>
      <c r="I5982" t="s">
        <v>16</v>
      </c>
      <c r="J5982" t="s">
        <v>180</v>
      </c>
      <c r="K5982" t="s">
        <v>25</v>
      </c>
      <c r="L5982">
        <v>132757294</v>
      </c>
      <c r="R5982">
        <v>9634</v>
      </c>
      <c r="S5982" t="s">
        <v>224</v>
      </c>
      <c r="T5982">
        <v>0</v>
      </c>
      <c r="U5982">
        <v>26</v>
      </c>
      <c r="V5982">
        <v>0</v>
      </c>
      <c r="W5982">
        <v>0</v>
      </c>
      <c r="X5982">
        <v>0</v>
      </c>
    </row>
    <row r="5983" spans="1:40" x14ac:dyDescent="0.25">
      <c r="A5983" t="s">
        <v>15</v>
      </c>
      <c r="B5983" t="s">
        <v>24</v>
      </c>
      <c r="C5983">
        <v>20150316</v>
      </c>
      <c r="D5983">
        <v>0</v>
      </c>
      <c r="F5983">
        <v>62500</v>
      </c>
      <c r="G5983" t="s">
        <v>17</v>
      </c>
      <c r="I5983" t="s">
        <v>16</v>
      </c>
      <c r="J5983" t="s">
        <v>180</v>
      </c>
      <c r="K5983" t="s">
        <v>25</v>
      </c>
      <c r="L5983">
        <v>132757294</v>
      </c>
      <c r="R5983">
        <v>9635</v>
      </c>
      <c r="S5983" t="s">
        <v>223</v>
      </c>
      <c r="T5983">
        <v>0</v>
      </c>
      <c r="U5983">
        <v>26</v>
      </c>
      <c r="V5983">
        <v>0</v>
      </c>
      <c r="W5983">
        <v>0</v>
      </c>
      <c r="X5983">
        <v>0</v>
      </c>
    </row>
    <row r="5984" spans="1:40" x14ac:dyDescent="0.25">
      <c r="A5984" t="s">
        <v>15</v>
      </c>
      <c r="B5984" t="s">
        <v>24</v>
      </c>
      <c r="C5984">
        <v>20150316</v>
      </c>
      <c r="D5984">
        <v>0</v>
      </c>
      <c r="F5984">
        <v>62500</v>
      </c>
      <c r="G5984" t="s">
        <v>17</v>
      </c>
      <c r="I5984" t="s">
        <v>16</v>
      </c>
      <c r="J5984" t="s">
        <v>180</v>
      </c>
      <c r="K5984" t="s">
        <v>25</v>
      </c>
      <c r="L5984">
        <v>132757294</v>
      </c>
      <c r="R5984">
        <v>9635</v>
      </c>
      <c r="S5984" t="s">
        <v>224</v>
      </c>
      <c r="T5984">
        <v>0</v>
      </c>
      <c r="U5984">
        <v>26</v>
      </c>
      <c r="V5984">
        <v>0</v>
      </c>
      <c r="W5984">
        <v>0</v>
      </c>
      <c r="X5984">
        <v>0</v>
      </c>
    </row>
    <row r="5985" spans="1:40" x14ac:dyDescent="0.25">
      <c r="A5985" t="s">
        <v>15</v>
      </c>
      <c r="B5985" t="s">
        <v>24</v>
      </c>
      <c r="C5985">
        <v>20150316</v>
      </c>
      <c r="D5985">
        <v>0</v>
      </c>
      <c r="F5985">
        <v>62500</v>
      </c>
      <c r="G5985" t="s">
        <v>17</v>
      </c>
      <c r="I5985" t="s">
        <v>16</v>
      </c>
      <c r="J5985" t="s">
        <v>180</v>
      </c>
      <c r="K5985" t="s">
        <v>25</v>
      </c>
      <c r="L5985">
        <v>132757294</v>
      </c>
      <c r="R5985">
        <v>9636</v>
      </c>
      <c r="S5985" t="s">
        <v>232</v>
      </c>
      <c r="T5985">
        <v>0</v>
      </c>
      <c r="U5985">
        <v>22</v>
      </c>
      <c r="V5985">
        <v>0</v>
      </c>
      <c r="W5985">
        <v>0</v>
      </c>
      <c r="X5985">
        <v>0</v>
      </c>
    </row>
    <row r="5986" spans="1:40" x14ac:dyDescent="0.25">
      <c r="A5986" t="s">
        <v>15</v>
      </c>
      <c r="B5986" t="s">
        <v>24</v>
      </c>
      <c r="C5986">
        <v>20150316</v>
      </c>
      <c r="D5986">
        <v>0</v>
      </c>
      <c r="F5986">
        <v>62500</v>
      </c>
      <c r="G5986" t="s">
        <v>17</v>
      </c>
      <c r="I5986" t="s">
        <v>16</v>
      </c>
      <c r="J5986" t="s">
        <v>180</v>
      </c>
      <c r="K5986" t="s">
        <v>25</v>
      </c>
      <c r="L5986">
        <v>132757294</v>
      </c>
      <c r="R5986">
        <v>9636</v>
      </c>
      <c r="S5986" t="s">
        <v>192</v>
      </c>
      <c r="T5986">
        <v>0</v>
      </c>
      <c r="U5986">
        <v>22</v>
      </c>
      <c r="V5986">
        <v>0</v>
      </c>
      <c r="W5986">
        <v>0</v>
      </c>
      <c r="X5986">
        <v>0</v>
      </c>
    </row>
    <row r="5987" spans="1:40" x14ac:dyDescent="0.25">
      <c r="A5987" t="s">
        <v>15</v>
      </c>
      <c r="B5987" t="s">
        <v>24</v>
      </c>
      <c r="C5987">
        <v>20150316</v>
      </c>
      <c r="D5987">
        <v>0</v>
      </c>
      <c r="F5987">
        <v>62500</v>
      </c>
      <c r="G5987" t="s">
        <v>17</v>
      </c>
      <c r="I5987" t="s">
        <v>16</v>
      </c>
      <c r="J5987" t="s">
        <v>180</v>
      </c>
      <c r="K5987" t="s">
        <v>25</v>
      </c>
      <c r="L5987">
        <v>132757294</v>
      </c>
      <c r="R5987">
        <v>9637</v>
      </c>
      <c r="S5987" t="s">
        <v>232</v>
      </c>
      <c r="T5987">
        <v>0</v>
      </c>
      <c r="U5987">
        <v>5</v>
      </c>
      <c r="V5987">
        <v>0</v>
      </c>
      <c r="W5987">
        <v>0</v>
      </c>
      <c r="X5987">
        <v>0</v>
      </c>
    </row>
    <row r="5988" spans="1:40" x14ac:dyDescent="0.25">
      <c r="A5988" t="s">
        <v>15</v>
      </c>
      <c r="B5988" t="s">
        <v>24</v>
      </c>
      <c r="C5988">
        <v>20150316</v>
      </c>
      <c r="D5988">
        <v>0</v>
      </c>
      <c r="F5988">
        <v>62500</v>
      </c>
      <c r="G5988" t="s">
        <v>17</v>
      </c>
      <c r="I5988" t="s">
        <v>16</v>
      </c>
      <c r="J5988" t="s">
        <v>180</v>
      </c>
      <c r="K5988" t="s">
        <v>25</v>
      </c>
      <c r="L5988">
        <v>132757294</v>
      </c>
      <c r="R5988">
        <v>9637</v>
      </c>
      <c r="S5988" t="s">
        <v>232</v>
      </c>
      <c r="T5988">
        <v>0</v>
      </c>
      <c r="U5988">
        <v>5</v>
      </c>
      <c r="V5988">
        <v>0</v>
      </c>
      <c r="W5988">
        <v>0</v>
      </c>
      <c r="X5988">
        <v>0</v>
      </c>
    </row>
    <row r="5989" spans="1:40" x14ac:dyDescent="0.25">
      <c r="A5989" t="s">
        <v>15</v>
      </c>
      <c r="B5989" t="s">
        <v>24</v>
      </c>
      <c r="C5989">
        <v>20150316</v>
      </c>
      <c r="D5989">
        <v>0</v>
      </c>
      <c r="F5989">
        <v>62500</v>
      </c>
      <c r="G5989" t="s">
        <v>17</v>
      </c>
      <c r="I5989" t="s">
        <v>16</v>
      </c>
      <c r="J5989" t="s">
        <v>180</v>
      </c>
      <c r="K5989" t="s">
        <v>25</v>
      </c>
      <c r="L5989">
        <v>132757294</v>
      </c>
      <c r="R5989">
        <v>9637</v>
      </c>
      <c r="S5989" t="s">
        <v>233</v>
      </c>
      <c r="T5989">
        <v>0</v>
      </c>
      <c r="U5989">
        <v>5</v>
      </c>
      <c r="V5989">
        <v>0</v>
      </c>
      <c r="W5989">
        <v>0</v>
      </c>
      <c r="X5989">
        <v>0</v>
      </c>
    </row>
    <row r="5990" spans="1:40" x14ac:dyDescent="0.25">
      <c r="A5990" t="s">
        <v>15</v>
      </c>
      <c r="B5990" t="s">
        <v>24</v>
      </c>
      <c r="C5990">
        <v>20150316</v>
      </c>
      <c r="D5990">
        <v>0</v>
      </c>
      <c r="F5990">
        <v>62500</v>
      </c>
      <c r="G5990" t="s">
        <v>17</v>
      </c>
      <c r="I5990" t="s">
        <v>16</v>
      </c>
      <c r="J5990" t="s">
        <v>180</v>
      </c>
      <c r="K5990" t="s">
        <v>25</v>
      </c>
      <c r="L5990">
        <v>132757294</v>
      </c>
      <c r="R5990">
        <v>9637</v>
      </c>
      <c r="S5990" t="s">
        <v>233</v>
      </c>
      <c r="T5990">
        <v>0</v>
      </c>
      <c r="U5990">
        <v>-1</v>
      </c>
      <c r="V5990">
        <v>0</v>
      </c>
      <c r="W5990">
        <v>0</v>
      </c>
      <c r="X5990">
        <v>0</v>
      </c>
      <c r="Y5990">
        <v>9637</v>
      </c>
      <c r="Z5990" t="s">
        <v>402</v>
      </c>
      <c r="AA5990" t="s">
        <v>403</v>
      </c>
      <c r="AB5990" t="s">
        <v>234</v>
      </c>
      <c r="AC5990" t="s">
        <v>17</v>
      </c>
      <c r="AD5990" t="s">
        <v>235</v>
      </c>
      <c r="AE5990">
        <v>3</v>
      </c>
      <c r="AF5990">
        <v>3</v>
      </c>
      <c r="AG5990">
        <v>1.5249999999999999</v>
      </c>
      <c r="AH5990">
        <v>1.5249999999999999</v>
      </c>
      <c r="AI5990">
        <v>415886670</v>
      </c>
      <c r="AJ5990">
        <v>0</v>
      </c>
      <c r="AK5990">
        <v>7</v>
      </c>
      <c r="AN5990">
        <v>0</v>
      </c>
    </row>
    <row r="5991" spans="1:40" x14ac:dyDescent="0.25">
      <c r="A5991" t="s">
        <v>15</v>
      </c>
      <c r="B5991" t="s">
        <v>24</v>
      </c>
      <c r="C5991">
        <v>20150316</v>
      </c>
      <c r="D5991">
        <v>0</v>
      </c>
      <c r="F5991">
        <v>62500</v>
      </c>
      <c r="G5991" t="s">
        <v>17</v>
      </c>
      <c r="I5991" t="s">
        <v>16</v>
      </c>
      <c r="J5991" t="s">
        <v>180</v>
      </c>
      <c r="K5991" t="s">
        <v>25</v>
      </c>
      <c r="L5991">
        <v>132757294</v>
      </c>
      <c r="R5991">
        <v>9637</v>
      </c>
      <c r="S5991" t="s">
        <v>233</v>
      </c>
      <c r="T5991">
        <v>0</v>
      </c>
      <c r="U5991">
        <v>-1</v>
      </c>
      <c r="V5991">
        <v>0</v>
      </c>
      <c r="W5991">
        <v>0</v>
      </c>
      <c r="X5991">
        <v>0</v>
      </c>
    </row>
    <row r="5992" spans="1:40" x14ac:dyDescent="0.25">
      <c r="A5992" t="s">
        <v>15</v>
      </c>
      <c r="B5992" t="s">
        <v>24</v>
      </c>
      <c r="C5992">
        <v>20150316</v>
      </c>
      <c r="D5992">
        <v>0</v>
      </c>
      <c r="F5992">
        <v>62500</v>
      </c>
      <c r="G5992" t="s">
        <v>17</v>
      </c>
      <c r="I5992" t="s">
        <v>16</v>
      </c>
      <c r="J5992" t="s">
        <v>180</v>
      </c>
      <c r="K5992" t="s">
        <v>25</v>
      </c>
      <c r="L5992">
        <v>132757294</v>
      </c>
      <c r="R5992">
        <v>9637</v>
      </c>
      <c r="S5992" t="s">
        <v>233</v>
      </c>
      <c r="T5992">
        <v>3</v>
      </c>
      <c r="U5992">
        <v>2</v>
      </c>
      <c r="V5992">
        <v>1.5249999999999999</v>
      </c>
      <c r="W5992">
        <v>1.5249999999999999</v>
      </c>
      <c r="X5992">
        <v>0</v>
      </c>
    </row>
    <row r="5993" spans="1:40" x14ac:dyDescent="0.25">
      <c r="A5993" t="s">
        <v>15</v>
      </c>
      <c r="B5993" t="s">
        <v>24</v>
      </c>
      <c r="C5993">
        <v>20150316</v>
      </c>
      <c r="D5993">
        <v>0</v>
      </c>
      <c r="F5993">
        <v>62500</v>
      </c>
      <c r="G5993" t="s">
        <v>17</v>
      </c>
      <c r="I5993" t="s">
        <v>16</v>
      </c>
      <c r="J5993" t="s">
        <v>180</v>
      </c>
      <c r="K5993" t="s">
        <v>25</v>
      </c>
      <c r="L5993">
        <v>132757294</v>
      </c>
      <c r="R5993">
        <v>9638</v>
      </c>
      <c r="S5993" t="s">
        <v>232</v>
      </c>
      <c r="T5993">
        <v>0</v>
      </c>
      <c r="U5993">
        <v>-22</v>
      </c>
      <c r="V5993">
        <v>0</v>
      </c>
      <c r="W5993">
        <v>0</v>
      </c>
      <c r="X5993">
        <v>0</v>
      </c>
    </row>
    <row r="5994" spans="1:40" x14ac:dyDescent="0.25">
      <c r="A5994" t="s">
        <v>15</v>
      </c>
      <c r="B5994" t="s">
        <v>24</v>
      </c>
      <c r="C5994">
        <v>20150316</v>
      </c>
      <c r="D5994">
        <v>0</v>
      </c>
      <c r="F5994">
        <v>62500</v>
      </c>
      <c r="G5994" t="s">
        <v>17</v>
      </c>
      <c r="I5994" t="s">
        <v>16</v>
      </c>
      <c r="J5994" t="s">
        <v>180</v>
      </c>
      <c r="K5994" t="s">
        <v>25</v>
      </c>
      <c r="L5994">
        <v>132757294</v>
      </c>
      <c r="R5994">
        <v>9637</v>
      </c>
      <c r="S5994" t="s">
        <v>233</v>
      </c>
      <c r="T5994">
        <v>3</v>
      </c>
      <c r="U5994">
        <v>2</v>
      </c>
      <c r="V5994">
        <v>1.5249999999999999</v>
      </c>
      <c r="W5994">
        <v>1.5249999999999999</v>
      </c>
      <c r="X5994">
        <v>0</v>
      </c>
    </row>
    <row r="5995" spans="1:40" x14ac:dyDescent="0.25">
      <c r="A5995" t="s">
        <v>15</v>
      </c>
      <c r="B5995" t="s">
        <v>24</v>
      </c>
      <c r="C5995">
        <v>20150316</v>
      </c>
      <c r="D5995">
        <v>0</v>
      </c>
      <c r="F5995">
        <v>62500</v>
      </c>
      <c r="G5995" t="s">
        <v>17</v>
      </c>
      <c r="I5995" t="s">
        <v>16</v>
      </c>
      <c r="J5995" t="s">
        <v>180</v>
      </c>
      <c r="K5995" t="s">
        <v>25</v>
      </c>
      <c r="L5995">
        <v>132757294</v>
      </c>
      <c r="R5995">
        <v>9637</v>
      </c>
      <c r="S5995" t="s">
        <v>233</v>
      </c>
      <c r="T5995">
        <v>3</v>
      </c>
      <c r="U5995">
        <v>2</v>
      </c>
      <c r="V5995">
        <v>1.5249999999999999</v>
      </c>
      <c r="W5995">
        <v>1.5249999999999999</v>
      </c>
      <c r="X5995">
        <v>0</v>
      </c>
    </row>
    <row r="5996" spans="1:40" x14ac:dyDescent="0.25">
      <c r="A5996" t="s">
        <v>15</v>
      </c>
      <c r="B5996" t="s">
        <v>24</v>
      </c>
      <c r="C5996">
        <v>20150316</v>
      </c>
      <c r="D5996">
        <v>0</v>
      </c>
      <c r="F5996">
        <v>62500</v>
      </c>
      <c r="G5996" t="s">
        <v>17</v>
      </c>
      <c r="I5996" t="s">
        <v>16</v>
      </c>
      <c r="J5996" t="s">
        <v>180</v>
      </c>
      <c r="K5996" t="s">
        <v>25</v>
      </c>
      <c r="L5996">
        <v>132757294</v>
      </c>
      <c r="R5996">
        <v>9637</v>
      </c>
      <c r="S5996" t="s">
        <v>233</v>
      </c>
      <c r="T5996">
        <v>3</v>
      </c>
      <c r="U5996">
        <v>-2</v>
      </c>
      <c r="V5996">
        <v>1.5249999999999999</v>
      </c>
      <c r="W5996">
        <v>1.5249999999999999</v>
      </c>
      <c r="X5996">
        <v>0</v>
      </c>
      <c r="Y5996">
        <v>9637</v>
      </c>
      <c r="Z5996" t="s">
        <v>404</v>
      </c>
      <c r="AA5996" t="s">
        <v>403</v>
      </c>
      <c r="AB5996" t="s">
        <v>234</v>
      </c>
      <c r="AC5996" t="s">
        <v>17</v>
      </c>
      <c r="AD5996" t="s">
        <v>235</v>
      </c>
      <c r="AE5996">
        <v>2</v>
      </c>
      <c r="AF5996">
        <v>5</v>
      </c>
      <c r="AG5996">
        <v>1.5249999999999999</v>
      </c>
      <c r="AH5996">
        <v>1.5249999999999999</v>
      </c>
      <c r="AI5996">
        <v>415886670</v>
      </c>
      <c r="AJ5996">
        <v>0</v>
      </c>
      <c r="AK5996">
        <v>7</v>
      </c>
      <c r="AN5996">
        <v>0</v>
      </c>
    </row>
    <row r="5997" spans="1:40" x14ac:dyDescent="0.25">
      <c r="A5997" t="s">
        <v>15</v>
      </c>
      <c r="B5997" t="s">
        <v>24</v>
      </c>
      <c r="C5997">
        <v>20150316</v>
      </c>
      <c r="D5997">
        <v>0</v>
      </c>
      <c r="F5997">
        <v>62500</v>
      </c>
      <c r="G5997" t="s">
        <v>17</v>
      </c>
      <c r="I5997" t="s">
        <v>16</v>
      </c>
      <c r="J5997" t="s">
        <v>180</v>
      </c>
      <c r="K5997" t="s">
        <v>25</v>
      </c>
      <c r="L5997">
        <v>132757294</v>
      </c>
      <c r="R5997">
        <v>9637</v>
      </c>
      <c r="S5997" t="s">
        <v>233</v>
      </c>
      <c r="T5997">
        <v>3</v>
      </c>
      <c r="U5997">
        <v>-2</v>
      </c>
      <c r="V5997">
        <v>1.5249999999999999</v>
      </c>
      <c r="W5997">
        <v>1.5249999999999999</v>
      </c>
      <c r="X5997">
        <v>0</v>
      </c>
    </row>
    <row r="5998" spans="1:40" x14ac:dyDescent="0.25">
      <c r="A5998" t="s">
        <v>15</v>
      </c>
      <c r="B5998" t="s">
        <v>24</v>
      </c>
      <c r="C5998">
        <v>20150316</v>
      </c>
      <c r="D5998">
        <v>0</v>
      </c>
      <c r="F5998">
        <v>62500</v>
      </c>
      <c r="G5998" t="s">
        <v>17</v>
      </c>
      <c r="I5998" t="s">
        <v>16</v>
      </c>
      <c r="J5998" t="s">
        <v>180</v>
      </c>
      <c r="K5998" t="s">
        <v>25</v>
      </c>
      <c r="L5998">
        <v>132757294</v>
      </c>
      <c r="R5998">
        <v>9637</v>
      </c>
      <c r="S5998" t="s">
        <v>37</v>
      </c>
      <c r="T5998">
        <v>5</v>
      </c>
      <c r="U5998">
        <v>0</v>
      </c>
      <c r="V5998">
        <v>1.5249999999999999</v>
      </c>
      <c r="W5998">
        <v>1.5249999999999999</v>
      </c>
      <c r="X5998">
        <v>0</v>
      </c>
    </row>
    <row r="5999" spans="1:40" x14ac:dyDescent="0.25">
      <c r="A5999" t="s">
        <v>15</v>
      </c>
      <c r="B5999" t="s">
        <v>24</v>
      </c>
      <c r="C5999">
        <v>20150316</v>
      </c>
      <c r="D5999">
        <v>0</v>
      </c>
      <c r="F5999">
        <v>62500</v>
      </c>
      <c r="G5999" t="s">
        <v>17</v>
      </c>
      <c r="I5999" t="s">
        <v>16</v>
      </c>
      <c r="J5999" t="s">
        <v>180</v>
      </c>
      <c r="K5999" t="s">
        <v>25</v>
      </c>
      <c r="L5999">
        <v>132757294</v>
      </c>
      <c r="R5999">
        <v>9637</v>
      </c>
      <c r="S5999" t="s">
        <v>37</v>
      </c>
      <c r="T5999">
        <v>5</v>
      </c>
      <c r="U5999">
        <v>0</v>
      </c>
      <c r="V5999">
        <v>1.5249999999999999</v>
      </c>
      <c r="W5999">
        <v>1.5249999999999999</v>
      </c>
      <c r="X5999">
        <v>0</v>
      </c>
    </row>
    <row r="6000" spans="1:40" x14ac:dyDescent="0.25">
      <c r="A6000" t="s">
        <v>15</v>
      </c>
      <c r="B6000" t="s">
        <v>24</v>
      </c>
      <c r="C6000">
        <v>20150316</v>
      </c>
      <c r="D6000">
        <v>0</v>
      </c>
      <c r="F6000">
        <v>62500</v>
      </c>
      <c r="G6000" t="s">
        <v>17</v>
      </c>
      <c r="I6000" t="s">
        <v>16</v>
      </c>
      <c r="J6000" t="s">
        <v>180</v>
      </c>
      <c r="K6000" t="s">
        <v>25</v>
      </c>
      <c r="L6000">
        <v>132757294</v>
      </c>
      <c r="R6000">
        <v>9637</v>
      </c>
      <c r="S6000" t="s">
        <v>37</v>
      </c>
      <c r="T6000">
        <v>5</v>
      </c>
      <c r="U6000">
        <v>0</v>
      </c>
      <c r="V6000">
        <v>1.5249999999999999</v>
      </c>
      <c r="W6000">
        <v>1.5249999999999999</v>
      </c>
      <c r="X6000">
        <v>0</v>
      </c>
    </row>
    <row r="6001" spans="1:40" x14ac:dyDescent="0.25">
      <c r="A6001" t="s">
        <v>15</v>
      </c>
      <c r="B6001" t="s">
        <v>24</v>
      </c>
      <c r="C6001">
        <v>20150316</v>
      </c>
      <c r="D6001">
        <v>0</v>
      </c>
      <c r="F6001">
        <v>62500</v>
      </c>
      <c r="G6001" t="s">
        <v>17</v>
      </c>
      <c r="I6001" t="s">
        <v>16</v>
      </c>
      <c r="J6001" t="s">
        <v>180</v>
      </c>
      <c r="K6001" t="s">
        <v>25</v>
      </c>
      <c r="L6001">
        <v>132757294</v>
      </c>
      <c r="R6001">
        <v>9637</v>
      </c>
      <c r="S6001" t="s">
        <v>37</v>
      </c>
      <c r="T6001">
        <v>5</v>
      </c>
      <c r="U6001">
        <v>0</v>
      </c>
      <c r="V6001">
        <v>1.5249999999999999</v>
      </c>
      <c r="W6001">
        <v>1.5249999999999999</v>
      </c>
      <c r="X6001">
        <v>0</v>
      </c>
    </row>
    <row r="6002" spans="1:40" x14ac:dyDescent="0.25">
      <c r="A6002" t="s">
        <v>15</v>
      </c>
      <c r="B6002" t="s">
        <v>24</v>
      </c>
      <c r="C6002">
        <v>20150316</v>
      </c>
      <c r="D6002">
        <v>0</v>
      </c>
      <c r="F6002">
        <v>62500</v>
      </c>
      <c r="G6002" t="s">
        <v>17</v>
      </c>
      <c r="I6002" t="s">
        <v>16</v>
      </c>
      <c r="J6002" t="s">
        <v>180</v>
      </c>
      <c r="K6002" t="s">
        <v>25</v>
      </c>
      <c r="L6002">
        <v>132757294</v>
      </c>
      <c r="R6002">
        <v>9637</v>
      </c>
      <c r="S6002" t="s">
        <v>37</v>
      </c>
      <c r="T6002">
        <v>5</v>
      </c>
      <c r="U6002">
        <v>0</v>
      </c>
      <c r="V6002">
        <v>1.5249999999999999</v>
      </c>
      <c r="W6002">
        <v>1.5249999999999999</v>
      </c>
      <c r="X6002">
        <v>0</v>
      </c>
    </row>
    <row r="6003" spans="1:40" x14ac:dyDescent="0.25">
      <c r="A6003" t="s">
        <v>15</v>
      </c>
      <c r="B6003" t="s">
        <v>24</v>
      </c>
      <c r="C6003">
        <v>20150316</v>
      </c>
      <c r="D6003">
        <v>0</v>
      </c>
      <c r="F6003">
        <v>62500</v>
      </c>
      <c r="G6003" t="s">
        <v>17</v>
      </c>
      <c r="I6003" t="s">
        <v>16</v>
      </c>
      <c r="J6003" t="s">
        <v>180</v>
      </c>
      <c r="K6003" t="s">
        <v>25</v>
      </c>
      <c r="L6003">
        <v>132757294</v>
      </c>
      <c r="R6003">
        <v>9638</v>
      </c>
      <c r="S6003" t="s">
        <v>232</v>
      </c>
      <c r="T6003">
        <v>0</v>
      </c>
      <c r="U6003">
        <v>-22</v>
      </c>
      <c r="V6003">
        <v>0</v>
      </c>
      <c r="W6003">
        <v>0</v>
      </c>
      <c r="X6003">
        <v>0</v>
      </c>
    </row>
    <row r="6004" spans="1:40" x14ac:dyDescent="0.25">
      <c r="A6004" t="s">
        <v>15</v>
      </c>
      <c r="B6004" t="s">
        <v>24</v>
      </c>
      <c r="C6004">
        <v>20150316</v>
      </c>
      <c r="D6004">
        <v>0</v>
      </c>
      <c r="F6004">
        <v>62500</v>
      </c>
      <c r="G6004" t="s">
        <v>17</v>
      </c>
      <c r="I6004" t="s">
        <v>16</v>
      </c>
      <c r="J6004" t="s">
        <v>180</v>
      </c>
      <c r="K6004" t="s">
        <v>25</v>
      </c>
      <c r="L6004">
        <v>132757294</v>
      </c>
      <c r="R6004">
        <v>9638</v>
      </c>
      <c r="S6004" t="s">
        <v>192</v>
      </c>
      <c r="T6004">
        <v>0</v>
      </c>
      <c r="U6004">
        <v>22</v>
      </c>
      <c r="V6004">
        <v>0</v>
      </c>
      <c r="W6004">
        <v>0</v>
      </c>
      <c r="X6004">
        <v>0</v>
      </c>
    </row>
    <row r="6005" spans="1:40" x14ac:dyDescent="0.25">
      <c r="A6005" t="s">
        <v>15</v>
      </c>
      <c r="B6005" t="s">
        <v>24</v>
      </c>
      <c r="C6005">
        <v>20150316</v>
      </c>
      <c r="D6005">
        <v>0</v>
      </c>
      <c r="F6005">
        <v>62500</v>
      </c>
      <c r="G6005" t="s">
        <v>17</v>
      </c>
      <c r="I6005" t="s">
        <v>16</v>
      </c>
      <c r="J6005" t="s">
        <v>180</v>
      </c>
      <c r="K6005" t="s">
        <v>25</v>
      </c>
      <c r="L6005">
        <v>132757294</v>
      </c>
      <c r="R6005">
        <v>9639</v>
      </c>
      <c r="S6005" t="s">
        <v>232</v>
      </c>
      <c r="T6005">
        <v>0</v>
      </c>
      <c r="U6005">
        <v>-5</v>
      </c>
      <c r="V6005">
        <v>0</v>
      </c>
      <c r="W6005">
        <v>0</v>
      </c>
      <c r="X6005">
        <v>0</v>
      </c>
    </row>
    <row r="6006" spans="1:40" x14ac:dyDescent="0.25">
      <c r="A6006" t="s">
        <v>15</v>
      </c>
      <c r="B6006" t="s">
        <v>24</v>
      </c>
      <c r="C6006">
        <v>20150316</v>
      </c>
      <c r="D6006">
        <v>0</v>
      </c>
      <c r="F6006">
        <v>62500</v>
      </c>
      <c r="G6006" t="s">
        <v>17</v>
      </c>
      <c r="I6006" t="s">
        <v>16</v>
      </c>
      <c r="J6006" t="s">
        <v>180</v>
      </c>
      <c r="K6006" t="s">
        <v>25</v>
      </c>
      <c r="L6006">
        <v>132757294</v>
      </c>
      <c r="R6006">
        <v>9639</v>
      </c>
      <c r="S6006" t="s">
        <v>232</v>
      </c>
      <c r="T6006">
        <v>0</v>
      </c>
      <c r="U6006">
        <v>-5</v>
      </c>
      <c r="V6006">
        <v>0</v>
      </c>
      <c r="W6006">
        <v>0</v>
      </c>
      <c r="X6006">
        <v>0</v>
      </c>
      <c r="Y6006">
        <v>9639</v>
      </c>
      <c r="Z6006" t="s">
        <v>405</v>
      </c>
      <c r="AA6006" t="s">
        <v>403</v>
      </c>
      <c r="AB6006" t="s">
        <v>234</v>
      </c>
      <c r="AC6006" t="s">
        <v>17</v>
      </c>
      <c r="AD6006" t="s">
        <v>237</v>
      </c>
      <c r="AE6006">
        <v>5</v>
      </c>
      <c r="AF6006">
        <v>5</v>
      </c>
      <c r="AG6006">
        <v>1.5248999999999999</v>
      </c>
      <c r="AH6006">
        <v>1.5248999999999999</v>
      </c>
      <c r="AI6006">
        <v>415886672</v>
      </c>
      <c r="AJ6006">
        <v>0</v>
      </c>
      <c r="AK6006">
        <v>7</v>
      </c>
      <c r="AN6006">
        <v>0</v>
      </c>
    </row>
    <row r="6007" spans="1:40" x14ac:dyDescent="0.25">
      <c r="A6007" t="s">
        <v>15</v>
      </c>
      <c r="B6007" t="s">
        <v>24</v>
      </c>
      <c r="C6007">
        <v>20150316</v>
      </c>
      <c r="D6007">
        <v>0</v>
      </c>
      <c r="F6007">
        <v>62500</v>
      </c>
      <c r="G6007" t="s">
        <v>17</v>
      </c>
      <c r="I6007" t="s">
        <v>16</v>
      </c>
      <c r="J6007" t="s">
        <v>180</v>
      </c>
      <c r="K6007" t="s">
        <v>25</v>
      </c>
      <c r="L6007">
        <v>132757294</v>
      </c>
      <c r="R6007">
        <v>9639</v>
      </c>
      <c r="S6007" t="s">
        <v>232</v>
      </c>
      <c r="T6007">
        <v>0</v>
      </c>
      <c r="U6007">
        <v>-5</v>
      </c>
      <c r="V6007">
        <v>0</v>
      </c>
      <c r="W6007">
        <v>0</v>
      </c>
      <c r="X6007">
        <v>0</v>
      </c>
    </row>
    <row r="6008" spans="1:40" x14ac:dyDescent="0.25">
      <c r="A6008" t="s">
        <v>15</v>
      </c>
      <c r="B6008" t="s">
        <v>24</v>
      </c>
      <c r="C6008">
        <v>20150316</v>
      </c>
      <c r="D6008">
        <v>0</v>
      </c>
      <c r="F6008">
        <v>62500</v>
      </c>
      <c r="G6008" t="s">
        <v>17</v>
      </c>
      <c r="I6008" t="s">
        <v>16</v>
      </c>
      <c r="J6008" t="s">
        <v>180</v>
      </c>
      <c r="K6008" t="s">
        <v>25</v>
      </c>
      <c r="L6008">
        <v>132757294</v>
      </c>
      <c r="R6008">
        <v>9639</v>
      </c>
      <c r="S6008" t="s">
        <v>37</v>
      </c>
      <c r="T6008">
        <v>5</v>
      </c>
      <c r="U6008">
        <v>0</v>
      </c>
      <c r="V6008">
        <v>1.5248999999999999</v>
      </c>
      <c r="W6008">
        <v>1.5248999999999999</v>
      </c>
      <c r="X6008">
        <v>0</v>
      </c>
    </row>
    <row r="6009" spans="1:40" x14ac:dyDescent="0.25">
      <c r="A6009" t="s">
        <v>15</v>
      </c>
      <c r="B6009" t="s">
        <v>24</v>
      </c>
      <c r="C6009">
        <v>20150316</v>
      </c>
      <c r="D6009">
        <v>0</v>
      </c>
      <c r="F6009">
        <v>62500</v>
      </c>
      <c r="G6009" t="s">
        <v>17</v>
      </c>
      <c r="I6009" t="s">
        <v>16</v>
      </c>
      <c r="J6009" t="s">
        <v>180</v>
      </c>
      <c r="K6009" t="s">
        <v>25</v>
      </c>
      <c r="L6009">
        <v>132757294</v>
      </c>
      <c r="R6009">
        <v>9639</v>
      </c>
      <c r="S6009" t="s">
        <v>37</v>
      </c>
      <c r="T6009">
        <v>5</v>
      </c>
      <c r="U6009">
        <v>0</v>
      </c>
      <c r="V6009">
        <v>1.5248999999999999</v>
      </c>
      <c r="W6009">
        <v>1.5248999999999999</v>
      </c>
      <c r="X6009">
        <v>0</v>
      </c>
    </row>
    <row r="6010" spans="1:40" x14ac:dyDescent="0.25">
      <c r="A6010" t="s">
        <v>15</v>
      </c>
      <c r="B6010" t="s">
        <v>24</v>
      </c>
      <c r="C6010">
        <v>20150316</v>
      </c>
      <c r="D6010">
        <v>0</v>
      </c>
      <c r="F6010">
        <v>62500</v>
      </c>
      <c r="G6010" t="s">
        <v>17</v>
      </c>
      <c r="I6010" t="s">
        <v>16</v>
      </c>
      <c r="J6010" t="s">
        <v>180</v>
      </c>
      <c r="K6010" t="s">
        <v>25</v>
      </c>
      <c r="L6010">
        <v>132757294</v>
      </c>
      <c r="R6010">
        <v>9639</v>
      </c>
      <c r="S6010" t="s">
        <v>37</v>
      </c>
      <c r="T6010">
        <v>5</v>
      </c>
      <c r="U6010">
        <v>0</v>
      </c>
      <c r="V6010">
        <v>1.5248999999999999</v>
      </c>
      <c r="W6010">
        <v>1.5248999999999999</v>
      </c>
      <c r="X6010">
        <v>0</v>
      </c>
    </row>
    <row r="6011" spans="1:40" x14ac:dyDescent="0.25">
      <c r="A6011" t="s">
        <v>15</v>
      </c>
      <c r="B6011" t="s">
        <v>24</v>
      </c>
      <c r="C6011">
        <v>20150316</v>
      </c>
      <c r="D6011">
        <v>0</v>
      </c>
      <c r="F6011">
        <v>62500</v>
      </c>
      <c r="G6011" t="s">
        <v>17</v>
      </c>
      <c r="I6011" t="s">
        <v>16</v>
      </c>
      <c r="J6011" t="s">
        <v>180</v>
      </c>
      <c r="K6011" t="s">
        <v>25</v>
      </c>
      <c r="L6011">
        <v>132757294</v>
      </c>
      <c r="R6011">
        <v>9639</v>
      </c>
      <c r="S6011" t="s">
        <v>37</v>
      </c>
      <c r="T6011">
        <v>5</v>
      </c>
      <c r="U6011">
        <v>0</v>
      </c>
      <c r="V6011">
        <v>1.5248999999999999</v>
      </c>
      <c r="W6011">
        <v>1.5248999999999999</v>
      </c>
      <c r="X6011">
        <v>0</v>
      </c>
    </row>
    <row r="6012" spans="1:40" x14ac:dyDescent="0.25">
      <c r="A6012" t="s">
        <v>15</v>
      </c>
      <c r="B6012" t="s">
        <v>24</v>
      </c>
      <c r="C6012">
        <v>20150316</v>
      </c>
      <c r="D6012">
        <v>0</v>
      </c>
      <c r="F6012">
        <v>62500</v>
      </c>
      <c r="G6012" t="s">
        <v>17</v>
      </c>
      <c r="I6012" t="s">
        <v>16</v>
      </c>
      <c r="J6012" t="s">
        <v>180</v>
      </c>
      <c r="K6012" t="s">
        <v>25</v>
      </c>
      <c r="L6012">
        <v>132757294</v>
      </c>
      <c r="R6012">
        <v>9639</v>
      </c>
      <c r="S6012" t="s">
        <v>37</v>
      </c>
      <c r="T6012">
        <v>5</v>
      </c>
      <c r="U6012">
        <v>0</v>
      </c>
      <c r="V6012">
        <v>1.5248999999999999</v>
      </c>
      <c r="W6012">
        <v>1.5248999999999999</v>
      </c>
      <c r="X6012">
        <v>0</v>
      </c>
    </row>
    <row r="6013" spans="1:40" x14ac:dyDescent="0.25">
      <c r="A6013" t="s">
        <v>15</v>
      </c>
      <c r="B6013" t="s">
        <v>24</v>
      </c>
      <c r="C6013">
        <v>20150316</v>
      </c>
      <c r="D6013">
        <v>0</v>
      </c>
      <c r="F6013">
        <v>62500</v>
      </c>
      <c r="G6013" t="s">
        <v>17</v>
      </c>
      <c r="I6013" t="s">
        <v>16</v>
      </c>
      <c r="J6013" t="s">
        <v>180</v>
      </c>
      <c r="K6013" t="s">
        <v>25</v>
      </c>
      <c r="L6013">
        <v>132757294</v>
      </c>
      <c r="R6013">
        <v>9639</v>
      </c>
      <c r="S6013" t="s">
        <v>37</v>
      </c>
      <c r="T6013">
        <v>5</v>
      </c>
      <c r="U6013">
        <v>0</v>
      </c>
      <c r="V6013">
        <v>1.5248999999999999</v>
      </c>
      <c r="W6013">
        <v>1.5248999999999999</v>
      </c>
      <c r="X6013">
        <v>0</v>
      </c>
    </row>
    <row r="6014" spans="1:40" x14ac:dyDescent="0.25">
      <c r="A6014" t="s">
        <v>15</v>
      </c>
      <c r="B6014" t="s">
        <v>24</v>
      </c>
      <c r="C6014">
        <v>20150316</v>
      </c>
      <c r="D6014">
        <v>0</v>
      </c>
      <c r="F6014">
        <v>62500</v>
      </c>
      <c r="G6014" t="s">
        <v>17</v>
      </c>
      <c r="I6014" t="s">
        <v>16</v>
      </c>
      <c r="J6014" t="s">
        <v>180</v>
      </c>
      <c r="K6014" t="s">
        <v>25</v>
      </c>
      <c r="L6014">
        <v>132757294</v>
      </c>
      <c r="R6014">
        <v>9639</v>
      </c>
      <c r="S6014" t="s">
        <v>37</v>
      </c>
      <c r="T6014">
        <v>5</v>
      </c>
      <c r="U6014">
        <v>0</v>
      </c>
      <c r="V6014">
        <v>1.5248999999999999</v>
      </c>
      <c r="W6014">
        <v>1.5248999999999999</v>
      </c>
      <c r="X6014">
        <v>0</v>
      </c>
    </row>
    <row r="6015" spans="1:40" x14ac:dyDescent="0.25">
      <c r="A6015" t="s">
        <v>15</v>
      </c>
      <c r="B6015" t="s">
        <v>24</v>
      </c>
      <c r="C6015">
        <v>20150316</v>
      </c>
      <c r="D6015">
        <v>0</v>
      </c>
      <c r="F6015">
        <v>62500</v>
      </c>
      <c r="G6015" t="s">
        <v>17</v>
      </c>
      <c r="I6015" t="s">
        <v>16</v>
      </c>
      <c r="J6015" t="s">
        <v>180</v>
      </c>
      <c r="K6015" t="s">
        <v>25</v>
      </c>
      <c r="L6015">
        <v>132757294</v>
      </c>
      <c r="R6015">
        <v>9639</v>
      </c>
      <c r="S6015" t="s">
        <v>37</v>
      </c>
      <c r="T6015">
        <v>5</v>
      </c>
      <c r="U6015">
        <v>0</v>
      </c>
      <c r="V6015">
        <v>1.5248999999999999</v>
      </c>
      <c r="W6015">
        <v>1.5248999999999999</v>
      </c>
      <c r="X6015">
        <v>0</v>
      </c>
    </row>
    <row r="6016" spans="1:40" x14ac:dyDescent="0.25">
      <c r="A6016" t="s">
        <v>15</v>
      </c>
      <c r="B6016" t="s">
        <v>24</v>
      </c>
      <c r="C6016">
        <v>20150316</v>
      </c>
      <c r="D6016">
        <v>0</v>
      </c>
      <c r="F6016">
        <v>62500</v>
      </c>
      <c r="G6016" t="s">
        <v>17</v>
      </c>
      <c r="I6016" t="s">
        <v>16</v>
      </c>
      <c r="J6016" t="s">
        <v>180</v>
      </c>
      <c r="K6016" t="s">
        <v>25</v>
      </c>
      <c r="L6016">
        <v>132757294</v>
      </c>
      <c r="R6016">
        <v>9640</v>
      </c>
      <c r="S6016" t="s">
        <v>232</v>
      </c>
      <c r="T6016">
        <v>0</v>
      </c>
      <c r="U6016">
        <v>-5</v>
      </c>
      <c r="V6016">
        <v>0</v>
      </c>
      <c r="W6016">
        <v>0</v>
      </c>
      <c r="X6016">
        <v>0</v>
      </c>
    </row>
    <row r="6017" spans="1:40" x14ac:dyDescent="0.25">
      <c r="A6017" t="s">
        <v>15</v>
      </c>
      <c r="B6017" t="s">
        <v>24</v>
      </c>
      <c r="C6017">
        <v>20150316</v>
      </c>
      <c r="D6017">
        <v>0</v>
      </c>
      <c r="F6017">
        <v>62500</v>
      </c>
      <c r="G6017" t="s">
        <v>17</v>
      </c>
      <c r="I6017" t="s">
        <v>16</v>
      </c>
      <c r="J6017" t="s">
        <v>180</v>
      </c>
      <c r="K6017" t="s">
        <v>25</v>
      </c>
      <c r="L6017">
        <v>132757294</v>
      </c>
      <c r="R6017">
        <v>9640</v>
      </c>
      <c r="S6017" t="s">
        <v>232</v>
      </c>
      <c r="T6017">
        <v>0</v>
      </c>
      <c r="U6017">
        <v>-5</v>
      </c>
      <c r="V6017">
        <v>0</v>
      </c>
      <c r="W6017">
        <v>0</v>
      </c>
      <c r="X6017">
        <v>0</v>
      </c>
      <c r="Y6017">
        <v>9640</v>
      </c>
      <c r="Z6017" t="s">
        <v>406</v>
      </c>
      <c r="AA6017" t="s">
        <v>407</v>
      </c>
      <c r="AB6017" t="s">
        <v>234</v>
      </c>
      <c r="AC6017" t="s">
        <v>17</v>
      </c>
      <c r="AD6017" t="s">
        <v>237</v>
      </c>
      <c r="AE6017">
        <v>1</v>
      </c>
      <c r="AF6017">
        <v>1</v>
      </c>
      <c r="AG6017">
        <v>1.5249999999999999</v>
      </c>
      <c r="AH6017">
        <v>1.5249999999999999</v>
      </c>
      <c r="AI6017">
        <v>415886673</v>
      </c>
      <c r="AJ6017">
        <v>0</v>
      </c>
      <c r="AK6017">
        <v>7</v>
      </c>
      <c r="AN6017">
        <v>0</v>
      </c>
    </row>
    <row r="6018" spans="1:40" x14ac:dyDescent="0.25">
      <c r="A6018" t="s">
        <v>15</v>
      </c>
      <c r="B6018" t="s">
        <v>24</v>
      </c>
      <c r="C6018">
        <v>20150316</v>
      </c>
      <c r="D6018">
        <v>0</v>
      </c>
      <c r="F6018">
        <v>62500</v>
      </c>
      <c r="G6018" t="s">
        <v>17</v>
      </c>
      <c r="I6018" t="s">
        <v>16</v>
      </c>
      <c r="J6018" t="s">
        <v>180</v>
      </c>
      <c r="K6018" t="s">
        <v>25</v>
      </c>
      <c r="L6018">
        <v>132757294</v>
      </c>
      <c r="R6018">
        <v>9640</v>
      </c>
      <c r="S6018" t="s">
        <v>232</v>
      </c>
      <c r="T6018">
        <v>0</v>
      </c>
      <c r="U6018">
        <v>-5</v>
      </c>
      <c r="V6018">
        <v>0</v>
      </c>
      <c r="W6018">
        <v>0</v>
      </c>
      <c r="X6018">
        <v>0</v>
      </c>
    </row>
    <row r="6019" spans="1:40" x14ac:dyDescent="0.25">
      <c r="A6019" t="s">
        <v>15</v>
      </c>
      <c r="B6019" t="s">
        <v>24</v>
      </c>
      <c r="C6019">
        <v>20150316</v>
      </c>
      <c r="D6019">
        <v>0</v>
      </c>
      <c r="F6019">
        <v>62500</v>
      </c>
      <c r="G6019" t="s">
        <v>17</v>
      </c>
      <c r="I6019" t="s">
        <v>16</v>
      </c>
      <c r="J6019" t="s">
        <v>180</v>
      </c>
      <c r="K6019" t="s">
        <v>25</v>
      </c>
      <c r="L6019">
        <v>132757294</v>
      </c>
      <c r="R6019">
        <v>9640</v>
      </c>
      <c r="S6019" t="s">
        <v>236</v>
      </c>
      <c r="T6019">
        <v>1</v>
      </c>
      <c r="U6019">
        <v>4</v>
      </c>
      <c r="V6019">
        <v>1.5249999999999999</v>
      </c>
      <c r="W6019">
        <v>1.5249999999999999</v>
      </c>
      <c r="X6019">
        <v>0</v>
      </c>
    </row>
    <row r="6020" spans="1:40" x14ac:dyDescent="0.25">
      <c r="A6020" t="s">
        <v>15</v>
      </c>
      <c r="B6020" t="s">
        <v>24</v>
      </c>
      <c r="C6020">
        <v>20150316</v>
      </c>
      <c r="D6020">
        <v>0</v>
      </c>
      <c r="F6020">
        <v>62500</v>
      </c>
      <c r="G6020" t="s">
        <v>17</v>
      </c>
      <c r="I6020" t="s">
        <v>16</v>
      </c>
      <c r="J6020" t="s">
        <v>180</v>
      </c>
      <c r="K6020" t="s">
        <v>25</v>
      </c>
      <c r="L6020">
        <v>132757294</v>
      </c>
      <c r="R6020">
        <v>9640</v>
      </c>
      <c r="S6020" t="s">
        <v>236</v>
      </c>
      <c r="T6020">
        <v>1</v>
      </c>
      <c r="U6020">
        <v>4</v>
      </c>
      <c r="V6020">
        <v>1.5249999999999999</v>
      </c>
      <c r="W6020">
        <v>1.5249999999999999</v>
      </c>
      <c r="X6020">
        <v>0</v>
      </c>
    </row>
    <row r="6021" spans="1:40" x14ac:dyDescent="0.25">
      <c r="A6021" t="s">
        <v>15</v>
      </c>
      <c r="B6021" t="s">
        <v>24</v>
      </c>
      <c r="C6021">
        <v>20150316</v>
      </c>
      <c r="D6021">
        <v>0</v>
      </c>
      <c r="F6021">
        <v>62500</v>
      </c>
      <c r="G6021" t="s">
        <v>17</v>
      </c>
      <c r="I6021" t="s">
        <v>16</v>
      </c>
      <c r="J6021" t="s">
        <v>180</v>
      </c>
      <c r="K6021" t="s">
        <v>25</v>
      </c>
      <c r="L6021">
        <v>132757294</v>
      </c>
      <c r="R6021">
        <v>9640</v>
      </c>
      <c r="S6021" t="s">
        <v>233</v>
      </c>
      <c r="T6021">
        <v>1</v>
      </c>
      <c r="U6021">
        <v>4</v>
      </c>
      <c r="V6021">
        <v>1.5249999999999999</v>
      </c>
      <c r="W6021">
        <v>1.5249999999999999</v>
      </c>
      <c r="X6021">
        <v>0</v>
      </c>
    </row>
    <row r="6022" spans="1:40" x14ac:dyDescent="0.25">
      <c r="A6022" t="s">
        <v>15</v>
      </c>
      <c r="B6022" t="s">
        <v>24</v>
      </c>
      <c r="C6022">
        <v>20150316</v>
      </c>
      <c r="D6022">
        <v>0</v>
      </c>
      <c r="F6022">
        <v>62500</v>
      </c>
      <c r="G6022" t="s">
        <v>17</v>
      </c>
      <c r="I6022" t="s">
        <v>16</v>
      </c>
      <c r="J6022" t="s">
        <v>180</v>
      </c>
      <c r="K6022" t="s">
        <v>25</v>
      </c>
      <c r="L6022">
        <v>132757294</v>
      </c>
      <c r="R6022">
        <v>9640</v>
      </c>
      <c r="S6022" t="s">
        <v>233</v>
      </c>
      <c r="T6022">
        <v>1</v>
      </c>
      <c r="U6022">
        <v>4</v>
      </c>
      <c r="V6022">
        <v>1.5249999999999999</v>
      </c>
      <c r="W6022">
        <v>1.5249999999999999</v>
      </c>
      <c r="X6022">
        <v>0</v>
      </c>
    </row>
    <row r="6023" spans="1:40" x14ac:dyDescent="0.25">
      <c r="A6023" t="s">
        <v>15</v>
      </c>
      <c r="B6023" t="s">
        <v>24</v>
      </c>
      <c r="C6023">
        <v>20150316</v>
      </c>
      <c r="D6023">
        <v>0</v>
      </c>
      <c r="F6023">
        <v>62500</v>
      </c>
      <c r="G6023" t="s">
        <v>17</v>
      </c>
      <c r="I6023" t="s">
        <v>16</v>
      </c>
      <c r="J6023" t="s">
        <v>180</v>
      </c>
      <c r="K6023" t="s">
        <v>25</v>
      </c>
      <c r="L6023">
        <v>132757294</v>
      </c>
      <c r="R6023">
        <v>9640</v>
      </c>
      <c r="S6023" t="s">
        <v>233</v>
      </c>
      <c r="T6023">
        <v>1</v>
      </c>
      <c r="U6023">
        <v>4</v>
      </c>
      <c r="V6023">
        <v>1.5249999999999999</v>
      </c>
      <c r="W6023">
        <v>1.5249999999999999</v>
      </c>
      <c r="X6023">
        <v>0</v>
      </c>
    </row>
    <row r="6024" spans="1:40" x14ac:dyDescent="0.25">
      <c r="A6024" t="s">
        <v>15</v>
      </c>
      <c r="B6024" t="s">
        <v>24</v>
      </c>
      <c r="C6024">
        <v>20150316</v>
      </c>
      <c r="D6024">
        <v>0</v>
      </c>
      <c r="F6024">
        <v>62500</v>
      </c>
      <c r="G6024" t="s">
        <v>17</v>
      </c>
      <c r="I6024" t="s">
        <v>16</v>
      </c>
      <c r="J6024" t="s">
        <v>180</v>
      </c>
      <c r="K6024" t="s">
        <v>25</v>
      </c>
      <c r="L6024">
        <v>132757294</v>
      </c>
      <c r="R6024">
        <v>9640</v>
      </c>
      <c r="S6024" t="s">
        <v>233</v>
      </c>
      <c r="T6024">
        <v>1</v>
      </c>
      <c r="U6024">
        <v>4</v>
      </c>
      <c r="V6024">
        <v>1.5249999999999999</v>
      </c>
      <c r="W6024">
        <v>1.5249999999999999</v>
      </c>
      <c r="X6024">
        <v>0</v>
      </c>
      <c r="Y6024">
        <v>9640</v>
      </c>
      <c r="Z6024" t="s">
        <v>408</v>
      </c>
      <c r="AA6024" t="s">
        <v>409</v>
      </c>
      <c r="AB6024" t="s">
        <v>234</v>
      </c>
      <c r="AC6024" t="s">
        <v>17</v>
      </c>
      <c r="AD6024" t="s">
        <v>237</v>
      </c>
      <c r="AE6024">
        <v>3</v>
      </c>
      <c r="AF6024">
        <v>4</v>
      </c>
      <c r="AG6024">
        <v>1.5247999999999999</v>
      </c>
      <c r="AH6024">
        <v>1.52485</v>
      </c>
      <c r="AI6024">
        <v>415886673</v>
      </c>
      <c r="AJ6024">
        <v>0</v>
      </c>
      <c r="AK6024">
        <v>7</v>
      </c>
      <c r="AN6024">
        <v>0</v>
      </c>
    </row>
    <row r="6025" spans="1:40" x14ac:dyDescent="0.25">
      <c r="A6025" t="s">
        <v>15</v>
      </c>
      <c r="B6025" t="s">
        <v>24</v>
      </c>
      <c r="C6025">
        <v>20150316</v>
      </c>
      <c r="D6025">
        <v>0</v>
      </c>
      <c r="F6025">
        <v>62500</v>
      </c>
      <c r="G6025" t="s">
        <v>17</v>
      </c>
      <c r="I6025" t="s">
        <v>16</v>
      </c>
      <c r="J6025" t="s">
        <v>180</v>
      </c>
      <c r="K6025" t="s">
        <v>25</v>
      </c>
      <c r="L6025">
        <v>132757294</v>
      </c>
      <c r="R6025">
        <v>9640</v>
      </c>
      <c r="S6025" t="s">
        <v>233</v>
      </c>
      <c r="T6025">
        <v>1</v>
      </c>
      <c r="U6025">
        <v>4</v>
      </c>
      <c r="V6025">
        <v>1.5249999999999999</v>
      </c>
      <c r="W6025">
        <v>1.5249999999999999</v>
      </c>
      <c r="X6025">
        <v>0</v>
      </c>
    </row>
    <row r="6026" spans="1:40" x14ac:dyDescent="0.25">
      <c r="A6026" t="s">
        <v>15</v>
      </c>
      <c r="B6026" t="s">
        <v>24</v>
      </c>
      <c r="C6026">
        <v>20150316</v>
      </c>
      <c r="D6026">
        <v>0</v>
      </c>
      <c r="F6026">
        <v>62500</v>
      </c>
      <c r="G6026" t="s">
        <v>17</v>
      </c>
      <c r="I6026" t="s">
        <v>16</v>
      </c>
      <c r="J6026" t="s">
        <v>180</v>
      </c>
      <c r="K6026" t="s">
        <v>25</v>
      </c>
      <c r="L6026">
        <v>132757294</v>
      </c>
      <c r="R6026">
        <v>9640</v>
      </c>
      <c r="S6026" t="s">
        <v>233</v>
      </c>
      <c r="T6026">
        <v>4</v>
      </c>
      <c r="U6026">
        <v>1</v>
      </c>
      <c r="V6026">
        <v>1.52485</v>
      </c>
      <c r="W6026">
        <v>1.5247999999999999</v>
      </c>
      <c r="X6026">
        <v>0</v>
      </c>
    </row>
    <row r="6027" spans="1:40" x14ac:dyDescent="0.25">
      <c r="A6027" t="s">
        <v>15</v>
      </c>
      <c r="B6027" t="s">
        <v>24</v>
      </c>
      <c r="C6027">
        <v>20150316</v>
      </c>
      <c r="D6027">
        <v>0</v>
      </c>
      <c r="F6027">
        <v>62500</v>
      </c>
      <c r="G6027" t="s">
        <v>17</v>
      </c>
      <c r="I6027" t="s">
        <v>16</v>
      </c>
      <c r="J6027" t="s">
        <v>180</v>
      </c>
      <c r="K6027" t="s">
        <v>25</v>
      </c>
      <c r="L6027">
        <v>132757294</v>
      </c>
      <c r="R6027">
        <v>9640</v>
      </c>
      <c r="S6027" t="s">
        <v>233</v>
      </c>
      <c r="T6027">
        <v>4</v>
      </c>
      <c r="U6027">
        <v>1</v>
      </c>
      <c r="V6027">
        <v>1.52485</v>
      </c>
      <c r="W6027">
        <v>1.5247999999999999</v>
      </c>
      <c r="X6027">
        <v>0</v>
      </c>
    </row>
    <row r="6028" spans="1:40" x14ac:dyDescent="0.25">
      <c r="A6028" t="s">
        <v>15</v>
      </c>
      <c r="B6028" t="s">
        <v>24</v>
      </c>
      <c r="C6028">
        <v>20150316</v>
      </c>
      <c r="D6028">
        <v>0</v>
      </c>
      <c r="F6028">
        <v>62500</v>
      </c>
      <c r="G6028" t="s">
        <v>17</v>
      </c>
      <c r="I6028" t="s">
        <v>16</v>
      </c>
      <c r="J6028" t="s">
        <v>180</v>
      </c>
      <c r="K6028" t="s">
        <v>25</v>
      </c>
      <c r="L6028">
        <v>132757294</v>
      </c>
      <c r="R6028">
        <v>9640</v>
      </c>
      <c r="S6028" t="s">
        <v>233</v>
      </c>
      <c r="T6028">
        <v>4</v>
      </c>
      <c r="U6028">
        <v>1</v>
      </c>
      <c r="V6028">
        <v>1.52485</v>
      </c>
      <c r="W6028">
        <v>1.5247999999999999</v>
      </c>
      <c r="X6028">
        <v>0</v>
      </c>
    </row>
    <row r="6029" spans="1:40" x14ac:dyDescent="0.25">
      <c r="A6029" t="s">
        <v>15</v>
      </c>
      <c r="B6029" t="s">
        <v>24</v>
      </c>
      <c r="C6029">
        <v>20150316</v>
      </c>
      <c r="D6029">
        <v>0</v>
      </c>
      <c r="F6029">
        <v>62500</v>
      </c>
      <c r="G6029" t="s">
        <v>17</v>
      </c>
      <c r="I6029" t="s">
        <v>16</v>
      </c>
      <c r="J6029" t="s">
        <v>180</v>
      </c>
      <c r="K6029" t="s">
        <v>25</v>
      </c>
      <c r="L6029">
        <v>132757294</v>
      </c>
      <c r="R6029">
        <v>9641</v>
      </c>
      <c r="S6029" t="s">
        <v>232</v>
      </c>
      <c r="T6029">
        <v>0</v>
      </c>
      <c r="U6029">
        <v>25</v>
      </c>
      <c r="V6029">
        <v>0</v>
      </c>
      <c r="W6029">
        <v>0</v>
      </c>
      <c r="X6029">
        <v>0</v>
      </c>
    </row>
    <row r="6030" spans="1:40" x14ac:dyDescent="0.25">
      <c r="A6030" t="s">
        <v>15</v>
      </c>
      <c r="B6030" t="s">
        <v>24</v>
      </c>
      <c r="C6030">
        <v>20150316</v>
      </c>
      <c r="D6030">
        <v>0</v>
      </c>
      <c r="F6030">
        <v>62500</v>
      </c>
      <c r="G6030" t="s">
        <v>17</v>
      </c>
      <c r="I6030" t="s">
        <v>16</v>
      </c>
      <c r="J6030" t="s">
        <v>180</v>
      </c>
      <c r="K6030" t="s">
        <v>25</v>
      </c>
      <c r="L6030">
        <v>132757294</v>
      </c>
      <c r="R6030">
        <v>9640</v>
      </c>
      <c r="S6030" t="s">
        <v>233</v>
      </c>
      <c r="T6030">
        <v>4</v>
      </c>
      <c r="U6030">
        <v>1</v>
      </c>
      <c r="V6030">
        <v>1.52485</v>
      </c>
      <c r="W6030">
        <v>1.5247999999999999</v>
      </c>
      <c r="X6030">
        <v>0</v>
      </c>
      <c r="Y6030">
        <v>9640</v>
      </c>
      <c r="Z6030" t="s">
        <v>410</v>
      </c>
      <c r="AA6030" t="s">
        <v>411</v>
      </c>
      <c r="AB6030" t="s">
        <v>234</v>
      </c>
      <c r="AC6030" t="s">
        <v>17</v>
      </c>
      <c r="AD6030" t="s">
        <v>237</v>
      </c>
      <c r="AE6030">
        <v>1</v>
      </c>
      <c r="AF6030">
        <v>5</v>
      </c>
      <c r="AG6030">
        <v>1.5247999999999999</v>
      </c>
      <c r="AH6030">
        <v>1.52484</v>
      </c>
      <c r="AI6030">
        <v>415886673</v>
      </c>
      <c r="AJ6030">
        <v>0</v>
      </c>
      <c r="AK6030">
        <v>7</v>
      </c>
      <c r="AN6030">
        <v>0</v>
      </c>
    </row>
    <row r="6031" spans="1:40" x14ac:dyDescent="0.25">
      <c r="A6031" t="s">
        <v>15</v>
      </c>
      <c r="B6031" t="s">
        <v>24</v>
      </c>
      <c r="C6031">
        <v>20150316</v>
      </c>
      <c r="D6031">
        <v>0</v>
      </c>
      <c r="F6031">
        <v>62500</v>
      </c>
      <c r="G6031" t="s">
        <v>17</v>
      </c>
      <c r="I6031" t="s">
        <v>16</v>
      </c>
      <c r="J6031" t="s">
        <v>180</v>
      </c>
      <c r="K6031" t="s">
        <v>25</v>
      </c>
      <c r="L6031">
        <v>132757294</v>
      </c>
      <c r="R6031">
        <v>9640</v>
      </c>
      <c r="S6031" t="s">
        <v>233</v>
      </c>
      <c r="T6031">
        <v>4</v>
      </c>
      <c r="U6031">
        <v>1</v>
      </c>
      <c r="V6031">
        <v>1.52485</v>
      </c>
      <c r="W6031">
        <v>1.5247999999999999</v>
      </c>
      <c r="X6031">
        <v>0</v>
      </c>
    </row>
    <row r="6032" spans="1:40" x14ac:dyDescent="0.25">
      <c r="A6032" t="s">
        <v>15</v>
      </c>
      <c r="B6032" t="s">
        <v>24</v>
      </c>
      <c r="C6032">
        <v>20150316</v>
      </c>
      <c r="D6032">
        <v>0</v>
      </c>
      <c r="F6032">
        <v>62500</v>
      </c>
      <c r="G6032" t="s">
        <v>17</v>
      </c>
      <c r="I6032" t="s">
        <v>16</v>
      </c>
      <c r="J6032" t="s">
        <v>180</v>
      </c>
      <c r="K6032" t="s">
        <v>25</v>
      </c>
      <c r="L6032">
        <v>132757294</v>
      </c>
      <c r="R6032">
        <v>9640</v>
      </c>
      <c r="S6032" t="s">
        <v>37</v>
      </c>
      <c r="T6032">
        <v>5</v>
      </c>
      <c r="U6032">
        <v>0</v>
      </c>
      <c r="V6032">
        <v>1.52484</v>
      </c>
      <c r="W6032">
        <v>1.5247999999999999</v>
      </c>
      <c r="X6032">
        <v>0</v>
      </c>
    </row>
    <row r="6033" spans="1:40" x14ac:dyDescent="0.25">
      <c r="A6033" t="s">
        <v>15</v>
      </c>
      <c r="B6033" t="s">
        <v>24</v>
      </c>
      <c r="C6033">
        <v>20150316</v>
      </c>
      <c r="D6033">
        <v>0</v>
      </c>
      <c r="F6033">
        <v>62500</v>
      </c>
      <c r="G6033" t="s">
        <v>17</v>
      </c>
      <c r="I6033" t="s">
        <v>16</v>
      </c>
      <c r="J6033" t="s">
        <v>180</v>
      </c>
      <c r="K6033" t="s">
        <v>25</v>
      </c>
      <c r="L6033">
        <v>132757294</v>
      </c>
      <c r="R6033">
        <v>9640</v>
      </c>
      <c r="S6033" t="s">
        <v>37</v>
      </c>
      <c r="T6033">
        <v>5</v>
      </c>
      <c r="U6033">
        <v>0</v>
      </c>
      <c r="V6033">
        <v>1.52484</v>
      </c>
      <c r="W6033">
        <v>1.5247999999999999</v>
      </c>
      <c r="X6033">
        <v>0</v>
      </c>
    </row>
    <row r="6034" spans="1:40" x14ac:dyDescent="0.25">
      <c r="A6034" t="s">
        <v>15</v>
      </c>
      <c r="B6034" t="s">
        <v>24</v>
      </c>
      <c r="C6034">
        <v>20150316</v>
      </c>
      <c r="D6034">
        <v>0</v>
      </c>
      <c r="F6034">
        <v>62500</v>
      </c>
      <c r="G6034" t="s">
        <v>17</v>
      </c>
      <c r="I6034" t="s">
        <v>16</v>
      </c>
      <c r="J6034" t="s">
        <v>180</v>
      </c>
      <c r="K6034" t="s">
        <v>25</v>
      </c>
      <c r="L6034">
        <v>132757294</v>
      </c>
      <c r="R6034">
        <v>9640</v>
      </c>
      <c r="S6034" t="s">
        <v>37</v>
      </c>
      <c r="T6034">
        <v>5</v>
      </c>
      <c r="U6034">
        <v>0</v>
      </c>
      <c r="V6034">
        <v>1.52484</v>
      </c>
      <c r="W6034">
        <v>1.5247999999999999</v>
      </c>
      <c r="X6034">
        <v>0</v>
      </c>
    </row>
    <row r="6035" spans="1:40" x14ac:dyDescent="0.25">
      <c r="A6035" t="s">
        <v>15</v>
      </c>
      <c r="B6035" t="s">
        <v>24</v>
      </c>
      <c r="C6035">
        <v>20150316</v>
      </c>
      <c r="D6035">
        <v>0</v>
      </c>
      <c r="F6035">
        <v>62500</v>
      </c>
      <c r="G6035" t="s">
        <v>17</v>
      </c>
      <c r="I6035" t="s">
        <v>16</v>
      </c>
      <c r="J6035" t="s">
        <v>180</v>
      </c>
      <c r="K6035" t="s">
        <v>25</v>
      </c>
      <c r="L6035">
        <v>132757294</v>
      </c>
      <c r="R6035">
        <v>9640</v>
      </c>
      <c r="S6035" t="s">
        <v>37</v>
      </c>
      <c r="T6035">
        <v>5</v>
      </c>
      <c r="U6035">
        <v>0</v>
      </c>
      <c r="V6035">
        <v>1.52484</v>
      </c>
      <c r="W6035">
        <v>1.5247999999999999</v>
      </c>
      <c r="X6035">
        <v>0</v>
      </c>
    </row>
    <row r="6036" spans="1:40" x14ac:dyDescent="0.25">
      <c r="A6036" t="s">
        <v>15</v>
      </c>
      <c r="B6036" t="s">
        <v>24</v>
      </c>
      <c r="C6036">
        <v>20150316</v>
      </c>
      <c r="D6036">
        <v>0</v>
      </c>
      <c r="F6036">
        <v>62500</v>
      </c>
      <c r="G6036" t="s">
        <v>17</v>
      </c>
      <c r="I6036" t="s">
        <v>16</v>
      </c>
      <c r="J6036" t="s">
        <v>180</v>
      </c>
      <c r="K6036" t="s">
        <v>25</v>
      </c>
      <c r="L6036">
        <v>132757294</v>
      </c>
      <c r="R6036">
        <v>9640</v>
      </c>
      <c r="S6036" t="s">
        <v>37</v>
      </c>
      <c r="T6036">
        <v>5</v>
      </c>
      <c r="U6036">
        <v>0</v>
      </c>
      <c r="V6036">
        <v>1.52484</v>
      </c>
      <c r="W6036">
        <v>1.5247999999999999</v>
      </c>
      <c r="X6036">
        <v>0</v>
      </c>
    </row>
    <row r="6037" spans="1:40" x14ac:dyDescent="0.25">
      <c r="A6037" t="s">
        <v>15</v>
      </c>
      <c r="B6037" t="s">
        <v>24</v>
      </c>
      <c r="C6037">
        <v>20150316</v>
      </c>
      <c r="D6037">
        <v>0</v>
      </c>
      <c r="F6037">
        <v>62500</v>
      </c>
      <c r="G6037" t="s">
        <v>17</v>
      </c>
      <c r="I6037" t="s">
        <v>16</v>
      </c>
      <c r="J6037" t="s">
        <v>180</v>
      </c>
      <c r="K6037" t="s">
        <v>25</v>
      </c>
      <c r="L6037">
        <v>132757294</v>
      </c>
      <c r="R6037">
        <v>9636</v>
      </c>
      <c r="S6037" t="s">
        <v>223</v>
      </c>
      <c r="T6037">
        <v>0</v>
      </c>
      <c r="U6037">
        <v>22</v>
      </c>
      <c r="V6037">
        <v>0</v>
      </c>
      <c r="W6037">
        <v>0</v>
      </c>
      <c r="X6037">
        <v>0</v>
      </c>
    </row>
    <row r="6038" spans="1:40" x14ac:dyDescent="0.25">
      <c r="A6038" t="s">
        <v>15</v>
      </c>
      <c r="B6038" t="s">
        <v>24</v>
      </c>
      <c r="C6038">
        <v>20150316</v>
      </c>
      <c r="D6038">
        <v>0</v>
      </c>
      <c r="F6038">
        <v>62500</v>
      </c>
      <c r="G6038" t="s">
        <v>17</v>
      </c>
      <c r="I6038" t="s">
        <v>16</v>
      </c>
      <c r="J6038" t="s">
        <v>180</v>
      </c>
      <c r="K6038" t="s">
        <v>25</v>
      </c>
      <c r="L6038">
        <v>132757294</v>
      </c>
      <c r="R6038">
        <v>9636</v>
      </c>
      <c r="S6038" t="s">
        <v>224</v>
      </c>
      <c r="T6038">
        <v>0</v>
      </c>
      <c r="U6038">
        <v>22</v>
      </c>
      <c r="V6038">
        <v>0</v>
      </c>
      <c r="W6038">
        <v>0</v>
      </c>
      <c r="X6038">
        <v>0</v>
      </c>
    </row>
    <row r="6039" spans="1:40" x14ac:dyDescent="0.25">
      <c r="A6039" t="s">
        <v>15</v>
      </c>
      <c r="B6039" t="s">
        <v>24</v>
      </c>
      <c r="C6039">
        <v>20150316</v>
      </c>
      <c r="D6039">
        <v>0</v>
      </c>
      <c r="F6039">
        <v>62500</v>
      </c>
      <c r="G6039" t="s">
        <v>17</v>
      </c>
      <c r="I6039" t="s">
        <v>16</v>
      </c>
      <c r="J6039" t="s">
        <v>180</v>
      </c>
      <c r="K6039" t="s">
        <v>25</v>
      </c>
      <c r="L6039">
        <v>132757294</v>
      </c>
      <c r="R6039">
        <v>9638</v>
      </c>
      <c r="S6039" t="s">
        <v>223</v>
      </c>
      <c r="T6039">
        <v>0</v>
      </c>
      <c r="U6039">
        <v>22</v>
      </c>
      <c r="V6039">
        <v>0</v>
      </c>
      <c r="W6039">
        <v>0</v>
      </c>
      <c r="X6039">
        <v>0</v>
      </c>
    </row>
    <row r="6040" spans="1:40" x14ac:dyDescent="0.25">
      <c r="A6040" t="s">
        <v>15</v>
      </c>
      <c r="B6040" t="s">
        <v>24</v>
      </c>
      <c r="C6040">
        <v>20150316</v>
      </c>
      <c r="D6040">
        <v>0</v>
      </c>
      <c r="F6040">
        <v>62500</v>
      </c>
      <c r="G6040" t="s">
        <v>17</v>
      </c>
      <c r="I6040" t="s">
        <v>16</v>
      </c>
      <c r="J6040" t="s">
        <v>180</v>
      </c>
      <c r="K6040" t="s">
        <v>25</v>
      </c>
      <c r="L6040">
        <v>132757294</v>
      </c>
      <c r="R6040">
        <v>9638</v>
      </c>
      <c r="S6040" t="s">
        <v>224</v>
      </c>
      <c r="T6040">
        <v>0</v>
      </c>
      <c r="U6040">
        <v>22</v>
      </c>
      <c r="V6040">
        <v>0</v>
      </c>
      <c r="W6040">
        <v>0</v>
      </c>
      <c r="X6040">
        <v>0</v>
      </c>
    </row>
    <row r="6041" spans="1:40" x14ac:dyDescent="0.25">
      <c r="A6041" t="s">
        <v>15</v>
      </c>
      <c r="B6041" t="s">
        <v>24</v>
      </c>
      <c r="C6041">
        <v>20150316</v>
      </c>
      <c r="D6041">
        <v>0</v>
      </c>
      <c r="F6041">
        <v>62500</v>
      </c>
      <c r="G6041" t="s">
        <v>17</v>
      </c>
      <c r="I6041" t="s">
        <v>16</v>
      </c>
      <c r="J6041" t="s">
        <v>180</v>
      </c>
      <c r="K6041" t="s">
        <v>25</v>
      </c>
      <c r="L6041">
        <v>132757294</v>
      </c>
      <c r="R6041">
        <v>9641</v>
      </c>
      <c r="S6041" t="s">
        <v>232</v>
      </c>
      <c r="T6041">
        <v>0</v>
      </c>
      <c r="U6041">
        <v>25</v>
      </c>
      <c r="V6041">
        <v>0</v>
      </c>
      <c r="W6041">
        <v>0</v>
      </c>
      <c r="X6041">
        <v>0</v>
      </c>
    </row>
    <row r="6042" spans="1:40" x14ac:dyDescent="0.25">
      <c r="A6042" t="s">
        <v>15</v>
      </c>
      <c r="B6042" t="s">
        <v>24</v>
      </c>
      <c r="C6042">
        <v>20150316</v>
      </c>
      <c r="D6042">
        <v>0</v>
      </c>
      <c r="F6042">
        <v>62500</v>
      </c>
      <c r="G6042" t="s">
        <v>17</v>
      </c>
      <c r="I6042" t="s">
        <v>16</v>
      </c>
      <c r="J6042" t="s">
        <v>180</v>
      </c>
      <c r="K6042" t="s">
        <v>25</v>
      </c>
      <c r="L6042">
        <v>132757294</v>
      </c>
      <c r="R6042">
        <v>9641</v>
      </c>
      <c r="S6042" t="s">
        <v>192</v>
      </c>
      <c r="T6042">
        <v>0</v>
      </c>
      <c r="U6042">
        <v>25</v>
      </c>
      <c r="V6042">
        <v>0</v>
      </c>
      <c r="W6042">
        <v>0</v>
      </c>
      <c r="X6042">
        <v>0</v>
      </c>
    </row>
    <row r="6043" spans="1:40" x14ac:dyDescent="0.25">
      <c r="A6043" t="s">
        <v>15</v>
      </c>
      <c r="B6043" t="s">
        <v>24</v>
      </c>
      <c r="C6043">
        <v>20150316</v>
      </c>
      <c r="D6043">
        <v>0</v>
      </c>
      <c r="F6043">
        <v>62500</v>
      </c>
      <c r="G6043" t="s">
        <v>17</v>
      </c>
      <c r="I6043" t="s">
        <v>16</v>
      </c>
      <c r="J6043" t="s">
        <v>180</v>
      </c>
      <c r="K6043" t="s">
        <v>25</v>
      </c>
      <c r="L6043">
        <v>132757294</v>
      </c>
      <c r="R6043">
        <v>9642</v>
      </c>
      <c r="S6043" t="s">
        <v>232</v>
      </c>
      <c r="T6043">
        <v>0</v>
      </c>
      <c r="U6043">
        <v>-5</v>
      </c>
      <c r="V6043">
        <v>0</v>
      </c>
      <c r="W6043">
        <v>0</v>
      </c>
      <c r="X6043">
        <v>0</v>
      </c>
    </row>
    <row r="6044" spans="1:40" x14ac:dyDescent="0.25">
      <c r="A6044" t="s">
        <v>15</v>
      </c>
      <c r="B6044" t="s">
        <v>24</v>
      </c>
      <c r="C6044">
        <v>20150316</v>
      </c>
      <c r="D6044">
        <v>0</v>
      </c>
      <c r="F6044">
        <v>62500</v>
      </c>
      <c r="G6044" t="s">
        <v>17</v>
      </c>
      <c r="I6044" t="s">
        <v>16</v>
      </c>
      <c r="J6044" t="s">
        <v>180</v>
      </c>
      <c r="K6044" t="s">
        <v>25</v>
      </c>
      <c r="L6044">
        <v>132757294</v>
      </c>
      <c r="R6044">
        <v>9642</v>
      </c>
      <c r="S6044" t="s">
        <v>232</v>
      </c>
      <c r="T6044">
        <v>0</v>
      </c>
      <c r="U6044">
        <v>-5</v>
      </c>
      <c r="V6044">
        <v>0</v>
      </c>
      <c r="W6044">
        <v>0</v>
      </c>
      <c r="X6044">
        <v>0</v>
      </c>
      <c r="Y6044">
        <v>9642</v>
      </c>
      <c r="Z6044" t="s">
        <v>412</v>
      </c>
      <c r="AA6044" t="s">
        <v>413</v>
      </c>
      <c r="AB6044" t="s">
        <v>234</v>
      </c>
      <c r="AC6044" t="s">
        <v>17</v>
      </c>
      <c r="AD6044" t="s">
        <v>237</v>
      </c>
      <c r="AE6044">
        <v>5</v>
      </c>
      <c r="AF6044">
        <v>5</v>
      </c>
      <c r="AG6044">
        <v>1.5248999999999999</v>
      </c>
      <c r="AH6044">
        <v>1.5248999999999999</v>
      </c>
      <c r="AI6044">
        <v>415886675</v>
      </c>
      <c r="AJ6044">
        <v>0</v>
      </c>
      <c r="AK6044">
        <v>7</v>
      </c>
      <c r="AN6044">
        <v>0</v>
      </c>
    </row>
    <row r="6045" spans="1:40" x14ac:dyDescent="0.25">
      <c r="A6045" t="s">
        <v>15</v>
      </c>
      <c r="B6045" t="s">
        <v>24</v>
      </c>
      <c r="C6045">
        <v>20150316</v>
      </c>
      <c r="D6045">
        <v>0</v>
      </c>
      <c r="F6045">
        <v>62500</v>
      </c>
      <c r="G6045" t="s">
        <v>17</v>
      </c>
      <c r="I6045" t="s">
        <v>16</v>
      </c>
      <c r="J6045" t="s">
        <v>180</v>
      </c>
      <c r="K6045" t="s">
        <v>25</v>
      </c>
      <c r="L6045">
        <v>132757294</v>
      </c>
      <c r="R6045">
        <v>9642</v>
      </c>
      <c r="S6045" t="s">
        <v>232</v>
      </c>
      <c r="T6045">
        <v>0</v>
      </c>
      <c r="U6045">
        <v>-5</v>
      </c>
      <c r="V6045">
        <v>0</v>
      </c>
      <c r="W6045">
        <v>0</v>
      </c>
      <c r="X6045">
        <v>0</v>
      </c>
    </row>
    <row r="6046" spans="1:40" x14ac:dyDescent="0.25">
      <c r="A6046" t="s">
        <v>15</v>
      </c>
      <c r="B6046" t="s">
        <v>24</v>
      </c>
      <c r="C6046">
        <v>20150316</v>
      </c>
      <c r="D6046">
        <v>0</v>
      </c>
      <c r="F6046">
        <v>62500</v>
      </c>
      <c r="G6046" t="s">
        <v>17</v>
      </c>
      <c r="I6046" t="s">
        <v>16</v>
      </c>
      <c r="J6046" t="s">
        <v>180</v>
      </c>
      <c r="K6046" t="s">
        <v>25</v>
      </c>
      <c r="L6046">
        <v>132757294</v>
      </c>
      <c r="R6046">
        <v>9642</v>
      </c>
      <c r="S6046" t="s">
        <v>37</v>
      </c>
      <c r="T6046">
        <v>5</v>
      </c>
      <c r="U6046">
        <v>0</v>
      </c>
      <c r="V6046">
        <v>1.5248999999999999</v>
      </c>
      <c r="W6046">
        <v>1.5248999999999999</v>
      </c>
      <c r="X6046">
        <v>0</v>
      </c>
    </row>
    <row r="6047" spans="1:40" x14ac:dyDescent="0.25">
      <c r="A6047" t="s">
        <v>15</v>
      </c>
      <c r="B6047" t="s">
        <v>24</v>
      </c>
      <c r="C6047">
        <v>20150316</v>
      </c>
      <c r="D6047">
        <v>0</v>
      </c>
      <c r="F6047">
        <v>62500</v>
      </c>
      <c r="G6047" t="s">
        <v>17</v>
      </c>
      <c r="I6047" t="s">
        <v>16</v>
      </c>
      <c r="J6047" t="s">
        <v>180</v>
      </c>
      <c r="K6047" t="s">
        <v>25</v>
      </c>
      <c r="L6047">
        <v>132757294</v>
      </c>
      <c r="R6047">
        <v>9642</v>
      </c>
      <c r="S6047" t="s">
        <v>37</v>
      </c>
      <c r="T6047">
        <v>5</v>
      </c>
      <c r="U6047">
        <v>0</v>
      </c>
      <c r="V6047">
        <v>1.5248999999999999</v>
      </c>
      <c r="W6047">
        <v>1.5248999999999999</v>
      </c>
      <c r="X6047">
        <v>0</v>
      </c>
    </row>
    <row r="6048" spans="1:40" x14ac:dyDescent="0.25">
      <c r="A6048" t="s">
        <v>15</v>
      </c>
      <c r="B6048" t="s">
        <v>24</v>
      </c>
      <c r="C6048">
        <v>20150316</v>
      </c>
      <c r="D6048">
        <v>0</v>
      </c>
      <c r="F6048">
        <v>62500</v>
      </c>
      <c r="G6048" t="s">
        <v>17</v>
      </c>
      <c r="I6048" t="s">
        <v>16</v>
      </c>
      <c r="J6048" t="s">
        <v>180</v>
      </c>
      <c r="K6048" t="s">
        <v>25</v>
      </c>
      <c r="L6048">
        <v>132757294</v>
      </c>
      <c r="R6048">
        <v>9642</v>
      </c>
      <c r="S6048" t="s">
        <v>37</v>
      </c>
      <c r="T6048">
        <v>5</v>
      </c>
      <c r="U6048">
        <v>0</v>
      </c>
      <c r="V6048">
        <v>1.5248999999999999</v>
      </c>
      <c r="W6048">
        <v>1.5248999999999999</v>
      </c>
      <c r="X6048">
        <v>0</v>
      </c>
    </row>
    <row r="6049" spans="1:40" x14ac:dyDescent="0.25">
      <c r="A6049" t="s">
        <v>15</v>
      </c>
      <c r="B6049" t="s">
        <v>24</v>
      </c>
      <c r="C6049">
        <v>20150316</v>
      </c>
      <c r="D6049">
        <v>0</v>
      </c>
      <c r="F6049">
        <v>62500</v>
      </c>
      <c r="G6049" t="s">
        <v>17</v>
      </c>
      <c r="I6049" t="s">
        <v>16</v>
      </c>
      <c r="J6049" t="s">
        <v>180</v>
      </c>
      <c r="K6049" t="s">
        <v>25</v>
      </c>
      <c r="L6049">
        <v>132757294</v>
      </c>
      <c r="R6049">
        <v>9642</v>
      </c>
      <c r="S6049" t="s">
        <v>37</v>
      </c>
      <c r="T6049">
        <v>5</v>
      </c>
      <c r="U6049">
        <v>0</v>
      </c>
      <c r="V6049">
        <v>1.5248999999999999</v>
      </c>
      <c r="W6049">
        <v>1.5248999999999999</v>
      </c>
      <c r="X6049">
        <v>0</v>
      </c>
    </row>
    <row r="6050" spans="1:40" x14ac:dyDescent="0.25">
      <c r="A6050" t="s">
        <v>15</v>
      </c>
      <c r="B6050" t="s">
        <v>24</v>
      </c>
      <c r="C6050">
        <v>20150316</v>
      </c>
      <c r="D6050">
        <v>0</v>
      </c>
      <c r="F6050">
        <v>62500</v>
      </c>
      <c r="G6050" t="s">
        <v>17</v>
      </c>
      <c r="I6050" t="s">
        <v>16</v>
      </c>
      <c r="J6050" t="s">
        <v>180</v>
      </c>
      <c r="K6050" t="s">
        <v>25</v>
      </c>
      <c r="L6050">
        <v>132757294</v>
      </c>
      <c r="R6050">
        <v>9642</v>
      </c>
      <c r="S6050" t="s">
        <v>37</v>
      </c>
      <c r="T6050">
        <v>5</v>
      </c>
      <c r="U6050">
        <v>0</v>
      </c>
      <c r="V6050">
        <v>1.5248999999999999</v>
      </c>
      <c r="W6050">
        <v>1.5248999999999999</v>
      </c>
      <c r="X6050">
        <v>0</v>
      </c>
    </row>
    <row r="6051" spans="1:40" x14ac:dyDescent="0.25">
      <c r="A6051" t="s">
        <v>15</v>
      </c>
      <c r="B6051" t="s">
        <v>24</v>
      </c>
      <c r="C6051">
        <v>20150316</v>
      </c>
      <c r="D6051">
        <v>0</v>
      </c>
      <c r="F6051">
        <v>62500</v>
      </c>
      <c r="G6051" t="s">
        <v>17</v>
      </c>
      <c r="I6051" t="s">
        <v>16</v>
      </c>
      <c r="J6051" t="s">
        <v>180</v>
      </c>
      <c r="K6051" t="s">
        <v>25</v>
      </c>
      <c r="L6051">
        <v>132757294</v>
      </c>
      <c r="R6051">
        <v>9642</v>
      </c>
      <c r="S6051" t="s">
        <v>37</v>
      </c>
      <c r="T6051">
        <v>5</v>
      </c>
      <c r="U6051">
        <v>0</v>
      </c>
      <c r="V6051">
        <v>1.5248999999999999</v>
      </c>
      <c r="W6051">
        <v>1.5248999999999999</v>
      </c>
      <c r="X6051">
        <v>0</v>
      </c>
    </row>
    <row r="6052" spans="1:40" x14ac:dyDescent="0.25">
      <c r="A6052" t="s">
        <v>15</v>
      </c>
      <c r="B6052" t="s">
        <v>24</v>
      </c>
      <c r="C6052">
        <v>20150316</v>
      </c>
      <c r="D6052">
        <v>0</v>
      </c>
      <c r="F6052">
        <v>62500</v>
      </c>
      <c r="G6052" t="s">
        <v>17</v>
      </c>
      <c r="I6052" t="s">
        <v>16</v>
      </c>
      <c r="J6052" t="s">
        <v>180</v>
      </c>
      <c r="K6052" t="s">
        <v>25</v>
      </c>
      <c r="L6052">
        <v>132757294</v>
      </c>
      <c r="R6052">
        <v>9642</v>
      </c>
      <c r="S6052" t="s">
        <v>37</v>
      </c>
      <c r="T6052">
        <v>5</v>
      </c>
      <c r="U6052">
        <v>0</v>
      </c>
      <c r="V6052">
        <v>1.5248999999999999</v>
      </c>
      <c r="W6052">
        <v>1.5248999999999999</v>
      </c>
      <c r="X6052">
        <v>0</v>
      </c>
    </row>
    <row r="6053" spans="1:40" x14ac:dyDescent="0.25">
      <c r="A6053" t="s">
        <v>15</v>
      </c>
      <c r="B6053" t="s">
        <v>24</v>
      </c>
      <c r="C6053">
        <v>20150316</v>
      </c>
      <c r="D6053">
        <v>0</v>
      </c>
      <c r="F6053">
        <v>62500</v>
      </c>
      <c r="G6053" t="s">
        <v>17</v>
      </c>
      <c r="I6053" t="s">
        <v>16</v>
      </c>
      <c r="J6053" t="s">
        <v>180</v>
      </c>
      <c r="K6053" t="s">
        <v>25</v>
      </c>
      <c r="L6053">
        <v>132757294</v>
      </c>
      <c r="R6053">
        <v>9642</v>
      </c>
      <c r="S6053" t="s">
        <v>37</v>
      </c>
      <c r="T6053">
        <v>5</v>
      </c>
      <c r="U6053">
        <v>0</v>
      </c>
      <c r="V6053">
        <v>1.5248999999999999</v>
      </c>
      <c r="W6053">
        <v>1.5248999999999999</v>
      </c>
      <c r="X6053">
        <v>0</v>
      </c>
    </row>
    <row r="6054" spans="1:40" x14ac:dyDescent="0.25">
      <c r="A6054" t="s">
        <v>15</v>
      </c>
      <c r="B6054" t="s">
        <v>24</v>
      </c>
      <c r="C6054">
        <v>20150316</v>
      </c>
      <c r="D6054">
        <v>0</v>
      </c>
      <c r="F6054">
        <v>62500</v>
      </c>
      <c r="G6054" t="s">
        <v>17</v>
      </c>
      <c r="I6054" t="s">
        <v>16</v>
      </c>
      <c r="J6054" t="s">
        <v>180</v>
      </c>
      <c r="K6054" t="s">
        <v>25</v>
      </c>
      <c r="L6054">
        <v>132757294</v>
      </c>
      <c r="R6054">
        <v>9643</v>
      </c>
      <c r="S6054" t="s">
        <v>232</v>
      </c>
      <c r="T6054">
        <v>0</v>
      </c>
      <c r="U6054">
        <v>-1</v>
      </c>
      <c r="V6054">
        <v>0</v>
      </c>
      <c r="W6054">
        <v>0</v>
      </c>
      <c r="X6054">
        <v>0</v>
      </c>
    </row>
    <row r="6055" spans="1:40" x14ac:dyDescent="0.25">
      <c r="A6055" t="s">
        <v>15</v>
      </c>
      <c r="B6055" t="s">
        <v>24</v>
      </c>
      <c r="C6055">
        <v>20150316</v>
      </c>
      <c r="D6055">
        <v>0</v>
      </c>
      <c r="F6055">
        <v>62500</v>
      </c>
      <c r="G6055" t="s">
        <v>17</v>
      </c>
      <c r="I6055" t="s">
        <v>16</v>
      </c>
      <c r="J6055" t="s">
        <v>180</v>
      </c>
      <c r="K6055" t="s">
        <v>25</v>
      </c>
      <c r="L6055">
        <v>132757294</v>
      </c>
      <c r="R6055">
        <v>9643</v>
      </c>
      <c r="S6055" t="s">
        <v>232</v>
      </c>
      <c r="T6055">
        <v>0</v>
      </c>
      <c r="U6055">
        <v>-1</v>
      </c>
      <c r="V6055">
        <v>0</v>
      </c>
      <c r="W6055">
        <v>0</v>
      </c>
      <c r="X6055">
        <v>0</v>
      </c>
      <c r="Y6055">
        <v>9643</v>
      </c>
      <c r="Z6055" t="s">
        <v>414</v>
      </c>
      <c r="AA6055" t="s">
        <v>415</v>
      </c>
      <c r="AB6055" t="s">
        <v>234</v>
      </c>
      <c r="AC6055" t="s">
        <v>17</v>
      </c>
      <c r="AD6055" t="s">
        <v>237</v>
      </c>
      <c r="AE6055">
        <v>1</v>
      </c>
      <c r="AF6055">
        <v>1</v>
      </c>
      <c r="AG6055">
        <v>1.5248999999999999</v>
      </c>
      <c r="AH6055">
        <v>1.5248999999999999</v>
      </c>
      <c r="AI6055">
        <v>415886676</v>
      </c>
      <c r="AJ6055">
        <v>0</v>
      </c>
      <c r="AK6055">
        <v>7</v>
      </c>
      <c r="AN6055">
        <v>0</v>
      </c>
    </row>
    <row r="6056" spans="1:40" x14ac:dyDescent="0.25">
      <c r="A6056" t="s">
        <v>15</v>
      </c>
      <c r="B6056" t="s">
        <v>24</v>
      </c>
      <c r="C6056">
        <v>20150316</v>
      </c>
      <c r="D6056">
        <v>0</v>
      </c>
      <c r="F6056">
        <v>62500</v>
      </c>
      <c r="G6056" t="s">
        <v>17</v>
      </c>
      <c r="I6056" t="s">
        <v>16</v>
      </c>
      <c r="J6056" t="s">
        <v>180</v>
      </c>
      <c r="K6056" t="s">
        <v>25</v>
      </c>
      <c r="L6056">
        <v>132757294</v>
      </c>
      <c r="R6056">
        <v>9643</v>
      </c>
      <c r="S6056" t="s">
        <v>232</v>
      </c>
      <c r="T6056">
        <v>0</v>
      </c>
      <c r="U6056">
        <v>-1</v>
      </c>
      <c r="V6056">
        <v>0</v>
      </c>
      <c r="W6056">
        <v>0</v>
      </c>
      <c r="X6056">
        <v>0</v>
      </c>
    </row>
    <row r="6057" spans="1:40" x14ac:dyDescent="0.25">
      <c r="A6057" t="s">
        <v>15</v>
      </c>
      <c r="B6057" t="s">
        <v>24</v>
      </c>
      <c r="C6057">
        <v>20150316</v>
      </c>
      <c r="D6057">
        <v>0</v>
      </c>
      <c r="F6057">
        <v>62500</v>
      </c>
      <c r="G6057" t="s">
        <v>17</v>
      </c>
      <c r="I6057" t="s">
        <v>16</v>
      </c>
      <c r="J6057" t="s">
        <v>180</v>
      </c>
      <c r="K6057" t="s">
        <v>25</v>
      </c>
      <c r="L6057">
        <v>132757294</v>
      </c>
      <c r="R6057">
        <v>9643</v>
      </c>
      <c r="S6057" t="s">
        <v>37</v>
      </c>
      <c r="T6057">
        <v>1</v>
      </c>
      <c r="U6057">
        <v>0</v>
      </c>
      <c r="V6057">
        <v>1.5248999999999999</v>
      </c>
      <c r="W6057">
        <v>1.5248999999999999</v>
      </c>
      <c r="X6057">
        <v>0</v>
      </c>
    </row>
    <row r="6058" spans="1:40" x14ac:dyDescent="0.25">
      <c r="A6058" t="s">
        <v>15</v>
      </c>
      <c r="B6058" t="s">
        <v>24</v>
      </c>
      <c r="C6058">
        <v>20150316</v>
      </c>
      <c r="D6058">
        <v>0</v>
      </c>
      <c r="F6058">
        <v>62500</v>
      </c>
      <c r="G6058" t="s">
        <v>17</v>
      </c>
      <c r="I6058" t="s">
        <v>16</v>
      </c>
      <c r="J6058" t="s">
        <v>180</v>
      </c>
      <c r="K6058" t="s">
        <v>25</v>
      </c>
      <c r="L6058">
        <v>132757294</v>
      </c>
      <c r="R6058">
        <v>9643</v>
      </c>
      <c r="S6058" t="s">
        <v>37</v>
      </c>
      <c r="T6058">
        <v>1</v>
      </c>
      <c r="U6058">
        <v>0</v>
      </c>
      <c r="V6058">
        <v>1.5248999999999999</v>
      </c>
      <c r="W6058">
        <v>1.5248999999999999</v>
      </c>
      <c r="X6058">
        <v>0</v>
      </c>
    </row>
    <row r="6059" spans="1:40" x14ac:dyDescent="0.25">
      <c r="A6059" t="s">
        <v>15</v>
      </c>
      <c r="B6059" t="s">
        <v>24</v>
      </c>
      <c r="C6059">
        <v>20150316</v>
      </c>
      <c r="D6059">
        <v>0</v>
      </c>
      <c r="F6059">
        <v>62500</v>
      </c>
      <c r="G6059" t="s">
        <v>17</v>
      </c>
      <c r="I6059" t="s">
        <v>16</v>
      </c>
      <c r="J6059" t="s">
        <v>180</v>
      </c>
      <c r="K6059" t="s">
        <v>25</v>
      </c>
      <c r="L6059">
        <v>132757294</v>
      </c>
      <c r="R6059">
        <v>9643</v>
      </c>
      <c r="S6059" t="s">
        <v>37</v>
      </c>
      <c r="T6059">
        <v>1</v>
      </c>
      <c r="U6059">
        <v>0</v>
      </c>
      <c r="V6059">
        <v>1.5248999999999999</v>
      </c>
      <c r="W6059">
        <v>1.5248999999999999</v>
      </c>
      <c r="X6059">
        <v>0</v>
      </c>
    </row>
    <row r="6060" spans="1:40" x14ac:dyDescent="0.25">
      <c r="A6060" t="s">
        <v>15</v>
      </c>
      <c r="B6060" t="s">
        <v>24</v>
      </c>
      <c r="C6060">
        <v>20150316</v>
      </c>
      <c r="D6060">
        <v>0</v>
      </c>
      <c r="F6060">
        <v>62500</v>
      </c>
      <c r="G6060" t="s">
        <v>17</v>
      </c>
      <c r="I6060" t="s">
        <v>16</v>
      </c>
      <c r="J6060" t="s">
        <v>180</v>
      </c>
      <c r="K6060" t="s">
        <v>25</v>
      </c>
      <c r="L6060">
        <v>132757294</v>
      </c>
      <c r="R6060">
        <v>9643</v>
      </c>
      <c r="S6060" t="s">
        <v>37</v>
      </c>
      <c r="T6060">
        <v>1</v>
      </c>
      <c r="U6060">
        <v>0</v>
      </c>
      <c r="V6060">
        <v>1.5248999999999999</v>
      </c>
      <c r="W6060">
        <v>1.5248999999999999</v>
      </c>
      <c r="X6060">
        <v>0</v>
      </c>
    </row>
    <row r="6061" spans="1:40" x14ac:dyDescent="0.25">
      <c r="A6061" t="s">
        <v>15</v>
      </c>
      <c r="B6061" t="s">
        <v>24</v>
      </c>
      <c r="C6061">
        <v>20150316</v>
      </c>
      <c r="D6061">
        <v>0</v>
      </c>
      <c r="F6061">
        <v>62500</v>
      </c>
      <c r="G6061" t="s">
        <v>17</v>
      </c>
      <c r="I6061" t="s">
        <v>16</v>
      </c>
      <c r="J6061" t="s">
        <v>180</v>
      </c>
      <c r="K6061" t="s">
        <v>25</v>
      </c>
      <c r="L6061">
        <v>132757294</v>
      </c>
      <c r="R6061">
        <v>9643</v>
      </c>
      <c r="S6061" t="s">
        <v>37</v>
      </c>
      <c r="T6061">
        <v>1</v>
      </c>
      <c r="U6061">
        <v>0</v>
      </c>
      <c r="V6061">
        <v>1.5248999999999999</v>
      </c>
      <c r="W6061">
        <v>1.5248999999999999</v>
      </c>
      <c r="X6061">
        <v>0</v>
      </c>
    </row>
    <row r="6062" spans="1:40" x14ac:dyDescent="0.25">
      <c r="A6062" t="s">
        <v>15</v>
      </c>
      <c r="B6062" t="s">
        <v>24</v>
      </c>
      <c r="C6062">
        <v>20150316</v>
      </c>
      <c r="D6062">
        <v>0</v>
      </c>
      <c r="F6062">
        <v>62500</v>
      </c>
      <c r="G6062" t="s">
        <v>17</v>
      </c>
      <c r="I6062" t="s">
        <v>16</v>
      </c>
      <c r="J6062" t="s">
        <v>180</v>
      </c>
      <c r="K6062" t="s">
        <v>25</v>
      </c>
      <c r="L6062">
        <v>132757294</v>
      </c>
      <c r="R6062">
        <v>9643</v>
      </c>
      <c r="S6062" t="s">
        <v>37</v>
      </c>
      <c r="T6062">
        <v>1</v>
      </c>
      <c r="U6062">
        <v>0</v>
      </c>
      <c r="V6062">
        <v>1.5248999999999999</v>
      </c>
      <c r="W6062">
        <v>1.5248999999999999</v>
      </c>
      <c r="X6062">
        <v>0</v>
      </c>
    </row>
    <row r="6063" spans="1:40" x14ac:dyDescent="0.25">
      <c r="A6063" t="s">
        <v>15</v>
      </c>
      <c r="B6063" t="s">
        <v>24</v>
      </c>
      <c r="C6063">
        <v>20150316</v>
      </c>
      <c r="D6063">
        <v>0</v>
      </c>
      <c r="F6063">
        <v>62500</v>
      </c>
      <c r="G6063" t="s">
        <v>17</v>
      </c>
      <c r="I6063" t="s">
        <v>16</v>
      </c>
      <c r="J6063" t="s">
        <v>180</v>
      </c>
      <c r="K6063" t="s">
        <v>25</v>
      </c>
      <c r="L6063">
        <v>132757294</v>
      </c>
      <c r="R6063">
        <v>9643</v>
      </c>
      <c r="S6063" t="s">
        <v>37</v>
      </c>
      <c r="T6063">
        <v>1</v>
      </c>
      <c r="U6063">
        <v>0</v>
      </c>
      <c r="V6063">
        <v>1.5248999999999999</v>
      </c>
      <c r="W6063">
        <v>1.5248999999999999</v>
      </c>
      <c r="X6063">
        <v>0</v>
      </c>
    </row>
    <row r="6064" spans="1:40" x14ac:dyDescent="0.25">
      <c r="A6064" t="s">
        <v>15</v>
      </c>
      <c r="B6064" t="s">
        <v>24</v>
      </c>
      <c r="C6064">
        <v>20150316</v>
      </c>
      <c r="D6064">
        <v>0</v>
      </c>
      <c r="F6064">
        <v>62500</v>
      </c>
      <c r="G6064" t="s">
        <v>17</v>
      </c>
      <c r="I6064" t="s">
        <v>16</v>
      </c>
      <c r="J6064" t="s">
        <v>180</v>
      </c>
      <c r="K6064" t="s">
        <v>25</v>
      </c>
      <c r="L6064">
        <v>132757294</v>
      </c>
      <c r="R6064">
        <v>9643</v>
      </c>
      <c r="S6064" t="s">
        <v>37</v>
      </c>
      <c r="T6064">
        <v>1</v>
      </c>
      <c r="U6064">
        <v>0</v>
      </c>
      <c r="V6064">
        <v>1.5248999999999999</v>
      </c>
      <c r="W6064">
        <v>1.5248999999999999</v>
      </c>
      <c r="X6064">
        <v>0</v>
      </c>
    </row>
    <row r="6065" spans="1:24" x14ac:dyDescent="0.25">
      <c r="A6065" t="s">
        <v>15</v>
      </c>
      <c r="B6065" t="s">
        <v>24</v>
      </c>
      <c r="C6065">
        <v>20150316</v>
      </c>
      <c r="D6065">
        <v>0</v>
      </c>
      <c r="F6065">
        <v>62500</v>
      </c>
      <c r="G6065" t="s">
        <v>17</v>
      </c>
      <c r="I6065" t="s">
        <v>16</v>
      </c>
      <c r="J6065" t="s">
        <v>180</v>
      </c>
      <c r="K6065" t="s">
        <v>25</v>
      </c>
      <c r="L6065">
        <v>132757294</v>
      </c>
      <c r="R6065">
        <v>9644</v>
      </c>
      <c r="S6065" t="s">
        <v>232</v>
      </c>
      <c r="T6065">
        <v>0</v>
      </c>
      <c r="U6065">
        <v>31</v>
      </c>
      <c r="V6065">
        <v>0</v>
      </c>
      <c r="W6065">
        <v>0</v>
      </c>
      <c r="X6065">
        <v>0</v>
      </c>
    </row>
    <row r="6066" spans="1:24" x14ac:dyDescent="0.25">
      <c r="A6066" t="s">
        <v>15</v>
      </c>
      <c r="B6066" t="s">
        <v>24</v>
      </c>
      <c r="C6066">
        <v>20150316</v>
      </c>
      <c r="D6066">
        <v>0</v>
      </c>
      <c r="F6066">
        <v>62500</v>
      </c>
      <c r="G6066" t="s">
        <v>17</v>
      </c>
      <c r="I6066" t="s">
        <v>16</v>
      </c>
      <c r="J6066" t="s">
        <v>180</v>
      </c>
      <c r="K6066" t="s">
        <v>25</v>
      </c>
      <c r="L6066">
        <v>132757294</v>
      </c>
      <c r="R6066">
        <v>9641</v>
      </c>
      <c r="S6066" t="s">
        <v>223</v>
      </c>
      <c r="T6066">
        <v>0</v>
      </c>
      <c r="U6066">
        <v>25</v>
      </c>
      <c r="V6066">
        <v>0</v>
      </c>
      <c r="W6066">
        <v>0</v>
      </c>
      <c r="X6066">
        <v>0</v>
      </c>
    </row>
    <row r="6067" spans="1:24" x14ac:dyDescent="0.25">
      <c r="A6067" t="s">
        <v>15</v>
      </c>
      <c r="B6067" t="s">
        <v>24</v>
      </c>
      <c r="C6067">
        <v>20150316</v>
      </c>
      <c r="D6067">
        <v>0</v>
      </c>
      <c r="F6067">
        <v>62500</v>
      </c>
      <c r="G6067" t="s">
        <v>17</v>
      </c>
      <c r="I6067" t="s">
        <v>16</v>
      </c>
      <c r="J6067" t="s">
        <v>180</v>
      </c>
      <c r="K6067" t="s">
        <v>25</v>
      </c>
      <c r="L6067">
        <v>132757294</v>
      </c>
      <c r="R6067">
        <v>9641</v>
      </c>
      <c r="S6067" t="s">
        <v>224</v>
      </c>
      <c r="T6067">
        <v>0</v>
      </c>
      <c r="U6067">
        <v>25</v>
      </c>
      <c r="V6067">
        <v>0</v>
      </c>
      <c r="W6067">
        <v>0</v>
      </c>
      <c r="X6067">
        <v>0</v>
      </c>
    </row>
    <row r="6068" spans="1:24" x14ac:dyDescent="0.25">
      <c r="A6068" t="s">
        <v>15</v>
      </c>
      <c r="B6068" t="s">
        <v>24</v>
      </c>
      <c r="C6068">
        <v>20150316</v>
      </c>
      <c r="D6068">
        <v>0</v>
      </c>
      <c r="F6068">
        <v>62500</v>
      </c>
      <c r="G6068" t="s">
        <v>17</v>
      </c>
      <c r="I6068" t="s">
        <v>16</v>
      </c>
      <c r="J6068" t="s">
        <v>180</v>
      </c>
      <c r="K6068" t="s">
        <v>25</v>
      </c>
      <c r="L6068">
        <v>132757294</v>
      </c>
      <c r="R6068">
        <v>9644</v>
      </c>
      <c r="S6068" t="s">
        <v>232</v>
      </c>
      <c r="T6068">
        <v>0</v>
      </c>
      <c r="U6068">
        <v>31</v>
      </c>
      <c r="V6068">
        <v>0</v>
      </c>
      <c r="W6068">
        <v>0</v>
      </c>
      <c r="X6068">
        <v>0</v>
      </c>
    </row>
    <row r="6069" spans="1:24" x14ac:dyDescent="0.25">
      <c r="A6069" t="s">
        <v>15</v>
      </c>
      <c r="B6069" t="s">
        <v>24</v>
      </c>
      <c r="C6069">
        <v>20150316</v>
      </c>
      <c r="D6069">
        <v>0</v>
      </c>
      <c r="F6069">
        <v>62500</v>
      </c>
      <c r="G6069" t="s">
        <v>17</v>
      </c>
      <c r="I6069" t="s">
        <v>16</v>
      </c>
      <c r="J6069" t="s">
        <v>180</v>
      </c>
      <c r="K6069" t="s">
        <v>25</v>
      </c>
      <c r="L6069">
        <v>132757294</v>
      </c>
      <c r="R6069">
        <v>9644</v>
      </c>
      <c r="S6069" t="s">
        <v>192</v>
      </c>
      <c r="T6069">
        <v>0</v>
      </c>
      <c r="U6069">
        <v>31</v>
      </c>
      <c r="V6069">
        <v>0</v>
      </c>
      <c r="W6069">
        <v>0</v>
      </c>
      <c r="X6069">
        <v>0</v>
      </c>
    </row>
    <row r="6070" spans="1:24" x14ac:dyDescent="0.25">
      <c r="A6070" t="s">
        <v>15</v>
      </c>
      <c r="B6070" t="s">
        <v>24</v>
      </c>
      <c r="C6070">
        <v>20150316</v>
      </c>
      <c r="D6070">
        <v>0</v>
      </c>
      <c r="F6070">
        <v>62500</v>
      </c>
      <c r="G6070" t="s">
        <v>17</v>
      </c>
      <c r="I6070" t="s">
        <v>16</v>
      </c>
      <c r="J6070" t="s">
        <v>180</v>
      </c>
      <c r="K6070" t="s">
        <v>25</v>
      </c>
      <c r="L6070">
        <v>132757294</v>
      </c>
      <c r="R6070">
        <v>9645</v>
      </c>
      <c r="S6070" t="s">
        <v>232</v>
      </c>
      <c r="T6070">
        <v>0</v>
      </c>
      <c r="U6070">
        <v>-31</v>
      </c>
      <c r="V6070">
        <v>0</v>
      </c>
      <c r="W6070">
        <v>0</v>
      </c>
      <c r="X6070">
        <v>0</v>
      </c>
    </row>
    <row r="6071" spans="1:24" x14ac:dyDescent="0.25">
      <c r="A6071" t="s">
        <v>15</v>
      </c>
      <c r="B6071" t="s">
        <v>24</v>
      </c>
      <c r="C6071">
        <v>20150316</v>
      </c>
      <c r="D6071">
        <v>0</v>
      </c>
      <c r="F6071">
        <v>62500</v>
      </c>
      <c r="G6071" t="s">
        <v>17</v>
      </c>
      <c r="I6071" t="s">
        <v>16</v>
      </c>
      <c r="J6071" t="s">
        <v>180</v>
      </c>
      <c r="K6071" t="s">
        <v>25</v>
      </c>
      <c r="L6071">
        <v>132757294</v>
      </c>
      <c r="R6071">
        <v>9645</v>
      </c>
      <c r="S6071" t="s">
        <v>232</v>
      </c>
      <c r="T6071">
        <v>0</v>
      </c>
      <c r="U6071">
        <v>-31</v>
      </c>
      <c r="V6071">
        <v>0</v>
      </c>
      <c r="W6071">
        <v>0</v>
      </c>
      <c r="X6071">
        <v>0</v>
      </c>
    </row>
    <row r="6072" spans="1:24" x14ac:dyDescent="0.25">
      <c r="A6072" t="s">
        <v>15</v>
      </c>
      <c r="B6072" t="s">
        <v>24</v>
      </c>
      <c r="C6072">
        <v>20150316</v>
      </c>
      <c r="D6072">
        <v>0</v>
      </c>
      <c r="F6072">
        <v>62500</v>
      </c>
      <c r="G6072" t="s">
        <v>17</v>
      </c>
      <c r="I6072" t="s">
        <v>16</v>
      </c>
      <c r="J6072" t="s">
        <v>180</v>
      </c>
      <c r="K6072" t="s">
        <v>25</v>
      </c>
      <c r="L6072">
        <v>132757294</v>
      </c>
      <c r="R6072">
        <v>9645</v>
      </c>
      <c r="S6072" t="s">
        <v>192</v>
      </c>
      <c r="T6072">
        <v>0</v>
      </c>
      <c r="U6072">
        <v>31</v>
      </c>
      <c r="V6072">
        <v>0</v>
      </c>
      <c r="W6072">
        <v>0</v>
      </c>
      <c r="X6072">
        <v>0</v>
      </c>
    </row>
    <row r="6073" spans="1:24" x14ac:dyDescent="0.25">
      <c r="A6073" t="s">
        <v>15</v>
      </c>
      <c r="B6073" t="s">
        <v>24</v>
      </c>
      <c r="C6073">
        <v>20150316</v>
      </c>
      <c r="D6073">
        <v>0</v>
      </c>
      <c r="F6073">
        <v>62500</v>
      </c>
      <c r="G6073" t="s">
        <v>17</v>
      </c>
      <c r="I6073" t="s">
        <v>16</v>
      </c>
      <c r="J6073" t="s">
        <v>180</v>
      </c>
      <c r="K6073" t="s">
        <v>25</v>
      </c>
      <c r="L6073">
        <v>132757294</v>
      </c>
      <c r="R6073">
        <v>9646</v>
      </c>
      <c r="S6073" t="s">
        <v>232</v>
      </c>
      <c r="T6073">
        <v>0</v>
      </c>
      <c r="U6073">
        <v>27</v>
      </c>
      <c r="V6073">
        <v>0</v>
      </c>
      <c r="W6073">
        <v>0</v>
      </c>
      <c r="X6073">
        <v>0</v>
      </c>
    </row>
    <row r="6074" spans="1:24" x14ac:dyDescent="0.25">
      <c r="A6074" t="s">
        <v>15</v>
      </c>
      <c r="B6074" t="s">
        <v>24</v>
      </c>
      <c r="C6074">
        <v>20150316</v>
      </c>
      <c r="D6074">
        <v>0</v>
      </c>
      <c r="F6074">
        <v>62500</v>
      </c>
      <c r="G6074" t="s">
        <v>17</v>
      </c>
      <c r="I6074" t="s">
        <v>16</v>
      </c>
      <c r="J6074" t="s">
        <v>180</v>
      </c>
      <c r="K6074" t="s">
        <v>25</v>
      </c>
      <c r="L6074">
        <v>132757294</v>
      </c>
      <c r="R6074">
        <v>9644</v>
      </c>
      <c r="S6074" t="s">
        <v>223</v>
      </c>
      <c r="T6074">
        <v>0</v>
      </c>
      <c r="U6074">
        <v>31</v>
      </c>
      <c r="V6074">
        <v>0</v>
      </c>
      <c r="W6074">
        <v>0</v>
      </c>
      <c r="X6074">
        <v>0</v>
      </c>
    </row>
    <row r="6075" spans="1:24" x14ac:dyDescent="0.25">
      <c r="A6075" t="s">
        <v>15</v>
      </c>
      <c r="B6075" t="s">
        <v>24</v>
      </c>
      <c r="C6075">
        <v>20150316</v>
      </c>
      <c r="D6075">
        <v>0</v>
      </c>
      <c r="F6075">
        <v>62500</v>
      </c>
      <c r="G6075" t="s">
        <v>17</v>
      </c>
      <c r="I6075" t="s">
        <v>16</v>
      </c>
      <c r="J6075" t="s">
        <v>180</v>
      </c>
      <c r="K6075" t="s">
        <v>25</v>
      </c>
      <c r="L6075">
        <v>132757294</v>
      </c>
      <c r="R6075">
        <v>9644</v>
      </c>
      <c r="S6075" t="s">
        <v>224</v>
      </c>
      <c r="T6075">
        <v>0</v>
      </c>
      <c r="U6075">
        <v>31</v>
      </c>
      <c r="V6075">
        <v>0</v>
      </c>
      <c r="W6075">
        <v>0</v>
      </c>
      <c r="X6075">
        <v>0</v>
      </c>
    </row>
    <row r="6076" spans="1:24" x14ac:dyDescent="0.25">
      <c r="A6076" t="s">
        <v>15</v>
      </c>
      <c r="B6076" t="s">
        <v>24</v>
      </c>
      <c r="C6076">
        <v>20150316</v>
      </c>
      <c r="D6076">
        <v>0</v>
      </c>
      <c r="F6076">
        <v>62500</v>
      </c>
      <c r="G6076" t="s">
        <v>17</v>
      </c>
      <c r="I6076" t="s">
        <v>16</v>
      </c>
      <c r="J6076" t="s">
        <v>180</v>
      </c>
      <c r="K6076" t="s">
        <v>25</v>
      </c>
      <c r="L6076">
        <v>132757294</v>
      </c>
      <c r="R6076">
        <v>9645</v>
      </c>
      <c r="S6076" t="s">
        <v>223</v>
      </c>
      <c r="T6076">
        <v>0</v>
      </c>
      <c r="U6076">
        <v>31</v>
      </c>
      <c r="V6076">
        <v>0</v>
      </c>
      <c r="W6076">
        <v>0</v>
      </c>
      <c r="X6076">
        <v>0</v>
      </c>
    </row>
    <row r="6077" spans="1:24" x14ac:dyDescent="0.25">
      <c r="A6077" t="s">
        <v>15</v>
      </c>
      <c r="B6077" t="s">
        <v>24</v>
      </c>
      <c r="C6077">
        <v>20150316</v>
      </c>
      <c r="D6077">
        <v>0</v>
      </c>
      <c r="F6077">
        <v>62500</v>
      </c>
      <c r="G6077" t="s">
        <v>17</v>
      </c>
      <c r="I6077" t="s">
        <v>16</v>
      </c>
      <c r="J6077" t="s">
        <v>180</v>
      </c>
      <c r="K6077" t="s">
        <v>25</v>
      </c>
      <c r="L6077">
        <v>132757294</v>
      </c>
      <c r="R6077">
        <v>9645</v>
      </c>
      <c r="S6077" t="s">
        <v>224</v>
      </c>
      <c r="T6077">
        <v>0</v>
      </c>
      <c r="U6077">
        <v>31</v>
      </c>
      <c r="V6077">
        <v>0</v>
      </c>
      <c r="W6077">
        <v>0</v>
      </c>
      <c r="X6077">
        <v>0</v>
      </c>
    </row>
    <row r="6078" spans="1:24" x14ac:dyDescent="0.25">
      <c r="A6078" t="s">
        <v>15</v>
      </c>
      <c r="B6078" t="s">
        <v>24</v>
      </c>
      <c r="C6078">
        <v>20150316</v>
      </c>
      <c r="D6078">
        <v>0</v>
      </c>
      <c r="F6078">
        <v>62500</v>
      </c>
      <c r="G6078" t="s">
        <v>17</v>
      </c>
      <c r="I6078" t="s">
        <v>16</v>
      </c>
      <c r="J6078" t="s">
        <v>180</v>
      </c>
      <c r="K6078" t="s">
        <v>25</v>
      </c>
      <c r="L6078">
        <v>132757294</v>
      </c>
      <c r="R6078">
        <v>9646</v>
      </c>
      <c r="S6078" t="s">
        <v>232</v>
      </c>
      <c r="T6078">
        <v>0</v>
      </c>
      <c r="U6078">
        <v>27</v>
      </c>
      <c r="V6078">
        <v>0</v>
      </c>
      <c r="W6078">
        <v>0</v>
      </c>
      <c r="X6078">
        <v>0</v>
      </c>
    </row>
    <row r="6079" spans="1:24" x14ac:dyDescent="0.25">
      <c r="A6079" t="s">
        <v>15</v>
      </c>
      <c r="B6079" t="s">
        <v>24</v>
      </c>
      <c r="C6079">
        <v>20150316</v>
      </c>
      <c r="D6079">
        <v>0</v>
      </c>
      <c r="F6079">
        <v>62500</v>
      </c>
      <c r="G6079" t="s">
        <v>17</v>
      </c>
      <c r="I6079" t="s">
        <v>16</v>
      </c>
      <c r="J6079" t="s">
        <v>180</v>
      </c>
      <c r="K6079" t="s">
        <v>25</v>
      </c>
      <c r="L6079">
        <v>132757294</v>
      </c>
      <c r="R6079">
        <v>9646</v>
      </c>
      <c r="S6079" t="s">
        <v>192</v>
      </c>
      <c r="T6079">
        <v>0</v>
      </c>
      <c r="U6079">
        <v>27</v>
      </c>
      <c r="V6079">
        <v>0</v>
      </c>
      <c r="W6079">
        <v>0</v>
      </c>
      <c r="X6079">
        <v>0</v>
      </c>
    </row>
    <row r="6080" spans="1:24" x14ac:dyDescent="0.25">
      <c r="A6080" t="s">
        <v>15</v>
      </c>
      <c r="B6080" t="s">
        <v>24</v>
      </c>
      <c r="C6080">
        <v>20150316</v>
      </c>
      <c r="D6080">
        <v>0</v>
      </c>
      <c r="F6080">
        <v>62500</v>
      </c>
      <c r="G6080" t="s">
        <v>17</v>
      </c>
      <c r="I6080" t="s">
        <v>16</v>
      </c>
      <c r="J6080" t="s">
        <v>180</v>
      </c>
      <c r="K6080" t="s">
        <v>25</v>
      </c>
      <c r="L6080">
        <v>132757294</v>
      </c>
      <c r="R6080">
        <v>9647</v>
      </c>
      <c r="S6080" t="s">
        <v>232</v>
      </c>
      <c r="T6080">
        <v>0</v>
      </c>
      <c r="U6080">
        <v>-28</v>
      </c>
      <c r="V6080">
        <v>0</v>
      </c>
      <c r="W6080">
        <v>0</v>
      </c>
      <c r="X6080">
        <v>0</v>
      </c>
    </row>
    <row r="6081" spans="1:40" x14ac:dyDescent="0.25">
      <c r="A6081" t="s">
        <v>15</v>
      </c>
      <c r="B6081" t="s">
        <v>24</v>
      </c>
      <c r="C6081">
        <v>20150316</v>
      </c>
      <c r="D6081">
        <v>0</v>
      </c>
      <c r="F6081">
        <v>62500</v>
      </c>
      <c r="G6081" t="s">
        <v>17</v>
      </c>
      <c r="I6081" t="s">
        <v>16</v>
      </c>
      <c r="J6081" t="s">
        <v>180</v>
      </c>
      <c r="K6081" t="s">
        <v>25</v>
      </c>
      <c r="L6081">
        <v>132757294</v>
      </c>
      <c r="R6081">
        <v>9647</v>
      </c>
      <c r="S6081" t="s">
        <v>232</v>
      </c>
      <c r="T6081">
        <v>0</v>
      </c>
      <c r="U6081">
        <v>-28</v>
      </c>
      <c r="V6081">
        <v>0</v>
      </c>
      <c r="W6081">
        <v>0</v>
      </c>
      <c r="X6081">
        <v>0</v>
      </c>
    </row>
    <row r="6082" spans="1:40" x14ac:dyDescent="0.25">
      <c r="A6082" t="s">
        <v>15</v>
      </c>
      <c r="B6082" t="s">
        <v>24</v>
      </c>
      <c r="C6082">
        <v>20150316</v>
      </c>
      <c r="D6082">
        <v>0</v>
      </c>
      <c r="F6082">
        <v>62500</v>
      </c>
      <c r="G6082" t="s">
        <v>17</v>
      </c>
      <c r="I6082" t="s">
        <v>16</v>
      </c>
      <c r="J6082" t="s">
        <v>180</v>
      </c>
      <c r="K6082" t="s">
        <v>25</v>
      </c>
      <c r="L6082">
        <v>132757294</v>
      </c>
      <c r="R6082">
        <v>9647</v>
      </c>
      <c r="S6082" t="s">
        <v>192</v>
      </c>
      <c r="T6082">
        <v>0</v>
      </c>
      <c r="U6082">
        <v>28</v>
      </c>
      <c r="V6082">
        <v>0</v>
      </c>
      <c r="W6082">
        <v>0</v>
      </c>
      <c r="X6082">
        <v>0</v>
      </c>
    </row>
    <row r="6083" spans="1:40" x14ac:dyDescent="0.25">
      <c r="A6083" t="s">
        <v>15</v>
      </c>
      <c r="B6083" t="s">
        <v>24</v>
      </c>
      <c r="C6083">
        <v>20150316</v>
      </c>
      <c r="D6083">
        <v>0</v>
      </c>
      <c r="F6083">
        <v>62500</v>
      </c>
      <c r="G6083" t="s">
        <v>17</v>
      </c>
      <c r="I6083" t="s">
        <v>16</v>
      </c>
      <c r="J6083" t="s">
        <v>180</v>
      </c>
      <c r="K6083" t="s">
        <v>25</v>
      </c>
      <c r="L6083">
        <v>132757294</v>
      </c>
      <c r="R6083">
        <v>9648</v>
      </c>
      <c r="S6083" t="s">
        <v>232</v>
      </c>
      <c r="T6083">
        <v>0</v>
      </c>
      <c r="U6083">
        <v>30</v>
      </c>
      <c r="V6083">
        <v>0</v>
      </c>
      <c r="W6083">
        <v>0</v>
      </c>
      <c r="X6083">
        <v>0</v>
      </c>
    </row>
    <row r="6084" spans="1:40" x14ac:dyDescent="0.25">
      <c r="A6084" t="s">
        <v>15</v>
      </c>
      <c r="B6084" t="s">
        <v>24</v>
      </c>
      <c r="C6084">
        <v>20150316</v>
      </c>
      <c r="D6084">
        <v>0</v>
      </c>
      <c r="F6084">
        <v>62500</v>
      </c>
      <c r="G6084" t="s">
        <v>17</v>
      </c>
      <c r="I6084" t="s">
        <v>16</v>
      </c>
      <c r="J6084" t="s">
        <v>180</v>
      </c>
      <c r="K6084" t="s">
        <v>25</v>
      </c>
      <c r="L6084">
        <v>132757294</v>
      </c>
      <c r="R6084">
        <v>9646</v>
      </c>
      <c r="S6084" t="s">
        <v>223</v>
      </c>
      <c r="T6084">
        <v>0</v>
      </c>
      <c r="U6084">
        <v>27</v>
      </c>
      <c r="V6084">
        <v>0</v>
      </c>
      <c r="W6084">
        <v>0</v>
      </c>
      <c r="X6084">
        <v>0</v>
      </c>
    </row>
    <row r="6085" spans="1:40" x14ac:dyDescent="0.25">
      <c r="A6085" t="s">
        <v>15</v>
      </c>
      <c r="B6085" t="s">
        <v>24</v>
      </c>
      <c r="C6085">
        <v>20150316</v>
      </c>
      <c r="D6085">
        <v>0</v>
      </c>
      <c r="F6085">
        <v>62500</v>
      </c>
      <c r="G6085" t="s">
        <v>17</v>
      </c>
      <c r="I6085" t="s">
        <v>16</v>
      </c>
      <c r="J6085" t="s">
        <v>180</v>
      </c>
      <c r="K6085" t="s">
        <v>25</v>
      </c>
      <c r="L6085">
        <v>132757294</v>
      </c>
      <c r="R6085">
        <v>9646</v>
      </c>
      <c r="S6085" t="s">
        <v>224</v>
      </c>
      <c r="T6085">
        <v>0</v>
      </c>
      <c r="U6085">
        <v>27</v>
      </c>
      <c r="V6085">
        <v>0</v>
      </c>
      <c r="W6085">
        <v>0</v>
      </c>
      <c r="X6085">
        <v>0</v>
      </c>
    </row>
    <row r="6086" spans="1:40" x14ac:dyDescent="0.25">
      <c r="A6086" t="s">
        <v>15</v>
      </c>
      <c r="B6086" t="s">
        <v>24</v>
      </c>
      <c r="C6086">
        <v>20150316</v>
      </c>
      <c r="D6086">
        <v>0</v>
      </c>
      <c r="F6086">
        <v>62500</v>
      </c>
      <c r="G6086" t="s">
        <v>17</v>
      </c>
      <c r="I6086" t="s">
        <v>16</v>
      </c>
      <c r="J6086" t="s">
        <v>180</v>
      </c>
      <c r="K6086" t="s">
        <v>25</v>
      </c>
      <c r="L6086">
        <v>132757294</v>
      </c>
      <c r="R6086">
        <v>9648</v>
      </c>
      <c r="S6086" t="s">
        <v>232</v>
      </c>
      <c r="T6086">
        <v>0</v>
      </c>
      <c r="U6086">
        <v>30</v>
      </c>
      <c r="V6086">
        <v>0</v>
      </c>
      <c r="W6086">
        <v>0</v>
      </c>
      <c r="X6086">
        <v>0</v>
      </c>
    </row>
    <row r="6087" spans="1:40" x14ac:dyDescent="0.25">
      <c r="A6087" t="s">
        <v>15</v>
      </c>
      <c r="B6087" t="s">
        <v>24</v>
      </c>
      <c r="C6087">
        <v>20150316</v>
      </c>
      <c r="D6087">
        <v>0</v>
      </c>
      <c r="F6087">
        <v>62500</v>
      </c>
      <c r="G6087" t="s">
        <v>17</v>
      </c>
      <c r="I6087" t="s">
        <v>16</v>
      </c>
      <c r="J6087" t="s">
        <v>180</v>
      </c>
      <c r="K6087" t="s">
        <v>25</v>
      </c>
      <c r="L6087">
        <v>132757294</v>
      </c>
      <c r="R6087">
        <v>9648</v>
      </c>
      <c r="S6087" t="s">
        <v>192</v>
      </c>
      <c r="T6087">
        <v>0</v>
      </c>
      <c r="U6087">
        <v>30</v>
      </c>
      <c r="V6087">
        <v>0</v>
      </c>
      <c r="W6087">
        <v>0</v>
      </c>
      <c r="X6087">
        <v>0</v>
      </c>
    </row>
    <row r="6088" spans="1:40" x14ac:dyDescent="0.25">
      <c r="A6088" t="s">
        <v>15</v>
      </c>
      <c r="B6088" t="s">
        <v>24</v>
      </c>
      <c r="C6088">
        <v>20150316</v>
      </c>
      <c r="D6088">
        <v>0</v>
      </c>
      <c r="F6088">
        <v>62500</v>
      </c>
      <c r="G6088" t="s">
        <v>17</v>
      </c>
      <c r="I6088" t="s">
        <v>16</v>
      </c>
      <c r="J6088" t="s">
        <v>180</v>
      </c>
      <c r="K6088" t="s">
        <v>25</v>
      </c>
      <c r="L6088">
        <v>132757294</v>
      </c>
      <c r="R6088">
        <v>9649</v>
      </c>
      <c r="S6088" t="s">
        <v>232</v>
      </c>
      <c r="T6088">
        <v>0</v>
      </c>
      <c r="U6088">
        <v>-31</v>
      </c>
      <c r="V6088">
        <v>0</v>
      </c>
      <c r="W6088">
        <v>0</v>
      </c>
      <c r="X6088">
        <v>0</v>
      </c>
    </row>
    <row r="6089" spans="1:40" x14ac:dyDescent="0.25">
      <c r="A6089" t="s">
        <v>15</v>
      </c>
      <c r="B6089" t="s">
        <v>24</v>
      </c>
      <c r="C6089">
        <v>20150316</v>
      </c>
      <c r="D6089">
        <v>0</v>
      </c>
      <c r="F6089">
        <v>62500</v>
      </c>
      <c r="G6089" t="s">
        <v>17</v>
      </c>
      <c r="I6089" t="s">
        <v>16</v>
      </c>
      <c r="J6089" t="s">
        <v>180</v>
      </c>
      <c r="K6089" t="s">
        <v>25</v>
      </c>
      <c r="L6089">
        <v>132757294</v>
      </c>
      <c r="R6089">
        <v>9647</v>
      </c>
      <c r="S6089" t="s">
        <v>223</v>
      </c>
      <c r="T6089">
        <v>0</v>
      </c>
      <c r="U6089">
        <v>28</v>
      </c>
      <c r="V6089">
        <v>0</v>
      </c>
      <c r="W6089">
        <v>0</v>
      </c>
      <c r="X6089">
        <v>0</v>
      </c>
    </row>
    <row r="6090" spans="1:40" x14ac:dyDescent="0.25">
      <c r="A6090" t="s">
        <v>15</v>
      </c>
      <c r="B6090" t="s">
        <v>24</v>
      </c>
      <c r="C6090">
        <v>20150316</v>
      </c>
      <c r="D6090">
        <v>0</v>
      </c>
      <c r="F6090">
        <v>62500</v>
      </c>
      <c r="G6090" t="s">
        <v>17</v>
      </c>
      <c r="I6090" t="s">
        <v>16</v>
      </c>
      <c r="J6090" t="s">
        <v>180</v>
      </c>
      <c r="K6090" t="s">
        <v>25</v>
      </c>
      <c r="L6090">
        <v>132757294</v>
      </c>
      <c r="R6090">
        <v>9647</v>
      </c>
      <c r="S6090" t="s">
        <v>224</v>
      </c>
      <c r="T6090">
        <v>0</v>
      </c>
      <c r="U6090">
        <v>28</v>
      </c>
      <c r="V6090">
        <v>0</v>
      </c>
      <c r="W6090">
        <v>0</v>
      </c>
      <c r="X6090">
        <v>0</v>
      </c>
    </row>
    <row r="6091" spans="1:40" x14ac:dyDescent="0.25">
      <c r="A6091" t="s">
        <v>15</v>
      </c>
      <c r="B6091" t="s">
        <v>24</v>
      </c>
      <c r="C6091">
        <v>20150316</v>
      </c>
      <c r="D6091">
        <v>0</v>
      </c>
      <c r="F6091">
        <v>62500</v>
      </c>
      <c r="G6091" t="s">
        <v>17</v>
      </c>
      <c r="I6091" t="s">
        <v>16</v>
      </c>
      <c r="J6091" t="s">
        <v>180</v>
      </c>
      <c r="K6091" t="s">
        <v>25</v>
      </c>
      <c r="L6091">
        <v>132757294</v>
      </c>
      <c r="R6091">
        <v>9649</v>
      </c>
      <c r="S6091" t="s">
        <v>232</v>
      </c>
      <c r="T6091">
        <v>0</v>
      </c>
      <c r="U6091">
        <v>-31</v>
      </c>
      <c r="V6091">
        <v>0</v>
      </c>
      <c r="W6091">
        <v>0</v>
      </c>
      <c r="X6091">
        <v>0</v>
      </c>
    </row>
    <row r="6092" spans="1:40" x14ac:dyDescent="0.25">
      <c r="A6092" t="s">
        <v>15</v>
      </c>
      <c r="B6092" t="s">
        <v>24</v>
      </c>
      <c r="C6092">
        <v>20150316</v>
      </c>
      <c r="D6092">
        <v>0</v>
      </c>
      <c r="F6092">
        <v>62500</v>
      </c>
      <c r="G6092" t="s">
        <v>17</v>
      </c>
      <c r="I6092" t="s">
        <v>16</v>
      </c>
      <c r="J6092" t="s">
        <v>180</v>
      </c>
      <c r="K6092" t="s">
        <v>25</v>
      </c>
      <c r="L6092">
        <v>132757294</v>
      </c>
      <c r="R6092">
        <v>9649</v>
      </c>
      <c r="S6092" t="s">
        <v>192</v>
      </c>
      <c r="T6092">
        <v>0</v>
      </c>
      <c r="U6092">
        <v>31</v>
      </c>
      <c r="V6092">
        <v>0</v>
      </c>
      <c r="W6092">
        <v>0</v>
      </c>
      <c r="X6092">
        <v>0</v>
      </c>
    </row>
    <row r="6093" spans="1:40" x14ac:dyDescent="0.25">
      <c r="A6093" t="s">
        <v>15</v>
      </c>
      <c r="B6093" t="s">
        <v>24</v>
      </c>
      <c r="C6093">
        <v>20150316</v>
      </c>
      <c r="D6093">
        <v>0</v>
      </c>
      <c r="F6093">
        <v>62500</v>
      </c>
      <c r="G6093" t="s">
        <v>17</v>
      </c>
      <c r="I6093" t="s">
        <v>16</v>
      </c>
      <c r="J6093" t="s">
        <v>180</v>
      </c>
      <c r="K6093" t="s">
        <v>25</v>
      </c>
      <c r="L6093">
        <v>132757294</v>
      </c>
      <c r="R6093">
        <v>9650</v>
      </c>
      <c r="S6093" t="s">
        <v>232</v>
      </c>
      <c r="T6093">
        <v>0</v>
      </c>
      <c r="U6093">
        <v>5</v>
      </c>
      <c r="V6093">
        <v>0</v>
      </c>
      <c r="W6093">
        <v>0</v>
      </c>
      <c r="X6093">
        <v>0</v>
      </c>
    </row>
    <row r="6094" spans="1:40" x14ac:dyDescent="0.25">
      <c r="A6094" t="s">
        <v>15</v>
      </c>
      <c r="B6094" t="s">
        <v>24</v>
      </c>
      <c r="C6094">
        <v>20150316</v>
      </c>
      <c r="D6094">
        <v>0</v>
      </c>
      <c r="F6094">
        <v>62500</v>
      </c>
      <c r="G6094" t="s">
        <v>17</v>
      </c>
      <c r="I6094" t="s">
        <v>16</v>
      </c>
      <c r="J6094" t="s">
        <v>180</v>
      </c>
      <c r="K6094" t="s">
        <v>25</v>
      </c>
      <c r="L6094">
        <v>132757294</v>
      </c>
      <c r="R6094">
        <v>9650</v>
      </c>
      <c r="S6094" t="s">
        <v>232</v>
      </c>
      <c r="T6094">
        <v>0</v>
      </c>
      <c r="U6094">
        <v>-3</v>
      </c>
      <c r="V6094">
        <v>0</v>
      </c>
      <c r="W6094">
        <v>0</v>
      </c>
      <c r="X6094">
        <v>0</v>
      </c>
      <c r="Y6094">
        <v>9650</v>
      </c>
      <c r="Z6094" t="s">
        <v>416</v>
      </c>
      <c r="AA6094" t="s">
        <v>417</v>
      </c>
      <c r="AB6094" t="s">
        <v>234</v>
      </c>
      <c r="AC6094" t="s">
        <v>17</v>
      </c>
      <c r="AD6094" t="s">
        <v>235</v>
      </c>
      <c r="AE6094">
        <v>4</v>
      </c>
      <c r="AF6094">
        <v>4</v>
      </c>
      <c r="AG6094">
        <v>1.5248999999999999</v>
      </c>
      <c r="AH6094">
        <v>1.5248999999999999</v>
      </c>
      <c r="AI6094">
        <v>415886683</v>
      </c>
      <c r="AJ6094">
        <v>0</v>
      </c>
      <c r="AK6094">
        <v>7</v>
      </c>
      <c r="AN6094">
        <v>0</v>
      </c>
    </row>
    <row r="6095" spans="1:40" x14ac:dyDescent="0.25">
      <c r="A6095" t="s">
        <v>15</v>
      </c>
      <c r="B6095" t="s">
        <v>24</v>
      </c>
      <c r="C6095">
        <v>20150316</v>
      </c>
      <c r="D6095">
        <v>0</v>
      </c>
      <c r="F6095">
        <v>62500</v>
      </c>
      <c r="G6095" t="s">
        <v>17</v>
      </c>
      <c r="I6095" t="s">
        <v>16</v>
      </c>
      <c r="J6095" t="s">
        <v>180</v>
      </c>
      <c r="K6095" t="s">
        <v>25</v>
      </c>
      <c r="L6095">
        <v>132757294</v>
      </c>
      <c r="R6095">
        <v>9650</v>
      </c>
      <c r="S6095" t="s">
        <v>232</v>
      </c>
      <c r="T6095">
        <v>0</v>
      </c>
      <c r="U6095">
        <v>-3</v>
      </c>
      <c r="V6095">
        <v>0</v>
      </c>
      <c r="W6095">
        <v>0</v>
      </c>
      <c r="X6095">
        <v>0</v>
      </c>
    </row>
    <row r="6096" spans="1:40" x14ac:dyDescent="0.25">
      <c r="A6096" t="s">
        <v>15</v>
      </c>
      <c r="B6096" t="s">
        <v>24</v>
      </c>
      <c r="C6096">
        <v>20150316</v>
      </c>
      <c r="D6096">
        <v>0</v>
      </c>
      <c r="F6096">
        <v>62500</v>
      </c>
      <c r="G6096" t="s">
        <v>17</v>
      </c>
      <c r="I6096" t="s">
        <v>16</v>
      </c>
      <c r="J6096" t="s">
        <v>180</v>
      </c>
      <c r="K6096" t="s">
        <v>25</v>
      </c>
      <c r="L6096">
        <v>132757294</v>
      </c>
      <c r="R6096">
        <v>9650</v>
      </c>
      <c r="S6096" t="s">
        <v>236</v>
      </c>
      <c r="T6096">
        <v>4</v>
      </c>
      <c r="U6096">
        <v>1</v>
      </c>
      <c r="V6096">
        <v>1.5248999999999999</v>
      </c>
      <c r="W6096">
        <v>1.5248999999999999</v>
      </c>
      <c r="X6096">
        <v>0</v>
      </c>
    </row>
    <row r="6097" spans="1:40" x14ac:dyDescent="0.25">
      <c r="A6097" t="s">
        <v>15</v>
      </c>
      <c r="B6097" t="s">
        <v>24</v>
      </c>
      <c r="C6097">
        <v>20150316</v>
      </c>
      <c r="D6097">
        <v>0</v>
      </c>
      <c r="F6097">
        <v>62500</v>
      </c>
      <c r="G6097" t="s">
        <v>17</v>
      </c>
      <c r="I6097" t="s">
        <v>16</v>
      </c>
      <c r="J6097" t="s">
        <v>180</v>
      </c>
      <c r="K6097" t="s">
        <v>25</v>
      </c>
      <c r="L6097">
        <v>132757294</v>
      </c>
      <c r="R6097">
        <v>9650</v>
      </c>
      <c r="S6097" t="s">
        <v>236</v>
      </c>
      <c r="T6097">
        <v>4</v>
      </c>
      <c r="U6097">
        <v>1</v>
      </c>
      <c r="V6097">
        <v>1.5248999999999999</v>
      </c>
      <c r="W6097">
        <v>1.5248999999999999</v>
      </c>
      <c r="X6097">
        <v>0</v>
      </c>
    </row>
    <row r="6098" spans="1:40" x14ac:dyDescent="0.25">
      <c r="A6098" t="s">
        <v>15</v>
      </c>
      <c r="B6098" t="s">
        <v>24</v>
      </c>
      <c r="C6098">
        <v>20150316</v>
      </c>
      <c r="D6098">
        <v>0</v>
      </c>
      <c r="F6098">
        <v>62500</v>
      </c>
      <c r="G6098" t="s">
        <v>17</v>
      </c>
      <c r="I6098" t="s">
        <v>16</v>
      </c>
      <c r="J6098" t="s">
        <v>180</v>
      </c>
      <c r="K6098" t="s">
        <v>25</v>
      </c>
      <c r="L6098">
        <v>132757294</v>
      </c>
      <c r="R6098">
        <v>9650</v>
      </c>
      <c r="S6098" t="s">
        <v>233</v>
      </c>
      <c r="T6098">
        <v>4</v>
      </c>
      <c r="U6098">
        <v>1</v>
      </c>
      <c r="V6098">
        <v>1.5248999999999999</v>
      </c>
      <c r="W6098">
        <v>1.5248999999999999</v>
      </c>
      <c r="X6098">
        <v>0</v>
      </c>
    </row>
    <row r="6099" spans="1:40" x14ac:dyDescent="0.25">
      <c r="A6099" t="s">
        <v>15</v>
      </c>
      <c r="B6099" t="s">
        <v>24</v>
      </c>
      <c r="C6099">
        <v>20150316</v>
      </c>
      <c r="D6099">
        <v>0</v>
      </c>
      <c r="F6099">
        <v>62500</v>
      </c>
      <c r="G6099" t="s">
        <v>17</v>
      </c>
      <c r="I6099" t="s">
        <v>16</v>
      </c>
      <c r="J6099" t="s">
        <v>180</v>
      </c>
      <c r="K6099" t="s">
        <v>25</v>
      </c>
      <c r="L6099">
        <v>132757294</v>
      </c>
      <c r="R6099">
        <v>9650</v>
      </c>
      <c r="S6099" t="s">
        <v>233</v>
      </c>
      <c r="T6099">
        <v>4</v>
      </c>
      <c r="U6099">
        <v>1</v>
      </c>
      <c r="V6099">
        <v>1.5248999999999999</v>
      </c>
      <c r="W6099">
        <v>1.5248999999999999</v>
      </c>
      <c r="X6099">
        <v>0</v>
      </c>
    </row>
    <row r="6100" spans="1:40" x14ac:dyDescent="0.25">
      <c r="A6100" t="s">
        <v>15</v>
      </c>
      <c r="B6100" t="s">
        <v>24</v>
      </c>
      <c r="C6100">
        <v>20150316</v>
      </c>
      <c r="D6100">
        <v>0</v>
      </c>
      <c r="F6100">
        <v>62500</v>
      </c>
      <c r="G6100" t="s">
        <v>17</v>
      </c>
      <c r="I6100" t="s">
        <v>16</v>
      </c>
      <c r="J6100" t="s">
        <v>180</v>
      </c>
      <c r="K6100" t="s">
        <v>25</v>
      </c>
      <c r="L6100">
        <v>132757294</v>
      </c>
      <c r="R6100">
        <v>9650</v>
      </c>
      <c r="S6100" t="s">
        <v>233</v>
      </c>
      <c r="T6100">
        <v>4</v>
      </c>
      <c r="U6100">
        <v>1</v>
      </c>
      <c r="V6100">
        <v>1.5248999999999999</v>
      </c>
      <c r="W6100">
        <v>1.5248999999999999</v>
      </c>
      <c r="X6100">
        <v>0</v>
      </c>
    </row>
    <row r="6101" spans="1:40" x14ac:dyDescent="0.25">
      <c r="A6101" t="s">
        <v>15</v>
      </c>
      <c r="B6101" t="s">
        <v>24</v>
      </c>
      <c r="C6101">
        <v>20150316</v>
      </c>
      <c r="D6101">
        <v>0</v>
      </c>
      <c r="F6101">
        <v>62500</v>
      </c>
      <c r="G6101" t="s">
        <v>17</v>
      </c>
      <c r="I6101" t="s">
        <v>16</v>
      </c>
      <c r="J6101" t="s">
        <v>180</v>
      </c>
      <c r="K6101" t="s">
        <v>25</v>
      </c>
      <c r="L6101">
        <v>132757294</v>
      </c>
      <c r="R6101">
        <v>9651</v>
      </c>
      <c r="S6101" t="s">
        <v>232</v>
      </c>
      <c r="T6101">
        <v>0</v>
      </c>
      <c r="U6101">
        <v>27</v>
      </c>
      <c r="V6101">
        <v>0</v>
      </c>
      <c r="W6101">
        <v>0</v>
      </c>
      <c r="X6101">
        <v>0</v>
      </c>
    </row>
    <row r="6102" spans="1:40" x14ac:dyDescent="0.25">
      <c r="A6102" t="s">
        <v>15</v>
      </c>
      <c r="B6102" t="s">
        <v>24</v>
      </c>
      <c r="C6102">
        <v>20150316</v>
      </c>
      <c r="D6102">
        <v>0</v>
      </c>
      <c r="F6102">
        <v>62500</v>
      </c>
      <c r="G6102" t="s">
        <v>17</v>
      </c>
      <c r="I6102" t="s">
        <v>16</v>
      </c>
      <c r="J6102" t="s">
        <v>180</v>
      </c>
      <c r="K6102" t="s">
        <v>25</v>
      </c>
      <c r="L6102">
        <v>132757294</v>
      </c>
      <c r="R6102">
        <v>9650</v>
      </c>
      <c r="S6102" t="s">
        <v>233</v>
      </c>
      <c r="T6102">
        <v>4</v>
      </c>
      <c r="U6102">
        <v>-1</v>
      </c>
      <c r="V6102">
        <v>1.5248999999999999</v>
      </c>
      <c r="W6102">
        <v>1.5248999999999999</v>
      </c>
      <c r="X6102">
        <v>0</v>
      </c>
      <c r="Y6102">
        <v>9650</v>
      </c>
      <c r="Z6102" t="s">
        <v>418</v>
      </c>
      <c r="AA6102" t="s">
        <v>419</v>
      </c>
      <c r="AB6102" t="s">
        <v>234</v>
      </c>
      <c r="AC6102" t="s">
        <v>17</v>
      </c>
      <c r="AD6102" t="s">
        <v>235</v>
      </c>
      <c r="AE6102">
        <v>1</v>
      </c>
      <c r="AF6102">
        <v>5</v>
      </c>
      <c r="AG6102">
        <v>1.5248999999999999</v>
      </c>
      <c r="AH6102">
        <v>1.5248999999999999</v>
      </c>
      <c r="AI6102">
        <v>415886683</v>
      </c>
      <c r="AJ6102">
        <v>0</v>
      </c>
      <c r="AK6102">
        <v>7</v>
      </c>
      <c r="AN6102">
        <v>0</v>
      </c>
    </row>
    <row r="6103" spans="1:40" x14ac:dyDescent="0.25">
      <c r="A6103" t="s">
        <v>15</v>
      </c>
      <c r="B6103" t="s">
        <v>24</v>
      </c>
      <c r="C6103">
        <v>20150316</v>
      </c>
      <c r="D6103">
        <v>0</v>
      </c>
      <c r="F6103">
        <v>62500</v>
      </c>
      <c r="G6103" t="s">
        <v>17</v>
      </c>
      <c r="I6103" t="s">
        <v>16</v>
      </c>
      <c r="J6103" t="s">
        <v>180</v>
      </c>
      <c r="K6103" t="s">
        <v>25</v>
      </c>
      <c r="L6103">
        <v>132757294</v>
      </c>
      <c r="R6103">
        <v>9650</v>
      </c>
      <c r="S6103" t="s">
        <v>233</v>
      </c>
      <c r="T6103">
        <v>4</v>
      </c>
      <c r="U6103">
        <v>-1</v>
      </c>
      <c r="V6103">
        <v>1.5248999999999999</v>
      </c>
      <c r="W6103">
        <v>1.5248999999999999</v>
      </c>
      <c r="X6103">
        <v>0</v>
      </c>
    </row>
    <row r="6104" spans="1:40" x14ac:dyDescent="0.25">
      <c r="A6104" t="s">
        <v>15</v>
      </c>
      <c r="B6104" t="s">
        <v>24</v>
      </c>
      <c r="C6104">
        <v>20150316</v>
      </c>
      <c r="D6104">
        <v>0</v>
      </c>
      <c r="F6104">
        <v>62500</v>
      </c>
      <c r="G6104" t="s">
        <v>17</v>
      </c>
      <c r="I6104" t="s">
        <v>16</v>
      </c>
      <c r="J6104" t="s">
        <v>180</v>
      </c>
      <c r="K6104" t="s">
        <v>25</v>
      </c>
      <c r="L6104">
        <v>132757294</v>
      </c>
      <c r="R6104">
        <v>9650</v>
      </c>
      <c r="S6104" t="s">
        <v>37</v>
      </c>
      <c r="T6104">
        <v>5</v>
      </c>
      <c r="U6104">
        <v>0</v>
      </c>
      <c r="V6104">
        <v>1.5248999999999999</v>
      </c>
      <c r="W6104">
        <v>1.5248999999999999</v>
      </c>
      <c r="X6104">
        <v>0</v>
      </c>
    </row>
    <row r="6105" spans="1:40" x14ac:dyDescent="0.25">
      <c r="A6105" t="s">
        <v>15</v>
      </c>
      <c r="B6105" t="s">
        <v>24</v>
      </c>
      <c r="C6105">
        <v>20150316</v>
      </c>
      <c r="D6105">
        <v>0</v>
      </c>
      <c r="F6105">
        <v>62500</v>
      </c>
      <c r="G6105" t="s">
        <v>17</v>
      </c>
      <c r="I6105" t="s">
        <v>16</v>
      </c>
      <c r="J6105" t="s">
        <v>180</v>
      </c>
      <c r="K6105" t="s">
        <v>25</v>
      </c>
      <c r="L6105">
        <v>132757294</v>
      </c>
      <c r="R6105">
        <v>9650</v>
      </c>
      <c r="S6105" t="s">
        <v>37</v>
      </c>
      <c r="T6105">
        <v>5</v>
      </c>
      <c r="U6105">
        <v>0</v>
      </c>
      <c r="V6105">
        <v>1.5248999999999999</v>
      </c>
      <c r="W6105">
        <v>1.5248999999999999</v>
      </c>
      <c r="X6105">
        <v>0</v>
      </c>
    </row>
    <row r="6106" spans="1:40" x14ac:dyDescent="0.25">
      <c r="A6106" t="s">
        <v>15</v>
      </c>
      <c r="B6106" t="s">
        <v>24</v>
      </c>
      <c r="C6106">
        <v>20150316</v>
      </c>
      <c r="D6106">
        <v>0</v>
      </c>
      <c r="F6106">
        <v>62500</v>
      </c>
      <c r="G6106" t="s">
        <v>17</v>
      </c>
      <c r="I6106" t="s">
        <v>16</v>
      </c>
      <c r="J6106" t="s">
        <v>180</v>
      </c>
      <c r="K6106" t="s">
        <v>25</v>
      </c>
      <c r="L6106">
        <v>132757294</v>
      </c>
      <c r="R6106">
        <v>9650</v>
      </c>
      <c r="S6106" t="s">
        <v>37</v>
      </c>
      <c r="T6106">
        <v>5</v>
      </c>
      <c r="U6106">
        <v>0</v>
      </c>
      <c r="V6106">
        <v>1.5248999999999999</v>
      </c>
      <c r="W6106">
        <v>1.5248999999999999</v>
      </c>
      <c r="X6106">
        <v>0</v>
      </c>
    </row>
    <row r="6107" spans="1:40" x14ac:dyDescent="0.25">
      <c r="A6107" t="s">
        <v>15</v>
      </c>
      <c r="B6107" t="s">
        <v>24</v>
      </c>
      <c r="C6107">
        <v>20150316</v>
      </c>
      <c r="D6107">
        <v>0</v>
      </c>
      <c r="F6107">
        <v>62500</v>
      </c>
      <c r="G6107" t="s">
        <v>17</v>
      </c>
      <c r="I6107" t="s">
        <v>16</v>
      </c>
      <c r="J6107" t="s">
        <v>180</v>
      </c>
      <c r="K6107" t="s">
        <v>25</v>
      </c>
      <c r="L6107">
        <v>132757294</v>
      </c>
      <c r="R6107">
        <v>9650</v>
      </c>
      <c r="S6107" t="s">
        <v>37</v>
      </c>
      <c r="T6107">
        <v>5</v>
      </c>
      <c r="U6107">
        <v>0</v>
      </c>
      <c r="V6107">
        <v>1.5248999999999999</v>
      </c>
      <c r="W6107">
        <v>1.5248999999999999</v>
      </c>
      <c r="X6107">
        <v>0</v>
      </c>
    </row>
    <row r="6108" spans="1:40" x14ac:dyDescent="0.25">
      <c r="A6108" t="s">
        <v>15</v>
      </c>
      <c r="B6108" t="s">
        <v>24</v>
      </c>
      <c r="C6108">
        <v>20150316</v>
      </c>
      <c r="D6108">
        <v>0</v>
      </c>
      <c r="F6108">
        <v>62500</v>
      </c>
      <c r="G6108" t="s">
        <v>17</v>
      </c>
      <c r="I6108" t="s">
        <v>16</v>
      </c>
      <c r="J6108" t="s">
        <v>180</v>
      </c>
      <c r="K6108" t="s">
        <v>25</v>
      </c>
      <c r="L6108">
        <v>132757294</v>
      </c>
      <c r="R6108">
        <v>9650</v>
      </c>
      <c r="S6108" t="s">
        <v>37</v>
      </c>
      <c r="T6108">
        <v>5</v>
      </c>
      <c r="U6108">
        <v>0</v>
      </c>
      <c r="V6108">
        <v>1.5248999999999999</v>
      </c>
      <c r="W6108">
        <v>1.5248999999999999</v>
      </c>
      <c r="X6108">
        <v>0</v>
      </c>
    </row>
    <row r="6109" spans="1:40" x14ac:dyDescent="0.25">
      <c r="A6109" t="s">
        <v>15</v>
      </c>
      <c r="B6109" t="s">
        <v>24</v>
      </c>
      <c r="C6109">
        <v>20150316</v>
      </c>
      <c r="D6109">
        <v>0</v>
      </c>
      <c r="F6109">
        <v>62500</v>
      </c>
      <c r="G6109" t="s">
        <v>17</v>
      </c>
      <c r="I6109" t="s">
        <v>16</v>
      </c>
      <c r="J6109" t="s">
        <v>180</v>
      </c>
      <c r="K6109" t="s">
        <v>25</v>
      </c>
      <c r="L6109">
        <v>132757294</v>
      </c>
      <c r="R6109">
        <v>9648</v>
      </c>
      <c r="S6109" t="s">
        <v>223</v>
      </c>
      <c r="T6109">
        <v>0</v>
      </c>
      <c r="U6109">
        <v>30</v>
      </c>
      <c r="V6109">
        <v>0</v>
      </c>
      <c r="W6109">
        <v>0</v>
      </c>
      <c r="X6109">
        <v>0</v>
      </c>
    </row>
    <row r="6110" spans="1:40" x14ac:dyDescent="0.25">
      <c r="A6110" t="s">
        <v>15</v>
      </c>
      <c r="B6110" t="s">
        <v>24</v>
      </c>
      <c r="C6110">
        <v>20150316</v>
      </c>
      <c r="D6110">
        <v>0</v>
      </c>
      <c r="F6110">
        <v>62500</v>
      </c>
      <c r="G6110" t="s">
        <v>17</v>
      </c>
      <c r="I6110" t="s">
        <v>16</v>
      </c>
      <c r="J6110" t="s">
        <v>180</v>
      </c>
      <c r="K6110" t="s">
        <v>25</v>
      </c>
      <c r="L6110">
        <v>132757294</v>
      </c>
      <c r="R6110">
        <v>9648</v>
      </c>
      <c r="S6110" t="s">
        <v>224</v>
      </c>
      <c r="T6110">
        <v>0</v>
      </c>
      <c r="U6110">
        <v>30</v>
      </c>
      <c r="V6110">
        <v>0</v>
      </c>
      <c r="W6110">
        <v>0</v>
      </c>
      <c r="X6110">
        <v>0</v>
      </c>
    </row>
    <row r="6111" spans="1:40" x14ac:dyDescent="0.25">
      <c r="A6111" t="s">
        <v>15</v>
      </c>
      <c r="B6111" t="s">
        <v>24</v>
      </c>
      <c r="C6111">
        <v>20150316</v>
      </c>
      <c r="D6111">
        <v>0</v>
      </c>
      <c r="F6111">
        <v>62500</v>
      </c>
      <c r="G6111" t="s">
        <v>17</v>
      </c>
      <c r="I6111" t="s">
        <v>16</v>
      </c>
      <c r="J6111" t="s">
        <v>180</v>
      </c>
      <c r="K6111" t="s">
        <v>25</v>
      </c>
      <c r="L6111">
        <v>132757294</v>
      </c>
      <c r="R6111">
        <v>9649</v>
      </c>
      <c r="S6111" t="s">
        <v>223</v>
      </c>
      <c r="T6111">
        <v>0</v>
      </c>
      <c r="U6111">
        <v>31</v>
      </c>
      <c r="V6111">
        <v>0</v>
      </c>
      <c r="W6111">
        <v>0</v>
      </c>
      <c r="X6111">
        <v>0</v>
      </c>
    </row>
    <row r="6112" spans="1:40" x14ac:dyDescent="0.25">
      <c r="A6112" t="s">
        <v>15</v>
      </c>
      <c r="B6112" t="s">
        <v>24</v>
      </c>
      <c r="C6112">
        <v>20150316</v>
      </c>
      <c r="D6112">
        <v>0</v>
      </c>
      <c r="F6112">
        <v>62500</v>
      </c>
      <c r="G6112" t="s">
        <v>17</v>
      </c>
      <c r="I6112" t="s">
        <v>16</v>
      </c>
      <c r="J6112" t="s">
        <v>180</v>
      </c>
      <c r="K6112" t="s">
        <v>25</v>
      </c>
      <c r="L6112">
        <v>132757294</v>
      </c>
      <c r="R6112">
        <v>9649</v>
      </c>
      <c r="S6112" t="s">
        <v>224</v>
      </c>
      <c r="T6112">
        <v>0</v>
      </c>
      <c r="U6112">
        <v>31</v>
      </c>
      <c r="V6112">
        <v>0</v>
      </c>
      <c r="W6112">
        <v>0</v>
      </c>
      <c r="X6112">
        <v>0</v>
      </c>
    </row>
    <row r="6113" spans="1:40" x14ac:dyDescent="0.25">
      <c r="A6113" t="s">
        <v>15</v>
      </c>
      <c r="B6113" t="s">
        <v>24</v>
      </c>
      <c r="C6113">
        <v>20150316</v>
      </c>
      <c r="D6113">
        <v>0</v>
      </c>
      <c r="F6113">
        <v>62500</v>
      </c>
      <c r="G6113" t="s">
        <v>17</v>
      </c>
      <c r="I6113" t="s">
        <v>16</v>
      </c>
      <c r="J6113" t="s">
        <v>180</v>
      </c>
      <c r="K6113" t="s">
        <v>25</v>
      </c>
      <c r="L6113">
        <v>132757294</v>
      </c>
      <c r="R6113">
        <v>9651</v>
      </c>
      <c r="S6113" t="s">
        <v>232</v>
      </c>
      <c r="T6113">
        <v>0</v>
      </c>
      <c r="U6113">
        <v>27</v>
      </c>
      <c r="V6113">
        <v>0</v>
      </c>
      <c r="W6113">
        <v>0</v>
      </c>
      <c r="X6113">
        <v>0</v>
      </c>
    </row>
    <row r="6114" spans="1:40" x14ac:dyDescent="0.25">
      <c r="A6114" t="s">
        <v>15</v>
      </c>
      <c r="B6114" t="s">
        <v>24</v>
      </c>
      <c r="C6114">
        <v>20150316</v>
      </c>
      <c r="D6114">
        <v>0</v>
      </c>
      <c r="F6114">
        <v>62500</v>
      </c>
      <c r="G6114" t="s">
        <v>17</v>
      </c>
      <c r="I6114" t="s">
        <v>16</v>
      </c>
      <c r="J6114" t="s">
        <v>180</v>
      </c>
      <c r="K6114" t="s">
        <v>25</v>
      </c>
      <c r="L6114">
        <v>132757294</v>
      </c>
      <c r="R6114">
        <v>9651</v>
      </c>
      <c r="S6114" t="s">
        <v>192</v>
      </c>
      <c r="T6114">
        <v>0</v>
      </c>
      <c r="U6114">
        <v>27</v>
      </c>
      <c r="V6114">
        <v>0</v>
      </c>
      <c r="W6114">
        <v>0</v>
      </c>
      <c r="X6114">
        <v>0</v>
      </c>
    </row>
    <row r="6115" spans="1:40" x14ac:dyDescent="0.25">
      <c r="A6115" t="s">
        <v>15</v>
      </c>
      <c r="B6115" t="s">
        <v>24</v>
      </c>
      <c r="C6115">
        <v>20150316</v>
      </c>
      <c r="D6115">
        <v>0</v>
      </c>
      <c r="F6115">
        <v>62500</v>
      </c>
      <c r="G6115" t="s">
        <v>17</v>
      </c>
      <c r="I6115" t="s">
        <v>16</v>
      </c>
      <c r="J6115" t="s">
        <v>180</v>
      </c>
      <c r="K6115" t="s">
        <v>25</v>
      </c>
      <c r="L6115">
        <v>132757294</v>
      </c>
      <c r="R6115">
        <v>9652</v>
      </c>
      <c r="S6115" t="s">
        <v>232</v>
      </c>
      <c r="T6115">
        <v>0</v>
      </c>
      <c r="U6115">
        <v>-26</v>
      </c>
      <c r="V6115">
        <v>0</v>
      </c>
      <c r="W6115">
        <v>0</v>
      </c>
      <c r="X6115">
        <v>0</v>
      </c>
    </row>
    <row r="6116" spans="1:40" x14ac:dyDescent="0.25">
      <c r="A6116" t="s">
        <v>15</v>
      </c>
      <c r="B6116" t="s">
        <v>24</v>
      </c>
      <c r="C6116">
        <v>20150316</v>
      </c>
      <c r="D6116">
        <v>0</v>
      </c>
      <c r="F6116">
        <v>62500</v>
      </c>
      <c r="G6116" t="s">
        <v>17</v>
      </c>
      <c r="I6116" t="s">
        <v>16</v>
      </c>
      <c r="J6116" t="s">
        <v>180</v>
      </c>
      <c r="K6116" t="s">
        <v>25</v>
      </c>
      <c r="L6116">
        <v>132757294</v>
      </c>
      <c r="R6116">
        <v>9652</v>
      </c>
      <c r="S6116" t="s">
        <v>232</v>
      </c>
      <c r="T6116">
        <v>0</v>
      </c>
      <c r="U6116">
        <v>-26</v>
      </c>
      <c r="V6116">
        <v>0</v>
      </c>
      <c r="W6116">
        <v>0</v>
      </c>
      <c r="X6116">
        <v>0</v>
      </c>
    </row>
    <row r="6117" spans="1:40" x14ac:dyDescent="0.25">
      <c r="A6117" t="s">
        <v>15</v>
      </c>
      <c r="B6117" t="s">
        <v>24</v>
      </c>
      <c r="C6117">
        <v>20150316</v>
      </c>
      <c r="D6117">
        <v>0</v>
      </c>
      <c r="F6117">
        <v>62500</v>
      </c>
      <c r="G6117" t="s">
        <v>17</v>
      </c>
      <c r="I6117" t="s">
        <v>16</v>
      </c>
      <c r="J6117" t="s">
        <v>180</v>
      </c>
      <c r="K6117" t="s">
        <v>25</v>
      </c>
      <c r="L6117">
        <v>132757294</v>
      </c>
      <c r="R6117">
        <v>9652</v>
      </c>
      <c r="S6117" t="s">
        <v>192</v>
      </c>
      <c r="T6117">
        <v>0</v>
      </c>
      <c r="U6117">
        <v>26</v>
      </c>
      <c r="V6117">
        <v>0</v>
      </c>
      <c r="W6117">
        <v>0</v>
      </c>
      <c r="X6117">
        <v>0</v>
      </c>
    </row>
    <row r="6118" spans="1:40" x14ac:dyDescent="0.25">
      <c r="A6118" t="s">
        <v>15</v>
      </c>
      <c r="B6118" t="s">
        <v>24</v>
      </c>
      <c r="C6118">
        <v>20150316</v>
      </c>
      <c r="D6118">
        <v>0</v>
      </c>
      <c r="F6118">
        <v>62500</v>
      </c>
      <c r="G6118" t="s">
        <v>17</v>
      </c>
      <c r="I6118" t="s">
        <v>16</v>
      </c>
      <c r="J6118" t="s">
        <v>180</v>
      </c>
      <c r="K6118" t="s">
        <v>25</v>
      </c>
      <c r="L6118">
        <v>132757294</v>
      </c>
      <c r="R6118">
        <v>9653</v>
      </c>
      <c r="S6118" t="s">
        <v>232</v>
      </c>
      <c r="T6118">
        <v>0</v>
      </c>
      <c r="U6118">
        <v>5</v>
      </c>
      <c r="V6118">
        <v>0</v>
      </c>
      <c r="W6118">
        <v>0</v>
      </c>
      <c r="X6118">
        <v>0</v>
      </c>
    </row>
    <row r="6119" spans="1:40" x14ac:dyDescent="0.25">
      <c r="A6119" t="s">
        <v>15</v>
      </c>
      <c r="B6119" t="s">
        <v>24</v>
      </c>
      <c r="C6119">
        <v>20150316</v>
      </c>
      <c r="D6119">
        <v>0</v>
      </c>
      <c r="F6119">
        <v>62500</v>
      </c>
      <c r="G6119" t="s">
        <v>17</v>
      </c>
      <c r="I6119" t="s">
        <v>16</v>
      </c>
      <c r="J6119" t="s">
        <v>180</v>
      </c>
      <c r="K6119" t="s">
        <v>25</v>
      </c>
      <c r="L6119">
        <v>132757294</v>
      </c>
      <c r="R6119">
        <v>9653</v>
      </c>
      <c r="S6119" t="s">
        <v>232</v>
      </c>
      <c r="T6119">
        <v>0</v>
      </c>
      <c r="U6119">
        <v>5</v>
      </c>
      <c r="V6119">
        <v>0</v>
      </c>
      <c r="W6119">
        <v>0</v>
      </c>
      <c r="X6119">
        <v>0</v>
      </c>
    </row>
    <row r="6120" spans="1:40" x14ac:dyDescent="0.25">
      <c r="A6120" t="s">
        <v>15</v>
      </c>
      <c r="B6120" t="s">
        <v>24</v>
      </c>
      <c r="C6120">
        <v>20150316</v>
      </c>
      <c r="D6120">
        <v>0</v>
      </c>
      <c r="F6120">
        <v>62500</v>
      </c>
      <c r="G6120" t="s">
        <v>17</v>
      </c>
      <c r="I6120" t="s">
        <v>16</v>
      </c>
      <c r="J6120" t="s">
        <v>180</v>
      </c>
      <c r="K6120" t="s">
        <v>25</v>
      </c>
      <c r="L6120">
        <v>132757294</v>
      </c>
      <c r="R6120">
        <v>9653</v>
      </c>
      <c r="S6120" t="s">
        <v>233</v>
      </c>
      <c r="T6120">
        <v>0</v>
      </c>
      <c r="U6120">
        <v>5</v>
      </c>
      <c r="V6120">
        <v>0</v>
      </c>
      <c r="W6120">
        <v>0</v>
      </c>
      <c r="X6120">
        <v>0</v>
      </c>
    </row>
    <row r="6121" spans="1:40" x14ac:dyDescent="0.25">
      <c r="A6121" t="s">
        <v>15</v>
      </c>
      <c r="B6121" t="s">
        <v>24</v>
      </c>
      <c r="C6121">
        <v>20150316</v>
      </c>
      <c r="D6121">
        <v>0</v>
      </c>
      <c r="F6121">
        <v>62500</v>
      </c>
      <c r="G6121" t="s">
        <v>17</v>
      </c>
      <c r="I6121" t="s">
        <v>16</v>
      </c>
      <c r="J6121" t="s">
        <v>180</v>
      </c>
      <c r="K6121" t="s">
        <v>25</v>
      </c>
      <c r="L6121">
        <v>132757294</v>
      </c>
      <c r="R6121">
        <v>9653</v>
      </c>
      <c r="S6121" t="s">
        <v>223</v>
      </c>
      <c r="T6121">
        <v>0</v>
      </c>
      <c r="U6121">
        <v>5</v>
      </c>
      <c r="V6121">
        <v>0</v>
      </c>
      <c r="W6121">
        <v>0</v>
      </c>
      <c r="X6121">
        <v>0</v>
      </c>
    </row>
    <row r="6122" spans="1:40" x14ac:dyDescent="0.25">
      <c r="A6122" t="s">
        <v>15</v>
      </c>
      <c r="B6122" t="s">
        <v>24</v>
      </c>
      <c r="C6122">
        <v>20150316</v>
      </c>
      <c r="D6122">
        <v>0</v>
      </c>
      <c r="F6122">
        <v>62500</v>
      </c>
      <c r="G6122" t="s">
        <v>17</v>
      </c>
      <c r="I6122" t="s">
        <v>16</v>
      </c>
      <c r="J6122" t="s">
        <v>180</v>
      </c>
      <c r="K6122" t="s">
        <v>25</v>
      </c>
      <c r="L6122">
        <v>132757294</v>
      </c>
      <c r="R6122">
        <v>9653</v>
      </c>
      <c r="S6122" t="s">
        <v>224</v>
      </c>
      <c r="T6122">
        <v>0</v>
      </c>
      <c r="U6122">
        <v>5</v>
      </c>
      <c r="V6122">
        <v>0</v>
      </c>
      <c r="W6122">
        <v>0</v>
      </c>
      <c r="X6122">
        <v>0</v>
      </c>
    </row>
    <row r="6123" spans="1:40" x14ac:dyDescent="0.25">
      <c r="A6123" t="s">
        <v>15</v>
      </c>
      <c r="B6123" t="s">
        <v>24</v>
      </c>
      <c r="C6123">
        <v>20150316</v>
      </c>
      <c r="D6123">
        <v>0</v>
      </c>
      <c r="F6123">
        <v>62500</v>
      </c>
      <c r="G6123" t="s">
        <v>17</v>
      </c>
      <c r="I6123" t="s">
        <v>16</v>
      </c>
      <c r="J6123" t="s">
        <v>180</v>
      </c>
      <c r="K6123" t="s">
        <v>25</v>
      </c>
      <c r="L6123">
        <v>132757294</v>
      </c>
      <c r="R6123">
        <v>9654</v>
      </c>
      <c r="S6123" t="s">
        <v>232</v>
      </c>
      <c r="T6123">
        <v>0</v>
      </c>
      <c r="U6123">
        <v>5</v>
      </c>
      <c r="V6123">
        <v>0</v>
      </c>
      <c r="W6123">
        <v>0</v>
      </c>
      <c r="X6123">
        <v>0</v>
      </c>
    </row>
    <row r="6124" spans="1:40" x14ac:dyDescent="0.25">
      <c r="A6124" t="s">
        <v>15</v>
      </c>
      <c r="B6124" t="s">
        <v>24</v>
      </c>
      <c r="C6124">
        <v>20150316</v>
      </c>
      <c r="D6124">
        <v>0</v>
      </c>
      <c r="F6124">
        <v>62500</v>
      </c>
      <c r="G6124" t="s">
        <v>17</v>
      </c>
      <c r="I6124" t="s">
        <v>16</v>
      </c>
      <c r="J6124" t="s">
        <v>180</v>
      </c>
      <c r="K6124" t="s">
        <v>25</v>
      </c>
      <c r="L6124">
        <v>132757294</v>
      </c>
      <c r="R6124">
        <v>9654</v>
      </c>
      <c r="S6124" t="s">
        <v>232</v>
      </c>
      <c r="T6124">
        <v>0</v>
      </c>
      <c r="U6124">
        <v>-3</v>
      </c>
      <c r="V6124">
        <v>0</v>
      </c>
      <c r="W6124">
        <v>0</v>
      </c>
      <c r="X6124">
        <v>0</v>
      </c>
      <c r="Y6124">
        <v>9654</v>
      </c>
      <c r="Z6124" t="s">
        <v>420</v>
      </c>
      <c r="AA6124" t="s">
        <v>421</v>
      </c>
      <c r="AB6124" t="s">
        <v>234</v>
      </c>
      <c r="AC6124" t="s">
        <v>17</v>
      </c>
      <c r="AD6124" t="s">
        <v>235</v>
      </c>
      <c r="AE6124">
        <v>4</v>
      </c>
      <c r="AF6124">
        <v>4</v>
      </c>
      <c r="AG6124">
        <v>1.5249999999999999</v>
      </c>
      <c r="AH6124">
        <v>1.5249999999999999</v>
      </c>
      <c r="AI6124">
        <v>415886687</v>
      </c>
      <c r="AJ6124">
        <v>0</v>
      </c>
      <c r="AK6124">
        <v>7</v>
      </c>
      <c r="AN6124">
        <v>0</v>
      </c>
    </row>
    <row r="6125" spans="1:40" x14ac:dyDescent="0.25">
      <c r="A6125" t="s">
        <v>15</v>
      </c>
      <c r="B6125" t="s">
        <v>24</v>
      </c>
      <c r="C6125">
        <v>20150316</v>
      </c>
      <c r="D6125">
        <v>0</v>
      </c>
      <c r="F6125">
        <v>62500</v>
      </c>
      <c r="G6125" t="s">
        <v>17</v>
      </c>
      <c r="I6125" t="s">
        <v>16</v>
      </c>
      <c r="J6125" t="s">
        <v>180</v>
      </c>
      <c r="K6125" t="s">
        <v>25</v>
      </c>
      <c r="L6125">
        <v>132757294</v>
      </c>
      <c r="R6125">
        <v>9654</v>
      </c>
      <c r="S6125" t="s">
        <v>232</v>
      </c>
      <c r="T6125">
        <v>0</v>
      </c>
      <c r="U6125">
        <v>-3</v>
      </c>
      <c r="V6125">
        <v>0</v>
      </c>
      <c r="W6125">
        <v>0</v>
      </c>
      <c r="X6125">
        <v>0</v>
      </c>
    </row>
    <row r="6126" spans="1:40" x14ac:dyDescent="0.25">
      <c r="A6126" t="s">
        <v>15</v>
      </c>
      <c r="B6126" t="s">
        <v>24</v>
      </c>
      <c r="C6126">
        <v>20150316</v>
      </c>
      <c r="D6126">
        <v>0</v>
      </c>
      <c r="F6126">
        <v>62500</v>
      </c>
      <c r="G6126" t="s">
        <v>17</v>
      </c>
      <c r="I6126" t="s">
        <v>16</v>
      </c>
      <c r="J6126" t="s">
        <v>180</v>
      </c>
      <c r="K6126" t="s">
        <v>25</v>
      </c>
      <c r="L6126">
        <v>132757294</v>
      </c>
      <c r="R6126">
        <v>9654</v>
      </c>
      <c r="S6126" t="s">
        <v>236</v>
      </c>
      <c r="T6126">
        <v>4</v>
      </c>
      <c r="U6126">
        <v>1</v>
      </c>
      <c r="V6126">
        <v>1.5249999999999999</v>
      </c>
      <c r="W6126">
        <v>1.5249999999999999</v>
      </c>
      <c r="X6126">
        <v>0</v>
      </c>
    </row>
    <row r="6127" spans="1:40" x14ac:dyDescent="0.25">
      <c r="A6127" t="s">
        <v>15</v>
      </c>
      <c r="B6127" t="s">
        <v>24</v>
      </c>
      <c r="C6127">
        <v>20150316</v>
      </c>
      <c r="D6127">
        <v>0</v>
      </c>
      <c r="F6127">
        <v>62500</v>
      </c>
      <c r="G6127" t="s">
        <v>17</v>
      </c>
      <c r="I6127" t="s">
        <v>16</v>
      </c>
      <c r="J6127" t="s">
        <v>180</v>
      </c>
      <c r="K6127" t="s">
        <v>25</v>
      </c>
      <c r="L6127">
        <v>132757294</v>
      </c>
      <c r="R6127">
        <v>9654</v>
      </c>
      <c r="S6127" t="s">
        <v>236</v>
      </c>
      <c r="T6127">
        <v>4</v>
      </c>
      <c r="U6127">
        <v>1</v>
      </c>
      <c r="V6127">
        <v>1.5249999999999999</v>
      </c>
      <c r="W6127">
        <v>1.5249999999999999</v>
      </c>
      <c r="X6127">
        <v>0</v>
      </c>
    </row>
    <row r="6128" spans="1:40" x14ac:dyDescent="0.25">
      <c r="A6128" t="s">
        <v>15</v>
      </c>
      <c r="B6128" t="s">
        <v>24</v>
      </c>
      <c r="C6128">
        <v>20150316</v>
      </c>
      <c r="D6128">
        <v>0</v>
      </c>
      <c r="F6128">
        <v>62500</v>
      </c>
      <c r="G6128" t="s">
        <v>17</v>
      </c>
      <c r="I6128" t="s">
        <v>16</v>
      </c>
      <c r="J6128" t="s">
        <v>180</v>
      </c>
      <c r="K6128" t="s">
        <v>25</v>
      </c>
      <c r="L6128">
        <v>132757294</v>
      </c>
      <c r="R6128">
        <v>9654</v>
      </c>
      <c r="S6128" t="s">
        <v>233</v>
      </c>
      <c r="T6128">
        <v>4</v>
      </c>
      <c r="U6128">
        <v>1</v>
      </c>
      <c r="V6128">
        <v>1.5249999999999999</v>
      </c>
      <c r="W6128">
        <v>1.5249999999999999</v>
      </c>
      <c r="X6128">
        <v>0</v>
      </c>
    </row>
    <row r="6129" spans="1:40" x14ac:dyDescent="0.25">
      <c r="A6129" t="s">
        <v>15</v>
      </c>
      <c r="B6129" t="s">
        <v>24</v>
      </c>
      <c r="C6129">
        <v>20150316</v>
      </c>
      <c r="D6129">
        <v>0</v>
      </c>
      <c r="F6129">
        <v>62500</v>
      </c>
      <c r="G6129" t="s">
        <v>17</v>
      </c>
      <c r="I6129" t="s">
        <v>16</v>
      </c>
      <c r="J6129" t="s">
        <v>180</v>
      </c>
      <c r="K6129" t="s">
        <v>25</v>
      </c>
      <c r="L6129">
        <v>132757294</v>
      </c>
      <c r="R6129">
        <v>9654</v>
      </c>
      <c r="S6129" t="s">
        <v>233</v>
      </c>
      <c r="T6129">
        <v>4</v>
      </c>
      <c r="U6129">
        <v>1</v>
      </c>
      <c r="V6129">
        <v>1.5249999999999999</v>
      </c>
      <c r="W6129">
        <v>1.5249999999999999</v>
      </c>
      <c r="X6129">
        <v>0</v>
      </c>
    </row>
    <row r="6130" spans="1:40" x14ac:dyDescent="0.25">
      <c r="A6130" t="s">
        <v>15</v>
      </c>
      <c r="B6130" t="s">
        <v>24</v>
      </c>
      <c r="C6130">
        <v>20150316</v>
      </c>
      <c r="D6130">
        <v>0</v>
      </c>
      <c r="F6130">
        <v>62500</v>
      </c>
      <c r="G6130" t="s">
        <v>17</v>
      </c>
      <c r="I6130" t="s">
        <v>16</v>
      </c>
      <c r="J6130" t="s">
        <v>180</v>
      </c>
      <c r="K6130" t="s">
        <v>25</v>
      </c>
      <c r="L6130">
        <v>132757294</v>
      </c>
      <c r="R6130">
        <v>9654</v>
      </c>
      <c r="S6130" t="s">
        <v>233</v>
      </c>
      <c r="T6130">
        <v>4</v>
      </c>
      <c r="U6130">
        <v>1</v>
      </c>
      <c r="V6130">
        <v>1.5249999999999999</v>
      </c>
      <c r="W6130">
        <v>1.5249999999999999</v>
      </c>
      <c r="X6130">
        <v>0</v>
      </c>
    </row>
    <row r="6131" spans="1:40" x14ac:dyDescent="0.25">
      <c r="A6131" t="s">
        <v>15</v>
      </c>
      <c r="B6131" t="s">
        <v>24</v>
      </c>
      <c r="C6131">
        <v>20150316</v>
      </c>
      <c r="D6131">
        <v>0</v>
      </c>
      <c r="F6131">
        <v>62500</v>
      </c>
      <c r="G6131" t="s">
        <v>17</v>
      </c>
      <c r="I6131" t="s">
        <v>16</v>
      </c>
      <c r="J6131" t="s">
        <v>180</v>
      </c>
      <c r="K6131" t="s">
        <v>25</v>
      </c>
      <c r="L6131">
        <v>132757294</v>
      </c>
      <c r="R6131">
        <v>9654</v>
      </c>
      <c r="S6131" t="s">
        <v>233</v>
      </c>
      <c r="T6131">
        <v>4</v>
      </c>
      <c r="U6131">
        <v>-1</v>
      </c>
      <c r="V6131">
        <v>1.5249999999999999</v>
      </c>
      <c r="W6131">
        <v>1.5249999999999999</v>
      </c>
      <c r="X6131">
        <v>0</v>
      </c>
      <c r="Y6131">
        <v>9654</v>
      </c>
      <c r="Z6131" t="s">
        <v>422</v>
      </c>
      <c r="AA6131" t="s">
        <v>421</v>
      </c>
      <c r="AB6131" t="s">
        <v>234</v>
      </c>
      <c r="AC6131" t="s">
        <v>17</v>
      </c>
      <c r="AD6131" t="s">
        <v>235</v>
      </c>
      <c r="AE6131">
        <v>1</v>
      </c>
      <c r="AF6131">
        <v>5</v>
      </c>
      <c r="AG6131">
        <v>1.5249999999999999</v>
      </c>
      <c r="AH6131">
        <v>1.5249999999999999</v>
      </c>
      <c r="AI6131">
        <v>415886687</v>
      </c>
      <c r="AJ6131">
        <v>0</v>
      </c>
      <c r="AK6131">
        <v>7</v>
      </c>
      <c r="AN6131">
        <v>0</v>
      </c>
    </row>
    <row r="6132" spans="1:40" x14ac:dyDescent="0.25">
      <c r="A6132" t="s">
        <v>15</v>
      </c>
      <c r="B6132" t="s">
        <v>24</v>
      </c>
      <c r="C6132">
        <v>20150316</v>
      </c>
      <c r="D6132">
        <v>0</v>
      </c>
      <c r="F6132">
        <v>62500</v>
      </c>
      <c r="G6132" t="s">
        <v>17</v>
      </c>
      <c r="I6132" t="s">
        <v>16</v>
      </c>
      <c r="J6132" t="s">
        <v>180</v>
      </c>
      <c r="K6132" t="s">
        <v>25</v>
      </c>
      <c r="L6132">
        <v>132757294</v>
      </c>
      <c r="R6132">
        <v>9654</v>
      </c>
      <c r="S6132" t="s">
        <v>233</v>
      </c>
      <c r="T6132">
        <v>4</v>
      </c>
      <c r="U6132">
        <v>-1</v>
      </c>
      <c r="V6132">
        <v>1.5249999999999999</v>
      </c>
      <c r="W6132">
        <v>1.5249999999999999</v>
      </c>
      <c r="X6132">
        <v>0</v>
      </c>
    </row>
    <row r="6133" spans="1:40" x14ac:dyDescent="0.25">
      <c r="A6133" t="s">
        <v>15</v>
      </c>
      <c r="B6133" t="s">
        <v>24</v>
      </c>
      <c r="C6133">
        <v>20150316</v>
      </c>
      <c r="D6133">
        <v>0</v>
      </c>
      <c r="F6133">
        <v>62500</v>
      </c>
      <c r="G6133" t="s">
        <v>17</v>
      </c>
      <c r="I6133" t="s">
        <v>16</v>
      </c>
      <c r="J6133" t="s">
        <v>180</v>
      </c>
      <c r="K6133" t="s">
        <v>25</v>
      </c>
      <c r="L6133">
        <v>132757294</v>
      </c>
      <c r="R6133">
        <v>9654</v>
      </c>
      <c r="S6133" t="s">
        <v>37</v>
      </c>
      <c r="T6133">
        <v>5</v>
      </c>
      <c r="U6133">
        <v>0</v>
      </c>
      <c r="V6133">
        <v>1.5249999999999999</v>
      </c>
      <c r="W6133">
        <v>1.5249999999999999</v>
      </c>
      <c r="X6133">
        <v>0</v>
      </c>
    </row>
    <row r="6134" spans="1:40" x14ac:dyDescent="0.25">
      <c r="A6134" t="s">
        <v>15</v>
      </c>
      <c r="B6134" t="s">
        <v>24</v>
      </c>
      <c r="C6134">
        <v>20150316</v>
      </c>
      <c r="D6134">
        <v>0</v>
      </c>
      <c r="F6134">
        <v>62500</v>
      </c>
      <c r="G6134" t="s">
        <v>17</v>
      </c>
      <c r="I6134" t="s">
        <v>16</v>
      </c>
      <c r="J6134" t="s">
        <v>180</v>
      </c>
      <c r="K6134" t="s">
        <v>25</v>
      </c>
      <c r="L6134">
        <v>132757294</v>
      </c>
      <c r="R6134">
        <v>9654</v>
      </c>
      <c r="S6134" t="s">
        <v>37</v>
      </c>
      <c r="T6134">
        <v>5</v>
      </c>
      <c r="U6134">
        <v>0</v>
      </c>
      <c r="V6134">
        <v>1.5249999999999999</v>
      </c>
      <c r="W6134">
        <v>1.5249999999999999</v>
      </c>
      <c r="X6134">
        <v>0</v>
      </c>
    </row>
    <row r="6135" spans="1:40" x14ac:dyDescent="0.25">
      <c r="A6135" t="s">
        <v>15</v>
      </c>
      <c r="B6135" t="s">
        <v>24</v>
      </c>
      <c r="C6135">
        <v>20150316</v>
      </c>
      <c r="D6135">
        <v>0</v>
      </c>
      <c r="F6135">
        <v>62500</v>
      </c>
      <c r="G6135" t="s">
        <v>17</v>
      </c>
      <c r="I6135" t="s">
        <v>16</v>
      </c>
      <c r="J6135" t="s">
        <v>180</v>
      </c>
      <c r="K6135" t="s">
        <v>25</v>
      </c>
      <c r="L6135">
        <v>132757294</v>
      </c>
      <c r="R6135">
        <v>9654</v>
      </c>
      <c r="S6135" t="s">
        <v>37</v>
      </c>
      <c r="T6135">
        <v>5</v>
      </c>
      <c r="U6135">
        <v>0</v>
      </c>
      <c r="V6135">
        <v>1.5249999999999999</v>
      </c>
      <c r="W6135">
        <v>1.5249999999999999</v>
      </c>
      <c r="X6135">
        <v>0</v>
      </c>
    </row>
    <row r="6136" spans="1:40" x14ac:dyDescent="0.25">
      <c r="A6136" t="s">
        <v>15</v>
      </c>
      <c r="B6136" t="s">
        <v>24</v>
      </c>
      <c r="C6136">
        <v>20150316</v>
      </c>
      <c r="D6136">
        <v>0</v>
      </c>
      <c r="F6136">
        <v>62500</v>
      </c>
      <c r="G6136" t="s">
        <v>17</v>
      </c>
      <c r="I6136" t="s">
        <v>16</v>
      </c>
      <c r="J6136" t="s">
        <v>180</v>
      </c>
      <c r="K6136" t="s">
        <v>25</v>
      </c>
      <c r="L6136">
        <v>132757294</v>
      </c>
      <c r="R6136">
        <v>9654</v>
      </c>
      <c r="S6136" t="s">
        <v>37</v>
      </c>
      <c r="T6136">
        <v>5</v>
      </c>
      <c r="U6136">
        <v>0</v>
      </c>
      <c r="V6136">
        <v>1.5249999999999999</v>
      </c>
      <c r="W6136">
        <v>1.5249999999999999</v>
      </c>
      <c r="X6136">
        <v>0</v>
      </c>
    </row>
    <row r="6137" spans="1:40" x14ac:dyDescent="0.25">
      <c r="A6137" t="s">
        <v>15</v>
      </c>
      <c r="B6137" t="s">
        <v>24</v>
      </c>
      <c r="C6137">
        <v>20150316</v>
      </c>
      <c r="D6137">
        <v>0</v>
      </c>
      <c r="F6137">
        <v>62500</v>
      </c>
      <c r="G6137" t="s">
        <v>17</v>
      </c>
      <c r="I6137" t="s">
        <v>16</v>
      </c>
      <c r="J6137" t="s">
        <v>180</v>
      </c>
      <c r="K6137" t="s">
        <v>25</v>
      </c>
      <c r="L6137">
        <v>132757294</v>
      </c>
      <c r="R6137">
        <v>9654</v>
      </c>
      <c r="S6137" t="s">
        <v>37</v>
      </c>
      <c r="T6137">
        <v>5</v>
      </c>
      <c r="U6137">
        <v>0</v>
      </c>
      <c r="V6137">
        <v>1.5249999999999999</v>
      </c>
      <c r="W6137">
        <v>1.5249999999999999</v>
      </c>
      <c r="X6137">
        <v>0</v>
      </c>
    </row>
    <row r="6138" spans="1:40" x14ac:dyDescent="0.25">
      <c r="A6138" t="s">
        <v>15</v>
      </c>
      <c r="B6138" t="s">
        <v>24</v>
      </c>
      <c r="C6138">
        <v>20150316</v>
      </c>
      <c r="D6138">
        <v>0</v>
      </c>
      <c r="F6138">
        <v>62500</v>
      </c>
      <c r="G6138" t="s">
        <v>17</v>
      </c>
      <c r="I6138" t="s">
        <v>16</v>
      </c>
      <c r="J6138" t="s">
        <v>180</v>
      </c>
      <c r="K6138" t="s">
        <v>25</v>
      </c>
      <c r="L6138">
        <v>132757294</v>
      </c>
      <c r="R6138">
        <v>9655</v>
      </c>
      <c r="S6138" t="s">
        <v>232</v>
      </c>
      <c r="T6138">
        <v>0</v>
      </c>
      <c r="U6138">
        <v>5</v>
      </c>
      <c r="V6138">
        <v>0</v>
      </c>
      <c r="W6138">
        <v>0</v>
      </c>
      <c r="X6138">
        <v>0</v>
      </c>
    </row>
    <row r="6139" spans="1:40" x14ac:dyDescent="0.25">
      <c r="A6139" t="s">
        <v>15</v>
      </c>
      <c r="B6139" t="s">
        <v>24</v>
      </c>
      <c r="C6139">
        <v>20150316</v>
      </c>
      <c r="D6139">
        <v>0</v>
      </c>
      <c r="F6139">
        <v>62500</v>
      </c>
      <c r="G6139" t="s">
        <v>17</v>
      </c>
      <c r="I6139" t="s">
        <v>16</v>
      </c>
      <c r="J6139" t="s">
        <v>180</v>
      </c>
      <c r="K6139" t="s">
        <v>25</v>
      </c>
      <c r="L6139">
        <v>132757294</v>
      </c>
      <c r="R6139">
        <v>9655</v>
      </c>
      <c r="S6139" t="s">
        <v>232</v>
      </c>
      <c r="T6139">
        <v>0</v>
      </c>
      <c r="U6139">
        <v>5</v>
      </c>
      <c r="V6139">
        <v>0</v>
      </c>
      <c r="W6139">
        <v>0</v>
      </c>
      <c r="X6139">
        <v>0</v>
      </c>
    </row>
    <row r="6140" spans="1:40" x14ac:dyDescent="0.25">
      <c r="A6140" t="s">
        <v>15</v>
      </c>
      <c r="B6140" t="s">
        <v>24</v>
      </c>
      <c r="C6140">
        <v>20150316</v>
      </c>
      <c r="D6140">
        <v>0</v>
      </c>
      <c r="F6140">
        <v>62500</v>
      </c>
      <c r="G6140" t="s">
        <v>17</v>
      </c>
      <c r="I6140" t="s">
        <v>16</v>
      </c>
      <c r="J6140" t="s">
        <v>180</v>
      </c>
      <c r="K6140" t="s">
        <v>25</v>
      </c>
      <c r="L6140">
        <v>132757294</v>
      </c>
      <c r="R6140">
        <v>9655</v>
      </c>
      <c r="S6140" t="s">
        <v>233</v>
      </c>
      <c r="T6140">
        <v>0</v>
      </c>
      <c r="U6140">
        <v>5</v>
      </c>
      <c r="V6140">
        <v>0</v>
      </c>
      <c r="W6140">
        <v>0</v>
      </c>
      <c r="X6140">
        <v>0</v>
      </c>
    </row>
    <row r="6141" spans="1:40" x14ac:dyDescent="0.25">
      <c r="A6141" t="s">
        <v>15</v>
      </c>
      <c r="B6141" t="s">
        <v>24</v>
      </c>
      <c r="C6141">
        <v>20150316</v>
      </c>
      <c r="D6141">
        <v>0</v>
      </c>
      <c r="F6141">
        <v>62500</v>
      </c>
      <c r="G6141" t="s">
        <v>17</v>
      </c>
      <c r="I6141" t="s">
        <v>16</v>
      </c>
      <c r="J6141" t="s">
        <v>180</v>
      </c>
      <c r="K6141" t="s">
        <v>25</v>
      </c>
      <c r="L6141">
        <v>132757294</v>
      </c>
      <c r="R6141">
        <v>9651</v>
      </c>
      <c r="S6141" t="s">
        <v>223</v>
      </c>
      <c r="T6141">
        <v>0</v>
      </c>
      <c r="U6141">
        <v>27</v>
      </c>
      <c r="V6141">
        <v>0</v>
      </c>
      <c r="W6141">
        <v>0</v>
      </c>
      <c r="X6141">
        <v>0</v>
      </c>
    </row>
    <row r="6142" spans="1:40" x14ac:dyDescent="0.25">
      <c r="A6142" t="s">
        <v>15</v>
      </c>
      <c r="B6142" t="s">
        <v>24</v>
      </c>
      <c r="C6142">
        <v>20150316</v>
      </c>
      <c r="D6142">
        <v>0</v>
      </c>
      <c r="F6142">
        <v>62500</v>
      </c>
      <c r="G6142" t="s">
        <v>17</v>
      </c>
      <c r="I6142" t="s">
        <v>16</v>
      </c>
      <c r="J6142" t="s">
        <v>180</v>
      </c>
      <c r="K6142" t="s">
        <v>25</v>
      </c>
      <c r="L6142">
        <v>132757294</v>
      </c>
      <c r="R6142">
        <v>9651</v>
      </c>
      <c r="S6142" t="s">
        <v>224</v>
      </c>
      <c r="T6142">
        <v>0</v>
      </c>
      <c r="U6142">
        <v>27</v>
      </c>
      <c r="V6142">
        <v>0</v>
      </c>
      <c r="W6142">
        <v>0</v>
      </c>
      <c r="X6142">
        <v>0</v>
      </c>
    </row>
    <row r="6143" spans="1:40" x14ac:dyDescent="0.25">
      <c r="A6143" t="s">
        <v>15</v>
      </c>
      <c r="B6143" t="s">
        <v>24</v>
      </c>
      <c r="C6143">
        <v>20150316</v>
      </c>
      <c r="D6143">
        <v>0</v>
      </c>
      <c r="F6143">
        <v>62500</v>
      </c>
      <c r="G6143" t="s">
        <v>17</v>
      </c>
      <c r="I6143" t="s">
        <v>16</v>
      </c>
      <c r="J6143" t="s">
        <v>180</v>
      </c>
      <c r="K6143" t="s">
        <v>25</v>
      </c>
      <c r="L6143">
        <v>132757294</v>
      </c>
      <c r="R6143">
        <v>9652</v>
      </c>
      <c r="S6143" t="s">
        <v>223</v>
      </c>
      <c r="T6143">
        <v>0</v>
      </c>
      <c r="U6143">
        <v>26</v>
      </c>
      <c r="V6143">
        <v>0</v>
      </c>
      <c r="W6143">
        <v>0</v>
      </c>
      <c r="X6143">
        <v>0</v>
      </c>
    </row>
    <row r="6144" spans="1:40" x14ac:dyDescent="0.25">
      <c r="A6144" t="s">
        <v>15</v>
      </c>
      <c r="B6144" t="s">
        <v>24</v>
      </c>
      <c r="C6144">
        <v>20150316</v>
      </c>
      <c r="D6144">
        <v>0</v>
      </c>
      <c r="F6144">
        <v>62500</v>
      </c>
      <c r="G6144" t="s">
        <v>17</v>
      </c>
      <c r="I6144" t="s">
        <v>16</v>
      </c>
      <c r="J6144" t="s">
        <v>180</v>
      </c>
      <c r="K6144" t="s">
        <v>25</v>
      </c>
      <c r="L6144">
        <v>132757294</v>
      </c>
      <c r="R6144">
        <v>9652</v>
      </c>
      <c r="S6144" t="s">
        <v>224</v>
      </c>
      <c r="T6144">
        <v>0</v>
      </c>
      <c r="U6144">
        <v>26</v>
      </c>
      <c r="V6144">
        <v>0</v>
      </c>
      <c r="W6144">
        <v>0</v>
      </c>
      <c r="X6144">
        <v>0</v>
      </c>
    </row>
    <row r="6145" spans="1:40" x14ac:dyDescent="0.25">
      <c r="A6145" t="s">
        <v>15</v>
      </c>
      <c r="B6145" t="s">
        <v>24</v>
      </c>
      <c r="C6145">
        <v>20150316</v>
      </c>
      <c r="D6145">
        <v>0</v>
      </c>
      <c r="F6145">
        <v>62500</v>
      </c>
      <c r="G6145" t="s">
        <v>17</v>
      </c>
      <c r="I6145" t="s">
        <v>16</v>
      </c>
      <c r="J6145" t="s">
        <v>180</v>
      </c>
      <c r="K6145" t="s">
        <v>25</v>
      </c>
      <c r="L6145">
        <v>132757294</v>
      </c>
      <c r="R6145">
        <v>9656</v>
      </c>
      <c r="S6145" t="s">
        <v>232</v>
      </c>
      <c r="T6145">
        <v>0</v>
      </c>
      <c r="U6145">
        <v>22</v>
      </c>
      <c r="V6145">
        <v>0</v>
      </c>
      <c r="W6145">
        <v>0</v>
      </c>
      <c r="X6145">
        <v>0</v>
      </c>
    </row>
    <row r="6146" spans="1:40" x14ac:dyDescent="0.25">
      <c r="A6146" t="s">
        <v>15</v>
      </c>
      <c r="B6146" t="s">
        <v>24</v>
      </c>
      <c r="C6146">
        <v>20150316</v>
      </c>
      <c r="D6146">
        <v>0</v>
      </c>
      <c r="F6146">
        <v>62500</v>
      </c>
      <c r="G6146" t="s">
        <v>17</v>
      </c>
      <c r="I6146" t="s">
        <v>16</v>
      </c>
      <c r="J6146" t="s">
        <v>180</v>
      </c>
      <c r="K6146" t="s">
        <v>25</v>
      </c>
      <c r="L6146">
        <v>132757294</v>
      </c>
      <c r="R6146">
        <v>9656</v>
      </c>
      <c r="S6146" t="s">
        <v>232</v>
      </c>
      <c r="T6146">
        <v>0</v>
      </c>
      <c r="U6146">
        <v>22</v>
      </c>
      <c r="V6146">
        <v>0</v>
      </c>
      <c r="W6146">
        <v>0</v>
      </c>
      <c r="X6146">
        <v>0</v>
      </c>
    </row>
    <row r="6147" spans="1:40" x14ac:dyDescent="0.25">
      <c r="A6147" t="s">
        <v>15</v>
      </c>
      <c r="B6147" t="s">
        <v>24</v>
      </c>
      <c r="C6147">
        <v>20150316</v>
      </c>
      <c r="D6147">
        <v>0</v>
      </c>
      <c r="F6147">
        <v>62500</v>
      </c>
      <c r="G6147" t="s">
        <v>17</v>
      </c>
      <c r="I6147" t="s">
        <v>16</v>
      </c>
      <c r="J6147" t="s">
        <v>180</v>
      </c>
      <c r="K6147" t="s">
        <v>25</v>
      </c>
      <c r="L6147">
        <v>132757294</v>
      </c>
      <c r="R6147">
        <v>9656</v>
      </c>
      <c r="S6147" t="s">
        <v>192</v>
      </c>
      <c r="T6147">
        <v>0</v>
      </c>
      <c r="U6147">
        <v>22</v>
      </c>
      <c r="V6147">
        <v>0</v>
      </c>
      <c r="W6147">
        <v>0</v>
      </c>
      <c r="X6147">
        <v>0</v>
      </c>
    </row>
    <row r="6148" spans="1:40" x14ac:dyDescent="0.25">
      <c r="A6148" t="s">
        <v>15</v>
      </c>
      <c r="B6148" t="s">
        <v>24</v>
      </c>
      <c r="C6148">
        <v>20150316</v>
      </c>
      <c r="D6148">
        <v>0</v>
      </c>
      <c r="F6148">
        <v>62500</v>
      </c>
      <c r="G6148" t="s">
        <v>17</v>
      </c>
      <c r="I6148" t="s">
        <v>16</v>
      </c>
      <c r="J6148" t="s">
        <v>180</v>
      </c>
      <c r="K6148" t="s">
        <v>25</v>
      </c>
      <c r="L6148">
        <v>132757294</v>
      </c>
      <c r="R6148">
        <v>9657</v>
      </c>
      <c r="S6148" t="s">
        <v>232</v>
      </c>
      <c r="T6148">
        <v>0</v>
      </c>
      <c r="U6148">
        <v>-22</v>
      </c>
      <c r="V6148">
        <v>0</v>
      </c>
      <c r="W6148">
        <v>0</v>
      </c>
      <c r="X6148">
        <v>0</v>
      </c>
    </row>
    <row r="6149" spans="1:40" x14ac:dyDescent="0.25">
      <c r="A6149" t="s">
        <v>15</v>
      </c>
      <c r="B6149" t="s">
        <v>24</v>
      </c>
      <c r="C6149">
        <v>20150316</v>
      </c>
      <c r="D6149">
        <v>0</v>
      </c>
      <c r="F6149">
        <v>62500</v>
      </c>
      <c r="G6149" t="s">
        <v>17</v>
      </c>
      <c r="I6149" t="s">
        <v>16</v>
      </c>
      <c r="J6149" t="s">
        <v>180</v>
      </c>
      <c r="K6149" t="s">
        <v>25</v>
      </c>
      <c r="L6149">
        <v>132757294</v>
      </c>
      <c r="R6149">
        <v>9657</v>
      </c>
      <c r="S6149" t="s">
        <v>232</v>
      </c>
      <c r="T6149">
        <v>0</v>
      </c>
      <c r="U6149">
        <v>-22</v>
      </c>
      <c r="V6149">
        <v>0</v>
      </c>
      <c r="W6149">
        <v>0</v>
      </c>
      <c r="X6149">
        <v>0</v>
      </c>
    </row>
    <row r="6150" spans="1:40" x14ac:dyDescent="0.25">
      <c r="A6150" t="s">
        <v>15</v>
      </c>
      <c r="B6150" t="s">
        <v>24</v>
      </c>
      <c r="C6150">
        <v>20150316</v>
      </c>
      <c r="D6150">
        <v>0</v>
      </c>
      <c r="F6150">
        <v>62500</v>
      </c>
      <c r="G6150" t="s">
        <v>17</v>
      </c>
      <c r="I6150" t="s">
        <v>16</v>
      </c>
      <c r="J6150" t="s">
        <v>180</v>
      </c>
      <c r="K6150" t="s">
        <v>25</v>
      </c>
      <c r="L6150">
        <v>132757294</v>
      </c>
      <c r="R6150">
        <v>9657</v>
      </c>
      <c r="S6150" t="s">
        <v>192</v>
      </c>
      <c r="T6150">
        <v>0</v>
      </c>
      <c r="U6150">
        <v>22</v>
      </c>
      <c r="V6150">
        <v>0</v>
      </c>
      <c r="W6150">
        <v>0</v>
      </c>
      <c r="X6150">
        <v>0</v>
      </c>
    </row>
    <row r="6151" spans="1:40" x14ac:dyDescent="0.25">
      <c r="A6151" t="s">
        <v>15</v>
      </c>
      <c r="B6151" t="s">
        <v>24</v>
      </c>
      <c r="C6151">
        <v>20150316</v>
      </c>
      <c r="D6151">
        <v>0</v>
      </c>
      <c r="F6151">
        <v>62500</v>
      </c>
      <c r="G6151" t="s">
        <v>17</v>
      </c>
      <c r="I6151" t="s">
        <v>16</v>
      </c>
      <c r="J6151" t="s">
        <v>180</v>
      </c>
      <c r="K6151" t="s">
        <v>25</v>
      </c>
      <c r="L6151">
        <v>132757294</v>
      </c>
      <c r="R6151">
        <v>9655</v>
      </c>
      <c r="S6151" t="s">
        <v>223</v>
      </c>
      <c r="T6151">
        <v>0</v>
      </c>
      <c r="U6151">
        <v>5</v>
      </c>
      <c r="V6151">
        <v>0</v>
      </c>
      <c r="W6151">
        <v>0</v>
      </c>
      <c r="X6151">
        <v>0</v>
      </c>
    </row>
    <row r="6152" spans="1:40" x14ac:dyDescent="0.25">
      <c r="A6152" t="s">
        <v>15</v>
      </c>
      <c r="B6152" t="s">
        <v>24</v>
      </c>
      <c r="C6152">
        <v>20150316</v>
      </c>
      <c r="D6152">
        <v>0</v>
      </c>
      <c r="F6152">
        <v>62500</v>
      </c>
      <c r="G6152" t="s">
        <v>17</v>
      </c>
      <c r="I6152" t="s">
        <v>16</v>
      </c>
      <c r="J6152" t="s">
        <v>180</v>
      </c>
      <c r="K6152" t="s">
        <v>25</v>
      </c>
      <c r="L6152">
        <v>132757294</v>
      </c>
      <c r="R6152">
        <v>9655</v>
      </c>
      <c r="S6152" t="s">
        <v>224</v>
      </c>
      <c r="T6152">
        <v>0</v>
      </c>
      <c r="U6152">
        <v>5</v>
      </c>
      <c r="V6152">
        <v>0</v>
      </c>
      <c r="W6152">
        <v>0</v>
      </c>
      <c r="X6152">
        <v>0</v>
      </c>
    </row>
    <row r="6153" spans="1:40" x14ac:dyDescent="0.25">
      <c r="A6153" t="s">
        <v>15</v>
      </c>
      <c r="B6153" t="s">
        <v>24</v>
      </c>
      <c r="C6153">
        <v>20150316</v>
      </c>
      <c r="D6153">
        <v>0</v>
      </c>
      <c r="F6153">
        <v>62500</v>
      </c>
      <c r="G6153" t="s">
        <v>17</v>
      </c>
      <c r="I6153" t="s">
        <v>16</v>
      </c>
      <c r="J6153" t="s">
        <v>180</v>
      </c>
      <c r="K6153" t="s">
        <v>25</v>
      </c>
      <c r="L6153">
        <v>132757294</v>
      </c>
      <c r="R6153">
        <v>9658</v>
      </c>
      <c r="S6153" t="s">
        <v>232</v>
      </c>
      <c r="T6153">
        <v>0</v>
      </c>
      <c r="U6153">
        <v>5</v>
      </c>
      <c r="V6153">
        <v>0</v>
      </c>
      <c r="W6153">
        <v>0</v>
      </c>
      <c r="X6153">
        <v>0</v>
      </c>
    </row>
    <row r="6154" spans="1:40" x14ac:dyDescent="0.25">
      <c r="A6154" t="s">
        <v>15</v>
      </c>
      <c r="B6154" t="s">
        <v>24</v>
      </c>
      <c r="C6154">
        <v>20150316</v>
      </c>
      <c r="D6154">
        <v>0</v>
      </c>
      <c r="F6154">
        <v>62500</v>
      </c>
      <c r="G6154" t="s">
        <v>17</v>
      </c>
      <c r="I6154" t="s">
        <v>16</v>
      </c>
      <c r="J6154" t="s">
        <v>180</v>
      </c>
      <c r="K6154" t="s">
        <v>25</v>
      </c>
      <c r="L6154">
        <v>132757294</v>
      </c>
      <c r="R6154">
        <v>9658</v>
      </c>
      <c r="S6154" t="s">
        <v>232</v>
      </c>
      <c r="T6154">
        <v>0</v>
      </c>
      <c r="U6154">
        <v>-5</v>
      </c>
      <c r="V6154">
        <v>0</v>
      </c>
      <c r="W6154">
        <v>0</v>
      </c>
      <c r="X6154">
        <v>0</v>
      </c>
      <c r="Y6154">
        <v>9658</v>
      </c>
      <c r="Z6154" t="s">
        <v>423</v>
      </c>
      <c r="AA6154" t="s">
        <v>424</v>
      </c>
      <c r="AB6154" t="s">
        <v>234</v>
      </c>
      <c r="AC6154" t="s">
        <v>17</v>
      </c>
      <c r="AD6154" t="s">
        <v>235</v>
      </c>
      <c r="AE6154">
        <v>5</v>
      </c>
      <c r="AF6154">
        <v>5</v>
      </c>
      <c r="AG6154">
        <v>1.5253000000000001</v>
      </c>
      <c r="AH6154">
        <v>1.5253000000000001</v>
      </c>
      <c r="AI6154">
        <v>415886691</v>
      </c>
      <c r="AJ6154">
        <v>0</v>
      </c>
      <c r="AK6154">
        <v>7</v>
      </c>
      <c r="AN6154">
        <v>0</v>
      </c>
    </row>
    <row r="6155" spans="1:40" x14ac:dyDescent="0.25">
      <c r="A6155" t="s">
        <v>15</v>
      </c>
      <c r="B6155" t="s">
        <v>24</v>
      </c>
      <c r="C6155">
        <v>20150316</v>
      </c>
      <c r="D6155">
        <v>0</v>
      </c>
      <c r="F6155">
        <v>62500</v>
      </c>
      <c r="G6155" t="s">
        <v>17</v>
      </c>
      <c r="I6155" t="s">
        <v>16</v>
      </c>
      <c r="J6155" t="s">
        <v>180</v>
      </c>
      <c r="K6155" t="s">
        <v>25</v>
      </c>
      <c r="L6155">
        <v>132757294</v>
      </c>
      <c r="R6155">
        <v>9658</v>
      </c>
      <c r="S6155" t="s">
        <v>232</v>
      </c>
      <c r="T6155">
        <v>0</v>
      </c>
      <c r="U6155">
        <v>-5</v>
      </c>
      <c r="V6155">
        <v>0</v>
      </c>
      <c r="W6155">
        <v>0</v>
      </c>
      <c r="X6155">
        <v>0</v>
      </c>
    </row>
    <row r="6156" spans="1:40" x14ac:dyDescent="0.25">
      <c r="A6156" t="s">
        <v>15</v>
      </c>
      <c r="B6156" t="s">
        <v>24</v>
      </c>
      <c r="C6156">
        <v>20150316</v>
      </c>
      <c r="D6156">
        <v>0</v>
      </c>
      <c r="F6156">
        <v>62500</v>
      </c>
      <c r="G6156" t="s">
        <v>17</v>
      </c>
      <c r="I6156" t="s">
        <v>16</v>
      </c>
      <c r="J6156" t="s">
        <v>180</v>
      </c>
      <c r="K6156" t="s">
        <v>25</v>
      </c>
      <c r="L6156">
        <v>132757294</v>
      </c>
      <c r="R6156">
        <v>9658</v>
      </c>
      <c r="S6156" t="s">
        <v>37</v>
      </c>
      <c r="T6156">
        <v>5</v>
      </c>
      <c r="U6156">
        <v>0</v>
      </c>
      <c r="V6156">
        <v>1.5253000000000001</v>
      </c>
      <c r="W6156">
        <v>1.5253000000000001</v>
      </c>
      <c r="X6156">
        <v>0</v>
      </c>
    </row>
    <row r="6157" spans="1:40" x14ac:dyDescent="0.25">
      <c r="A6157" t="s">
        <v>15</v>
      </c>
      <c r="B6157" t="s">
        <v>24</v>
      </c>
      <c r="C6157">
        <v>20150316</v>
      </c>
      <c r="D6157">
        <v>0</v>
      </c>
      <c r="F6157">
        <v>62500</v>
      </c>
      <c r="G6157" t="s">
        <v>17</v>
      </c>
      <c r="I6157" t="s">
        <v>16</v>
      </c>
      <c r="J6157" t="s">
        <v>180</v>
      </c>
      <c r="K6157" t="s">
        <v>25</v>
      </c>
      <c r="L6157">
        <v>132757294</v>
      </c>
      <c r="R6157">
        <v>9658</v>
      </c>
      <c r="S6157" t="s">
        <v>37</v>
      </c>
      <c r="T6157">
        <v>5</v>
      </c>
      <c r="U6157">
        <v>0</v>
      </c>
      <c r="V6157">
        <v>1.5253000000000001</v>
      </c>
      <c r="W6157">
        <v>1.5253000000000001</v>
      </c>
      <c r="X6157">
        <v>0</v>
      </c>
    </row>
    <row r="6158" spans="1:40" x14ac:dyDescent="0.25">
      <c r="A6158" t="s">
        <v>15</v>
      </c>
      <c r="B6158" t="s">
        <v>24</v>
      </c>
      <c r="C6158">
        <v>20150316</v>
      </c>
      <c r="D6158">
        <v>0</v>
      </c>
      <c r="F6158">
        <v>62500</v>
      </c>
      <c r="G6158" t="s">
        <v>17</v>
      </c>
      <c r="I6158" t="s">
        <v>16</v>
      </c>
      <c r="J6158" t="s">
        <v>180</v>
      </c>
      <c r="K6158" t="s">
        <v>25</v>
      </c>
      <c r="L6158">
        <v>132757294</v>
      </c>
      <c r="R6158">
        <v>9658</v>
      </c>
      <c r="S6158" t="s">
        <v>37</v>
      </c>
      <c r="T6158">
        <v>5</v>
      </c>
      <c r="U6158">
        <v>0</v>
      </c>
      <c r="V6158">
        <v>1.5253000000000001</v>
      </c>
      <c r="W6158">
        <v>1.5253000000000001</v>
      </c>
      <c r="X6158">
        <v>0</v>
      </c>
    </row>
    <row r="6159" spans="1:40" x14ac:dyDescent="0.25">
      <c r="A6159" t="s">
        <v>15</v>
      </c>
      <c r="B6159" t="s">
        <v>24</v>
      </c>
      <c r="C6159">
        <v>20150316</v>
      </c>
      <c r="D6159">
        <v>0</v>
      </c>
      <c r="F6159">
        <v>62500</v>
      </c>
      <c r="G6159" t="s">
        <v>17</v>
      </c>
      <c r="I6159" t="s">
        <v>16</v>
      </c>
      <c r="J6159" t="s">
        <v>180</v>
      </c>
      <c r="K6159" t="s">
        <v>25</v>
      </c>
      <c r="L6159">
        <v>132757294</v>
      </c>
      <c r="R6159">
        <v>9658</v>
      </c>
      <c r="S6159" t="s">
        <v>37</v>
      </c>
      <c r="T6159">
        <v>5</v>
      </c>
      <c r="U6159">
        <v>0</v>
      </c>
      <c r="V6159">
        <v>1.5253000000000001</v>
      </c>
      <c r="W6159">
        <v>1.5253000000000001</v>
      </c>
      <c r="X6159">
        <v>0</v>
      </c>
    </row>
    <row r="6160" spans="1:40" x14ac:dyDescent="0.25">
      <c r="A6160" t="s">
        <v>15</v>
      </c>
      <c r="B6160" t="s">
        <v>24</v>
      </c>
      <c r="C6160">
        <v>20150316</v>
      </c>
      <c r="D6160">
        <v>0</v>
      </c>
      <c r="F6160">
        <v>62500</v>
      </c>
      <c r="G6160" t="s">
        <v>17</v>
      </c>
      <c r="I6160" t="s">
        <v>16</v>
      </c>
      <c r="J6160" t="s">
        <v>180</v>
      </c>
      <c r="K6160" t="s">
        <v>25</v>
      </c>
      <c r="L6160">
        <v>132757294</v>
      </c>
      <c r="R6160">
        <v>9658</v>
      </c>
      <c r="S6160" t="s">
        <v>37</v>
      </c>
      <c r="T6160">
        <v>5</v>
      </c>
      <c r="U6160">
        <v>0</v>
      </c>
      <c r="V6160">
        <v>1.5253000000000001</v>
      </c>
      <c r="W6160">
        <v>1.5253000000000001</v>
      </c>
      <c r="X6160">
        <v>0</v>
      </c>
    </row>
    <row r="6161" spans="1:40" x14ac:dyDescent="0.25">
      <c r="A6161" t="s">
        <v>15</v>
      </c>
      <c r="B6161" t="s">
        <v>24</v>
      </c>
      <c r="C6161">
        <v>20150316</v>
      </c>
      <c r="D6161">
        <v>0</v>
      </c>
      <c r="F6161">
        <v>62500</v>
      </c>
      <c r="G6161" t="s">
        <v>17</v>
      </c>
      <c r="I6161" t="s">
        <v>16</v>
      </c>
      <c r="J6161" t="s">
        <v>180</v>
      </c>
      <c r="K6161" t="s">
        <v>25</v>
      </c>
      <c r="L6161">
        <v>132757294</v>
      </c>
      <c r="R6161">
        <v>9658</v>
      </c>
      <c r="S6161" t="s">
        <v>37</v>
      </c>
      <c r="T6161">
        <v>5</v>
      </c>
      <c r="U6161">
        <v>0</v>
      </c>
      <c r="V6161">
        <v>1.5253000000000001</v>
      </c>
      <c r="W6161">
        <v>1.5253000000000001</v>
      </c>
      <c r="X6161">
        <v>0</v>
      </c>
    </row>
    <row r="6162" spans="1:40" x14ac:dyDescent="0.25">
      <c r="A6162" t="s">
        <v>15</v>
      </c>
      <c r="B6162" t="s">
        <v>24</v>
      </c>
      <c r="C6162">
        <v>20150316</v>
      </c>
      <c r="D6162">
        <v>0</v>
      </c>
      <c r="F6162">
        <v>62500</v>
      </c>
      <c r="G6162" t="s">
        <v>17</v>
      </c>
      <c r="I6162" t="s">
        <v>16</v>
      </c>
      <c r="J6162" t="s">
        <v>180</v>
      </c>
      <c r="K6162" t="s">
        <v>25</v>
      </c>
      <c r="L6162">
        <v>132757294</v>
      </c>
      <c r="R6162">
        <v>9658</v>
      </c>
      <c r="S6162" t="s">
        <v>37</v>
      </c>
      <c r="T6162">
        <v>5</v>
      </c>
      <c r="U6162">
        <v>0</v>
      </c>
      <c r="V6162">
        <v>1.5253000000000001</v>
      </c>
      <c r="W6162">
        <v>1.5253000000000001</v>
      </c>
      <c r="X6162">
        <v>0</v>
      </c>
    </row>
    <row r="6163" spans="1:40" x14ac:dyDescent="0.25">
      <c r="A6163" t="s">
        <v>15</v>
      </c>
      <c r="B6163" t="s">
        <v>24</v>
      </c>
      <c r="C6163">
        <v>20150316</v>
      </c>
      <c r="D6163">
        <v>0</v>
      </c>
      <c r="F6163">
        <v>62500</v>
      </c>
      <c r="G6163" t="s">
        <v>17</v>
      </c>
      <c r="I6163" t="s">
        <v>16</v>
      </c>
      <c r="J6163" t="s">
        <v>180</v>
      </c>
      <c r="K6163" t="s">
        <v>25</v>
      </c>
      <c r="L6163">
        <v>132757294</v>
      </c>
      <c r="R6163">
        <v>9658</v>
      </c>
      <c r="S6163" t="s">
        <v>37</v>
      </c>
      <c r="T6163">
        <v>5</v>
      </c>
      <c r="U6163">
        <v>0</v>
      </c>
      <c r="V6163">
        <v>1.5253000000000001</v>
      </c>
      <c r="W6163">
        <v>1.5253000000000001</v>
      </c>
      <c r="X6163">
        <v>0</v>
      </c>
    </row>
    <row r="6164" spans="1:40" x14ac:dyDescent="0.25">
      <c r="A6164" t="s">
        <v>15</v>
      </c>
      <c r="B6164" t="s">
        <v>24</v>
      </c>
      <c r="C6164">
        <v>20150316</v>
      </c>
      <c r="D6164">
        <v>0</v>
      </c>
      <c r="F6164">
        <v>62500</v>
      </c>
      <c r="G6164" t="s">
        <v>17</v>
      </c>
      <c r="I6164" t="s">
        <v>16</v>
      </c>
      <c r="J6164" t="s">
        <v>180</v>
      </c>
      <c r="K6164" t="s">
        <v>25</v>
      </c>
      <c r="L6164">
        <v>132757294</v>
      </c>
      <c r="R6164">
        <v>9659</v>
      </c>
      <c r="S6164" t="s">
        <v>232</v>
      </c>
      <c r="T6164">
        <v>0</v>
      </c>
      <c r="U6164">
        <v>5</v>
      </c>
      <c r="V6164">
        <v>0</v>
      </c>
      <c r="W6164">
        <v>0</v>
      </c>
      <c r="X6164">
        <v>0</v>
      </c>
    </row>
    <row r="6165" spans="1:40" x14ac:dyDescent="0.25">
      <c r="A6165" t="s">
        <v>15</v>
      </c>
      <c r="B6165" t="s">
        <v>24</v>
      </c>
      <c r="C6165">
        <v>20150316</v>
      </c>
      <c r="D6165">
        <v>0</v>
      </c>
      <c r="F6165">
        <v>62500</v>
      </c>
      <c r="G6165" t="s">
        <v>17</v>
      </c>
      <c r="I6165" t="s">
        <v>16</v>
      </c>
      <c r="J6165" t="s">
        <v>180</v>
      </c>
      <c r="K6165" t="s">
        <v>25</v>
      </c>
      <c r="L6165">
        <v>132757294</v>
      </c>
      <c r="R6165">
        <v>9659</v>
      </c>
      <c r="S6165" t="s">
        <v>232</v>
      </c>
      <c r="T6165">
        <v>0</v>
      </c>
      <c r="U6165">
        <v>-5</v>
      </c>
      <c r="V6165">
        <v>0</v>
      </c>
      <c r="W6165">
        <v>0</v>
      </c>
      <c r="X6165">
        <v>0</v>
      </c>
      <c r="Y6165">
        <v>9659</v>
      </c>
      <c r="Z6165" t="s">
        <v>425</v>
      </c>
      <c r="AA6165" t="s">
        <v>426</v>
      </c>
      <c r="AB6165" t="s">
        <v>234</v>
      </c>
      <c r="AC6165" t="s">
        <v>17</v>
      </c>
      <c r="AD6165" t="s">
        <v>235</v>
      </c>
      <c r="AE6165">
        <v>5</v>
      </c>
      <c r="AF6165">
        <v>5</v>
      </c>
      <c r="AG6165">
        <v>1.5253000000000001</v>
      </c>
      <c r="AH6165">
        <v>1.5253000000000001</v>
      </c>
      <c r="AI6165">
        <v>415886692</v>
      </c>
      <c r="AJ6165">
        <v>0</v>
      </c>
      <c r="AK6165">
        <v>7</v>
      </c>
      <c r="AN6165">
        <v>0</v>
      </c>
    </row>
    <row r="6166" spans="1:40" x14ac:dyDescent="0.25">
      <c r="A6166" t="s">
        <v>15</v>
      </c>
      <c r="B6166" t="s">
        <v>24</v>
      </c>
      <c r="C6166">
        <v>20150316</v>
      </c>
      <c r="D6166">
        <v>0</v>
      </c>
      <c r="F6166">
        <v>62500</v>
      </c>
      <c r="G6166" t="s">
        <v>17</v>
      </c>
      <c r="I6166" t="s">
        <v>16</v>
      </c>
      <c r="J6166" t="s">
        <v>180</v>
      </c>
      <c r="K6166" t="s">
        <v>25</v>
      </c>
      <c r="L6166">
        <v>132757294</v>
      </c>
      <c r="R6166">
        <v>9659</v>
      </c>
      <c r="S6166" t="s">
        <v>232</v>
      </c>
      <c r="T6166">
        <v>0</v>
      </c>
      <c r="U6166">
        <v>-5</v>
      </c>
      <c r="V6166">
        <v>0</v>
      </c>
      <c r="W6166">
        <v>0</v>
      </c>
      <c r="X6166">
        <v>0</v>
      </c>
    </row>
    <row r="6167" spans="1:40" x14ac:dyDescent="0.25">
      <c r="A6167" t="s">
        <v>15</v>
      </c>
      <c r="B6167" t="s">
        <v>24</v>
      </c>
      <c r="C6167">
        <v>20150316</v>
      </c>
      <c r="D6167">
        <v>0</v>
      </c>
      <c r="F6167">
        <v>62500</v>
      </c>
      <c r="G6167" t="s">
        <v>17</v>
      </c>
      <c r="I6167" t="s">
        <v>16</v>
      </c>
      <c r="J6167" t="s">
        <v>180</v>
      </c>
      <c r="K6167" t="s">
        <v>25</v>
      </c>
      <c r="L6167">
        <v>132757294</v>
      </c>
      <c r="R6167">
        <v>9659</v>
      </c>
      <c r="S6167" t="s">
        <v>37</v>
      </c>
      <c r="T6167">
        <v>5</v>
      </c>
      <c r="U6167">
        <v>0</v>
      </c>
      <c r="V6167">
        <v>1.5253000000000001</v>
      </c>
      <c r="W6167">
        <v>1.5253000000000001</v>
      </c>
      <c r="X6167">
        <v>0</v>
      </c>
    </row>
    <row r="6168" spans="1:40" x14ac:dyDescent="0.25">
      <c r="A6168" t="s">
        <v>15</v>
      </c>
      <c r="B6168" t="s">
        <v>24</v>
      </c>
      <c r="C6168">
        <v>20150316</v>
      </c>
      <c r="D6168">
        <v>0</v>
      </c>
      <c r="F6168">
        <v>62500</v>
      </c>
      <c r="G6168" t="s">
        <v>17</v>
      </c>
      <c r="I6168" t="s">
        <v>16</v>
      </c>
      <c r="J6168" t="s">
        <v>180</v>
      </c>
      <c r="K6168" t="s">
        <v>25</v>
      </c>
      <c r="L6168">
        <v>132757294</v>
      </c>
      <c r="R6168">
        <v>9659</v>
      </c>
      <c r="S6168" t="s">
        <v>37</v>
      </c>
      <c r="T6168">
        <v>5</v>
      </c>
      <c r="U6168">
        <v>0</v>
      </c>
      <c r="V6168">
        <v>1.5253000000000001</v>
      </c>
      <c r="W6168">
        <v>1.5253000000000001</v>
      </c>
      <c r="X6168">
        <v>0</v>
      </c>
    </row>
    <row r="6169" spans="1:40" x14ac:dyDescent="0.25">
      <c r="A6169" t="s">
        <v>15</v>
      </c>
      <c r="B6169" t="s">
        <v>24</v>
      </c>
      <c r="C6169">
        <v>20150316</v>
      </c>
      <c r="D6169">
        <v>0</v>
      </c>
      <c r="F6169">
        <v>62500</v>
      </c>
      <c r="G6169" t="s">
        <v>17</v>
      </c>
      <c r="I6169" t="s">
        <v>16</v>
      </c>
      <c r="J6169" t="s">
        <v>180</v>
      </c>
      <c r="K6169" t="s">
        <v>25</v>
      </c>
      <c r="L6169">
        <v>132757294</v>
      </c>
      <c r="R6169">
        <v>9659</v>
      </c>
      <c r="S6169" t="s">
        <v>37</v>
      </c>
      <c r="T6169">
        <v>5</v>
      </c>
      <c r="U6169">
        <v>0</v>
      </c>
      <c r="V6169">
        <v>1.5253000000000001</v>
      </c>
      <c r="W6169">
        <v>1.5253000000000001</v>
      </c>
      <c r="X6169">
        <v>0</v>
      </c>
    </row>
    <row r="6170" spans="1:40" x14ac:dyDescent="0.25">
      <c r="A6170" t="s">
        <v>15</v>
      </c>
      <c r="B6170" t="s">
        <v>24</v>
      </c>
      <c r="C6170">
        <v>20150316</v>
      </c>
      <c r="D6170">
        <v>0</v>
      </c>
      <c r="F6170">
        <v>62500</v>
      </c>
      <c r="G6170" t="s">
        <v>17</v>
      </c>
      <c r="I6170" t="s">
        <v>16</v>
      </c>
      <c r="J6170" t="s">
        <v>180</v>
      </c>
      <c r="K6170" t="s">
        <v>25</v>
      </c>
      <c r="L6170">
        <v>132757294</v>
      </c>
      <c r="R6170">
        <v>9659</v>
      </c>
      <c r="S6170" t="s">
        <v>37</v>
      </c>
      <c r="T6170">
        <v>5</v>
      </c>
      <c r="U6170">
        <v>0</v>
      </c>
      <c r="V6170">
        <v>1.5253000000000001</v>
      </c>
      <c r="W6170">
        <v>1.5253000000000001</v>
      </c>
      <c r="X6170">
        <v>0</v>
      </c>
    </row>
    <row r="6171" spans="1:40" x14ac:dyDescent="0.25">
      <c r="A6171" t="s">
        <v>15</v>
      </c>
      <c r="B6171" t="s">
        <v>24</v>
      </c>
      <c r="C6171">
        <v>20150316</v>
      </c>
      <c r="D6171">
        <v>0</v>
      </c>
      <c r="F6171">
        <v>62500</v>
      </c>
      <c r="G6171" t="s">
        <v>17</v>
      </c>
      <c r="I6171" t="s">
        <v>16</v>
      </c>
      <c r="J6171" t="s">
        <v>180</v>
      </c>
      <c r="K6171" t="s">
        <v>25</v>
      </c>
      <c r="L6171">
        <v>132757294</v>
      </c>
      <c r="R6171">
        <v>9659</v>
      </c>
      <c r="S6171" t="s">
        <v>37</v>
      </c>
      <c r="T6171">
        <v>5</v>
      </c>
      <c r="U6171">
        <v>0</v>
      </c>
      <c r="V6171">
        <v>1.5253000000000001</v>
      </c>
      <c r="W6171">
        <v>1.5253000000000001</v>
      </c>
      <c r="X6171">
        <v>0</v>
      </c>
    </row>
    <row r="6172" spans="1:40" x14ac:dyDescent="0.25">
      <c r="A6172" t="s">
        <v>15</v>
      </c>
      <c r="B6172" t="s">
        <v>24</v>
      </c>
      <c r="C6172">
        <v>20150316</v>
      </c>
      <c r="D6172">
        <v>0</v>
      </c>
      <c r="F6172">
        <v>62500</v>
      </c>
      <c r="G6172" t="s">
        <v>17</v>
      </c>
      <c r="I6172" t="s">
        <v>16</v>
      </c>
      <c r="J6172" t="s">
        <v>180</v>
      </c>
      <c r="K6172" t="s">
        <v>25</v>
      </c>
      <c r="L6172">
        <v>132757294</v>
      </c>
      <c r="R6172">
        <v>9659</v>
      </c>
      <c r="S6172" t="s">
        <v>37</v>
      </c>
      <c r="T6172">
        <v>5</v>
      </c>
      <c r="U6172">
        <v>0</v>
      </c>
      <c r="V6172">
        <v>1.5253000000000001</v>
      </c>
      <c r="W6172">
        <v>1.5253000000000001</v>
      </c>
      <c r="X6172">
        <v>0</v>
      </c>
    </row>
    <row r="6173" spans="1:40" x14ac:dyDescent="0.25">
      <c r="A6173" t="s">
        <v>15</v>
      </c>
      <c r="B6173" t="s">
        <v>24</v>
      </c>
      <c r="C6173">
        <v>20150316</v>
      </c>
      <c r="D6173">
        <v>0</v>
      </c>
      <c r="F6173">
        <v>62500</v>
      </c>
      <c r="G6173" t="s">
        <v>17</v>
      </c>
      <c r="I6173" t="s">
        <v>16</v>
      </c>
      <c r="J6173" t="s">
        <v>180</v>
      </c>
      <c r="K6173" t="s">
        <v>25</v>
      </c>
      <c r="L6173">
        <v>132757294</v>
      </c>
      <c r="R6173">
        <v>9659</v>
      </c>
      <c r="S6173" t="s">
        <v>37</v>
      </c>
      <c r="T6173">
        <v>5</v>
      </c>
      <c r="U6173">
        <v>0</v>
      </c>
      <c r="V6173">
        <v>1.5253000000000001</v>
      </c>
      <c r="W6173">
        <v>1.5253000000000001</v>
      </c>
      <c r="X6173">
        <v>0</v>
      </c>
    </row>
    <row r="6174" spans="1:40" x14ac:dyDescent="0.25">
      <c r="A6174" t="s">
        <v>15</v>
      </c>
      <c r="B6174" t="s">
        <v>24</v>
      </c>
      <c r="C6174">
        <v>20150316</v>
      </c>
      <c r="D6174">
        <v>0</v>
      </c>
      <c r="F6174">
        <v>62500</v>
      </c>
      <c r="G6174" t="s">
        <v>17</v>
      </c>
      <c r="I6174" t="s">
        <v>16</v>
      </c>
      <c r="J6174" t="s">
        <v>180</v>
      </c>
      <c r="K6174" t="s">
        <v>25</v>
      </c>
      <c r="L6174">
        <v>132757294</v>
      </c>
      <c r="R6174">
        <v>9659</v>
      </c>
      <c r="S6174" t="s">
        <v>37</v>
      </c>
      <c r="T6174">
        <v>5</v>
      </c>
      <c r="U6174">
        <v>0</v>
      </c>
      <c r="V6174">
        <v>1.5253000000000001</v>
      </c>
      <c r="W6174">
        <v>1.5253000000000001</v>
      </c>
      <c r="X6174">
        <v>0</v>
      </c>
    </row>
    <row r="6175" spans="1:40" x14ac:dyDescent="0.25">
      <c r="A6175" t="s">
        <v>15</v>
      </c>
      <c r="B6175" t="s">
        <v>24</v>
      </c>
      <c r="C6175">
        <v>20150316</v>
      </c>
      <c r="D6175">
        <v>0</v>
      </c>
      <c r="F6175">
        <v>62500</v>
      </c>
      <c r="G6175" t="s">
        <v>17</v>
      </c>
      <c r="I6175" t="s">
        <v>16</v>
      </c>
      <c r="J6175" t="s">
        <v>180</v>
      </c>
      <c r="K6175" t="s">
        <v>25</v>
      </c>
      <c r="L6175">
        <v>132757294</v>
      </c>
      <c r="R6175">
        <v>9660</v>
      </c>
      <c r="S6175" t="s">
        <v>232</v>
      </c>
      <c r="T6175">
        <v>0</v>
      </c>
      <c r="U6175">
        <v>5</v>
      </c>
      <c r="V6175">
        <v>0</v>
      </c>
      <c r="W6175">
        <v>0</v>
      </c>
      <c r="X6175">
        <v>0</v>
      </c>
    </row>
    <row r="6176" spans="1:40" x14ac:dyDescent="0.25">
      <c r="A6176" t="s">
        <v>15</v>
      </c>
      <c r="B6176" t="s">
        <v>24</v>
      </c>
      <c r="C6176">
        <v>20150316</v>
      </c>
      <c r="D6176">
        <v>0</v>
      </c>
      <c r="F6176">
        <v>62500</v>
      </c>
      <c r="G6176" t="s">
        <v>17</v>
      </c>
      <c r="I6176" t="s">
        <v>16</v>
      </c>
      <c r="J6176" t="s">
        <v>180</v>
      </c>
      <c r="K6176" t="s">
        <v>25</v>
      </c>
      <c r="L6176">
        <v>132757294</v>
      </c>
      <c r="R6176">
        <v>9660</v>
      </c>
      <c r="S6176" t="s">
        <v>232</v>
      </c>
      <c r="T6176">
        <v>0</v>
      </c>
      <c r="U6176">
        <v>-5</v>
      </c>
      <c r="V6176">
        <v>0</v>
      </c>
      <c r="W6176">
        <v>0</v>
      </c>
      <c r="X6176">
        <v>0</v>
      </c>
      <c r="Y6176">
        <v>9660</v>
      </c>
      <c r="Z6176" t="s">
        <v>427</v>
      </c>
      <c r="AA6176" t="s">
        <v>428</v>
      </c>
      <c r="AB6176" t="s">
        <v>234</v>
      </c>
      <c r="AC6176" t="s">
        <v>17</v>
      </c>
      <c r="AD6176" t="s">
        <v>235</v>
      </c>
      <c r="AE6176">
        <v>5</v>
      </c>
      <c r="AF6176">
        <v>5</v>
      </c>
      <c r="AG6176">
        <v>1.5253000000000001</v>
      </c>
      <c r="AH6176">
        <v>1.5253000000000001</v>
      </c>
      <c r="AI6176">
        <v>415886693</v>
      </c>
      <c r="AJ6176">
        <v>0</v>
      </c>
      <c r="AK6176">
        <v>7</v>
      </c>
      <c r="AN6176">
        <v>0</v>
      </c>
    </row>
    <row r="6177" spans="1:40" x14ac:dyDescent="0.25">
      <c r="A6177" t="s">
        <v>15</v>
      </c>
      <c r="B6177" t="s">
        <v>24</v>
      </c>
      <c r="C6177">
        <v>20150316</v>
      </c>
      <c r="D6177">
        <v>0</v>
      </c>
      <c r="F6177">
        <v>62500</v>
      </c>
      <c r="G6177" t="s">
        <v>17</v>
      </c>
      <c r="I6177" t="s">
        <v>16</v>
      </c>
      <c r="J6177" t="s">
        <v>180</v>
      </c>
      <c r="K6177" t="s">
        <v>25</v>
      </c>
      <c r="L6177">
        <v>132757294</v>
      </c>
      <c r="R6177">
        <v>9660</v>
      </c>
      <c r="S6177" t="s">
        <v>232</v>
      </c>
      <c r="T6177">
        <v>0</v>
      </c>
      <c r="U6177">
        <v>-5</v>
      </c>
      <c r="V6177">
        <v>0</v>
      </c>
      <c r="W6177">
        <v>0</v>
      </c>
      <c r="X6177">
        <v>0</v>
      </c>
    </row>
    <row r="6178" spans="1:40" x14ac:dyDescent="0.25">
      <c r="A6178" t="s">
        <v>15</v>
      </c>
      <c r="B6178" t="s">
        <v>24</v>
      </c>
      <c r="C6178">
        <v>20150316</v>
      </c>
      <c r="D6178">
        <v>0</v>
      </c>
      <c r="F6178">
        <v>62500</v>
      </c>
      <c r="G6178" t="s">
        <v>17</v>
      </c>
      <c r="I6178" t="s">
        <v>16</v>
      </c>
      <c r="J6178" t="s">
        <v>180</v>
      </c>
      <c r="K6178" t="s">
        <v>25</v>
      </c>
      <c r="L6178">
        <v>132757294</v>
      </c>
      <c r="R6178">
        <v>9660</v>
      </c>
      <c r="S6178" t="s">
        <v>37</v>
      </c>
      <c r="T6178">
        <v>5</v>
      </c>
      <c r="U6178">
        <v>0</v>
      </c>
      <c r="V6178">
        <v>1.5253000000000001</v>
      </c>
      <c r="W6178">
        <v>1.5253000000000001</v>
      </c>
      <c r="X6178">
        <v>0</v>
      </c>
    </row>
    <row r="6179" spans="1:40" x14ac:dyDescent="0.25">
      <c r="A6179" t="s">
        <v>15</v>
      </c>
      <c r="B6179" t="s">
        <v>24</v>
      </c>
      <c r="C6179">
        <v>20150316</v>
      </c>
      <c r="D6179">
        <v>0</v>
      </c>
      <c r="F6179">
        <v>62500</v>
      </c>
      <c r="G6179" t="s">
        <v>17</v>
      </c>
      <c r="I6179" t="s">
        <v>16</v>
      </c>
      <c r="J6179" t="s">
        <v>180</v>
      </c>
      <c r="K6179" t="s">
        <v>25</v>
      </c>
      <c r="L6179">
        <v>132757294</v>
      </c>
      <c r="R6179">
        <v>9660</v>
      </c>
      <c r="S6179" t="s">
        <v>37</v>
      </c>
      <c r="T6179">
        <v>5</v>
      </c>
      <c r="U6179">
        <v>0</v>
      </c>
      <c r="V6179">
        <v>1.5253000000000001</v>
      </c>
      <c r="W6179">
        <v>1.5253000000000001</v>
      </c>
      <c r="X6179">
        <v>0</v>
      </c>
    </row>
    <row r="6180" spans="1:40" x14ac:dyDescent="0.25">
      <c r="A6180" t="s">
        <v>15</v>
      </c>
      <c r="B6180" t="s">
        <v>24</v>
      </c>
      <c r="C6180">
        <v>20150316</v>
      </c>
      <c r="D6180">
        <v>0</v>
      </c>
      <c r="F6180">
        <v>62500</v>
      </c>
      <c r="G6180" t="s">
        <v>17</v>
      </c>
      <c r="I6180" t="s">
        <v>16</v>
      </c>
      <c r="J6180" t="s">
        <v>180</v>
      </c>
      <c r="K6180" t="s">
        <v>25</v>
      </c>
      <c r="L6180">
        <v>132757294</v>
      </c>
      <c r="R6180">
        <v>9660</v>
      </c>
      <c r="S6180" t="s">
        <v>37</v>
      </c>
      <c r="T6180">
        <v>5</v>
      </c>
      <c r="U6180">
        <v>0</v>
      </c>
      <c r="V6180">
        <v>1.5253000000000001</v>
      </c>
      <c r="W6180">
        <v>1.5253000000000001</v>
      </c>
      <c r="X6180">
        <v>0</v>
      </c>
    </row>
    <row r="6181" spans="1:40" x14ac:dyDescent="0.25">
      <c r="A6181" t="s">
        <v>15</v>
      </c>
      <c r="B6181" t="s">
        <v>24</v>
      </c>
      <c r="C6181">
        <v>20150316</v>
      </c>
      <c r="D6181">
        <v>0</v>
      </c>
      <c r="F6181">
        <v>62500</v>
      </c>
      <c r="G6181" t="s">
        <v>17</v>
      </c>
      <c r="I6181" t="s">
        <v>16</v>
      </c>
      <c r="J6181" t="s">
        <v>180</v>
      </c>
      <c r="K6181" t="s">
        <v>25</v>
      </c>
      <c r="L6181">
        <v>132757294</v>
      </c>
      <c r="R6181">
        <v>9660</v>
      </c>
      <c r="S6181" t="s">
        <v>37</v>
      </c>
      <c r="T6181">
        <v>5</v>
      </c>
      <c r="U6181">
        <v>0</v>
      </c>
      <c r="V6181">
        <v>1.5253000000000001</v>
      </c>
      <c r="W6181">
        <v>1.5253000000000001</v>
      </c>
      <c r="X6181">
        <v>0</v>
      </c>
    </row>
    <row r="6182" spans="1:40" x14ac:dyDescent="0.25">
      <c r="A6182" t="s">
        <v>15</v>
      </c>
      <c r="B6182" t="s">
        <v>24</v>
      </c>
      <c r="C6182">
        <v>20150316</v>
      </c>
      <c r="D6182">
        <v>0</v>
      </c>
      <c r="F6182">
        <v>62500</v>
      </c>
      <c r="G6182" t="s">
        <v>17</v>
      </c>
      <c r="I6182" t="s">
        <v>16</v>
      </c>
      <c r="J6182" t="s">
        <v>180</v>
      </c>
      <c r="K6182" t="s">
        <v>25</v>
      </c>
      <c r="L6182">
        <v>132757294</v>
      </c>
      <c r="R6182">
        <v>9660</v>
      </c>
      <c r="S6182" t="s">
        <v>37</v>
      </c>
      <c r="T6182">
        <v>5</v>
      </c>
      <c r="U6182">
        <v>0</v>
      </c>
      <c r="V6182">
        <v>1.5253000000000001</v>
      </c>
      <c r="W6182">
        <v>1.5253000000000001</v>
      </c>
      <c r="X6182">
        <v>0</v>
      </c>
    </row>
    <row r="6183" spans="1:40" x14ac:dyDescent="0.25">
      <c r="A6183" t="s">
        <v>15</v>
      </c>
      <c r="B6183" t="s">
        <v>24</v>
      </c>
      <c r="C6183">
        <v>20150316</v>
      </c>
      <c r="D6183">
        <v>0</v>
      </c>
      <c r="F6183">
        <v>62500</v>
      </c>
      <c r="G6183" t="s">
        <v>17</v>
      </c>
      <c r="I6183" t="s">
        <v>16</v>
      </c>
      <c r="J6183" t="s">
        <v>180</v>
      </c>
      <c r="K6183" t="s">
        <v>25</v>
      </c>
      <c r="L6183">
        <v>132757294</v>
      </c>
      <c r="R6183">
        <v>9660</v>
      </c>
      <c r="S6183" t="s">
        <v>37</v>
      </c>
      <c r="T6183">
        <v>5</v>
      </c>
      <c r="U6183">
        <v>0</v>
      </c>
      <c r="V6183">
        <v>1.5253000000000001</v>
      </c>
      <c r="W6183">
        <v>1.5253000000000001</v>
      </c>
      <c r="X6183">
        <v>0</v>
      </c>
    </row>
    <row r="6184" spans="1:40" x14ac:dyDescent="0.25">
      <c r="A6184" t="s">
        <v>15</v>
      </c>
      <c r="B6184" t="s">
        <v>24</v>
      </c>
      <c r="C6184">
        <v>20150316</v>
      </c>
      <c r="D6184">
        <v>0</v>
      </c>
      <c r="F6184">
        <v>62500</v>
      </c>
      <c r="G6184" t="s">
        <v>17</v>
      </c>
      <c r="I6184" t="s">
        <v>16</v>
      </c>
      <c r="J6184" t="s">
        <v>180</v>
      </c>
      <c r="K6184" t="s">
        <v>25</v>
      </c>
      <c r="L6184">
        <v>132757294</v>
      </c>
      <c r="R6184">
        <v>9660</v>
      </c>
      <c r="S6184" t="s">
        <v>37</v>
      </c>
      <c r="T6184">
        <v>5</v>
      </c>
      <c r="U6184">
        <v>0</v>
      </c>
      <c r="V6184">
        <v>1.5253000000000001</v>
      </c>
      <c r="W6184">
        <v>1.5253000000000001</v>
      </c>
      <c r="X6184">
        <v>0</v>
      </c>
    </row>
    <row r="6185" spans="1:40" x14ac:dyDescent="0.25">
      <c r="A6185" t="s">
        <v>15</v>
      </c>
      <c r="B6185" t="s">
        <v>24</v>
      </c>
      <c r="C6185">
        <v>20150316</v>
      </c>
      <c r="D6185">
        <v>0</v>
      </c>
      <c r="F6185">
        <v>62500</v>
      </c>
      <c r="G6185" t="s">
        <v>17</v>
      </c>
      <c r="I6185" t="s">
        <v>16</v>
      </c>
      <c r="J6185" t="s">
        <v>180</v>
      </c>
      <c r="K6185" t="s">
        <v>25</v>
      </c>
      <c r="L6185">
        <v>132757294</v>
      </c>
      <c r="R6185">
        <v>9660</v>
      </c>
      <c r="S6185" t="s">
        <v>37</v>
      </c>
      <c r="T6185">
        <v>5</v>
      </c>
      <c r="U6185">
        <v>0</v>
      </c>
      <c r="V6185">
        <v>1.5253000000000001</v>
      </c>
      <c r="W6185">
        <v>1.5253000000000001</v>
      </c>
      <c r="X6185">
        <v>0</v>
      </c>
    </row>
    <row r="6186" spans="1:40" x14ac:dyDescent="0.25">
      <c r="A6186" t="s">
        <v>15</v>
      </c>
      <c r="B6186" t="s">
        <v>24</v>
      </c>
      <c r="C6186">
        <v>20150316</v>
      </c>
      <c r="D6186">
        <v>0</v>
      </c>
      <c r="F6186">
        <v>62500</v>
      </c>
      <c r="G6186" t="s">
        <v>17</v>
      </c>
      <c r="I6186" t="s">
        <v>16</v>
      </c>
      <c r="J6186" t="s">
        <v>180</v>
      </c>
      <c r="K6186" t="s">
        <v>25</v>
      </c>
      <c r="L6186">
        <v>132757294</v>
      </c>
      <c r="R6186">
        <v>9661</v>
      </c>
      <c r="S6186" t="s">
        <v>232</v>
      </c>
      <c r="T6186">
        <v>0</v>
      </c>
      <c r="U6186">
        <v>5</v>
      </c>
      <c r="V6186">
        <v>0</v>
      </c>
      <c r="W6186">
        <v>0</v>
      </c>
      <c r="X6186">
        <v>0</v>
      </c>
    </row>
    <row r="6187" spans="1:40" x14ac:dyDescent="0.25">
      <c r="A6187" t="s">
        <v>15</v>
      </c>
      <c r="B6187" t="s">
        <v>24</v>
      </c>
      <c r="C6187">
        <v>20150316</v>
      </c>
      <c r="D6187">
        <v>0</v>
      </c>
      <c r="F6187">
        <v>62500</v>
      </c>
      <c r="G6187" t="s">
        <v>17</v>
      </c>
      <c r="I6187" t="s">
        <v>16</v>
      </c>
      <c r="J6187" t="s">
        <v>180</v>
      </c>
      <c r="K6187" t="s">
        <v>25</v>
      </c>
      <c r="L6187">
        <v>132757294</v>
      </c>
      <c r="R6187">
        <v>9662</v>
      </c>
      <c r="S6187" t="s">
        <v>232</v>
      </c>
      <c r="T6187">
        <v>0</v>
      </c>
      <c r="U6187">
        <v>12</v>
      </c>
      <c r="V6187">
        <v>0</v>
      </c>
      <c r="W6187">
        <v>0</v>
      </c>
      <c r="X6187">
        <v>0</v>
      </c>
    </row>
    <row r="6188" spans="1:40" x14ac:dyDescent="0.25">
      <c r="A6188" t="s">
        <v>15</v>
      </c>
      <c r="B6188" t="s">
        <v>24</v>
      </c>
      <c r="C6188">
        <v>20150316</v>
      </c>
      <c r="D6188">
        <v>0</v>
      </c>
      <c r="F6188">
        <v>62500</v>
      </c>
      <c r="G6188" t="s">
        <v>17</v>
      </c>
      <c r="I6188" t="s">
        <v>16</v>
      </c>
      <c r="J6188" t="s">
        <v>180</v>
      </c>
      <c r="K6188" t="s">
        <v>25</v>
      </c>
      <c r="L6188">
        <v>132757294</v>
      </c>
      <c r="R6188">
        <v>9661</v>
      </c>
      <c r="S6188" t="s">
        <v>232</v>
      </c>
      <c r="T6188">
        <v>0</v>
      </c>
      <c r="U6188">
        <v>1</v>
      </c>
      <c r="V6188">
        <v>0</v>
      </c>
      <c r="W6188">
        <v>0</v>
      </c>
      <c r="X6188">
        <v>0</v>
      </c>
      <c r="Y6188">
        <v>9661</v>
      </c>
      <c r="Z6188" t="s">
        <v>429</v>
      </c>
      <c r="AA6188" t="s">
        <v>430</v>
      </c>
      <c r="AB6188" t="s">
        <v>234</v>
      </c>
      <c r="AC6188" t="s">
        <v>17</v>
      </c>
      <c r="AD6188" t="s">
        <v>235</v>
      </c>
      <c r="AE6188">
        <v>2</v>
      </c>
      <c r="AF6188">
        <v>2</v>
      </c>
      <c r="AG6188">
        <v>1.5253000000000001</v>
      </c>
      <c r="AH6188">
        <v>1.5253000000000001</v>
      </c>
      <c r="AI6188">
        <v>415886694</v>
      </c>
      <c r="AJ6188">
        <v>0</v>
      </c>
      <c r="AK6188">
        <v>7</v>
      </c>
      <c r="AN6188">
        <v>0</v>
      </c>
    </row>
    <row r="6189" spans="1:40" x14ac:dyDescent="0.25">
      <c r="A6189" t="s">
        <v>15</v>
      </c>
      <c r="B6189" t="s">
        <v>24</v>
      </c>
      <c r="C6189">
        <v>20150316</v>
      </c>
      <c r="D6189">
        <v>0</v>
      </c>
      <c r="F6189">
        <v>62500</v>
      </c>
      <c r="G6189" t="s">
        <v>17</v>
      </c>
      <c r="I6189" t="s">
        <v>16</v>
      </c>
      <c r="J6189" t="s">
        <v>180</v>
      </c>
      <c r="K6189" t="s">
        <v>25</v>
      </c>
      <c r="L6189">
        <v>132757294</v>
      </c>
      <c r="R6189">
        <v>9661</v>
      </c>
      <c r="S6189" t="s">
        <v>232</v>
      </c>
      <c r="T6189">
        <v>0</v>
      </c>
      <c r="U6189">
        <v>1</v>
      </c>
      <c r="V6189">
        <v>0</v>
      </c>
      <c r="W6189">
        <v>0</v>
      </c>
      <c r="X6189">
        <v>0</v>
      </c>
    </row>
    <row r="6190" spans="1:40" x14ac:dyDescent="0.25">
      <c r="A6190" t="s">
        <v>15</v>
      </c>
      <c r="B6190" t="s">
        <v>24</v>
      </c>
      <c r="C6190">
        <v>20150316</v>
      </c>
      <c r="D6190">
        <v>0</v>
      </c>
      <c r="F6190">
        <v>62500</v>
      </c>
      <c r="G6190" t="s">
        <v>17</v>
      </c>
      <c r="I6190" t="s">
        <v>16</v>
      </c>
      <c r="J6190" t="s">
        <v>180</v>
      </c>
      <c r="K6190" t="s">
        <v>25</v>
      </c>
      <c r="L6190">
        <v>132757294</v>
      </c>
      <c r="R6190">
        <v>9661</v>
      </c>
      <c r="S6190" t="s">
        <v>236</v>
      </c>
      <c r="T6190">
        <v>2</v>
      </c>
      <c r="U6190">
        <v>3</v>
      </c>
      <c r="V6190">
        <v>1.5253000000000001</v>
      </c>
      <c r="W6190">
        <v>1.5253000000000001</v>
      </c>
      <c r="X6190">
        <v>0</v>
      </c>
    </row>
    <row r="6191" spans="1:40" x14ac:dyDescent="0.25">
      <c r="A6191" t="s">
        <v>15</v>
      </c>
      <c r="B6191" t="s">
        <v>24</v>
      </c>
      <c r="C6191">
        <v>20150316</v>
      </c>
      <c r="D6191">
        <v>0</v>
      </c>
      <c r="F6191">
        <v>62500</v>
      </c>
      <c r="G6191" t="s">
        <v>17</v>
      </c>
      <c r="I6191" t="s">
        <v>16</v>
      </c>
      <c r="J6191" t="s">
        <v>180</v>
      </c>
      <c r="K6191" t="s">
        <v>25</v>
      </c>
      <c r="L6191">
        <v>132757294</v>
      </c>
      <c r="R6191">
        <v>9661</v>
      </c>
      <c r="S6191" t="s">
        <v>236</v>
      </c>
      <c r="T6191">
        <v>2</v>
      </c>
      <c r="U6191">
        <v>3</v>
      </c>
      <c r="V6191">
        <v>1.5253000000000001</v>
      </c>
      <c r="W6191">
        <v>1.5253000000000001</v>
      </c>
      <c r="X6191">
        <v>0</v>
      </c>
    </row>
    <row r="6192" spans="1:40" x14ac:dyDescent="0.25">
      <c r="A6192" t="s">
        <v>15</v>
      </c>
      <c r="B6192" t="s">
        <v>24</v>
      </c>
      <c r="C6192">
        <v>20150316</v>
      </c>
      <c r="D6192">
        <v>0</v>
      </c>
      <c r="F6192">
        <v>62500</v>
      </c>
      <c r="G6192" t="s">
        <v>17</v>
      </c>
      <c r="I6192" t="s">
        <v>16</v>
      </c>
      <c r="J6192" t="s">
        <v>180</v>
      </c>
      <c r="K6192" t="s">
        <v>25</v>
      </c>
      <c r="L6192">
        <v>132757294</v>
      </c>
      <c r="R6192">
        <v>9661</v>
      </c>
      <c r="S6192" t="s">
        <v>233</v>
      </c>
      <c r="T6192">
        <v>2</v>
      </c>
      <c r="U6192">
        <v>3</v>
      </c>
      <c r="V6192">
        <v>1.5253000000000001</v>
      </c>
      <c r="W6192">
        <v>1.5253000000000001</v>
      </c>
      <c r="X6192">
        <v>0</v>
      </c>
    </row>
    <row r="6193" spans="1:40" x14ac:dyDescent="0.25">
      <c r="A6193" t="s">
        <v>15</v>
      </c>
      <c r="B6193" t="s">
        <v>24</v>
      </c>
      <c r="C6193">
        <v>20150316</v>
      </c>
      <c r="D6193">
        <v>0</v>
      </c>
      <c r="F6193">
        <v>62500</v>
      </c>
      <c r="G6193" t="s">
        <v>17</v>
      </c>
      <c r="I6193" t="s">
        <v>16</v>
      </c>
      <c r="J6193" t="s">
        <v>180</v>
      </c>
      <c r="K6193" t="s">
        <v>25</v>
      </c>
      <c r="L6193">
        <v>132757294</v>
      </c>
      <c r="R6193">
        <v>9661</v>
      </c>
      <c r="S6193" t="s">
        <v>233</v>
      </c>
      <c r="T6193">
        <v>2</v>
      </c>
      <c r="U6193">
        <v>3</v>
      </c>
      <c r="V6193">
        <v>1.5253000000000001</v>
      </c>
      <c r="W6193">
        <v>1.5253000000000001</v>
      </c>
      <c r="X6193">
        <v>0</v>
      </c>
    </row>
    <row r="6194" spans="1:40" x14ac:dyDescent="0.25">
      <c r="A6194" t="s">
        <v>15</v>
      </c>
      <c r="B6194" t="s">
        <v>24</v>
      </c>
      <c r="C6194">
        <v>20150316</v>
      </c>
      <c r="D6194">
        <v>0</v>
      </c>
      <c r="F6194">
        <v>62500</v>
      </c>
      <c r="G6194" t="s">
        <v>17</v>
      </c>
      <c r="I6194" t="s">
        <v>16</v>
      </c>
      <c r="J6194" t="s">
        <v>180</v>
      </c>
      <c r="K6194" t="s">
        <v>25</v>
      </c>
      <c r="L6194">
        <v>132757294</v>
      </c>
      <c r="R6194">
        <v>9661</v>
      </c>
      <c r="S6194" t="s">
        <v>233</v>
      </c>
      <c r="T6194">
        <v>2</v>
      </c>
      <c r="U6194">
        <v>3</v>
      </c>
      <c r="V6194">
        <v>1.5253000000000001</v>
      </c>
      <c r="W6194">
        <v>1.5253000000000001</v>
      </c>
      <c r="X6194">
        <v>0</v>
      </c>
    </row>
    <row r="6195" spans="1:40" x14ac:dyDescent="0.25">
      <c r="A6195" t="s">
        <v>15</v>
      </c>
      <c r="B6195" t="s">
        <v>24</v>
      </c>
      <c r="C6195">
        <v>20150316</v>
      </c>
      <c r="D6195">
        <v>0</v>
      </c>
      <c r="F6195">
        <v>62500</v>
      </c>
      <c r="G6195" t="s">
        <v>17</v>
      </c>
      <c r="I6195" t="s">
        <v>16</v>
      </c>
      <c r="J6195" t="s">
        <v>180</v>
      </c>
      <c r="K6195" t="s">
        <v>25</v>
      </c>
      <c r="L6195">
        <v>132757294</v>
      </c>
      <c r="R6195">
        <v>9661</v>
      </c>
      <c r="S6195" t="s">
        <v>233</v>
      </c>
      <c r="T6195">
        <v>2</v>
      </c>
      <c r="U6195">
        <v>-3</v>
      </c>
      <c r="V6195">
        <v>1.5253000000000001</v>
      </c>
      <c r="W6195">
        <v>1.5253000000000001</v>
      </c>
      <c r="X6195">
        <v>0</v>
      </c>
      <c r="Y6195">
        <v>9661</v>
      </c>
      <c r="Z6195" t="s">
        <v>431</v>
      </c>
      <c r="AA6195" t="s">
        <v>430</v>
      </c>
      <c r="AB6195" t="s">
        <v>234</v>
      </c>
      <c r="AC6195" t="s">
        <v>17</v>
      </c>
      <c r="AD6195" t="s">
        <v>235</v>
      </c>
      <c r="AE6195">
        <v>3</v>
      </c>
      <c r="AF6195">
        <v>5</v>
      </c>
      <c r="AG6195">
        <v>1.5253000000000001</v>
      </c>
      <c r="AH6195">
        <v>1.5253000000000001</v>
      </c>
      <c r="AI6195">
        <v>415886694</v>
      </c>
      <c r="AJ6195">
        <v>0</v>
      </c>
      <c r="AK6195">
        <v>7</v>
      </c>
      <c r="AN6195">
        <v>0</v>
      </c>
    </row>
    <row r="6196" spans="1:40" x14ac:dyDescent="0.25">
      <c r="A6196" t="s">
        <v>15</v>
      </c>
      <c r="B6196" t="s">
        <v>24</v>
      </c>
      <c r="C6196">
        <v>20150316</v>
      </c>
      <c r="D6196">
        <v>0</v>
      </c>
      <c r="F6196">
        <v>62500</v>
      </c>
      <c r="G6196" t="s">
        <v>17</v>
      </c>
      <c r="I6196" t="s">
        <v>16</v>
      </c>
      <c r="J6196" t="s">
        <v>180</v>
      </c>
      <c r="K6196" t="s">
        <v>25</v>
      </c>
      <c r="L6196">
        <v>132757294</v>
      </c>
      <c r="R6196">
        <v>9661</v>
      </c>
      <c r="S6196" t="s">
        <v>233</v>
      </c>
      <c r="T6196">
        <v>2</v>
      </c>
      <c r="U6196">
        <v>-3</v>
      </c>
      <c r="V6196">
        <v>1.5253000000000001</v>
      </c>
      <c r="W6196">
        <v>1.5253000000000001</v>
      </c>
      <c r="X6196">
        <v>0</v>
      </c>
    </row>
    <row r="6197" spans="1:40" x14ac:dyDescent="0.25">
      <c r="A6197" t="s">
        <v>15</v>
      </c>
      <c r="B6197" t="s">
        <v>24</v>
      </c>
      <c r="C6197">
        <v>20150316</v>
      </c>
      <c r="D6197">
        <v>0</v>
      </c>
      <c r="F6197">
        <v>62500</v>
      </c>
      <c r="G6197" t="s">
        <v>17</v>
      </c>
      <c r="I6197" t="s">
        <v>16</v>
      </c>
      <c r="J6197" t="s">
        <v>180</v>
      </c>
      <c r="K6197" t="s">
        <v>25</v>
      </c>
      <c r="L6197">
        <v>132757294</v>
      </c>
      <c r="R6197">
        <v>9661</v>
      </c>
      <c r="S6197" t="s">
        <v>37</v>
      </c>
      <c r="T6197">
        <v>5</v>
      </c>
      <c r="U6197">
        <v>0</v>
      </c>
      <c r="V6197">
        <v>1.5253000000000001</v>
      </c>
      <c r="W6197">
        <v>1.5253000000000001</v>
      </c>
      <c r="X6197">
        <v>0</v>
      </c>
    </row>
    <row r="6198" spans="1:40" x14ac:dyDescent="0.25">
      <c r="A6198" t="s">
        <v>15</v>
      </c>
      <c r="B6198" t="s">
        <v>24</v>
      </c>
      <c r="C6198">
        <v>20150316</v>
      </c>
      <c r="D6198">
        <v>0</v>
      </c>
      <c r="F6198">
        <v>62500</v>
      </c>
      <c r="G6198" t="s">
        <v>17</v>
      </c>
      <c r="I6198" t="s">
        <v>16</v>
      </c>
      <c r="J6198" t="s">
        <v>180</v>
      </c>
      <c r="K6198" t="s">
        <v>25</v>
      </c>
      <c r="L6198">
        <v>132757294</v>
      </c>
      <c r="R6198">
        <v>9661</v>
      </c>
      <c r="S6198" t="s">
        <v>37</v>
      </c>
      <c r="T6198">
        <v>5</v>
      </c>
      <c r="U6198">
        <v>0</v>
      </c>
      <c r="V6198">
        <v>1.5253000000000001</v>
      </c>
      <c r="W6198">
        <v>1.5253000000000001</v>
      </c>
      <c r="X6198">
        <v>0</v>
      </c>
    </row>
    <row r="6199" spans="1:40" x14ac:dyDescent="0.25">
      <c r="A6199" t="s">
        <v>15</v>
      </c>
      <c r="B6199" t="s">
        <v>24</v>
      </c>
      <c r="C6199">
        <v>20150316</v>
      </c>
      <c r="D6199">
        <v>0</v>
      </c>
      <c r="F6199">
        <v>62500</v>
      </c>
      <c r="G6199" t="s">
        <v>17</v>
      </c>
      <c r="I6199" t="s">
        <v>16</v>
      </c>
      <c r="J6199" t="s">
        <v>180</v>
      </c>
      <c r="K6199" t="s">
        <v>25</v>
      </c>
      <c r="L6199">
        <v>132757294</v>
      </c>
      <c r="R6199">
        <v>9661</v>
      </c>
      <c r="S6199" t="s">
        <v>37</v>
      </c>
      <c r="T6199">
        <v>5</v>
      </c>
      <c r="U6199">
        <v>0</v>
      </c>
      <c r="V6199">
        <v>1.5253000000000001</v>
      </c>
      <c r="W6199">
        <v>1.5253000000000001</v>
      </c>
      <c r="X6199">
        <v>0</v>
      </c>
    </row>
    <row r="6200" spans="1:40" x14ac:dyDescent="0.25">
      <c r="A6200" t="s">
        <v>15</v>
      </c>
      <c r="B6200" t="s">
        <v>24</v>
      </c>
      <c r="C6200">
        <v>20150316</v>
      </c>
      <c r="D6200">
        <v>0</v>
      </c>
      <c r="F6200">
        <v>62500</v>
      </c>
      <c r="G6200" t="s">
        <v>17</v>
      </c>
      <c r="I6200" t="s">
        <v>16</v>
      </c>
      <c r="J6200" t="s">
        <v>180</v>
      </c>
      <c r="K6200" t="s">
        <v>25</v>
      </c>
      <c r="L6200">
        <v>132757294</v>
      </c>
      <c r="R6200">
        <v>9661</v>
      </c>
      <c r="S6200" t="s">
        <v>37</v>
      </c>
      <c r="T6200">
        <v>5</v>
      </c>
      <c r="U6200">
        <v>0</v>
      </c>
      <c r="V6200">
        <v>1.5253000000000001</v>
      </c>
      <c r="W6200">
        <v>1.5253000000000001</v>
      </c>
      <c r="X6200">
        <v>0</v>
      </c>
    </row>
    <row r="6201" spans="1:40" x14ac:dyDescent="0.25">
      <c r="A6201" t="s">
        <v>15</v>
      </c>
      <c r="B6201" t="s">
        <v>24</v>
      </c>
      <c r="C6201">
        <v>20150316</v>
      </c>
      <c r="D6201">
        <v>0</v>
      </c>
      <c r="F6201">
        <v>62500</v>
      </c>
      <c r="G6201" t="s">
        <v>17</v>
      </c>
      <c r="I6201" t="s">
        <v>16</v>
      </c>
      <c r="J6201" t="s">
        <v>180</v>
      </c>
      <c r="K6201" t="s">
        <v>25</v>
      </c>
      <c r="L6201">
        <v>132757294</v>
      </c>
      <c r="R6201">
        <v>9661</v>
      </c>
      <c r="S6201" t="s">
        <v>37</v>
      </c>
      <c r="T6201">
        <v>5</v>
      </c>
      <c r="U6201">
        <v>0</v>
      </c>
      <c r="V6201">
        <v>1.5253000000000001</v>
      </c>
      <c r="W6201">
        <v>1.5253000000000001</v>
      </c>
      <c r="X6201">
        <v>0</v>
      </c>
    </row>
    <row r="6202" spans="1:40" x14ac:dyDescent="0.25">
      <c r="A6202" t="s">
        <v>15</v>
      </c>
      <c r="B6202" t="s">
        <v>24</v>
      </c>
      <c r="C6202">
        <v>20150316</v>
      </c>
      <c r="D6202">
        <v>0</v>
      </c>
      <c r="F6202">
        <v>62500</v>
      </c>
      <c r="G6202" t="s">
        <v>17</v>
      </c>
      <c r="I6202" t="s">
        <v>16</v>
      </c>
      <c r="J6202" t="s">
        <v>180</v>
      </c>
      <c r="K6202" t="s">
        <v>25</v>
      </c>
      <c r="L6202">
        <v>132757294</v>
      </c>
      <c r="R6202">
        <v>9656</v>
      </c>
      <c r="S6202" t="s">
        <v>223</v>
      </c>
      <c r="T6202">
        <v>0</v>
      </c>
      <c r="U6202">
        <v>22</v>
      </c>
      <c r="V6202">
        <v>0</v>
      </c>
      <c r="W6202">
        <v>0</v>
      </c>
      <c r="X6202">
        <v>0</v>
      </c>
    </row>
    <row r="6203" spans="1:40" x14ac:dyDescent="0.25">
      <c r="A6203" t="s">
        <v>15</v>
      </c>
      <c r="B6203" t="s">
        <v>24</v>
      </c>
      <c r="C6203">
        <v>20150316</v>
      </c>
      <c r="D6203">
        <v>0</v>
      </c>
      <c r="F6203">
        <v>62500</v>
      </c>
      <c r="G6203" t="s">
        <v>17</v>
      </c>
      <c r="I6203" t="s">
        <v>16</v>
      </c>
      <c r="J6203" t="s">
        <v>180</v>
      </c>
      <c r="K6203" t="s">
        <v>25</v>
      </c>
      <c r="L6203">
        <v>132757294</v>
      </c>
      <c r="R6203">
        <v>9656</v>
      </c>
      <c r="S6203" t="s">
        <v>224</v>
      </c>
      <c r="T6203">
        <v>0</v>
      </c>
      <c r="U6203">
        <v>22</v>
      </c>
      <c r="V6203">
        <v>0</v>
      </c>
      <c r="W6203">
        <v>0</v>
      </c>
      <c r="X6203">
        <v>0</v>
      </c>
    </row>
    <row r="6204" spans="1:40" x14ac:dyDescent="0.25">
      <c r="A6204" t="s">
        <v>15</v>
      </c>
      <c r="B6204" t="s">
        <v>24</v>
      </c>
      <c r="C6204">
        <v>20150316</v>
      </c>
      <c r="D6204">
        <v>0</v>
      </c>
      <c r="F6204">
        <v>62500</v>
      </c>
      <c r="G6204" t="s">
        <v>17</v>
      </c>
      <c r="I6204" t="s">
        <v>16</v>
      </c>
      <c r="J6204" t="s">
        <v>180</v>
      </c>
      <c r="K6204" t="s">
        <v>25</v>
      </c>
      <c r="L6204">
        <v>132757294</v>
      </c>
      <c r="R6204">
        <v>9657</v>
      </c>
      <c r="S6204" t="s">
        <v>223</v>
      </c>
      <c r="T6204">
        <v>0</v>
      </c>
      <c r="U6204">
        <v>22</v>
      </c>
      <c r="V6204">
        <v>0</v>
      </c>
      <c r="W6204">
        <v>0</v>
      </c>
      <c r="X6204">
        <v>0</v>
      </c>
    </row>
    <row r="6205" spans="1:40" x14ac:dyDescent="0.25">
      <c r="A6205" t="s">
        <v>15</v>
      </c>
      <c r="B6205" t="s">
        <v>24</v>
      </c>
      <c r="C6205">
        <v>20150316</v>
      </c>
      <c r="D6205">
        <v>0</v>
      </c>
      <c r="F6205">
        <v>62500</v>
      </c>
      <c r="G6205" t="s">
        <v>17</v>
      </c>
      <c r="I6205" t="s">
        <v>16</v>
      </c>
      <c r="J6205" t="s">
        <v>180</v>
      </c>
      <c r="K6205" t="s">
        <v>25</v>
      </c>
      <c r="L6205">
        <v>132757294</v>
      </c>
      <c r="R6205">
        <v>9657</v>
      </c>
      <c r="S6205" t="s">
        <v>224</v>
      </c>
      <c r="T6205">
        <v>0</v>
      </c>
      <c r="U6205">
        <v>22</v>
      </c>
      <c r="V6205">
        <v>0</v>
      </c>
      <c r="W6205">
        <v>0</v>
      </c>
      <c r="X6205">
        <v>0</v>
      </c>
    </row>
    <row r="6206" spans="1:40" x14ac:dyDescent="0.25">
      <c r="A6206" t="s">
        <v>15</v>
      </c>
      <c r="B6206" t="s">
        <v>24</v>
      </c>
      <c r="C6206">
        <v>20150316</v>
      </c>
      <c r="D6206">
        <v>0</v>
      </c>
      <c r="F6206">
        <v>62500</v>
      </c>
      <c r="G6206" t="s">
        <v>17</v>
      </c>
      <c r="I6206" t="s">
        <v>16</v>
      </c>
      <c r="J6206" t="s">
        <v>180</v>
      </c>
      <c r="K6206" t="s">
        <v>25</v>
      </c>
      <c r="L6206">
        <v>132757294</v>
      </c>
      <c r="R6206">
        <v>9662</v>
      </c>
      <c r="S6206" t="s">
        <v>232</v>
      </c>
      <c r="T6206">
        <v>0</v>
      </c>
      <c r="U6206">
        <v>12</v>
      </c>
      <c r="V6206">
        <v>0</v>
      </c>
      <c r="W6206">
        <v>0</v>
      </c>
      <c r="X6206">
        <v>0</v>
      </c>
    </row>
    <row r="6207" spans="1:40" x14ac:dyDescent="0.25">
      <c r="A6207" t="s">
        <v>15</v>
      </c>
      <c r="B6207" t="s">
        <v>24</v>
      </c>
      <c r="C6207">
        <v>20150316</v>
      </c>
      <c r="D6207">
        <v>0</v>
      </c>
      <c r="F6207">
        <v>62500</v>
      </c>
      <c r="G6207" t="s">
        <v>17</v>
      </c>
      <c r="I6207" t="s">
        <v>16</v>
      </c>
      <c r="J6207" t="s">
        <v>180</v>
      </c>
      <c r="K6207" t="s">
        <v>25</v>
      </c>
      <c r="L6207">
        <v>132757294</v>
      </c>
      <c r="R6207">
        <v>9662</v>
      </c>
      <c r="S6207" t="s">
        <v>192</v>
      </c>
      <c r="T6207">
        <v>0</v>
      </c>
      <c r="U6207">
        <v>12</v>
      </c>
      <c r="V6207">
        <v>0</v>
      </c>
      <c r="W6207">
        <v>0</v>
      </c>
      <c r="X6207">
        <v>0</v>
      </c>
    </row>
    <row r="6208" spans="1:40" x14ac:dyDescent="0.25">
      <c r="A6208" t="s">
        <v>15</v>
      </c>
      <c r="B6208" t="s">
        <v>24</v>
      </c>
      <c r="C6208">
        <v>20150316</v>
      </c>
      <c r="D6208">
        <v>0</v>
      </c>
      <c r="F6208">
        <v>62500</v>
      </c>
      <c r="G6208" t="s">
        <v>17</v>
      </c>
      <c r="I6208" t="s">
        <v>16</v>
      </c>
      <c r="J6208" t="s">
        <v>180</v>
      </c>
      <c r="K6208" t="s">
        <v>25</v>
      </c>
      <c r="L6208">
        <v>132757294</v>
      </c>
      <c r="R6208">
        <v>9663</v>
      </c>
      <c r="S6208" t="s">
        <v>232</v>
      </c>
      <c r="T6208">
        <v>0</v>
      </c>
      <c r="U6208">
        <v>5</v>
      </c>
      <c r="V6208">
        <v>0</v>
      </c>
      <c r="W6208">
        <v>0</v>
      </c>
      <c r="X6208">
        <v>0</v>
      </c>
    </row>
    <row r="6209" spans="1:40" x14ac:dyDescent="0.25">
      <c r="A6209" t="s">
        <v>15</v>
      </c>
      <c r="B6209" t="s">
        <v>24</v>
      </c>
      <c r="C6209">
        <v>20150316</v>
      </c>
      <c r="D6209">
        <v>0</v>
      </c>
      <c r="F6209">
        <v>62500</v>
      </c>
      <c r="G6209" t="s">
        <v>17</v>
      </c>
      <c r="I6209" t="s">
        <v>16</v>
      </c>
      <c r="J6209" t="s">
        <v>180</v>
      </c>
      <c r="K6209" t="s">
        <v>25</v>
      </c>
      <c r="L6209">
        <v>132757294</v>
      </c>
      <c r="R6209">
        <v>9663</v>
      </c>
      <c r="S6209" t="s">
        <v>232</v>
      </c>
      <c r="T6209">
        <v>0</v>
      </c>
      <c r="U6209">
        <v>-5</v>
      </c>
      <c r="V6209">
        <v>0</v>
      </c>
      <c r="W6209">
        <v>0</v>
      </c>
      <c r="X6209">
        <v>0</v>
      </c>
      <c r="Y6209">
        <v>9663</v>
      </c>
      <c r="Z6209" t="s">
        <v>432</v>
      </c>
      <c r="AA6209" t="s">
        <v>433</v>
      </c>
      <c r="AB6209" t="s">
        <v>234</v>
      </c>
      <c r="AC6209" t="s">
        <v>17</v>
      </c>
      <c r="AD6209" t="s">
        <v>235</v>
      </c>
      <c r="AE6209">
        <v>5</v>
      </c>
      <c r="AF6209">
        <v>5</v>
      </c>
      <c r="AG6209">
        <v>1.5253000000000001</v>
      </c>
      <c r="AH6209">
        <v>1.5253000000000001</v>
      </c>
      <c r="AI6209">
        <v>415886696</v>
      </c>
      <c r="AJ6209">
        <v>0</v>
      </c>
      <c r="AK6209">
        <v>7</v>
      </c>
      <c r="AN6209">
        <v>0</v>
      </c>
    </row>
    <row r="6210" spans="1:40" x14ac:dyDescent="0.25">
      <c r="A6210" t="s">
        <v>15</v>
      </c>
      <c r="B6210" t="s">
        <v>24</v>
      </c>
      <c r="C6210">
        <v>20150316</v>
      </c>
      <c r="D6210">
        <v>0</v>
      </c>
      <c r="F6210">
        <v>62500</v>
      </c>
      <c r="G6210" t="s">
        <v>17</v>
      </c>
      <c r="I6210" t="s">
        <v>16</v>
      </c>
      <c r="J6210" t="s">
        <v>180</v>
      </c>
      <c r="K6210" t="s">
        <v>25</v>
      </c>
      <c r="L6210">
        <v>132757294</v>
      </c>
      <c r="R6210">
        <v>9663</v>
      </c>
      <c r="S6210" t="s">
        <v>232</v>
      </c>
      <c r="T6210">
        <v>0</v>
      </c>
      <c r="U6210">
        <v>-5</v>
      </c>
      <c r="V6210">
        <v>0</v>
      </c>
      <c r="W6210">
        <v>0</v>
      </c>
      <c r="X6210">
        <v>0</v>
      </c>
    </row>
    <row r="6211" spans="1:40" x14ac:dyDescent="0.25">
      <c r="A6211" t="s">
        <v>15</v>
      </c>
      <c r="B6211" t="s">
        <v>24</v>
      </c>
      <c r="C6211">
        <v>20150316</v>
      </c>
      <c r="D6211">
        <v>0</v>
      </c>
      <c r="F6211">
        <v>62500</v>
      </c>
      <c r="G6211" t="s">
        <v>17</v>
      </c>
      <c r="I6211" t="s">
        <v>16</v>
      </c>
      <c r="J6211" t="s">
        <v>180</v>
      </c>
      <c r="K6211" t="s">
        <v>25</v>
      </c>
      <c r="L6211">
        <v>132757294</v>
      </c>
      <c r="R6211">
        <v>9663</v>
      </c>
      <c r="S6211" t="s">
        <v>37</v>
      </c>
      <c r="T6211">
        <v>5</v>
      </c>
      <c r="U6211">
        <v>0</v>
      </c>
      <c r="V6211">
        <v>1.5253000000000001</v>
      </c>
      <c r="W6211">
        <v>1.5253000000000001</v>
      </c>
      <c r="X6211">
        <v>0</v>
      </c>
    </row>
    <row r="6212" spans="1:40" x14ac:dyDescent="0.25">
      <c r="A6212" t="s">
        <v>15</v>
      </c>
      <c r="B6212" t="s">
        <v>24</v>
      </c>
      <c r="C6212">
        <v>20150316</v>
      </c>
      <c r="D6212">
        <v>0</v>
      </c>
      <c r="F6212">
        <v>62500</v>
      </c>
      <c r="G6212" t="s">
        <v>17</v>
      </c>
      <c r="I6212" t="s">
        <v>16</v>
      </c>
      <c r="J6212" t="s">
        <v>180</v>
      </c>
      <c r="K6212" t="s">
        <v>25</v>
      </c>
      <c r="L6212">
        <v>132757294</v>
      </c>
      <c r="R6212">
        <v>9663</v>
      </c>
      <c r="S6212" t="s">
        <v>37</v>
      </c>
      <c r="T6212">
        <v>5</v>
      </c>
      <c r="U6212">
        <v>0</v>
      </c>
      <c r="V6212">
        <v>1.5253000000000001</v>
      </c>
      <c r="W6212">
        <v>1.5253000000000001</v>
      </c>
      <c r="X6212">
        <v>0</v>
      </c>
    </row>
    <row r="6213" spans="1:40" x14ac:dyDescent="0.25">
      <c r="A6213" t="s">
        <v>15</v>
      </c>
      <c r="B6213" t="s">
        <v>24</v>
      </c>
      <c r="C6213">
        <v>20150316</v>
      </c>
      <c r="D6213">
        <v>0</v>
      </c>
      <c r="F6213">
        <v>62500</v>
      </c>
      <c r="G6213" t="s">
        <v>17</v>
      </c>
      <c r="I6213" t="s">
        <v>16</v>
      </c>
      <c r="J6213" t="s">
        <v>180</v>
      </c>
      <c r="K6213" t="s">
        <v>25</v>
      </c>
      <c r="L6213">
        <v>132757294</v>
      </c>
      <c r="R6213">
        <v>9663</v>
      </c>
      <c r="S6213" t="s">
        <v>37</v>
      </c>
      <c r="T6213">
        <v>5</v>
      </c>
      <c r="U6213">
        <v>0</v>
      </c>
      <c r="V6213">
        <v>1.5253000000000001</v>
      </c>
      <c r="W6213">
        <v>1.5253000000000001</v>
      </c>
      <c r="X6213">
        <v>0</v>
      </c>
    </row>
    <row r="6214" spans="1:40" x14ac:dyDescent="0.25">
      <c r="A6214" t="s">
        <v>15</v>
      </c>
      <c r="B6214" t="s">
        <v>24</v>
      </c>
      <c r="C6214">
        <v>20150316</v>
      </c>
      <c r="D6214">
        <v>0</v>
      </c>
      <c r="F6214">
        <v>62500</v>
      </c>
      <c r="G6214" t="s">
        <v>17</v>
      </c>
      <c r="I6214" t="s">
        <v>16</v>
      </c>
      <c r="J6214" t="s">
        <v>180</v>
      </c>
      <c r="K6214" t="s">
        <v>25</v>
      </c>
      <c r="L6214">
        <v>132757294</v>
      </c>
      <c r="R6214">
        <v>9663</v>
      </c>
      <c r="S6214" t="s">
        <v>37</v>
      </c>
      <c r="T6214">
        <v>5</v>
      </c>
      <c r="U6214">
        <v>0</v>
      </c>
      <c r="V6214">
        <v>1.5253000000000001</v>
      </c>
      <c r="W6214">
        <v>1.5253000000000001</v>
      </c>
      <c r="X6214">
        <v>0</v>
      </c>
    </row>
    <row r="6215" spans="1:40" x14ac:dyDescent="0.25">
      <c r="A6215" t="s">
        <v>15</v>
      </c>
      <c r="B6215" t="s">
        <v>24</v>
      </c>
      <c r="C6215">
        <v>20150316</v>
      </c>
      <c r="D6215">
        <v>0</v>
      </c>
      <c r="F6215">
        <v>62500</v>
      </c>
      <c r="G6215" t="s">
        <v>17</v>
      </c>
      <c r="I6215" t="s">
        <v>16</v>
      </c>
      <c r="J6215" t="s">
        <v>180</v>
      </c>
      <c r="K6215" t="s">
        <v>25</v>
      </c>
      <c r="L6215">
        <v>132757294</v>
      </c>
      <c r="R6215">
        <v>9663</v>
      </c>
      <c r="S6215" t="s">
        <v>37</v>
      </c>
      <c r="T6215">
        <v>5</v>
      </c>
      <c r="U6215">
        <v>0</v>
      </c>
      <c r="V6215">
        <v>1.5253000000000001</v>
      </c>
      <c r="W6215">
        <v>1.5253000000000001</v>
      </c>
      <c r="X6215">
        <v>0</v>
      </c>
    </row>
    <row r="6216" spans="1:40" x14ac:dyDescent="0.25">
      <c r="A6216" t="s">
        <v>15</v>
      </c>
      <c r="B6216" t="s">
        <v>24</v>
      </c>
      <c r="C6216">
        <v>20150316</v>
      </c>
      <c r="D6216">
        <v>0</v>
      </c>
      <c r="F6216">
        <v>62500</v>
      </c>
      <c r="G6216" t="s">
        <v>17</v>
      </c>
      <c r="I6216" t="s">
        <v>16</v>
      </c>
      <c r="J6216" t="s">
        <v>180</v>
      </c>
      <c r="K6216" t="s">
        <v>25</v>
      </c>
      <c r="L6216">
        <v>132757294</v>
      </c>
      <c r="R6216">
        <v>9663</v>
      </c>
      <c r="S6216" t="s">
        <v>37</v>
      </c>
      <c r="T6216">
        <v>5</v>
      </c>
      <c r="U6216">
        <v>0</v>
      </c>
      <c r="V6216">
        <v>1.5253000000000001</v>
      </c>
      <c r="W6216">
        <v>1.5253000000000001</v>
      </c>
      <c r="X6216">
        <v>0</v>
      </c>
    </row>
    <row r="6217" spans="1:40" x14ac:dyDescent="0.25">
      <c r="A6217" t="s">
        <v>15</v>
      </c>
      <c r="B6217" t="s">
        <v>24</v>
      </c>
      <c r="C6217">
        <v>20150316</v>
      </c>
      <c r="D6217">
        <v>0</v>
      </c>
      <c r="F6217">
        <v>62500</v>
      </c>
      <c r="G6217" t="s">
        <v>17</v>
      </c>
      <c r="I6217" t="s">
        <v>16</v>
      </c>
      <c r="J6217" t="s">
        <v>180</v>
      </c>
      <c r="K6217" t="s">
        <v>25</v>
      </c>
      <c r="L6217">
        <v>132757294</v>
      </c>
      <c r="R6217">
        <v>9663</v>
      </c>
      <c r="S6217" t="s">
        <v>37</v>
      </c>
      <c r="T6217">
        <v>5</v>
      </c>
      <c r="U6217">
        <v>0</v>
      </c>
      <c r="V6217">
        <v>1.5253000000000001</v>
      </c>
      <c r="W6217">
        <v>1.5253000000000001</v>
      </c>
      <c r="X6217">
        <v>0</v>
      </c>
    </row>
    <row r="6218" spans="1:40" x14ac:dyDescent="0.25">
      <c r="A6218" t="s">
        <v>15</v>
      </c>
      <c r="B6218" t="s">
        <v>24</v>
      </c>
      <c r="C6218">
        <v>20150316</v>
      </c>
      <c r="D6218">
        <v>0</v>
      </c>
      <c r="F6218">
        <v>62500</v>
      </c>
      <c r="G6218" t="s">
        <v>17</v>
      </c>
      <c r="I6218" t="s">
        <v>16</v>
      </c>
      <c r="J6218" t="s">
        <v>180</v>
      </c>
      <c r="K6218" t="s">
        <v>25</v>
      </c>
      <c r="L6218">
        <v>132757294</v>
      </c>
      <c r="R6218">
        <v>9663</v>
      </c>
      <c r="S6218" t="s">
        <v>37</v>
      </c>
      <c r="T6218">
        <v>5</v>
      </c>
      <c r="U6218">
        <v>0</v>
      </c>
      <c r="V6218">
        <v>1.5253000000000001</v>
      </c>
      <c r="W6218">
        <v>1.5253000000000001</v>
      </c>
      <c r="X6218">
        <v>0</v>
      </c>
    </row>
    <row r="6219" spans="1:40" x14ac:dyDescent="0.25">
      <c r="A6219" t="s">
        <v>15</v>
      </c>
      <c r="B6219" t="s">
        <v>24</v>
      </c>
      <c r="C6219">
        <v>20150316</v>
      </c>
      <c r="D6219">
        <v>0</v>
      </c>
      <c r="F6219">
        <v>62500</v>
      </c>
      <c r="G6219" t="s">
        <v>17</v>
      </c>
      <c r="I6219" t="s">
        <v>16</v>
      </c>
      <c r="J6219" t="s">
        <v>180</v>
      </c>
      <c r="K6219" t="s">
        <v>25</v>
      </c>
      <c r="L6219">
        <v>132757294</v>
      </c>
      <c r="R6219">
        <v>9664</v>
      </c>
      <c r="S6219" t="s">
        <v>232</v>
      </c>
      <c r="T6219">
        <v>0</v>
      </c>
      <c r="U6219">
        <v>5</v>
      </c>
      <c r="V6219">
        <v>0</v>
      </c>
      <c r="W6219">
        <v>0</v>
      </c>
      <c r="X6219">
        <v>0</v>
      </c>
    </row>
    <row r="6220" spans="1:40" x14ac:dyDescent="0.25">
      <c r="A6220" t="s">
        <v>15</v>
      </c>
      <c r="B6220" t="s">
        <v>24</v>
      </c>
      <c r="C6220">
        <v>20150316</v>
      </c>
      <c r="D6220">
        <v>0</v>
      </c>
      <c r="F6220">
        <v>62500</v>
      </c>
      <c r="G6220" t="s">
        <v>17</v>
      </c>
      <c r="I6220" t="s">
        <v>16</v>
      </c>
      <c r="J6220" t="s">
        <v>180</v>
      </c>
      <c r="K6220" t="s">
        <v>25</v>
      </c>
      <c r="L6220">
        <v>132757294</v>
      </c>
      <c r="R6220">
        <v>9664</v>
      </c>
      <c r="S6220" t="s">
        <v>232</v>
      </c>
      <c r="T6220">
        <v>0</v>
      </c>
      <c r="U6220">
        <v>-5</v>
      </c>
      <c r="V6220">
        <v>0</v>
      </c>
      <c r="W6220">
        <v>0</v>
      </c>
      <c r="X6220">
        <v>0</v>
      </c>
      <c r="Y6220">
        <v>9664</v>
      </c>
      <c r="Z6220" t="s">
        <v>434</v>
      </c>
      <c r="AA6220" t="s">
        <v>433</v>
      </c>
      <c r="AB6220" t="s">
        <v>234</v>
      </c>
      <c r="AC6220" t="s">
        <v>17</v>
      </c>
      <c r="AD6220" t="s">
        <v>235</v>
      </c>
      <c r="AE6220">
        <v>5</v>
      </c>
      <c r="AF6220">
        <v>5</v>
      </c>
      <c r="AG6220">
        <v>1.5253000000000001</v>
      </c>
      <c r="AH6220">
        <v>1.5253000000000001</v>
      </c>
      <c r="AI6220">
        <v>415886697</v>
      </c>
      <c r="AJ6220">
        <v>0</v>
      </c>
      <c r="AK6220">
        <v>7</v>
      </c>
      <c r="AN6220">
        <v>0</v>
      </c>
    </row>
    <row r="6221" spans="1:40" x14ac:dyDescent="0.25">
      <c r="A6221" t="s">
        <v>15</v>
      </c>
      <c r="B6221" t="s">
        <v>24</v>
      </c>
      <c r="C6221">
        <v>20150316</v>
      </c>
      <c r="D6221">
        <v>0</v>
      </c>
      <c r="F6221">
        <v>62500</v>
      </c>
      <c r="G6221" t="s">
        <v>17</v>
      </c>
      <c r="I6221" t="s">
        <v>16</v>
      </c>
      <c r="J6221" t="s">
        <v>180</v>
      </c>
      <c r="K6221" t="s">
        <v>25</v>
      </c>
      <c r="L6221">
        <v>132757294</v>
      </c>
      <c r="R6221">
        <v>9664</v>
      </c>
      <c r="S6221" t="s">
        <v>232</v>
      </c>
      <c r="T6221">
        <v>0</v>
      </c>
      <c r="U6221">
        <v>-5</v>
      </c>
      <c r="V6221">
        <v>0</v>
      </c>
      <c r="W6221">
        <v>0</v>
      </c>
      <c r="X6221">
        <v>0</v>
      </c>
    </row>
    <row r="6222" spans="1:40" x14ac:dyDescent="0.25">
      <c r="A6222" t="s">
        <v>15</v>
      </c>
      <c r="B6222" t="s">
        <v>24</v>
      </c>
      <c r="C6222">
        <v>20150316</v>
      </c>
      <c r="D6222">
        <v>0</v>
      </c>
      <c r="F6222">
        <v>62500</v>
      </c>
      <c r="G6222" t="s">
        <v>17</v>
      </c>
      <c r="I6222" t="s">
        <v>16</v>
      </c>
      <c r="J6222" t="s">
        <v>180</v>
      </c>
      <c r="K6222" t="s">
        <v>25</v>
      </c>
      <c r="L6222">
        <v>132757294</v>
      </c>
      <c r="R6222">
        <v>9664</v>
      </c>
      <c r="S6222" t="s">
        <v>37</v>
      </c>
      <c r="T6222">
        <v>5</v>
      </c>
      <c r="U6222">
        <v>0</v>
      </c>
      <c r="V6222">
        <v>1.5253000000000001</v>
      </c>
      <c r="W6222">
        <v>1.5253000000000001</v>
      </c>
      <c r="X6222">
        <v>0</v>
      </c>
    </row>
    <row r="6223" spans="1:40" x14ac:dyDescent="0.25">
      <c r="A6223" t="s">
        <v>15</v>
      </c>
      <c r="B6223" t="s">
        <v>24</v>
      </c>
      <c r="C6223">
        <v>20150316</v>
      </c>
      <c r="D6223">
        <v>0</v>
      </c>
      <c r="F6223">
        <v>62500</v>
      </c>
      <c r="G6223" t="s">
        <v>17</v>
      </c>
      <c r="I6223" t="s">
        <v>16</v>
      </c>
      <c r="J6223" t="s">
        <v>180</v>
      </c>
      <c r="K6223" t="s">
        <v>25</v>
      </c>
      <c r="L6223">
        <v>132757294</v>
      </c>
      <c r="R6223">
        <v>9664</v>
      </c>
      <c r="S6223" t="s">
        <v>37</v>
      </c>
      <c r="T6223">
        <v>5</v>
      </c>
      <c r="U6223">
        <v>0</v>
      </c>
      <c r="V6223">
        <v>1.5253000000000001</v>
      </c>
      <c r="W6223">
        <v>1.5253000000000001</v>
      </c>
      <c r="X6223">
        <v>0</v>
      </c>
    </row>
    <row r="6224" spans="1:40" x14ac:dyDescent="0.25">
      <c r="A6224" t="s">
        <v>15</v>
      </c>
      <c r="B6224" t="s">
        <v>24</v>
      </c>
      <c r="C6224">
        <v>20150316</v>
      </c>
      <c r="D6224">
        <v>0</v>
      </c>
      <c r="F6224">
        <v>62500</v>
      </c>
      <c r="G6224" t="s">
        <v>17</v>
      </c>
      <c r="I6224" t="s">
        <v>16</v>
      </c>
      <c r="J6224" t="s">
        <v>180</v>
      </c>
      <c r="K6224" t="s">
        <v>25</v>
      </c>
      <c r="L6224">
        <v>132757294</v>
      </c>
      <c r="R6224">
        <v>9664</v>
      </c>
      <c r="S6224" t="s">
        <v>37</v>
      </c>
      <c r="T6224">
        <v>5</v>
      </c>
      <c r="U6224">
        <v>0</v>
      </c>
      <c r="V6224">
        <v>1.5253000000000001</v>
      </c>
      <c r="W6224">
        <v>1.5253000000000001</v>
      </c>
      <c r="X6224">
        <v>0</v>
      </c>
    </row>
    <row r="6225" spans="1:40" x14ac:dyDescent="0.25">
      <c r="A6225" t="s">
        <v>15</v>
      </c>
      <c r="B6225" t="s">
        <v>24</v>
      </c>
      <c r="C6225">
        <v>20150316</v>
      </c>
      <c r="D6225">
        <v>0</v>
      </c>
      <c r="F6225">
        <v>62500</v>
      </c>
      <c r="G6225" t="s">
        <v>17</v>
      </c>
      <c r="I6225" t="s">
        <v>16</v>
      </c>
      <c r="J6225" t="s">
        <v>180</v>
      </c>
      <c r="K6225" t="s">
        <v>25</v>
      </c>
      <c r="L6225">
        <v>132757294</v>
      </c>
      <c r="R6225">
        <v>9664</v>
      </c>
      <c r="S6225" t="s">
        <v>37</v>
      </c>
      <c r="T6225">
        <v>5</v>
      </c>
      <c r="U6225">
        <v>0</v>
      </c>
      <c r="V6225">
        <v>1.5253000000000001</v>
      </c>
      <c r="W6225">
        <v>1.5253000000000001</v>
      </c>
      <c r="X6225">
        <v>0</v>
      </c>
    </row>
    <row r="6226" spans="1:40" x14ac:dyDescent="0.25">
      <c r="A6226" t="s">
        <v>15</v>
      </c>
      <c r="B6226" t="s">
        <v>24</v>
      </c>
      <c r="C6226">
        <v>20150316</v>
      </c>
      <c r="D6226">
        <v>0</v>
      </c>
      <c r="F6226">
        <v>62500</v>
      </c>
      <c r="G6226" t="s">
        <v>17</v>
      </c>
      <c r="I6226" t="s">
        <v>16</v>
      </c>
      <c r="J6226" t="s">
        <v>180</v>
      </c>
      <c r="K6226" t="s">
        <v>25</v>
      </c>
      <c r="L6226">
        <v>132757294</v>
      </c>
      <c r="R6226">
        <v>9664</v>
      </c>
      <c r="S6226" t="s">
        <v>37</v>
      </c>
      <c r="T6226">
        <v>5</v>
      </c>
      <c r="U6226">
        <v>0</v>
      </c>
      <c r="V6226">
        <v>1.5253000000000001</v>
      </c>
      <c r="W6226">
        <v>1.5253000000000001</v>
      </c>
      <c r="X6226">
        <v>0</v>
      </c>
    </row>
    <row r="6227" spans="1:40" x14ac:dyDescent="0.25">
      <c r="A6227" t="s">
        <v>15</v>
      </c>
      <c r="B6227" t="s">
        <v>24</v>
      </c>
      <c r="C6227">
        <v>20150316</v>
      </c>
      <c r="D6227">
        <v>0</v>
      </c>
      <c r="F6227">
        <v>62500</v>
      </c>
      <c r="G6227" t="s">
        <v>17</v>
      </c>
      <c r="I6227" t="s">
        <v>16</v>
      </c>
      <c r="J6227" t="s">
        <v>180</v>
      </c>
      <c r="K6227" t="s">
        <v>25</v>
      </c>
      <c r="L6227">
        <v>132757294</v>
      </c>
      <c r="R6227">
        <v>9664</v>
      </c>
      <c r="S6227" t="s">
        <v>37</v>
      </c>
      <c r="T6227">
        <v>5</v>
      </c>
      <c r="U6227">
        <v>0</v>
      </c>
      <c r="V6227">
        <v>1.5253000000000001</v>
      </c>
      <c r="W6227">
        <v>1.5253000000000001</v>
      </c>
      <c r="X6227">
        <v>0</v>
      </c>
    </row>
    <row r="6228" spans="1:40" x14ac:dyDescent="0.25">
      <c r="A6228" t="s">
        <v>15</v>
      </c>
      <c r="B6228" t="s">
        <v>24</v>
      </c>
      <c r="C6228">
        <v>20150316</v>
      </c>
      <c r="D6228">
        <v>0</v>
      </c>
      <c r="F6228">
        <v>62500</v>
      </c>
      <c r="G6228" t="s">
        <v>17</v>
      </c>
      <c r="I6228" t="s">
        <v>16</v>
      </c>
      <c r="J6228" t="s">
        <v>180</v>
      </c>
      <c r="K6228" t="s">
        <v>25</v>
      </c>
      <c r="L6228">
        <v>132757294</v>
      </c>
      <c r="R6228">
        <v>9664</v>
      </c>
      <c r="S6228" t="s">
        <v>37</v>
      </c>
      <c r="T6228">
        <v>5</v>
      </c>
      <c r="U6228">
        <v>0</v>
      </c>
      <c r="V6228">
        <v>1.5253000000000001</v>
      </c>
      <c r="W6228">
        <v>1.5253000000000001</v>
      </c>
      <c r="X6228">
        <v>0</v>
      </c>
    </row>
    <row r="6229" spans="1:40" x14ac:dyDescent="0.25">
      <c r="A6229" t="s">
        <v>15</v>
      </c>
      <c r="B6229" t="s">
        <v>24</v>
      </c>
      <c r="C6229">
        <v>20150316</v>
      </c>
      <c r="D6229">
        <v>0</v>
      </c>
      <c r="F6229">
        <v>62500</v>
      </c>
      <c r="G6229" t="s">
        <v>17</v>
      </c>
      <c r="I6229" t="s">
        <v>16</v>
      </c>
      <c r="J6229" t="s">
        <v>180</v>
      </c>
      <c r="K6229" t="s">
        <v>25</v>
      </c>
      <c r="L6229">
        <v>132757294</v>
      </c>
      <c r="R6229">
        <v>9664</v>
      </c>
      <c r="S6229" t="s">
        <v>37</v>
      </c>
      <c r="T6229">
        <v>5</v>
      </c>
      <c r="U6229">
        <v>0</v>
      </c>
      <c r="V6229">
        <v>1.5253000000000001</v>
      </c>
      <c r="W6229">
        <v>1.5253000000000001</v>
      </c>
      <c r="X6229">
        <v>0</v>
      </c>
    </row>
    <row r="6230" spans="1:40" x14ac:dyDescent="0.25">
      <c r="A6230" t="s">
        <v>15</v>
      </c>
      <c r="B6230" t="s">
        <v>24</v>
      </c>
      <c r="C6230">
        <v>20150316</v>
      </c>
      <c r="D6230">
        <v>0</v>
      </c>
      <c r="F6230">
        <v>62500</v>
      </c>
      <c r="G6230" t="s">
        <v>17</v>
      </c>
      <c r="I6230" t="s">
        <v>16</v>
      </c>
      <c r="J6230" t="s">
        <v>180</v>
      </c>
      <c r="K6230" t="s">
        <v>25</v>
      </c>
      <c r="L6230">
        <v>132757294</v>
      </c>
      <c r="R6230">
        <v>9665</v>
      </c>
      <c r="S6230" t="s">
        <v>232</v>
      </c>
      <c r="T6230">
        <v>0</v>
      </c>
      <c r="U6230">
        <v>5</v>
      </c>
      <c r="V6230">
        <v>0</v>
      </c>
      <c r="W6230">
        <v>0</v>
      </c>
      <c r="X6230">
        <v>0</v>
      </c>
    </row>
    <row r="6231" spans="1:40" x14ac:dyDescent="0.25">
      <c r="A6231" t="s">
        <v>15</v>
      </c>
      <c r="B6231" t="s">
        <v>24</v>
      </c>
      <c r="C6231">
        <v>20150316</v>
      </c>
      <c r="D6231">
        <v>0</v>
      </c>
      <c r="F6231">
        <v>62500</v>
      </c>
      <c r="G6231" t="s">
        <v>17</v>
      </c>
      <c r="I6231" t="s">
        <v>16</v>
      </c>
      <c r="J6231" t="s">
        <v>180</v>
      </c>
      <c r="K6231" t="s">
        <v>25</v>
      </c>
      <c r="L6231">
        <v>132757294</v>
      </c>
      <c r="R6231">
        <v>9665</v>
      </c>
      <c r="S6231" t="s">
        <v>232</v>
      </c>
      <c r="T6231">
        <v>0</v>
      </c>
      <c r="U6231">
        <v>1</v>
      </c>
      <c r="V6231">
        <v>0</v>
      </c>
      <c r="W6231">
        <v>0</v>
      </c>
      <c r="X6231">
        <v>0</v>
      </c>
      <c r="Y6231">
        <v>9665</v>
      </c>
      <c r="Z6231" t="s">
        <v>435</v>
      </c>
      <c r="AA6231" t="s">
        <v>436</v>
      </c>
      <c r="AB6231" t="s">
        <v>234</v>
      </c>
      <c r="AC6231" t="s">
        <v>17</v>
      </c>
      <c r="AD6231" t="s">
        <v>235</v>
      </c>
      <c r="AE6231">
        <v>2</v>
      </c>
      <c r="AF6231">
        <v>2</v>
      </c>
      <c r="AG6231">
        <v>1.5251999999999999</v>
      </c>
      <c r="AH6231">
        <v>1.5251999999999999</v>
      </c>
      <c r="AI6231">
        <v>415886698</v>
      </c>
      <c r="AJ6231">
        <v>0</v>
      </c>
      <c r="AK6231">
        <v>7</v>
      </c>
      <c r="AN6231">
        <v>0</v>
      </c>
    </row>
    <row r="6232" spans="1:40" x14ac:dyDescent="0.25">
      <c r="A6232" t="s">
        <v>15</v>
      </c>
      <c r="B6232" t="s">
        <v>24</v>
      </c>
      <c r="C6232">
        <v>20150316</v>
      </c>
      <c r="D6232">
        <v>0</v>
      </c>
      <c r="F6232">
        <v>62500</v>
      </c>
      <c r="G6232" t="s">
        <v>17</v>
      </c>
      <c r="I6232" t="s">
        <v>16</v>
      </c>
      <c r="J6232" t="s">
        <v>180</v>
      </c>
      <c r="K6232" t="s">
        <v>25</v>
      </c>
      <c r="L6232">
        <v>132757294</v>
      </c>
      <c r="R6232">
        <v>9665</v>
      </c>
      <c r="S6232" t="s">
        <v>232</v>
      </c>
      <c r="T6232">
        <v>0</v>
      </c>
      <c r="U6232">
        <v>1</v>
      </c>
      <c r="V6232">
        <v>0</v>
      </c>
      <c r="W6232">
        <v>0</v>
      </c>
      <c r="X6232">
        <v>0</v>
      </c>
    </row>
    <row r="6233" spans="1:40" x14ac:dyDescent="0.25">
      <c r="A6233" t="s">
        <v>15</v>
      </c>
      <c r="B6233" t="s">
        <v>24</v>
      </c>
      <c r="C6233">
        <v>20150316</v>
      </c>
      <c r="D6233">
        <v>0</v>
      </c>
      <c r="F6233">
        <v>62500</v>
      </c>
      <c r="G6233" t="s">
        <v>17</v>
      </c>
      <c r="I6233" t="s">
        <v>16</v>
      </c>
      <c r="J6233" t="s">
        <v>180</v>
      </c>
      <c r="K6233" t="s">
        <v>25</v>
      </c>
      <c r="L6233">
        <v>132757294</v>
      </c>
      <c r="R6233">
        <v>9665</v>
      </c>
      <c r="S6233" t="s">
        <v>236</v>
      </c>
      <c r="T6233">
        <v>2</v>
      </c>
      <c r="U6233">
        <v>3</v>
      </c>
      <c r="V6233">
        <v>1.5251999999999999</v>
      </c>
      <c r="W6233">
        <v>1.5251999999999999</v>
      </c>
      <c r="X6233">
        <v>0</v>
      </c>
    </row>
    <row r="6234" spans="1:40" x14ac:dyDescent="0.25">
      <c r="A6234" t="s">
        <v>15</v>
      </c>
      <c r="B6234" t="s">
        <v>24</v>
      </c>
      <c r="C6234">
        <v>20150316</v>
      </c>
      <c r="D6234">
        <v>0</v>
      </c>
      <c r="F6234">
        <v>62500</v>
      </c>
      <c r="G6234" t="s">
        <v>17</v>
      </c>
      <c r="I6234" t="s">
        <v>16</v>
      </c>
      <c r="J6234" t="s">
        <v>180</v>
      </c>
      <c r="K6234" t="s">
        <v>25</v>
      </c>
      <c r="L6234">
        <v>132757294</v>
      </c>
      <c r="R6234">
        <v>9666</v>
      </c>
      <c r="S6234" t="s">
        <v>232</v>
      </c>
      <c r="T6234">
        <v>0</v>
      </c>
      <c r="U6234">
        <v>16</v>
      </c>
      <c r="V6234">
        <v>0</v>
      </c>
      <c r="W6234">
        <v>0</v>
      </c>
      <c r="X6234">
        <v>0</v>
      </c>
    </row>
    <row r="6235" spans="1:40" x14ac:dyDescent="0.25">
      <c r="A6235" t="s">
        <v>15</v>
      </c>
      <c r="B6235" t="s">
        <v>24</v>
      </c>
      <c r="C6235">
        <v>20150316</v>
      </c>
      <c r="D6235">
        <v>0</v>
      </c>
      <c r="F6235">
        <v>62500</v>
      </c>
      <c r="G6235" t="s">
        <v>17</v>
      </c>
      <c r="I6235" t="s">
        <v>16</v>
      </c>
      <c r="J6235" t="s">
        <v>180</v>
      </c>
      <c r="K6235" t="s">
        <v>25</v>
      </c>
      <c r="L6235">
        <v>132757294</v>
      </c>
      <c r="R6235">
        <v>9665</v>
      </c>
      <c r="S6235" t="s">
        <v>236</v>
      </c>
      <c r="T6235">
        <v>2</v>
      </c>
      <c r="U6235">
        <v>3</v>
      </c>
      <c r="V6235">
        <v>1.5251999999999999</v>
      </c>
      <c r="W6235">
        <v>1.5251999999999999</v>
      </c>
      <c r="X6235">
        <v>0</v>
      </c>
    </row>
    <row r="6236" spans="1:40" x14ac:dyDescent="0.25">
      <c r="A6236" t="s">
        <v>15</v>
      </c>
      <c r="B6236" t="s">
        <v>24</v>
      </c>
      <c r="C6236">
        <v>20150316</v>
      </c>
      <c r="D6236">
        <v>0</v>
      </c>
      <c r="F6236">
        <v>62500</v>
      </c>
      <c r="G6236" t="s">
        <v>17</v>
      </c>
      <c r="I6236" t="s">
        <v>16</v>
      </c>
      <c r="J6236" t="s">
        <v>180</v>
      </c>
      <c r="K6236" t="s">
        <v>25</v>
      </c>
      <c r="L6236">
        <v>132757294</v>
      </c>
      <c r="R6236">
        <v>9665</v>
      </c>
      <c r="S6236" t="s">
        <v>233</v>
      </c>
      <c r="T6236">
        <v>2</v>
      </c>
      <c r="U6236">
        <v>3</v>
      </c>
      <c r="V6236">
        <v>1.5251999999999999</v>
      </c>
      <c r="W6236">
        <v>1.5251999999999999</v>
      </c>
      <c r="X6236">
        <v>0</v>
      </c>
    </row>
    <row r="6237" spans="1:40" x14ac:dyDescent="0.25">
      <c r="A6237" t="s">
        <v>15</v>
      </c>
      <c r="B6237" t="s">
        <v>24</v>
      </c>
      <c r="C6237">
        <v>20150316</v>
      </c>
      <c r="D6237">
        <v>0</v>
      </c>
      <c r="F6237">
        <v>62500</v>
      </c>
      <c r="G6237" t="s">
        <v>17</v>
      </c>
      <c r="I6237" t="s">
        <v>16</v>
      </c>
      <c r="J6237" t="s">
        <v>180</v>
      </c>
      <c r="K6237" t="s">
        <v>25</v>
      </c>
      <c r="L6237">
        <v>132757294</v>
      </c>
      <c r="R6237">
        <v>9665</v>
      </c>
      <c r="S6237" t="s">
        <v>233</v>
      </c>
      <c r="T6237">
        <v>2</v>
      </c>
      <c r="U6237">
        <v>3</v>
      </c>
      <c r="V6237">
        <v>1.5251999999999999</v>
      </c>
      <c r="W6237">
        <v>1.5251999999999999</v>
      </c>
      <c r="X6237">
        <v>0</v>
      </c>
    </row>
    <row r="6238" spans="1:40" x14ac:dyDescent="0.25">
      <c r="A6238" t="s">
        <v>15</v>
      </c>
      <c r="B6238" t="s">
        <v>24</v>
      </c>
      <c r="C6238">
        <v>20150316</v>
      </c>
      <c r="D6238">
        <v>0</v>
      </c>
      <c r="F6238">
        <v>62500</v>
      </c>
      <c r="G6238" t="s">
        <v>17</v>
      </c>
      <c r="I6238" t="s">
        <v>16</v>
      </c>
      <c r="J6238" t="s">
        <v>180</v>
      </c>
      <c r="K6238" t="s">
        <v>25</v>
      </c>
      <c r="L6238">
        <v>132757294</v>
      </c>
      <c r="R6238">
        <v>9665</v>
      </c>
      <c r="S6238" t="s">
        <v>233</v>
      </c>
      <c r="T6238">
        <v>2</v>
      </c>
      <c r="U6238">
        <v>3</v>
      </c>
      <c r="V6238">
        <v>1.5251999999999999</v>
      </c>
      <c r="W6238">
        <v>1.5251999999999999</v>
      </c>
      <c r="X6238">
        <v>0</v>
      </c>
    </row>
    <row r="6239" spans="1:40" x14ac:dyDescent="0.25">
      <c r="A6239" t="s">
        <v>15</v>
      </c>
      <c r="B6239" t="s">
        <v>24</v>
      </c>
      <c r="C6239">
        <v>20150316</v>
      </c>
      <c r="D6239">
        <v>0</v>
      </c>
      <c r="F6239">
        <v>62500</v>
      </c>
      <c r="G6239" t="s">
        <v>17</v>
      </c>
      <c r="I6239" t="s">
        <v>16</v>
      </c>
      <c r="J6239" t="s">
        <v>180</v>
      </c>
      <c r="K6239" t="s">
        <v>25</v>
      </c>
      <c r="L6239">
        <v>132757294</v>
      </c>
      <c r="R6239">
        <v>9665</v>
      </c>
      <c r="S6239" t="s">
        <v>233</v>
      </c>
      <c r="T6239">
        <v>2</v>
      </c>
      <c r="U6239">
        <v>-3</v>
      </c>
      <c r="V6239">
        <v>1.5251999999999999</v>
      </c>
      <c r="W6239">
        <v>1.5251999999999999</v>
      </c>
      <c r="X6239">
        <v>0</v>
      </c>
      <c r="Y6239">
        <v>9665</v>
      </c>
      <c r="Z6239" t="s">
        <v>437</v>
      </c>
      <c r="AA6239" t="s">
        <v>436</v>
      </c>
      <c r="AB6239" t="s">
        <v>234</v>
      </c>
      <c r="AC6239" t="s">
        <v>17</v>
      </c>
      <c r="AD6239" t="s">
        <v>235</v>
      </c>
      <c r="AE6239">
        <v>3</v>
      </c>
      <c r="AF6239">
        <v>5</v>
      </c>
      <c r="AG6239">
        <v>1.5253000000000001</v>
      </c>
      <c r="AH6239">
        <v>1.5252600000000001</v>
      </c>
      <c r="AI6239">
        <v>415886698</v>
      </c>
      <c r="AJ6239">
        <v>0</v>
      </c>
      <c r="AK6239">
        <v>7</v>
      </c>
      <c r="AN6239">
        <v>0</v>
      </c>
    </row>
    <row r="6240" spans="1:40" x14ac:dyDescent="0.25">
      <c r="A6240" t="s">
        <v>15</v>
      </c>
      <c r="B6240" t="s">
        <v>24</v>
      </c>
      <c r="C6240">
        <v>20150316</v>
      </c>
      <c r="D6240">
        <v>0</v>
      </c>
      <c r="F6240">
        <v>62500</v>
      </c>
      <c r="G6240" t="s">
        <v>17</v>
      </c>
      <c r="I6240" t="s">
        <v>16</v>
      </c>
      <c r="J6240" t="s">
        <v>180</v>
      </c>
      <c r="K6240" t="s">
        <v>25</v>
      </c>
      <c r="L6240">
        <v>132757294</v>
      </c>
      <c r="R6240">
        <v>9665</v>
      </c>
      <c r="S6240" t="s">
        <v>233</v>
      </c>
      <c r="T6240">
        <v>2</v>
      </c>
      <c r="U6240">
        <v>-3</v>
      </c>
      <c r="V6240">
        <v>1.5251999999999999</v>
      </c>
      <c r="W6240">
        <v>1.5251999999999999</v>
      </c>
      <c r="X6240">
        <v>0</v>
      </c>
    </row>
    <row r="6241" spans="1:40" x14ac:dyDescent="0.25">
      <c r="A6241" t="s">
        <v>15</v>
      </c>
      <c r="B6241" t="s">
        <v>24</v>
      </c>
      <c r="C6241">
        <v>20150316</v>
      </c>
      <c r="D6241">
        <v>0</v>
      </c>
      <c r="F6241">
        <v>62500</v>
      </c>
      <c r="G6241" t="s">
        <v>17</v>
      </c>
      <c r="I6241" t="s">
        <v>16</v>
      </c>
      <c r="J6241" t="s">
        <v>180</v>
      </c>
      <c r="K6241" t="s">
        <v>25</v>
      </c>
      <c r="L6241">
        <v>132757294</v>
      </c>
      <c r="R6241">
        <v>9665</v>
      </c>
      <c r="S6241" t="s">
        <v>37</v>
      </c>
      <c r="T6241">
        <v>5</v>
      </c>
      <c r="U6241">
        <v>0</v>
      </c>
      <c r="V6241">
        <v>1.5252600000000001</v>
      </c>
      <c r="W6241">
        <v>1.5253000000000001</v>
      </c>
      <c r="X6241">
        <v>0</v>
      </c>
    </row>
    <row r="6242" spans="1:40" x14ac:dyDescent="0.25">
      <c r="A6242" t="s">
        <v>15</v>
      </c>
      <c r="B6242" t="s">
        <v>24</v>
      </c>
      <c r="C6242">
        <v>20150316</v>
      </c>
      <c r="D6242">
        <v>0</v>
      </c>
      <c r="F6242">
        <v>62500</v>
      </c>
      <c r="G6242" t="s">
        <v>17</v>
      </c>
      <c r="I6242" t="s">
        <v>16</v>
      </c>
      <c r="J6242" t="s">
        <v>180</v>
      </c>
      <c r="K6242" t="s">
        <v>25</v>
      </c>
      <c r="L6242">
        <v>132757294</v>
      </c>
      <c r="R6242">
        <v>9665</v>
      </c>
      <c r="S6242" t="s">
        <v>37</v>
      </c>
      <c r="T6242">
        <v>5</v>
      </c>
      <c r="U6242">
        <v>0</v>
      </c>
      <c r="V6242">
        <v>1.5252600000000001</v>
      </c>
      <c r="W6242">
        <v>1.5253000000000001</v>
      </c>
      <c r="X6242">
        <v>0</v>
      </c>
    </row>
    <row r="6243" spans="1:40" x14ac:dyDescent="0.25">
      <c r="A6243" t="s">
        <v>15</v>
      </c>
      <c r="B6243" t="s">
        <v>24</v>
      </c>
      <c r="C6243">
        <v>20150316</v>
      </c>
      <c r="D6243">
        <v>0</v>
      </c>
      <c r="F6243">
        <v>62500</v>
      </c>
      <c r="G6243" t="s">
        <v>17</v>
      </c>
      <c r="I6243" t="s">
        <v>16</v>
      </c>
      <c r="J6243" t="s">
        <v>180</v>
      </c>
      <c r="K6243" t="s">
        <v>25</v>
      </c>
      <c r="L6243">
        <v>132757294</v>
      </c>
      <c r="R6243">
        <v>9665</v>
      </c>
      <c r="S6243" t="s">
        <v>37</v>
      </c>
      <c r="T6243">
        <v>5</v>
      </c>
      <c r="U6243">
        <v>0</v>
      </c>
      <c r="V6243">
        <v>1.5252600000000001</v>
      </c>
      <c r="W6243">
        <v>1.5253000000000001</v>
      </c>
      <c r="X6243">
        <v>0</v>
      </c>
    </row>
    <row r="6244" spans="1:40" x14ac:dyDescent="0.25">
      <c r="A6244" t="s">
        <v>15</v>
      </c>
      <c r="B6244" t="s">
        <v>24</v>
      </c>
      <c r="C6244">
        <v>20150316</v>
      </c>
      <c r="D6244">
        <v>0</v>
      </c>
      <c r="F6244">
        <v>62500</v>
      </c>
      <c r="G6244" t="s">
        <v>17</v>
      </c>
      <c r="I6244" t="s">
        <v>16</v>
      </c>
      <c r="J6244" t="s">
        <v>180</v>
      </c>
      <c r="K6244" t="s">
        <v>25</v>
      </c>
      <c r="L6244">
        <v>132757294</v>
      </c>
      <c r="R6244">
        <v>9665</v>
      </c>
      <c r="S6244" t="s">
        <v>37</v>
      </c>
      <c r="T6244">
        <v>5</v>
      </c>
      <c r="U6244">
        <v>0</v>
      </c>
      <c r="V6244">
        <v>1.5252600000000001</v>
      </c>
      <c r="W6244">
        <v>1.5253000000000001</v>
      </c>
      <c r="X6244">
        <v>0</v>
      </c>
    </row>
    <row r="6245" spans="1:40" x14ac:dyDescent="0.25">
      <c r="A6245" t="s">
        <v>15</v>
      </c>
      <c r="B6245" t="s">
        <v>24</v>
      </c>
      <c r="C6245">
        <v>20150316</v>
      </c>
      <c r="D6245">
        <v>0</v>
      </c>
      <c r="F6245">
        <v>62500</v>
      </c>
      <c r="G6245" t="s">
        <v>17</v>
      </c>
      <c r="I6245" t="s">
        <v>16</v>
      </c>
      <c r="J6245" t="s">
        <v>180</v>
      </c>
      <c r="K6245" t="s">
        <v>25</v>
      </c>
      <c r="L6245">
        <v>132757294</v>
      </c>
      <c r="R6245">
        <v>9665</v>
      </c>
      <c r="S6245" t="s">
        <v>37</v>
      </c>
      <c r="T6245">
        <v>5</v>
      </c>
      <c r="U6245">
        <v>0</v>
      </c>
      <c r="V6245">
        <v>1.5252600000000001</v>
      </c>
      <c r="W6245">
        <v>1.5253000000000001</v>
      </c>
      <c r="X6245">
        <v>0</v>
      </c>
    </row>
    <row r="6246" spans="1:40" x14ac:dyDescent="0.25">
      <c r="A6246" t="s">
        <v>15</v>
      </c>
      <c r="B6246" t="s">
        <v>24</v>
      </c>
      <c r="C6246">
        <v>20150316</v>
      </c>
      <c r="D6246">
        <v>0</v>
      </c>
      <c r="F6246">
        <v>62500</v>
      </c>
      <c r="G6246" t="s">
        <v>17</v>
      </c>
      <c r="I6246" t="s">
        <v>16</v>
      </c>
      <c r="J6246" t="s">
        <v>180</v>
      </c>
      <c r="K6246" t="s">
        <v>25</v>
      </c>
      <c r="L6246">
        <v>132757294</v>
      </c>
      <c r="R6246">
        <v>9667</v>
      </c>
      <c r="S6246" t="s">
        <v>232</v>
      </c>
      <c r="T6246">
        <v>0</v>
      </c>
      <c r="U6246">
        <v>5</v>
      </c>
      <c r="V6246">
        <v>0</v>
      </c>
      <c r="W6246">
        <v>0</v>
      </c>
      <c r="X6246">
        <v>0</v>
      </c>
    </row>
    <row r="6247" spans="1:40" x14ac:dyDescent="0.25">
      <c r="A6247" t="s">
        <v>15</v>
      </c>
      <c r="B6247" t="s">
        <v>24</v>
      </c>
      <c r="C6247">
        <v>20150316</v>
      </c>
      <c r="D6247">
        <v>0</v>
      </c>
      <c r="F6247">
        <v>62500</v>
      </c>
      <c r="G6247" t="s">
        <v>17</v>
      </c>
      <c r="I6247" t="s">
        <v>16</v>
      </c>
      <c r="J6247" t="s">
        <v>180</v>
      </c>
      <c r="K6247" t="s">
        <v>25</v>
      </c>
      <c r="L6247">
        <v>132757294</v>
      </c>
      <c r="R6247">
        <v>9662</v>
      </c>
      <c r="S6247" t="s">
        <v>223</v>
      </c>
      <c r="T6247">
        <v>0</v>
      </c>
      <c r="U6247">
        <v>12</v>
      </c>
      <c r="V6247">
        <v>0</v>
      </c>
      <c r="W6247">
        <v>0</v>
      </c>
      <c r="X6247">
        <v>0</v>
      </c>
    </row>
    <row r="6248" spans="1:40" x14ac:dyDescent="0.25">
      <c r="A6248" t="s">
        <v>15</v>
      </c>
      <c r="B6248" t="s">
        <v>24</v>
      </c>
      <c r="C6248">
        <v>20150316</v>
      </c>
      <c r="D6248">
        <v>0</v>
      </c>
      <c r="F6248">
        <v>62500</v>
      </c>
      <c r="G6248" t="s">
        <v>17</v>
      </c>
      <c r="I6248" t="s">
        <v>16</v>
      </c>
      <c r="J6248" t="s">
        <v>180</v>
      </c>
      <c r="K6248" t="s">
        <v>25</v>
      </c>
      <c r="L6248">
        <v>132757294</v>
      </c>
      <c r="R6248">
        <v>9662</v>
      </c>
      <c r="S6248" t="s">
        <v>224</v>
      </c>
      <c r="T6248">
        <v>0</v>
      </c>
      <c r="U6248">
        <v>12</v>
      </c>
      <c r="V6248">
        <v>0</v>
      </c>
      <c r="W6248">
        <v>0</v>
      </c>
      <c r="X6248">
        <v>0</v>
      </c>
    </row>
    <row r="6249" spans="1:40" x14ac:dyDescent="0.25">
      <c r="A6249" t="s">
        <v>15</v>
      </c>
      <c r="B6249" t="s">
        <v>24</v>
      </c>
      <c r="C6249">
        <v>20150316</v>
      </c>
      <c r="D6249">
        <v>0</v>
      </c>
      <c r="F6249">
        <v>62500</v>
      </c>
      <c r="G6249" t="s">
        <v>17</v>
      </c>
      <c r="I6249" t="s">
        <v>16</v>
      </c>
      <c r="J6249" t="s">
        <v>180</v>
      </c>
      <c r="K6249" t="s">
        <v>25</v>
      </c>
      <c r="L6249">
        <v>132757294</v>
      </c>
      <c r="R6249">
        <v>9666</v>
      </c>
      <c r="S6249" t="s">
        <v>232</v>
      </c>
      <c r="T6249">
        <v>0</v>
      </c>
      <c r="U6249">
        <v>16</v>
      </c>
      <c r="V6249">
        <v>0</v>
      </c>
      <c r="W6249">
        <v>0</v>
      </c>
      <c r="X6249">
        <v>0</v>
      </c>
    </row>
    <row r="6250" spans="1:40" x14ac:dyDescent="0.25">
      <c r="A6250" t="s">
        <v>15</v>
      </c>
      <c r="B6250" t="s">
        <v>24</v>
      </c>
      <c r="C6250">
        <v>20150316</v>
      </c>
      <c r="D6250">
        <v>0</v>
      </c>
      <c r="F6250">
        <v>62500</v>
      </c>
      <c r="G6250" t="s">
        <v>17</v>
      </c>
      <c r="I6250" t="s">
        <v>16</v>
      </c>
      <c r="J6250" t="s">
        <v>180</v>
      </c>
      <c r="K6250" t="s">
        <v>25</v>
      </c>
      <c r="L6250">
        <v>132757294</v>
      </c>
      <c r="R6250">
        <v>9666</v>
      </c>
      <c r="S6250" t="s">
        <v>192</v>
      </c>
      <c r="T6250">
        <v>0</v>
      </c>
      <c r="U6250">
        <v>16</v>
      </c>
      <c r="V6250">
        <v>0</v>
      </c>
      <c r="W6250">
        <v>0</v>
      </c>
      <c r="X6250">
        <v>0</v>
      </c>
    </row>
    <row r="6251" spans="1:40" x14ac:dyDescent="0.25">
      <c r="A6251" t="s">
        <v>15</v>
      </c>
      <c r="B6251" t="s">
        <v>24</v>
      </c>
      <c r="C6251">
        <v>20150316</v>
      </c>
      <c r="D6251">
        <v>0</v>
      </c>
      <c r="F6251">
        <v>62500</v>
      </c>
      <c r="G6251" t="s">
        <v>17</v>
      </c>
      <c r="I6251" t="s">
        <v>16</v>
      </c>
      <c r="J6251" t="s">
        <v>180</v>
      </c>
      <c r="K6251" t="s">
        <v>25</v>
      </c>
      <c r="L6251">
        <v>132757294</v>
      </c>
      <c r="R6251">
        <v>9667</v>
      </c>
      <c r="S6251" t="s">
        <v>232</v>
      </c>
      <c r="T6251">
        <v>0</v>
      </c>
      <c r="U6251">
        <v>-5</v>
      </c>
      <c r="V6251">
        <v>0</v>
      </c>
      <c r="W6251">
        <v>0</v>
      </c>
      <c r="X6251">
        <v>0</v>
      </c>
      <c r="Y6251">
        <v>9667</v>
      </c>
      <c r="Z6251" t="s">
        <v>438</v>
      </c>
      <c r="AA6251" t="s">
        <v>439</v>
      </c>
      <c r="AB6251" t="s">
        <v>234</v>
      </c>
      <c r="AC6251" t="s">
        <v>17</v>
      </c>
      <c r="AD6251" t="s">
        <v>235</v>
      </c>
      <c r="AE6251">
        <v>5</v>
      </c>
      <c r="AF6251">
        <v>5</v>
      </c>
      <c r="AG6251">
        <v>1.5253000000000001</v>
      </c>
      <c r="AH6251">
        <v>1.5253000000000001</v>
      </c>
      <c r="AI6251">
        <v>415886700</v>
      </c>
      <c r="AJ6251">
        <v>0</v>
      </c>
      <c r="AK6251">
        <v>7</v>
      </c>
      <c r="AN6251">
        <v>0</v>
      </c>
    </row>
    <row r="6252" spans="1:40" x14ac:dyDescent="0.25">
      <c r="A6252" t="s">
        <v>15</v>
      </c>
      <c r="B6252" t="s">
        <v>24</v>
      </c>
      <c r="C6252">
        <v>20150316</v>
      </c>
      <c r="D6252">
        <v>0</v>
      </c>
      <c r="F6252">
        <v>62500</v>
      </c>
      <c r="G6252" t="s">
        <v>17</v>
      </c>
      <c r="I6252" t="s">
        <v>16</v>
      </c>
      <c r="J6252" t="s">
        <v>180</v>
      </c>
      <c r="K6252" t="s">
        <v>25</v>
      </c>
      <c r="L6252">
        <v>132757294</v>
      </c>
      <c r="R6252">
        <v>9667</v>
      </c>
      <c r="S6252" t="s">
        <v>232</v>
      </c>
      <c r="T6252">
        <v>0</v>
      </c>
      <c r="U6252">
        <v>-5</v>
      </c>
      <c r="V6252">
        <v>0</v>
      </c>
      <c r="W6252">
        <v>0</v>
      </c>
      <c r="X6252">
        <v>0</v>
      </c>
    </row>
    <row r="6253" spans="1:40" x14ac:dyDescent="0.25">
      <c r="A6253" t="s">
        <v>15</v>
      </c>
      <c r="B6253" t="s">
        <v>24</v>
      </c>
      <c r="C6253">
        <v>20150316</v>
      </c>
      <c r="D6253">
        <v>0</v>
      </c>
      <c r="F6253">
        <v>62500</v>
      </c>
      <c r="G6253" t="s">
        <v>17</v>
      </c>
      <c r="I6253" t="s">
        <v>16</v>
      </c>
      <c r="J6253" t="s">
        <v>180</v>
      </c>
      <c r="K6253" t="s">
        <v>25</v>
      </c>
      <c r="L6253">
        <v>132757294</v>
      </c>
      <c r="R6253">
        <v>9667</v>
      </c>
      <c r="S6253" t="s">
        <v>37</v>
      </c>
      <c r="T6253">
        <v>5</v>
      </c>
      <c r="U6253">
        <v>0</v>
      </c>
      <c r="V6253">
        <v>1.5253000000000001</v>
      </c>
      <c r="W6253">
        <v>1.5253000000000001</v>
      </c>
      <c r="X6253">
        <v>0</v>
      </c>
    </row>
    <row r="6254" spans="1:40" x14ac:dyDescent="0.25">
      <c r="A6254" t="s">
        <v>15</v>
      </c>
      <c r="B6254" t="s">
        <v>24</v>
      </c>
      <c r="C6254">
        <v>20150316</v>
      </c>
      <c r="D6254">
        <v>0</v>
      </c>
      <c r="F6254">
        <v>62500</v>
      </c>
      <c r="G6254" t="s">
        <v>17</v>
      </c>
      <c r="I6254" t="s">
        <v>16</v>
      </c>
      <c r="J6254" t="s">
        <v>180</v>
      </c>
      <c r="K6254" t="s">
        <v>25</v>
      </c>
      <c r="L6254">
        <v>132757294</v>
      </c>
      <c r="R6254">
        <v>9667</v>
      </c>
      <c r="S6254" t="s">
        <v>37</v>
      </c>
      <c r="T6254">
        <v>5</v>
      </c>
      <c r="U6254">
        <v>0</v>
      </c>
      <c r="V6254">
        <v>1.5253000000000001</v>
      </c>
      <c r="W6254">
        <v>1.5253000000000001</v>
      </c>
      <c r="X6254">
        <v>0</v>
      </c>
    </row>
    <row r="6255" spans="1:40" x14ac:dyDescent="0.25">
      <c r="A6255" t="s">
        <v>15</v>
      </c>
      <c r="B6255" t="s">
        <v>24</v>
      </c>
      <c r="C6255">
        <v>20150316</v>
      </c>
      <c r="D6255">
        <v>0</v>
      </c>
      <c r="F6255">
        <v>62500</v>
      </c>
      <c r="G6255" t="s">
        <v>17</v>
      </c>
      <c r="I6255" t="s">
        <v>16</v>
      </c>
      <c r="J6255" t="s">
        <v>180</v>
      </c>
      <c r="K6255" t="s">
        <v>25</v>
      </c>
      <c r="L6255">
        <v>132757294</v>
      </c>
      <c r="R6255">
        <v>9667</v>
      </c>
      <c r="S6255" t="s">
        <v>37</v>
      </c>
      <c r="T6255">
        <v>5</v>
      </c>
      <c r="U6255">
        <v>0</v>
      </c>
      <c r="V6255">
        <v>1.5253000000000001</v>
      </c>
      <c r="W6255">
        <v>1.5253000000000001</v>
      </c>
      <c r="X6255">
        <v>0</v>
      </c>
    </row>
    <row r="6256" spans="1:40" x14ac:dyDescent="0.25">
      <c r="A6256" t="s">
        <v>15</v>
      </c>
      <c r="B6256" t="s">
        <v>24</v>
      </c>
      <c r="C6256">
        <v>20150316</v>
      </c>
      <c r="D6256">
        <v>0</v>
      </c>
      <c r="F6256">
        <v>62500</v>
      </c>
      <c r="G6256" t="s">
        <v>17</v>
      </c>
      <c r="I6256" t="s">
        <v>16</v>
      </c>
      <c r="J6256" t="s">
        <v>180</v>
      </c>
      <c r="K6256" t="s">
        <v>25</v>
      </c>
      <c r="L6256">
        <v>132757294</v>
      </c>
      <c r="R6256">
        <v>9667</v>
      </c>
      <c r="S6256" t="s">
        <v>37</v>
      </c>
      <c r="T6256">
        <v>5</v>
      </c>
      <c r="U6256">
        <v>0</v>
      </c>
      <c r="V6256">
        <v>1.5253000000000001</v>
      </c>
      <c r="W6256">
        <v>1.5253000000000001</v>
      </c>
      <c r="X6256">
        <v>0</v>
      </c>
    </row>
    <row r="6257" spans="1:40" x14ac:dyDescent="0.25">
      <c r="A6257" t="s">
        <v>15</v>
      </c>
      <c r="B6257" t="s">
        <v>24</v>
      </c>
      <c r="C6257">
        <v>20150316</v>
      </c>
      <c r="D6257">
        <v>0</v>
      </c>
      <c r="F6257">
        <v>62500</v>
      </c>
      <c r="G6257" t="s">
        <v>17</v>
      </c>
      <c r="I6257" t="s">
        <v>16</v>
      </c>
      <c r="J6257" t="s">
        <v>180</v>
      </c>
      <c r="K6257" t="s">
        <v>25</v>
      </c>
      <c r="L6257">
        <v>132757294</v>
      </c>
      <c r="R6257">
        <v>9667</v>
      </c>
      <c r="S6257" t="s">
        <v>37</v>
      </c>
      <c r="T6257">
        <v>5</v>
      </c>
      <c r="U6257">
        <v>0</v>
      </c>
      <c r="V6257">
        <v>1.5253000000000001</v>
      </c>
      <c r="W6257">
        <v>1.5253000000000001</v>
      </c>
      <c r="X6257">
        <v>0</v>
      </c>
    </row>
    <row r="6258" spans="1:40" x14ac:dyDescent="0.25">
      <c r="A6258" t="s">
        <v>15</v>
      </c>
      <c r="B6258" t="s">
        <v>24</v>
      </c>
      <c r="C6258">
        <v>20150316</v>
      </c>
      <c r="D6258">
        <v>0</v>
      </c>
      <c r="F6258">
        <v>62500</v>
      </c>
      <c r="G6258" t="s">
        <v>17</v>
      </c>
      <c r="I6258" t="s">
        <v>16</v>
      </c>
      <c r="J6258" t="s">
        <v>180</v>
      </c>
      <c r="K6258" t="s">
        <v>25</v>
      </c>
      <c r="L6258">
        <v>132757294</v>
      </c>
      <c r="R6258">
        <v>9667</v>
      </c>
      <c r="S6258" t="s">
        <v>37</v>
      </c>
      <c r="T6258">
        <v>5</v>
      </c>
      <c r="U6258">
        <v>0</v>
      </c>
      <c r="V6258">
        <v>1.5253000000000001</v>
      </c>
      <c r="W6258">
        <v>1.5253000000000001</v>
      </c>
      <c r="X6258">
        <v>0</v>
      </c>
    </row>
    <row r="6259" spans="1:40" x14ac:dyDescent="0.25">
      <c r="A6259" t="s">
        <v>15</v>
      </c>
      <c r="B6259" t="s">
        <v>24</v>
      </c>
      <c r="C6259">
        <v>20150316</v>
      </c>
      <c r="D6259">
        <v>0</v>
      </c>
      <c r="F6259">
        <v>62500</v>
      </c>
      <c r="G6259" t="s">
        <v>17</v>
      </c>
      <c r="I6259" t="s">
        <v>16</v>
      </c>
      <c r="J6259" t="s">
        <v>180</v>
      </c>
      <c r="K6259" t="s">
        <v>25</v>
      </c>
      <c r="L6259">
        <v>132757294</v>
      </c>
      <c r="R6259">
        <v>9667</v>
      </c>
      <c r="S6259" t="s">
        <v>37</v>
      </c>
      <c r="T6259">
        <v>5</v>
      </c>
      <c r="U6259">
        <v>0</v>
      </c>
      <c r="V6259">
        <v>1.5253000000000001</v>
      </c>
      <c r="W6259">
        <v>1.5253000000000001</v>
      </c>
      <c r="X6259">
        <v>0</v>
      </c>
    </row>
    <row r="6260" spans="1:40" x14ac:dyDescent="0.25">
      <c r="A6260" t="s">
        <v>15</v>
      </c>
      <c r="B6260" t="s">
        <v>24</v>
      </c>
      <c r="C6260">
        <v>20150316</v>
      </c>
      <c r="D6260">
        <v>0</v>
      </c>
      <c r="F6260">
        <v>62500</v>
      </c>
      <c r="G6260" t="s">
        <v>17</v>
      </c>
      <c r="I6260" t="s">
        <v>16</v>
      </c>
      <c r="J6260" t="s">
        <v>180</v>
      </c>
      <c r="K6260" t="s">
        <v>25</v>
      </c>
      <c r="L6260">
        <v>132757294</v>
      </c>
      <c r="R6260">
        <v>9667</v>
      </c>
      <c r="S6260" t="s">
        <v>37</v>
      </c>
      <c r="T6260">
        <v>5</v>
      </c>
      <c r="U6260">
        <v>0</v>
      </c>
      <c r="V6260">
        <v>1.5253000000000001</v>
      </c>
      <c r="W6260">
        <v>1.5253000000000001</v>
      </c>
      <c r="X6260">
        <v>0</v>
      </c>
    </row>
    <row r="6261" spans="1:40" x14ac:dyDescent="0.25">
      <c r="A6261" t="s">
        <v>15</v>
      </c>
      <c r="B6261" t="s">
        <v>24</v>
      </c>
      <c r="C6261">
        <v>20150316</v>
      </c>
      <c r="D6261">
        <v>0</v>
      </c>
      <c r="F6261">
        <v>62500</v>
      </c>
      <c r="G6261" t="s">
        <v>17</v>
      </c>
      <c r="I6261" t="s">
        <v>16</v>
      </c>
      <c r="J6261" t="s">
        <v>180</v>
      </c>
      <c r="K6261" t="s">
        <v>25</v>
      </c>
      <c r="L6261">
        <v>132757294</v>
      </c>
      <c r="R6261">
        <v>9668</v>
      </c>
      <c r="S6261" t="s">
        <v>232</v>
      </c>
      <c r="T6261">
        <v>0</v>
      </c>
      <c r="U6261">
        <v>5</v>
      </c>
      <c r="V6261">
        <v>0</v>
      </c>
      <c r="W6261">
        <v>0</v>
      </c>
      <c r="X6261">
        <v>0</v>
      </c>
    </row>
    <row r="6262" spans="1:40" x14ac:dyDescent="0.25">
      <c r="A6262" t="s">
        <v>15</v>
      </c>
      <c r="B6262" t="s">
        <v>24</v>
      </c>
      <c r="C6262">
        <v>20150316</v>
      </c>
      <c r="D6262">
        <v>0</v>
      </c>
      <c r="F6262">
        <v>62500</v>
      </c>
      <c r="G6262" t="s">
        <v>17</v>
      </c>
      <c r="I6262" t="s">
        <v>16</v>
      </c>
      <c r="J6262" t="s">
        <v>180</v>
      </c>
      <c r="K6262" t="s">
        <v>25</v>
      </c>
      <c r="L6262">
        <v>132757294</v>
      </c>
      <c r="R6262">
        <v>9668</v>
      </c>
      <c r="S6262" t="s">
        <v>232</v>
      </c>
      <c r="T6262">
        <v>0</v>
      </c>
      <c r="U6262">
        <v>-5</v>
      </c>
      <c r="V6262">
        <v>0</v>
      </c>
      <c r="W6262">
        <v>0</v>
      </c>
      <c r="X6262">
        <v>0</v>
      </c>
      <c r="Y6262">
        <v>9668</v>
      </c>
      <c r="Z6262" t="s">
        <v>440</v>
      </c>
      <c r="AA6262" t="s">
        <v>441</v>
      </c>
      <c r="AB6262" t="s">
        <v>234</v>
      </c>
      <c r="AC6262" t="s">
        <v>17</v>
      </c>
      <c r="AD6262" t="s">
        <v>235</v>
      </c>
      <c r="AE6262">
        <v>5</v>
      </c>
      <c r="AF6262">
        <v>5</v>
      </c>
      <c r="AG6262">
        <v>1.5253000000000001</v>
      </c>
      <c r="AH6262">
        <v>1.5253000000000001</v>
      </c>
      <c r="AI6262">
        <v>415886701</v>
      </c>
      <c r="AJ6262">
        <v>0</v>
      </c>
      <c r="AK6262">
        <v>7</v>
      </c>
      <c r="AN6262">
        <v>0</v>
      </c>
    </row>
    <row r="6263" spans="1:40" x14ac:dyDescent="0.25">
      <c r="A6263" t="s">
        <v>15</v>
      </c>
      <c r="B6263" t="s">
        <v>24</v>
      </c>
      <c r="C6263">
        <v>20150316</v>
      </c>
      <c r="D6263">
        <v>0</v>
      </c>
      <c r="F6263">
        <v>62500</v>
      </c>
      <c r="G6263" t="s">
        <v>17</v>
      </c>
      <c r="I6263" t="s">
        <v>16</v>
      </c>
      <c r="J6263" t="s">
        <v>180</v>
      </c>
      <c r="K6263" t="s">
        <v>25</v>
      </c>
      <c r="L6263">
        <v>132757294</v>
      </c>
      <c r="R6263">
        <v>9668</v>
      </c>
      <c r="S6263" t="s">
        <v>232</v>
      </c>
      <c r="T6263">
        <v>0</v>
      </c>
      <c r="U6263">
        <v>-5</v>
      </c>
      <c r="V6263">
        <v>0</v>
      </c>
      <c r="W6263">
        <v>0</v>
      </c>
      <c r="X6263">
        <v>0</v>
      </c>
    </row>
    <row r="6264" spans="1:40" x14ac:dyDescent="0.25">
      <c r="A6264" t="s">
        <v>15</v>
      </c>
      <c r="B6264" t="s">
        <v>24</v>
      </c>
      <c r="C6264">
        <v>20150316</v>
      </c>
      <c r="D6264">
        <v>0</v>
      </c>
      <c r="F6264">
        <v>62500</v>
      </c>
      <c r="G6264" t="s">
        <v>17</v>
      </c>
      <c r="I6264" t="s">
        <v>16</v>
      </c>
      <c r="J6264" t="s">
        <v>180</v>
      </c>
      <c r="K6264" t="s">
        <v>25</v>
      </c>
      <c r="L6264">
        <v>132757294</v>
      </c>
      <c r="R6264">
        <v>9668</v>
      </c>
      <c r="S6264" t="s">
        <v>37</v>
      </c>
      <c r="T6264">
        <v>5</v>
      </c>
      <c r="U6264">
        <v>0</v>
      </c>
      <c r="V6264">
        <v>1.5253000000000001</v>
      </c>
      <c r="W6264">
        <v>1.5253000000000001</v>
      </c>
      <c r="X6264">
        <v>0</v>
      </c>
    </row>
    <row r="6265" spans="1:40" x14ac:dyDescent="0.25">
      <c r="A6265" t="s">
        <v>15</v>
      </c>
      <c r="B6265" t="s">
        <v>24</v>
      </c>
      <c r="C6265">
        <v>20150316</v>
      </c>
      <c r="D6265">
        <v>0</v>
      </c>
      <c r="F6265">
        <v>62500</v>
      </c>
      <c r="G6265" t="s">
        <v>17</v>
      </c>
      <c r="I6265" t="s">
        <v>16</v>
      </c>
      <c r="J6265" t="s">
        <v>180</v>
      </c>
      <c r="K6265" t="s">
        <v>25</v>
      </c>
      <c r="L6265">
        <v>132757294</v>
      </c>
      <c r="R6265">
        <v>9668</v>
      </c>
      <c r="S6265" t="s">
        <v>37</v>
      </c>
      <c r="T6265">
        <v>5</v>
      </c>
      <c r="U6265">
        <v>0</v>
      </c>
      <c r="V6265">
        <v>1.5253000000000001</v>
      </c>
      <c r="W6265">
        <v>1.5253000000000001</v>
      </c>
      <c r="X6265">
        <v>0</v>
      </c>
    </row>
    <row r="6266" spans="1:40" x14ac:dyDescent="0.25">
      <c r="A6266" t="s">
        <v>15</v>
      </c>
      <c r="B6266" t="s">
        <v>24</v>
      </c>
      <c r="C6266">
        <v>20150316</v>
      </c>
      <c r="D6266">
        <v>0</v>
      </c>
      <c r="F6266">
        <v>62500</v>
      </c>
      <c r="G6266" t="s">
        <v>17</v>
      </c>
      <c r="I6266" t="s">
        <v>16</v>
      </c>
      <c r="J6266" t="s">
        <v>180</v>
      </c>
      <c r="K6266" t="s">
        <v>25</v>
      </c>
      <c r="L6266">
        <v>132757294</v>
      </c>
      <c r="R6266">
        <v>9668</v>
      </c>
      <c r="S6266" t="s">
        <v>37</v>
      </c>
      <c r="T6266">
        <v>5</v>
      </c>
      <c r="U6266">
        <v>0</v>
      </c>
      <c r="V6266">
        <v>1.5253000000000001</v>
      </c>
      <c r="W6266">
        <v>1.5253000000000001</v>
      </c>
      <c r="X6266">
        <v>0</v>
      </c>
    </row>
    <row r="6267" spans="1:40" x14ac:dyDescent="0.25">
      <c r="A6267" t="s">
        <v>15</v>
      </c>
      <c r="B6267" t="s">
        <v>24</v>
      </c>
      <c r="C6267">
        <v>20150316</v>
      </c>
      <c r="D6267">
        <v>0</v>
      </c>
      <c r="F6267">
        <v>62500</v>
      </c>
      <c r="G6267" t="s">
        <v>17</v>
      </c>
      <c r="I6267" t="s">
        <v>16</v>
      </c>
      <c r="J6267" t="s">
        <v>180</v>
      </c>
      <c r="K6267" t="s">
        <v>25</v>
      </c>
      <c r="L6267">
        <v>132757294</v>
      </c>
      <c r="R6267">
        <v>9668</v>
      </c>
      <c r="S6267" t="s">
        <v>37</v>
      </c>
      <c r="T6267">
        <v>5</v>
      </c>
      <c r="U6267">
        <v>0</v>
      </c>
      <c r="V6267">
        <v>1.5253000000000001</v>
      </c>
      <c r="W6267">
        <v>1.5253000000000001</v>
      </c>
      <c r="X6267">
        <v>0</v>
      </c>
    </row>
    <row r="6268" spans="1:40" x14ac:dyDescent="0.25">
      <c r="A6268" t="s">
        <v>15</v>
      </c>
      <c r="B6268" t="s">
        <v>24</v>
      </c>
      <c r="C6268">
        <v>20150316</v>
      </c>
      <c r="D6268">
        <v>0</v>
      </c>
      <c r="F6268">
        <v>62500</v>
      </c>
      <c r="G6268" t="s">
        <v>17</v>
      </c>
      <c r="I6268" t="s">
        <v>16</v>
      </c>
      <c r="J6268" t="s">
        <v>180</v>
      </c>
      <c r="K6268" t="s">
        <v>25</v>
      </c>
      <c r="L6268">
        <v>132757294</v>
      </c>
      <c r="R6268">
        <v>9668</v>
      </c>
      <c r="S6268" t="s">
        <v>37</v>
      </c>
      <c r="T6268">
        <v>5</v>
      </c>
      <c r="U6268">
        <v>0</v>
      </c>
      <c r="V6268">
        <v>1.5253000000000001</v>
      </c>
      <c r="W6268">
        <v>1.5253000000000001</v>
      </c>
      <c r="X6268">
        <v>0</v>
      </c>
    </row>
    <row r="6269" spans="1:40" x14ac:dyDescent="0.25">
      <c r="A6269" t="s">
        <v>15</v>
      </c>
      <c r="B6269" t="s">
        <v>24</v>
      </c>
      <c r="C6269">
        <v>20150316</v>
      </c>
      <c r="D6269">
        <v>0</v>
      </c>
      <c r="F6269">
        <v>62500</v>
      </c>
      <c r="G6269" t="s">
        <v>17</v>
      </c>
      <c r="I6269" t="s">
        <v>16</v>
      </c>
      <c r="J6269" t="s">
        <v>180</v>
      </c>
      <c r="K6269" t="s">
        <v>25</v>
      </c>
      <c r="L6269">
        <v>132757294</v>
      </c>
      <c r="R6269">
        <v>9668</v>
      </c>
      <c r="S6269" t="s">
        <v>37</v>
      </c>
      <c r="T6269">
        <v>5</v>
      </c>
      <c r="U6269">
        <v>0</v>
      </c>
      <c r="V6269">
        <v>1.5253000000000001</v>
      </c>
      <c r="W6269">
        <v>1.5253000000000001</v>
      </c>
      <c r="X6269">
        <v>0</v>
      </c>
    </row>
    <row r="6270" spans="1:40" x14ac:dyDescent="0.25">
      <c r="A6270" t="s">
        <v>15</v>
      </c>
      <c r="B6270" t="s">
        <v>24</v>
      </c>
      <c r="C6270">
        <v>20150316</v>
      </c>
      <c r="D6270">
        <v>0</v>
      </c>
      <c r="F6270">
        <v>62500</v>
      </c>
      <c r="G6270" t="s">
        <v>17</v>
      </c>
      <c r="I6270" t="s">
        <v>16</v>
      </c>
      <c r="J6270" t="s">
        <v>180</v>
      </c>
      <c r="K6270" t="s">
        <v>25</v>
      </c>
      <c r="L6270">
        <v>132757294</v>
      </c>
      <c r="R6270">
        <v>9668</v>
      </c>
      <c r="S6270" t="s">
        <v>37</v>
      </c>
      <c r="T6270">
        <v>5</v>
      </c>
      <c r="U6270">
        <v>0</v>
      </c>
      <c r="V6270">
        <v>1.5253000000000001</v>
      </c>
      <c r="W6270">
        <v>1.5253000000000001</v>
      </c>
      <c r="X6270">
        <v>0</v>
      </c>
    </row>
    <row r="6271" spans="1:40" x14ac:dyDescent="0.25">
      <c r="A6271" t="s">
        <v>15</v>
      </c>
      <c r="B6271" t="s">
        <v>24</v>
      </c>
      <c r="C6271">
        <v>20150316</v>
      </c>
      <c r="D6271">
        <v>0</v>
      </c>
      <c r="F6271">
        <v>62500</v>
      </c>
      <c r="G6271" t="s">
        <v>17</v>
      </c>
      <c r="I6271" t="s">
        <v>16</v>
      </c>
      <c r="J6271" t="s">
        <v>180</v>
      </c>
      <c r="K6271" t="s">
        <v>25</v>
      </c>
      <c r="L6271">
        <v>132757294</v>
      </c>
      <c r="R6271">
        <v>9668</v>
      </c>
      <c r="S6271" t="s">
        <v>37</v>
      </c>
      <c r="T6271">
        <v>5</v>
      </c>
      <c r="U6271">
        <v>0</v>
      </c>
      <c r="V6271">
        <v>1.5253000000000001</v>
      </c>
      <c r="W6271">
        <v>1.5253000000000001</v>
      </c>
      <c r="X6271">
        <v>0</v>
      </c>
    </row>
    <row r="6272" spans="1:40" x14ac:dyDescent="0.25">
      <c r="A6272" t="s">
        <v>15</v>
      </c>
      <c r="B6272" t="s">
        <v>24</v>
      </c>
      <c r="C6272">
        <v>20150316</v>
      </c>
      <c r="D6272">
        <v>0</v>
      </c>
      <c r="F6272">
        <v>62500</v>
      </c>
      <c r="G6272" t="s">
        <v>17</v>
      </c>
      <c r="I6272" t="s">
        <v>16</v>
      </c>
      <c r="J6272" t="s">
        <v>180</v>
      </c>
      <c r="K6272" t="s">
        <v>25</v>
      </c>
      <c r="L6272">
        <v>132757294</v>
      </c>
      <c r="R6272">
        <v>9669</v>
      </c>
      <c r="S6272" t="s">
        <v>232</v>
      </c>
      <c r="T6272">
        <v>0</v>
      </c>
      <c r="U6272">
        <v>5</v>
      </c>
      <c r="V6272">
        <v>0</v>
      </c>
      <c r="W6272">
        <v>0</v>
      </c>
      <c r="X6272">
        <v>0</v>
      </c>
    </row>
    <row r="6273" spans="1:40" x14ac:dyDescent="0.25">
      <c r="A6273" t="s">
        <v>15</v>
      </c>
      <c r="B6273" t="s">
        <v>24</v>
      </c>
      <c r="C6273">
        <v>20150316</v>
      </c>
      <c r="D6273">
        <v>0</v>
      </c>
      <c r="F6273">
        <v>62500</v>
      </c>
      <c r="G6273" t="s">
        <v>17</v>
      </c>
      <c r="I6273" t="s">
        <v>16</v>
      </c>
      <c r="J6273" t="s">
        <v>180</v>
      </c>
      <c r="K6273" t="s">
        <v>25</v>
      </c>
      <c r="L6273">
        <v>132757294</v>
      </c>
      <c r="R6273">
        <v>9669</v>
      </c>
      <c r="S6273" t="s">
        <v>232</v>
      </c>
      <c r="T6273">
        <v>0</v>
      </c>
      <c r="U6273">
        <v>-5</v>
      </c>
      <c r="V6273">
        <v>0</v>
      </c>
      <c r="W6273">
        <v>0</v>
      </c>
      <c r="X6273">
        <v>0</v>
      </c>
      <c r="Y6273">
        <v>9669</v>
      </c>
      <c r="Z6273" t="s">
        <v>442</v>
      </c>
      <c r="AA6273" t="s">
        <v>443</v>
      </c>
      <c r="AB6273" t="s">
        <v>234</v>
      </c>
      <c r="AC6273" t="s">
        <v>17</v>
      </c>
      <c r="AD6273" t="s">
        <v>235</v>
      </c>
      <c r="AE6273">
        <v>5</v>
      </c>
      <c r="AF6273">
        <v>5</v>
      </c>
      <c r="AG6273">
        <v>1.5253000000000001</v>
      </c>
      <c r="AH6273">
        <v>1.5253000000000001</v>
      </c>
      <c r="AI6273">
        <v>415886702</v>
      </c>
      <c r="AJ6273">
        <v>0</v>
      </c>
      <c r="AK6273">
        <v>7</v>
      </c>
      <c r="AN6273">
        <v>0</v>
      </c>
    </row>
    <row r="6274" spans="1:40" x14ac:dyDescent="0.25">
      <c r="A6274" t="s">
        <v>15</v>
      </c>
      <c r="B6274" t="s">
        <v>24</v>
      </c>
      <c r="C6274">
        <v>20150316</v>
      </c>
      <c r="D6274">
        <v>0</v>
      </c>
      <c r="F6274">
        <v>62500</v>
      </c>
      <c r="G6274" t="s">
        <v>17</v>
      </c>
      <c r="I6274" t="s">
        <v>16</v>
      </c>
      <c r="J6274" t="s">
        <v>180</v>
      </c>
      <c r="K6274" t="s">
        <v>25</v>
      </c>
      <c r="L6274">
        <v>132757294</v>
      </c>
      <c r="R6274">
        <v>9669</v>
      </c>
      <c r="S6274" t="s">
        <v>232</v>
      </c>
      <c r="T6274">
        <v>0</v>
      </c>
      <c r="U6274">
        <v>-5</v>
      </c>
      <c r="V6274">
        <v>0</v>
      </c>
      <c r="W6274">
        <v>0</v>
      </c>
      <c r="X6274">
        <v>0</v>
      </c>
    </row>
    <row r="6275" spans="1:40" x14ac:dyDescent="0.25">
      <c r="A6275" t="s">
        <v>15</v>
      </c>
      <c r="B6275" t="s">
        <v>24</v>
      </c>
      <c r="C6275">
        <v>20150316</v>
      </c>
      <c r="D6275">
        <v>0</v>
      </c>
      <c r="F6275">
        <v>62500</v>
      </c>
      <c r="G6275" t="s">
        <v>17</v>
      </c>
      <c r="I6275" t="s">
        <v>16</v>
      </c>
      <c r="J6275" t="s">
        <v>180</v>
      </c>
      <c r="K6275" t="s">
        <v>25</v>
      </c>
      <c r="L6275">
        <v>132757294</v>
      </c>
      <c r="R6275">
        <v>9669</v>
      </c>
      <c r="S6275" t="s">
        <v>37</v>
      </c>
      <c r="T6275">
        <v>5</v>
      </c>
      <c r="U6275">
        <v>0</v>
      </c>
      <c r="V6275">
        <v>1.5253000000000001</v>
      </c>
      <c r="W6275">
        <v>1.5253000000000001</v>
      </c>
      <c r="X6275">
        <v>0</v>
      </c>
    </row>
    <row r="6276" spans="1:40" x14ac:dyDescent="0.25">
      <c r="A6276" t="s">
        <v>15</v>
      </c>
      <c r="B6276" t="s">
        <v>24</v>
      </c>
      <c r="C6276">
        <v>20150316</v>
      </c>
      <c r="D6276">
        <v>0</v>
      </c>
      <c r="F6276">
        <v>62500</v>
      </c>
      <c r="G6276" t="s">
        <v>17</v>
      </c>
      <c r="I6276" t="s">
        <v>16</v>
      </c>
      <c r="J6276" t="s">
        <v>180</v>
      </c>
      <c r="K6276" t="s">
        <v>25</v>
      </c>
      <c r="L6276">
        <v>132757294</v>
      </c>
      <c r="R6276">
        <v>9669</v>
      </c>
      <c r="S6276" t="s">
        <v>37</v>
      </c>
      <c r="T6276">
        <v>5</v>
      </c>
      <c r="U6276">
        <v>0</v>
      </c>
      <c r="V6276">
        <v>1.5253000000000001</v>
      </c>
      <c r="W6276">
        <v>1.5253000000000001</v>
      </c>
      <c r="X6276">
        <v>0</v>
      </c>
    </row>
    <row r="6277" spans="1:40" x14ac:dyDescent="0.25">
      <c r="A6277" t="s">
        <v>15</v>
      </c>
      <c r="B6277" t="s">
        <v>24</v>
      </c>
      <c r="C6277">
        <v>20150316</v>
      </c>
      <c r="D6277">
        <v>0</v>
      </c>
      <c r="F6277">
        <v>62500</v>
      </c>
      <c r="G6277" t="s">
        <v>17</v>
      </c>
      <c r="I6277" t="s">
        <v>16</v>
      </c>
      <c r="J6277" t="s">
        <v>180</v>
      </c>
      <c r="K6277" t="s">
        <v>25</v>
      </c>
      <c r="L6277">
        <v>132757294</v>
      </c>
      <c r="R6277">
        <v>9669</v>
      </c>
      <c r="S6277" t="s">
        <v>37</v>
      </c>
      <c r="T6277">
        <v>5</v>
      </c>
      <c r="U6277">
        <v>0</v>
      </c>
      <c r="V6277">
        <v>1.5253000000000001</v>
      </c>
      <c r="W6277">
        <v>1.5253000000000001</v>
      </c>
      <c r="X6277">
        <v>0</v>
      </c>
    </row>
    <row r="6278" spans="1:40" x14ac:dyDescent="0.25">
      <c r="A6278" t="s">
        <v>15</v>
      </c>
      <c r="B6278" t="s">
        <v>24</v>
      </c>
      <c r="C6278">
        <v>20150316</v>
      </c>
      <c r="D6278">
        <v>0</v>
      </c>
      <c r="F6278">
        <v>62500</v>
      </c>
      <c r="G6278" t="s">
        <v>17</v>
      </c>
      <c r="I6278" t="s">
        <v>16</v>
      </c>
      <c r="J6278" t="s">
        <v>180</v>
      </c>
      <c r="K6278" t="s">
        <v>25</v>
      </c>
      <c r="L6278">
        <v>132757294</v>
      </c>
      <c r="R6278">
        <v>9669</v>
      </c>
      <c r="S6278" t="s">
        <v>37</v>
      </c>
      <c r="T6278">
        <v>5</v>
      </c>
      <c r="U6278">
        <v>0</v>
      </c>
      <c r="V6278">
        <v>1.5253000000000001</v>
      </c>
      <c r="W6278">
        <v>1.5253000000000001</v>
      </c>
      <c r="X6278">
        <v>0</v>
      </c>
    </row>
    <row r="6279" spans="1:40" x14ac:dyDescent="0.25">
      <c r="A6279" t="s">
        <v>15</v>
      </c>
      <c r="B6279" t="s">
        <v>24</v>
      </c>
      <c r="C6279">
        <v>20150316</v>
      </c>
      <c r="D6279">
        <v>0</v>
      </c>
      <c r="F6279">
        <v>62500</v>
      </c>
      <c r="G6279" t="s">
        <v>17</v>
      </c>
      <c r="I6279" t="s">
        <v>16</v>
      </c>
      <c r="J6279" t="s">
        <v>180</v>
      </c>
      <c r="K6279" t="s">
        <v>25</v>
      </c>
      <c r="L6279">
        <v>132757294</v>
      </c>
      <c r="R6279">
        <v>9669</v>
      </c>
      <c r="S6279" t="s">
        <v>37</v>
      </c>
      <c r="T6279">
        <v>5</v>
      </c>
      <c r="U6279">
        <v>0</v>
      </c>
      <c r="V6279">
        <v>1.5253000000000001</v>
      </c>
      <c r="W6279">
        <v>1.5253000000000001</v>
      </c>
      <c r="X6279">
        <v>0</v>
      </c>
    </row>
    <row r="6280" spans="1:40" x14ac:dyDescent="0.25">
      <c r="A6280" t="s">
        <v>15</v>
      </c>
      <c r="B6280" t="s">
        <v>24</v>
      </c>
      <c r="C6280">
        <v>20150316</v>
      </c>
      <c r="D6280">
        <v>0</v>
      </c>
      <c r="F6280">
        <v>62500</v>
      </c>
      <c r="G6280" t="s">
        <v>17</v>
      </c>
      <c r="I6280" t="s">
        <v>16</v>
      </c>
      <c r="J6280" t="s">
        <v>180</v>
      </c>
      <c r="K6280" t="s">
        <v>25</v>
      </c>
      <c r="L6280">
        <v>132757294</v>
      </c>
      <c r="R6280">
        <v>9669</v>
      </c>
      <c r="S6280" t="s">
        <v>37</v>
      </c>
      <c r="T6280">
        <v>5</v>
      </c>
      <c r="U6280">
        <v>0</v>
      </c>
      <c r="V6280">
        <v>1.5253000000000001</v>
      </c>
      <c r="W6280">
        <v>1.5253000000000001</v>
      </c>
      <c r="X6280">
        <v>0</v>
      </c>
    </row>
    <row r="6281" spans="1:40" x14ac:dyDescent="0.25">
      <c r="A6281" t="s">
        <v>15</v>
      </c>
      <c r="B6281" t="s">
        <v>24</v>
      </c>
      <c r="C6281">
        <v>20150316</v>
      </c>
      <c r="D6281">
        <v>0</v>
      </c>
      <c r="F6281">
        <v>62500</v>
      </c>
      <c r="G6281" t="s">
        <v>17</v>
      </c>
      <c r="I6281" t="s">
        <v>16</v>
      </c>
      <c r="J6281" t="s">
        <v>180</v>
      </c>
      <c r="K6281" t="s">
        <v>25</v>
      </c>
      <c r="L6281">
        <v>132757294</v>
      </c>
      <c r="R6281">
        <v>9669</v>
      </c>
      <c r="S6281" t="s">
        <v>37</v>
      </c>
      <c r="T6281">
        <v>5</v>
      </c>
      <c r="U6281">
        <v>0</v>
      </c>
      <c r="V6281">
        <v>1.5253000000000001</v>
      </c>
      <c r="W6281">
        <v>1.5253000000000001</v>
      </c>
      <c r="X6281">
        <v>0</v>
      </c>
    </row>
    <row r="6282" spans="1:40" x14ac:dyDescent="0.25">
      <c r="A6282" t="s">
        <v>15</v>
      </c>
      <c r="B6282" t="s">
        <v>24</v>
      </c>
      <c r="C6282">
        <v>20150316</v>
      </c>
      <c r="D6282">
        <v>0</v>
      </c>
      <c r="F6282">
        <v>62500</v>
      </c>
      <c r="G6282" t="s">
        <v>17</v>
      </c>
      <c r="I6282" t="s">
        <v>16</v>
      </c>
      <c r="J6282" t="s">
        <v>180</v>
      </c>
      <c r="K6282" t="s">
        <v>25</v>
      </c>
      <c r="L6282">
        <v>132757294</v>
      </c>
      <c r="R6282">
        <v>9669</v>
      </c>
      <c r="S6282" t="s">
        <v>37</v>
      </c>
      <c r="T6282">
        <v>5</v>
      </c>
      <c r="U6282">
        <v>0</v>
      </c>
      <c r="V6282">
        <v>1.5253000000000001</v>
      </c>
      <c r="W6282">
        <v>1.5253000000000001</v>
      </c>
      <c r="X6282">
        <v>0</v>
      </c>
    </row>
    <row r="6283" spans="1:40" x14ac:dyDescent="0.25">
      <c r="A6283" t="s">
        <v>15</v>
      </c>
      <c r="B6283" t="s">
        <v>24</v>
      </c>
      <c r="C6283">
        <v>20150316</v>
      </c>
      <c r="D6283">
        <v>0</v>
      </c>
      <c r="F6283">
        <v>62500</v>
      </c>
      <c r="G6283" t="s">
        <v>17</v>
      </c>
      <c r="I6283" t="s">
        <v>16</v>
      </c>
      <c r="J6283" t="s">
        <v>180</v>
      </c>
      <c r="K6283" t="s">
        <v>25</v>
      </c>
      <c r="L6283">
        <v>132757294</v>
      </c>
      <c r="R6283">
        <v>9670</v>
      </c>
      <c r="S6283" t="s">
        <v>232</v>
      </c>
      <c r="T6283">
        <v>0</v>
      </c>
      <c r="U6283">
        <v>5</v>
      </c>
      <c r="V6283">
        <v>0</v>
      </c>
      <c r="W6283">
        <v>0</v>
      </c>
      <c r="X6283">
        <v>0</v>
      </c>
    </row>
    <row r="6284" spans="1:40" x14ac:dyDescent="0.25">
      <c r="A6284" t="s">
        <v>15</v>
      </c>
      <c r="B6284" t="s">
        <v>24</v>
      </c>
      <c r="C6284">
        <v>20150316</v>
      </c>
      <c r="D6284">
        <v>0</v>
      </c>
      <c r="F6284">
        <v>62500</v>
      </c>
      <c r="G6284" t="s">
        <v>17</v>
      </c>
      <c r="I6284" t="s">
        <v>16</v>
      </c>
      <c r="J6284" t="s">
        <v>180</v>
      </c>
      <c r="K6284" t="s">
        <v>25</v>
      </c>
      <c r="L6284">
        <v>132757294</v>
      </c>
      <c r="R6284">
        <v>9671</v>
      </c>
      <c r="S6284" t="s">
        <v>232</v>
      </c>
      <c r="T6284">
        <v>0</v>
      </c>
      <c r="U6284">
        <v>33</v>
      </c>
      <c r="V6284">
        <v>0</v>
      </c>
      <c r="W6284">
        <v>0</v>
      </c>
      <c r="X6284">
        <v>0</v>
      </c>
    </row>
    <row r="6285" spans="1:40" x14ac:dyDescent="0.25">
      <c r="A6285" t="s">
        <v>15</v>
      </c>
      <c r="B6285" t="s">
        <v>24</v>
      </c>
      <c r="C6285">
        <v>20150316</v>
      </c>
      <c r="D6285">
        <v>0</v>
      </c>
      <c r="F6285">
        <v>62500</v>
      </c>
      <c r="G6285" t="s">
        <v>17</v>
      </c>
      <c r="I6285" t="s">
        <v>16</v>
      </c>
      <c r="J6285" t="s">
        <v>180</v>
      </c>
      <c r="K6285" t="s">
        <v>25</v>
      </c>
      <c r="L6285">
        <v>132757294</v>
      </c>
      <c r="R6285">
        <v>9670</v>
      </c>
      <c r="S6285" t="s">
        <v>232</v>
      </c>
      <c r="T6285">
        <v>0</v>
      </c>
      <c r="U6285">
        <v>-3</v>
      </c>
      <c r="V6285">
        <v>0</v>
      </c>
      <c r="W6285">
        <v>0</v>
      </c>
      <c r="X6285">
        <v>0</v>
      </c>
      <c r="Y6285">
        <v>9670</v>
      </c>
      <c r="Z6285" t="s">
        <v>444</v>
      </c>
      <c r="AA6285" t="s">
        <v>445</v>
      </c>
      <c r="AB6285" t="s">
        <v>234</v>
      </c>
      <c r="AC6285" t="s">
        <v>17</v>
      </c>
      <c r="AD6285" t="s">
        <v>235</v>
      </c>
      <c r="AE6285">
        <v>4</v>
      </c>
      <c r="AF6285">
        <v>4</v>
      </c>
      <c r="AG6285">
        <v>1.5253000000000001</v>
      </c>
      <c r="AH6285">
        <v>1.5253000000000001</v>
      </c>
      <c r="AI6285">
        <v>415886703</v>
      </c>
      <c r="AJ6285">
        <v>0</v>
      </c>
      <c r="AK6285">
        <v>7</v>
      </c>
      <c r="AN6285">
        <v>0</v>
      </c>
    </row>
    <row r="6286" spans="1:40" x14ac:dyDescent="0.25">
      <c r="A6286" t="s">
        <v>15</v>
      </c>
      <c r="B6286" t="s">
        <v>24</v>
      </c>
      <c r="C6286">
        <v>20150316</v>
      </c>
      <c r="D6286">
        <v>0</v>
      </c>
      <c r="F6286">
        <v>62500</v>
      </c>
      <c r="G6286" t="s">
        <v>17</v>
      </c>
      <c r="I6286" t="s">
        <v>16</v>
      </c>
      <c r="J6286" t="s">
        <v>180</v>
      </c>
      <c r="K6286" t="s">
        <v>25</v>
      </c>
      <c r="L6286">
        <v>132757294</v>
      </c>
      <c r="R6286">
        <v>9670</v>
      </c>
      <c r="S6286" t="s">
        <v>232</v>
      </c>
      <c r="T6286">
        <v>0</v>
      </c>
      <c r="U6286">
        <v>-3</v>
      </c>
      <c r="V6286">
        <v>0</v>
      </c>
      <c r="W6286">
        <v>0</v>
      </c>
      <c r="X6286">
        <v>0</v>
      </c>
    </row>
    <row r="6287" spans="1:40" x14ac:dyDescent="0.25">
      <c r="A6287" t="s">
        <v>15</v>
      </c>
      <c r="B6287" t="s">
        <v>24</v>
      </c>
      <c r="C6287">
        <v>20150316</v>
      </c>
      <c r="D6287">
        <v>0</v>
      </c>
      <c r="F6287">
        <v>62500</v>
      </c>
      <c r="G6287" t="s">
        <v>17</v>
      </c>
      <c r="I6287" t="s">
        <v>16</v>
      </c>
      <c r="J6287" t="s">
        <v>180</v>
      </c>
      <c r="K6287" t="s">
        <v>25</v>
      </c>
      <c r="L6287">
        <v>132757294</v>
      </c>
      <c r="R6287">
        <v>9670</v>
      </c>
      <c r="S6287" t="s">
        <v>236</v>
      </c>
      <c r="T6287">
        <v>4</v>
      </c>
      <c r="U6287">
        <v>1</v>
      </c>
      <c r="V6287">
        <v>1.5253000000000001</v>
      </c>
      <c r="W6287">
        <v>1.5253000000000001</v>
      </c>
      <c r="X6287">
        <v>0</v>
      </c>
    </row>
    <row r="6288" spans="1:40" x14ac:dyDescent="0.25">
      <c r="A6288" t="s">
        <v>15</v>
      </c>
      <c r="B6288" t="s">
        <v>24</v>
      </c>
      <c r="C6288">
        <v>20150316</v>
      </c>
      <c r="D6288">
        <v>0</v>
      </c>
      <c r="F6288">
        <v>62500</v>
      </c>
      <c r="G6288" t="s">
        <v>17</v>
      </c>
      <c r="I6288" t="s">
        <v>16</v>
      </c>
      <c r="J6288" t="s">
        <v>180</v>
      </c>
      <c r="K6288" t="s">
        <v>25</v>
      </c>
      <c r="L6288">
        <v>132757294</v>
      </c>
      <c r="R6288">
        <v>9670</v>
      </c>
      <c r="S6288" t="s">
        <v>236</v>
      </c>
      <c r="T6288">
        <v>4</v>
      </c>
      <c r="U6288">
        <v>1</v>
      </c>
      <c r="V6288">
        <v>1.5253000000000001</v>
      </c>
      <c r="W6288">
        <v>1.5253000000000001</v>
      </c>
      <c r="X6288">
        <v>0</v>
      </c>
    </row>
    <row r="6289" spans="1:40" x14ac:dyDescent="0.25">
      <c r="A6289" t="s">
        <v>15</v>
      </c>
      <c r="B6289" t="s">
        <v>24</v>
      </c>
      <c r="C6289">
        <v>20150316</v>
      </c>
      <c r="D6289">
        <v>0</v>
      </c>
      <c r="F6289">
        <v>62500</v>
      </c>
      <c r="G6289" t="s">
        <v>17</v>
      </c>
      <c r="I6289" t="s">
        <v>16</v>
      </c>
      <c r="J6289" t="s">
        <v>180</v>
      </c>
      <c r="K6289" t="s">
        <v>25</v>
      </c>
      <c r="L6289">
        <v>132757294</v>
      </c>
      <c r="R6289">
        <v>9670</v>
      </c>
      <c r="S6289" t="s">
        <v>233</v>
      </c>
      <c r="T6289">
        <v>4</v>
      </c>
      <c r="U6289">
        <v>1</v>
      </c>
      <c r="V6289">
        <v>1.5253000000000001</v>
      </c>
      <c r="W6289">
        <v>1.5253000000000001</v>
      </c>
      <c r="X6289">
        <v>0</v>
      </c>
    </row>
    <row r="6290" spans="1:40" x14ac:dyDescent="0.25">
      <c r="A6290" t="s">
        <v>15</v>
      </c>
      <c r="B6290" t="s">
        <v>24</v>
      </c>
      <c r="C6290">
        <v>20150316</v>
      </c>
      <c r="D6290">
        <v>0</v>
      </c>
      <c r="F6290">
        <v>62500</v>
      </c>
      <c r="G6290" t="s">
        <v>17</v>
      </c>
      <c r="I6290" t="s">
        <v>16</v>
      </c>
      <c r="J6290" t="s">
        <v>180</v>
      </c>
      <c r="K6290" t="s">
        <v>25</v>
      </c>
      <c r="L6290">
        <v>132757294</v>
      </c>
      <c r="R6290">
        <v>9670</v>
      </c>
      <c r="S6290" t="s">
        <v>233</v>
      </c>
      <c r="T6290">
        <v>4</v>
      </c>
      <c r="U6290">
        <v>1</v>
      </c>
      <c r="V6290">
        <v>1.5253000000000001</v>
      </c>
      <c r="W6290">
        <v>1.5253000000000001</v>
      </c>
      <c r="X6290">
        <v>0</v>
      </c>
    </row>
    <row r="6291" spans="1:40" x14ac:dyDescent="0.25">
      <c r="A6291" t="s">
        <v>15</v>
      </c>
      <c r="B6291" t="s">
        <v>24</v>
      </c>
      <c r="C6291">
        <v>20150316</v>
      </c>
      <c r="D6291">
        <v>0</v>
      </c>
      <c r="F6291">
        <v>62500</v>
      </c>
      <c r="G6291" t="s">
        <v>17</v>
      </c>
      <c r="I6291" t="s">
        <v>16</v>
      </c>
      <c r="J6291" t="s">
        <v>180</v>
      </c>
      <c r="K6291" t="s">
        <v>25</v>
      </c>
      <c r="L6291">
        <v>132757294</v>
      </c>
      <c r="R6291">
        <v>9670</v>
      </c>
      <c r="S6291" t="s">
        <v>233</v>
      </c>
      <c r="T6291">
        <v>4</v>
      </c>
      <c r="U6291">
        <v>1</v>
      </c>
      <c r="V6291">
        <v>1.5253000000000001</v>
      </c>
      <c r="W6291">
        <v>1.5253000000000001</v>
      </c>
      <c r="X6291">
        <v>0</v>
      </c>
    </row>
    <row r="6292" spans="1:40" x14ac:dyDescent="0.25">
      <c r="A6292" t="s">
        <v>15</v>
      </c>
      <c r="B6292" t="s">
        <v>24</v>
      </c>
      <c r="C6292">
        <v>20150316</v>
      </c>
      <c r="D6292">
        <v>0</v>
      </c>
      <c r="F6292">
        <v>62500</v>
      </c>
      <c r="G6292" t="s">
        <v>17</v>
      </c>
      <c r="I6292" t="s">
        <v>16</v>
      </c>
      <c r="J6292" t="s">
        <v>180</v>
      </c>
      <c r="K6292" t="s">
        <v>25</v>
      </c>
      <c r="L6292">
        <v>132757294</v>
      </c>
      <c r="R6292">
        <v>9666</v>
      </c>
      <c r="S6292" t="s">
        <v>223</v>
      </c>
      <c r="T6292">
        <v>0</v>
      </c>
      <c r="U6292">
        <v>16</v>
      </c>
      <c r="V6292">
        <v>0</v>
      </c>
      <c r="W6292">
        <v>0</v>
      </c>
      <c r="X6292">
        <v>0</v>
      </c>
    </row>
    <row r="6293" spans="1:40" x14ac:dyDescent="0.25">
      <c r="A6293" t="s">
        <v>15</v>
      </c>
      <c r="B6293" t="s">
        <v>24</v>
      </c>
      <c r="C6293">
        <v>20150316</v>
      </c>
      <c r="D6293">
        <v>0</v>
      </c>
      <c r="F6293">
        <v>62500</v>
      </c>
      <c r="G6293" t="s">
        <v>17</v>
      </c>
      <c r="I6293" t="s">
        <v>16</v>
      </c>
      <c r="J6293" t="s">
        <v>180</v>
      </c>
      <c r="K6293" t="s">
        <v>25</v>
      </c>
      <c r="L6293">
        <v>132757294</v>
      </c>
      <c r="R6293">
        <v>9666</v>
      </c>
      <c r="S6293" t="s">
        <v>224</v>
      </c>
      <c r="T6293">
        <v>0</v>
      </c>
      <c r="U6293">
        <v>16</v>
      </c>
      <c r="V6293">
        <v>0</v>
      </c>
      <c r="W6293">
        <v>0</v>
      </c>
      <c r="X6293">
        <v>0</v>
      </c>
    </row>
    <row r="6294" spans="1:40" x14ac:dyDescent="0.25">
      <c r="A6294" t="s">
        <v>15</v>
      </c>
      <c r="B6294" t="s">
        <v>24</v>
      </c>
      <c r="C6294">
        <v>20150316</v>
      </c>
      <c r="D6294">
        <v>0</v>
      </c>
      <c r="F6294">
        <v>62500</v>
      </c>
      <c r="G6294" t="s">
        <v>17</v>
      </c>
      <c r="I6294" t="s">
        <v>16</v>
      </c>
      <c r="J6294" t="s">
        <v>180</v>
      </c>
      <c r="K6294" t="s">
        <v>25</v>
      </c>
      <c r="L6294">
        <v>132757294</v>
      </c>
      <c r="R6294">
        <v>9671</v>
      </c>
      <c r="S6294" t="s">
        <v>232</v>
      </c>
      <c r="T6294">
        <v>0</v>
      </c>
      <c r="U6294">
        <v>33</v>
      </c>
      <c r="V6294">
        <v>0</v>
      </c>
      <c r="W6294">
        <v>0</v>
      </c>
      <c r="X6294">
        <v>0</v>
      </c>
    </row>
    <row r="6295" spans="1:40" x14ac:dyDescent="0.25">
      <c r="A6295" t="s">
        <v>15</v>
      </c>
      <c r="B6295" t="s">
        <v>24</v>
      </c>
      <c r="C6295">
        <v>20150316</v>
      </c>
      <c r="D6295">
        <v>0</v>
      </c>
      <c r="F6295">
        <v>62500</v>
      </c>
      <c r="G6295" t="s">
        <v>17</v>
      </c>
      <c r="I6295" t="s">
        <v>16</v>
      </c>
      <c r="J6295" t="s">
        <v>180</v>
      </c>
      <c r="K6295" t="s">
        <v>25</v>
      </c>
      <c r="L6295">
        <v>132757294</v>
      </c>
      <c r="R6295">
        <v>9671</v>
      </c>
      <c r="S6295" t="s">
        <v>192</v>
      </c>
      <c r="T6295">
        <v>0</v>
      </c>
      <c r="U6295">
        <v>33</v>
      </c>
      <c r="V6295">
        <v>0</v>
      </c>
      <c r="W6295">
        <v>0</v>
      </c>
      <c r="X6295">
        <v>0</v>
      </c>
    </row>
    <row r="6296" spans="1:40" x14ac:dyDescent="0.25">
      <c r="A6296" t="s">
        <v>15</v>
      </c>
      <c r="B6296" t="s">
        <v>24</v>
      </c>
      <c r="C6296">
        <v>20150316</v>
      </c>
      <c r="D6296">
        <v>0</v>
      </c>
      <c r="F6296">
        <v>62500</v>
      </c>
      <c r="G6296" t="s">
        <v>17</v>
      </c>
      <c r="I6296" t="s">
        <v>16</v>
      </c>
      <c r="J6296" t="s">
        <v>180</v>
      </c>
      <c r="K6296" t="s">
        <v>25</v>
      </c>
      <c r="L6296">
        <v>132757294</v>
      </c>
      <c r="R6296">
        <v>9672</v>
      </c>
      <c r="S6296" t="s">
        <v>232</v>
      </c>
      <c r="T6296">
        <v>0</v>
      </c>
      <c r="U6296">
        <v>-32</v>
      </c>
      <c r="V6296">
        <v>0</v>
      </c>
      <c r="W6296">
        <v>0</v>
      </c>
      <c r="X6296">
        <v>0</v>
      </c>
    </row>
    <row r="6297" spans="1:40" x14ac:dyDescent="0.25">
      <c r="A6297" t="s">
        <v>15</v>
      </c>
      <c r="B6297" t="s">
        <v>24</v>
      </c>
      <c r="C6297">
        <v>20150316</v>
      </c>
      <c r="D6297">
        <v>0</v>
      </c>
      <c r="F6297">
        <v>62500</v>
      </c>
      <c r="G6297" t="s">
        <v>17</v>
      </c>
      <c r="I6297" t="s">
        <v>16</v>
      </c>
      <c r="J6297" t="s">
        <v>180</v>
      </c>
      <c r="K6297" t="s">
        <v>25</v>
      </c>
      <c r="L6297">
        <v>132757294</v>
      </c>
      <c r="R6297">
        <v>9670</v>
      </c>
      <c r="S6297" t="s">
        <v>233</v>
      </c>
      <c r="T6297">
        <v>4</v>
      </c>
      <c r="U6297">
        <v>-1</v>
      </c>
      <c r="V6297">
        <v>1.5253000000000001</v>
      </c>
      <c r="W6297">
        <v>1.5253000000000001</v>
      </c>
      <c r="X6297">
        <v>0</v>
      </c>
      <c r="Y6297">
        <v>9670</v>
      </c>
      <c r="Z6297" t="s">
        <v>446</v>
      </c>
      <c r="AA6297" t="s">
        <v>447</v>
      </c>
      <c r="AB6297" t="s">
        <v>234</v>
      </c>
      <c r="AC6297" t="s">
        <v>17</v>
      </c>
      <c r="AD6297" t="s">
        <v>235</v>
      </c>
      <c r="AE6297">
        <v>1</v>
      </c>
      <c r="AF6297">
        <v>5</v>
      </c>
      <c r="AG6297">
        <v>1.5253000000000001</v>
      </c>
      <c r="AH6297">
        <v>1.5253000000000001</v>
      </c>
      <c r="AI6297">
        <v>415886703</v>
      </c>
      <c r="AJ6297">
        <v>0</v>
      </c>
      <c r="AK6297">
        <v>7</v>
      </c>
      <c r="AN6297">
        <v>0</v>
      </c>
    </row>
    <row r="6298" spans="1:40" x14ac:dyDescent="0.25">
      <c r="A6298" t="s">
        <v>15</v>
      </c>
      <c r="B6298" t="s">
        <v>24</v>
      </c>
      <c r="C6298">
        <v>20150316</v>
      </c>
      <c r="D6298">
        <v>0</v>
      </c>
      <c r="F6298">
        <v>62500</v>
      </c>
      <c r="G6298" t="s">
        <v>17</v>
      </c>
      <c r="I6298" t="s">
        <v>16</v>
      </c>
      <c r="J6298" t="s">
        <v>180</v>
      </c>
      <c r="K6298" t="s">
        <v>25</v>
      </c>
      <c r="L6298">
        <v>132757294</v>
      </c>
      <c r="R6298">
        <v>9670</v>
      </c>
      <c r="S6298" t="s">
        <v>233</v>
      </c>
      <c r="T6298">
        <v>4</v>
      </c>
      <c r="U6298">
        <v>-1</v>
      </c>
      <c r="V6298">
        <v>1.5253000000000001</v>
      </c>
      <c r="W6298">
        <v>1.5253000000000001</v>
      </c>
      <c r="X6298">
        <v>0</v>
      </c>
    </row>
    <row r="6299" spans="1:40" x14ac:dyDescent="0.25">
      <c r="A6299" t="s">
        <v>15</v>
      </c>
      <c r="B6299" t="s">
        <v>24</v>
      </c>
      <c r="C6299">
        <v>20150316</v>
      </c>
      <c r="D6299">
        <v>0</v>
      </c>
      <c r="F6299">
        <v>62500</v>
      </c>
      <c r="G6299" t="s">
        <v>17</v>
      </c>
      <c r="I6299" t="s">
        <v>16</v>
      </c>
      <c r="J6299" t="s">
        <v>180</v>
      </c>
      <c r="K6299" t="s">
        <v>25</v>
      </c>
      <c r="L6299">
        <v>132757294</v>
      </c>
      <c r="R6299">
        <v>9670</v>
      </c>
      <c r="S6299" t="s">
        <v>37</v>
      </c>
      <c r="T6299">
        <v>5</v>
      </c>
      <c r="U6299">
        <v>0</v>
      </c>
      <c r="V6299">
        <v>1.5253000000000001</v>
      </c>
      <c r="W6299">
        <v>1.5253000000000001</v>
      </c>
      <c r="X6299">
        <v>0</v>
      </c>
    </row>
    <row r="6300" spans="1:40" x14ac:dyDescent="0.25">
      <c r="A6300" t="s">
        <v>15</v>
      </c>
      <c r="B6300" t="s">
        <v>24</v>
      </c>
      <c r="C6300">
        <v>20150316</v>
      </c>
      <c r="D6300">
        <v>0</v>
      </c>
      <c r="F6300">
        <v>62500</v>
      </c>
      <c r="G6300" t="s">
        <v>17</v>
      </c>
      <c r="I6300" t="s">
        <v>16</v>
      </c>
      <c r="J6300" t="s">
        <v>180</v>
      </c>
      <c r="K6300" t="s">
        <v>25</v>
      </c>
      <c r="L6300">
        <v>132757294</v>
      </c>
      <c r="R6300">
        <v>9670</v>
      </c>
      <c r="S6300" t="s">
        <v>37</v>
      </c>
      <c r="T6300">
        <v>5</v>
      </c>
      <c r="U6300">
        <v>0</v>
      </c>
      <c r="V6300">
        <v>1.5253000000000001</v>
      </c>
      <c r="W6300">
        <v>1.5253000000000001</v>
      </c>
      <c r="X6300">
        <v>0</v>
      </c>
    </row>
    <row r="6301" spans="1:40" x14ac:dyDescent="0.25">
      <c r="A6301" t="s">
        <v>15</v>
      </c>
      <c r="B6301" t="s">
        <v>24</v>
      </c>
      <c r="C6301">
        <v>20150316</v>
      </c>
      <c r="D6301">
        <v>0</v>
      </c>
      <c r="F6301">
        <v>62500</v>
      </c>
      <c r="G6301" t="s">
        <v>17</v>
      </c>
      <c r="I6301" t="s">
        <v>16</v>
      </c>
      <c r="J6301" t="s">
        <v>180</v>
      </c>
      <c r="K6301" t="s">
        <v>25</v>
      </c>
      <c r="L6301">
        <v>132757294</v>
      </c>
      <c r="R6301">
        <v>9670</v>
      </c>
      <c r="S6301" t="s">
        <v>37</v>
      </c>
      <c r="T6301">
        <v>5</v>
      </c>
      <c r="U6301">
        <v>0</v>
      </c>
      <c r="V6301">
        <v>1.5253000000000001</v>
      </c>
      <c r="W6301">
        <v>1.5253000000000001</v>
      </c>
      <c r="X6301">
        <v>0</v>
      </c>
    </row>
    <row r="6302" spans="1:40" x14ac:dyDescent="0.25">
      <c r="A6302" t="s">
        <v>15</v>
      </c>
      <c r="B6302" t="s">
        <v>24</v>
      </c>
      <c r="C6302">
        <v>20150316</v>
      </c>
      <c r="D6302">
        <v>0</v>
      </c>
      <c r="F6302">
        <v>62500</v>
      </c>
      <c r="G6302" t="s">
        <v>17</v>
      </c>
      <c r="I6302" t="s">
        <v>16</v>
      </c>
      <c r="J6302" t="s">
        <v>180</v>
      </c>
      <c r="K6302" t="s">
        <v>25</v>
      </c>
      <c r="L6302">
        <v>132757294</v>
      </c>
      <c r="R6302">
        <v>9670</v>
      </c>
      <c r="S6302" t="s">
        <v>37</v>
      </c>
      <c r="T6302">
        <v>5</v>
      </c>
      <c r="U6302">
        <v>0</v>
      </c>
      <c r="V6302">
        <v>1.5253000000000001</v>
      </c>
      <c r="W6302">
        <v>1.5253000000000001</v>
      </c>
      <c r="X6302">
        <v>0</v>
      </c>
    </row>
    <row r="6303" spans="1:40" x14ac:dyDescent="0.25">
      <c r="A6303" t="s">
        <v>15</v>
      </c>
      <c r="B6303" t="s">
        <v>24</v>
      </c>
      <c r="C6303">
        <v>20150316</v>
      </c>
      <c r="D6303">
        <v>0</v>
      </c>
      <c r="F6303">
        <v>62500</v>
      </c>
      <c r="G6303" t="s">
        <v>17</v>
      </c>
      <c r="I6303" t="s">
        <v>16</v>
      </c>
      <c r="J6303" t="s">
        <v>180</v>
      </c>
      <c r="K6303" t="s">
        <v>25</v>
      </c>
      <c r="L6303">
        <v>132757294</v>
      </c>
      <c r="R6303">
        <v>9670</v>
      </c>
      <c r="S6303" t="s">
        <v>37</v>
      </c>
      <c r="T6303">
        <v>5</v>
      </c>
      <c r="U6303">
        <v>0</v>
      </c>
      <c r="V6303">
        <v>1.5253000000000001</v>
      </c>
      <c r="W6303">
        <v>1.5253000000000001</v>
      </c>
      <c r="X6303">
        <v>0</v>
      </c>
    </row>
    <row r="6304" spans="1:40" x14ac:dyDescent="0.25">
      <c r="A6304" t="s">
        <v>15</v>
      </c>
      <c r="B6304" t="s">
        <v>24</v>
      </c>
      <c r="C6304">
        <v>20150316</v>
      </c>
      <c r="D6304">
        <v>0</v>
      </c>
      <c r="F6304">
        <v>62500</v>
      </c>
      <c r="G6304" t="s">
        <v>17</v>
      </c>
      <c r="I6304" t="s">
        <v>16</v>
      </c>
      <c r="J6304" t="s">
        <v>180</v>
      </c>
      <c r="K6304" t="s">
        <v>25</v>
      </c>
      <c r="L6304">
        <v>132757294</v>
      </c>
      <c r="R6304">
        <v>9672</v>
      </c>
      <c r="S6304" t="s">
        <v>232</v>
      </c>
      <c r="T6304">
        <v>0</v>
      </c>
      <c r="U6304">
        <v>-32</v>
      </c>
      <c r="V6304">
        <v>0</v>
      </c>
      <c r="W6304">
        <v>0</v>
      </c>
      <c r="X6304">
        <v>0</v>
      </c>
    </row>
    <row r="6305" spans="1:40" x14ac:dyDescent="0.25">
      <c r="A6305" t="s">
        <v>15</v>
      </c>
      <c r="B6305" t="s">
        <v>24</v>
      </c>
      <c r="C6305">
        <v>20150316</v>
      </c>
      <c r="D6305">
        <v>0</v>
      </c>
      <c r="F6305">
        <v>62500</v>
      </c>
      <c r="G6305" t="s">
        <v>17</v>
      </c>
      <c r="I6305" t="s">
        <v>16</v>
      </c>
      <c r="J6305" t="s">
        <v>180</v>
      </c>
      <c r="K6305" t="s">
        <v>25</v>
      </c>
      <c r="L6305">
        <v>132757294</v>
      </c>
      <c r="R6305">
        <v>9672</v>
      </c>
      <c r="S6305" t="s">
        <v>192</v>
      </c>
      <c r="T6305">
        <v>0</v>
      </c>
      <c r="U6305">
        <v>32</v>
      </c>
      <c r="V6305">
        <v>0</v>
      </c>
      <c r="W6305">
        <v>0</v>
      </c>
      <c r="X6305">
        <v>0</v>
      </c>
    </row>
    <row r="6306" spans="1:40" x14ac:dyDescent="0.25">
      <c r="A6306" t="s">
        <v>15</v>
      </c>
      <c r="B6306" t="s">
        <v>24</v>
      </c>
      <c r="C6306">
        <v>20150316</v>
      </c>
      <c r="D6306">
        <v>0</v>
      </c>
      <c r="F6306">
        <v>62500</v>
      </c>
      <c r="G6306" t="s">
        <v>17</v>
      </c>
      <c r="I6306" t="s">
        <v>16</v>
      </c>
      <c r="J6306" t="s">
        <v>180</v>
      </c>
      <c r="K6306" t="s">
        <v>25</v>
      </c>
      <c r="L6306">
        <v>132757294</v>
      </c>
      <c r="R6306">
        <v>9673</v>
      </c>
      <c r="S6306" t="s">
        <v>232</v>
      </c>
      <c r="T6306">
        <v>0</v>
      </c>
      <c r="U6306">
        <v>5</v>
      </c>
      <c r="V6306">
        <v>0</v>
      </c>
      <c r="W6306">
        <v>0</v>
      </c>
      <c r="X6306">
        <v>0</v>
      </c>
    </row>
    <row r="6307" spans="1:40" x14ac:dyDescent="0.25">
      <c r="A6307" t="s">
        <v>15</v>
      </c>
      <c r="B6307" t="s">
        <v>24</v>
      </c>
      <c r="C6307">
        <v>20150316</v>
      </c>
      <c r="D6307">
        <v>0</v>
      </c>
      <c r="F6307">
        <v>62500</v>
      </c>
      <c r="G6307" t="s">
        <v>17</v>
      </c>
      <c r="I6307" t="s">
        <v>16</v>
      </c>
      <c r="J6307" t="s">
        <v>180</v>
      </c>
      <c r="K6307" t="s">
        <v>25</v>
      </c>
      <c r="L6307">
        <v>132757294</v>
      </c>
      <c r="R6307">
        <v>9673</v>
      </c>
      <c r="S6307" t="s">
        <v>232</v>
      </c>
      <c r="T6307">
        <v>0</v>
      </c>
      <c r="U6307">
        <v>-5</v>
      </c>
      <c r="V6307">
        <v>0</v>
      </c>
      <c r="W6307">
        <v>0</v>
      </c>
      <c r="X6307">
        <v>0</v>
      </c>
      <c r="Y6307">
        <v>9673</v>
      </c>
      <c r="Z6307" t="s">
        <v>448</v>
      </c>
      <c r="AA6307" t="s">
        <v>449</v>
      </c>
      <c r="AB6307" t="s">
        <v>234</v>
      </c>
      <c r="AC6307" t="s">
        <v>17</v>
      </c>
      <c r="AD6307" t="s">
        <v>235</v>
      </c>
      <c r="AE6307">
        <v>5</v>
      </c>
      <c r="AF6307">
        <v>5</v>
      </c>
      <c r="AG6307">
        <v>1.5253000000000001</v>
      </c>
      <c r="AH6307">
        <v>1.5253000000000001</v>
      </c>
      <c r="AI6307">
        <v>415886706</v>
      </c>
      <c r="AJ6307">
        <v>0</v>
      </c>
      <c r="AK6307">
        <v>7</v>
      </c>
      <c r="AN6307">
        <v>0</v>
      </c>
    </row>
    <row r="6308" spans="1:40" x14ac:dyDescent="0.25">
      <c r="A6308" t="s">
        <v>15</v>
      </c>
      <c r="B6308" t="s">
        <v>24</v>
      </c>
      <c r="C6308">
        <v>20150316</v>
      </c>
      <c r="D6308">
        <v>0</v>
      </c>
      <c r="F6308">
        <v>62500</v>
      </c>
      <c r="G6308" t="s">
        <v>17</v>
      </c>
      <c r="I6308" t="s">
        <v>16</v>
      </c>
      <c r="J6308" t="s">
        <v>180</v>
      </c>
      <c r="K6308" t="s">
        <v>25</v>
      </c>
      <c r="L6308">
        <v>132757294</v>
      </c>
      <c r="R6308">
        <v>9673</v>
      </c>
      <c r="S6308" t="s">
        <v>232</v>
      </c>
      <c r="T6308">
        <v>0</v>
      </c>
      <c r="U6308">
        <v>-5</v>
      </c>
      <c r="V6308">
        <v>0</v>
      </c>
      <c r="W6308">
        <v>0</v>
      </c>
      <c r="X6308">
        <v>0</v>
      </c>
    </row>
    <row r="6309" spans="1:40" x14ac:dyDescent="0.25">
      <c r="A6309" t="s">
        <v>15</v>
      </c>
      <c r="B6309" t="s">
        <v>24</v>
      </c>
      <c r="C6309">
        <v>20150316</v>
      </c>
      <c r="D6309">
        <v>0</v>
      </c>
      <c r="F6309">
        <v>62500</v>
      </c>
      <c r="G6309" t="s">
        <v>17</v>
      </c>
      <c r="I6309" t="s">
        <v>16</v>
      </c>
      <c r="J6309" t="s">
        <v>180</v>
      </c>
      <c r="K6309" t="s">
        <v>25</v>
      </c>
      <c r="L6309">
        <v>132757294</v>
      </c>
      <c r="R6309">
        <v>9673</v>
      </c>
      <c r="S6309" t="s">
        <v>37</v>
      </c>
      <c r="T6309">
        <v>5</v>
      </c>
      <c r="U6309">
        <v>0</v>
      </c>
      <c r="V6309">
        <v>1.5253000000000001</v>
      </c>
      <c r="W6309">
        <v>1.5253000000000001</v>
      </c>
      <c r="X6309">
        <v>0</v>
      </c>
    </row>
    <row r="6310" spans="1:40" x14ac:dyDescent="0.25">
      <c r="A6310" t="s">
        <v>15</v>
      </c>
      <c r="B6310" t="s">
        <v>24</v>
      </c>
      <c r="C6310">
        <v>20150316</v>
      </c>
      <c r="D6310">
        <v>0</v>
      </c>
      <c r="F6310">
        <v>62500</v>
      </c>
      <c r="G6310" t="s">
        <v>17</v>
      </c>
      <c r="I6310" t="s">
        <v>16</v>
      </c>
      <c r="J6310" t="s">
        <v>180</v>
      </c>
      <c r="K6310" t="s">
        <v>25</v>
      </c>
      <c r="L6310">
        <v>132757294</v>
      </c>
      <c r="R6310">
        <v>9673</v>
      </c>
      <c r="S6310" t="s">
        <v>37</v>
      </c>
      <c r="T6310">
        <v>5</v>
      </c>
      <c r="U6310">
        <v>0</v>
      </c>
      <c r="V6310">
        <v>1.5253000000000001</v>
      </c>
      <c r="W6310">
        <v>1.5253000000000001</v>
      </c>
      <c r="X6310">
        <v>0</v>
      </c>
    </row>
    <row r="6311" spans="1:40" x14ac:dyDescent="0.25">
      <c r="A6311" t="s">
        <v>15</v>
      </c>
      <c r="B6311" t="s">
        <v>24</v>
      </c>
      <c r="C6311">
        <v>20150316</v>
      </c>
      <c r="D6311">
        <v>0</v>
      </c>
      <c r="F6311">
        <v>62500</v>
      </c>
      <c r="G6311" t="s">
        <v>17</v>
      </c>
      <c r="I6311" t="s">
        <v>16</v>
      </c>
      <c r="J6311" t="s">
        <v>180</v>
      </c>
      <c r="K6311" t="s">
        <v>25</v>
      </c>
      <c r="L6311">
        <v>132757294</v>
      </c>
      <c r="R6311">
        <v>9673</v>
      </c>
      <c r="S6311" t="s">
        <v>37</v>
      </c>
      <c r="T6311">
        <v>5</v>
      </c>
      <c r="U6311">
        <v>0</v>
      </c>
      <c r="V6311">
        <v>1.5253000000000001</v>
      </c>
      <c r="W6311">
        <v>1.5253000000000001</v>
      </c>
      <c r="X6311">
        <v>0</v>
      </c>
    </row>
    <row r="6312" spans="1:40" x14ac:dyDescent="0.25">
      <c r="A6312" t="s">
        <v>15</v>
      </c>
      <c r="B6312" t="s">
        <v>24</v>
      </c>
      <c r="C6312">
        <v>20150316</v>
      </c>
      <c r="D6312">
        <v>0</v>
      </c>
      <c r="F6312">
        <v>62500</v>
      </c>
      <c r="G6312" t="s">
        <v>17</v>
      </c>
      <c r="I6312" t="s">
        <v>16</v>
      </c>
      <c r="J6312" t="s">
        <v>180</v>
      </c>
      <c r="K6312" t="s">
        <v>25</v>
      </c>
      <c r="L6312">
        <v>132757294</v>
      </c>
      <c r="R6312">
        <v>9673</v>
      </c>
      <c r="S6312" t="s">
        <v>37</v>
      </c>
      <c r="T6312">
        <v>5</v>
      </c>
      <c r="U6312">
        <v>0</v>
      </c>
      <c r="V6312">
        <v>1.5253000000000001</v>
      </c>
      <c r="W6312">
        <v>1.5253000000000001</v>
      </c>
      <c r="X6312">
        <v>0</v>
      </c>
    </row>
    <row r="6313" spans="1:40" x14ac:dyDescent="0.25">
      <c r="A6313" t="s">
        <v>15</v>
      </c>
      <c r="B6313" t="s">
        <v>24</v>
      </c>
      <c r="C6313">
        <v>20150316</v>
      </c>
      <c r="D6313">
        <v>0</v>
      </c>
      <c r="F6313">
        <v>62500</v>
      </c>
      <c r="G6313" t="s">
        <v>17</v>
      </c>
      <c r="I6313" t="s">
        <v>16</v>
      </c>
      <c r="J6313" t="s">
        <v>180</v>
      </c>
      <c r="K6313" t="s">
        <v>25</v>
      </c>
      <c r="L6313">
        <v>132757294</v>
      </c>
      <c r="R6313">
        <v>9673</v>
      </c>
      <c r="S6313" t="s">
        <v>37</v>
      </c>
      <c r="T6313">
        <v>5</v>
      </c>
      <c r="U6313">
        <v>0</v>
      </c>
      <c r="V6313">
        <v>1.5253000000000001</v>
      </c>
      <c r="W6313">
        <v>1.5253000000000001</v>
      </c>
      <c r="X6313">
        <v>0</v>
      </c>
    </row>
    <row r="6314" spans="1:40" x14ac:dyDescent="0.25">
      <c r="A6314" t="s">
        <v>15</v>
      </c>
      <c r="B6314" t="s">
        <v>24</v>
      </c>
      <c r="C6314">
        <v>20150316</v>
      </c>
      <c r="D6314">
        <v>0</v>
      </c>
      <c r="F6314">
        <v>62500</v>
      </c>
      <c r="G6314" t="s">
        <v>17</v>
      </c>
      <c r="I6314" t="s">
        <v>16</v>
      </c>
      <c r="J6314" t="s">
        <v>180</v>
      </c>
      <c r="K6314" t="s">
        <v>25</v>
      </c>
      <c r="L6314">
        <v>132757294</v>
      </c>
      <c r="R6314">
        <v>9673</v>
      </c>
      <c r="S6314" t="s">
        <v>37</v>
      </c>
      <c r="T6314">
        <v>5</v>
      </c>
      <c r="U6314">
        <v>0</v>
      </c>
      <c r="V6314">
        <v>1.5253000000000001</v>
      </c>
      <c r="W6314">
        <v>1.5253000000000001</v>
      </c>
      <c r="X6314">
        <v>0</v>
      </c>
    </row>
    <row r="6315" spans="1:40" x14ac:dyDescent="0.25">
      <c r="A6315" t="s">
        <v>15</v>
      </c>
      <c r="B6315" t="s">
        <v>24</v>
      </c>
      <c r="C6315">
        <v>20150316</v>
      </c>
      <c r="D6315">
        <v>0</v>
      </c>
      <c r="F6315">
        <v>62500</v>
      </c>
      <c r="G6315" t="s">
        <v>17</v>
      </c>
      <c r="I6315" t="s">
        <v>16</v>
      </c>
      <c r="J6315" t="s">
        <v>180</v>
      </c>
      <c r="K6315" t="s">
        <v>25</v>
      </c>
      <c r="L6315">
        <v>132757294</v>
      </c>
      <c r="R6315">
        <v>9673</v>
      </c>
      <c r="S6315" t="s">
        <v>37</v>
      </c>
      <c r="T6315">
        <v>5</v>
      </c>
      <c r="U6315">
        <v>0</v>
      </c>
      <c r="V6315">
        <v>1.5253000000000001</v>
      </c>
      <c r="W6315">
        <v>1.5253000000000001</v>
      </c>
      <c r="X6315">
        <v>0</v>
      </c>
    </row>
    <row r="6316" spans="1:40" x14ac:dyDescent="0.25">
      <c r="A6316" t="s">
        <v>15</v>
      </c>
      <c r="B6316" t="s">
        <v>24</v>
      </c>
      <c r="C6316">
        <v>20150316</v>
      </c>
      <c r="D6316">
        <v>0</v>
      </c>
      <c r="F6316">
        <v>62500</v>
      </c>
      <c r="G6316" t="s">
        <v>17</v>
      </c>
      <c r="I6316" t="s">
        <v>16</v>
      </c>
      <c r="J6316" t="s">
        <v>180</v>
      </c>
      <c r="K6316" t="s">
        <v>25</v>
      </c>
      <c r="L6316">
        <v>132757294</v>
      </c>
      <c r="R6316">
        <v>9673</v>
      </c>
      <c r="S6316" t="s">
        <v>37</v>
      </c>
      <c r="T6316">
        <v>5</v>
      </c>
      <c r="U6316">
        <v>0</v>
      </c>
      <c r="V6316">
        <v>1.5253000000000001</v>
      </c>
      <c r="W6316">
        <v>1.5253000000000001</v>
      </c>
      <c r="X6316">
        <v>0</v>
      </c>
    </row>
    <row r="6317" spans="1:40" x14ac:dyDescent="0.25">
      <c r="A6317" t="s">
        <v>15</v>
      </c>
      <c r="B6317" t="s">
        <v>24</v>
      </c>
      <c r="C6317">
        <v>20150316</v>
      </c>
      <c r="D6317">
        <v>0</v>
      </c>
      <c r="F6317">
        <v>62500</v>
      </c>
      <c r="G6317" t="s">
        <v>17</v>
      </c>
      <c r="I6317" t="s">
        <v>16</v>
      </c>
      <c r="J6317" t="s">
        <v>180</v>
      </c>
      <c r="K6317" t="s">
        <v>25</v>
      </c>
      <c r="L6317">
        <v>132757294</v>
      </c>
      <c r="R6317">
        <v>9674</v>
      </c>
      <c r="S6317" t="s">
        <v>232</v>
      </c>
      <c r="T6317">
        <v>0</v>
      </c>
      <c r="U6317">
        <v>5</v>
      </c>
      <c r="V6317">
        <v>0</v>
      </c>
      <c r="W6317">
        <v>0</v>
      </c>
      <c r="X6317">
        <v>0</v>
      </c>
    </row>
    <row r="6318" spans="1:40" x14ac:dyDescent="0.25">
      <c r="A6318" t="s">
        <v>15</v>
      </c>
      <c r="B6318" t="s">
        <v>24</v>
      </c>
      <c r="C6318">
        <v>20150316</v>
      </c>
      <c r="D6318">
        <v>0</v>
      </c>
      <c r="F6318">
        <v>62500</v>
      </c>
      <c r="G6318" t="s">
        <v>17</v>
      </c>
      <c r="I6318" t="s">
        <v>16</v>
      </c>
      <c r="J6318" t="s">
        <v>180</v>
      </c>
      <c r="K6318" t="s">
        <v>25</v>
      </c>
      <c r="L6318">
        <v>132757294</v>
      </c>
      <c r="R6318">
        <v>9675</v>
      </c>
      <c r="S6318" t="s">
        <v>232</v>
      </c>
      <c r="T6318">
        <v>0</v>
      </c>
      <c r="U6318">
        <v>38</v>
      </c>
      <c r="V6318">
        <v>0</v>
      </c>
      <c r="W6318">
        <v>0</v>
      </c>
      <c r="X6318">
        <v>0</v>
      </c>
    </row>
    <row r="6319" spans="1:40" x14ac:dyDescent="0.25">
      <c r="A6319" t="s">
        <v>15</v>
      </c>
      <c r="B6319" t="s">
        <v>24</v>
      </c>
      <c r="C6319">
        <v>20150316</v>
      </c>
      <c r="D6319">
        <v>0</v>
      </c>
      <c r="F6319">
        <v>62500</v>
      </c>
      <c r="G6319" t="s">
        <v>17</v>
      </c>
      <c r="I6319" t="s">
        <v>16</v>
      </c>
      <c r="J6319" t="s">
        <v>180</v>
      </c>
      <c r="K6319" t="s">
        <v>25</v>
      </c>
      <c r="L6319">
        <v>132757294</v>
      </c>
      <c r="R6319">
        <v>9674</v>
      </c>
      <c r="S6319" t="s">
        <v>232</v>
      </c>
      <c r="T6319">
        <v>0</v>
      </c>
      <c r="U6319">
        <v>-1</v>
      </c>
      <c r="V6319">
        <v>0</v>
      </c>
      <c r="W6319">
        <v>0</v>
      </c>
      <c r="X6319">
        <v>0</v>
      </c>
      <c r="Y6319">
        <v>9674</v>
      </c>
      <c r="Z6319" t="s">
        <v>450</v>
      </c>
      <c r="AA6319" t="s">
        <v>451</v>
      </c>
      <c r="AB6319" t="s">
        <v>234</v>
      </c>
      <c r="AC6319" t="s">
        <v>17</v>
      </c>
      <c r="AD6319" t="s">
        <v>235</v>
      </c>
      <c r="AE6319">
        <v>3</v>
      </c>
      <c r="AF6319">
        <v>3</v>
      </c>
      <c r="AG6319">
        <v>1.5253000000000001</v>
      </c>
      <c r="AH6319">
        <v>1.5253000000000001</v>
      </c>
      <c r="AI6319">
        <v>415886707</v>
      </c>
      <c r="AJ6319">
        <v>0</v>
      </c>
      <c r="AK6319">
        <v>7</v>
      </c>
      <c r="AN6319">
        <v>0</v>
      </c>
    </row>
    <row r="6320" spans="1:40" x14ac:dyDescent="0.25">
      <c r="A6320" t="s">
        <v>15</v>
      </c>
      <c r="B6320" t="s">
        <v>24</v>
      </c>
      <c r="C6320">
        <v>20150316</v>
      </c>
      <c r="D6320">
        <v>0</v>
      </c>
      <c r="F6320">
        <v>62500</v>
      </c>
      <c r="G6320" t="s">
        <v>17</v>
      </c>
      <c r="I6320" t="s">
        <v>16</v>
      </c>
      <c r="J6320" t="s">
        <v>180</v>
      </c>
      <c r="K6320" t="s">
        <v>25</v>
      </c>
      <c r="L6320">
        <v>132757294</v>
      </c>
      <c r="R6320">
        <v>9674</v>
      </c>
      <c r="S6320" t="s">
        <v>232</v>
      </c>
      <c r="T6320">
        <v>0</v>
      </c>
      <c r="U6320">
        <v>-1</v>
      </c>
      <c r="V6320">
        <v>0</v>
      </c>
      <c r="W6320">
        <v>0</v>
      </c>
      <c r="X6320">
        <v>0</v>
      </c>
    </row>
    <row r="6321" spans="1:40" x14ac:dyDescent="0.25">
      <c r="A6321" t="s">
        <v>15</v>
      </c>
      <c r="B6321" t="s">
        <v>24</v>
      </c>
      <c r="C6321">
        <v>20150316</v>
      </c>
      <c r="D6321">
        <v>0</v>
      </c>
      <c r="F6321">
        <v>62500</v>
      </c>
      <c r="G6321" t="s">
        <v>17</v>
      </c>
      <c r="I6321" t="s">
        <v>16</v>
      </c>
      <c r="J6321" t="s">
        <v>180</v>
      </c>
      <c r="K6321" t="s">
        <v>25</v>
      </c>
      <c r="L6321">
        <v>132757294</v>
      </c>
      <c r="R6321">
        <v>9674</v>
      </c>
      <c r="S6321" t="s">
        <v>236</v>
      </c>
      <c r="T6321">
        <v>3</v>
      </c>
      <c r="U6321">
        <v>2</v>
      </c>
      <c r="V6321">
        <v>1.5253000000000001</v>
      </c>
      <c r="W6321">
        <v>1.5253000000000001</v>
      </c>
      <c r="X6321">
        <v>0</v>
      </c>
    </row>
    <row r="6322" spans="1:40" x14ac:dyDescent="0.25">
      <c r="A6322" t="s">
        <v>15</v>
      </c>
      <c r="B6322" t="s">
        <v>24</v>
      </c>
      <c r="C6322">
        <v>20150316</v>
      </c>
      <c r="D6322">
        <v>0</v>
      </c>
      <c r="F6322">
        <v>62500</v>
      </c>
      <c r="G6322" t="s">
        <v>17</v>
      </c>
      <c r="I6322" t="s">
        <v>16</v>
      </c>
      <c r="J6322" t="s">
        <v>180</v>
      </c>
      <c r="K6322" t="s">
        <v>25</v>
      </c>
      <c r="L6322">
        <v>132757294</v>
      </c>
      <c r="R6322">
        <v>9674</v>
      </c>
      <c r="S6322" t="s">
        <v>236</v>
      </c>
      <c r="T6322">
        <v>3</v>
      </c>
      <c r="U6322">
        <v>2</v>
      </c>
      <c r="V6322">
        <v>1.5253000000000001</v>
      </c>
      <c r="W6322">
        <v>1.5253000000000001</v>
      </c>
      <c r="X6322">
        <v>0</v>
      </c>
    </row>
    <row r="6323" spans="1:40" x14ac:dyDescent="0.25">
      <c r="A6323" t="s">
        <v>15</v>
      </c>
      <c r="B6323" t="s">
        <v>24</v>
      </c>
      <c r="C6323">
        <v>20150316</v>
      </c>
      <c r="D6323">
        <v>0</v>
      </c>
      <c r="F6323">
        <v>62500</v>
      </c>
      <c r="G6323" t="s">
        <v>17</v>
      </c>
      <c r="I6323" t="s">
        <v>16</v>
      </c>
      <c r="J6323" t="s">
        <v>180</v>
      </c>
      <c r="K6323" t="s">
        <v>25</v>
      </c>
      <c r="L6323">
        <v>132757294</v>
      </c>
      <c r="R6323">
        <v>9674</v>
      </c>
      <c r="S6323" t="s">
        <v>233</v>
      </c>
      <c r="T6323">
        <v>3</v>
      </c>
      <c r="U6323">
        <v>2</v>
      </c>
      <c r="V6323">
        <v>1.5253000000000001</v>
      </c>
      <c r="W6323">
        <v>1.5253000000000001</v>
      </c>
      <c r="X6323">
        <v>0</v>
      </c>
    </row>
    <row r="6324" spans="1:40" x14ac:dyDescent="0.25">
      <c r="A6324" t="s">
        <v>15</v>
      </c>
      <c r="B6324" t="s">
        <v>24</v>
      </c>
      <c r="C6324">
        <v>20150316</v>
      </c>
      <c r="D6324">
        <v>0</v>
      </c>
      <c r="F6324">
        <v>62500</v>
      </c>
      <c r="G6324" t="s">
        <v>17</v>
      </c>
      <c r="I6324" t="s">
        <v>16</v>
      </c>
      <c r="J6324" t="s">
        <v>180</v>
      </c>
      <c r="K6324" t="s">
        <v>25</v>
      </c>
      <c r="L6324">
        <v>132757294</v>
      </c>
      <c r="R6324">
        <v>9674</v>
      </c>
      <c r="S6324" t="s">
        <v>233</v>
      </c>
      <c r="T6324">
        <v>3</v>
      </c>
      <c r="U6324">
        <v>2</v>
      </c>
      <c r="V6324">
        <v>1.5253000000000001</v>
      </c>
      <c r="W6324">
        <v>1.5253000000000001</v>
      </c>
      <c r="X6324">
        <v>0</v>
      </c>
    </row>
    <row r="6325" spans="1:40" x14ac:dyDescent="0.25">
      <c r="A6325" t="s">
        <v>15</v>
      </c>
      <c r="B6325" t="s">
        <v>24</v>
      </c>
      <c r="C6325">
        <v>20150316</v>
      </c>
      <c r="D6325">
        <v>0</v>
      </c>
      <c r="F6325">
        <v>62500</v>
      </c>
      <c r="G6325" t="s">
        <v>17</v>
      </c>
      <c r="I6325" t="s">
        <v>16</v>
      </c>
      <c r="J6325" t="s">
        <v>180</v>
      </c>
      <c r="K6325" t="s">
        <v>25</v>
      </c>
      <c r="L6325">
        <v>132757294</v>
      </c>
      <c r="R6325">
        <v>9674</v>
      </c>
      <c r="S6325" t="s">
        <v>233</v>
      </c>
      <c r="T6325">
        <v>3</v>
      </c>
      <c r="U6325">
        <v>2</v>
      </c>
      <c r="V6325">
        <v>1.5253000000000001</v>
      </c>
      <c r="W6325">
        <v>1.5253000000000001</v>
      </c>
      <c r="X6325">
        <v>0</v>
      </c>
    </row>
    <row r="6326" spans="1:40" x14ac:dyDescent="0.25">
      <c r="A6326" t="s">
        <v>15</v>
      </c>
      <c r="B6326" t="s">
        <v>24</v>
      </c>
      <c r="C6326">
        <v>20150316</v>
      </c>
      <c r="D6326">
        <v>0</v>
      </c>
      <c r="F6326">
        <v>62500</v>
      </c>
      <c r="G6326" t="s">
        <v>17</v>
      </c>
      <c r="I6326" t="s">
        <v>16</v>
      </c>
      <c r="J6326" t="s">
        <v>180</v>
      </c>
      <c r="K6326" t="s">
        <v>25</v>
      </c>
      <c r="L6326">
        <v>132757294</v>
      </c>
      <c r="R6326">
        <v>9674</v>
      </c>
      <c r="S6326" t="s">
        <v>233</v>
      </c>
      <c r="T6326">
        <v>3</v>
      </c>
      <c r="U6326">
        <v>0</v>
      </c>
      <c r="V6326">
        <v>1.5253000000000001</v>
      </c>
      <c r="W6326">
        <v>1.5253000000000001</v>
      </c>
      <c r="X6326">
        <v>0</v>
      </c>
      <c r="Y6326">
        <v>9674</v>
      </c>
      <c r="Z6326" t="s">
        <v>452</v>
      </c>
      <c r="AA6326" t="s">
        <v>451</v>
      </c>
      <c r="AB6326" t="s">
        <v>234</v>
      </c>
      <c r="AC6326" t="s">
        <v>17</v>
      </c>
      <c r="AD6326" t="s">
        <v>235</v>
      </c>
      <c r="AE6326">
        <v>1</v>
      </c>
      <c r="AF6326">
        <v>4</v>
      </c>
      <c r="AG6326">
        <v>1.5253000000000001</v>
      </c>
      <c r="AH6326">
        <v>1.5253000000000001</v>
      </c>
      <c r="AI6326">
        <v>415886707</v>
      </c>
      <c r="AJ6326">
        <v>0</v>
      </c>
      <c r="AK6326">
        <v>7</v>
      </c>
      <c r="AN6326">
        <v>0</v>
      </c>
    </row>
    <row r="6327" spans="1:40" x14ac:dyDescent="0.25">
      <c r="A6327" t="s">
        <v>15</v>
      </c>
      <c r="B6327" t="s">
        <v>24</v>
      </c>
      <c r="C6327">
        <v>20150316</v>
      </c>
      <c r="D6327">
        <v>0</v>
      </c>
      <c r="F6327">
        <v>62500</v>
      </c>
      <c r="G6327" t="s">
        <v>17</v>
      </c>
      <c r="I6327" t="s">
        <v>16</v>
      </c>
      <c r="J6327" t="s">
        <v>180</v>
      </c>
      <c r="K6327" t="s">
        <v>25</v>
      </c>
      <c r="L6327">
        <v>132757294</v>
      </c>
      <c r="R6327">
        <v>9674</v>
      </c>
      <c r="S6327" t="s">
        <v>233</v>
      </c>
      <c r="T6327">
        <v>3</v>
      </c>
      <c r="U6327">
        <v>0</v>
      </c>
      <c r="V6327">
        <v>1.5253000000000001</v>
      </c>
      <c r="W6327">
        <v>1.5253000000000001</v>
      </c>
      <c r="X6327">
        <v>0</v>
      </c>
    </row>
    <row r="6328" spans="1:40" x14ac:dyDescent="0.25">
      <c r="A6328" t="s">
        <v>15</v>
      </c>
      <c r="B6328" t="s">
        <v>24</v>
      </c>
      <c r="C6328">
        <v>20150316</v>
      </c>
      <c r="D6328">
        <v>0</v>
      </c>
      <c r="F6328">
        <v>62500</v>
      </c>
      <c r="G6328" t="s">
        <v>17</v>
      </c>
      <c r="I6328" t="s">
        <v>16</v>
      </c>
      <c r="J6328" t="s">
        <v>180</v>
      </c>
      <c r="K6328" t="s">
        <v>25</v>
      </c>
      <c r="L6328">
        <v>132757294</v>
      </c>
      <c r="R6328">
        <v>9674</v>
      </c>
      <c r="S6328" t="s">
        <v>233</v>
      </c>
      <c r="T6328">
        <v>4</v>
      </c>
      <c r="U6328">
        <v>1</v>
      </c>
      <c r="V6328">
        <v>1.5253000000000001</v>
      </c>
      <c r="W6328">
        <v>1.5253000000000001</v>
      </c>
      <c r="X6328">
        <v>0</v>
      </c>
    </row>
    <row r="6329" spans="1:40" x14ac:dyDescent="0.25">
      <c r="A6329" t="s">
        <v>15</v>
      </c>
      <c r="B6329" t="s">
        <v>24</v>
      </c>
      <c r="C6329">
        <v>20150316</v>
      </c>
      <c r="D6329">
        <v>0</v>
      </c>
      <c r="F6329">
        <v>62500</v>
      </c>
      <c r="G6329" t="s">
        <v>17</v>
      </c>
      <c r="I6329" t="s">
        <v>16</v>
      </c>
      <c r="J6329" t="s">
        <v>180</v>
      </c>
      <c r="K6329" t="s">
        <v>25</v>
      </c>
      <c r="L6329">
        <v>132757294</v>
      </c>
      <c r="R6329">
        <v>9674</v>
      </c>
      <c r="S6329" t="s">
        <v>233</v>
      </c>
      <c r="T6329">
        <v>4</v>
      </c>
      <c r="U6329">
        <v>1</v>
      </c>
      <c r="V6329">
        <v>1.5253000000000001</v>
      </c>
      <c r="W6329">
        <v>1.5253000000000001</v>
      </c>
      <c r="X6329">
        <v>0</v>
      </c>
    </row>
    <row r="6330" spans="1:40" x14ac:dyDescent="0.25">
      <c r="A6330" t="s">
        <v>15</v>
      </c>
      <c r="B6330" t="s">
        <v>24</v>
      </c>
      <c r="C6330">
        <v>20150316</v>
      </c>
      <c r="D6330">
        <v>0</v>
      </c>
      <c r="F6330">
        <v>62500</v>
      </c>
      <c r="G6330" t="s">
        <v>17</v>
      </c>
      <c r="I6330" t="s">
        <v>16</v>
      </c>
      <c r="J6330" t="s">
        <v>180</v>
      </c>
      <c r="K6330" t="s">
        <v>25</v>
      </c>
      <c r="L6330">
        <v>132757294</v>
      </c>
      <c r="R6330">
        <v>9674</v>
      </c>
      <c r="S6330" t="s">
        <v>233</v>
      </c>
      <c r="T6330">
        <v>4</v>
      </c>
      <c r="U6330">
        <v>1</v>
      </c>
      <c r="V6330">
        <v>1.5253000000000001</v>
      </c>
      <c r="W6330">
        <v>1.5253000000000001</v>
      </c>
      <c r="X6330">
        <v>0</v>
      </c>
    </row>
    <row r="6331" spans="1:40" x14ac:dyDescent="0.25">
      <c r="A6331" t="s">
        <v>15</v>
      </c>
      <c r="B6331" t="s">
        <v>24</v>
      </c>
      <c r="C6331">
        <v>20150316</v>
      </c>
      <c r="D6331">
        <v>0</v>
      </c>
      <c r="F6331">
        <v>62500</v>
      </c>
      <c r="G6331" t="s">
        <v>17</v>
      </c>
      <c r="I6331" t="s">
        <v>16</v>
      </c>
      <c r="J6331" t="s">
        <v>180</v>
      </c>
      <c r="K6331" t="s">
        <v>25</v>
      </c>
      <c r="L6331">
        <v>132757294</v>
      </c>
      <c r="R6331">
        <v>9676</v>
      </c>
      <c r="S6331" t="s">
        <v>232</v>
      </c>
      <c r="T6331">
        <v>0</v>
      </c>
      <c r="U6331">
        <v>-38</v>
      </c>
      <c r="V6331">
        <v>0</v>
      </c>
      <c r="W6331">
        <v>0</v>
      </c>
      <c r="X6331">
        <v>0</v>
      </c>
    </row>
    <row r="6332" spans="1:40" x14ac:dyDescent="0.25">
      <c r="A6332" t="s">
        <v>15</v>
      </c>
      <c r="B6332" t="s">
        <v>24</v>
      </c>
      <c r="C6332">
        <v>20150316</v>
      </c>
      <c r="D6332">
        <v>0</v>
      </c>
      <c r="F6332">
        <v>62500</v>
      </c>
      <c r="G6332" t="s">
        <v>17</v>
      </c>
      <c r="I6332" t="s">
        <v>16</v>
      </c>
      <c r="J6332" t="s">
        <v>180</v>
      </c>
      <c r="K6332" t="s">
        <v>25</v>
      </c>
      <c r="L6332">
        <v>132757294</v>
      </c>
      <c r="R6332">
        <v>9671</v>
      </c>
      <c r="S6332" t="s">
        <v>223</v>
      </c>
      <c r="T6332">
        <v>0</v>
      </c>
      <c r="U6332">
        <v>33</v>
      </c>
      <c r="V6332">
        <v>0</v>
      </c>
      <c r="W6332">
        <v>0</v>
      </c>
      <c r="X6332">
        <v>0</v>
      </c>
    </row>
    <row r="6333" spans="1:40" x14ac:dyDescent="0.25">
      <c r="A6333" t="s">
        <v>15</v>
      </c>
      <c r="B6333" t="s">
        <v>24</v>
      </c>
      <c r="C6333">
        <v>20150316</v>
      </c>
      <c r="D6333">
        <v>0</v>
      </c>
      <c r="F6333">
        <v>62500</v>
      </c>
      <c r="G6333" t="s">
        <v>17</v>
      </c>
      <c r="I6333" t="s">
        <v>16</v>
      </c>
      <c r="J6333" t="s">
        <v>180</v>
      </c>
      <c r="K6333" t="s">
        <v>25</v>
      </c>
      <c r="L6333">
        <v>132757294</v>
      </c>
      <c r="R6333">
        <v>9671</v>
      </c>
      <c r="S6333" t="s">
        <v>224</v>
      </c>
      <c r="T6333">
        <v>0</v>
      </c>
      <c r="U6333">
        <v>33</v>
      </c>
      <c r="V6333">
        <v>0</v>
      </c>
      <c r="W6333">
        <v>0</v>
      </c>
      <c r="X6333">
        <v>0</v>
      </c>
    </row>
    <row r="6334" spans="1:40" x14ac:dyDescent="0.25">
      <c r="A6334" t="s">
        <v>15</v>
      </c>
      <c r="B6334" t="s">
        <v>24</v>
      </c>
      <c r="C6334">
        <v>20150316</v>
      </c>
      <c r="D6334">
        <v>0</v>
      </c>
      <c r="F6334">
        <v>62500</v>
      </c>
      <c r="G6334" t="s">
        <v>17</v>
      </c>
      <c r="I6334" t="s">
        <v>16</v>
      </c>
      <c r="J6334" t="s">
        <v>180</v>
      </c>
      <c r="K6334" t="s">
        <v>25</v>
      </c>
      <c r="L6334">
        <v>132757294</v>
      </c>
      <c r="R6334">
        <v>9672</v>
      </c>
      <c r="S6334" t="s">
        <v>223</v>
      </c>
      <c r="T6334">
        <v>0</v>
      </c>
      <c r="U6334">
        <v>32</v>
      </c>
      <c r="V6334">
        <v>0</v>
      </c>
      <c r="W6334">
        <v>0</v>
      </c>
      <c r="X6334">
        <v>0</v>
      </c>
    </row>
    <row r="6335" spans="1:40" x14ac:dyDescent="0.25">
      <c r="A6335" t="s">
        <v>15</v>
      </c>
      <c r="B6335" t="s">
        <v>24</v>
      </c>
      <c r="C6335">
        <v>20150316</v>
      </c>
      <c r="D6335">
        <v>0</v>
      </c>
      <c r="F6335">
        <v>62500</v>
      </c>
      <c r="G6335" t="s">
        <v>17</v>
      </c>
      <c r="I6335" t="s">
        <v>16</v>
      </c>
      <c r="J6335" t="s">
        <v>180</v>
      </c>
      <c r="K6335" t="s">
        <v>25</v>
      </c>
      <c r="L6335">
        <v>132757294</v>
      </c>
      <c r="R6335">
        <v>9672</v>
      </c>
      <c r="S6335" t="s">
        <v>224</v>
      </c>
      <c r="T6335">
        <v>0</v>
      </c>
      <c r="U6335">
        <v>32</v>
      </c>
      <c r="V6335">
        <v>0</v>
      </c>
      <c r="W6335">
        <v>0</v>
      </c>
      <c r="X6335">
        <v>0</v>
      </c>
    </row>
    <row r="6336" spans="1:40" x14ac:dyDescent="0.25">
      <c r="A6336" t="s">
        <v>15</v>
      </c>
      <c r="B6336" t="s">
        <v>24</v>
      </c>
      <c r="C6336">
        <v>20150316</v>
      </c>
      <c r="D6336">
        <v>0</v>
      </c>
      <c r="F6336">
        <v>62500</v>
      </c>
      <c r="G6336" t="s">
        <v>17</v>
      </c>
      <c r="I6336" t="s">
        <v>16</v>
      </c>
      <c r="J6336" t="s">
        <v>180</v>
      </c>
      <c r="K6336" t="s">
        <v>25</v>
      </c>
      <c r="L6336">
        <v>132757294</v>
      </c>
      <c r="R6336">
        <v>9675</v>
      </c>
      <c r="S6336" t="s">
        <v>232</v>
      </c>
      <c r="T6336">
        <v>0</v>
      </c>
      <c r="U6336">
        <v>38</v>
      </c>
      <c r="V6336">
        <v>0</v>
      </c>
      <c r="W6336">
        <v>0</v>
      </c>
      <c r="X6336">
        <v>0</v>
      </c>
    </row>
    <row r="6337" spans="1:40" x14ac:dyDescent="0.25">
      <c r="A6337" t="s">
        <v>15</v>
      </c>
      <c r="B6337" t="s">
        <v>24</v>
      </c>
      <c r="C6337">
        <v>20150316</v>
      </c>
      <c r="D6337">
        <v>0</v>
      </c>
      <c r="F6337">
        <v>62500</v>
      </c>
      <c r="G6337" t="s">
        <v>17</v>
      </c>
      <c r="I6337" t="s">
        <v>16</v>
      </c>
      <c r="J6337" t="s">
        <v>180</v>
      </c>
      <c r="K6337" t="s">
        <v>25</v>
      </c>
      <c r="L6337">
        <v>132757294</v>
      </c>
      <c r="R6337">
        <v>9675</v>
      </c>
      <c r="S6337" t="s">
        <v>192</v>
      </c>
      <c r="T6337">
        <v>0</v>
      </c>
      <c r="U6337">
        <v>38</v>
      </c>
      <c r="V6337">
        <v>0</v>
      </c>
      <c r="W6337">
        <v>0</v>
      </c>
      <c r="X6337">
        <v>0</v>
      </c>
    </row>
    <row r="6338" spans="1:40" x14ac:dyDescent="0.25">
      <c r="A6338" t="s">
        <v>15</v>
      </c>
      <c r="B6338" t="s">
        <v>24</v>
      </c>
      <c r="C6338">
        <v>20150316</v>
      </c>
      <c r="D6338">
        <v>0</v>
      </c>
      <c r="F6338">
        <v>62500</v>
      </c>
      <c r="G6338" t="s">
        <v>17</v>
      </c>
      <c r="I6338" t="s">
        <v>16</v>
      </c>
      <c r="J6338" t="s">
        <v>180</v>
      </c>
      <c r="K6338" t="s">
        <v>25</v>
      </c>
      <c r="L6338">
        <v>132757294</v>
      </c>
      <c r="R6338">
        <v>9677</v>
      </c>
      <c r="S6338" t="s">
        <v>232</v>
      </c>
      <c r="T6338">
        <v>0</v>
      </c>
      <c r="U6338">
        <v>46</v>
      </c>
      <c r="V6338">
        <v>0</v>
      </c>
      <c r="W6338">
        <v>0</v>
      </c>
      <c r="X6338">
        <v>0</v>
      </c>
    </row>
    <row r="6339" spans="1:40" x14ac:dyDescent="0.25">
      <c r="A6339" t="s">
        <v>15</v>
      </c>
      <c r="B6339" t="s">
        <v>24</v>
      </c>
      <c r="C6339">
        <v>20150316</v>
      </c>
      <c r="D6339">
        <v>0</v>
      </c>
      <c r="F6339">
        <v>62500</v>
      </c>
      <c r="G6339" t="s">
        <v>17</v>
      </c>
      <c r="I6339" t="s">
        <v>16</v>
      </c>
      <c r="J6339" t="s">
        <v>180</v>
      </c>
      <c r="K6339" t="s">
        <v>25</v>
      </c>
      <c r="L6339">
        <v>132757294</v>
      </c>
      <c r="R6339">
        <v>9674</v>
      </c>
      <c r="S6339" t="s">
        <v>233</v>
      </c>
      <c r="T6339">
        <v>4</v>
      </c>
      <c r="U6339">
        <v>-1</v>
      </c>
      <c r="V6339">
        <v>1.5253000000000001</v>
      </c>
      <c r="W6339">
        <v>1.5253000000000001</v>
      </c>
      <c r="X6339">
        <v>0</v>
      </c>
      <c r="Y6339">
        <v>9674</v>
      </c>
      <c r="Z6339" t="s">
        <v>453</v>
      </c>
      <c r="AA6339" t="s">
        <v>451</v>
      </c>
      <c r="AB6339" t="s">
        <v>234</v>
      </c>
      <c r="AC6339" t="s">
        <v>17</v>
      </c>
      <c r="AD6339" t="s">
        <v>235</v>
      </c>
      <c r="AE6339">
        <v>1</v>
      </c>
      <c r="AF6339">
        <v>5</v>
      </c>
      <c r="AG6339">
        <v>1.5253000000000001</v>
      </c>
      <c r="AH6339">
        <v>1.5253000000000001</v>
      </c>
      <c r="AI6339">
        <v>415886707</v>
      </c>
      <c r="AJ6339">
        <v>0</v>
      </c>
      <c r="AK6339">
        <v>7</v>
      </c>
      <c r="AN6339">
        <v>0</v>
      </c>
    </row>
    <row r="6340" spans="1:40" x14ac:dyDescent="0.25">
      <c r="A6340" t="s">
        <v>15</v>
      </c>
      <c r="B6340" t="s">
        <v>24</v>
      </c>
      <c r="C6340">
        <v>20150316</v>
      </c>
      <c r="D6340">
        <v>0</v>
      </c>
      <c r="F6340">
        <v>62500</v>
      </c>
      <c r="G6340" t="s">
        <v>17</v>
      </c>
      <c r="I6340" t="s">
        <v>16</v>
      </c>
      <c r="J6340" t="s">
        <v>180</v>
      </c>
      <c r="K6340" t="s">
        <v>25</v>
      </c>
      <c r="L6340">
        <v>132757294</v>
      </c>
      <c r="R6340">
        <v>9674</v>
      </c>
      <c r="S6340" t="s">
        <v>233</v>
      </c>
      <c r="T6340">
        <v>4</v>
      </c>
      <c r="U6340">
        <v>-1</v>
      </c>
      <c r="V6340">
        <v>1.5253000000000001</v>
      </c>
      <c r="W6340">
        <v>1.5253000000000001</v>
      </c>
      <c r="X6340">
        <v>0</v>
      </c>
    </row>
    <row r="6341" spans="1:40" x14ac:dyDescent="0.25">
      <c r="A6341" t="s">
        <v>15</v>
      </c>
      <c r="B6341" t="s">
        <v>24</v>
      </c>
      <c r="C6341">
        <v>20150316</v>
      </c>
      <c r="D6341">
        <v>0</v>
      </c>
      <c r="F6341">
        <v>62500</v>
      </c>
      <c r="G6341" t="s">
        <v>17</v>
      </c>
      <c r="I6341" t="s">
        <v>16</v>
      </c>
      <c r="J6341" t="s">
        <v>180</v>
      </c>
      <c r="K6341" t="s">
        <v>25</v>
      </c>
      <c r="L6341">
        <v>132757294</v>
      </c>
      <c r="R6341">
        <v>9674</v>
      </c>
      <c r="S6341" t="s">
        <v>37</v>
      </c>
      <c r="T6341">
        <v>5</v>
      </c>
      <c r="U6341">
        <v>0</v>
      </c>
      <c r="V6341">
        <v>1.5253000000000001</v>
      </c>
      <c r="W6341">
        <v>1.5253000000000001</v>
      </c>
      <c r="X6341">
        <v>0</v>
      </c>
    </row>
    <row r="6342" spans="1:40" x14ac:dyDescent="0.25">
      <c r="A6342" t="s">
        <v>15</v>
      </c>
      <c r="B6342" t="s">
        <v>24</v>
      </c>
      <c r="C6342">
        <v>20150316</v>
      </c>
      <c r="D6342">
        <v>0</v>
      </c>
      <c r="F6342">
        <v>62500</v>
      </c>
      <c r="G6342" t="s">
        <v>17</v>
      </c>
      <c r="I6342" t="s">
        <v>16</v>
      </c>
      <c r="J6342" t="s">
        <v>180</v>
      </c>
      <c r="K6342" t="s">
        <v>25</v>
      </c>
      <c r="L6342">
        <v>132757294</v>
      </c>
      <c r="R6342">
        <v>9674</v>
      </c>
      <c r="S6342" t="s">
        <v>37</v>
      </c>
      <c r="T6342">
        <v>5</v>
      </c>
      <c r="U6342">
        <v>0</v>
      </c>
      <c r="V6342">
        <v>1.5253000000000001</v>
      </c>
      <c r="W6342">
        <v>1.5253000000000001</v>
      </c>
      <c r="X6342">
        <v>0</v>
      </c>
    </row>
    <row r="6343" spans="1:40" x14ac:dyDescent="0.25">
      <c r="A6343" t="s">
        <v>15</v>
      </c>
      <c r="B6343" t="s">
        <v>24</v>
      </c>
      <c r="C6343">
        <v>20150316</v>
      </c>
      <c r="D6343">
        <v>0</v>
      </c>
      <c r="F6343">
        <v>62500</v>
      </c>
      <c r="G6343" t="s">
        <v>17</v>
      </c>
      <c r="I6343" t="s">
        <v>16</v>
      </c>
      <c r="J6343" t="s">
        <v>180</v>
      </c>
      <c r="K6343" t="s">
        <v>25</v>
      </c>
      <c r="L6343">
        <v>132757294</v>
      </c>
      <c r="R6343">
        <v>9674</v>
      </c>
      <c r="S6343" t="s">
        <v>37</v>
      </c>
      <c r="T6343">
        <v>5</v>
      </c>
      <c r="U6343">
        <v>0</v>
      </c>
      <c r="V6343">
        <v>1.5253000000000001</v>
      </c>
      <c r="W6343">
        <v>1.5253000000000001</v>
      </c>
      <c r="X6343">
        <v>0</v>
      </c>
    </row>
    <row r="6344" spans="1:40" x14ac:dyDescent="0.25">
      <c r="A6344" t="s">
        <v>15</v>
      </c>
      <c r="B6344" t="s">
        <v>24</v>
      </c>
      <c r="C6344">
        <v>20150316</v>
      </c>
      <c r="D6344">
        <v>0</v>
      </c>
      <c r="F6344">
        <v>62500</v>
      </c>
      <c r="G6344" t="s">
        <v>17</v>
      </c>
      <c r="I6344" t="s">
        <v>16</v>
      </c>
      <c r="J6344" t="s">
        <v>180</v>
      </c>
      <c r="K6344" t="s">
        <v>25</v>
      </c>
      <c r="L6344">
        <v>132757294</v>
      </c>
      <c r="R6344">
        <v>9674</v>
      </c>
      <c r="S6344" t="s">
        <v>37</v>
      </c>
      <c r="T6344">
        <v>5</v>
      </c>
      <c r="U6344">
        <v>0</v>
      </c>
      <c r="V6344">
        <v>1.5253000000000001</v>
      </c>
      <c r="W6344">
        <v>1.5253000000000001</v>
      </c>
      <c r="X6344">
        <v>0</v>
      </c>
    </row>
    <row r="6345" spans="1:40" x14ac:dyDescent="0.25">
      <c r="A6345" t="s">
        <v>15</v>
      </c>
      <c r="B6345" t="s">
        <v>24</v>
      </c>
      <c r="C6345">
        <v>20150316</v>
      </c>
      <c r="D6345">
        <v>0</v>
      </c>
      <c r="F6345">
        <v>62500</v>
      </c>
      <c r="G6345" t="s">
        <v>17</v>
      </c>
      <c r="I6345" t="s">
        <v>16</v>
      </c>
      <c r="J6345" t="s">
        <v>180</v>
      </c>
      <c r="K6345" t="s">
        <v>25</v>
      </c>
      <c r="L6345">
        <v>132757294</v>
      </c>
      <c r="R6345">
        <v>9674</v>
      </c>
      <c r="S6345" t="s">
        <v>37</v>
      </c>
      <c r="T6345">
        <v>5</v>
      </c>
      <c r="U6345">
        <v>0</v>
      </c>
      <c r="V6345">
        <v>1.5253000000000001</v>
      </c>
      <c r="W6345">
        <v>1.5253000000000001</v>
      </c>
      <c r="X6345">
        <v>0</v>
      </c>
    </row>
    <row r="6346" spans="1:40" x14ac:dyDescent="0.25">
      <c r="A6346" t="s">
        <v>15</v>
      </c>
      <c r="B6346" t="s">
        <v>24</v>
      </c>
      <c r="C6346">
        <v>20150316</v>
      </c>
      <c r="D6346">
        <v>0</v>
      </c>
      <c r="F6346">
        <v>62500</v>
      </c>
      <c r="G6346" t="s">
        <v>17</v>
      </c>
      <c r="I6346" t="s">
        <v>16</v>
      </c>
      <c r="J6346" t="s">
        <v>180</v>
      </c>
      <c r="K6346" t="s">
        <v>25</v>
      </c>
      <c r="L6346">
        <v>132757294</v>
      </c>
      <c r="R6346">
        <v>9676</v>
      </c>
      <c r="S6346" t="s">
        <v>232</v>
      </c>
      <c r="T6346">
        <v>0</v>
      </c>
      <c r="U6346">
        <v>-38</v>
      </c>
      <c r="V6346">
        <v>0</v>
      </c>
      <c r="W6346">
        <v>0</v>
      </c>
      <c r="X6346">
        <v>0</v>
      </c>
    </row>
    <row r="6347" spans="1:40" x14ac:dyDescent="0.25">
      <c r="A6347" t="s">
        <v>15</v>
      </c>
      <c r="B6347" t="s">
        <v>24</v>
      </c>
      <c r="C6347">
        <v>20150316</v>
      </c>
      <c r="D6347">
        <v>0</v>
      </c>
      <c r="F6347">
        <v>62500</v>
      </c>
      <c r="G6347" t="s">
        <v>17</v>
      </c>
      <c r="I6347" t="s">
        <v>16</v>
      </c>
      <c r="J6347" t="s">
        <v>180</v>
      </c>
      <c r="K6347" t="s">
        <v>25</v>
      </c>
      <c r="L6347">
        <v>132757294</v>
      </c>
      <c r="R6347">
        <v>9676</v>
      </c>
      <c r="S6347" t="s">
        <v>192</v>
      </c>
      <c r="T6347">
        <v>0</v>
      </c>
      <c r="U6347">
        <v>38</v>
      </c>
      <c r="V6347">
        <v>0</v>
      </c>
      <c r="W6347">
        <v>0</v>
      </c>
      <c r="X6347">
        <v>0</v>
      </c>
    </row>
    <row r="6348" spans="1:40" x14ac:dyDescent="0.25">
      <c r="A6348" t="s">
        <v>15</v>
      </c>
      <c r="B6348" t="s">
        <v>24</v>
      </c>
      <c r="C6348">
        <v>20150316</v>
      </c>
      <c r="D6348">
        <v>0</v>
      </c>
      <c r="F6348">
        <v>62500</v>
      </c>
      <c r="G6348" t="s">
        <v>17</v>
      </c>
      <c r="I6348" t="s">
        <v>16</v>
      </c>
      <c r="J6348" t="s">
        <v>180</v>
      </c>
      <c r="K6348" t="s">
        <v>25</v>
      </c>
      <c r="L6348">
        <v>132757294</v>
      </c>
      <c r="R6348">
        <v>9675</v>
      </c>
      <c r="S6348" t="s">
        <v>223</v>
      </c>
      <c r="T6348">
        <v>0</v>
      </c>
      <c r="U6348">
        <v>38</v>
      </c>
      <c r="V6348">
        <v>0</v>
      </c>
      <c r="W6348">
        <v>0</v>
      </c>
      <c r="X6348">
        <v>0</v>
      </c>
    </row>
    <row r="6349" spans="1:40" x14ac:dyDescent="0.25">
      <c r="A6349" t="s">
        <v>15</v>
      </c>
      <c r="B6349" t="s">
        <v>24</v>
      </c>
      <c r="C6349">
        <v>20150316</v>
      </c>
      <c r="D6349">
        <v>0</v>
      </c>
      <c r="F6349">
        <v>62500</v>
      </c>
      <c r="G6349" t="s">
        <v>17</v>
      </c>
      <c r="I6349" t="s">
        <v>16</v>
      </c>
      <c r="J6349" t="s">
        <v>180</v>
      </c>
      <c r="K6349" t="s">
        <v>25</v>
      </c>
      <c r="L6349">
        <v>132757294</v>
      </c>
      <c r="R6349">
        <v>9675</v>
      </c>
      <c r="S6349" t="s">
        <v>224</v>
      </c>
      <c r="T6349">
        <v>0</v>
      </c>
      <c r="U6349">
        <v>38</v>
      </c>
      <c r="V6349">
        <v>0</v>
      </c>
      <c r="W6349">
        <v>0</v>
      </c>
      <c r="X6349">
        <v>0</v>
      </c>
    </row>
    <row r="6350" spans="1:40" x14ac:dyDescent="0.25">
      <c r="A6350" t="s">
        <v>15</v>
      </c>
      <c r="B6350" t="s">
        <v>24</v>
      </c>
      <c r="C6350">
        <v>20150316</v>
      </c>
      <c r="D6350">
        <v>0</v>
      </c>
      <c r="F6350">
        <v>62500</v>
      </c>
      <c r="G6350" t="s">
        <v>17</v>
      </c>
      <c r="I6350" t="s">
        <v>16</v>
      </c>
      <c r="J6350" t="s">
        <v>180</v>
      </c>
      <c r="K6350" t="s">
        <v>25</v>
      </c>
      <c r="L6350">
        <v>132757294</v>
      </c>
      <c r="R6350">
        <v>9676</v>
      </c>
      <c r="S6350" t="s">
        <v>223</v>
      </c>
      <c r="T6350">
        <v>0</v>
      </c>
      <c r="U6350">
        <v>38</v>
      </c>
      <c r="V6350">
        <v>0</v>
      </c>
      <c r="W6350">
        <v>0</v>
      </c>
      <c r="X6350">
        <v>0</v>
      </c>
    </row>
    <row r="6351" spans="1:40" x14ac:dyDescent="0.25">
      <c r="A6351" t="s">
        <v>15</v>
      </c>
      <c r="B6351" t="s">
        <v>24</v>
      </c>
      <c r="C6351">
        <v>20150316</v>
      </c>
      <c r="D6351">
        <v>0</v>
      </c>
      <c r="F6351">
        <v>62500</v>
      </c>
      <c r="G6351" t="s">
        <v>17</v>
      </c>
      <c r="I6351" t="s">
        <v>16</v>
      </c>
      <c r="J6351" t="s">
        <v>180</v>
      </c>
      <c r="K6351" t="s">
        <v>25</v>
      </c>
      <c r="L6351">
        <v>132757294</v>
      </c>
      <c r="R6351">
        <v>9676</v>
      </c>
      <c r="S6351" t="s">
        <v>224</v>
      </c>
      <c r="T6351">
        <v>0</v>
      </c>
      <c r="U6351">
        <v>38</v>
      </c>
      <c r="V6351">
        <v>0</v>
      </c>
      <c r="W6351">
        <v>0</v>
      </c>
      <c r="X6351">
        <v>0</v>
      </c>
    </row>
    <row r="6352" spans="1:40" x14ac:dyDescent="0.25">
      <c r="A6352" t="s">
        <v>15</v>
      </c>
      <c r="B6352" t="s">
        <v>24</v>
      </c>
      <c r="C6352">
        <v>20150316</v>
      </c>
      <c r="D6352">
        <v>0</v>
      </c>
      <c r="F6352">
        <v>62500</v>
      </c>
      <c r="G6352" t="s">
        <v>17</v>
      </c>
      <c r="I6352" t="s">
        <v>16</v>
      </c>
      <c r="J6352" t="s">
        <v>180</v>
      </c>
      <c r="K6352" t="s">
        <v>25</v>
      </c>
      <c r="L6352">
        <v>132757294</v>
      </c>
      <c r="R6352">
        <v>9677</v>
      </c>
      <c r="S6352" t="s">
        <v>232</v>
      </c>
      <c r="T6352">
        <v>0</v>
      </c>
      <c r="U6352">
        <v>46</v>
      </c>
      <c r="V6352">
        <v>0</v>
      </c>
      <c r="W6352">
        <v>0</v>
      </c>
      <c r="X6352">
        <v>0</v>
      </c>
    </row>
    <row r="6353" spans="1:40" x14ac:dyDescent="0.25">
      <c r="A6353" t="s">
        <v>15</v>
      </c>
      <c r="B6353" t="s">
        <v>24</v>
      </c>
      <c r="C6353">
        <v>20150316</v>
      </c>
      <c r="D6353">
        <v>0</v>
      </c>
      <c r="F6353">
        <v>62500</v>
      </c>
      <c r="G6353" t="s">
        <v>17</v>
      </c>
      <c r="I6353" t="s">
        <v>16</v>
      </c>
      <c r="J6353" t="s">
        <v>180</v>
      </c>
      <c r="K6353" t="s">
        <v>25</v>
      </c>
      <c r="L6353">
        <v>132757294</v>
      </c>
      <c r="R6353">
        <v>9677</v>
      </c>
      <c r="S6353" t="s">
        <v>192</v>
      </c>
      <c r="T6353">
        <v>0</v>
      </c>
      <c r="U6353">
        <v>46</v>
      </c>
      <c r="V6353">
        <v>0</v>
      </c>
      <c r="W6353">
        <v>0</v>
      </c>
      <c r="X6353">
        <v>0</v>
      </c>
    </row>
    <row r="6354" spans="1:40" x14ac:dyDescent="0.25">
      <c r="A6354" t="s">
        <v>15</v>
      </c>
      <c r="B6354" t="s">
        <v>24</v>
      </c>
      <c r="C6354">
        <v>20150316</v>
      </c>
      <c r="D6354">
        <v>0</v>
      </c>
      <c r="F6354">
        <v>62500</v>
      </c>
      <c r="G6354" t="s">
        <v>17</v>
      </c>
      <c r="I6354" t="s">
        <v>16</v>
      </c>
      <c r="J6354" t="s">
        <v>180</v>
      </c>
      <c r="K6354" t="s">
        <v>25</v>
      </c>
      <c r="L6354">
        <v>132757294</v>
      </c>
      <c r="R6354">
        <v>9678</v>
      </c>
      <c r="S6354" t="s">
        <v>232</v>
      </c>
      <c r="T6354">
        <v>0</v>
      </c>
      <c r="U6354">
        <v>5</v>
      </c>
      <c r="V6354">
        <v>0</v>
      </c>
      <c r="W6354">
        <v>0</v>
      </c>
      <c r="X6354">
        <v>0</v>
      </c>
    </row>
    <row r="6355" spans="1:40" x14ac:dyDescent="0.25">
      <c r="A6355" t="s">
        <v>15</v>
      </c>
      <c r="B6355" t="s">
        <v>24</v>
      </c>
      <c r="C6355">
        <v>20150316</v>
      </c>
      <c r="D6355">
        <v>0</v>
      </c>
      <c r="F6355">
        <v>62500</v>
      </c>
      <c r="G6355" t="s">
        <v>17</v>
      </c>
      <c r="I6355" t="s">
        <v>16</v>
      </c>
      <c r="J6355" t="s">
        <v>180</v>
      </c>
      <c r="K6355" t="s">
        <v>25</v>
      </c>
      <c r="L6355">
        <v>132757294</v>
      </c>
      <c r="R6355">
        <v>9678</v>
      </c>
      <c r="S6355" t="s">
        <v>232</v>
      </c>
      <c r="T6355">
        <v>0</v>
      </c>
      <c r="U6355">
        <v>5</v>
      </c>
      <c r="V6355">
        <v>0</v>
      </c>
      <c r="W6355">
        <v>0</v>
      </c>
      <c r="X6355">
        <v>0</v>
      </c>
    </row>
    <row r="6356" spans="1:40" x14ac:dyDescent="0.25">
      <c r="A6356" t="s">
        <v>15</v>
      </c>
      <c r="B6356" t="s">
        <v>24</v>
      </c>
      <c r="C6356">
        <v>20150316</v>
      </c>
      <c r="D6356">
        <v>0</v>
      </c>
      <c r="F6356">
        <v>62500</v>
      </c>
      <c r="G6356" t="s">
        <v>17</v>
      </c>
      <c r="I6356" t="s">
        <v>16</v>
      </c>
      <c r="J6356" t="s">
        <v>180</v>
      </c>
      <c r="K6356" t="s">
        <v>25</v>
      </c>
      <c r="L6356">
        <v>132757294</v>
      </c>
      <c r="R6356">
        <v>9678</v>
      </c>
      <c r="S6356" t="s">
        <v>233</v>
      </c>
      <c r="T6356">
        <v>0</v>
      </c>
      <c r="U6356">
        <v>5</v>
      </c>
      <c r="V6356">
        <v>0</v>
      </c>
      <c r="W6356">
        <v>0</v>
      </c>
      <c r="X6356">
        <v>0</v>
      </c>
    </row>
    <row r="6357" spans="1:40" x14ac:dyDescent="0.25">
      <c r="A6357" t="s">
        <v>15</v>
      </c>
      <c r="B6357" t="s">
        <v>24</v>
      </c>
      <c r="C6357">
        <v>20150316</v>
      </c>
      <c r="D6357">
        <v>0</v>
      </c>
      <c r="F6357">
        <v>62500</v>
      </c>
      <c r="G6357" t="s">
        <v>17</v>
      </c>
      <c r="I6357" t="s">
        <v>16</v>
      </c>
      <c r="J6357" t="s">
        <v>180</v>
      </c>
      <c r="K6357" t="s">
        <v>25</v>
      </c>
      <c r="L6357">
        <v>132757294</v>
      </c>
      <c r="R6357">
        <v>9679</v>
      </c>
      <c r="S6357" t="s">
        <v>232</v>
      </c>
      <c r="T6357">
        <v>0</v>
      </c>
      <c r="U6357">
        <v>-47</v>
      </c>
      <c r="V6357">
        <v>0</v>
      </c>
      <c r="W6357">
        <v>0</v>
      </c>
      <c r="X6357">
        <v>0</v>
      </c>
    </row>
    <row r="6358" spans="1:40" x14ac:dyDescent="0.25">
      <c r="A6358" t="s">
        <v>15</v>
      </c>
      <c r="B6358" t="s">
        <v>24</v>
      </c>
      <c r="C6358">
        <v>20150316</v>
      </c>
      <c r="D6358">
        <v>0</v>
      </c>
      <c r="F6358">
        <v>62500</v>
      </c>
      <c r="G6358" t="s">
        <v>17</v>
      </c>
      <c r="I6358" t="s">
        <v>16</v>
      </c>
      <c r="J6358" t="s">
        <v>180</v>
      </c>
      <c r="K6358" t="s">
        <v>25</v>
      </c>
      <c r="L6358">
        <v>132757294</v>
      </c>
      <c r="R6358">
        <v>9678</v>
      </c>
      <c r="S6358" t="s">
        <v>223</v>
      </c>
      <c r="T6358">
        <v>0</v>
      </c>
      <c r="U6358">
        <v>5</v>
      </c>
      <c r="V6358">
        <v>0</v>
      </c>
      <c r="W6358">
        <v>0</v>
      </c>
      <c r="X6358">
        <v>0</v>
      </c>
    </row>
    <row r="6359" spans="1:40" x14ac:dyDescent="0.25">
      <c r="A6359" t="s">
        <v>15</v>
      </c>
      <c r="B6359" t="s">
        <v>24</v>
      </c>
      <c r="C6359">
        <v>20150316</v>
      </c>
      <c r="D6359">
        <v>0</v>
      </c>
      <c r="F6359">
        <v>62500</v>
      </c>
      <c r="G6359" t="s">
        <v>17</v>
      </c>
      <c r="I6359" t="s">
        <v>16</v>
      </c>
      <c r="J6359" t="s">
        <v>180</v>
      </c>
      <c r="K6359" t="s">
        <v>25</v>
      </c>
      <c r="L6359">
        <v>132757294</v>
      </c>
      <c r="R6359">
        <v>9678</v>
      </c>
      <c r="S6359" t="s">
        <v>224</v>
      </c>
      <c r="T6359">
        <v>0</v>
      </c>
      <c r="U6359">
        <v>5</v>
      </c>
      <c r="V6359">
        <v>0</v>
      </c>
      <c r="W6359">
        <v>0</v>
      </c>
      <c r="X6359">
        <v>0</v>
      </c>
    </row>
    <row r="6360" spans="1:40" x14ac:dyDescent="0.25">
      <c r="A6360" t="s">
        <v>15</v>
      </c>
      <c r="B6360" t="s">
        <v>24</v>
      </c>
      <c r="C6360">
        <v>20150316</v>
      </c>
      <c r="D6360">
        <v>0</v>
      </c>
      <c r="F6360">
        <v>62500</v>
      </c>
      <c r="G6360" t="s">
        <v>17</v>
      </c>
      <c r="I6360" t="s">
        <v>16</v>
      </c>
      <c r="J6360" t="s">
        <v>180</v>
      </c>
      <c r="K6360" t="s">
        <v>25</v>
      </c>
      <c r="L6360">
        <v>132757294</v>
      </c>
      <c r="R6360">
        <v>9679</v>
      </c>
      <c r="S6360" t="s">
        <v>232</v>
      </c>
      <c r="T6360">
        <v>0</v>
      </c>
      <c r="U6360">
        <v>-47</v>
      </c>
      <c r="V6360">
        <v>0</v>
      </c>
      <c r="W6360">
        <v>0</v>
      </c>
      <c r="X6360">
        <v>0</v>
      </c>
    </row>
    <row r="6361" spans="1:40" x14ac:dyDescent="0.25">
      <c r="A6361" t="s">
        <v>15</v>
      </c>
      <c r="B6361" t="s">
        <v>24</v>
      </c>
      <c r="C6361">
        <v>20150316</v>
      </c>
      <c r="D6361">
        <v>0</v>
      </c>
      <c r="F6361">
        <v>62500</v>
      </c>
      <c r="G6361" t="s">
        <v>17</v>
      </c>
      <c r="I6361" t="s">
        <v>16</v>
      </c>
      <c r="J6361" t="s">
        <v>180</v>
      </c>
      <c r="K6361" t="s">
        <v>25</v>
      </c>
      <c r="L6361">
        <v>132757294</v>
      </c>
      <c r="R6361">
        <v>9679</v>
      </c>
      <c r="S6361" t="s">
        <v>192</v>
      </c>
      <c r="T6361">
        <v>0</v>
      </c>
      <c r="U6361">
        <v>47</v>
      </c>
      <c r="V6361">
        <v>0</v>
      </c>
      <c r="W6361">
        <v>0</v>
      </c>
      <c r="X6361">
        <v>0</v>
      </c>
    </row>
    <row r="6362" spans="1:40" x14ac:dyDescent="0.25">
      <c r="A6362" t="s">
        <v>15</v>
      </c>
      <c r="B6362" t="s">
        <v>24</v>
      </c>
      <c r="C6362">
        <v>20150316</v>
      </c>
      <c r="D6362">
        <v>0</v>
      </c>
      <c r="F6362">
        <v>62500</v>
      </c>
      <c r="G6362" t="s">
        <v>17</v>
      </c>
      <c r="I6362" t="s">
        <v>16</v>
      </c>
      <c r="J6362" t="s">
        <v>180</v>
      </c>
      <c r="K6362" t="s">
        <v>25</v>
      </c>
      <c r="L6362">
        <v>132757294</v>
      </c>
      <c r="R6362">
        <v>9680</v>
      </c>
      <c r="S6362" t="s">
        <v>232</v>
      </c>
      <c r="T6362">
        <v>0</v>
      </c>
      <c r="U6362">
        <v>5</v>
      </c>
      <c r="V6362">
        <v>0</v>
      </c>
      <c r="W6362">
        <v>0</v>
      </c>
      <c r="X6362">
        <v>0</v>
      </c>
    </row>
    <row r="6363" spans="1:40" x14ac:dyDescent="0.25">
      <c r="A6363" t="s">
        <v>15</v>
      </c>
      <c r="B6363" t="s">
        <v>24</v>
      </c>
      <c r="C6363">
        <v>20150316</v>
      </c>
      <c r="D6363">
        <v>0</v>
      </c>
      <c r="F6363">
        <v>62500</v>
      </c>
      <c r="G6363" t="s">
        <v>17</v>
      </c>
      <c r="I6363" t="s">
        <v>16</v>
      </c>
      <c r="J6363" t="s">
        <v>180</v>
      </c>
      <c r="K6363" t="s">
        <v>25</v>
      </c>
      <c r="L6363">
        <v>132757294</v>
      </c>
      <c r="R6363">
        <v>9680</v>
      </c>
      <c r="S6363" t="s">
        <v>232</v>
      </c>
      <c r="T6363">
        <v>0</v>
      </c>
      <c r="U6363">
        <v>-5</v>
      </c>
      <c r="V6363">
        <v>0</v>
      </c>
      <c r="W6363">
        <v>0</v>
      </c>
      <c r="X6363">
        <v>0</v>
      </c>
      <c r="Y6363">
        <v>9680</v>
      </c>
      <c r="Z6363" t="s">
        <v>454</v>
      </c>
      <c r="AA6363" t="s">
        <v>455</v>
      </c>
      <c r="AB6363" t="s">
        <v>234</v>
      </c>
      <c r="AC6363" t="s">
        <v>17</v>
      </c>
      <c r="AD6363" t="s">
        <v>235</v>
      </c>
      <c r="AE6363">
        <v>5</v>
      </c>
      <c r="AF6363">
        <v>5</v>
      </c>
      <c r="AG6363">
        <v>1.5253000000000001</v>
      </c>
      <c r="AH6363">
        <v>1.5253000000000001</v>
      </c>
      <c r="AI6363">
        <v>415886713</v>
      </c>
      <c r="AJ6363">
        <v>0</v>
      </c>
      <c r="AK6363">
        <v>7</v>
      </c>
      <c r="AN6363">
        <v>0</v>
      </c>
    </row>
    <row r="6364" spans="1:40" x14ac:dyDescent="0.25">
      <c r="A6364" t="s">
        <v>15</v>
      </c>
      <c r="B6364" t="s">
        <v>24</v>
      </c>
      <c r="C6364">
        <v>20150316</v>
      </c>
      <c r="D6364">
        <v>0</v>
      </c>
      <c r="F6364">
        <v>62500</v>
      </c>
      <c r="G6364" t="s">
        <v>17</v>
      </c>
      <c r="I6364" t="s">
        <v>16</v>
      </c>
      <c r="J6364" t="s">
        <v>180</v>
      </c>
      <c r="K6364" t="s">
        <v>25</v>
      </c>
      <c r="L6364">
        <v>132757294</v>
      </c>
      <c r="R6364">
        <v>9680</v>
      </c>
      <c r="S6364" t="s">
        <v>232</v>
      </c>
      <c r="T6364">
        <v>0</v>
      </c>
      <c r="U6364">
        <v>-5</v>
      </c>
      <c r="V6364">
        <v>0</v>
      </c>
      <c r="W6364">
        <v>0</v>
      </c>
      <c r="X6364">
        <v>0</v>
      </c>
    </row>
    <row r="6365" spans="1:40" x14ac:dyDescent="0.25">
      <c r="A6365" t="s">
        <v>15</v>
      </c>
      <c r="B6365" t="s">
        <v>24</v>
      </c>
      <c r="C6365">
        <v>20150316</v>
      </c>
      <c r="D6365">
        <v>0</v>
      </c>
      <c r="F6365">
        <v>62500</v>
      </c>
      <c r="G6365" t="s">
        <v>17</v>
      </c>
      <c r="I6365" t="s">
        <v>16</v>
      </c>
      <c r="J6365" t="s">
        <v>180</v>
      </c>
      <c r="K6365" t="s">
        <v>25</v>
      </c>
      <c r="L6365">
        <v>132757294</v>
      </c>
      <c r="R6365">
        <v>9680</v>
      </c>
      <c r="S6365" t="s">
        <v>37</v>
      </c>
      <c r="T6365">
        <v>5</v>
      </c>
      <c r="U6365">
        <v>0</v>
      </c>
      <c r="V6365">
        <v>1.5253000000000001</v>
      </c>
      <c r="W6365">
        <v>1.5253000000000001</v>
      </c>
      <c r="X6365">
        <v>0</v>
      </c>
    </row>
    <row r="6366" spans="1:40" x14ac:dyDescent="0.25">
      <c r="A6366" t="s">
        <v>15</v>
      </c>
      <c r="B6366" t="s">
        <v>24</v>
      </c>
      <c r="C6366">
        <v>20150316</v>
      </c>
      <c r="D6366">
        <v>0</v>
      </c>
      <c r="F6366">
        <v>62500</v>
      </c>
      <c r="G6366" t="s">
        <v>17</v>
      </c>
      <c r="I6366" t="s">
        <v>16</v>
      </c>
      <c r="J6366" t="s">
        <v>180</v>
      </c>
      <c r="K6366" t="s">
        <v>25</v>
      </c>
      <c r="L6366">
        <v>132757294</v>
      </c>
      <c r="R6366">
        <v>9680</v>
      </c>
      <c r="S6366" t="s">
        <v>37</v>
      </c>
      <c r="T6366">
        <v>5</v>
      </c>
      <c r="U6366">
        <v>0</v>
      </c>
      <c r="V6366">
        <v>1.5253000000000001</v>
      </c>
      <c r="W6366">
        <v>1.5253000000000001</v>
      </c>
      <c r="X6366">
        <v>0</v>
      </c>
    </row>
    <row r="6367" spans="1:40" x14ac:dyDescent="0.25">
      <c r="A6367" t="s">
        <v>15</v>
      </c>
      <c r="B6367" t="s">
        <v>24</v>
      </c>
      <c r="C6367">
        <v>20150316</v>
      </c>
      <c r="D6367">
        <v>0</v>
      </c>
      <c r="F6367">
        <v>62500</v>
      </c>
      <c r="G6367" t="s">
        <v>17</v>
      </c>
      <c r="I6367" t="s">
        <v>16</v>
      </c>
      <c r="J6367" t="s">
        <v>180</v>
      </c>
      <c r="K6367" t="s">
        <v>25</v>
      </c>
      <c r="L6367">
        <v>132757294</v>
      </c>
      <c r="R6367">
        <v>9680</v>
      </c>
      <c r="S6367" t="s">
        <v>37</v>
      </c>
      <c r="T6367">
        <v>5</v>
      </c>
      <c r="U6367">
        <v>0</v>
      </c>
      <c r="V6367">
        <v>1.5253000000000001</v>
      </c>
      <c r="W6367">
        <v>1.5253000000000001</v>
      </c>
      <c r="X6367">
        <v>0</v>
      </c>
    </row>
    <row r="6368" spans="1:40" x14ac:dyDescent="0.25">
      <c r="A6368" t="s">
        <v>15</v>
      </c>
      <c r="B6368" t="s">
        <v>24</v>
      </c>
      <c r="C6368">
        <v>20150316</v>
      </c>
      <c r="D6368">
        <v>0</v>
      </c>
      <c r="F6368">
        <v>62500</v>
      </c>
      <c r="G6368" t="s">
        <v>17</v>
      </c>
      <c r="I6368" t="s">
        <v>16</v>
      </c>
      <c r="J6368" t="s">
        <v>180</v>
      </c>
      <c r="K6368" t="s">
        <v>25</v>
      </c>
      <c r="L6368">
        <v>132757294</v>
      </c>
      <c r="R6368">
        <v>9680</v>
      </c>
      <c r="S6368" t="s">
        <v>37</v>
      </c>
      <c r="T6368">
        <v>5</v>
      </c>
      <c r="U6368">
        <v>0</v>
      </c>
      <c r="V6368">
        <v>1.5253000000000001</v>
      </c>
      <c r="W6368">
        <v>1.5253000000000001</v>
      </c>
      <c r="X6368">
        <v>0</v>
      </c>
    </row>
    <row r="6369" spans="1:24" x14ac:dyDescent="0.25">
      <c r="A6369" t="s">
        <v>15</v>
      </c>
      <c r="B6369" t="s">
        <v>24</v>
      </c>
      <c r="C6369">
        <v>20150316</v>
      </c>
      <c r="D6369">
        <v>0</v>
      </c>
      <c r="F6369">
        <v>62500</v>
      </c>
      <c r="G6369" t="s">
        <v>17</v>
      </c>
      <c r="I6369" t="s">
        <v>16</v>
      </c>
      <c r="J6369" t="s">
        <v>180</v>
      </c>
      <c r="K6369" t="s">
        <v>25</v>
      </c>
      <c r="L6369">
        <v>132757294</v>
      </c>
      <c r="R6369">
        <v>9680</v>
      </c>
      <c r="S6369" t="s">
        <v>37</v>
      </c>
      <c r="T6369">
        <v>5</v>
      </c>
      <c r="U6369">
        <v>0</v>
      </c>
      <c r="V6369">
        <v>1.5253000000000001</v>
      </c>
      <c r="W6369">
        <v>1.5253000000000001</v>
      </c>
      <c r="X6369">
        <v>0</v>
      </c>
    </row>
    <row r="6370" spans="1:24" x14ac:dyDescent="0.25">
      <c r="A6370" t="s">
        <v>15</v>
      </c>
      <c r="B6370" t="s">
        <v>24</v>
      </c>
      <c r="C6370">
        <v>20150316</v>
      </c>
      <c r="D6370">
        <v>0</v>
      </c>
      <c r="F6370">
        <v>62500</v>
      </c>
      <c r="G6370" t="s">
        <v>17</v>
      </c>
      <c r="I6370" t="s">
        <v>16</v>
      </c>
      <c r="J6370" t="s">
        <v>180</v>
      </c>
      <c r="K6370" t="s">
        <v>25</v>
      </c>
      <c r="L6370">
        <v>132757294</v>
      </c>
      <c r="R6370">
        <v>9680</v>
      </c>
      <c r="S6370" t="s">
        <v>37</v>
      </c>
      <c r="T6370">
        <v>5</v>
      </c>
      <c r="U6370">
        <v>0</v>
      </c>
      <c r="V6370">
        <v>1.5253000000000001</v>
      </c>
      <c r="W6370">
        <v>1.5253000000000001</v>
      </c>
      <c r="X6370">
        <v>0</v>
      </c>
    </row>
    <row r="6371" spans="1:24" x14ac:dyDescent="0.25">
      <c r="A6371" t="s">
        <v>15</v>
      </c>
      <c r="B6371" t="s">
        <v>24</v>
      </c>
      <c r="C6371">
        <v>20150316</v>
      </c>
      <c r="D6371">
        <v>0</v>
      </c>
      <c r="F6371">
        <v>62500</v>
      </c>
      <c r="G6371" t="s">
        <v>17</v>
      </c>
      <c r="I6371" t="s">
        <v>16</v>
      </c>
      <c r="J6371" t="s">
        <v>180</v>
      </c>
      <c r="K6371" t="s">
        <v>25</v>
      </c>
      <c r="L6371">
        <v>132757294</v>
      </c>
      <c r="R6371">
        <v>9680</v>
      </c>
      <c r="S6371" t="s">
        <v>37</v>
      </c>
      <c r="T6371">
        <v>5</v>
      </c>
      <c r="U6371">
        <v>0</v>
      </c>
      <c r="V6371">
        <v>1.5253000000000001</v>
      </c>
      <c r="W6371">
        <v>1.5253000000000001</v>
      </c>
      <c r="X6371">
        <v>0</v>
      </c>
    </row>
    <row r="6372" spans="1:24" x14ac:dyDescent="0.25">
      <c r="A6372" t="s">
        <v>15</v>
      </c>
      <c r="B6372" t="s">
        <v>24</v>
      </c>
      <c r="C6372">
        <v>20150316</v>
      </c>
      <c r="D6372">
        <v>0</v>
      </c>
      <c r="F6372">
        <v>62500</v>
      </c>
      <c r="G6372" t="s">
        <v>17</v>
      </c>
      <c r="I6372" t="s">
        <v>16</v>
      </c>
      <c r="J6372" t="s">
        <v>180</v>
      </c>
      <c r="K6372" t="s">
        <v>25</v>
      </c>
      <c r="L6372">
        <v>132757294</v>
      </c>
      <c r="R6372">
        <v>9680</v>
      </c>
      <c r="S6372" t="s">
        <v>37</v>
      </c>
      <c r="T6372">
        <v>5</v>
      </c>
      <c r="U6372">
        <v>0</v>
      </c>
      <c r="V6372">
        <v>1.5253000000000001</v>
      </c>
      <c r="W6372">
        <v>1.5253000000000001</v>
      </c>
      <c r="X6372">
        <v>0</v>
      </c>
    </row>
    <row r="6373" spans="1:24" x14ac:dyDescent="0.25">
      <c r="A6373" t="s">
        <v>15</v>
      </c>
      <c r="B6373" t="s">
        <v>24</v>
      </c>
      <c r="C6373">
        <v>20150316</v>
      </c>
      <c r="D6373">
        <v>0</v>
      </c>
      <c r="F6373">
        <v>62500</v>
      </c>
      <c r="G6373" t="s">
        <v>17</v>
      </c>
      <c r="I6373" t="s">
        <v>16</v>
      </c>
      <c r="J6373" t="s">
        <v>180</v>
      </c>
      <c r="K6373" t="s">
        <v>25</v>
      </c>
      <c r="L6373">
        <v>132757294</v>
      </c>
      <c r="R6373">
        <v>9681</v>
      </c>
      <c r="S6373" t="s">
        <v>232</v>
      </c>
      <c r="T6373">
        <v>0</v>
      </c>
      <c r="U6373">
        <v>52</v>
      </c>
      <c r="V6373">
        <v>0</v>
      </c>
      <c r="W6373">
        <v>0</v>
      </c>
      <c r="X6373">
        <v>0</v>
      </c>
    </row>
    <row r="6374" spans="1:24" x14ac:dyDescent="0.25">
      <c r="A6374" t="s">
        <v>15</v>
      </c>
      <c r="B6374" t="s">
        <v>24</v>
      </c>
      <c r="C6374">
        <v>20150316</v>
      </c>
      <c r="D6374">
        <v>0</v>
      </c>
      <c r="F6374">
        <v>62500</v>
      </c>
      <c r="G6374" t="s">
        <v>17</v>
      </c>
      <c r="I6374" t="s">
        <v>16</v>
      </c>
      <c r="J6374" t="s">
        <v>180</v>
      </c>
      <c r="K6374" t="s">
        <v>25</v>
      </c>
      <c r="L6374">
        <v>132757294</v>
      </c>
      <c r="R6374">
        <v>9677</v>
      </c>
      <c r="S6374" t="s">
        <v>223</v>
      </c>
      <c r="T6374">
        <v>0</v>
      </c>
      <c r="U6374">
        <v>46</v>
      </c>
      <c r="V6374">
        <v>0</v>
      </c>
      <c r="W6374">
        <v>0</v>
      </c>
      <c r="X6374">
        <v>0</v>
      </c>
    </row>
    <row r="6375" spans="1:24" x14ac:dyDescent="0.25">
      <c r="A6375" t="s">
        <v>15</v>
      </c>
      <c r="B6375" t="s">
        <v>24</v>
      </c>
      <c r="C6375">
        <v>20150316</v>
      </c>
      <c r="D6375">
        <v>0</v>
      </c>
      <c r="F6375">
        <v>62500</v>
      </c>
      <c r="G6375" t="s">
        <v>17</v>
      </c>
      <c r="I6375" t="s">
        <v>16</v>
      </c>
      <c r="J6375" t="s">
        <v>180</v>
      </c>
      <c r="K6375" t="s">
        <v>25</v>
      </c>
      <c r="L6375">
        <v>132757294</v>
      </c>
      <c r="R6375">
        <v>9677</v>
      </c>
      <c r="S6375" t="s">
        <v>224</v>
      </c>
      <c r="T6375">
        <v>0</v>
      </c>
      <c r="U6375">
        <v>46</v>
      </c>
      <c r="V6375">
        <v>0</v>
      </c>
      <c r="W6375">
        <v>0</v>
      </c>
      <c r="X6375">
        <v>0</v>
      </c>
    </row>
    <row r="6376" spans="1:24" x14ac:dyDescent="0.25">
      <c r="A6376" t="s">
        <v>15</v>
      </c>
      <c r="B6376" t="s">
        <v>24</v>
      </c>
      <c r="C6376">
        <v>20150316</v>
      </c>
      <c r="D6376">
        <v>0</v>
      </c>
      <c r="F6376">
        <v>62500</v>
      </c>
      <c r="G6376" t="s">
        <v>17</v>
      </c>
      <c r="I6376" t="s">
        <v>16</v>
      </c>
      <c r="J6376" t="s">
        <v>180</v>
      </c>
      <c r="K6376" t="s">
        <v>25</v>
      </c>
      <c r="L6376">
        <v>132757294</v>
      </c>
      <c r="R6376">
        <v>9679</v>
      </c>
      <c r="S6376" t="s">
        <v>223</v>
      </c>
      <c r="T6376">
        <v>0</v>
      </c>
      <c r="U6376">
        <v>47</v>
      </c>
      <c r="V6376">
        <v>0</v>
      </c>
      <c r="W6376">
        <v>0</v>
      </c>
      <c r="X6376">
        <v>0</v>
      </c>
    </row>
    <row r="6377" spans="1:24" x14ac:dyDescent="0.25">
      <c r="A6377" t="s">
        <v>15</v>
      </c>
      <c r="B6377" t="s">
        <v>24</v>
      </c>
      <c r="C6377">
        <v>20150316</v>
      </c>
      <c r="D6377">
        <v>0</v>
      </c>
      <c r="F6377">
        <v>62500</v>
      </c>
      <c r="G6377" t="s">
        <v>17</v>
      </c>
      <c r="I6377" t="s">
        <v>16</v>
      </c>
      <c r="J6377" t="s">
        <v>180</v>
      </c>
      <c r="K6377" t="s">
        <v>25</v>
      </c>
      <c r="L6377">
        <v>132757294</v>
      </c>
      <c r="R6377">
        <v>9679</v>
      </c>
      <c r="S6377" t="s">
        <v>224</v>
      </c>
      <c r="T6377">
        <v>0</v>
      </c>
      <c r="U6377">
        <v>47</v>
      </c>
      <c r="V6377">
        <v>0</v>
      </c>
      <c r="W6377">
        <v>0</v>
      </c>
      <c r="X6377">
        <v>0</v>
      </c>
    </row>
    <row r="6378" spans="1:24" x14ac:dyDescent="0.25">
      <c r="A6378" t="s">
        <v>15</v>
      </c>
      <c r="B6378" t="s">
        <v>24</v>
      </c>
      <c r="C6378">
        <v>20150316</v>
      </c>
      <c r="D6378">
        <v>0</v>
      </c>
      <c r="F6378">
        <v>62500</v>
      </c>
      <c r="G6378" t="s">
        <v>17</v>
      </c>
      <c r="I6378" t="s">
        <v>16</v>
      </c>
      <c r="J6378" t="s">
        <v>180</v>
      </c>
      <c r="K6378" t="s">
        <v>25</v>
      </c>
      <c r="L6378">
        <v>132757294</v>
      </c>
      <c r="R6378">
        <v>9681</v>
      </c>
      <c r="S6378" t="s">
        <v>232</v>
      </c>
      <c r="T6378">
        <v>0</v>
      </c>
      <c r="U6378">
        <v>52</v>
      </c>
      <c r="V6378">
        <v>0</v>
      </c>
      <c r="W6378">
        <v>0</v>
      </c>
      <c r="X6378">
        <v>0</v>
      </c>
    </row>
    <row r="6379" spans="1:24" x14ac:dyDescent="0.25">
      <c r="A6379" t="s">
        <v>15</v>
      </c>
      <c r="B6379" t="s">
        <v>24</v>
      </c>
      <c r="C6379">
        <v>20150316</v>
      </c>
      <c r="D6379">
        <v>0</v>
      </c>
      <c r="F6379">
        <v>62500</v>
      </c>
      <c r="G6379" t="s">
        <v>17</v>
      </c>
      <c r="I6379" t="s">
        <v>16</v>
      </c>
      <c r="J6379" t="s">
        <v>180</v>
      </c>
      <c r="K6379" t="s">
        <v>25</v>
      </c>
      <c r="L6379">
        <v>132757294</v>
      </c>
      <c r="R6379">
        <v>9681</v>
      </c>
      <c r="S6379" t="s">
        <v>192</v>
      </c>
      <c r="T6379">
        <v>0</v>
      </c>
      <c r="U6379">
        <v>52</v>
      </c>
      <c r="V6379">
        <v>0</v>
      </c>
      <c r="W6379">
        <v>0</v>
      </c>
      <c r="X6379">
        <v>0</v>
      </c>
    </row>
    <row r="6380" spans="1:24" x14ac:dyDescent="0.25">
      <c r="A6380" t="s">
        <v>15</v>
      </c>
      <c r="B6380" t="s">
        <v>24</v>
      </c>
      <c r="C6380">
        <v>20150316</v>
      </c>
      <c r="D6380">
        <v>0</v>
      </c>
      <c r="F6380">
        <v>62500</v>
      </c>
      <c r="G6380" t="s">
        <v>17</v>
      </c>
      <c r="I6380" t="s">
        <v>16</v>
      </c>
      <c r="J6380" t="s">
        <v>180</v>
      </c>
      <c r="K6380" t="s">
        <v>25</v>
      </c>
      <c r="L6380">
        <v>132757294</v>
      </c>
      <c r="R6380">
        <v>9682</v>
      </c>
      <c r="S6380" t="s">
        <v>232</v>
      </c>
      <c r="T6380">
        <v>0</v>
      </c>
      <c r="U6380">
        <v>-52</v>
      </c>
      <c r="V6380">
        <v>0</v>
      </c>
      <c r="W6380">
        <v>0</v>
      </c>
      <c r="X6380">
        <v>0</v>
      </c>
    </row>
    <row r="6381" spans="1:24" x14ac:dyDescent="0.25">
      <c r="A6381" t="s">
        <v>15</v>
      </c>
      <c r="B6381" t="s">
        <v>24</v>
      </c>
      <c r="C6381">
        <v>20150316</v>
      </c>
      <c r="D6381">
        <v>0</v>
      </c>
      <c r="F6381">
        <v>62500</v>
      </c>
      <c r="G6381" t="s">
        <v>17</v>
      </c>
      <c r="I6381" t="s">
        <v>16</v>
      </c>
      <c r="J6381" t="s">
        <v>180</v>
      </c>
      <c r="K6381" t="s">
        <v>25</v>
      </c>
      <c r="L6381">
        <v>132757294</v>
      </c>
      <c r="R6381">
        <v>9682</v>
      </c>
      <c r="S6381" t="s">
        <v>232</v>
      </c>
      <c r="T6381">
        <v>0</v>
      </c>
      <c r="U6381">
        <v>-52</v>
      </c>
      <c r="V6381">
        <v>0</v>
      </c>
      <c r="W6381">
        <v>0</v>
      </c>
      <c r="X6381">
        <v>0</v>
      </c>
    </row>
    <row r="6382" spans="1:24" x14ac:dyDescent="0.25">
      <c r="A6382" t="s">
        <v>15</v>
      </c>
      <c r="B6382" t="s">
        <v>24</v>
      </c>
      <c r="C6382">
        <v>20150316</v>
      </c>
      <c r="D6382">
        <v>0</v>
      </c>
      <c r="F6382">
        <v>62500</v>
      </c>
      <c r="G6382" t="s">
        <v>17</v>
      </c>
      <c r="I6382" t="s">
        <v>16</v>
      </c>
      <c r="J6382" t="s">
        <v>180</v>
      </c>
      <c r="K6382" t="s">
        <v>25</v>
      </c>
      <c r="L6382">
        <v>132757294</v>
      </c>
      <c r="R6382">
        <v>9682</v>
      </c>
      <c r="S6382" t="s">
        <v>192</v>
      </c>
      <c r="T6382">
        <v>0</v>
      </c>
      <c r="U6382">
        <v>52</v>
      </c>
      <c r="V6382">
        <v>0</v>
      </c>
      <c r="W6382">
        <v>0</v>
      </c>
      <c r="X6382">
        <v>0</v>
      </c>
    </row>
    <row r="6383" spans="1:24" x14ac:dyDescent="0.25">
      <c r="A6383" t="s">
        <v>15</v>
      </c>
      <c r="B6383" t="s">
        <v>24</v>
      </c>
      <c r="C6383">
        <v>20150316</v>
      </c>
      <c r="D6383">
        <v>0</v>
      </c>
      <c r="F6383">
        <v>62500</v>
      </c>
      <c r="G6383" t="s">
        <v>17</v>
      </c>
      <c r="I6383" t="s">
        <v>16</v>
      </c>
      <c r="J6383" t="s">
        <v>180</v>
      </c>
      <c r="K6383" t="s">
        <v>25</v>
      </c>
      <c r="L6383">
        <v>132757294</v>
      </c>
      <c r="R6383">
        <v>9683</v>
      </c>
      <c r="S6383" t="s">
        <v>232</v>
      </c>
      <c r="T6383">
        <v>0</v>
      </c>
      <c r="U6383">
        <v>49</v>
      </c>
      <c r="V6383">
        <v>0</v>
      </c>
      <c r="W6383">
        <v>0</v>
      </c>
      <c r="X6383">
        <v>0</v>
      </c>
    </row>
    <row r="6384" spans="1:24" x14ac:dyDescent="0.25">
      <c r="A6384" t="s">
        <v>15</v>
      </c>
      <c r="B6384" t="s">
        <v>24</v>
      </c>
      <c r="C6384">
        <v>20150316</v>
      </c>
      <c r="D6384">
        <v>0</v>
      </c>
      <c r="F6384">
        <v>62500</v>
      </c>
      <c r="G6384" t="s">
        <v>17</v>
      </c>
      <c r="I6384" t="s">
        <v>16</v>
      </c>
      <c r="J6384" t="s">
        <v>180</v>
      </c>
      <c r="K6384" t="s">
        <v>25</v>
      </c>
      <c r="L6384">
        <v>132757294</v>
      </c>
      <c r="R6384">
        <v>9681</v>
      </c>
      <c r="S6384" t="s">
        <v>223</v>
      </c>
      <c r="T6384">
        <v>0</v>
      </c>
      <c r="U6384">
        <v>52</v>
      </c>
      <c r="V6384">
        <v>0</v>
      </c>
      <c r="W6384">
        <v>0</v>
      </c>
      <c r="X6384">
        <v>0</v>
      </c>
    </row>
    <row r="6385" spans="1:24" x14ac:dyDescent="0.25">
      <c r="A6385" t="s">
        <v>15</v>
      </c>
      <c r="B6385" t="s">
        <v>24</v>
      </c>
      <c r="C6385">
        <v>20150316</v>
      </c>
      <c r="D6385">
        <v>0</v>
      </c>
      <c r="F6385">
        <v>62500</v>
      </c>
      <c r="G6385" t="s">
        <v>17</v>
      </c>
      <c r="I6385" t="s">
        <v>16</v>
      </c>
      <c r="J6385" t="s">
        <v>180</v>
      </c>
      <c r="K6385" t="s">
        <v>25</v>
      </c>
      <c r="L6385">
        <v>132757294</v>
      </c>
      <c r="R6385">
        <v>9681</v>
      </c>
      <c r="S6385" t="s">
        <v>224</v>
      </c>
      <c r="T6385">
        <v>0</v>
      </c>
      <c r="U6385">
        <v>52</v>
      </c>
      <c r="V6385">
        <v>0</v>
      </c>
      <c r="W6385">
        <v>0</v>
      </c>
      <c r="X6385">
        <v>0</v>
      </c>
    </row>
    <row r="6386" spans="1:24" x14ac:dyDescent="0.25">
      <c r="A6386" t="s">
        <v>15</v>
      </c>
      <c r="B6386" t="s">
        <v>24</v>
      </c>
      <c r="C6386">
        <v>20150316</v>
      </c>
      <c r="D6386">
        <v>0</v>
      </c>
      <c r="F6386">
        <v>62500</v>
      </c>
      <c r="G6386" t="s">
        <v>17</v>
      </c>
      <c r="I6386" t="s">
        <v>16</v>
      </c>
      <c r="J6386" t="s">
        <v>180</v>
      </c>
      <c r="K6386" t="s">
        <v>25</v>
      </c>
      <c r="L6386">
        <v>132757294</v>
      </c>
      <c r="R6386">
        <v>9682</v>
      </c>
      <c r="S6386" t="s">
        <v>223</v>
      </c>
      <c r="T6386">
        <v>0</v>
      </c>
      <c r="U6386">
        <v>52</v>
      </c>
      <c r="V6386">
        <v>0</v>
      </c>
      <c r="W6386">
        <v>0</v>
      </c>
      <c r="X6386">
        <v>0</v>
      </c>
    </row>
    <row r="6387" spans="1:24" x14ac:dyDescent="0.25">
      <c r="A6387" t="s">
        <v>15</v>
      </c>
      <c r="B6387" t="s">
        <v>24</v>
      </c>
      <c r="C6387">
        <v>20150316</v>
      </c>
      <c r="D6387">
        <v>0</v>
      </c>
      <c r="F6387">
        <v>62500</v>
      </c>
      <c r="G6387" t="s">
        <v>17</v>
      </c>
      <c r="I6387" t="s">
        <v>16</v>
      </c>
      <c r="J6387" t="s">
        <v>180</v>
      </c>
      <c r="K6387" t="s">
        <v>25</v>
      </c>
      <c r="L6387">
        <v>132757294</v>
      </c>
      <c r="R6387">
        <v>9682</v>
      </c>
      <c r="S6387" t="s">
        <v>224</v>
      </c>
      <c r="T6387">
        <v>0</v>
      </c>
      <c r="U6387">
        <v>52</v>
      </c>
      <c r="V6387">
        <v>0</v>
      </c>
      <c r="W6387">
        <v>0</v>
      </c>
      <c r="X6387">
        <v>0</v>
      </c>
    </row>
    <row r="6388" spans="1:24" x14ac:dyDescent="0.25">
      <c r="A6388" t="s">
        <v>15</v>
      </c>
      <c r="B6388" t="s">
        <v>24</v>
      </c>
      <c r="C6388">
        <v>20150316</v>
      </c>
      <c r="D6388">
        <v>0</v>
      </c>
      <c r="F6388">
        <v>62500</v>
      </c>
      <c r="G6388" t="s">
        <v>17</v>
      </c>
      <c r="I6388" t="s">
        <v>16</v>
      </c>
      <c r="J6388" t="s">
        <v>180</v>
      </c>
      <c r="K6388" t="s">
        <v>25</v>
      </c>
      <c r="L6388">
        <v>132757294</v>
      </c>
      <c r="R6388">
        <v>9683</v>
      </c>
      <c r="S6388" t="s">
        <v>232</v>
      </c>
      <c r="T6388">
        <v>0</v>
      </c>
      <c r="U6388">
        <v>49</v>
      </c>
      <c r="V6388">
        <v>0</v>
      </c>
      <c r="W6388">
        <v>0</v>
      </c>
      <c r="X6388">
        <v>0</v>
      </c>
    </row>
    <row r="6389" spans="1:24" x14ac:dyDescent="0.25">
      <c r="A6389" t="s">
        <v>15</v>
      </c>
      <c r="B6389" t="s">
        <v>24</v>
      </c>
      <c r="C6389">
        <v>20150316</v>
      </c>
      <c r="D6389">
        <v>0</v>
      </c>
      <c r="F6389">
        <v>62500</v>
      </c>
      <c r="G6389" t="s">
        <v>17</v>
      </c>
      <c r="I6389" t="s">
        <v>16</v>
      </c>
      <c r="J6389" t="s">
        <v>180</v>
      </c>
      <c r="K6389" t="s">
        <v>25</v>
      </c>
      <c r="L6389">
        <v>132757294</v>
      </c>
      <c r="R6389">
        <v>9683</v>
      </c>
      <c r="S6389" t="s">
        <v>192</v>
      </c>
      <c r="T6389">
        <v>0</v>
      </c>
      <c r="U6389">
        <v>49</v>
      </c>
      <c r="V6389">
        <v>0</v>
      </c>
      <c r="W6389">
        <v>0</v>
      </c>
      <c r="X6389">
        <v>0</v>
      </c>
    </row>
    <row r="6390" spans="1:24" x14ac:dyDescent="0.25">
      <c r="A6390" t="s">
        <v>15</v>
      </c>
      <c r="B6390" t="s">
        <v>24</v>
      </c>
      <c r="C6390">
        <v>20150316</v>
      </c>
      <c r="D6390">
        <v>0</v>
      </c>
      <c r="F6390">
        <v>62500</v>
      </c>
      <c r="G6390" t="s">
        <v>17</v>
      </c>
      <c r="I6390" t="s">
        <v>16</v>
      </c>
      <c r="J6390" t="s">
        <v>180</v>
      </c>
      <c r="K6390" t="s">
        <v>25</v>
      </c>
      <c r="L6390">
        <v>132757294</v>
      </c>
      <c r="R6390">
        <v>9684</v>
      </c>
      <c r="S6390" t="s">
        <v>232</v>
      </c>
      <c r="T6390">
        <v>0</v>
      </c>
      <c r="U6390">
        <v>-50</v>
      </c>
      <c r="V6390">
        <v>0</v>
      </c>
      <c r="W6390">
        <v>0</v>
      </c>
      <c r="X6390">
        <v>0</v>
      </c>
    </row>
    <row r="6391" spans="1:24" x14ac:dyDescent="0.25">
      <c r="A6391" t="s">
        <v>15</v>
      </c>
      <c r="B6391" t="s">
        <v>24</v>
      </c>
      <c r="C6391">
        <v>20150316</v>
      </c>
      <c r="D6391">
        <v>0</v>
      </c>
      <c r="F6391">
        <v>62500</v>
      </c>
      <c r="G6391" t="s">
        <v>17</v>
      </c>
      <c r="I6391" t="s">
        <v>16</v>
      </c>
      <c r="J6391" t="s">
        <v>180</v>
      </c>
      <c r="K6391" t="s">
        <v>25</v>
      </c>
      <c r="L6391">
        <v>132757294</v>
      </c>
      <c r="R6391">
        <v>9684</v>
      </c>
      <c r="S6391" t="s">
        <v>232</v>
      </c>
      <c r="T6391">
        <v>0</v>
      </c>
      <c r="U6391">
        <v>-50</v>
      </c>
      <c r="V6391">
        <v>0</v>
      </c>
      <c r="W6391">
        <v>0</v>
      </c>
      <c r="X6391">
        <v>0</v>
      </c>
    </row>
    <row r="6392" spans="1:24" x14ac:dyDescent="0.25">
      <c r="A6392" t="s">
        <v>15</v>
      </c>
      <c r="B6392" t="s">
        <v>24</v>
      </c>
      <c r="C6392">
        <v>20150316</v>
      </c>
      <c r="D6392">
        <v>0</v>
      </c>
      <c r="F6392">
        <v>62500</v>
      </c>
      <c r="G6392" t="s">
        <v>17</v>
      </c>
      <c r="I6392" t="s">
        <v>16</v>
      </c>
      <c r="J6392" t="s">
        <v>180</v>
      </c>
      <c r="K6392" t="s">
        <v>25</v>
      </c>
      <c r="L6392">
        <v>132757294</v>
      </c>
      <c r="R6392">
        <v>9684</v>
      </c>
      <c r="S6392" t="s">
        <v>192</v>
      </c>
      <c r="T6392">
        <v>0</v>
      </c>
      <c r="U6392">
        <v>50</v>
      </c>
      <c r="V6392">
        <v>0</v>
      </c>
      <c r="W6392">
        <v>0</v>
      </c>
      <c r="X6392">
        <v>0</v>
      </c>
    </row>
    <row r="6393" spans="1:24" x14ac:dyDescent="0.25">
      <c r="A6393" t="s">
        <v>15</v>
      </c>
      <c r="B6393" t="s">
        <v>24</v>
      </c>
      <c r="C6393">
        <v>20150316</v>
      </c>
      <c r="D6393">
        <v>0</v>
      </c>
      <c r="F6393">
        <v>62500</v>
      </c>
      <c r="G6393" t="s">
        <v>17</v>
      </c>
      <c r="I6393" t="s">
        <v>16</v>
      </c>
      <c r="J6393" t="s">
        <v>180</v>
      </c>
      <c r="K6393" t="s">
        <v>25</v>
      </c>
      <c r="L6393">
        <v>132757294</v>
      </c>
      <c r="R6393">
        <v>9685</v>
      </c>
      <c r="S6393" t="s">
        <v>232</v>
      </c>
      <c r="T6393">
        <v>0</v>
      </c>
      <c r="U6393">
        <v>52</v>
      </c>
      <c r="V6393">
        <v>0</v>
      </c>
      <c r="W6393">
        <v>0</v>
      </c>
      <c r="X6393">
        <v>0</v>
      </c>
    </row>
    <row r="6394" spans="1:24" x14ac:dyDescent="0.25">
      <c r="A6394" t="s">
        <v>15</v>
      </c>
      <c r="B6394" t="s">
        <v>24</v>
      </c>
      <c r="C6394">
        <v>20150316</v>
      </c>
      <c r="D6394">
        <v>0</v>
      </c>
      <c r="F6394">
        <v>62500</v>
      </c>
      <c r="G6394" t="s">
        <v>17</v>
      </c>
      <c r="I6394" t="s">
        <v>16</v>
      </c>
      <c r="J6394" t="s">
        <v>180</v>
      </c>
      <c r="K6394" t="s">
        <v>25</v>
      </c>
      <c r="L6394">
        <v>132757294</v>
      </c>
      <c r="R6394">
        <v>9683</v>
      </c>
      <c r="S6394" t="s">
        <v>223</v>
      </c>
      <c r="T6394">
        <v>0</v>
      </c>
      <c r="U6394">
        <v>49</v>
      </c>
      <c r="V6394">
        <v>0</v>
      </c>
      <c r="W6394">
        <v>0</v>
      </c>
      <c r="X6394">
        <v>0</v>
      </c>
    </row>
    <row r="6395" spans="1:24" x14ac:dyDescent="0.25">
      <c r="A6395" t="s">
        <v>15</v>
      </c>
      <c r="B6395" t="s">
        <v>24</v>
      </c>
      <c r="C6395">
        <v>20150316</v>
      </c>
      <c r="D6395">
        <v>0</v>
      </c>
      <c r="F6395">
        <v>62500</v>
      </c>
      <c r="G6395" t="s">
        <v>17</v>
      </c>
      <c r="I6395" t="s">
        <v>16</v>
      </c>
      <c r="J6395" t="s">
        <v>180</v>
      </c>
      <c r="K6395" t="s">
        <v>25</v>
      </c>
      <c r="L6395">
        <v>132757294</v>
      </c>
      <c r="R6395">
        <v>9683</v>
      </c>
      <c r="S6395" t="s">
        <v>224</v>
      </c>
      <c r="T6395">
        <v>0</v>
      </c>
      <c r="U6395">
        <v>49</v>
      </c>
      <c r="V6395">
        <v>0</v>
      </c>
      <c r="W6395">
        <v>0</v>
      </c>
      <c r="X6395">
        <v>0</v>
      </c>
    </row>
    <row r="6396" spans="1:24" x14ac:dyDescent="0.25">
      <c r="A6396" t="s">
        <v>15</v>
      </c>
      <c r="B6396" t="s">
        <v>24</v>
      </c>
      <c r="C6396">
        <v>20150316</v>
      </c>
      <c r="D6396">
        <v>0</v>
      </c>
      <c r="F6396">
        <v>62500</v>
      </c>
      <c r="G6396" t="s">
        <v>17</v>
      </c>
      <c r="I6396" t="s">
        <v>16</v>
      </c>
      <c r="J6396" t="s">
        <v>180</v>
      </c>
      <c r="K6396" t="s">
        <v>25</v>
      </c>
      <c r="L6396">
        <v>132757294</v>
      </c>
      <c r="R6396">
        <v>9685</v>
      </c>
      <c r="S6396" t="s">
        <v>232</v>
      </c>
      <c r="T6396">
        <v>0</v>
      </c>
      <c r="U6396">
        <v>52</v>
      </c>
      <c r="V6396">
        <v>0</v>
      </c>
      <c r="W6396">
        <v>0</v>
      </c>
      <c r="X6396">
        <v>0</v>
      </c>
    </row>
    <row r="6397" spans="1:24" x14ac:dyDescent="0.25">
      <c r="A6397" t="s">
        <v>15</v>
      </c>
      <c r="B6397" t="s">
        <v>24</v>
      </c>
      <c r="C6397">
        <v>20150316</v>
      </c>
      <c r="D6397">
        <v>0</v>
      </c>
      <c r="F6397">
        <v>62500</v>
      </c>
      <c r="G6397" t="s">
        <v>17</v>
      </c>
      <c r="I6397" t="s">
        <v>16</v>
      </c>
      <c r="J6397" t="s">
        <v>180</v>
      </c>
      <c r="K6397" t="s">
        <v>25</v>
      </c>
      <c r="L6397">
        <v>132757294</v>
      </c>
      <c r="R6397">
        <v>9685</v>
      </c>
      <c r="S6397" t="s">
        <v>192</v>
      </c>
      <c r="T6397">
        <v>0</v>
      </c>
      <c r="U6397">
        <v>52</v>
      </c>
      <c r="V6397">
        <v>0</v>
      </c>
      <c r="W6397">
        <v>0</v>
      </c>
      <c r="X6397">
        <v>0</v>
      </c>
    </row>
    <row r="6398" spans="1:24" x14ac:dyDescent="0.25">
      <c r="A6398" t="s">
        <v>15</v>
      </c>
      <c r="B6398" t="s">
        <v>24</v>
      </c>
      <c r="C6398">
        <v>20150316</v>
      </c>
      <c r="D6398">
        <v>0</v>
      </c>
      <c r="F6398">
        <v>62500</v>
      </c>
      <c r="G6398" t="s">
        <v>17</v>
      </c>
      <c r="I6398" t="s">
        <v>16</v>
      </c>
      <c r="J6398" t="s">
        <v>180</v>
      </c>
      <c r="K6398" t="s">
        <v>25</v>
      </c>
      <c r="L6398">
        <v>132757294</v>
      </c>
      <c r="R6398">
        <v>9684</v>
      </c>
      <c r="S6398" t="s">
        <v>192</v>
      </c>
      <c r="T6398">
        <v>0</v>
      </c>
      <c r="U6398">
        <v>50</v>
      </c>
      <c r="V6398">
        <v>0</v>
      </c>
      <c r="W6398">
        <v>0</v>
      </c>
      <c r="X6398">
        <v>0</v>
      </c>
    </row>
    <row r="6399" spans="1:24" x14ac:dyDescent="0.25">
      <c r="A6399" t="s">
        <v>15</v>
      </c>
      <c r="B6399" t="s">
        <v>24</v>
      </c>
      <c r="C6399">
        <v>20150316</v>
      </c>
      <c r="D6399">
        <v>0</v>
      </c>
      <c r="F6399">
        <v>62500</v>
      </c>
      <c r="G6399" t="s">
        <v>17</v>
      </c>
      <c r="I6399" t="s">
        <v>16</v>
      </c>
      <c r="J6399" t="s">
        <v>180</v>
      </c>
      <c r="K6399" t="s">
        <v>25</v>
      </c>
      <c r="L6399">
        <v>132757294</v>
      </c>
      <c r="R6399">
        <v>9684</v>
      </c>
      <c r="S6399" t="s">
        <v>192</v>
      </c>
      <c r="T6399">
        <v>0</v>
      </c>
      <c r="U6399">
        <v>50</v>
      </c>
      <c r="V6399">
        <v>0</v>
      </c>
      <c r="W6399">
        <v>0</v>
      </c>
      <c r="X6399">
        <v>0</v>
      </c>
    </row>
    <row r="6400" spans="1:24" x14ac:dyDescent="0.25">
      <c r="A6400" t="s">
        <v>15</v>
      </c>
      <c r="B6400" t="s">
        <v>24</v>
      </c>
      <c r="C6400">
        <v>20150316</v>
      </c>
      <c r="D6400">
        <v>0</v>
      </c>
      <c r="F6400">
        <v>62500</v>
      </c>
      <c r="G6400" t="s">
        <v>17</v>
      </c>
      <c r="I6400" t="s">
        <v>16</v>
      </c>
      <c r="J6400" t="s">
        <v>180</v>
      </c>
      <c r="K6400" t="s">
        <v>25</v>
      </c>
      <c r="L6400">
        <v>132757294</v>
      </c>
      <c r="R6400">
        <v>9686</v>
      </c>
      <c r="S6400" t="s">
        <v>232</v>
      </c>
      <c r="T6400">
        <v>0</v>
      </c>
      <c r="U6400">
        <v>-5</v>
      </c>
      <c r="V6400">
        <v>0</v>
      </c>
      <c r="W6400">
        <v>0</v>
      </c>
      <c r="X6400">
        <v>0</v>
      </c>
    </row>
    <row r="6401" spans="1:40" x14ac:dyDescent="0.25">
      <c r="A6401" t="s">
        <v>15</v>
      </c>
      <c r="B6401" t="s">
        <v>24</v>
      </c>
      <c r="C6401">
        <v>20150316</v>
      </c>
      <c r="D6401">
        <v>0</v>
      </c>
      <c r="F6401">
        <v>62500</v>
      </c>
      <c r="G6401" t="s">
        <v>17</v>
      </c>
      <c r="I6401" t="s">
        <v>16</v>
      </c>
      <c r="J6401" t="s">
        <v>180</v>
      </c>
      <c r="K6401" t="s">
        <v>25</v>
      </c>
      <c r="L6401">
        <v>132757294</v>
      </c>
      <c r="R6401">
        <v>9684</v>
      </c>
      <c r="S6401" t="s">
        <v>192</v>
      </c>
      <c r="T6401">
        <v>0</v>
      </c>
      <c r="U6401">
        <v>50</v>
      </c>
      <c r="V6401">
        <v>0</v>
      </c>
      <c r="W6401">
        <v>0</v>
      </c>
      <c r="X6401">
        <v>0</v>
      </c>
      <c r="Y6401">
        <v>9684</v>
      </c>
      <c r="Z6401" t="s">
        <v>456</v>
      </c>
      <c r="AA6401" t="s">
        <v>457</v>
      </c>
      <c r="AB6401" t="s">
        <v>234</v>
      </c>
      <c r="AC6401" t="s">
        <v>17</v>
      </c>
      <c r="AD6401" t="s">
        <v>237</v>
      </c>
      <c r="AE6401">
        <v>6</v>
      </c>
      <c r="AF6401">
        <v>6</v>
      </c>
      <c r="AG6401">
        <v>1.5253000000000001</v>
      </c>
      <c r="AH6401">
        <v>1.5253000000000001</v>
      </c>
      <c r="AI6401">
        <v>415886717</v>
      </c>
      <c r="AJ6401">
        <v>0</v>
      </c>
      <c r="AK6401">
        <v>7</v>
      </c>
      <c r="AN6401">
        <v>0</v>
      </c>
    </row>
    <row r="6402" spans="1:40" x14ac:dyDescent="0.25">
      <c r="A6402" t="s">
        <v>15</v>
      </c>
      <c r="B6402" t="s">
        <v>24</v>
      </c>
      <c r="C6402">
        <v>20150316</v>
      </c>
      <c r="D6402">
        <v>0</v>
      </c>
      <c r="F6402">
        <v>62500</v>
      </c>
      <c r="G6402" t="s">
        <v>17</v>
      </c>
      <c r="I6402" t="s">
        <v>16</v>
      </c>
      <c r="J6402" t="s">
        <v>180</v>
      </c>
      <c r="K6402" t="s">
        <v>25</v>
      </c>
      <c r="L6402">
        <v>132757294</v>
      </c>
      <c r="R6402">
        <v>9684</v>
      </c>
      <c r="S6402" t="s">
        <v>192</v>
      </c>
      <c r="T6402">
        <v>0</v>
      </c>
      <c r="U6402">
        <v>50</v>
      </c>
      <c r="V6402">
        <v>0</v>
      </c>
      <c r="W6402">
        <v>0</v>
      </c>
      <c r="X6402">
        <v>0</v>
      </c>
    </row>
    <row r="6403" spans="1:40" x14ac:dyDescent="0.25">
      <c r="A6403" t="s">
        <v>15</v>
      </c>
      <c r="B6403" t="s">
        <v>24</v>
      </c>
      <c r="C6403">
        <v>20150316</v>
      </c>
      <c r="D6403">
        <v>0</v>
      </c>
      <c r="F6403">
        <v>62500</v>
      </c>
      <c r="G6403" t="s">
        <v>17</v>
      </c>
      <c r="I6403" t="s">
        <v>16</v>
      </c>
      <c r="J6403" t="s">
        <v>180</v>
      </c>
      <c r="K6403" t="s">
        <v>25</v>
      </c>
      <c r="L6403">
        <v>132757294</v>
      </c>
      <c r="R6403">
        <v>9684</v>
      </c>
      <c r="S6403" t="s">
        <v>192</v>
      </c>
      <c r="T6403">
        <v>6</v>
      </c>
      <c r="U6403">
        <v>44</v>
      </c>
      <c r="V6403">
        <v>1.5253000000000001</v>
      </c>
      <c r="W6403">
        <v>1.5253000000000001</v>
      </c>
      <c r="X6403">
        <v>0</v>
      </c>
    </row>
    <row r="6404" spans="1:40" x14ac:dyDescent="0.25">
      <c r="A6404" t="s">
        <v>15</v>
      </c>
      <c r="B6404" t="s">
        <v>24</v>
      </c>
      <c r="C6404">
        <v>20150316</v>
      </c>
      <c r="D6404">
        <v>0</v>
      </c>
      <c r="F6404">
        <v>62500</v>
      </c>
      <c r="G6404" t="s">
        <v>17</v>
      </c>
      <c r="I6404" t="s">
        <v>16</v>
      </c>
      <c r="J6404" t="s">
        <v>180</v>
      </c>
      <c r="K6404" t="s">
        <v>25</v>
      </c>
      <c r="L6404">
        <v>132757294</v>
      </c>
      <c r="R6404">
        <v>9684</v>
      </c>
      <c r="S6404" t="s">
        <v>192</v>
      </c>
      <c r="T6404">
        <v>6</v>
      </c>
      <c r="U6404">
        <v>44</v>
      </c>
      <c r="V6404">
        <v>1.5253000000000001</v>
      </c>
      <c r="W6404">
        <v>1.5253000000000001</v>
      </c>
      <c r="X6404">
        <v>0</v>
      </c>
    </row>
    <row r="6405" spans="1:40" x14ac:dyDescent="0.25">
      <c r="A6405" t="s">
        <v>15</v>
      </c>
      <c r="B6405" t="s">
        <v>24</v>
      </c>
      <c r="C6405">
        <v>20150316</v>
      </c>
      <c r="D6405">
        <v>0</v>
      </c>
      <c r="F6405">
        <v>62500</v>
      </c>
      <c r="G6405" t="s">
        <v>17</v>
      </c>
      <c r="I6405" t="s">
        <v>16</v>
      </c>
      <c r="J6405" t="s">
        <v>180</v>
      </c>
      <c r="K6405" t="s">
        <v>25</v>
      </c>
      <c r="L6405">
        <v>132757294</v>
      </c>
      <c r="R6405">
        <v>9684</v>
      </c>
      <c r="S6405" t="s">
        <v>233</v>
      </c>
      <c r="T6405">
        <v>6</v>
      </c>
      <c r="U6405">
        <v>44</v>
      </c>
      <c r="V6405">
        <v>1.5253000000000001</v>
      </c>
      <c r="W6405">
        <v>1.5253000000000001</v>
      </c>
      <c r="X6405">
        <v>0</v>
      </c>
    </row>
    <row r="6406" spans="1:40" x14ac:dyDescent="0.25">
      <c r="A6406" t="s">
        <v>15</v>
      </c>
      <c r="B6406" t="s">
        <v>24</v>
      </c>
      <c r="C6406">
        <v>20150316</v>
      </c>
      <c r="D6406">
        <v>0</v>
      </c>
      <c r="F6406">
        <v>62500</v>
      </c>
      <c r="G6406" t="s">
        <v>17</v>
      </c>
      <c r="I6406" t="s">
        <v>16</v>
      </c>
      <c r="J6406" t="s">
        <v>180</v>
      </c>
      <c r="K6406" t="s">
        <v>25</v>
      </c>
      <c r="L6406">
        <v>132757294</v>
      </c>
      <c r="R6406">
        <v>9684</v>
      </c>
      <c r="S6406" t="s">
        <v>233</v>
      </c>
      <c r="T6406">
        <v>6</v>
      </c>
      <c r="U6406">
        <v>44</v>
      </c>
      <c r="V6406">
        <v>1.5253000000000001</v>
      </c>
      <c r="W6406">
        <v>1.5253000000000001</v>
      </c>
      <c r="X6406">
        <v>0</v>
      </c>
      <c r="Y6406">
        <v>9684</v>
      </c>
      <c r="Z6406" t="s">
        <v>458</v>
      </c>
      <c r="AA6406" t="s">
        <v>457</v>
      </c>
      <c r="AB6406" t="s">
        <v>234</v>
      </c>
      <c r="AC6406" t="s">
        <v>17</v>
      </c>
      <c r="AD6406" t="s">
        <v>237</v>
      </c>
      <c r="AE6406">
        <v>2</v>
      </c>
      <c r="AF6406">
        <v>8</v>
      </c>
      <c r="AG6406">
        <v>1.5243</v>
      </c>
      <c r="AH6406">
        <v>1.52505</v>
      </c>
      <c r="AI6406">
        <v>415886717</v>
      </c>
      <c r="AJ6406">
        <v>0</v>
      </c>
      <c r="AK6406">
        <v>7</v>
      </c>
      <c r="AN6406">
        <v>0</v>
      </c>
    </row>
    <row r="6407" spans="1:40" x14ac:dyDescent="0.25">
      <c r="A6407" t="s">
        <v>15</v>
      </c>
      <c r="B6407" t="s">
        <v>24</v>
      </c>
      <c r="C6407">
        <v>20150316</v>
      </c>
      <c r="D6407">
        <v>0</v>
      </c>
      <c r="F6407">
        <v>62500</v>
      </c>
      <c r="G6407" t="s">
        <v>17</v>
      </c>
      <c r="I6407" t="s">
        <v>16</v>
      </c>
      <c r="J6407" t="s">
        <v>180</v>
      </c>
      <c r="K6407" t="s">
        <v>25</v>
      </c>
      <c r="L6407">
        <v>132757294</v>
      </c>
      <c r="R6407">
        <v>9684</v>
      </c>
      <c r="S6407" t="s">
        <v>233</v>
      </c>
      <c r="T6407">
        <v>6</v>
      </c>
      <c r="U6407">
        <v>44</v>
      </c>
      <c r="V6407">
        <v>1.5253000000000001</v>
      </c>
      <c r="W6407">
        <v>1.5253000000000001</v>
      </c>
      <c r="X6407">
        <v>0</v>
      </c>
    </row>
    <row r="6408" spans="1:40" x14ac:dyDescent="0.25">
      <c r="A6408" t="s">
        <v>15</v>
      </c>
      <c r="B6408" t="s">
        <v>24</v>
      </c>
      <c r="C6408">
        <v>20150316</v>
      </c>
      <c r="D6408">
        <v>0</v>
      </c>
      <c r="F6408">
        <v>62500</v>
      </c>
      <c r="G6408" t="s">
        <v>17</v>
      </c>
      <c r="I6408" t="s">
        <v>16</v>
      </c>
      <c r="J6408" t="s">
        <v>180</v>
      </c>
      <c r="K6408" t="s">
        <v>25</v>
      </c>
      <c r="L6408">
        <v>132757294</v>
      </c>
      <c r="R6408">
        <v>9684</v>
      </c>
      <c r="S6408" t="s">
        <v>233</v>
      </c>
      <c r="T6408">
        <v>8</v>
      </c>
      <c r="U6408">
        <v>42</v>
      </c>
      <c r="V6408">
        <v>1.52505</v>
      </c>
      <c r="W6408">
        <v>1.5243</v>
      </c>
      <c r="X6408">
        <v>0</v>
      </c>
    </row>
    <row r="6409" spans="1:40" x14ac:dyDescent="0.25">
      <c r="A6409" t="s">
        <v>15</v>
      </c>
      <c r="B6409" t="s">
        <v>24</v>
      </c>
      <c r="C6409">
        <v>20150316</v>
      </c>
      <c r="D6409">
        <v>0</v>
      </c>
      <c r="F6409">
        <v>62500</v>
      </c>
      <c r="G6409" t="s">
        <v>17</v>
      </c>
      <c r="I6409" t="s">
        <v>16</v>
      </c>
      <c r="J6409" t="s">
        <v>180</v>
      </c>
      <c r="K6409" t="s">
        <v>25</v>
      </c>
      <c r="L6409">
        <v>132757294</v>
      </c>
      <c r="R6409">
        <v>9684</v>
      </c>
      <c r="S6409" t="s">
        <v>233</v>
      </c>
      <c r="T6409">
        <v>8</v>
      </c>
      <c r="U6409">
        <v>42</v>
      </c>
      <c r="V6409">
        <v>1.52505</v>
      </c>
      <c r="W6409">
        <v>1.5243</v>
      </c>
      <c r="X6409">
        <v>0</v>
      </c>
    </row>
    <row r="6410" spans="1:40" x14ac:dyDescent="0.25">
      <c r="A6410" t="s">
        <v>15</v>
      </c>
      <c r="B6410" t="s">
        <v>24</v>
      </c>
      <c r="C6410">
        <v>20150316</v>
      </c>
      <c r="D6410">
        <v>0</v>
      </c>
      <c r="F6410">
        <v>62500</v>
      </c>
      <c r="G6410" t="s">
        <v>17</v>
      </c>
      <c r="I6410" t="s">
        <v>16</v>
      </c>
      <c r="J6410" t="s">
        <v>180</v>
      </c>
      <c r="K6410" t="s">
        <v>25</v>
      </c>
      <c r="L6410">
        <v>132757294</v>
      </c>
      <c r="R6410">
        <v>9684</v>
      </c>
      <c r="S6410" t="s">
        <v>233</v>
      </c>
      <c r="T6410">
        <v>8</v>
      </c>
      <c r="U6410">
        <v>42</v>
      </c>
      <c r="V6410">
        <v>1.52505</v>
      </c>
      <c r="W6410">
        <v>1.5243</v>
      </c>
      <c r="X6410">
        <v>0</v>
      </c>
    </row>
    <row r="6411" spans="1:40" x14ac:dyDescent="0.25">
      <c r="A6411" t="s">
        <v>15</v>
      </c>
      <c r="B6411" t="s">
        <v>24</v>
      </c>
      <c r="C6411">
        <v>20150316</v>
      </c>
      <c r="D6411">
        <v>0</v>
      </c>
      <c r="F6411">
        <v>62500</v>
      </c>
      <c r="G6411" t="s">
        <v>17</v>
      </c>
      <c r="I6411" t="s">
        <v>16</v>
      </c>
      <c r="J6411" t="s">
        <v>180</v>
      </c>
      <c r="K6411" t="s">
        <v>25</v>
      </c>
      <c r="L6411">
        <v>132757294</v>
      </c>
      <c r="R6411">
        <v>9684</v>
      </c>
      <c r="S6411" t="s">
        <v>233</v>
      </c>
      <c r="T6411">
        <v>8</v>
      </c>
      <c r="U6411">
        <v>42</v>
      </c>
      <c r="V6411">
        <v>1.52505</v>
      </c>
      <c r="W6411">
        <v>1.5243</v>
      </c>
      <c r="X6411">
        <v>0</v>
      </c>
    </row>
    <row r="6412" spans="1:40" x14ac:dyDescent="0.25">
      <c r="A6412" t="s">
        <v>15</v>
      </c>
      <c r="B6412" t="s">
        <v>24</v>
      </c>
      <c r="C6412">
        <v>20150316</v>
      </c>
      <c r="D6412">
        <v>0</v>
      </c>
      <c r="F6412">
        <v>62500</v>
      </c>
      <c r="G6412" t="s">
        <v>17</v>
      </c>
      <c r="I6412" t="s">
        <v>16</v>
      </c>
      <c r="J6412" t="s">
        <v>180</v>
      </c>
      <c r="K6412" t="s">
        <v>25</v>
      </c>
      <c r="L6412">
        <v>132757294</v>
      </c>
      <c r="R6412">
        <v>9684</v>
      </c>
      <c r="S6412" t="s">
        <v>233</v>
      </c>
      <c r="T6412">
        <v>8</v>
      </c>
      <c r="U6412">
        <v>42</v>
      </c>
      <c r="V6412">
        <v>1.52505</v>
      </c>
      <c r="W6412">
        <v>1.5243</v>
      </c>
      <c r="X6412">
        <v>0</v>
      </c>
    </row>
    <row r="6413" spans="1:40" x14ac:dyDescent="0.25">
      <c r="A6413" t="s">
        <v>15</v>
      </c>
      <c r="B6413" t="s">
        <v>24</v>
      </c>
      <c r="C6413">
        <v>20150316</v>
      </c>
      <c r="D6413">
        <v>0</v>
      </c>
      <c r="F6413">
        <v>62500</v>
      </c>
      <c r="G6413" t="s">
        <v>17</v>
      </c>
      <c r="I6413" t="s">
        <v>16</v>
      </c>
      <c r="J6413" t="s">
        <v>180</v>
      </c>
      <c r="K6413" t="s">
        <v>25</v>
      </c>
      <c r="L6413">
        <v>132757294</v>
      </c>
      <c r="R6413">
        <v>9684</v>
      </c>
      <c r="S6413" t="s">
        <v>233</v>
      </c>
      <c r="T6413">
        <v>8</v>
      </c>
      <c r="U6413">
        <v>42</v>
      </c>
      <c r="V6413">
        <v>1.52505</v>
      </c>
      <c r="W6413">
        <v>1.5243</v>
      </c>
      <c r="X6413">
        <v>0</v>
      </c>
      <c r="Y6413">
        <v>9684</v>
      </c>
      <c r="Z6413" t="s">
        <v>459</v>
      </c>
      <c r="AA6413" t="s">
        <v>457</v>
      </c>
      <c r="AB6413" t="s">
        <v>234</v>
      </c>
      <c r="AC6413" t="s">
        <v>17</v>
      </c>
      <c r="AD6413" t="s">
        <v>237</v>
      </c>
      <c r="AE6413">
        <v>2</v>
      </c>
      <c r="AF6413">
        <v>10</v>
      </c>
      <c r="AG6413">
        <v>1.5243</v>
      </c>
      <c r="AH6413">
        <v>1.5248999999999999</v>
      </c>
      <c r="AI6413">
        <v>415886717</v>
      </c>
      <c r="AJ6413">
        <v>0</v>
      </c>
      <c r="AK6413">
        <v>7</v>
      </c>
      <c r="AN6413">
        <v>0</v>
      </c>
    </row>
    <row r="6414" spans="1:40" x14ac:dyDescent="0.25">
      <c r="A6414" t="s">
        <v>15</v>
      </c>
      <c r="B6414" t="s">
        <v>24</v>
      </c>
      <c r="C6414">
        <v>20150316</v>
      </c>
      <c r="D6414">
        <v>0</v>
      </c>
      <c r="F6414">
        <v>62500</v>
      </c>
      <c r="G6414" t="s">
        <v>17</v>
      </c>
      <c r="I6414" t="s">
        <v>16</v>
      </c>
      <c r="J6414" t="s">
        <v>180</v>
      </c>
      <c r="K6414" t="s">
        <v>25</v>
      </c>
      <c r="L6414">
        <v>132757294</v>
      </c>
      <c r="R6414">
        <v>9684</v>
      </c>
      <c r="S6414" t="s">
        <v>233</v>
      </c>
      <c r="T6414">
        <v>8</v>
      </c>
      <c r="U6414">
        <v>42</v>
      </c>
      <c r="V6414">
        <v>1.52505</v>
      </c>
      <c r="W6414">
        <v>1.5243</v>
      </c>
      <c r="X6414">
        <v>0</v>
      </c>
    </row>
    <row r="6415" spans="1:40" x14ac:dyDescent="0.25">
      <c r="A6415" t="s">
        <v>15</v>
      </c>
      <c r="B6415" t="s">
        <v>24</v>
      </c>
      <c r="C6415">
        <v>20150316</v>
      </c>
      <c r="D6415">
        <v>0</v>
      </c>
      <c r="F6415">
        <v>62500</v>
      </c>
      <c r="G6415" t="s">
        <v>17</v>
      </c>
      <c r="I6415" t="s">
        <v>16</v>
      </c>
      <c r="J6415" t="s">
        <v>180</v>
      </c>
      <c r="K6415" t="s">
        <v>25</v>
      </c>
      <c r="L6415">
        <v>132757294</v>
      </c>
      <c r="R6415">
        <v>9684</v>
      </c>
      <c r="S6415" t="s">
        <v>233</v>
      </c>
      <c r="T6415">
        <v>10</v>
      </c>
      <c r="U6415">
        <v>40</v>
      </c>
      <c r="V6415">
        <v>1.5248999999999999</v>
      </c>
      <c r="W6415">
        <v>1.5243</v>
      </c>
      <c r="X6415">
        <v>0</v>
      </c>
    </row>
    <row r="6416" spans="1:40" x14ac:dyDescent="0.25">
      <c r="A6416" t="s">
        <v>15</v>
      </c>
      <c r="B6416" t="s">
        <v>24</v>
      </c>
      <c r="C6416">
        <v>20150316</v>
      </c>
      <c r="D6416">
        <v>0</v>
      </c>
      <c r="F6416">
        <v>62500</v>
      </c>
      <c r="G6416" t="s">
        <v>17</v>
      </c>
      <c r="I6416" t="s">
        <v>16</v>
      </c>
      <c r="J6416" t="s">
        <v>180</v>
      </c>
      <c r="K6416" t="s">
        <v>25</v>
      </c>
      <c r="L6416">
        <v>132757294</v>
      </c>
      <c r="R6416">
        <v>9684</v>
      </c>
      <c r="S6416" t="s">
        <v>233</v>
      </c>
      <c r="T6416">
        <v>10</v>
      </c>
      <c r="U6416">
        <v>40</v>
      </c>
      <c r="V6416">
        <v>1.5248999999999999</v>
      </c>
      <c r="W6416">
        <v>1.5243</v>
      </c>
      <c r="X6416">
        <v>0</v>
      </c>
      <c r="Y6416">
        <v>9684</v>
      </c>
      <c r="Z6416" t="s">
        <v>460</v>
      </c>
      <c r="AA6416" t="s">
        <v>457</v>
      </c>
      <c r="AB6416" t="s">
        <v>234</v>
      </c>
      <c r="AC6416" t="s">
        <v>17</v>
      </c>
      <c r="AD6416" t="s">
        <v>237</v>
      </c>
      <c r="AE6416">
        <v>3</v>
      </c>
      <c r="AF6416">
        <v>13</v>
      </c>
      <c r="AG6416">
        <v>1.5243</v>
      </c>
      <c r="AH6416">
        <v>1.524762</v>
      </c>
      <c r="AI6416">
        <v>415886717</v>
      </c>
      <c r="AJ6416">
        <v>0</v>
      </c>
      <c r="AK6416">
        <v>7</v>
      </c>
      <c r="AN6416">
        <v>0</v>
      </c>
    </row>
    <row r="6417" spans="1:40" x14ac:dyDescent="0.25">
      <c r="A6417" t="s">
        <v>15</v>
      </c>
      <c r="B6417" t="s">
        <v>24</v>
      </c>
      <c r="C6417">
        <v>20150316</v>
      </c>
      <c r="D6417">
        <v>0</v>
      </c>
      <c r="F6417">
        <v>62500</v>
      </c>
      <c r="G6417" t="s">
        <v>17</v>
      </c>
      <c r="I6417" t="s">
        <v>16</v>
      </c>
      <c r="J6417" t="s">
        <v>180</v>
      </c>
      <c r="K6417" t="s">
        <v>25</v>
      </c>
      <c r="L6417">
        <v>132757294</v>
      </c>
      <c r="R6417">
        <v>9684</v>
      </c>
      <c r="S6417" t="s">
        <v>233</v>
      </c>
      <c r="T6417">
        <v>10</v>
      </c>
      <c r="U6417">
        <v>40</v>
      </c>
      <c r="V6417">
        <v>1.5248999999999999</v>
      </c>
      <c r="W6417">
        <v>1.5243</v>
      </c>
      <c r="X6417">
        <v>0</v>
      </c>
    </row>
    <row r="6418" spans="1:40" x14ac:dyDescent="0.25">
      <c r="A6418" t="s">
        <v>15</v>
      </c>
      <c r="B6418" t="s">
        <v>24</v>
      </c>
      <c r="C6418">
        <v>20150316</v>
      </c>
      <c r="D6418">
        <v>0</v>
      </c>
      <c r="F6418">
        <v>62500</v>
      </c>
      <c r="G6418" t="s">
        <v>17</v>
      </c>
      <c r="I6418" t="s">
        <v>16</v>
      </c>
      <c r="J6418" t="s">
        <v>180</v>
      </c>
      <c r="K6418" t="s">
        <v>25</v>
      </c>
      <c r="L6418">
        <v>132757294</v>
      </c>
      <c r="R6418">
        <v>9684</v>
      </c>
      <c r="S6418" t="s">
        <v>233</v>
      </c>
      <c r="T6418">
        <v>13</v>
      </c>
      <c r="U6418">
        <v>37</v>
      </c>
      <c r="V6418">
        <v>1.524762</v>
      </c>
      <c r="W6418">
        <v>1.5243</v>
      </c>
      <c r="X6418">
        <v>0</v>
      </c>
    </row>
    <row r="6419" spans="1:40" x14ac:dyDescent="0.25">
      <c r="A6419" t="s">
        <v>15</v>
      </c>
      <c r="B6419" t="s">
        <v>24</v>
      </c>
      <c r="C6419">
        <v>20150316</v>
      </c>
      <c r="D6419">
        <v>0</v>
      </c>
      <c r="F6419">
        <v>62500</v>
      </c>
      <c r="G6419" t="s">
        <v>17</v>
      </c>
      <c r="I6419" t="s">
        <v>16</v>
      </c>
      <c r="J6419" t="s">
        <v>180</v>
      </c>
      <c r="K6419" t="s">
        <v>25</v>
      </c>
      <c r="L6419">
        <v>132757294</v>
      </c>
      <c r="R6419">
        <v>9684</v>
      </c>
      <c r="S6419" t="s">
        <v>233</v>
      </c>
      <c r="T6419">
        <v>13</v>
      </c>
      <c r="U6419">
        <v>37</v>
      </c>
      <c r="V6419">
        <v>1.524762</v>
      </c>
      <c r="W6419">
        <v>1.5243</v>
      </c>
      <c r="X6419">
        <v>0</v>
      </c>
      <c r="Y6419">
        <v>9684</v>
      </c>
      <c r="Z6419" t="s">
        <v>461</v>
      </c>
      <c r="AA6419" t="s">
        <v>457</v>
      </c>
      <c r="AB6419" t="s">
        <v>234</v>
      </c>
      <c r="AC6419" t="s">
        <v>17</v>
      </c>
      <c r="AD6419" t="s">
        <v>237</v>
      </c>
      <c r="AE6419">
        <v>2</v>
      </c>
      <c r="AF6419">
        <v>15</v>
      </c>
      <c r="AG6419">
        <v>1.5243</v>
      </c>
      <c r="AH6419">
        <v>1.5246999999999999</v>
      </c>
      <c r="AI6419">
        <v>415886717</v>
      </c>
      <c r="AJ6419">
        <v>0</v>
      </c>
      <c r="AK6419">
        <v>7</v>
      </c>
      <c r="AN6419">
        <v>0</v>
      </c>
    </row>
    <row r="6420" spans="1:40" x14ac:dyDescent="0.25">
      <c r="A6420" t="s">
        <v>15</v>
      </c>
      <c r="B6420" t="s">
        <v>24</v>
      </c>
      <c r="C6420">
        <v>20150316</v>
      </c>
      <c r="D6420">
        <v>0</v>
      </c>
      <c r="F6420">
        <v>62500</v>
      </c>
      <c r="G6420" t="s">
        <v>17</v>
      </c>
      <c r="I6420" t="s">
        <v>16</v>
      </c>
      <c r="J6420" t="s">
        <v>180</v>
      </c>
      <c r="K6420" t="s">
        <v>25</v>
      </c>
      <c r="L6420">
        <v>132757294</v>
      </c>
      <c r="R6420">
        <v>9684</v>
      </c>
      <c r="S6420" t="s">
        <v>233</v>
      </c>
      <c r="T6420">
        <v>13</v>
      </c>
      <c r="U6420">
        <v>37</v>
      </c>
      <c r="V6420">
        <v>1.524762</v>
      </c>
      <c r="W6420">
        <v>1.5243</v>
      </c>
      <c r="X6420">
        <v>0</v>
      </c>
    </row>
    <row r="6421" spans="1:40" x14ac:dyDescent="0.25">
      <c r="A6421" t="s">
        <v>15</v>
      </c>
      <c r="B6421" t="s">
        <v>24</v>
      </c>
      <c r="C6421">
        <v>20150316</v>
      </c>
      <c r="D6421">
        <v>0</v>
      </c>
      <c r="F6421">
        <v>62500</v>
      </c>
      <c r="G6421" t="s">
        <v>17</v>
      </c>
      <c r="I6421" t="s">
        <v>16</v>
      </c>
      <c r="J6421" t="s">
        <v>180</v>
      </c>
      <c r="K6421" t="s">
        <v>25</v>
      </c>
      <c r="L6421">
        <v>132757294</v>
      </c>
      <c r="R6421">
        <v>9684</v>
      </c>
      <c r="S6421" t="s">
        <v>233</v>
      </c>
      <c r="T6421">
        <v>15</v>
      </c>
      <c r="U6421">
        <v>35</v>
      </c>
      <c r="V6421">
        <v>1.5246999999999999</v>
      </c>
      <c r="W6421">
        <v>1.5243</v>
      </c>
      <c r="X6421">
        <v>0</v>
      </c>
    </row>
    <row r="6422" spans="1:40" x14ac:dyDescent="0.25">
      <c r="A6422" t="s">
        <v>15</v>
      </c>
      <c r="B6422" t="s">
        <v>24</v>
      </c>
      <c r="C6422">
        <v>20150316</v>
      </c>
      <c r="D6422">
        <v>0</v>
      </c>
      <c r="F6422">
        <v>62500</v>
      </c>
      <c r="G6422" t="s">
        <v>17</v>
      </c>
      <c r="I6422" t="s">
        <v>16</v>
      </c>
      <c r="J6422" t="s">
        <v>180</v>
      </c>
      <c r="K6422" t="s">
        <v>25</v>
      </c>
      <c r="L6422">
        <v>132757294</v>
      </c>
      <c r="R6422">
        <v>9684</v>
      </c>
      <c r="S6422" t="s">
        <v>233</v>
      </c>
      <c r="T6422">
        <v>15</v>
      </c>
      <c r="U6422">
        <v>35</v>
      </c>
      <c r="V6422">
        <v>1.5246999999999999</v>
      </c>
      <c r="W6422">
        <v>1.5243</v>
      </c>
      <c r="X6422">
        <v>0</v>
      </c>
      <c r="Y6422">
        <v>9684</v>
      </c>
      <c r="Z6422" t="s">
        <v>462</v>
      </c>
      <c r="AA6422" t="s">
        <v>457</v>
      </c>
      <c r="AB6422" t="s">
        <v>234</v>
      </c>
      <c r="AC6422" t="s">
        <v>17</v>
      </c>
      <c r="AD6422" t="s">
        <v>237</v>
      </c>
      <c r="AE6422">
        <v>35</v>
      </c>
      <c r="AF6422">
        <v>50</v>
      </c>
      <c r="AG6422">
        <v>1.5243</v>
      </c>
      <c r="AH6422">
        <v>1.5244200000000001</v>
      </c>
      <c r="AI6422">
        <v>415886717</v>
      </c>
      <c r="AJ6422">
        <v>0</v>
      </c>
      <c r="AK6422">
        <v>7</v>
      </c>
      <c r="AN6422">
        <v>0</v>
      </c>
    </row>
    <row r="6423" spans="1:40" x14ac:dyDescent="0.25">
      <c r="A6423" t="s">
        <v>15</v>
      </c>
      <c r="B6423" t="s">
        <v>24</v>
      </c>
      <c r="C6423">
        <v>20150316</v>
      </c>
      <c r="D6423">
        <v>0</v>
      </c>
      <c r="F6423">
        <v>62500</v>
      </c>
      <c r="G6423" t="s">
        <v>17</v>
      </c>
      <c r="I6423" t="s">
        <v>16</v>
      </c>
      <c r="J6423" t="s">
        <v>180</v>
      </c>
      <c r="K6423" t="s">
        <v>25</v>
      </c>
      <c r="L6423">
        <v>132757294</v>
      </c>
      <c r="R6423">
        <v>9684</v>
      </c>
      <c r="S6423" t="s">
        <v>233</v>
      </c>
      <c r="T6423">
        <v>15</v>
      </c>
      <c r="U6423">
        <v>35</v>
      </c>
      <c r="V6423">
        <v>1.5246999999999999</v>
      </c>
      <c r="W6423">
        <v>1.5243</v>
      </c>
      <c r="X6423">
        <v>0</v>
      </c>
    </row>
    <row r="6424" spans="1:40" x14ac:dyDescent="0.25">
      <c r="A6424" t="s">
        <v>15</v>
      </c>
      <c r="B6424" t="s">
        <v>24</v>
      </c>
      <c r="C6424">
        <v>20150316</v>
      </c>
      <c r="D6424">
        <v>0</v>
      </c>
      <c r="F6424">
        <v>62500</v>
      </c>
      <c r="G6424" t="s">
        <v>17</v>
      </c>
      <c r="I6424" t="s">
        <v>16</v>
      </c>
      <c r="J6424" t="s">
        <v>180</v>
      </c>
      <c r="K6424" t="s">
        <v>25</v>
      </c>
      <c r="L6424">
        <v>132757294</v>
      </c>
      <c r="R6424">
        <v>9684</v>
      </c>
      <c r="S6424" t="s">
        <v>37</v>
      </c>
      <c r="T6424">
        <v>50</v>
      </c>
      <c r="U6424">
        <v>0</v>
      </c>
      <c r="V6424">
        <v>1.5244200000000001</v>
      </c>
      <c r="W6424">
        <v>1.5243</v>
      </c>
      <c r="X6424">
        <v>0</v>
      </c>
    </row>
    <row r="6425" spans="1:40" x14ac:dyDescent="0.25">
      <c r="A6425" t="s">
        <v>15</v>
      </c>
      <c r="B6425" t="s">
        <v>24</v>
      </c>
      <c r="C6425">
        <v>20150316</v>
      </c>
      <c r="D6425">
        <v>0</v>
      </c>
      <c r="F6425">
        <v>62500</v>
      </c>
      <c r="G6425" t="s">
        <v>17</v>
      </c>
      <c r="I6425" t="s">
        <v>16</v>
      </c>
      <c r="J6425" t="s">
        <v>180</v>
      </c>
      <c r="K6425" t="s">
        <v>25</v>
      </c>
      <c r="L6425">
        <v>132757294</v>
      </c>
      <c r="R6425">
        <v>9684</v>
      </c>
      <c r="S6425" t="s">
        <v>37</v>
      </c>
      <c r="T6425">
        <v>50</v>
      </c>
      <c r="U6425">
        <v>0</v>
      </c>
      <c r="V6425">
        <v>1.5244200000000001</v>
      </c>
      <c r="W6425">
        <v>1.5243</v>
      </c>
      <c r="X6425">
        <v>0</v>
      </c>
    </row>
    <row r="6426" spans="1:40" x14ac:dyDescent="0.25">
      <c r="A6426" t="s">
        <v>15</v>
      </c>
      <c r="B6426" t="s">
        <v>24</v>
      </c>
      <c r="C6426">
        <v>20150316</v>
      </c>
      <c r="D6426">
        <v>0</v>
      </c>
      <c r="F6426">
        <v>62500</v>
      </c>
      <c r="G6426" t="s">
        <v>17</v>
      </c>
      <c r="I6426" t="s">
        <v>16</v>
      </c>
      <c r="J6426" t="s">
        <v>180</v>
      </c>
      <c r="K6426" t="s">
        <v>25</v>
      </c>
      <c r="L6426">
        <v>132757294</v>
      </c>
      <c r="R6426">
        <v>9684</v>
      </c>
      <c r="S6426" t="s">
        <v>37</v>
      </c>
      <c r="T6426">
        <v>50</v>
      </c>
      <c r="U6426">
        <v>0</v>
      </c>
      <c r="V6426">
        <v>1.5244200000000001</v>
      </c>
      <c r="W6426">
        <v>1.5243</v>
      </c>
      <c r="X6426">
        <v>0</v>
      </c>
    </row>
    <row r="6427" spans="1:40" x14ac:dyDescent="0.25">
      <c r="A6427" t="s">
        <v>15</v>
      </c>
      <c r="B6427" t="s">
        <v>24</v>
      </c>
      <c r="C6427">
        <v>20150316</v>
      </c>
      <c r="D6427">
        <v>0</v>
      </c>
      <c r="F6427">
        <v>62500</v>
      </c>
      <c r="G6427" t="s">
        <v>17</v>
      </c>
      <c r="I6427" t="s">
        <v>16</v>
      </c>
      <c r="J6427" t="s">
        <v>180</v>
      </c>
      <c r="K6427" t="s">
        <v>25</v>
      </c>
      <c r="L6427">
        <v>132757294</v>
      </c>
      <c r="R6427">
        <v>9684</v>
      </c>
      <c r="S6427" t="s">
        <v>37</v>
      </c>
      <c r="T6427">
        <v>50</v>
      </c>
      <c r="U6427">
        <v>0</v>
      </c>
      <c r="V6427">
        <v>1.5244200000000001</v>
      </c>
      <c r="W6427">
        <v>1.5243</v>
      </c>
      <c r="X6427">
        <v>0</v>
      </c>
    </row>
    <row r="6428" spans="1:40" x14ac:dyDescent="0.25">
      <c r="A6428" t="s">
        <v>15</v>
      </c>
      <c r="B6428" t="s">
        <v>24</v>
      </c>
      <c r="C6428">
        <v>20150316</v>
      </c>
      <c r="D6428">
        <v>0</v>
      </c>
      <c r="F6428">
        <v>62500</v>
      </c>
      <c r="G6428" t="s">
        <v>17</v>
      </c>
      <c r="I6428" t="s">
        <v>16</v>
      </c>
      <c r="J6428" t="s">
        <v>180</v>
      </c>
      <c r="K6428" t="s">
        <v>25</v>
      </c>
      <c r="L6428">
        <v>132757294</v>
      </c>
      <c r="R6428">
        <v>9684</v>
      </c>
      <c r="S6428" t="s">
        <v>37</v>
      </c>
      <c r="T6428">
        <v>50</v>
      </c>
      <c r="U6428">
        <v>0</v>
      </c>
      <c r="V6428">
        <v>1.5244200000000001</v>
      </c>
      <c r="W6428">
        <v>1.5243</v>
      </c>
      <c r="X6428">
        <v>0</v>
      </c>
    </row>
    <row r="6429" spans="1:40" x14ac:dyDescent="0.25">
      <c r="A6429" t="s">
        <v>15</v>
      </c>
      <c r="B6429" t="s">
        <v>24</v>
      </c>
      <c r="C6429">
        <v>20150316</v>
      </c>
      <c r="D6429">
        <v>0</v>
      </c>
      <c r="F6429">
        <v>62500</v>
      </c>
      <c r="G6429" t="s">
        <v>17</v>
      </c>
      <c r="I6429" t="s">
        <v>16</v>
      </c>
      <c r="J6429" t="s">
        <v>180</v>
      </c>
      <c r="K6429" t="s">
        <v>25</v>
      </c>
      <c r="L6429">
        <v>132757294</v>
      </c>
      <c r="R6429">
        <v>9684</v>
      </c>
      <c r="S6429" t="s">
        <v>37</v>
      </c>
      <c r="T6429">
        <v>50</v>
      </c>
      <c r="U6429">
        <v>0</v>
      </c>
      <c r="V6429">
        <v>1.5244200000000001</v>
      </c>
      <c r="W6429">
        <v>1.5243</v>
      </c>
      <c r="X6429">
        <v>0</v>
      </c>
    </row>
    <row r="6430" spans="1:40" x14ac:dyDescent="0.25">
      <c r="A6430" t="s">
        <v>15</v>
      </c>
      <c r="B6430" t="s">
        <v>24</v>
      </c>
      <c r="C6430">
        <v>20150316</v>
      </c>
      <c r="D6430">
        <v>0</v>
      </c>
      <c r="F6430">
        <v>62500</v>
      </c>
      <c r="G6430" t="s">
        <v>17</v>
      </c>
      <c r="I6430" t="s">
        <v>16</v>
      </c>
      <c r="J6430" t="s">
        <v>180</v>
      </c>
      <c r="K6430" t="s">
        <v>25</v>
      </c>
      <c r="L6430">
        <v>132757294</v>
      </c>
      <c r="R6430">
        <v>9684</v>
      </c>
      <c r="S6430" t="s">
        <v>37</v>
      </c>
      <c r="T6430">
        <v>50</v>
      </c>
      <c r="U6430">
        <v>0</v>
      </c>
      <c r="V6430">
        <v>1.5244200000000001</v>
      </c>
      <c r="W6430">
        <v>1.5243</v>
      </c>
      <c r="X6430">
        <v>0</v>
      </c>
    </row>
    <row r="6431" spans="1:40" x14ac:dyDescent="0.25">
      <c r="A6431" t="s">
        <v>15</v>
      </c>
      <c r="B6431" t="s">
        <v>24</v>
      </c>
      <c r="C6431">
        <v>20150316</v>
      </c>
      <c r="D6431">
        <v>0</v>
      </c>
      <c r="F6431">
        <v>62500</v>
      </c>
      <c r="G6431" t="s">
        <v>17</v>
      </c>
      <c r="I6431" t="s">
        <v>16</v>
      </c>
      <c r="J6431" t="s">
        <v>180</v>
      </c>
      <c r="K6431" t="s">
        <v>25</v>
      </c>
      <c r="L6431">
        <v>132757294</v>
      </c>
      <c r="R6431">
        <v>9684</v>
      </c>
      <c r="S6431" t="s">
        <v>37</v>
      </c>
      <c r="T6431">
        <v>50</v>
      </c>
      <c r="U6431">
        <v>0</v>
      </c>
      <c r="V6431">
        <v>1.5244200000000001</v>
      </c>
      <c r="W6431">
        <v>1.5243</v>
      </c>
      <c r="X6431">
        <v>0</v>
      </c>
    </row>
    <row r="6432" spans="1:40" x14ac:dyDescent="0.25">
      <c r="A6432" t="s">
        <v>15</v>
      </c>
      <c r="B6432" t="s">
        <v>24</v>
      </c>
      <c r="C6432">
        <v>20150316</v>
      </c>
      <c r="D6432">
        <v>0</v>
      </c>
      <c r="F6432">
        <v>62500</v>
      </c>
      <c r="G6432" t="s">
        <v>17</v>
      </c>
      <c r="I6432" t="s">
        <v>16</v>
      </c>
      <c r="J6432" t="s">
        <v>180</v>
      </c>
      <c r="K6432" t="s">
        <v>25</v>
      </c>
      <c r="L6432">
        <v>132757294</v>
      </c>
      <c r="R6432">
        <v>9684</v>
      </c>
      <c r="S6432" t="s">
        <v>37</v>
      </c>
      <c r="T6432">
        <v>50</v>
      </c>
      <c r="U6432">
        <v>0</v>
      </c>
      <c r="V6432">
        <v>1.5244200000000001</v>
      </c>
      <c r="W6432">
        <v>1.5243</v>
      </c>
      <c r="X6432">
        <v>0</v>
      </c>
    </row>
    <row r="6433" spans="1:40" x14ac:dyDescent="0.25">
      <c r="A6433" t="s">
        <v>15</v>
      </c>
      <c r="B6433" t="s">
        <v>24</v>
      </c>
      <c r="C6433">
        <v>20150316</v>
      </c>
      <c r="D6433">
        <v>0</v>
      </c>
      <c r="F6433">
        <v>62500</v>
      </c>
      <c r="G6433" t="s">
        <v>17</v>
      </c>
      <c r="I6433" t="s">
        <v>16</v>
      </c>
      <c r="J6433" t="s">
        <v>180</v>
      </c>
      <c r="K6433" t="s">
        <v>25</v>
      </c>
      <c r="L6433">
        <v>132757294</v>
      </c>
      <c r="R6433">
        <v>9684</v>
      </c>
      <c r="S6433" t="s">
        <v>37</v>
      </c>
      <c r="T6433">
        <v>50</v>
      </c>
      <c r="U6433">
        <v>0</v>
      </c>
      <c r="V6433">
        <v>1.5244200000000001</v>
      </c>
      <c r="W6433">
        <v>1.5243</v>
      </c>
      <c r="X6433">
        <v>0</v>
      </c>
    </row>
    <row r="6434" spans="1:40" x14ac:dyDescent="0.25">
      <c r="A6434" t="s">
        <v>15</v>
      </c>
      <c r="B6434" t="s">
        <v>24</v>
      </c>
      <c r="C6434">
        <v>20150316</v>
      </c>
      <c r="D6434">
        <v>0</v>
      </c>
      <c r="F6434">
        <v>62500</v>
      </c>
      <c r="G6434" t="s">
        <v>17</v>
      </c>
      <c r="I6434" t="s">
        <v>16</v>
      </c>
      <c r="J6434" t="s">
        <v>180</v>
      </c>
      <c r="K6434" t="s">
        <v>25</v>
      </c>
      <c r="L6434">
        <v>132757294</v>
      </c>
      <c r="R6434">
        <v>9684</v>
      </c>
      <c r="S6434" t="s">
        <v>37</v>
      </c>
      <c r="T6434">
        <v>50</v>
      </c>
      <c r="U6434">
        <v>0</v>
      </c>
      <c r="V6434">
        <v>1.5244200000000001</v>
      </c>
      <c r="W6434">
        <v>1.5243</v>
      </c>
      <c r="X6434">
        <v>0</v>
      </c>
    </row>
    <row r="6435" spans="1:40" x14ac:dyDescent="0.25">
      <c r="A6435" t="s">
        <v>15</v>
      </c>
      <c r="B6435" t="s">
        <v>24</v>
      </c>
      <c r="C6435">
        <v>20150316</v>
      </c>
      <c r="D6435">
        <v>0</v>
      </c>
      <c r="F6435">
        <v>62500</v>
      </c>
      <c r="G6435" t="s">
        <v>17</v>
      </c>
      <c r="I6435" t="s">
        <v>16</v>
      </c>
      <c r="J6435" t="s">
        <v>180</v>
      </c>
      <c r="K6435" t="s">
        <v>25</v>
      </c>
      <c r="L6435">
        <v>132757294</v>
      </c>
      <c r="R6435">
        <v>9684</v>
      </c>
      <c r="S6435" t="s">
        <v>37</v>
      </c>
      <c r="T6435">
        <v>50</v>
      </c>
      <c r="U6435">
        <v>0</v>
      </c>
      <c r="V6435">
        <v>1.5244200000000001</v>
      </c>
      <c r="W6435">
        <v>1.5243</v>
      </c>
      <c r="X6435">
        <v>0</v>
      </c>
    </row>
    <row r="6436" spans="1:40" x14ac:dyDescent="0.25">
      <c r="A6436" t="s">
        <v>15</v>
      </c>
      <c r="B6436" t="s">
        <v>24</v>
      </c>
      <c r="C6436">
        <v>20150316</v>
      </c>
      <c r="D6436">
        <v>0</v>
      </c>
      <c r="F6436">
        <v>62500</v>
      </c>
      <c r="G6436" t="s">
        <v>17</v>
      </c>
      <c r="I6436" t="s">
        <v>16</v>
      </c>
      <c r="J6436" t="s">
        <v>180</v>
      </c>
      <c r="K6436" t="s">
        <v>25</v>
      </c>
      <c r="L6436">
        <v>132757294</v>
      </c>
      <c r="R6436">
        <v>9684</v>
      </c>
      <c r="S6436" t="s">
        <v>37</v>
      </c>
      <c r="T6436">
        <v>50</v>
      </c>
      <c r="U6436">
        <v>0</v>
      </c>
      <c r="V6436">
        <v>1.5244200000000001</v>
      </c>
      <c r="W6436">
        <v>1.5243</v>
      </c>
      <c r="X6436">
        <v>0</v>
      </c>
    </row>
    <row r="6437" spans="1:40" x14ac:dyDescent="0.25">
      <c r="A6437" t="s">
        <v>15</v>
      </c>
      <c r="B6437" t="s">
        <v>24</v>
      </c>
      <c r="C6437">
        <v>20150316</v>
      </c>
      <c r="D6437">
        <v>0</v>
      </c>
      <c r="F6437">
        <v>62500</v>
      </c>
      <c r="G6437" t="s">
        <v>17</v>
      </c>
      <c r="I6437" t="s">
        <v>16</v>
      </c>
      <c r="J6437" t="s">
        <v>180</v>
      </c>
      <c r="K6437" t="s">
        <v>25</v>
      </c>
      <c r="L6437">
        <v>132757294</v>
      </c>
      <c r="R6437">
        <v>9684</v>
      </c>
      <c r="S6437" t="s">
        <v>37</v>
      </c>
      <c r="T6437">
        <v>50</v>
      </c>
      <c r="U6437">
        <v>0</v>
      </c>
      <c r="V6437">
        <v>1.5244200000000001</v>
      </c>
      <c r="W6437">
        <v>1.5243</v>
      </c>
      <c r="X6437">
        <v>0</v>
      </c>
    </row>
    <row r="6438" spans="1:40" x14ac:dyDescent="0.25">
      <c r="A6438" t="s">
        <v>15</v>
      </c>
      <c r="B6438" t="s">
        <v>24</v>
      </c>
      <c r="C6438">
        <v>20150316</v>
      </c>
      <c r="D6438">
        <v>0</v>
      </c>
      <c r="F6438">
        <v>62500</v>
      </c>
      <c r="G6438" t="s">
        <v>17</v>
      </c>
      <c r="I6438" t="s">
        <v>16</v>
      </c>
      <c r="J6438" t="s">
        <v>180</v>
      </c>
      <c r="K6438" t="s">
        <v>25</v>
      </c>
      <c r="L6438">
        <v>132757294</v>
      </c>
      <c r="R6438">
        <v>9686</v>
      </c>
      <c r="S6438" t="s">
        <v>232</v>
      </c>
      <c r="T6438">
        <v>0</v>
      </c>
      <c r="U6438">
        <v>-5</v>
      </c>
      <c r="V6438">
        <v>0</v>
      </c>
      <c r="W6438">
        <v>0</v>
      </c>
      <c r="X6438">
        <v>0</v>
      </c>
      <c r="Y6438">
        <v>9686</v>
      </c>
      <c r="Z6438" t="s">
        <v>463</v>
      </c>
      <c r="AA6438" t="s">
        <v>457</v>
      </c>
      <c r="AB6438" t="s">
        <v>234</v>
      </c>
      <c r="AC6438" t="s">
        <v>17</v>
      </c>
      <c r="AD6438" t="s">
        <v>237</v>
      </c>
      <c r="AE6438">
        <v>5</v>
      </c>
      <c r="AF6438">
        <v>5</v>
      </c>
      <c r="AG6438">
        <v>1.5253000000000001</v>
      </c>
      <c r="AH6438">
        <v>1.5253000000000001</v>
      </c>
      <c r="AI6438">
        <v>415886719</v>
      </c>
      <c r="AJ6438">
        <v>0</v>
      </c>
      <c r="AK6438">
        <v>7</v>
      </c>
      <c r="AN6438">
        <v>0</v>
      </c>
    </row>
    <row r="6439" spans="1:40" x14ac:dyDescent="0.25">
      <c r="A6439" t="s">
        <v>15</v>
      </c>
      <c r="B6439" t="s">
        <v>24</v>
      </c>
      <c r="C6439">
        <v>20150316</v>
      </c>
      <c r="D6439">
        <v>0</v>
      </c>
      <c r="F6439">
        <v>62500</v>
      </c>
      <c r="G6439" t="s">
        <v>17</v>
      </c>
      <c r="I6439" t="s">
        <v>16</v>
      </c>
      <c r="J6439" t="s">
        <v>180</v>
      </c>
      <c r="K6439" t="s">
        <v>25</v>
      </c>
      <c r="L6439">
        <v>132757294</v>
      </c>
      <c r="R6439">
        <v>9686</v>
      </c>
      <c r="S6439" t="s">
        <v>232</v>
      </c>
      <c r="T6439">
        <v>0</v>
      </c>
      <c r="U6439">
        <v>-5</v>
      </c>
      <c r="V6439">
        <v>0</v>
      </c>
      <c r="W6439">
        <v>0</v>
      </c>
      <c r="X6439">
        <v>0</v>
      </c>
    </row>
    <row r="6440" spans="1:40" x14ac:dyDescent="0.25">
      <c r="A6440" t="s">
        <v>15</v>
      </c>
      <c r="B6440" t="s">
        <v>24</v>
      </c>
      <c r="C6440">
        <v>20150316</v>
      </c>
      <c r="D6440">
        <v>0</v>
      </c>
      <c r="F6440">
        <v>62500</v>
      </c>
      <c r="G6440" t="s">
        <v>17</v>
      </c>
      <c r="I6440" t="s">
        <v>16</v>
      </c>
      <c r="J6440" t="s">
        <v>180</v>
      </c>
      <c r="K6440" t="s">
        <v>25</v>
      </c>
      <c r="L6440">
        <v>132757294</v>
      </c>
      <c r="R6440">
        <v>9686</v>
      </c>
      <c r="S6440" t="s">
        <v>37</v>
      </c>
      <c r="T6440">
        <v>5</v>
      </c>
      <c r="U6440">
        <v>0</v>
      </c>
      <c r="V6440">
        <v>1.5253000000000001</v>
      </c>
      <c r="W6440">
        <v>1.5253000000000001</v>
      </c>
      <c r="X6440">
        <v>0</v>
      </c>
    </row>
    <row r="6441" spans="1:40" x14ac:dyDescent="0.25">
      <c r="A6441" t="s">
        <v>15</v>
      </c>
      <c r="B6441" t="s">
        <v>24</v>
      </c>
      <c r="C6441">
        <v>20150316</v>
      </c>
      <c r="D6441">
        <v>0</v>
      </c>
      <c r="F6441">
        <v>62500</v>
      </c>
      <c r="G6441" t="s">
        <v>17</v>
      </c>
      <c r="I6441" t="s">
        <v>16</v>
      </c>
      <c r="J6441" t="s">
        <v>180</v>
      </c>
      <c r="K6441" t="s">
        <v>25</v>
      </c>
      <c r="L6441">
        <v>132757294</v>
      </c>
      <c r="R6441">
        <v>9686</v>
      </c>
      <c r="S6441" t="s">
        <v>37</v>
      </c>
      <c r="T6441">
        <v>5</v>
      </c>
      <c r="U6441">
        <v>0</v>
      </c>
      <c r="V6441">
        <v>1.5253000000000001</v>
      </c>
      <c r="W6441">
        <v>1.5253000000000001</v>
      </c>
      <c r="X6441">
        <v>0</v>
      </c>
    </row>
    <row r="6442" spans="1:40" x14ac:dyDescent="0.25">
      <c r="A6442" t="s">
        <v>15</v>
      </c>
      <c r="B6442" t="s">
        <v>24</v>
      </c>
      <c r="C6442">
        <v>20150316</v>
      </c>
      <c r="D6442">
        <v>0</v>
      </c>
      <c r="F6442">
        <v>62500</v>
      </c>
      <c r="G6442" t="s">
        <v>17</v>
      </c>
      <c r="I6442" t="s">
        <v>16</v>
      </c>
      <c r="J6442" t="s">
        <v>180</v>
      </c>
      <c r="K6442" t="s">
        <v>25</v>
      </c>
      <c r="L6442">
        <v>132757294</v>
      </c>
      <c r="R6442">
        <v>9687</v>
      </c>
      <c r="S6442" t="s">
        <v>232</v>
      </c>
      <c r="T6442">
        <v>0</v>
      </c>
      <c r="U6442">
        <v>-51</v>
      </c>
      <c r="V6442">
        <v>0</v>
      </c>
      <c r="W6442">
        <v>0</v>
      </c>
      <c r="X6442">
        <v>0</v>
      </c>
    </row>
    <row r="6443" spans="1:40" x14ac:dyDescent="0.25">
      <c r="A6443" t="s">
        <v>15</v>
      </c>
      <c r="B6443" t="s">
        <v>24</v>
      </c>
      <c r="C6443">
        <v>20150316</v>
      </c>
      <c r="D6443">
        <v>0</v>
      </c>
      <c r="F6443">
        <v>62500</v>
      </c>
      <c r="G6443" t="s">
        <v>17</v>
      </c>
      <c r="I6443" t="s">
        <v>16</v>
      </c>
      <c r="J6443" t="s">
        <v>180</v>
      </c>
      <c r="K6443" t="s">
        <v>25</v>
      </c>
      <c r="L6443">
        <v>132757294</v>
      </c>
      <c r="R6443">
        <v>9686</v>
      </c>
      <c r="S6443" t="s">
        <v>37</v>
      </c>
      <c r="T6443">
        <v>5</v>
      </c>
      <c r="U6443">
        <v>0</v>
      </c>
      <c r="V6443">
        <v>1.5253000000000001</v>
      </c>
      <c r="W6443">
        <v>1.5253000000000001</v>
      </c>
      <c r="X6443">
        <v>0</v>
      </c>
    </row>
    <row r="6444" spans="1:40" x14ac:dyDescent="0.25">
      <c r="A6444" t="s">
        <v>15</v>
      </c>
      <c r="B6444" t="s">
        <v>24</v>
      </c>
      <c r="C6444">
        <v>20150316</v>
      </c>
      <c r="D6444">
        <v>0</v>
      </c>
      <c r="F6444">
        <v>62500</v>
      </c>
      <c r="G6444" t="s">
        <v>17</v>
      </c>
      <c r="I6444" t="s">
        <v>16</v>
      </c>
      <c r="J6444" t="s">
        <v>180</v>
      </c>
      <c r="K6444" t="s">
        <v>25</v>
      </c>
      <c r="L6444">
        <v>132757294</v>
      </c>
      <c r="R6444">
        <v>9686</v>
      </c>
      <c r="S6444" t="s">
        <v>37</v>
      </c>
      <c r="T6444">
        <v>5</v>
      </c>
      <c r="U6444">
        <v>0</v>
      </c>
      <c r="V6444">
        <v>1.5253000000000001</v>
      </c>
      <c r="W6444">
        <v>1.5253000000000001</v>
      </c>
      <c r="X6444">
        <v>0</v>
      </c>
    </row>
    <row r="6445" spans="1:40" x14ac:dyDescent="0.25">
      <c r="A6445" t="s">
        <v>15</v>
      </c>
      <c r="B6445" t="s">
        <v>24</v>
      </c>
      <c r="C6445">
        <v>20150316</v>
      </c>
      <c r="D6445">
        <v>0</v>
      </c>
      <c r="F6445">
        <v>62500</v>
      </c>
      <c r="G6445" t="s">
        <v>17</v>
      </c>
      <c r="I6445" t="s">
        <v>16</v>
      </c>
      <c r="J6445" t="s">
        <v>180</v>
      </c>
      <c r="K6445" t="s">
        <v>25</v>
      </c>
      <c r="L6445">
        <v>132757294</v>
      </c>
      <c r="R6445">
        <v>9686</v>
      </c>
      <c r="S6445" t="s">
        <v>37</v>
      </c>
      <c r="T6445">
        <v>5</v>
      </c>
      <c r="U6445">
        <v>0</v>
      </c>
      <c r="V6445">
        <v>1.5253000000000001</v>
      </c>
      <c r="W6445">
        <v>1.5253000000000001</v>
      </c>
      <c r="X6445">
        <v>0</v>
      </c>
    </row>
    <row r="6446" spans="1:40" x14ac:dyDescent="0.25">
      <c r="A6446" t="s">
        <v>15</v>
      </c>
      <c r="B6446" t="s">
        <v>24</v>
      </c>
      <c r="C6446">
        <v>20150316</v>
      </c>
      <c r="D6446">
        <v>0</v>
      </c>
      <c r="F6446">
        <v>62500</v>
      </c>
      <c r="G6446" t="s">
        <v>17</v>
      </c>
      <c r="I6446" t="s">
        <v>16</v>
      </c>
      <c r="J6446" t="s">
        <v>180</v>
      </c>
      <c r="K6446" t="s">
        <v>25</v>
      </c>
      <c r="L6446">
        <v>132757294</v>
      </c>
      <c r="R6446">
        <v>9686</v>
      </c>
      <c r="S6446" t="s">
        <v>37</v>
      </c>
      <c r="T6446">
        <v>5</v>
      </c>
      <c r="U6446">
        <v>0</v>
      </c>
      <c r="V6446">
        <v>1.5253000000000001</v>
      </c>
      <c r="W6446">
        <v>1.5253000000000001</v>
      </c>
      <c r="X6446">
        <v>0</v>
      </c>
    </row>
    <row r="6447" spans="1:40" x14ac:dyDescent="0.25">
      <c r="A6447" t="s">
        <v>15</v>
      </c>
      <c r="B6447" t="s">
        <v>24</v>
      </c>
      <c r="C6447">
        <v>20150316</v>
      </c>
      <c r="D6447">
        <v>0</v>
      </c>
      <c r="F6447">
        <v>62500</v>
      </c>
      <c r="G6447" t="s">
        <v>17</v>
      </c>
      <c r="I6447" t="s">
        <v>16</v>
      </c>
      <c r="J6447" t="s">
        <v>180</v>
      </c>
      <c r="K6447" t="s">
        <v>25</v>
      </c>
      <c r="L6447">
        <v>132757294</v>
      </c>
      <c r="R6447">
        <v>9686</v>
      </c>
      <c r="S6447" t="s">
        <v>37</v>
      </c>
      <c r="T6447">
        <v>5</v>
      </c>
      <c r="U6447">
        <v>0</v>
      </c>
      <c r="V6447">
        <v>1.5253000000000001</v>
      </c>
      <c r="W6447">
        <v>1.5253000000000001</v>
      </c>
      <c r="X6447">
        <v>0</v>
      </c>
    </row>
    <row r="6448" spans="1:40" x14ac:dyDescent="0.25">
      <c r="A6448" t="s">
        <v>15</v>
      </c>
      <c r="B6448" t="s">
        <v>24</v>
      </c>
      <c r="C6448">
        <v>20150316</v>
      </c>
      <c r="D6448">
        <v>0</v>
      </c>
      <c r="F6448">
        <v>62500</v>
      </c>
      <c r="G6448" t="s">
        <v>17</v>
      </c>
      <c r="I6448" t="s">
        <v>16</v>
      </c>
      <c r="J6448" t="s">
        <v>180</v>
      </c>
      <c r="K6448" t="s">
        <v>25</v>
      </c>
      <c r="L6448">
        <v>132757294</v>
      </c>
      <c r="R6448">
        <v>9686</v>
      </c>
      <c r="S6448" t="s">
        <v>37</v>
      </c>
      <c r="T6448">
        <v>5</v>
      </c>
      <c r="U6448">
        <v>0</v>
      </c>
      <c r="V6448">
        <v>1.5253000000000001</v>
      </c>
      <c r="W6448">
        <v>1.5253000000000001</v>
      </c>
      <c r="X6448">
        <v>0</v>
      </c>
    </row>
    <row r="6449" spans="1:40" x14ac:dyDescent="0.25">
      <c r="A6449" t="s">
        <v>15</v>
      </c>
      <c r="B6449" t="s">
        <v>24</v>
      </c>
      <c r="C6449">
        <v>20150316</v>
      </c>
      <c r="D6449">
        <v>0</v>
      </c>
      <c r="F6449">
        <v>62500</v>
      </c>
      <c r="G6449" t="s">
        <v>17</v>
      </c>
      <c r="I6449" t="s">
        <v>16</v>
      </c>
      <c r="J6449" t="s">
        <v>180</v>
      </c>
      <c r="K6449" t="s">
        <v>25</v>
      </c>
      <c r="L6449">
        <v>132757294</v>
      </c>
      <c r="R6449">
        <v>9687</v>
      </c>
      <c r="S6449" t="s">
        <v>232</v>
      </c>
      <c r="T6449">
        <v>0</v>
      </c>
      <c r="U6449">
        <v>-51</v>
      </c>
      <c r="V6449">
        <v>0</v>
      </c>
      <c r="W6449">
        <v>0</v>
      </c>
      <c r="X6449">
        <v>0</v>
      </c>
    </row>
    <row r="6450" spans="1:40" x14ac:dyDescent="0.25">
      <c r="A6450" t="s">
        <v>15</v>
      </c>
      <c r="B6450" t="s">
        <v>24</v>
      </c>
      <c r="C6450">
        <v>20150316</v>
      </c>
      <c r="D6450">
        <v>0</v>
      </c>
      <c r="F6450">
        <v>62500</v>
      </c>
      <c r="G6450" t="s">
        <v>17</v>
      </c>
      <c r="I6450" t="s">
        <v>16</v>
      </c>
      <c r="J6450" t="s">
        <v>180</v>
      </c>
      <c r="K6450" t="s">
        <v>25</v>
      </c>
      <c r="L6450">
        <v>132757294</v>
      </c>
      <c r="R6450">
        <v>9687</v>
      </c>
      <c r="S6450" t="s">
        <v>192</v>
      </c>
      <c r="T6450">
        <v>0</v>
      </c>
      <c r="U6450">
        <v>51</v>
      </c>
      <c r="V6450">
        <v>0</v>
      </c>
      <c r="W6450">
        <v>0</v>
      </c>
      <c r="X6450">
        <v>0</v>
      </c>
    </row>
    <row r="6451" spans="1:40" x14ac:dyDescent="0.25">
      <c r="A6451" t="s">
        <v>15</v>
      </c>
      <c r="B6451" t="s">
        <v>24</v>
      </c>
      <c r="C6451">
        <v>20150316</v>
      </c>
      <c r="D6451">
        <v>0</v>
      </c>
      <c r="F6451">
        <v>62500</v>
      </c>
      <c r="G6451" t="s">
        <v>17</v>
      </c>
      <c r="I6451" t="s">
        <v>16</v>
      </c>
      <c r="J6451" t="s">
        <v>180</v>
      </c>
      <c r="K6451" t="s">
        <v>25</v>
      </c>
      <c r="L6451">
        <v>132757294</v>
      </c>
      <c r="R6451">
        <v>9688</v>
      </c>
      <c r="S6451" t="s">
        <v>232</v>
      </c>
      <c r="T6451">
        <v>0</v>
      </c>
      <c r="U6451">
        <v>12</v>
      </c>
      <c r="V6451">
        <v>0</v>
      </c>
      <c r="W6451">
        <v>0</v>
      </c>
      <c r="X6451">
        <v>0</v>
      </c>
    </row>
    <row r="6452" spans="1:40" x14ac:dyDescent="0.25">
      <c r="A6452" t="s">
        <v>15</v>
      </c>
      <c r="B6452" t="s">
        <v>24</v>
      </c>
      <c r="C6452">
        <v>20150316</v>
      </c>
      <c r="D6452">
        <v>0</v>
      </c>
      <c r="F6452">
        <v>62500</v>
      </c>
      <c r="G6452" t="s">
        <v>17</v>
      </c>
      <c r="I6452" t="s">
        <v>16</v>
      </c>
      <c r="J6452" t="s">
        <v>180</v>
      </c>
      <c r="K6452" t="s">
        <v>25</v>
      </c>
      <c r="L6452">
        <v>132757294</v>
      </c>
      <c r="R6452">
        <v>9685</v>
      </c>
      <c r="S6452" t="s">
        <v>223</v>
      </c>
      <c r="T6452">
        <v>0</v>
      </c>
      <c r="U6452">
        <v>52</v>
      </c>
      <c r="V6452">
        <v>0</v>
      </c>
      <c r="W6452">
        <v>0</v>
      </c>
      <c r="X6452">
        <v>0</v>
      </c>
    </row>
    <row r="6453" spans="1:40" x14ac:dyDescent="0.25">
      <c r="A6453" t="s">
        <v>15</v>
      </c>
      <c r="B6453" t="s">
        <v>24</v>
      </c>
      <c r="C6453">
        <v>20150316</v>
      </c>
      <c r="D6453">
        <v>0</v>
      </c>
      <c r="F6453">
        <v>62500</v>
      </c>
      <c r="G6453" t="s">
        <v>17</v>
      </c>
      <c r="I6453" t="s">
        <v>16</v>
      </c>
      <c r="J6453" t="s">
        <v>180</v>
      </c>
      <c r="K6453" t="s">
        <v>25</v>
      </c>
      <c r="L6453">
        <v>132757294</v>
      </c>
      <c r="R6453">
        <v>9685</v>
      </c>
      <c r="S6453" t="s">
        <v>224</v>
      </c>
      <c r="T6453">
        <v>0</v>
      </c>
      <c r="U6453">
        <v>52</v>
      </c>
      <c r="V6453">
        <v>0</v>
      </c>
      <c r="W6453">
        <v>0</v>
      </c>
      <c r="X6453">
        <v>0</v>
      </c>
    </row>
    <row r="6454" spans="1:40" x14ac:dyDescent="0.25">
      <c r="A6454" t="s">
        <v>15</v>
      </c>
      <c r="B6454" t="s">
        <v>24</v>
      </c>
      <c r="C6454">
        <v>20150316</v>
      </c>
      <c r="D6454">
        <v>0</v>
      </c>
      <c r="F6454">
        <v>62500</v>
      </c>
      <c r="G6454" t="s">
        <v>17</v>
      </c>
      <c r="I6454" t="s">
        <v>16</v>
      </c>
      <c r="J6454" t="s">
        <v>180</v>
      </c>
      <c r="K6454" t="s">
        <v>25</v>
      </c>
      <c r="L6454">
        <v>132757294</v>
      </c>
      <c r="R6454">
        <v>9689</v>
      </c>
      <c r="S6454" t="s">
        <v>232</v>
      </c>
      <c r="T6454">
        <v>0</v>
      </c>
      <c r="U6454">
        <v>-12</v>
      </c>
      <c r="V6454">
        <v>0</v>
      </c>
      <c r="W6454">
        <v>0</v>
      </c>
      <c r="X6454">
        <v>0</v>
      </c>
    </row>
    <row r="6455" spans="1:40" x14ac:dyDescent="0.25">
      <c r="A6455" t="s">
        <v>15</v>
      </c>
      <c r="B6455" t="s">
        <v>24</v>
      </c>
      <c r="C6455">
        <v>20150316</v>
      </c>
      <c r="D6455">
        <v>0</v>
      </c>
      <c r="F6455">
        <v>62500</v>
      </c>
      <c r="G6455" t="s">
        <v>17</v>
      </c>
      <c r="I6455" t="s">
        <v>16</v>
      </c>
      <c r="J6455" t="s">
        <v>180</v>
      </c>
      <c r="K6455" t="s">
        <v>25</v>
      </c>
      <c r="L6455">
        <v>132757294</v>
      </c>
      <c r="R6455">
        <v>9687</v>
      </c>
      <c r="S6455" t="s">
        <v>223</v>
      </c>
      <c r="T6455">
        <v>0</v>
      </c>
      <c r="U6455">
        <v>51</v>
      </c>
      <c r="V6455">
        <v>0</v>
      </c>
      <c r="W6455">
        <v>0</v>
      </c>
      <c r="X6455">
        <v>0</v>
      </c>
    </row>
    <row r="6456" spans="1:40" x14ac:dyDescent="0.25">
      <c r="A6456" t="s">
        <v>15</v>
      </c>
      <c r="B6456" t="s">
        <v>24</v>
      </c>
      <c r="C6456">
        <v>20150316</v>
      </c>
      <c r="D6456">
        <v>0</v>
      </c>
      <c r="F6456">
        <v>62500</v>
      </c>
      <c r="G6456" t="s">
        <v>17</v>
      </c>
      <c r="I6456" t="s">
        <v>16</v>
      </c>
      <c r="J6456" t="s">
        <v>180</v>
      </c>
      <c r="K6456" t="s">
        <v>25</v>
      </c>
      <c r="L6456">
        <v>132757294</v>
      </c>
      <c r="R6456">
        <v>9687</v>
      </c>
      <c r="S6456" t="s">
        <v>224</v>
      </c>
      <c r="T6456">
        <v>0</v>
      </c>
      <c r="U6456">
        <v>51</v>
      </c>
      <c r="V6456">
        <v>0</v>
      </c>
      <c r="W6456">
        <v>0</v>
      </c>
      <c r="X6456">
        <v>0</v>
      </c>
    </row>
    <row r="6457" spans="1:40" x14ac:dyDescent="0.25">
      <c r="A6457" t="s">
        <v>15</v>
      </c>
      <c r="B6457" t="s">
        <v>24</v>
      </c>
      <c r="C6457">
        <v>20150316</v>
      </c>
      <c r="D6457">
        <v>0</v>
      </c>
      <c r="F6457">
        <v>62500</v>
      </c>
      <c r="G6457" t="s">
        <v>17</v>
      </c>
      <c r="I6457" t="s">
        <v>16</v>
      </c>
      <c r="J6457" t="s">
        <v>180</v>
      </c>
      <c r="K6457" t="s">
        <v>25</v>
      </c>
      <c r="L6457">
        <v>132757294</v>
      </c>
      <c r="R6457">
        <v>9688</v>
      </c>
      <c r="S6457" t="s">
        <v>232</v>
      </c>
      <c r="T6457">
        <v>0</v>
      </c>
      <c r="U6457">
        <v>12</v>
      </c>
      <c r="V6457">
        <v>0</v>
      </c>
      <c r="W6457">
        <v>0</v>
      </c>
      <c r="X6457">
        <v>0</v>
      </c>
    </row>
    <row r="6458" spans="1:40" x14ac:dyDescent="0.25">
      <c r="A6458" t="s">
        <v>15</v>
      </c>
      <c r="B6458" t="s">
        <v>24</v>
      </c>
      <c r="C6458">
        <v>20150316</v>
      </c>
      <c r="D6458">
        <v>0</v>
      </c>
      <c r="F6458">
        <v>62500</v>
      </c>
      <c r="G6458" t="s">
        <v>17</v>
      </c>
      <c r="I6458" t="s">
        <v>16</v>
      </c>
      <c r="J6458" t="s">
        <v>180</v>
      </c>
      <c r="K6458" t="s">
        <v>25</v>
      </c>
      <c r="L6458">
        <v>132757294</v>
      </c>
      <c r="R6458">
        <v>9688</v>
      </c>
      <c r="S6458" t="s">
        <v>192</v>
      </c>
      <c r="T6458">
        <v>0</v>
      </c>
      <c r="U6458">
        <v>12</v>
      </c>
      <c r="V6458">
        <v>0</v>
      </c>
      <c r="W6458">
        <v>0</v>
      </c>
      <c r="X6458">
        <v>0</v>
      </c>
    </row>
    <row r="6459" spans="1:40" x14ac:dyDescent="0.25">
      <c r="A6459" t="s">
        <v>15</v>
      </c>
      <c r="B6459" t="s">
        <v>24</v>
      </c>
      <c r="C6459">
        <v>20150316</v>
      </c>
      <c r="D6459">
        <v>0</v>
      </c>
      <c r="F6459">
        <v>62500</v>
      </c>
      <c r="G6459" t="s">
        <v>17</v>
      </c>
      <c r="I6459" t="s">
        <v>16</v>
      </c>
      <c r="J6459" t="s">
        <v>180</v>
      </c>
      <c r="K6459" t="s">
        <v>25</v>
      </c>
      <c r="L6459">
        <v>132757294</v>
      </c>
      <c r="R6459">
        <v>9689</v>
      </c>
      <c r="S6459" t="s">
        <v>232</v>
      </c>
      <c r="T6459">
        <v>0</v>
      </c>
      <c r="U6459">
        <v>-12</v>
      </c>
      <c r="V6459">
        <v>0</v>
      </c>
      <c r="W6459">
        <v>0</v>
      </c>
      <c r="X6459">
        <v>0</v>
      </c>
    </row>
    <row r="6460" spans="1:40" x14ac:dyDescent="0.25">
      <c r="A6460" t="s">
        <v>15</v>
      </c>
      <c r="B6460" t="s">
        <v>24</v>
      </c>
      <c r="C6460">
        <v>20150316</v>
      </c>
      <c r="D6460">
        <v>0</v>
      </c>
      <c r="F6460">
        <v>62500</v>
      </c>
      <c r="G6460" t="s">
        <v>17</v>
      </c>
      <c r="I6460" t="s">
        <v>16</v>
      </c>
      <c r="J6460" t="s">
        <v>180</v>
      </c>
      <c r="K6460" t="s">
        <v>25</v>
      </c>
      <c r="L6460">
        <v>132757294</v>
      </c>
      <c r="R6460">
        <v>9689</v>
      </c>
      <c r="S6460" t="s">
        <v>192</v>
      </c>
      <c r="T6460">
        <v>0</v>
      </c>
      <c r="U6460">
        <v>12</v>
      </c>
      <c r="V6460">
        <v>0</v>
      </c>
      <c r="W6460">
        <v>0</v>
      </c>
      <c r="X6460">
        <v>0</v>
      </c>
    </row>
    <row r="6461" spans="1:40" x14ac:dyDescent="0.25">
      <c r="A6461" t="s">
        <v>15</v>
      </c>
      <c r="B6461" t="s">
        <v>24</v>
      </c>
      <c r="C6461">
        <v>20150316</v>
      </c>
      <c r="D6461">
        <v>0</v>
      </c>
      <c r="F6461">
        <v>62500</v>
      </c>
      <c r="G6461" t="s">
        <v>17</v>
      </c>
      <c r="I6461" t="s">
        <v>16</v>
      </c>
      <c r="J6461" t="s">
        <v>180</v>
      </c>
      <c r="K6461" t="s">
        <v>25</v>
      </c>
      <c r="L6461">
        <v>132757294</v>
      </c>
      <c r="R6461">
        <v>9690</v>
      </c>
      <c r="S6461" t="s">
        <v>232</v>
      </c>
      <c r="T6461">
        <v>0</v>
      </c>
      <c r="U6461">
        <v>-5</v>
      </c>
      <c r="V6461">
        <v>0</v>
      </c>
      <c r="W6461">
        <v>0</v>
      </c>
      <c r="X6461">
        <v>0</v>
      </c>
    </row>
    <row r="6462" spans="1:40" x14ac:dyDescent="0.25">
      <c r="A6462" t="s">
        <v>15</v>
      </c>
      <c r="B6462" t="s">
        <v>24</v>
      </c>
      <c r="C6462">
        <v>20150316</v>
      </c>
      <c r="D6462">
        <v>0</v>
      </c>
      <c r="F6462">
        <v>62500</v>
      </c>
      <c r="G6462" t="s">
        <v>17</v>
      </c>
      <c r="I6462" t="s">
        <v>16</v>
      </c>
      <c r="J6462" t="s">
        <v>180</v>
      </c>
      <c r="K6462" t="s">
        <v>25</v>
      </c>
      <c r="L6462">
        <v>132757294</v>
      </c>
      <c r="R6462">
        <v>9690</v>
      </c>
      <c r="S6462" t="s">
        <v>232</v>
      </c>
      <c r="T6462">
        <v>0</v>
      </c>
      <c r="U6462">
        <v>-5</v>
      </c>
      <c r="V6462">
        <v>0</v>
      </c>
      <c r="W6462">
        <v>0</v>
      </c>
      <c r="X6462">
        <v>0</v>
      </c>
      <c r="Y6462">
        <v>9690</v>
      </c>
      <c r="Z6462" t="s">
        <v>464</v>
      </c>
      <c r="AA6462" t="s">
        <v>465</v>
      </c>
      <c r="AB6462" t="s">
        <v>234</v>
      </c>
      <c r="AC6462" t="s">
        <v>17</v>
      </c>
      <c r="AD6462" t="s">
        <v>237</v>
      </c>
      <c r="AE6462">
        <v>1</v>
      </c>
      <c r="AF6462">
        <v>1</v>
      </c>
      <c r="AG6462">
        <v>1.5248999999999999</v>
      </c>
      <c r="AH6462">
        <v>1.5248999999999999</v>
      </c>
      <c r="AI6462">
        <v>415886723</v>
      </c>
      <c r="AJ6462">
        <v>0</v>
      </c>
      <c r="AK6462">
        <v>7</v>
      </c>
      <c r="AN6462">
        <v>0</v>
      </c>
    </row>
    <row r="6463" spans="1:40" x14ac:dyDescent="0.25">
      <c r="A6463" t="s">
        <v>15</v>
      </c>
      <c r="B6463" t="s">
        <v>24</v>
      </c>
      <c r="C6463">
        <v>20150316</v>
      </c>
      <c r="D6463">
        <v>0</v>
      </c>
      <c r="F6463">
        <v>62500</v>
      </c>
      <c r="G6463" t="s">
        <v>17</v>
      </c>
      <c r="I6463" t="s">
        <v>16</v>
      </c>
      <c r="J6463" t="s">
        <v>180</v>
      </c>
      <c r="K6463" t="s">
        <v>25</v>
      </c>
      <c r="L6463">
        <v>132757294</v>
      </c>
      <c r="R6463">
        <v>9690</v>
      </c>
      <c r="S6463" t="s">
        <v>232</v>
      </c>
      <c r="T6463">
        <v>0</v>
      </c>
      <c r="U6463">
        <v>-5</v>
      </c>
      <c r="V6463">
        <v>0</v>
      </c>
      <c r="W6463">
        <v>0</v>
      </c>
      <c r="X6463">
        <v>0</v>
      </c>
    </row>
    <row r="6464" spans="1:40" x14ac:dyDescent="0.25">
      <c r="A6464" t="s">
        <v>15</v>
      </c>
      <c r="B6464" t="s">
        <v>24</v>
      </c>
      <c r="C6464">
        <v>20150316</v>
      </c>
      <c r="D6464">
        <v>0</v>
      </c>
      <c r="F6464">
        <v>62500</v>
      </c>
      <c r="G6464" t="s">
        <v>17</v>
      </c>
      <c r="I6464" t="s">
        <v>16</v>
      </c>
      <c r="J6464" t="s">
        <v>180</v>
      </c>
      <c r="K6464" t="s">
        <v>25</v>
      </c>
      <c r="L6464">
        <v>132757294</v>
      </c>
      <c r="R6464">
        <v>9690</v>
      </c>
      <c r="S6464" t="s">
        <v>236</v>
      </c>
      <c r="T6464">
        <v>1</v>
      </c>
      <c r="U6464">
        <v>4</v>
      </c>
      <c r="V6464">
        <v>1.5248999999999999</v>
      </c>
      <c r="W6464">
        <v>1.5248999999999999</v>
      </c>
      <c r="X6464">
        <v>0</v>
      </c>
    </row>
    <row r="6465" spans="1:40" x14ac:dyDescent="0.25">
      <c r="A6465" t="s">
        <v>15</v>
      </c>
      <c r="B6465" t="s">
        <v>24</v>
      </c>
      <c r="C6465">
        <v>20150316</v>
      </c>
      <c r="D6465">
        <v>0</v>
      </c>
      <c r="F6465">
        <v>62500</v>
      </c>
      <c r="G6465" t="s">
        <v>17</v>
      </c>
      <c r="I6465" t="s">
        <v>16</v>
      </c>
      <c r="J6465" t="s">
        <v>180</v>
      </c>
      <c r="K6465" t="s">
        <v>25</v>
      </c>
      <c r="L6465">
        <v>132757294</v>
      </c>
      <c r="R6465">
        <v>9690</v>
      </c>
      <c r="S6465" t="s">
        <v>236</v>
      </c>
      <c r="T6465">
        <v>1</v>
      </c>
      <c r="U6465">
        <v>4</v>
      </c>
      <c r="V6465">
        <v>1.5248999999999999</v>
      </c>
      <c r="W6465">
        <v>1.5248999999999999</v>
      </c>
      <c r="X6465">
        <v>0</v>
      </c>
    </row>
    <row r="6466" spans="1:40" x14ac:dyDescent="0.25">
      <c r="A6466" t="s">
        <v>15</v>
      </c>
      <c r="B6466" t="s">
        <v>24</v>
      </c>
      <c r="C6466">
        <v>20150316</v>
      </c>
      <c r="D6466">
        <v>0</v>
      </c>
      <c r="F6466">
        <v>62500</v>
      </c>
      <c r="G6466" t="s">
        <v>17</v>
      </c>
      <c r="I6466" t="s">
        <v>16</v>
      </c>
      <c r="J6466" t="s">
        <v>180</v>
      </c>
      <c r="K6466" t="s">
        <v>25</v>
      </c>
      <c r="L6466">
        <v>132757294</v>
      </c>
      <c r="R6466">
        <v>9690</v>
      </c>
      <c r="S6466" t="s">
        <v>233</v>
      </c>
      <c r="T6466">
        <v>1</v>
      </c>
      <c r="U6466">
        <v>4</v>
      </c>
      <c r="V6466">
        <v>1.5248999999999999</v>
      </c>
      <c r="W6466">
        <v>1.5248999999999999</v>
      </c>
      <c r="X6466">
        <v>0</v>
      </c>
    </row>
    <row r="6467" spans="1:40" x14ac:dyDescent="0.25">
      <c r="A6467" t="s">
        <v>15</v>
      </c>
      <c r="B6467" t="s">
        <v>24</v>
      </c>
      <c r="C6467">
        <v>20150316</v>
      </c>
      <c r="D6467">
        <v>0</v>
      </c>
      <c r="F6467">
        <v>62500</v>
      </c>
      <c r="G6467" t="s">
        <v>17</v>
      </c>
      <c r="I6467" t="s">
        <v>16</v>
      </c>
      <c r="J6467" t="s">
        <v>180</v>
      </c>
      <c r="K6467" t="s">
        <v>25</v>
      </c>
      <c r="L6467">
        <v>132757294</v>
      </c>
      <c r="R6467">
        <v>9690</v>
      </c>
      <c r="S6467" t="s">
        <v>233</v>
      </c>
      <c r="T6467">
        <v>1</v>
      </c>
      <c r="U6467">
        <v>4</v>
      </c>
      <c r="V6467">
        <v>1.5248999999999999</v>
      </c>
      <c r="W6467">
        <v>1.5248999999999999</v>
      </c>
      <c r="X6467">
        <v>0</v>
      </c>
    </row>
    <row r="6468" spans="1:40" x14ac:dyDescent="0.25">
      <c r="A6468" t="s">
        <v>15</v>
      </c>
      <c r="B6468" t="s">
        <v>24</v>
      </c>
      <c r="C6468">
        <v>20150316</v>
      </c>
      <c r="D6468">
        <v>0</v>
      </c>
      <c r="F6468">
        <v>62500</v>
      </c>
      <c r="G6468" t="s">
        <v>17</v>
      </c>
      <c r="I6468" t="s">
        <v>16</v>
      </c>
      <c r="J6468" t="s">
        <v>180</v>
      </c>
      <c r="K6468" t="s">
        <v>25</v>
      </c>
      <c r="L6468">
        <v>132757294</v>
      </c>
      <c r="R6468">
        <v>9690</v>
      </c>
      <c r="S6468" t="s">
        <v>233</v>
      </c>
      <c r="T6468">
        <v>1</v>
      </c>
      <c r="U6468">
        <v>4</v>
      </c>
      <c r="V6468">
        <v>1.5248999999999999</v>
      </c>
      <c r="W6468">
        <v>1.5248999999999999</v>
      </c>
      <c r="X6468">
        <v>0</v>
      </c>
    </row>
    <row r="6469" spans="1:40" x14ac:dyDescent="0.25">
      <c r="A6469" t="s">
        <v>15</v>
      </c>
      <c r="B6469" t="s">
        <v>24</v>
      </c>
      <c r="C6469">
        <v>20150316</v>
      </c>
      <c r="D6469">
        <v>0</v>
      </c>
      <c r="F6469">
        <v>62500</v>
      </c>
      <c r="G6469" t="s">
        <v>17</v>
      </c>
      <c r="I6469" t="s">
        <v>16</v>
      </c>
      <c r="J6469" t="s">
        <v>180</v>
      </c>
      <c r="K6469" t="s">
        <v>25</v>
      </c>
      <c r="L6469">
        <v>132757294</v>
      </c>
      <c r="R6469">
        <v>9690</v>
      </c>
      <c r="S6469" t="s">
        <v>233</v>
      </c>
      <c r="T6469">
        <v>1</v>
      </c>
      <c r="U6469">
        <v>4</v>
      </c>
      <c r="V6469">
        <v>1.5248999999999999</v>
      </c>
      <c r="W6469">
        <v>1.5248999999999999</v>
      </c>
      <c r="X6469">
        <v>0</v>
      </c>
      <c r="Y6469">
        <v>9690</v>
      </c>
      <c r="Z6469" t="s">
        <v>466</v>
      </c>
      <c r="AA6469" t="s">
        <v>467</v>
      </c>
      <c r="AB6469" t="s">
        <v>234</v>
      </c>
      <c r="AC6469" t="s">
        <v>17</v>
      </c>
      <c r="AD6469" t="s">
        <v>237</v>
      </c>
      <c r="AE6469">
        <v>3</v>
      </c>
      <c r="AF6469">
        <v>4</v>
      </c>
      <c r="AG6469">
        <v>1.5248999999999999</v>
      </c>
      <c r="AH6469">
        <v>1.5248999999999999</v>
      </c>
      <c r="AI6469">
        <v>415886723</v>
      </c>
      <c r="AJ6469">
        <v>0</v>
      </c>
      <c r="AK6469">
        <v>7</v>
      </c>
      <c r="AN6469">
        <v>0</v>
      </c>
    </row>
    <row r="6470" spans="1:40" x14ac:dyDescent="0.25">
      <c r="A6470" t="s">
        <v>15</v>
      </c>
      <c r="B6470" t="s">
        <v>24</v>
      </c>
      <c r="C6470">
        <v>20150316</v>
      </c>
      <c r="D6470">
        <v>0</v>
      </c>
      <c r="F6470">
        <v>62500</v>
      </c>
      <c r="G6470" t="s">
        <v>17</v>
      </c>
      <c r="I6470" t="s">
        <v>16</v>
      </c>
      <c r="J6470" t="s">
        <v>180</v>
      </c>
      <c r="K6470" t="s">
        <v>25</v>
      </c>
      <c r="L6470">
        <v>132757294</v>
      </c>
      <c r="R6470">
        <v>9690</v>
      </c>
      <c r="S6470" t="s">
        <v>233</v>
      </c>
      <c r="T6470">
        <v>1</v>
      </c>
      <c r="U6470">
        <v>4</v>
      </c>
      <c r="V6470">
        <v>1.5248999999999999</v>
      </c>
      <c r="W6470">
        <v>1.5248999999999999</v>
      </c>
      <c r="X6470">
        <v>0</v>
      </c>
    </row>
    <row r="6471" spans="1:40" x14ac:dyDescent="0.25">
      <c r="A6471" t="s">
        <v>15</v>
      </c>
      <c r="B6471" t="s">
        <v>24</v>
      </c>
      <c r="C6471">
        <v>20150316</v>
      </c>
      <c r="D6471">
        <v>0</v>
      </c>
      <c r="F6471">
        <v>62500</v>
      </c>
      <c r="G6471" t="s">
        <v>17</v>
      </c>
      <c r="I6471" t="s">
        <v>16</v>
      </c>
      <c r="J6471" t="s">
        <v>180</v>
      </c>
      <c r="K6471" t="s">
        <v>25</v>
      </c>
      <c r="L6471">
        <v>132757294</v>
      </c>
      <c r="R6471">
        <v>9690</v>
      </c>
      <c r="S6471" t="s">
        <v>233</v>
      </c>
      <c r="T6471">
        <v>4</v>
      </c>
      <c r="U6471">
        <v>1</v>
      </c>
      <c r="V6471">
        <v>1.5248999999999999</v>
      </c>
      <c r="W6471">
        <v>1.5248999999999999</v>
      </c>
      <c r="X6471">
        <v>0</v>
      </c>
    </row>
    <row r="6472" spans="1:40" x14ac:dyDescent="0.25">
      <c r="A6472" t="s">
        <v>15</v>
      </c>
      <c r="B6472" t="s">
        <v>24</v>
      </c>
      <c r="C6472">
        <v>20150316</v>
      </c>
      <c r="D6472">
        <v>0</v>
      </c>
      <c r="F6472">
        <v>62500</v>
      </c>
      <c r="G6472" t="s">
        <v>17</v>
      </c>
      <c r="I6472" t="s">
        <v>16</v>
      </c>
      <c r="J6472" t="s">
        <v>180</v>
      </c>
      <c r="K6472" t="s">
        <v>25</v>
      </c>
      <c r="L6472">
        <v>132757294</v>
      </c>
      <c r="R6472">
        <v>9690</v>
      </c>
      <c r="S6472" t="s">
        <v>233</v>
      </c>
      <c r="T6472">
        <v>4</v>
      </c>
      <c r="U6472">
        <v>1</v>
      </c>
      <c r="V6472">
        <v>1.5248999999999999</v>
      </c>
      <c r="W6472">
        <v>1.5248999999999999</v>
      </c>
      <c r="X6472">
        <v>0</v>
      </c>
    </row>
    <row r="6473" spans="1:40" x14ac:dyDescent="0.25">
      <c r="A6473" t="s">
        <v>15</v>
      </c>
      <c r="B6473" t="s">
        <v>24</v>
      </c>
      <c r="C6473">
        <v>20150316</v>
      </c>
      <c r="D6473">
        <v>0</v>
      </c>
      <c r="F6473">
        <v>62500</v>
      </c>
      <c r="G6473" t="s">
        <v>17</v>
      </c>
      <c r="I6473" t="s">
        <v>16</v>
      </c>
      <c r="J6473" t="s">
        <v>180</v>
      </c>
      <c r="K6473" t="s">
        <v>25</v>
      </c>
      <c r="L6473">
        <v>132757294</v>
      </c>
      <c r="R6473">
        <v>9690</v>
      </c>
      <c r="S6473" t="s">
        <v>233</v>
      </c>
      <c r="T6473">
        <v>4</v>
      </c>
      <c r="U6473">
        <v>1</v>
      </c>
      <c r="V6473">
        <v>1.5248999999999999</v>
      </c>
      <c r="W6473">
        <v>1.5248999999999999</v>
      </c>
      <c r="X6473">
        <v>0</v>
      </c>
    </row>
    <row r="6474" spans="1:40" x14ac:dyDescent="0.25">
      <c r="A6474" t="s">
        <v>15</v>
      </c>
      <c r="B6474" t="s">
        <v>24</v>
      </c>
      <c r="C6474">
        <v>20150316</v>
      </c>
      <c r="D6474">
        <v>0</v>
      </c>
      <c r="F6474">
        <v>62500</v>
      </c>
      <c r="G6474" t="s">
        <v>17</v>
      </c>
      <c r="I6474" t="s">
        <v>16</v>
      </c>
      <c r="J6474" t="s">
        <v>180</v>
      </c>
      <c r="K6474" t="s">
        <v>25</v>
      </c>
      <c r="L6474">
        <v>132757294</v>
      </c>
      <c r="R6474">
        <v>9690</v>
      </c>
      <c r="S6474" t="s">
        <v>233</v>
      </c>
      <c r="T6474">
        <v>4</v>
      </c>
      <c r="U6474">
        <v>1</v>
      </c>
      <c r="V6474">
        <v>1.5248999999999999</v>
      </c>
      <c r="W6474">
        <v>1.5248999999999999</v>
      </c>
      <c r="X6474">
        <v>0</v>
      </c>
      <c r="Y6474">
        <v>9690</v>
      </c>
      <c r="Z6474" t="s">
        <v>468</v>
      </c>
      <c r="AA6474" t="s">
        <v>467</v>
      </c>
      <c r="AB6474" t="s">
        <v>234</v>
      </c>
      <c r="AC6474" t="s">
        <v>17</v>
      </c>
      <c r="AD6474" t="s">
        <v>237</v>
      </c>
      <c r="AE6474">
        <v>1</v>
      </c>
      <c r="AF6474">
        <v>5</v>
      </c>
      <c r="AG6474">
        <v>1.5248999999999999</v>
      </c>
      <c r="AH6474">
        <v>1.5248999999999999</v>
      </c>
      <c r="AI6474">
        <v>415886723</v>
      </c>
      <c r="AJ6474">
        <v>0</v>
      </c>
      <c r="AK6474">
        <v>7</v>
      </c>
      <c r="AN6474">
        <v>0</v>
      </c>
    </row>
    <row r="6475" spans="1:40" x14ac:dyDescent="0.25">
      <c r="A6475" t="s">
        <v>15</v>
      </c>
      <c r="B6475" t="s">
        <v>24</v>
      </c>
      <c r="C6475">
        <v>20150316</v>
      </c>
      <c r="D6475">
        <v>0</v>
      </c>
      <c r="F6475">
        <v>62500</v>
      </c>
      <c r="G6475" t="s">
        <v>17</v>
      </c>
      <c r="I6475" t="s">
        <v>16</v>
      </c>
      <c r="J6475" t="s">
        <v>180</v>
      </c>
      <c r="K6475" t="s">
        <v>25</v>
      </c>
      <c r="L6475">
        <v>132757294</v>
      </c>
      <c r="R6475">
        <v>9690</v>
      </c>
      <c r="S6475" t="s">
        <v>233</v>
      </c>
      <c r="T6475">
        <v>4</v>
      </c>
      <c r="U6475">
        <v>1</v>
      </c>
      <c r="V6475">
        <v>1.5248999999999999</v>
      </c>
      <c r="W6475">
        <v>1.5248999999999999</v>
      </c>
      <c r="X6475">
        <v>0</v>
      </c>
    </row>
    <row r="6476" spans="1:40" x14ac:dyDescent="0.25">
      <c r="A6476" t="s">
        <v>15</v>
      </c>
      <c r="B6476" t="s">
        <v>24</v>
      </c>
      <c r="C6476">
        <v>20150316</v>
      </c>
      <c r="D6476">
        <v>0</v>
      </c>
      <c r="F6476">
        <v>62500</v>
      </c>
      <c r="G6476" t="s">
        <v>17</v>
      </c>
      <c r="I6476" t="s">
        <v>16</v>
      </c>
      <c r="J6476" t="s">
        <v>180</v>
      </c>
      <c r="K6476" t="s">
        <v>25</v>
      </c>
      <c r="L6476">
        <v>132757294</v>
      </c>
      <c r="R6476">
        <v>9690</v>
      </c>
      <c r="S6476" t="s">
        <v>37</v>
      </c>
      <c r="T6476">
        <v>5</v>
      </c>
      <c r="U6476">
        <v>0</v>
      </c>
      <c r="V6476">
        <v>1.5248999999999999</v>
      </c>
      <c r="W6476">
        <v>1.5248999999999999</v>
      </c>
      <c r="X6476">
        <v>0</v>
      </c>
    </row>
    <row r="6477" spans="1:40" x14ac:dyDescent="0.25">
      <c r="A6477" t="s">
        <v>15</v>
      </c>
      <c r="B6477" t="s">
        <v>24</v>
      </c>
      <c r="C6477">
        <v>20150316</v>
      </c>
      <c r="D6477">
        <v>0</v>
      </c>
      <c r="F6477">
        <v>62500</v>
      </c>
      <c r="G6477" t="s">
        <v>17</v>
      </c>
      <c r="I6477" t="s">
        <v>16</v>
      </c>
      <c r="J6477" t="s">
        <v>180</v>
      </c>
      <c r="K6477" t="s">
        <v>25</v>
      </c>
      <c r="L6477">
        <v>132757294</v>
      </c>
      <c r="R6477">
        <v>9690</v>
      </c>
      <c r="S6477" t="s">
        <v>37</v>
      </c>
      <c r="T6477">
        <v>5</v>
      </c>
      <c r="U6477">
        <v>0</v>
      </c>
      <c r="V6477">
        <v>1.5248999999999999</v>
      </c>
      <c r="W6477">
        <v>1.5248999999999999</v>
      </c>
      <c r="X6477">
        <v>0</v>
      </c>
    </row>
    <row r="6478" spans="1:40" x14ac:dyDescent="0.25">
      <c r="A6478" t="s">
        <v>15</v>
      </c>
      <c r="B6478" t="s">
        <v>24</v>
      </c>
      <c r="C6478">
        <v>20150316</v>
      </c>
      <c r="D6478">
        <v>0</v>
      </c>
      <c r="F6478">
        <v>62500</v>
      </c>
      <c r="G6478" t="s">
        <v>17</v>
      </c>
      <c r="I6478" t="s">
        <v>16</v>
      </c>
      <c r="J6478" t="s">
        <v>180</v>
      </c>
      <c r="K6478" t="s">
        <v>25</v>
      </c>
      <c r="L6478">
        <v>132757294</v>
      </c>
      <c r="R6478">
        <v>9690</v>
      </c>
      <c r="S6478" t="s">
        <v>37</v>
      </c>
      <c r="T6478">
        <v>5</v>
      </c>
      <c r="U6478">
        <v>0</v>
      </c>
      <c r="V6478">
        <v>1.5248999999999999</v>
      </c>
      <c r="W6478">
        <v>1.5248999999999999</v>
      </c>
      <c r="X6478">
        <v>0</v>
      </c>
    </row>
    <row r="6479" spans="1:40" x14ac:dyDescent="0.25">
      <c r="A6479" t="s">
        <v>15</v>
      </c>
      <c r="B6479" t="s">
        <v>24</v>
      </c>
      <c r="C6479">
        <v>20150316</v>
      </c>
      <c r="D6479">
        <v>0</v>
      </c>
      <c r="F6479">
        <v>62500</v>
      </c>
      <c r="G6479" t="s">
        <v>17</v>
      </c>
      <c r="I6479" t="s">
        <v>16</v>
      </c>
      <c r="J6479" t="s">
        <v>180</v>
      </c>
      <c r="K6479" t="s">
        <v>25</v>
      </c>
      <c r="L6479">
        <v>132757294</v>
      </c>
      <c r="R6479">
        <v>9690</v>
      </c>
      <c r="S6479" t="s">
        <v>37</v>
      </c>
      <c r="T6479">
        <v>5</v>
      </c>
      <c r="U6479">
        <v>0</v>
      </c>
      <c r="V6479">
        <v>1.5248999999999999</v>
      </c>
      <c r="W6479">
        <v>1.5248999999999999</v>
      </c>
      <c r="X6479">
        <v>0</v>
      </c>
    </row>
    <row r="6480" spans="1:40" x14ac:dyDescent="0.25">
      <c r="A6480" t="s">
        <v>15</v>
      </c>
      <c r="B6480" t="s">
        <v>24</v>
      </c>
      <c r="C6480">
        <v>20150316</v>
      </c>
      <c r="D6480">
        <v>0</v>
      </c>
      <c r="F6480">
        <v>62500</v>
      </c>
      <c r="G6480" t="s">
        <v>17</v>
      </c>
      <c r="I6480" t="s">
        <v>16</v>
      </c>
      <c r="J6480" t="s">
        <v>180</v>
      </c>
      <c r="K6480" t="s">
        <v>25</v>
      </c>
      <c r="L6480">
        <v>132757294</v>
      </c>
      <c r="R6480">
        <v>9690</v>
      </c>
      <c r="S6480" t="s">
        <v>37</v>
      </c>
      <c r="T6480">
        <v>5</v>
      </c>
      <c r="U6480">
        <v>0</v>
      </c>
      <c r="V6480">
        <v>1.5248999999999999</v>
      </c>
      <c r="W6480">
        <v>1.5248999999999999</v>
      </c>
      <c r="X6480">
        <v>0</v>
      </c>
    </row>
    <row r="6481" spans="1:40" x14ac:dyDescent="0.25">
      <c r="A6481" t="s">
        <v>15</v>
      </c>
      <c r="B6481" t="s">
        <v>24</v>
      </c>
      <c r="C6481">
        <v>20150316</v>
      </c>
      <c r="D6481">
        <v>0</v>
      </c>
      <c r="F6481">
        <v>62500</v>
      </c>
      <c r="G6481" t="s">
        <v>17</v>
      </c>
      <c r="I6481" t="s">
        <v>16</v>
      </c>
      <c r="J6481" t="s">
        <v>180</v>
      </c>
      <c r="K6481" t="s">
        <v>25</v>
      </c>
      <c r="L6481">
        <v>132757294</v>
      </c>
      <c r="R6481">
        <v>9691</v>
      </c>
      <c r="S6481" t="s">
        <v>232</v>
      </c>
      <c r="T6481">
        <v>0</v>
      </c>
      <c r="U6481">
        <v>-5</v>
      </c>
      <c r="V6481">
        <v>0</v>
      </c>
      <c r="W6481">
        <v>0</v>
      </c>
      <c r="X6481">
        <v>0</v>
      </c>
    </row>
    <row r="6482" spans="1:40" x14ac:dyDescent="0.25">
      <c r="A6482" t="s">
        <v>15</v>
      </c>
      <c r="B6482" t="s">
        <v>24</v>
      </c>
      <c r="C6482">
        <v>20150316</v>
      </c>
      <c r="D6482">
        <v>0</v>
      </c>
      <c r="F6482">
        <v>62500</v>
      </c>
      <c r="G6482" t="s">
        <v>17</v>
      </c>
      <c r="I6482" t="s">
        <v>16</v>
      </c>
      <c r="J6482" t="s">
        <v>180</v>
      </c>
      <c r="K6482" t="s">
        <v>25</v>
      </c>
      <c r="L6482">
        <v>132757294</v>
      </c>
      <c r="R6482">
        <v>9692</v>
      </c>
      <c r="S6482" t="s">
        <v>232</v>
      </c>
      <c r="T6482">
        <v>0</v>
      </c>
      <c r="U6482">
        <v>15</v>
      </c>
      <c r="V6482">
        <v>0</v>
      </c>
      <c r="W6482">
        <v>0</v>
      </c>
      <c r="X6482">
        <v>0</v>
      </c>
    </row>
    <row r="6483" spans="1:40" x14ac:dyDescent="0.25">
      <c r="A6483" t="s">
        <v>15</v>
      </c>
      <c r="B6483" t="s">
        <v>24</v>
      </c>
      <c r="C6483">
        <v>20150316</v>
      </c>
      <c r="D6483">
        <v>0</v>
      </c>
      <c r="F6483">
        <v>62500</v>
      </c>
      <c r="G6483" t="s">
        <v>17</v>
      </c>
      <c r="I6483" t="s">
        <v>16</v>
      </c>
      <c r="J6483" t="s">
        <v>180</v>
      </c>
      <c r="K6483" t="s">
        <v>25</v>
      </c>
      <c r="L6483">
        <v>132757294</v>
      </c>
      <c r="R6483">
        <v>9691</v>
      </c>
      <c r="S6483" t="s">
        <v>232</v>
      </c>
      <c r="T6483">
        <v>0</v>
      </c>
      <c r="U6483">
        <v>-5</v>
      </c>
      <c r="V6483">
        <v>0</v>
      </c>
      <c r="W6483">
        <v>0</v>
      </c>
      <c r="X6483">
        <v>0</v>
      </c>
      <c r="Y6483">
        <v>9691</v>
      </c>
      <c r="Z6483" t="s">
        <v>469</v>
      </c>
      <c r="AA6483" t="s">
        <v>470</v>
      </c>
      <c r="AB6483" t="s">
        <v>234</v>
      </c>
      <c r="AC6483" t="s">
        <v>17</v>
      </c>
      <c r="AD6483" t="s">
        <v>237</v>
      </c>
      <c r="AE6483">
        <v>1</v>
      </c>
      <c r="AF6483">
        <v>1</v>
      </c>
      <c r="AG6483">
        <v>1.5248999999999999</v>
      </c>
      <c r="AH6483">
        <v>1.5248999999999999</v>
      </c>
      <c r="AI6483">
        <v>415886724</v>
      </c>
      <c r="AJ6483">
        <v>0</v>
      </c>
      <c r="AK6483">
        <v>7</v>
      </c>
      <c r="AN6483">
        <v>0</v>
      </c>
    </row>
    <row r="6484" spans="1:40" x14ac:dyDescent="0.25">
      <c r="A6484" t="s">
        <v>15</v>
      </c>
      <c r="B6484" t="s">
        <v>24</v>
      </c>
      <c r="C6484">
        <v>20150316</v>
      </c>
      <c r="D6484">
        <v>0</v>
      </c>
      <c r="F6484">
        <v>62500</v>
      </c>
      <c r="G6484" t="s">
        <v>17</v>
      </c>
      <c r="I6484" t="s">
        <v>16</v>
      </c>
      <c r="J6484" t="s">
        <v>180</v>
      </c>
      <c r="K6484" t="s">
        <v>25</v>
      </c>
      <c r="L6484">
        <v>132757294</v>
      </c>
      <c r="R6484">
        <v>9691</v>
      </c>
      <c r="S6484" t="s">
        <v>232</v>
      </c>
      <c r="T6484">
        <v>0</v>
      </c>
      <c r="U6484">
        <v>-5</v>
      </c>
      <c r="V6484">
        <v>0</v>
      </c>
      <c r="W6484">
        <v>0</v>
      </c>
      <c r="X6484">
        <v>0</v>
      </c>
    </row>
    <row r="6485" spans="1:40" x14ac:dyDescent="0.25">
      <c r="A6485" t="s">
        <v>15</v>
      </c>
      <c r="B6485" t="s">
        <v>24</v>
      </c>
      <c r="C6485">
        <v>20150316</v>
      </c>
      <c r="D6485">
        <v>0</v>
      </c>
      <c r="F6485">
        <v>62500</v>
      </c>
      <c r="G6485" t="s">
        <v>17</v>
      </c>
      <c r="I6485" t="s">
        <v>16</v>
      </c>
      <c r="J6485" t="s">
        <v>180</v>
      </c>
      <c r="K6485" t="s">
        <v>25</v>
      </c>
      <c r="L6485">
        <v>132757294</v>
      </c>
      <c r="R6485">
        <v>9691</v>
      </c>
      <c r="S6485" t="s">
        <v>236</v>
      </c>
      <c r="T6485">
        <v>1</v>
      </c>
      <c r="U6485">
        <v>4</v>
      </c>
      <c r="V6485">
        <v>1.5248999999999999</v>
      </c>
      <c r="W6485">
        <v>1.5248999999999999</v>
      </c>
      <c r="X6485">
        <v>0</v>
      </c>
    </row>
    <row r="6486" spans="1:40" x14ac:dyDescent="0.25">
      <c r="A6486" t="s">
        <v>15</v>
      </c>
      <c r="B6486" t="s">
        <v>24</v>
      </c>
      <c r="C6486">
        <v>20150316</v>
      </c>
      <c r="D6486">
        <v>0</v>
      </c>
      <c r="F6486">
        <v>62500</v>
      </c>
      <c r="G6486" t="s">
        <v>17</v>
      </c>
      <c r="I6486" t="s">
        <v>16</v>
      </c>
      <c r="J6486" t="s">
        <v>180</v>
      </c>
      <c r="K6486" t="s">
        <v>25</v>
      </c>
      <c r="L6486">
        <v>132757294</v>
      </c>
      <c r="R6486">
        <v>9691</v>
      </c>
      <c r="S6486" t="s">
        <v>236</v>
      </c>
      <c r="T6486">
        <v>1</v>
      </c>
      <c r="U6486">
        <v>4</v>
      </c>
      <c r="V6486">
        <v>1.5248999999999999</v>
      </c>
      <c r="W6486">
        <v>1.5248999999999999</v>
      </c>
      <c r="X6486">
        <v>0</v>
      </c>
    </row>
    <row r="6487" spans="1:40" x14ac:dyDescent="0.25">
      <c r="A6487" t="s">
        <v>15</v>
      </c>
      <c r="B6487" t="s">
        <v>24</v>
      </c>
      <c r="C6487">
        <v>20150316</v>
      </c>
      <c r="D6487">
        <v>0</v>
      </c>
      <c r="F6487">
        <v>62500</v>
      </c>
      <c r="G6487" t="s">
        <v>17</v>
      </c>
      <c r="I6487" t="s">
        <v>16</v>
      </c>
      <c r="J6487" t="s">
        <v>180</v>
      </c>
      <c r="K6487" t="s">
        <v>25</v>
      </c>
      <c r="L6487">
        <v>132757294</v>
      </c>
      <c r="R6487">
        <v>9691</v>
      </c>
      <c r="S6487" t="s">
        <v>233</v>
      </c>
      <c r="T6487">
        <v>1</v>
      </c>
      <c r="U6487">
        <v>4</v>
      </c>
      <c r="V6487">
        <v>1.5248999999999999</v>
      </c>
      <c r="W6487">
        <v>1.5248999999999999</v>
      </c>
      <c r="X6487">
        <v>0</v>
      </c>
    </row>
    <row r="6488" spans="1:40" x14ac:dyDescent="0.25">
      <c r="A6488" t="s">
        <v>15</v>
      </c>
      <c r="B6488" t="s">
        <v>24</v>
      </c>
      <c r="C6488">
        <v>20150316</v>
      </c>
      <c r="D6488">
        <v>0</v>
      </c>
      <c r="F6488">
        <v>62500</v>
      </c>
      <c r="G6488" t="s">
        <v>17</v>
      </c>
      <c r="I6488" t="s">
        <v>16</v>
      </c>
      <c r="J6488" t="s">
        <v>180</v>
      </c>
      <c r="K6488" t="s">
        <v>25</v>
      </c>
      <c r="L6488">
        <v>132757294</v>
      </c>
      <c r="R6488">
        <v>9691</v>
      </c>
      <c r="S6488" t="s">
        <v>233</v>
      </c>
      <c r="T6488">
        <v>1</v>
      </c>
      <c r="U6488">
        <v>4</v>
      </c>
      <c r="V6488">
        <v>1.5248999999999999</v>
      </c>
      <c r="W6488">
        <v>1.5248999999999999</v>
      </c>
      <c r="X6488">
        <v>0</v>
      </c>
    </row>
    <row r="6489" spans="1:40" x14ac:dyDescent="0.25">
      <c r="A6489" t="s">
        <v>15</v>
      </c>
      <c r="B6489" t="s">
        <v>24</v>
      </c>
      <c r="C6489">
        <v>20150316</v>
      </c>
      <c r="D6489">
        <v>0</v>
      </c>
      <c r="F6489">
        <v>62500</v>
      </c>
      <c r="G6489" t="s">
        <v>17</v>
      </c>
      <c r="I6489" t="s">
        <v>16</v>
      </c>
      <c r="J6489" t="s">
        <v>180</v>
      </c>
      <c r="K6489" t="s">
        <v>25</v>
      </c>
      <c r="L6489">
        <v>132757294</v>
      </c>
      <c r="R6489">
        <v>9691</v>
      </c>
      <c r="S6489" t="s">
        <v>233</v>
      </c>
      <c r="T6489">
        <v>1</v>
      </c>
      <c r="U6489">
        <v>4</v>
      </c>
      <c r="V6489">
        <v>1.5248999999999999</v>
      </c>
      <c r="W6489">
        <v>1.5248999999999999</v>
      </c>
      <c r="X6489">
        <v>0</v>
      </c>
    </row>
    <row r="6490" spans="1:40" x14ac:dyDescent="0.25">
      <c r="A6490" t="s">
        <v>15</v>
      </c>
      <c r="B6490" t="s">
        <v>24</v>
      </c>
      <c r="C6490">
        <v>20150316</v>
      </c>
      <c r="D6490">
        <v>0</v>
      </c>
      <c r="F6490">
        <v>62500</v>
      </c>
      <c r="G6490" t="s">
        <v>17</v>
      </c>
      <c r="I6490" t="s">
        <v>16</v>
      </c>
      <c r="J6490" t="s">
        <v>180</v>
      </c>
      <c r="K6490" t="s">
        <v>25</v>
      </c>
      <c r="L6490">
        <v>132757294</v>
      </c>
      <c r="R6490">
        <v>9691</v>
      </c>
      <c r="S6490" t="s">
        <v>233</v>
      </c>
      <c r="T6490">
        <v>1</v>
      </c>
      <c r="U6490">
        <v>4</v>
      </c>
      <c r="V6490">
        <v>1.5248999999999999</v>
      </c>
      <c r="W6490">
        <v>1.5248999999999999</v>
      </c>
      <c r="X6490">
        <v>0</v>
      </c>
      <c r="Y6490">
        <v>9691</v>
      </c>
      <c r="Z6490" t="s">
        <v>471</v>
      </c>
      <c r="AA6490" t="s">
        <v>472</v>
      </c>
      <c r="AB6490" t="s">
        <v>234</v>
      </c>
      <c r="AC6490" t="s">
        <v>17</v>
      </c>
      <c r="AD6490" t="s">
        <v>237</v>
      </c>
      <c r="AE6490">
        <v>2</v>
      </c>
      <c r="AF6490">
        <v>3</v>
      </c>
      <c r="AG6490">
        <v>1.5247999999999999</v>
      </c>
      <c r="AH6490">
        <v>1.5248330000000001</v>
      </c>
      <c r="AI6490">
        <v>415886724</v>
      </c>
      <c r="AJ6490">
        <v>0</v>
      </c>
      <c r="AK6490">
        <v>7</v>
      </c>
      <c r="AN6490">
        <v>0</v>
      </c>
    </row>
    <row r="6491" spans="1:40" x14ac:dyDescent="0.25">
      <c r="A6491" t="s">
        <v>15</v>
      </c>
      <c r="B6491" t="s">
        <v>24</v>
      </c>
      <c r="C6491">
        <v>20150316</v>
      </c>
      <c r="D6491">
        <v>0</v>
      </c>
      <c r="F6491">
        <v>62500</v>
      </c>
      <c r="G6491" t="s">
        <v>17</v>
      </c>
      <c r="I6491" t="s">
        <v>16</v>
      </c>
      <c r="J6491" t="s">
        <v>180</v>
      </c>
      <c r="K6491" t="s">
        <v>25</v>
      </c>
      <c r="L6491">
        <v>132757294</v>
      </c>
      <c r="R6491">
        <v>9691</v>
      </c>
      <c r="S6491" t="s">
        <v>233</v>
      </c>
      <c r="T6491">
        <v>1</v>
      </c>
      <c r="U6491">
        <v>4</v>
      </c>
      <c r="V6491">
        <v>1.5248999999999999</v>
      </c>
      <c r="W6491">
        <v>1.5248999999999999</v>
      </c>
      <c r="X6491">
        <v>0</v>
      </c>
    </row>
    <row r="6492" spans="1:40" x14ac:dyDescent="0.25">
      <c r="A6492" t="s">
        <v>15</v>
      </c>
      <c r="B6492" t="s">
        <v>24</v>
      </c>
      <c r="C6492">
        <v>20150316</v>
      </c>
      <c r="D6492">
        <v>0</v>
      </c>
      <c r="F6492">
        <v>62500</v>
      </c>
      <c r="G6492" t="s">
        <v>17</v>
      </c>
      <c r="I6492" t="s">
        <v>16</v>
      </c>
      <c r="J6492" t="s">
        <v>180</v>
      </c>
      <c r="K6492" t="s">
        <v>25</v>
      </c>
      <c r="L6492">
        <v>132757294</v>
      </c>
      <c r="R6492">
        <v>9691</v>
      </c>
      <c r="S6492" t="s">
        <v>233</v>
      </c>
      <c r="T6492">
        <v>3</v>
      </c>
      <c r="U6492">
        <v>2</v>
      </c>
      <c r="V6492">
        <v>1.5248330000000001</v>
      </c>
      <c r="W6492">
        <v>1.5247999999999999</v>
      </c>
      <c r="X6492">
        <v>0</v>
      </c>
    </row>
    <row r="6493" spans="1:40" x14ac:dyDescent="0.25">
      <c r="A6493" t="s">
        <v>15</v>
      </c>
      <c r="B6493" t="s">
        <v>24</v>
      </c>
      <c r="C6493">
        <v>20150316</v>
      </c>
      <c r="D6493">
        <v>0</v>
      </c>
      <c r="F6493">
        <v>62500</v>
      </c>
      <c r="G6493" t="s">
        <v>17</v>
      </c>
      <c r="I6493" t="s">
        <v>16</v>
      </c>
      <c r="J6493" t="s">
        <v>180</v>
      </c>
      <c r="K6493" t="s">
        <v>25</v>
      </c>
      <c r="L6493">
        <v>132757294</v>
      </c>
      <c r="R6493">
        <v>9691</v>
      </c>
      <c r="S6493" t="s">
        <v>233</v>
      </c>
      <c r="T6493">
        <v>3</v>
      </c>
      <c r="U6493">
        <v>2</v>
      </c>
      <c r="V6493">
        <v>1.5248330000000001</v>
      </c>
      <c r="W6493">
        <v>1.5247999999999999</v>
      </c>
      <c r="X6493">
        <v>0</v>
      </c>
    </row>
    <row r="6494" spans="1:40" x14ac:dyDescent="0.25">
      <c r="A6494" t="s">
        <v>15</v>
      </c>
      <c r="B6494" t="s">
        <v>24</v>
      </c>
      <c r="C6494">
        <v>20150316</v>
      </c>
      <c r="D6494">
        <v>0</v>
      </c>
      <c r="F6494">
        <v>62500</v>
      </c>
      <c r="G6494" t="s">
        <v>17</v>
      </c>
      <c r="I6494" t="s">
        <v>16</v>
      </c>
      <c r="J6494" t="s">
        <v>180</v>
      </c>
      <c r="K6494" t="s">
        <v>25</v>
      </c>
      <c r="L6494">
        <v>132757294</v>
      </c>
      <c r="R6494">
        <v>9691</v>
      </c>
      <c r="S6494" t="s">
        <v>233</v>
      </c>
      <c r="T6494">
        <v>3</v>
      </c>
      <c r="U6494">
        <v>2</v>
      </c>
      <c r="V6494">
        <v>1.5248330000000001</v>
      </c>
      <c r="W6494">
        <v>1.5247999999999999</v>
      </c>
      <c r="X6494">
        <v>0</v>
      </c>
    </row>
    <row r="6495" spans="1:40" x14ac:dyDescent="0.25">
      <c r="A6495" t="s">
        <v>15</v>
      </c>
      <c r="B6495" t="s">
        <v>24</v>
      </c>
      <c r="C6495">
        <v>20150316</v>
      </c>
      <c r="D6495">
        <v>0</v>
      </c>
      <c r="F6495">
        <v>62500</v>
      </c>
      <c r="G6495" t="s">
        <v>17</v>
      </c>
      <c r="I6495" t="s">
        <v>16</v>
      </c>
      <c r="J6495" t="s">
        <v>180</v>
      </c>
      <c r="K6495" t="s">
        <v>25</v>
      </c>
      <c r="L6495">
        <v>132757294</v>
      </c>
      <c r="R6495">
        <v>9691</v>
      </c>
      <c r="S6495" t="s">
        <v>233</v>
      </c>
      <c r="T6495">
        <v>3</v>
      </c>
      <c r="U6495">
        <v>2</v>
      </c>
      <c r="V6495">
        <v>1.5248330000000001</v>
      </c>
      <c r="W6495">
        <v>1.5247999999999999</v>
      </c>
      <c r="X6495">
        <v>0</v>
      </c>
      <c r="Y6495">
        <v>9691</v>
      </c>
      <c r="Z6495" t="s">
        <v>473</v>
      </c>
      <c r="AA6495" t="s">
        <v>472</v>
      </c>
      <c r="AB6495" t="s">
        <v>234</v>
      </c>
      <c r="AC6495" t="s">
        <v>17</v>
      </c>
      <c r="AD6495" t="s">
        <v>237</v>
      </c>
      <c r="AE6495">
        <v>1</v>
      </c>
      <c r="AF6495">
        <v>4</v>
      </c>
      <c r="AG6495">
        <v>1.5247999999999999</v>
      </c>
      <c r="AH6495">
        <v>1.5248250000000001</v>
      </c>
      <c r="AI6495">
        <v>415886724</v>
      </c>
      <c r="AJ6495">
        <v>0</v>
      </c>
      <c r="AK6495">
        <v>7</v>
      </c>
      <c r="AN6495">
        <v>0</v>
      </c>
    </row>
    <row r="6496" spans="1:40" x14ac:dyDescent="0.25">
      <c r="A6496" t="s">
        <v>15</v>
      </c>
      <c r="B6496" t="s">
        <v>24</v>
      </c>
      <c r="C6496">
        <v>20150316</v>
      </c>
      <c r="D6496">
        <v>0</v>
      </c>
      <c r="F6496">
        <v>62500</v>
      </c>
      <c r="G6496" t="s">
        <v>17</v>
      </c>
      <c r="I6496" t="s">
        <v>16</v>
      </c>
      <c r="J6496" t="s">
        <v>180</v>
      </c>
      <c r="K6496" t="s">
        <v>25</v>
      </c>
      <c r="L6496">
        <v>132757294</v>
      </c>
      <c r="R6496">
        <v>9691</v>
      </c>
      <c r="S6496" t="s">
        <v>233</v>
      </c>
      <c r="T6496">
        <v>3</v>
      </c>
      <c r="U6496">
        <v>2</v>
      </c>
      <c r="V6496">
        <v>1.5248330000000001</v>
      </c>
      <c r="W6496">
        <v>1.5247999999999999</v>
      </c>
      <c r="X6496">
        <v>0</v>
      </c>
    </row>
    <row r="6497" spans="1:40" x14ac:dyDescent="0.25">
      <c r="A6497" t="s">
        <v>15</v>
      </c>
      <c r="B6497" t="s">
        <v>24</v>
      </c>
      <c r="C6497">
        <v>20150316</v>
      </c>
      <c r="D6497">
        <v>0</v>
      </c>
      <c r="F6497">
        <v>62500</v>
      </c>
      <c r="G6497" t="s">
        <v>17</v>
      </c>
      <c r="I6497" t="s">
        <v>16</v>
      </c>
      <c r="J6497" t="s">
        <v>180</v>
      </c>
      <c r="K6497" t="s">
        <v>25</v>
      </c>
      <c r="L6497">
        <v>132757294</v>
      </c>
      <c r="R6497">
        <v>9691</v>
      </c>
      <c r="S6497" t="s">
        <v>233</v>
      </c>
      <c r="T6497">
        <v>4</v>
      </c>
      <c r="U6497">
        <v>1</v>
      </c>
      <c r="V6497">
        <v>1.5248250000000001</v>
      </c>
      <c r="W6497">
        <v>1.5247999999999999</v>
      </c>
      <c r="X6497">
        <v>0</v>
      </c>
    </row>
    <row r="6498" spans="1:40" x14ac:dyDescent="0.25">
      <c r="A6498" t="s">
        <v>15</v>
      </c>
      <c r="B6498" t="s">
        <v>24</v>
      </c>
      <c r="C6498">
        <v>20150316</v>
      </c>
      <c r="D6498">
        <v>0</v>
      </c>
      <c r="F6498">
        <v>62500</v>
      </c>
      <c r="G6498" t="s">
        <v>17</v>
      </c>
      <c r="I6498" t="s">
        <v>16</v>
      </c>
      <c r="J6498" t="s">
        <v>180</v>
      </c>
      <c r="K6498" t="s">
        <v>25</v>
      </c>
      <c r="L6498">
        <v>132757294</v>
      </c>
      <c r="R6498">
        <v>9691</v>
      </c>
      <c r="S6498" t="s">
        <v>233</v>
      </c>
      <c r="T6498">
        <v>4</v>
      </c>
      <c r="U6498">
        <v>1</v>
      </c>
      <c r="V6498">
        <v>1.5248250000000001</v>
      </c>
      <c r="W6498">
        <v>1.5247999999999999</v>
      </c>
      <c r="X6498">
        <v>0</v>
      </c>
      <c r="Y6498">
        <v>9691</v>
      </c>
      <c r="Z6498" t="s">
        <v>474</v>
      </c>
      <c r="AA6498" t="s">
        <v>472</v>
      </c>
      <c r="AB6498" t="s">
        <v>234</v>
      </c>
      <c r="AC6498" t="s">
        <v>17</v>
      </c>
      <c r="AD6498" t="s">
        <v>237</v>
      </c>
      <c r="AE6498">
        <v>1</v>
      </c>
      <c r="AF6498">
        <v>5</v>
      </c>
      <c r="AG6498">
        <v>1.5247999999999999</v>
      </c>
      <c r="AH6498">
        <v>1.5248200000000001</v>
      </c>
      <c r="AI6498">
        <v>415886724</v>
      </c>
      <c r="AJ6498">
        <v>0</v>
      </c>
      <c r="AK6498">
        <v>7</v>
      </c>
      <c r="AN6498">
        <v>0</v>
      </c>
    </row>
    <row r="6499" spans="1:40" x14ac:dyDescent="0.25">
      <c r="A6499" t="s">
        <v>15</v>
      </c>
      <c r="B6499" t="s">
        <v>24</v>
      </c>
      <c r="C6499">
        <v>20150316</v>
      </c>
      <c r="D6499">
        <v>0</v>
      </c>
      <c r="F6499">
        <v>62500</v>
      </c>
      <c r="G6499" t="s">
        <v>17</v>
      </c>
      <c r="I6499" t="s">
        <v>16</v>
      </c>
      <c r="J6499" t="s">
        <v>180</v>
      </c>
      <c r="K6499" t="s">
        <v>25</v>
      </c>
      <c r="L6499">
        <v>132757294</v>
      </c>
      <c r="R6499">
        <v>9691</v>
      </c>
      <c r="S6499" t="s">
        <v>233</v>
      </c>
      <c r="T6499">
        <v>4</v>
      </c>
      <c r="U6499">
        <v>1</v>
      </c>
      <c r="V6499">
        <v>1.5248250000000001</v>
      </c>
      <c r="W6499">
        <v>1.5247999999999999</v>
      </c>
      <c r="X6499">
        <v>0</v>
      </c>
    </row>
    <row r="6500" spans="1:40" x14ac:dyDescent="0.25">
      <c r="A6500" t="s">
        <v>15</v>
      </c>
      <c r="B6500" t="s">
        <v>24</v>
      </c>
      <c r="C6500">
        <v>20150316</v>
      </c>
      <c r="D6500">
        <v>0</v>
      </c>
      <c r="F6500">
        <v>62500</v>
      </c>
      <c r="G6500" t="s">
        <v>17</v>
      </c>
      <c r="I6500" t="s">
        <v>16</v>
      </c>
      <c r="J6500" t="s">
        <v>180</v>
      </c>
      <c r="K6500" t="s">
        <v>25</v>
      </c>
      <c r="L6500">
        <v>132757294</v>
      </c>
      <c r="R6500">
        <v>9691</v>
      </c>
      <c r="S6500" t="s">
        <v>37</v>
      </c>
      <c r="T6500">
        <v>5</v>
      </c>
      <c r="U6500">
        <v>0</v>
      </c>
      <c r="V6500">
        <v>1.5248200000000001</v>
      </c>
      <c r="W6500">
        <v>1.5247999999999999</v>
      </c>
      <c r="X6500">
        <v>0</v>
      </c>
    </row>
    <row r="6501" spans="1:40" x14ac:dyDescent="0.25">
      <c r="A6501" t="s">
        <v>15</v>
      </c>
      <c r="B6501" t="s">
        <v>24</v>
      </c>
      <c r="C6501">
        <v>20150316</v>
      </c>
      <c r="D6501">
        <v>0</v>
      </c>
      <c r="F6501">
        <v>62500</v>
      </c>
      <c r="G6501" t="s">
        <v>17</v>
      </c>
      <c r="I6501" t="s">
        <v>16</v>
      </c>
      <c r="J6501" t="s">
        <v>180</v>
      </c>
      <c r="K6501" t="s">
        <v>25</v>
      </c>
      <c r="L6501">
        <v>132757294</v>
      </c>
      <c r="R6501">
        <v>9691</v>
      </c>
      <c r="S6501" t="s">
        <v>37</v>
      </c>
      <c r="T6501">
        <v>5</v>
      </c>
      <c r="U6501">
        <v>0</v>
      </c>
      <c r="V6501">
        <v>1.5248200000000001</v>
      </c>
      <c r="W6501">
        <v>1.5247999999999999</v>
      </c>
      <c r="X6501">
        <v>0</v>
      </c>
    </row>
    <row r="6502" spans="1:40" x14ac:dyDescent="0.25">
      <c r="A6502" t="s">
        <v>15</v>
      </c>
      <c r="B6502" t="s">
        <v>24</v>
      </c>
      <c r="C6502">
        <v>20150316</v>
      </c>
      <c r="D6502">
        <v>0</v>
      </c>
      <c r="F6502">
        <v>62500</v>
      </c>
      <c r="G6502" t="s">
        <v>17</v>
      </c>
      <c r="I6502" t="s">
        <v>16</v>
      </c>
      <c r="J6502" t="s">
        <v>180</v>
      </c>
      <c r="K6502" t="s">
        <v>25</v>
      </c>
      <c r="L6502">
        <v>132757294</v>
      </c>
      <c r="R6502">
        <v>9691</v>
      </c>
      <c r="S6502" t="s">
        <v>37</v>
      </c>
      <c r="T6502">
        <v>5</v>
      </c>
      <c r="U6502">
        <v>0</v>
      </c>
      <c r="V6502">
        <v>1.5248200000000001</v>
      </c>
      <c r="W6502">
        <v>1.5247999999999999</v>
      </c>
      <c r="X6502">
        <v>0</v>
      </c>
    </row>
    <row r="6503" spans="1:40" x14ac:dyDescent="0.25">
      <c r="A6503" t="s">
        <v>15</v>
      </c>
      <c r="B6503" t="s">
        <v>24</v>
      </c>
      <c r="C6503">
        <v>20150316</v>
      </c>
      <c r="D6503">
        <v>0</v>
      </c>
      <c r="F6503">
        <v>62500</v>
      </c>
      <c r="G6503" t="s">
        <v>17</v>
      </c>
      <c r="I6503" t="s">
        <v>16</v>
      </c>
      <c r="J6503" t="s">
        <v>180</v>
      </c>
      <c r="K6503" t="s">
        <v>25</v>
      </c>
      <c r="L6503">
        <v>132757294</v>
      </c>
      <c r="R6503">
        <v>9691</v>
      </c>
      <c r="S6503" t="s">
        <v>37</v>
      </c>
      <c r="T6503">
        <v>5</v>
      </c>
      <c r="U6503">
        <v>0</v>
      </c>
      <c r="V6503">
        <v>1.5248200000000001</v>
      </c>
      <c r="W6503">
        <v>1.5247999999999999</v>
      </c>
      <c r="X6503">
        <v>0</v>
      </c>
    </row>
    <row r="6504" spans="1:40" x14ac:dyDescent="0.25">
      <c r="A6504" t="s">
        <v>15</v>
      </c>
      <c r="B6504" t="s">
        <v>24</v>
      </c>
      <c r="C6504">
        <v>20150316</v>
      </c>
      <c r="D6504">
        <v>0</v>
      </c>
      <c r="F6504">
        <v>62500</v>
      </c>
      <c r="G6504" t="s">
        <v>17</v>
      </c>
      <c r="I6504" t="s">
        <v>16</v>
      </c>
      <c r="J6504" t="s">
        <v>180</v>
      </c>
      <c r="K6504" t="s">
        <v>25</v>
      </c>
      <c r="L6504">
        <v>132757294</v>
      </c>
      <c r="R6504">
        <v>9691</v>
      </c>
      <c r="S6504" t="s">
        <v>37</v>
      </c>
      <c r="T6504">
        <v>5</v>
      </c>
      <c r="U6504">
        <v>0</v>
      </c>
      <c r="V6504">
        <v>1.5248200000000001</v>
      </c>
      <c r="W6504">
        <v>1.5247999999999999</v>
      </c>
      <c r="X6504">
        <v>0</v>
      </c>
    </row>
    <row r="6505" spans="1:40" x14ac:dyDescent="0.25">
      <c r="A6505" t="s">
        <v>15</v>
      </c>
      <c r="B6505" t="s">
        <v>24</v>
      </c>
      <c r="C6505">
        <v>20150316</v>
      </c>
      <c r="D6505">
        <v>0</v>
      </c>
      <c r="F6505">
        <v>62500</v>
      </c>
      <c r="G6505" t="s">
        <v>17</v>
      </c>
      <c r="I6505" t="s">
        <v>16</v>
      </c>
      <c r="J6505" t="s">
        <v>180</v>
      </c>
      <c r="K6505" t="s">
        <v>25</v>
      </c>
      <c r="L6505">
        <v>132757294</v>
      </c>
      <c r="R6505">
        <v>9691</v>
      </c>
      <c r="S6505" t="s">
        <v>37</v>
      </c>
      <c r="T6505">
        <v>5</v>
      </c>
      <c r="U6505">
        <v>0</v>
      </c>
      <c r="V6505">
        <v>1.5248200000000001</v>
      </c>
      <c r="W6505">
        <v>1.5247999999999999</v>
      </c>
      <c r="X6505">
        <v>0</v>
      </c>
    </row>
    <row r="6506" spans="1:40" x14ac:dyDescent="0.25">
      <c r="A6506" t="s">
        <v>15</v>
      </c>
      <c r="B6506" t="s">
        <v>24</v>
      </c>
      <c r="C6506">
        <v>20150316</v>
      </c>
      <c r="D6506">
        <v>0</v>
      </c>
      <c r="F6506">
        <v>62500</v>
      </c>
      <c r="G6506" t="s">
        <v>17</v>
      </c>
      <c r="I6506" t="s">
        <v>16</v>
      </c>
      <c r="J6506" t="s">
        <v>180</v>
      </c>
      <c r="K6506" t="s">
        <v>25</v>
      </c>
      <c r="L6506">
        <v>132757294</v>
      </c>
      <c r="R6506">
        <v>9691</v>
      </c>
      <c r="S6506" t="s">
        <v>37</v>
      </c>
      <c r="T6506">
        <v>5</v>
      </c>
      <c r="U6506">
        <v>0</v>
      </c>
      <c r="V6506">
        <v>1.5248200000000001</v>
      </c>
      <c r="W6506">
        <v>1.5247999999999999</v>
      </c>
      <c r="X6506">
        <v>0</v>
      </c>
    </row>
    <row r="6507" spans="1:40" x14ac:dyDescent="0.25">
      <c r="A6507" t="s">
        <v>15</v>
      </c>
      <c r="B6507" t="s">
        <v>24</v>
      </c>
      <c r="C6507">
        <v>20150316</v>
      </c>
      <c r="D6507">
        <v>0</v>
      </c>
      <c r="F6507">
        <v>62500</v>
      </c>
      <c r="G6507" t="s">
        <v>17</v>
      </c>
      <c r="I6507" t="s">
        <v>16</v>
      </c>
      <c r="J6507" t="s">
        <v>180</v>
      </c>
      <c r="K6507" t="s">
        <v>25</v>
      </c>
      <c r="L6507">
        <v>132757294</v>
      </c>
      <c r="R6507">
        <v>9691</v>
      </c>
      <c r="S6507" t="s">
        <v>37</v>
      </c>
      <c r="T6507">
        <v>5</v>
      </c>
      <c r="U6507">
        <v>0</v>
      </c>
      <c r="V6507">
        <v>1.5248200000000001</v>
      </c>
      <c r="W6507">
        <v>1.5247999999999999</v>
      </c>
      <c r="X6507">
        <v>0</v>
      </c>
    </row>
    <row r="6508" spans="1:40" x14ac:dyDescent="0.25">
      <c r="A6508" t="s">
        <v>15</v>
      </c>
      <c r="B6508" t="s">
        <v>24</v>
      </c>
      <c r="C6508">
        <v>20150316</v>
      </c>
      <c r="D6508">
        <v>0</v>
      </c>
      <c r="F6508">
        <v>62500</v>
      </c>
      <c r="G6508" t="s">
        <v>17</v>
      </c>
      <c r="I6508" t="s">
        <v>16</v>
      </c>
      <c r="J6508" t="s">
        <v>180</v>
      </c>
      <c r="K6508" t="s">
        <v>25</v>
      </c>
      <c r="L6508">
        <v>132757294</v>
      </c>
      <c r="R6508">
        <v>9688</v>
      </c>
      <c r="S6508" t="s">
        <v>223</v>
      </c>
      <c r="T6508">
        <v>0</v>
      </c>
      <c r="U6508">
        <v>12</v>
      </c>
      <c r="V6508">
        <v>0</v>
      </c>
      <c r="W6508">
        <v>0</v>
      </c>
      <c r="X6508">
        <v>0</v>
      </c>
    </row>
    <row r="6509" spans="1:40" x14ac:dyDescent="0.25">
      <c r="A6509" t="s">
        <v>15</v>
      </c>
      <c r="B6509" t="s">
        <v>24</v>
      </c>
      <c r="C6509">
        <v>20150316</v>
      </c>
      <c r="D6509">
        <v>0</v>
      </c>
      <c r="F6509">
        <v>62500</v>
      </c>
      <c r="G6509" t="s">
        <v>17</v>
      </c>
      <c r="I6509" t="s">
        <v>16</v>
      </c>
      <c r="J6509" t="s">
        <v>180</v>
      </c>
      <c r="K6509" t="s">
        <v>25</v>
      </c>
      <c r="L6509">
        <v>132757294</v>
      </c>
      <c r="R6509">
        <v>9688</v>
      </c>
      <c r="S6509" t="s">
        <v>224</v>
      </c>
      <c r="T6509">
        <v>0</v>
      </c>
      <c r="U6509">
        <v>12</v>
      </c>
      <c r="V6509">
        <v>0</v>
      </c>
      <c r="W6509">
        <v>0</v>
      </c>
      <c r="X6509">
        <v>0</v>
      </c>
    </row>
    <row r="6510" spans="1:40" x14ac:dyDescent="0.25">
      <c r="A6510" t="s">
        <v>15</v>
      </c>
      <c r="B6510" t="s">
        <v>24</v>
      </c>
      <c r="C6510">
        <v>20150316</v>
      </c>
      <c r="D6510">
        <v>0</v>
      </c>
      <c r="F6510">
        <v>62500</v>
      </c>
      <c r="G6510" t="s">
        <v>17</v>
      </c>
      <c r="I6510" t="s">
        <v>16</v>
      </c>
      <c r="J6510" t="s">
        <v>180</v>
      </c>
      <c r="K6510" t="s">
        <v>25</v>
      </c>
      <c r="L6510">
        <v>132757294</v>
      </c>
      <c r="R6510">
        <v>9689</v>
      </c>
      <c r="S6510" t="s">
        <v>223</v>
      </c>
      <c r="T6510">
        <v>0</v>
      </c>
      <c r="U6510">
        <v>12</v>
      </c>
      <c r="V6510">
        <v>0</v>
      </c>
      <c r="W6510">
        <v>0</v>
      </c>
      <c r="X6510">
        <v>0</v>
      </c>
    </row>
    <row r="6511" spans="1:40" x14ac:dyDescent="0.25">
      <c r="A6511" t="s">
        <v>15</v>
      </c>
      <c r="B6511" t="s">
        <v>24</v>
      </c>
      <c r="C6511">
        <v>20150316</v>
      </c>
      <c r="D6511">
        <v>0</v>
      </c>
      <c r="F6511">
        <v>62500</v>
      </c>
      <c r="G6511" t="s">
        <v>17</v>
      </c>
      <c r="I6511" t="s">
        <v>16</v>
      </c>
      <c r="J6511" t="s">
        <v>180</v>
      </c>
      <c r="K6511" t="s">
        <v>25</v>
      </c>
      <c r="L6511">
        <v>132757294</v>
      </c>
      <c r="R6511">
        <v>9689</v>
      </c>
      <c r="S6511" t="s">
        <v>224</v>
      </c>
      <c r="T6511">
        <v>0</v>
      </c>
      <c r="U6511">
        <v>12</v>
      </c>
      <c r="V6511">
        <v>0</v>
      </c>
      <c r="W6511">
        <v>0</v>
      </c>
      <c r="X6511">
        <v>0</v>
      </c>
    </row>
    <row r="6512" spans="1:40" x14ac:dyDescent="0.25">
      <c r="A6512" t="s">
        <v>15</v>
      </c>
      <c r="B6512" t="s">
        <v>24</v>
      </c>
      <c r="C6512">
        <v>20150316</v>
      </c>
      <c r="D6512">
        <v>0</v>
      </c>
      <c r="F6512">
        <v>62500</v>
      </c>
      <c r="G6512" t="s">
        <v>17</v>
      </c>
      <c r="I6512" t="s">
        <v>16</v>
      </c>
      <c r="J6512" t="s">
        <v>180</v>
      </c>
      <c r="K6512" t="s">
        <v>25</v>
      </c>
      <c r="L6512">
        <v>132757294</v>
      </c>
      <c r="R6512">
        <v>9692</v>
      </c>
      <c r="S6512" t="s">
        <v>232</v>
      </c>
      <c r="T6512">
        <v>0</v>
      </c>
      <c r="U6512">
        <v>15</v>
      </c>
      <c r="V6512">
        <v>0</v>
      </c>
      <c r="W6512">
        <v>0</v>
      </c>
      <c r="X6512">
        <v>0</v>
      </c>
    </row>
    <row r="6513" spans="1:40" x14ac:dyDescent="0.25">
      <c r="A6513" t="s">
        <v>15</v>
      </c>
      <c r="B6513" t="s">
        <v>24</v>
      </c>
      <c r="C6513">
        <v>20150316</v>
      </c>
      <c r="D6513">
        <v>0</v>
      </c>
      <c r="F6513">
        <v>62500</v>
      </c>
      <c r="G6513" t="s">
        <v>17</v>
      </c>
      <c r="I6513" t="s">
        <v>16</v>
      </c>
      <c r="J6513" t="s">
        <v>180</v>
      </c>
      <c r="K6513" t="s">
        <v>25</v>
      </c>
      <c r="L6513">
        <v>132757294</v>
      </c>
      <c r="R6513">
        <v>9692</v>
      </c>
      <c r="S6513" t="s">
        <v>192</v>
      </c>
      <c r="T6513">
        <v>0</v>
      </c>
      <c r="U6513">
        <v>15</v>
      </c>
      <c r="V6513">
        <v>0</v>
      </c>
      <c r="W6513">
        <v>0</v>
      </c>
      <c r="X6513">
        <v>0</v>
      </c>
    </row>
    <row r="6514" spans="1:40" x14ac:dyDescent="0.25">
      <c r="A6514" t="s">
        <v>15</v>
      </c>
      <c r="B6514" t="s">
        <v>24</v>
      </c>
      <c r="C6514">
        <v>20150316</v>
      </c>
      <c r="D6514">
        <v>0</v>
      </c>
      <c r="F6514">
        <v>62500</v>
      </c>
      <c r="G6514" t="s">
        <v>17</v>
      </c>
      <c r="I6514" t="s">
        <v>16</v>
      </c>
      <c r="J6514" t="s">
        <v>180</v>
      </c>
      <c r="K6514" t="s">
        <v>25</v>
      </c>
      <c r="L6514">
        <v>132757294</v>
      </c>
      <c r="R6514">
        <v>9693</v>
      </c>
      <c r="S6514" t="s">
        <v>232</v>
      </c>
      <c r="T6514">
        <v>0</v>
      </c>
      <c r="U6514">
        <v>-5</v>
      </c>
      <c r="V6514">
        <v>0</v>
      </c>
      <c r="W6514">
        <v>0</v>
      </c>
      <c r="X6514">
        <v>0</v>
      </c>
    </row>
    <row r="6515" spans="1:40" x14ac:dyDescent="0.25">
      <c r="A6515" t="s">
        <v>15</v>
      </c>
      <c r="B6515" t="s">
        <v>24</v>
      </c>
      <c r="C6515">
        <v>20150316</v>
      </c>
      <c r="D6515">
        <v>0</v>
      </c>
      <c r="F6515">
        <v>62500</v>
      </c>
      <c r="G6515" t="s">
        <v>17</v>
      </c>
      <c r="I6515" t="s">
        <v>16</v>
      </c>
      <c r="J6515" t="s">
        <v>180</v>
      </c>
      <c r="K6515" t="s">
        <v>25</v>
      </c>
      <c r="L6515">
        <v>132757294</v>
      </c>
      <c r="R6515">
        <v>9693</v>
      </c>
      <c r="S6515" t="s">
        <v>232</v>
      </c>
      <c r="T6515">
        <v>0</v>
      </c>
      <c r="U6515">
        <v>-5</v>
      </c>
      <c r="V6515">
        <v>0</v>
      </c>
      <c r="W6515">
        <v>0</v>
      </c>
      <c r="X6515">
        <v>0</v>
      </c>
      <c r="Y6515">
        <v>9693</v>
      </c>
      <c r="Z6515" t="s">
        <v>475</v>
      </c>
      <c r="AA6515" t="s">
        <v>476</v>
      </c>
      <c r="AB6515" t="s">
        <v>234</v>
      </c>
      <c r="AC6515" t="s">
        <v>17</v>
      </c>
      <c r="AD6515" t="s">
        <v>237</v>
      </c>
      <c r="AE6515">
        <v>5</v>
      </c>
      <c r="AF6515">
        <v>5</v>
      </c>
      <c r="AG6515">
        <v>1.5247999999999999</v>
      </c>
      <c r="AH6515">
        <v>1.5247999999999999</v>
      </c>
      <c r="AI6515">
        <v>415886726</v>
      </c>
      <c r="AJ6515">
        <v>0</v>
      </c>
      <c r="AK6515">
        <v>7</v>
      </c>
      <c r="AN6515">
        <v>0</v>
      </c>
    </row>
    <row r="6516" spans="1:40" x14ac:dyDescent="0.25">
      <c r="A6516" t="s">
        <v>15</v>
      </c>
      <c r="B6516" t="s">
        <v>24</v>
      </c>
      <c r="C6516">
        <v>20150316</v>
      </c>
      <c r="D6516">
        <v>0</v>
      </c>
      <c r="F6516">
        <v>62500</v>
      </c>
      <c r="G6516" t="s">
        <v>17</v>
      </c>
      <c r="I6516" t="s">
        <v>16</v>
      </c>
      <c r="J6516" t="s">
        <v>180</v>
      </c>
      <c r="K6516" t="s">
        <v>25</v>
      </c>
      <c r="L6516">
        <v>132757294</v>
      </c>
      <c r="R6516">
        <v>9693</v>
      </c>
      <c r="S6516" t="s">
        <v>232</v>
      </c>
      <c r="T6516">
        <v>0</v>
      </c>
      <c r="U6516">
        <v>-5</v>
      </c>
      <c r="V6516">
        <v>0</v>
      </c>
      <c r="W6516">
        <v>0</v>
      </c>
      <c r="X6516">
        <v>0</v>
      </c>
    </row>
    <row r="6517" spans="1:40" x14ac:dyDescent="0.25">
      <c r="A6517" t="s">
        <v>15</v>
      </c>
      <c r="B6517" t="s">
        <v>24</v>
      </c>
      <c r="C6517">
        <v>20150316</v>
      </c>
      <c r="D6517">
        <v>0</v>
      </c>
      <c r="F6517">
        <v>62500</v>
      </c>
      <c r="G6517" t="s">
        <v>17</v>
      </c>
      <c r="I6517" t="s">
        <v>16</v>
      </c>
      <c r="J6517" t="s">
        <v>180</v>
      </c>
      <c r="K6517" t="s">
        <v>25</v>
      </c>
      <c r="L6517">
        <v>132757294</v>
      </c>
      <c r="R6517">
        <v>9693</v>
      </c>
      <c r="S6517" t="s">
        <v>37</v>
      </c>
      <c r="T6517">
        <v>5</v>
      </c>
      <c r="U6517">
        <v>0</v>
      </c>
      <c r="V6517">
        <v>1.5247999999999999</v>
      </c>
      <c r="W6517">
        <v>1.5247999999999999</v>
      </c>
      <c r="X6517">
        <v>0</v>
      </c>
    </row>
    <row r="6518" spans="1:40" x14ac:dyDescent="0.25">
      <c r="A6518" t="s">
        <v>15</v>
      </c>
      <c r="B6518" t="s">
        <v>24</v>
      </c>
      <c r="C6518">
        <v>20150316</v>
      </c>
      <c r="D6518">
        <v>0</v>
      </c>
      <c r="F6518">
        <v>62500</v>
      </c>
      <c r="G6518" t="s">
        <v>17</v>
      </c>
      <c r="I6518" t="s">
        <v>16</v>
      </c>
      <c r="J6518" t="s">
        <v>180</v>
      </c>
      <c r="K6518" t="s">
        <v>25</v>
      </c>
      <c r="L6518">
        <v>132757294</v>
      </c>
      <c r="R6518">
        <v>9693</v>
      </c>
      <c r="S6518" t="s">
        <v>37</v>
      </c>
      <c r="T6518">
        <v>5</v>
      </c>
      <c r="U6518">
        <v>0</v>
      </c>
      <c r="V6518">
        <v>1.5247999999999999</v>
      </c>
      <c r="W6518">
        <v>1.5247999999999999</v>
      </c>
      <c r="X6518">
        <v>0</v>
      </c>
    </row>
    <row r="6519" spans="1:40" x14ac:dyDescent="0.25">
      <c r="A6519" t="s">
        <v>15</v>
      </c>
      <c r="B6519" t="s">
        <v>24</v>
      </c>
      <c r="C6519">
        <v>20150316</v>
      </c>
      <c r="D6519">
        <v>0</v>
      </c>
      <c r="F6519">
        <v>62500</v>
      </c>
      <c r="G6519" t="s">
        <v>17</v>
      </c>
      <c r="I6519" t="s">
        <v>16</v>
      </c>
      <c r="J6519" t="s">
        <v>180</v>
      </c>
      <c r="K6519" t="s">
        <v>25</v>
      </c>
      <c r="L6519">
        <v>132757294</v>
      </c>
      <c r="R6519">
        <v>9693</v>
      </c>
      <c r="S6519" t="s">
        <v>37</v>
      </c>
      <c r="T6519">
        <v>5</v>
      </c>
      <c r="U6519">
        <v>0</v>
      </c>
      <c r="V6519">
        <v>1.5247999999999999</v>
      </c>
      <c r="W6519">
        <v>1.5247999999999999</v>
      </c>
      <c r="X6519">
        <v>0</v>
      </c>
    </row>
    <row r="6520" spans="1:40" x14ac:dyDescent="0.25">
      <c r="A6520" t="s">
        <v>15</v>
      </c>
      <c r="B6520" t="s">
        <v>24</v>
      </c>
      <c r="C6520">
        <v>20150316</v>
      </c>
      <c r="D6520">
        <v>0</v>
      </c>
      <c r="F6520">
        <v>62500</v>
      </c>
      <c r="G6520" t="s">
        <v>17</v>
      </c>
      <c r="I6520" t="s">
        <v>16</v>
      </c>
      <c r="J6520" t="s">
        <v>180</v>
      </c>
      <c r="K6520" t="s">
        <v>25</v>
      </c>
      <c r="L6520">
        <v>132757294</v>
      </c>
      <c r="R6520">
        <v>9693</v>
      </c>
      <c r="S6520" t="s">
        <v>37</v>
      </c>
      <c r="T6520">
        <v>5</v>
      </c>
      <c r="U6520">
        <v>0</v>
      </c>
      <c r="V6520">
        <v>1.5247999999999999</v>
      </c>
      <c r="W6520">
        <v>1.5247999999999999</v>
      </c>
      <c r="X6520">
        <v>0</v>
      </c>
    </row>
    <row r="6521" spans="1:40" x14ac:dyDescent="0.25">
      <c r="A6521" t="s">
        <v>15</v>
      </c>
      <c r="B6521" t="s">
        <v>24</v>
      </c>
      <c r="C6521">
        <v>20150316</v>
      </c>
      <c r="D6521">
        <v>0</v>
      </c>
      <c r="F6521">
        <v>62500</v>
      </c>
      <c r="G6521" t="s">
        <v>17</v>
      </c>
      <c r="I6521" t="s">
        <v>16</v>
      </c>
      <c r="J6521" t="s">
        <v>180</v>
      </c>
      <c r="K6521" t="s">
        <v>25</v>
      </c>
      <c r="L6521">
        <v>132757294</v>
      </c>
      <c r="R6521">
        <v>9693</v>
      </c>
      <c r="S6521" t="s">
        <v>37</v>
      </c>
      <c r="T6521">
        <v>5</v>
      </c>
      <c r="U6521">
        <v>0</v>
      </c>
      <c r="V6521">
        <v>1.5247999999999999</v>
      </c>
      <c r="W6521">
        <v>1.5247999999999999</v>
      </c>
      <c r="X6521">
        <v>0</v>
      </c>
    </row>
    <row r="6522" spans="1:40" x14ac:dyDescent="0.25">
      <c r="A6522" t="s">
        <v>15</v>
      </c>
      <c r="B6522" t="s">
        <v>24</v>
      </c>
      <c r="C6522">
        <v>20150316</v>
      </c>
      <c r="D6522">
        <v>0</v>
      </c>
      <c r="F6522">
        <v>62500</v>
      </c>
      <c r="G6522" t="s">
        <v>17</v>
      </c>
      <c r="I6522" t="s">
        <v>16</v>
      </c>
      <c r="J6522" t="s">
        <v>180</v>
      </c>
      <c r="K6522" t="s">
        <v>25</v>
      </c>
      <c r="L6522">
        <v>132757294</v>
      </c>
      <c r="R6522">
        <v>9693</v>
      </c>
      <c r="S6522" t="s">
        <v>37</v>
      </c>
      <c r="T6522">
        <v>5</v>
      </c>
      <c r="U6522">
        <v>0</v>
      </c>
      <c r="V6522">
        <v>1.5247999999999999</v>
      </c>
      <c r="W6522">
        <v>1.5247999999999999</v>
      </c>
      <c r="X6522">
        <v>0</v>
      </c>
    </row>
    <row r="6523" spans="1:40" x14ac:dyDescent="0.25">
      <c r="A6523" t="s">
        <v>15</v>
      </c>
      <c r="B6523" t="s">
        <v>24</v>
      </c>
      <c r="C6523">
        <v>20150316</v>
      </c>
      <c r="D6523">
        <v>0</v>
      </c>
      <c r="F6523">
        <v>62500</v>
      </c>
      <c r="G6523" t="s">
        <v>17</v>
      </c>
      <c r="I6523" t="s">
        <v>16</v>
      </c>
      <c r="J6523" t="s">
        <v>180</v>
      </c>
      <c r="K6523" t="s">
        <v>25</v>
      </c>
      <c r="L6523">
        <v>132757294</v>
      </c>
      <c r="R6523">
        <v>9693</v>
      </c>
      <c r="S6523" t="s">
        <v>37</v>
      </c>
      <c r="T6523">
        <v>5</v>
      </c>
      <c r="U6523">
        <v>0</v>
      </c>
      <c r="V6523">
        <v>1.5247999999999999</v>
      </c>
      <c r="W6523">
        <v>1.5247999999999999</v>
      </c>
      <c r="X6523">
        <v>0</v>
      </c>
    </row>
    <row r="6524" spans="1:40" x14ac:dyDescent="0.25">
      <c r="A6524" t="s">
        <v>15</v>
      </c>
      <c r="B6524" t="s">
        <v>24</v>
      </c>
      <c r="C6524">
        <v>20150316</v>
      </c>
      <c r="D6524">
        <v>0</v>
      </c>
      <c r="F6524">
        <v>62500</v>
      </c>
      <c r="G6524" t="s">
        <v>17</v>
      </c>
      <c r="I6524" t="s">
        <v>16</v>
      </c>
      <c r="J6524" t="s">
        <v>180</v>
      </c>
      <c r="K6524" t="s">
        <v>25</v>
      </c>
      <c r="L6524">
        <v>132757294</v>
      </c>
      <c r="R6524">
        <v>9693</v>
      </c>
      <c r="S6524" t="s">
        <v>37</v>
      </c>
      <c r="T6524">
        <v>5</v>
      </c>
      <c r="U6524">
        <v>0</v>
      </c>
      <c r="V6524">
        <v>1.5247999999999999</v>
      </c>
      <c r="W6524">
        <v>1.5247999999999999</v>
      </c>
      <c r="X6524">
        <v>0</v>
      </c>
    </row>
    <row r="6525" spans="1:40" x14ac:dyDescent="0.25">
      <c r="A6525" t="s">
        <v>15</v>
      </c>
      <c r="B6525" t="s">
        <v>24</v>
      </c>
      <c r="C6525">
        <v>20150316</v>
      </c>
      <c r="D6525">
        <v>0</v>
      </c>
      <c r="F6525">
        <v>62500</v>
      </c>
      <c r="G6525" t="s">
        <v>17</v>
      </c>
      <c r="I6525" t="s">
        <v>16</v>
      </c>
      <c r="J6525" t="s">
        <v>180</v>
      </c>
      <c r="K6525" t="s">
        <v>25</v>
      </c>
      <c r="L6525">
        <v>132757294</v>
      </c>
      <c r="R6525">
        <v>9694</v>
      </c>
      <c r="S6525" t="s">
        <v>232</v>
      </c>
      <c r="T6525">
        <v>0</v>
      </c>
      <c r="U6525">
        <v>-5</v>
      </c>
      <c r="V6525">
        <v>0</v>
      </c>
      <c r="W6525">
        <v>0</v>
      </c>
      <c r="X6525">
        <v>0</v>
      </c>
    </row>
    <row r="6526" spans="1:40" x14ac:dyDescent="0.25">
      <c r="A6526" t="s">
        <v>15</v>
      </c>
      <c r="B6526" t="s">
        <v>24</v>
      </c>
      <c r="C6526">
        <v>20150316</v>
      </c>
      <c r="D6526">
        <v>0</v>
      </c>
      <c r="F6526">
        <v>62500</v>
      </c>
      <c r="G6526" t="s">
        <v>17</v>
      </c>
      <c r="I6526" t="s">
        <v>16</v>
      </c>
      <c r="J6526" t="s">
        <v>180</v>
      </c>
      <c r="K6526" t="s">
        <v>25</v>
      </c>
      <c r="L6526">
        <v>132757294</v>
      </c>
      <c r="R6526">
        <v>9695</v>
      </c>
      <c r="S6526" t="s">
        <v>232</v>
      </c>
      <c r="T6526">
        <v>0</v>
      </c>
      <c r="U6526">
        <v>22</v>
      </c>
      <c r="V6526">
        <v>0</v>
      </c>
      <c r="W6526">
        <v>0</v>
      </c>
      <c r="X6526">
        <v>0</v>
      </c>
    </row>
    <row r="6527" spans="1:40" x14ac:dyDescent="0.25">
      <c r="A6527" t="s">
        <v>15</v>
      </c>
      <c r="B6527" t="s">
        <v>24</v>
      </c>
      <c r="C6527">
        <v>20150316</v>
      </c>
      <c r="D6527">
        <v>0</v>
      </c>
      <c r="F6527">
        <v>62500</v>
      </c>
      <c r="G6527" t="s">
        <v>17</v>
      </c>
      <c r="I6527" t="s">
        <v>16</v>
      </c>
      <c r="J6527" t="s">
        <v>180</v>
      </c>
      <c r="K6527" t="s">
        <v>25</v>
      </c>
      <c r="L6527">
        <v>132757294</v>
      </c>
      <c r="R6527">
        <v>9694</v>
      </c>
      <c r="S6527" t="s">
        <v>232</v>
      </c>
      <c r="T6527">
        <v>0</v>
      </c>
      <c r="U6527">
        <v>-5</v>
      </c>
      <c r="V6527">
        <v>0</v>
      </c>
      <c r="W6527">
        <v>0</v>
      </c>
      <c r="X6527">
        <v>0</v>
      </c>
      <c r="Y6527">
        <v>9694</v>
      </c>
      <c r="Z6527" t="s">
        <v>477</v>
      </c>
      <c r="AA6527" t="s">
        <v>478</v>
      </c>
      <c r="AB6527" t="s">
        <v>234</v>
      </c>
      <c r="AC6527" t="s">
        <v>17</v>
      </c>
      <c r="AD6527" t="s">
        <v>237</v>
      </c>
      <c r="AE6527">
        <v>2</v>
      </c>
      <c r="AF6527">
        <v>2</v>
      </c>
      <c r="AG6527">
        <v>1.5248999999999999</v>
      </c>
      <c r="AH6527">
        <v>1.5248999999999999</v>
      </c>
      <c r="AI6527">
        <v>415886727</v>
      </c>
      <c r="AJ6527">
        <v>0</v>
      </c>
      <c r="AK6527">
        <v>7</v>
      </c>
      <c r="AN6527">
        <v>0</v>
      </c>
    </row>
    <row r="6528" spans="1:40" x14ac:dyDescent="0.25">
      <c r="A6528" t="s">
        <v>15</v>
      </c>
      <c r="B6528" t="s">
        <v>24</v>
      </c>
      <c r="C6528">
        <v>20150316</v>
      </c>
      <c r="D6528">
        <v>0</v>
      </c>
      <c r="F6528">
        <v>62500</v>
      </c>
      <c r="G6528" t="s">
        <v>17</v>
      </c>
      <c r="I6528" t="s">
        <v>16</v>
      </c>
      <c r="J6528" t="s">
        <v>180</v>
      </c>
      <c r="K6528" t="s">
        <v>25</v>
      </c>
      <c r="L6528">
        <v>132757294</v>
      </c>
      <c r="R6528">
        <v>9694</v>
      </c>
      <c r="S6528" t="s">
        <v>232</v>
      </c>
      <c r="T6528">
        <v>0</v>
      </c>
      <c r="U6528">
        <v>-5</v>
      </c>
      <c r="V6528">
        <v>0</v>
      </c>
      <c r="W6528">
        <v>0</v>
      </c>
      <c r="X6528">
        <v>0</v>
      </c>
    </row>
    <row r="6529" spans="1:40" x14ac:dyDescent="0.25">
      <c r="A6529" t="s">
        <v>15</v>
      </c>
      <c r="B6529" t="s">
        <v>24</v>
      </c>
      <c r="C6529">
        <v>20150316</v>
      </c>
      <c r="D6529">
        <v>0</v>
      </c>
      <c r="F6529">
        <v>62500</v>
      </c>
      <c r="G6529" t="s">
        <v>17</v>
      </c>
      <c r="I6529" t="s">
        <v>16</v>
      </c>
      <c r="J6529" t="s">
        <v>180</v>
      </c>
      <c r="K6529" t="s">
        <v>25</v>
      </c>
      <c r="L6529">
        <v>132757294</v>
      </c>
      <c r="R6529">
        <v>9694</v>
      </c>
      <c r="S6529" t="s">
        <v>236</v>
      </c>
      <c r="T6529">
        <v>2</v>
      </c>
      <c r="U6529">
        <v>3</v>
      </c>
      <c r="V6529">
        <v>1.5248999999999999</v>
      </c>
      <c r="W6529">
        <v>1.5248999999999999</v>
      </c>
      <c r="X6529">
        <v>0</v>
      </c>
    </row>
    <row r="6530" spans="1:40" x14ac:dyDescent="0.25">
      <c r="A6530" t="s">
        <v>15</v>
      </c>
      <c r="B6530" t="s">
        <v>24</v>
      </c>
      <c r="C6530">
        <v>20150316</v>
      </c>
      <c r="D6530">
        <v>0</v>
      </c>
      <c r="F6530">
        <v>62500</v>
      </c>
      <c r="G6530" t="s">
        <v>17</v>
      </c>
      <c r="I6530" t="s">
        <v>16</v>
      </c>
      <c r="J6530" t="s">
        <v>180</v>
      </c>
      <c r="K6530" t="s">
        <v>25</v>
      </c>
      <c r="L6530">
        <v>132757294</v>
      </c>
      <c r="R6530">
        <v>9694</v>
      </c>
      <c r="S6530" t="s">
        <v>236</v>
      </c>
      <c r="T6530">
        <v>2</v>
      </c>
      <c r="U6530">
        <v>3</v>
      </c>
      <c r="V6530">
        <v>1.5248999999999999</v>
      </c>
      <c r="W6530">
        <v>1.5248999999999999</v>
      </c>
      <c r="X6530">
        <v>0</v>
      </c>
    </row>
    <row r="6531" spans="1:40" x14ac:dyDescent="0.25">
      <c r="A6531" t="s">
        <v>15</v>
      </c>
      <c r="B6531" t="s">
        <v>24</v>
      </c>
      <c r="C6531">
        <v>20150316</v>
      </c>
      <c r="D6531">
        <v>0</v>
      </c>
      <c r="F6531">
        <v>62500</v>
      </c>
      <c r="G6531" t="s">
        <v>17</v>
      </c>
      <c r="I6531" t="s">
        <v>16</v>
      </c>
      <c r="J6531" t="s">
        <v>180</v>
      </c>
      <c r="K6531" t="s">
        <v>25</v>
      </c>
      <c r="L6531">
        <v>132757294</v>
      </c>
      <c r="R6531">
        <v>9694</v>
      </c>
      <c r="S6531" t="s">
        <v>233</v>
      </c>
      <c r="T6531">
        <v>2</v>
      </c>
      <c r="U6531">
        <v>3</v>
      </c>
      <c r="V6531">
        <v>1.5248999999999999</v>
      </c>
      <c r="W6531">
        <v>1.5248999999999999</v>
      </c>
      <c r="X6531">
        <v>0</v>
      </c>
    </row>
    <row r="6532" spans="1:40" x14ac:dyDescent="0.25">
      <c r="A6532" t="s">
        <v>15</v>
      </c>
      <c r="B6532" t="s">
        <v>24</v>
      </c>
      <c r="C6532">
        <v>20150316</v>
      </c>
      <c r="D6532">
        <v>0</v>
      </c>
      <c r="F6532">
        <v>62500</v>
      </c>
      <c r="G6532" t="s">
        <v>17</v>
      </c>
      <c r="I6532" t="s">
        <v>16</v>
      </c>
      <c r="J6532" t="s">
        <v>180</v>
      </c>
      <c r="K6532" t="s">
        <v>25</v>
      </c>
      <c r="L6532">
        <v>132757294</v>
      </c>
      <c r="R6532">
        <v>9694</v>
      </c>
      <c r="S6532" t="s">
        <v>233</v>
      </c>
      <c r="T6532">
        <v>2</v>
      </c>
      <c r="U6532">
        <v>3</v>
      </c>
      <c r="V6532">
        <v>1.5248999999999999</v>
      </c>
      <c r="W6532">
        <v>1.5248999999999999</v>
      </c>
      <c r="X6532">
        <v>0</v>
      </c>
    </row>
    <row r="6533" spans="1:40" x14ac:dyDescent="0.25">
      <c r="A6533" t="s">
        <v>15</v>
      </c>
      <c r="B6533" t="s">
        <v>24</v>
      </c>
      <c r="C6533">
        <v>20150316</v>
      </c>
      <c r="D6533">
        <v>0</v>
      </c>
      <c r="F6533">
        <v>62500</v>
      </c>
      <c r="G6533" t="s">
        <v>17</v>
      </c>
      <c r="I6533" t="s">
        <v>16</v>
      </c>
      <c r="J6533" t="s">
        <v>180</v>
      </c>
      <c r="K6533" t="s">
        <v>25</v>
      </c>
      <c r="L6533">
        <v>132757294</v>
      </c>
      <c r="R6533">
        <v>9694</v>
      </c>
      <c r="S6533" t="s">
        <v>233</v>
      </c>
      <c r="T6533">
        <v>2</v>
      </c>
      <c r="U6533">
        <v>3</v>
      </c>
      <c r="V6533">
        <v>1.5248999999999999</v>
      </c>
      <c r="W6533">
        <v>1.5248999999999999</v>
      </c>
      <c r="X6533">
        <v>0</v>
      </c>
    </row>
    <row r="6534" spans="1:40" x14ac:dyDescent="0.25">
      <c r="A6534" t="s">
        <v>15</v>
      </c>
      <c r="B6534" t="s">
        <v>24</v>
      </c>
      <c r="C6534">
        <v>20150316</v>
      </c>
      <c r="D6534">
        <v>0</v>
      </c>
      <c r="F6534">
        <v>62500</v>
      </c>
      <c r="G6534" t="s">
        <v>17</v>
      </c>
      <c r="I6534" t="s">
        <v>16</v>
      </c>
      <c r="J6534" t="s">
        <v>180</v>
      </c>
      <c r="K6534" t="s">
        <v>25</v>
      </c>
      <c r="L6534">
        <v>132757294</v>
      </c>
      <c r="R6534">
        <v>9694</v>
      </c>
      <c r="S6534" t="s">
        <v>233</v>
      </c>
      <c r="T6534">
        <v>2</v>
      </c>
      <c r="U6534">
        <v>3</v>
      </c>
      <c r="V6534">
        <v>1.5248999999999999</v>
      </c>
      <c r="W6534">
        <v>1.5248999999999999</v>
      </c>
      <c r="X6534">
        <v>0</v>
      </c>
      <c r="Y6534">
        <v>9694</v>
      </c>
      <c r="Z6534" t="s">
        <v>479</v>
      </c>
      <c r="AA6534" t="s">
        <v>480</v>
      </c>
      <c r="AB6534" t="s">
        <v>234</v>
      </c>
      <c r="AC6534" t="s">
        <v>17</v>
      </c>
      <c r="AD6534" t="s">
        <v>237</v>
      </c>
      <c r="AE6534">
        <v>3</v>
      </c>
      <c r="AF6534">
        <v>5</v>
      </c>
      <c r="AG6534">
        <v>1.5246999999999999</v>
      </c>
      <c r="AH6534">
        <v>1.52478</v>
      </c>
      <c r="AI6534">
        <v>415886727</v>
      </c>
      <c r="AJ6534">
        <v>0</v>
      </c>
      <c r="AK6534">
        <v>7</v>
      </c>
      <c r="AN6534">
        <v>0</v>
      </c>
    </row>
    <row r="6535" spans="1:40" x14ac:dyDescent="0.25">
      <c r="A6535" t="s">
        <v>15</v>
      </c>
      <c r="B6535" t="s">
        <v>24</v>
      </c>
      <c r="C6535">
        <v>20150316</v>
      </c>
      <c r="D6535">
        <v>0</v>
      </c>
      <c r="F6535">
        <v>62500</v>
      </c>
      <c r="G6535" t="s">
        <v>17</v>
      </c>
      <c r="I6535" t="s">
        <v>16</v>
      </c>
      <c r="J6535" t="s">
        <v>180</v>
      </c>
      <c r="K6535" t="s">
        <v>25</v>
      </c>
      <c r="L6535">
        <v>132757294</v>
      </c>
      <c r="R6535">
        <v>9694</v>
      </c>
      <c r="S6535" t="s">
        <v>233</v>
      </c>
      <c r="T6535">
        <v>2</v>
      </c>
      <c r="U6535">
        <v>3</v>
      </c>
      <c r="V6535">
        <v>1.5248999999999999</v>
      </c>
      <c r="W6535">
        <v>1.5248999999999999</v>
      </c>
      <c r="X6535">
        <v>0</v>
      </c>
    </row>
    <row r="6536" spans="1:40" x14ac:dyDescent="0.25">
      <c r="A6536" t="s">
        <v>15</v>
      </c>
      <c r="B6536" t="s">
        <v>24</v>
      </c>
      <c r="C6536">
        <v>20150316</v>
      </c>
      <c r="D6536">
        <v>0</v>
      </c>
      <c r="F6536">
        <v>62500</v>
      </c>
      <c r="G6536" t="s">
        <v>17</v>
      </c>
      <c r="I6536" t="s">
        <v>16</v>
      </c>
      <c r="J6536" t="s">
        <v>180</v>
      </c>
      <c r="K6536" t="s">
        <v>25</v>
      </c>
      <c r="L6536">
        <v>132757294</v>
      </c>
      <c r="R6536">
        <v>9694</v>
      </c>
      <c r="S6536" t="s">
        <v>37</v>
      </c>
      <c r="T6536">
        <v>5</v>
      </c>
      <c r="U6536">
        <v>0</v>
      </c>
      <c r="V6536">
        <v>1.52478</v>
      </c>
      <c r="W6536">
        <v>1.5246999999999999</v>
      </c>
      <c r="X6536">
        <v>0</v>
      </c>
    </row>
    <row r="6537" spans="1:40" x14ac:dyDescent="0.25">
      <c r="A6537" t="s">
        <v>15</v>
      </c>
      <c r="B6537" t="s">
        <v>24</v>
      </c>
      <c r="C6537">
        <v>20150316</v>
      </c>
      <c r="D6537">
        <v>0</v>
      </c>
      <c r="F6537">
        <v>62500</v>
      </c>
      <c r="G6537" t="s">
        <v>17</v>
      </c>
      <c r="I6537" t="s">
        <v>16</v>
      </c>
      <c r="J6537" t="s">
        <v>180</v>
      </c>
      <c r="K6537" t="s">
        <v>25</v>
      </c>
      <c r="L6537">
        <v>132757294</v>
      </c>
      <c r="R6537">
        <v>9694</v>
      </c>
      <c r="S6537" t="s">
        <v>37</v>
      </c>
      <c r="T6537">
        <v>5</v>
      </c>
      <c r="U6537">
        <v>0</v>
      </c>
      <c r="V6537">
        <v>1.52478</v>
      </c>
      <c r="W6537">
        <v>1.5246999999999999</v>
      </c>
      <c r="X6537">
        <v>0</v>
      </c>
    </row>
    <row r="6538" spans="1:40" x14ac:dyDescent="0.25">
      <c r="A6538" t="s">
        <v>15</v>
      </c>
      <c r="B6538" t="s">
        <v>24</v>
      </c>
      <c r="C6538">
        <v>20150316</v>
      </c>
      <c r="D6538">
        <v>0</v>
      </c>
      <c r="F6538">
        <v>62500</v>
      </c>
      <c r="G6538" t="s">
        <v>17</v>
      </c>
      <c r="I6538" t="s">
        <v>16</v>
      </c>
      <c r="J6538" t="s">
        <v>180</v>
      </c>
      <c r="K6538" t="s">
        <v>25</v>
      </c>
      <c r="L6538">
        <v>132757294</v>
      </c>
      <c r="R6538">
        <v>9694</v>
      </c>
      <c r="S6538" t="s">
        <v>37</v>
      </c>
      <c r="T6538">
        <v>5</v>
      </c>
      <c r="U6538">
        <v>0</v>
      </c>
      <c r="V6538">
        <v>1.52478</v>
      </c>
      <c r="W6538">
        <v>1.5246999999999999</v>
      </c>
      <c r="X6538">
        <v>0</v>
      </c>
    </row>
    <row r="6539" spans="1:40" x14ac:dyDescent="0.25">
      <c r="A6539" t="s">
        <v>15</v>
      </c>
      <c r="B6539" t="s">
        <v>24</v>
      </c>
      <c r="C6539">
        <v>20150316</v>
      </c>
      <c r="D6539">
        <v>0</v>
      </c>
      <c r="F6539">
        <v>62500</v>
      </c>
      <c r="G6539" t="s">
        <v>17</v>
      </c>
      <c r="I6539" t="s">
        <v>16</v>
      </c>
      <c r="J6539" t="s">
        <v>180</v>
      </c>
      <c r="K6539" t="s">
        <v>25</v>
      </c>
      <c r="L6539">
        <v>132757294</v>
      </c>
      <c r="R6539">
        <v>9694</v>
      </c>
      <c r="S6539" t="s">
        <v>37</v>
      </c>
      <c r="T6539">
        <v>5</v>
      </c>
      <c r="U6539">
        <v>0</v>
      </c>
      <c r="V6539">
        <v>1.52478</v>
      </c>
      <c r="W6539">
        <v>1.5246999999999999</v>
      </c>
      <c r="X6539">
        <v>0</v>
      </c>
    </row>
    <row r="6540" spans="1:40" x14ac:dyDescent="0.25">
      <c r="A6540" t="s">
        <v>15</v>
      </c>
      <c r="B6540" t="s">
        <v>24</v>
      </c>
      <c r="C6540">
        <v>20150316</v>
      </c>
      <c r="D6540">
        <v>0</v>
      </c>
      <c r="F6540">
        <v>62500</v>
      </c>
      <c r="G6540" t="s">
        <v>17</v>
      </c>
      <c r="I6540" t="s">
        <v>16</v>
      </c>
      <c r="J6540" t="s">
        <v>180</v>
      </c>
      <c r="K6540" t="s">
        <v>25</v>
      </c>
      <c r="L6540">
        <v>132757294</v>
      </c>
      <c r="R6540">
        <v>9694</v>
      </c>
      <c r="S6540" t="s">
        <v>37</v>
      </c>
      <c r="T6540">
        <v>5</v>
      </c>
      <c r="U6540">
        <v>0</v>
      </c>
      <c r="V6540">
        <v>1.52478</v>
      </c>
      <c r="W6540">
        <v>1.5246999999999999</v>
      </c>
      <c r="X6540">
        <v>0</v>
      </c>
    </row>
    <row r="6541" spans="1:40" x14ac:dyDescent="0.25">
      <c r="A6541" t="s">
        <v>15</v>
      </c>
      <c r="B6541" t="s">
        <v>24</v>
      </c>
      <c r="C6541">
        <v>20150316</v>
      </c>
      <c r="D6541">
        <v>0</v>
      </c>
      <c r="F6541">
        <v>62500</v>
      </c>
      <c r="G6541" t="s">
        <v>17</v>
      </c>
      <c r="I6541" t="s">
        <v>16</v>
      </c>
      <c r="J6541" t="s">
        <v>180</v>
      </c>
      <c r="K6541" t="s">
        <v>25</v>
      </c>
      <c r="L6541">
        <v>132757294</v>
      </c>
      <c r="R6541">
        <v>9692</v>
      </c>
      <c r="S6541" t="s">
        <v>223</v>
      </c>
      <c r="T6541">
        <v>0</v>
      </c>
      <c r="U6541">
        <v>15</v>
      </c>
      <c r="V6541">
        <v>0</v>
      </c>
      <c r="W6541">
        <v>0</v>
      </c>
      <c r="X6541">
        <v>0</v>
      </c>
    </row>
    <row r="6542" spans="1:40" x14ac:dyDescent="0.25">
      <c r="A6542" t="s">
        <v>15</v>
      </c>
      <c r="B6542" t="s">
        <v>24</v>
      </c>
      <c r="C6542">
        <v>20150316</v>
      </c>
      <c r="D6542">
        <v>0</v>
      </c>
      <c r="F6542">
        <v>62500</v>
      </c>
      <c r="G6542" t="s">
        <v>17</v>
      </c>
      <c r="I6542" t="s">
        <v>16</v>
      </c>
      <c r="J6542" t="s">
        <v>180</v>
      </c>
      <c r="K6542" t="s">
        <v>25</v>
      </c>
      <c r="L6542">
        <v>132757294</v>
      </c>
      <c r="R6542">
        <v>9692</v>
      </c>
      <c r="S6542" t="s">
        <v>224</v>
      </c>
      <c r="T6542">
        <v>0</v>
      </c>
      <c r="U6542">
        <v>15</v>
      </c>
      <c r="V6542">
        <v>0</v>
      </c>
      <c r="W6542">
        <v>0</v>
      </c>
      <c r="X6542">
        <v>0</v>
      </c>
    </row>
    <row r="6543" spans="1:40" x14ac:dyDescent="0.25">
      <c r="A6543" t="s">
        <v>15</v>
      </c>
      <c r="B6543" t="s">
        <v>24</v>
      </c>
      <c r="C6543">
        <v>20150316</v>
      </c>
      <c r="D6543">
        <v>0</v>
      </c>
      <c r="F6543">
        <v>62500</v>
      </c>
      <c r="G6543" t="s">
        <v>17</v>
      </c>
      <c r="I6543" t="s">
        <v>16</v>
      </c>
      <c r="J6543" t="s">
        <v>180</v>
      </c>
      <c r="K6543" t="s">
        <v>25</v>
      </c>
      <c r="L6543">
        <v>132757294</v>
      </c>
      <c r="R6543">
        <v>9695</v>
      </c>
      <c r="S6543" t="s">
        <v>232</v>
      </c>
      <c r="T6543">
        <v>0</v>
      </c>
      <c r="U6543">
        <v>22</v>
      </c>
      <c r="V6543">
        <v>0</v>
      </c>
      <c r="W6543">
        <v>0</v>
      </c>
      <c r="X6543">
        <v>0</v>
      </c>
    </row>
    <row r="6544" spans="1:40" x14ac:dyDescent="0.25">
      <c r="A6544" t="s">
        <v>15</v>
      </c>
      <c r="B6544" t="s">
        <v>24</v>
      </c>
      <c r="C6544">
        <v>20150316</v>
      </c>
      <c r="D6544">
        <v>0</v>
      </c>
      <c r="F6544">
        <v>62500</v>
      </c>
      <c r="G6544" t="s">
        <v>17</v>
      </c>
      <c r="I6544" t="s">
        <v>16</v>
      </c>
      <c r="J6544" t="s">
        <v>180</v>
      </c>
      <c r="K6544" t="s">
        <v>25</v>
      </c>
      <c r="L6544">
        <v>132757294</v>
      </c>
      <c r="R6544">
        <v>9695</v>
      </c>
      <c r="S6544" t="s">
        <v>192</v>
      </c>
      <c r="T6544">
        <v>0</v>
      </c>
      <c r="U6544">
        <v>22</v>
      </c>
      <c r="V6544">
        <v>0</v>
      </c>
      <c r="W6544">
        <v>0</v>
      </c>
      <c r="X6544">
        <v>0</v>
      </c>
    </row>
    <row r="6545" spans="1:40" x14ac:dyDescent="0.25">
      <c r="A6545" t="s">
        <v>15</v>
      </c>
      <c r="B6545" t="s">
        <v>24</v>
      </c>
      <c r="C6545">
        <v>20150316</v>
      </c>
      <c r="D6545">
        <v>0</v>
      </c>
      <c r="F6545">
        <v>62500</v>
      </c>
      <c r="G6545" t="s">
        <v>17</v>
      </c>
      <c r="I6545" t="s">
        <v>16</v>
      </c>
      <c r="J6545" t="s">
        <v>180</v>
      </c>
      <c r="K6545" t="s">
        <v>25</v>
      </c>
      <c r="L6545">
        <v>132757294</v>
      </c>
      <c r="R6545">
        <v>9696</v>
      </c>
      <c r="S6545" t="s">
        <v>232</v>
      </c>
      <c r="T6545">
        <v>0</v>
      </c>
      <c r="U6545">
        <v>-5</v>
      </c>
      <c r="V6545">
        <v>0</v>
      </c>
      <c r="W6545">
        <v>0</v>
      </c>
      <c r="X6545">
        <v>0</v>
      </c>
    </row>
    <row r="6546" spans="1:40" x14ac:dyDescent="0.25">
      <c r="A6546" t="s">
        <v>15</v>
      </c>
      <c r="B6546" t="s">
        <v>24</v>
      </c>
      <c r="C6546">
        <v>20150316</v>
      </c>
      <c r="D6546">
        <v>0</v>
      </c>
      <c r="F6546">
        <v>62500</v>
      </c>
      <c r="G6546" t="s">
        <v>17</v>
      </c>
      <c r="I6546" t="s">
        <v>16</v>
      </c>
      <c r="J6546" t="s">
        <v>180</v>
      </c>
      <c r="K6546" t="s">
        <v>25</v>
      </c>
      <c r="L6546">
        <v>132757294</v>
      </c>
      <c r="R6546">
        <v>9696</v>
      </c>
      <c r="S6546" t="s">
        <v>232</v>
      </c>
      <c r="T6546">
        <v>0</v>
      </c>
      <c r="U6546">
        <v>-5</v>
      </c>
      <c r="V6546">
        <v>0</v>
      </c>
      <c r="W6546">
        <v>0</v>
      </c>
      <c r="X6546">
        <v>0</v>
      </c>
    </row>
    <row r="6547" spans="1:40" x14ac:dyDescent="0.25">
      <c r="A6547" t="s">
        <v>15</v>
      </c>
      <c r="B6547" t="s">
        <v>24</v>
      </c>
      <c r="C6547">
        <v>20150316</v>
      </c>
      <c r="D6547">
        <v>0</v>
      </c>
      <c r="F6547">
        <v>62500</v>
      </c>
      <c r="G6547" t="s">
        <v>17</v>
      </c>
      <c r="I6547" t="s">
        <v>16</v>
      </c>
      <c r="J6547" t="s">
        <v>180</v>
      </c>
      <c r="K6547" t="s">
        <v>25</v>
      </c>
      <c r="L6547">
        <v>132757294</v>
      </c>
      <c r="R6547">
        <v>9696</v>
      </c>
      <c r="S6547" t="s">
        <v>233</v>
      </c>
      <c r="T6547">
        <v>0</v>
      </c>
      <c r="U6547">
        <v>5</v>
      </c>
      <c r="V6547">
        <v>0</v>
      </c>
      <c r="W6547">
        <v>0</v>
      </c>
      <c r="X6547">
        <v>0</v>
      </c>
    </row>
    <row r="6548" spans="1:40" x14ac:dyDescent="0.25">
      <c r="A6548" t="s">
        <v>15</v>
      </c>
      <c r="B6548" t="s">
        <v>24</v>
      </c>
      <c r="C6548">
        <v>20150316</v>
      </c>
      <c r="D6548">
        <v>0</v>
      </c>
      <c r="F6548">
        <v>62500</v>
      </c>
      <c r="G6548" t="s">
        <v>17</v>
      </c>
      <c r="I6548" t="s">
        <v>16</v>
      </c>
      <c r="J6548" t="s">
        <v>180</v>
      </c>
      <c r="K6548" t="s">
        <v>25</v>
      </c>
      <c r="L6548">
        <v>132757294</v>
      </c>
      <c r="R6548">
        <v>9697</v>
      </c>
      <c r="S6548" t="s">
        <v>232</v>
      </c>
      <c r="T6548">
        <v>0</v>
      </c>
      <c r="U6548">
        <v>26</v>
      </c>
      <c r="V6548">
        <v>0</v>
      </c>
      <c r="W6548">
        <v>0</v>
      </c>
      <c r="X6548">
        <v>0</v>
      </c>
    </row>
    <row r="6549" spans="1:40" x14ac:dyDescent="0.25">
      <c r="A6549" t="s">
        <v>15</v>
      </c>
      <c r="B6549" t="s">
        <v>24</v>
      </c>
      <c r="C6549">
        <v>20150316</v>
      </c>
      <c r="D6549">
        <v>0</v>
      </c>
      <c r="F6549">
        <v>62500</v>
      </c>
      <c r="G6549" t="s">
        <v>17</v>
      </c>
      <c r="I6549" t="s">
        <v>16</v>
      </c>
      <c r="J6549" t="s">
        <v>180</v>
      </c>
      <c r="K6549" t="s">
        <v>25</v>
      </c>
      <c r="L6549">
        <v>132757294</v>
      </c>
      <c r="R6549">
        <v>9696</v>
      </c>
      <c r="S6549" t="s">
        <v>233</v>
      </c>
      <c r="T6549">
        <v>0</v>
      </c>
      <c r="U6549">
        <v>5</v>
      </c>
      <c r="V6549">
        <v>0</v>
      </c>
      <c r="W6549">
        <v>0</v>
      </c>
      <c r="X6549">
        <v>0</v>
      </c>
      <c r="Y6549">
        <v>9696</v>
      </c>
      <c r="Z6549" t="s">
        <v>481</v>
      </c>
      <c r="AA6549" t="s">
        <v>482</v>
      </c>
      <c r="AB6549" t="s">
        <v>234</v>
      </c>
      <c r="AC6549" t="s">
        <v>17</v>
      </c>
      <c r="AD6549" t="s">
        <v>237</v>
      </c>
      <c r="AE6549">
        <v>4</v>
      </c>
      <c r="AF6549">
        <v>4</v>
      </c>
      <c r="AG6549">
        <v>1.5247999999999999</v>
      </c>
      <c r="AH6549">
        <v>1.5247999999999999</v>
      </c>
      <c r="AI6549">
        <v>415886729</v>
      </c>
      <c r="AJ6549">
        <v>0</v>
      </c>
      <c r="AK6549">
        <v>7</v>
      </c>
      <c r="AN6549">
        <v>0</v>
      </c>
    </row>
    <row r="6550" spans="1:40" x14ac:dyDescent="0.25">
      <c r="A6550" t="s">
        <v>15</v>
      </c>
      <c r="B6550" t="s">
        <v>24</v>
      </c>
      <c r="C6550">
        <v>20150316</v>
      </c>
      <c r="D6550">
        <v>0</v>
      </c>
      <c r="F6550">
        <v>62500</v>
      </c>
      <c r="G6550" t="s">
        <v>17</v>
      </c>
      <c r="I6550" t="s">
        <v>16</v>
      </c>
      <c r="J6550" t="s">
        <v>180</v>
      </c>
      <c r="K6550" t="s">
        <v>25</v>
      </c>
      <c r="L6550">
        <v>132757294</v>
      </c>
      <c r="R6550">
        <v>9696</v>
      </c>
      <c r="S6550" t="s">
        <v>233</v>
      </c>
      <c r="T6550">
        <v>0</v>
      </c>
      <c r="U6550">
        <v>5</v>
      </c>
      <c r="V6550">
        <v>0</v>
      </c>
      <c r="W6550">
        <v>0</v>
      </c>
      <c r="X6550">
        <v>0</v>
      </c>
    </row>
    <row r="6551" spans="1:40" x14ac:dyDescent="0.25">
      <c r="A6551" t="s">
        <v>15</v>
      </c>
      <c r="B6551" t="s">
        <v>24</v>
      </c>
      <c r="C6551">
        <v>20150316</v>
      </c>
      <c r="D6551">
        <v>0</v>
      </c>
      <c r="F6551">
        <v>62500</v>
      </c>
      <c r="G6551" t="s">
        <v>17</v>
      </c>
      <c r="I6551" t="s">
        <v>16</v>
      </c>
      <c r="J6551" t="s">
        <v>180</v>
      </c>
      <c r="K6551" t="s">
        <v>25</v>
      </c>
      <c r="L6551">
        <v>132757294</v>
      </c>
      <c r="R6551">
        <v>9696</v>
      </c>
      <c r="S6551" t="s">
        <v>233</v>
      </c>
      <c r="T6551">
        <v>4</v>
      </c>
      <c r="U6551">
        <v>1</v>
      </c>
      <c r="V6551">
        <v>1.5247999999999999</v>
      </c>
      <c r="W6551">
        <v>1.5247999999999999</v>
      </c>
      <c r="X6551">
        <v>0</v>
      </c>
    </row>
    <row r="6552" spans="1:40" x14ac:dyDescent="0.25">
      <c r="A6552" t="s">
        <v>15</v>
      </c>
      <c r="B6552" t="s">
        <v>24</v>
      </c>
      <c r="C6552">
        <v>20150316</v>
      </c>
      <c r="D6552">
        <v>0</v>
      </c>
      <c r="F6552">
        <v>62500</v>
      </c>
      <c r="G6552" t="s">
        <v>17</v>
      </c>
      <c r="I6552" t="s">
        <v>16</v>
      </c>
      <c r="J6552" t="s">
        <v>180</v>
      </c>
      <c r="K6552" t="s">
        <v>25</v>
      </c>
      <c r="L6552">
        <v>132757294</v>
      </c>
      <c r="R6552">
        <v>9696</v>
      </c>
      <c r="S6552" t="s">
        <v>233</v>
      </c>
      <c r="T6552">
        <v>4</v>
      </c>
      <c r="U6552">
        <v>1</v>
      </c>
      <c r="V6552">
        <v>1.5247999999999999</v>
      </c>
      <c r="W6552">
        <v>1.5247999999999999</v>
      </c>
      <c r="X6552">
        <v>0</v>
      </c>
    </row>
    <row r="6553" spans="1:40" x14ac:dyDescent="0.25">
      <c r="A6553" t="s">
        <v>15</v>
      </c>
      <c r="B6553" t="s">
        <v>24</v>
      </c>
      <c r="C6553">
        <v>20150316</v>
      </c>
      <c r="D6553">
        <v>0</v>
      </c>
      <c r="F6553">
        <v>62500</v>
      </c>
      <c r="G6553" t="s">
        <v>17</v>
      </c>
      <c r="I6553" t="s">
        <v>16</v>
      </c>
      <c r="J6553" t="s">
        <v>180</v>
      </c>
      <c r="K6553" t="s">
        <v>25</v>
      </c>
      <c r="L6553">
        <v>132757294</v>
      </c>
      <c r="R6553">
        <v>9696</v>
      </c>
      <c r="S6553" t="s">
        <v>233</v>
      </c>
      <c r="T6553">
        <v>4</v>
      </c>
      <c r="U6553">
        <v>1</v>
      </c>
      <c r="V6553">
        <v>1.5247999999999999</v>
      </c>
      <c r="W6553">
        <v>1.5247999999999999</v>
      </c>
      <c r="X6553">
        <v>0</v>
      </c>
    </row>
    <row r="6554" spans="1:40" x14ac:dyDescent="0.25">
      <c r="A6554" t="s">
        <v>15</v>
      </c>
      <c r="B6554" t="s">
        <v>24</v>
      </c>
      <c r="C6554">
        <v>20150316</v>
      </c>
      <c r="D6554">
        <v>0</v>
      </c>
      <c r="F6554">
        <v>62500</v>
      </c>
      <c r="G6554" t="s">
        <v>17</v>
      </c>
      <c r="I6554" t="s">
        <v>16</v>
      </c>
      <c r="J6554" t="s">
        <v>180</v>
      </c>
      <c r="K6554" t="s">
        <v>25</v>
      </c>
      <c r="L6554">
        <v>132757294</v>
      </c>
      <c r="R6554">
        <v>9698</v>
      </c>
      <c r="S6554" t="s">
        <v>232</v>
      </c>
      <c r="T6554">
        <v>0</v>
      </c>
      <c r="U6554">
        <v>-26</v>
      </c>
      <c r="V6554">
        <v>0</v>
      </c>
      <c r="W6554">
        <v>0</v>
      </c>
      <c r="X6554">
        <v>0</v>
      </c>
    </row>
    <row r="6555" spans="1:40" x14ac:dyDescent="0.25">
      <c r="A6555" t="s">
        <v>15</v>
      </c>
      <c r="B6555" t="s">
        <v>24</v>
      </c>
      <c r="C6555">
        <v>20150316</v>
      </c>
      <c r="D6555">
        <v>0</v>
      </c>
      <c r="F6555">
        <v>62500</v>
      </c>
      <c r="G6555" t="s">
        <v>17</v>
      </c>
      <c r="I6555" t="s">
        <v>16</v>
      </c>
      <c r="J6555" t="s">
        <v>180</v>
      </c>
      <c r="K6555" t="s">
        <v>25</v>
      </c>
      <c r="L6555">
        <v>132757294</v>
      </c>
      <c r="R6555">
        <v>9696</v>
      </c>
      <c r="S6555" t="s">
        <v>233</v>
      </c>
      <c r="T6555">
        <v>4</v>
      </c>
      <c r="U6555">
        <v>1</v>
      </c>
      <c r="V6555">
        <v>1.5247999999999999</v>
      </c>
      <c r="W6555">
        <v>1.5247999999999999</v>
      </c>
      <c r="X6555">
        <v>0</v>
      </c>
      <c r="Y6555">
        <v>9696</v>
      </c>
      <c r="Z6555" t="s">
        <v>483</v>
      </c>
      <c r="AA6555" t="s">
        <v>484</v>
      </c>
      <c r="AB6555" t="s">
        <v>234</v>
      </c>
      <c r="AC6555" t="s">
        <v>17</v>
      </c>
      <c r="AD6555" t="s">
        <v>237</v>
      </c>
      <c r="AE6555">
        <v>1</v>
      </c>
      <c r="AF6555">
        <v>5</v>
      </c>
      <c r="AG6555">
        <v>1.5247999999999999</v>
      </c>
      <c r="AH6555">
        <v>1.5247999999999999</v>
      </c>
      <c r="AI6555">
        <v>415886729</v>
      </c>
      <c r="AJ6555">
        <v>0</v>
      </c>
      <c r="AK6555">
        <v>7</v>
      </c>
      <c r="AN6555">
        <v>0</v>
      </c>
    </row>
    <row r="6556" spans="1:40" x14ac:dyDescent="0.25">
      <c r="A6556" t="s">
        <v>15</v>
      </c>
      <c r="B6556" t="s">
        <v>24</v>
      </c>
      <c r="C6556">
        <v>20150316</v>
      </c>
      <c r="D6556">
        <v>0</v>
      </c>
      <c r="F6556">
        <v>62500</v>
      </c>
      <c r="G6556" t="s">
        <v>17</v>
      </c>
      <c r="I6556" t="s">
        <v>16</v>
      </c>
      <c r="J6556" t="s">
        <v>180</v>
      </c>
      <c r="K6556" t="s">
        <v>25</v>
      </c>
      <c r="L6556">
        <v>132757294</v>
      </c>
      <c r="R6556">
        <v>9696</v>
      </c>
      <c r="S6556" t="s">
        <v>233</v>
      </c>
      <c r="T6556">
        <v>4</v>
      </c>
      <c r="U6556">
        <v>1</v>
      </c>
      <c r="V6556">
        <v>1.5247999999999999</v>
      </c>
      <c r="W6556">
        <v>1.5247999999999999</v>
      </c>
      <c r="X6556">
        <v>0</v>
      </c>
    </row>
    <row r="6557" spans="1:40" x14ac:dyDescent="0.25">
      <c r="A6557" t="s">
        <v>15</v>
      </c>
      <c r="B6557" t="s">
        <v>24</v>
      </c>
      <c r="C6557">
        <v>20150316</v>
      </c>
      <c r="D6557">
        <v>0</v>
      </c>
      <c r="F6557">
        <v>62500</v>
      </c>
      <c r="G6557" t="s">
        <v>17</v>
      </c>
      <c r="I6557" t="s">
        <v>16</v>
      </c>
      <c r="J6557" t="s">
        <v>180</v>
      </c>
      <c r="K6557" t="s">
        <v>25</v>
      </c>
      <c r="L6557">
        <v>132757294</v>
      </c>
      <c r="R6557">
        <v>9696</v>
      </c>
      <c r="S6557" t="s">
        <v>37</v>
      </c>
      <c r="T6557">
        <v>5</v>
      </c>
      <c r="U6557">
        <v>0</v>
      </c>
      <c r="V6557">
        <v>1.5247999999999999</v>
      </c>
      <c r="W6557">
        <v>1.5247999999999999</v>
      </c>
      <c r="X6557">
        <v>0</v>
      </c>
    </row>
    <row r="6558" spans="1:40" x14ac:dyDescent="0.25">
      <c r="A6558" t="s">
        <v>15</v>
      </c>
      <c r="B6558" t="s">
        <v>24</v>
      </c>
      <c r="C6558">
        <v>20150316</v>
      </c>
      <c r="D6558">
        <v>0</v>
      </c>
      <c r="F6558">
        <v>62500</v>
      </c>
      <c r="G6558" t="s">
        <v>17</v>
      </c>
      <c r="I6558" t="s">
        <v>16</v>
      </c>
      <c r="J6558" t="s">
        <v>180</v>
      </c>
      <c r="K6558" t="s">
        <v>25</v>
      </c>
      <c r="L6558">
        <v>132757294</v>
      </c>
      <c r="R6558">
        <v>9696</v>
      </c>
      <c r="S6558" t="s">
        <v>37</v>
      </c>
      <c r="T6558">
        <v>5</v>
      </c>
      <c r="U6558">
        <v>0</v>
      </c>
      <c r="V6558">
        <v>1.5247999999999999</v>
      </c>
      <c r="W6558">
        <v>1.5247999999999999</v>
      </c>
      <c r="X6558">
        <v>0</v>
      </c>
    </row>
    <row r="6559" spans="1:40" x14ac:dyDescent="0.25">
      <c r="A6559" t="s">
        <v>15</v>
      </c>
      <c r="B6559" t="s">
        <v>24</v>
      </c>
      <c r="C6559">
        <v>20150316</v>
      </c>
      <c r="D6559">
        <v>0</v>
      </c>
      <c r="F6559">
        <v>62500</v>
      </c>
      <c r="G6559" t="s">
        <v>17</v>
      </c>
      <c r="I6559" t="s">
        <v>16</v>
      </c>
      <c r="J6559" t="s">
        <v>180</v>
      </c>
      <c r="K6559" t="s">
        <v>25</v>
      </c>
      <c r="L6559">
        <v>132757294</v>
      </c>
      <c r="R6559">
        <v>9696</v>
      </c>
      <c r="S6559" t="s">
        <v>37</v>
      </c>
      <c r="T6559">
        <v>5</v>
      </c>
      <c r="U6559">
        <v>0</v>
      </c>
      <c r="V6559">
        <v>1.5247999999999999</v>
      </c>
      <c r="W6559">
        <v>1.5247999999999999</v>
      </c>
      <c r="X6559">
        <v>0</v>
      </c>
    </row>
    <row r="6560" spans="1:40" x14ac:dyDescent="0.25">
      <c r="A6560" t="s">
        <v>15</v>
      </c>
      <c r="B6560" t="s">
        <v>24</v>
      </c>
      <c r="C6560">
        <v>20150316</v>
      </c>
      <c r="D6560">
        <v>0</v>
      </c>
      <c r="F6560">
        <v>62500</v>
      </c>
      <c r="G6560" t="s">
        <v>17</v>
      </c>
      <c r="I6560" t="s">
        <v>16</v>
      </c>
      <c r="J6560" t="s">
        <v>180</v>
      </c>
      <c r="K6560" t="s">
        <v>25</v>
      </c>
      <c r="L6560">
        <v>132757294</v>
      </c>
      <c r="R6560">
        <v>9696</v>
      </c>
      <c r="S6560" t="s">
        <v>37</v>
      </c>
      <c r="T6560">
        <v>5</v>
      </c>
      <c r="U6560">
        <v>0</v>
      </c>
      <c r="V6560">
        <v>1.5247999999999999</v>
      </c>
      <c r="W6560">
        <v>1.5247999999999999</v>
      </c>
      <c r="X6560">
        <v>0</v>
      </c>
    </row>
    <row r="6561" spans="1:24" x14ac:dyDescent="0.25">
      <c r="A6561" t="s">
        <v>15</v>
      </c>
      <c r="B6561" t="s">
        <v>24</v>
      </c>
      <c r="C6561">
        <v>20150316</v>
      </c>
      <c r="D6561">
        <v>0</v>
      </c>
      <c r="F6561">
        <v>62500</v>
      </c>
      <c r="G6561" t="s">
        <v>17</v>
      </c>
      <c r="I6561" t="s">
        <v>16</v>
      </c>
      <c r="J6561" t="s">
        <v>180</v>
      </c>
      <c r="K6561" t="s">
        <v>25</v>
      </c>
      <c r="L6561">
        <v>132757294</v>
      </c>
      <c r="R6561">
        <v>9696</v>
      </c>
      <c r="S6561" t="s">
        <v>37</v>
      </c>
      <c r="T6561">
        <v>5</v>
      </c>
      <c r="U6561">
        <v>0</v>
      </c>
      <c r="V6561">
        <v>1.5247999999999999</v>
      </c>
      <c r="W6561">
        <v>1.5247999999999999</v>
      </c>
      <c r="X6561">
        <v>0</v>
      </c>
    </row>
    <row r="6562" spans="1:24" x14ac:dyDescent="0.25">
      <c r="A6562" t="s">
        <v>15</v>
      </c>
      <c r="B6562" t="s">
        <v>24</v>
      </c>
      <c r="C6562">
        <v>20150316</v>
      </c>
      <c r="D6562">
        <v>0</v>
      </c>
      <c r="F6562">
        <v>62500</v>
      </c>
      <c r="G6562" t="s">
        <v>17</v>
      </c>
      <c r="I6562" t="s">
        <v>16</v>
      </c>
      <c r="J6562" t="s">
        <v>180</v>
      </c>
      <c r="K6562" t="s">
        <v>25</v>
      </c>
      <c r="L6562">
        <v>132757294</v>
      </c>
      <c r="R6562">
        <v>9695</v>
      </c>
      <c r="S6562" t="s">
        <v>223</v>
      </c>
      <c r="T6562">
        <v>0</v>
      </c>
      <c r="U6562">
        <v>22</v>
      </c>
      <c r="V6562">
        <v>0</v>
      </c>
      <c r="W6562">
        <v>0</v>
      </c>
      <c r="X6562">
        <v>0</v>
      </c>
    </row>
    <row r="6563" spans="1:24" x14ac:dyDescent="0.25">
      <c r="A6563" t="s">
        <v>15</v>
      </c>
      <c r="B6563" t="s">
        <v>24</v>
      </c>
      <c r="C6563">
        <v>20150316</v>
      </c>
      <c r="D6563">
        <v>0</v>
      </c>
      <c r="F6563">
        <v>62500</v>
      </c>
      <c r="G6563" t="s">
        <v>17</v>
      </c>
      <c r="I6563" t="s">
        <v>16</v>
      </c>
      <c r="J6563" t="s">
        <v>180</v>
      </c>
      <c r="K6563" t="s">
        <v>25</v>
      </c>
      <c r="L6563">
        <v>132757294</v>
      </c>
      <c r="R6563">
        <v>9695</v>
      </c>
      <c r="S6563" t="s">
        <v>224</v>
      </c>
      <c r="T6563">
        <v>0</v>
      </c>
      <c r="U6563">
        <v>22</v>
      </c>
      <c r="V6563">
        <v>0</v>
      </c>
      <c r="W6563">
        <v>0</v>
      </c>
      <c r="X6563">
        <v>0</v>
      </c>
    </row>
    <row r="6564" spans="1:24" x14ac:dyDescent="0.25">
      <c r="A6564" t="s">
        <v>15</v>
      </c>
      <c r="B6564" t="s">
        <v>24</v>
      </c>
      <c r="C6564">
        <v>20150316</v>
      </c>
      <c r="D6564">
        <v>0</v>
      </c>
      <c r="F6564">
        <v>62500</v>
      </c>
      <c r="G6564" t="s">
        <v>17</v>
      </c>
      <c r="I6564" t="s">
        <v>16</v>
      </c>
      <c r="J6564" t="s">
        <v>180</v>
      </c>
      <c r="K6564" t="s">
        <v>25</v>
      </c>
      <c r="L6564">
        <v>132757294</v>
      </c>
      <c r="R6564">
        <v>9697</v>
      </c>
      <c r="S6564" t="s">
        <v>232</v>
      </c>
      <c r="T6564">
        <v>0</v>
      </c>
      <c r="U6564">
        <v>26</v>
      </c>
      <c r="V6564">
        <v>0</v>
      </c>
      <c r="W6564">
        <v>0</v>
      </c>
      <c r="X6564">
        <v>0</v>
      </c>
    </row>
    <row r="6565" spans="1:24" x14ac:dyDescent="0.25">
      <c r="A6565" t="s">
        <v>15</v>
      </c>
      <c r="B6565" t="s">
        <v>24</v>
      </c>
      <c r="C6565">
        <v>20150316</v>
      </c>
      <c r="D6565">
        <v>0</v>
      </c>
      <c r="F6565">
        <v>62500</v>
      </c>
      <c r="G6565" t="s">
        <v>17</v>
      </c>
      <c r="I6565" t="s">
        <v>16</v>
      </c>
      <c r="J6565" t="s">
        <v>180</v>
      </c>
      <c r="K6565" t="s">
        <v>25</v>
      </c>
      <c r="L6565">
        <v>132757294</v>
      </c>
      <c r="R6565">
        <v>9697</v>
      </c>
      <c r="S6565" t="s">
        <v>192</v>
      </c>
      <c r="T6565">
        <v>0</v>
      </c>
      <c r="U6565">
        <v>26</v>
      </c>
      <c r="V6565">
        <v>0</v>
      </c>
      <c r="W6565">
        <v>0</v>
      </c>
      <c r="X6565">
        <v>0</v>
      </c>
    </row>
    <row r="6566" spans="1:24" x14ac:dyDescent="0.25">
      <c r="A6566" t="s">
        <v>15</v>
      </c>
      <c r="B6566" t="s">
        <v>24</v>
      </c>
      <c r="C6566">
        <v>20150316</v>
      </c>
      <c r="D6566">
        <v>0</v>
      </c>
      <c r="F6566">
        <v>62500</v>
      </c>
      <c r="G6566" t="s">
        <v>17</v>
      </c>
      <c r="I6566" t="s">
        <v>16</v>
      </c>
      <c r="J6566" t="s">
        <v>180</v>
      </c>
      <c r="K6566" t="s">
        <v>25</v>
      </c>
      <c r="L6566">
        <v>132757294</v>
      </c>
      <c r="R6566">
        <v>9698</v>
      </c>
      <c r="S6566" t="s">
        <v>232</v>
      </c>
      <c r="T6566">
        <v>0</v>
      </c>
      <c r="U6566">
        <v>-26</v>
      </c>
      <c r="V6566">
        <v>0</v>
      </c>
      <c r="W6566">
        <v>0</v>
      </c>
      <c r="X6566">
        <v>0</v>
      </c>
    </row>
    <row r="6567" spans="1:24" x14ac:dyDescent="0.25">
      <c r="A6567" t="s">
        <v>15</v>
      </c>
      <c r="B6567" t="s">
        <v>24</v>
      </c>
      <c r="C6567">
        <v>20150316</v>
      </c>
      <c r="D6567">
        <v>0</v>
      </c>
      <c r="F6567">
        <v>62500</v>
      </c>
      <c r="G6567" t="s">
        <v>17</v>
      </c>
      <c r="I6567" t="s">
        <v>16</v>
      </c>
      <c r="J6567" t="s">
        <v>180</v>
      </c>
      <c r="K6567" t="s">
        <v>25</v>
      </c>
      <c r="L6567">
        <v>132757294</v>
      </c>
      <c r="R6567">
        <v>9698</v>
      </c>
      <c r="S6567" t="s">
        <v>192</v>
      </c>
      <c r="T6567">
        <v>0</v>
      </c>
      <c r="U6567">
        <v>26</v>
      </c>
      <c r="V6567">
        <v>0</v>
      </c>
      <c r="W6567">
        <v>0</v>
      </c>
      <c r="X6567">
        <v>0</v>
      </c>
    </row>
    <row r="6568" spans="1:24" x14ac:dyDescent="0.25">
      <c r="A6568" t="s">
        <v>15</v>
      </c>
      <c r="B6568" t="s">
        <v>24</v>
      </c>
      <c r="C6568">
        <v>20150316</v>
      </c>
      <c r="D6568">
        <v>0</v>
      </c>
      <c r="F6568">
        <v>62500</v>
      </c>
      <c r="G6568" t="s">
        <v>17</v>
      </c>
      <c r="I6568" t="s">
        <v>16</v>
      </c>
      <c r="J6568" t="s">
        <v>180</v>
      </c>
      <c r="K6568" t="s">
        <v>25</v>
      </c>
      <c r="L6568">
        <v>132757294</v>
      </c>
      <c r="R6568">
        <v>9699</v>
      </c>
      <c r="S6568" t="s">
        <v>232</v>
      </c>
      <c r="T6568">
        <v>0</v>
      </c>
      <c r="U6568">
        <v>30</v>
      </c>
      <c r="V6568">
        <v>0</v>
      </c>
      <c r="W6568">
        <v>0</v>
      </c>
      <c r="X6568">
        <v>0</v>
      </c>
    </row>
    <row r="6569" spans="1:24" x14ac:dyDescent="0.25">
      <c r="A6569" t="s">
        <v>15</v>
      </c>
      <c r="B6569" t="s">
        <v>24</v>
      </c>
      <c r="C6569">
        <v>20150316</v>
      </c>
      <c r="D6569">
        <v>0</v>
      </c>
      <c r="F6569">
        <v>62500</v>
      </c>
      <c r="G6569" t="s">
        <v>17</v>
      </c>
      <c r="I6569" t="s">
        <v>16</v>
      </c>
      <c r="J6569" t="s">
        <v>180</v>
      </c>
      <c r="K6569" t="s">
        <v>25</v>
      </c>
      <c r="L6569">
        <v>132757294</v>
      </c>
      <c r="R6569">
        <v>9697</v>
      </c>
      <c r="S6569" t="s">
        <v>223</v>
      </c>
      <c r="T6569">
        <v>0</v>
      </c>
      <c r="U6569">
        <v>26</v>
      </c>
      <c r="V6569">
        <v>0</v>
      </c>
      <c r="W6569">
        <v>0</v>
      </c>
      <c r="X6569">
        <v>0</v>
      </c>
    </row>
    <row r="6570" spans="1:24" x14ac:dyDescent="0.25">
      <c r="A6570" t="s">
        <v>15</v>
      </c>
      <c r="B6570" t="s">
        <v>24</v>
      </c>
      <c r="C6570">
        <v>20150316</v>
      </c>
      <c r="D6570">
        <v>0</v>
      </c>
      <c r="F6570">
        <v>62500</v>
      </c>
      <c r="G6570" t="s">
        <v>17</v>
      </c>
      <c r="I6570" t="s">
        <v>16</v>
      </c>
      <c r="J6570" t="s">
        <v>180</v>
      </c>
      <c r="K6570" t="s">
        <v>25</v>
      </c>
      <c r="L6570">
        <v>132757294</v>
      </c>
      <c r="R6570">
        <v>9697</v>
      </c>
      <c r="S6570" t="s">
        <v>224</v>
      </c>
      <c r="T6570">
        <v>0</v>
      </c>
      <c r="U6570">
        <v>26</v>
      </c>
      <c r="V6570">
        <v>0</v>
      </c>
      <c r="W6570">
        <v>0</v>
      </c>
      <c r="X6570">
        <v>0</v>
      </c>
    </row>
    <row r="6571" spans="1:24" x14ac:dyDescent="0.25">
      <c r="A6571" t="s">
        <v>15</v>
      </c>
      <c r="B6571" t="s">
        <v>24</v>
      </c>
      <c r="C6571">
        <v>20150316</v>
      </c>
      <c r="D6571">
        <v>0</v>
      </c>
      <c r="F6571">
        <v>62500</v>
      </c>
      <c r="G6571" t="s">
        <v>17</v>
      </c>
      <c r="I6571" t="s">
        <v>16</v>
      </c>
      <c r="J6571" t="s">
        <v>180</v>
      </c>
      <c r="K6571" t="s">
        <v>25</v>
      </c>
      <c r="L6571">
        <v>132757294</v>
      </c>
      <c r="R6571">
        <v>9698</v>
      </c>
      <c r="S6571" t="s">
        <v>223</v>
      </c>
      <c r="T6571">
        <v>0</v>
      </c>
      <c r="U6571">
        <v>26</v>
      </c>
      <c r="V6571">
        <v>0</v>
      </c>
      <c r="W6571">
        <v>0</v>
      </c>
      <c r="X6571">
        <v>0</v>
      </c>
    </row>
    <row r="6572" spans="1:24" x14ac:dyDescent="0.25">
      <c r="A6572" t="s">
        <v>15</v>
      </c>
      <c r="B6572" t="s">
        <v>24</v>
      </c>
      <c r="C6572">
        <v>20150316</v>
      </c>
      <c r="D6572">
        <v>0</v>
      </c>
      <c r="F6572">
        <v>62500</v>
      </c>
      <c r="G6572" t="s">
        <v>17</v>
      </c>
      <c r="I6572" t="s">
        <v>16</v>
      </c>
      <c r="J6572" t="s">
        <v>180</v>
      </c>
      <c r="K6572" t="s">
        <v>25</v>
      </c>
      <c r="L6572">
        <v>132757294</v>
      </c>
      <c r="R6572">
        <v>9698</v>
      </c>
      <c r="S6572" t="s">
        <v>224</v>
      </c>
      <c r="T6572">
        <v>0</v>
      </c>
      <c r="U6572">
        <v>26</v>
      </c>
      <c r="V6572">
        <v>0</v>
      </c>
      <c r="W6572">
        <v>0</v>
      </c>
      <c r="X6572">
        <v>0</v>
      </c>
    </row>
    <row r="6573" spans="1:24" x14ac:dyDescent="0.25">
      <c r="A6573" t="s">
        <v>15</v>
      </c>
      <c r="B6573" t="s">
        <v>24</v>
      </c>
      <c r="C6573">
        <v>20150316</v>
      </c>
      <c r="D6573">
        <v>0</v>
      </c>
      <c r="F6573">
        <v>62500</v>
      </c>
      <c r="G6573" t="s">
        <v>17</v>
      </c>
      <c r="I6573" t="s">
        <v>16</v>
      </c>
      <c r="J6573" t="s">
        <v>180</v>
      </c>
      <c r="K6573" t="s">
        <v>25</v>
      </c>
      <c r="L6573">
        <v>132757294</v>
      </c>
      <c r="R6573">
        <v>9700</v>
      </c>
      <c r="S6573" t="s">
        <v>232</v>
      </c>
      <c r="T6573">
        <v>0</v>
      </c>
      <c r="U6573">
        <v>-30</v>
      </c>
      <c r="V6573">
        <v>0</v>
      </c>
      <c r="W6573">
        <v>0</v>
      </c>
      <c r="X6573">
        <v>0</v>
      </c>
    </row>
    <row r="6574" spans="1:24" x14ac:dyDescent="0.25">
      <c r="A6574" t="s">
        <v>15</v>
      </c>
      <c r="B6574" t="s">
        <v>24</v>
      </c>
      <c r="C6574">
        <v>20150316</v>
      </c>
      <c r="D6574">
        <v>0</v>
      </c>
      <c r="F6574">
        <v>62500</v>
      </c>
      <c r="G6574" t="s">
        <v>17</v>
      </c>
      <c r="I6574" t="s">
        <v>16</v>
      </c>
      <c r="J6574" t="s">
        <v>180</v>
      </c>
      <c r="K6574" t="s">
        <v>25</v>
      </c>
      <c r="L6574">
        <v>132757294</v>
      </c>
      <c r="R6574">
        <v>9699</v>
      </c>
      <c r="S6574" t="s">
        <v>232</v>
      </c>
      <c r="T6574">
        <v>0</v>
      </c>
      <c r="U6574">
        <v>30</v>
      </c>
      <c r="V6574">
        <v>0</v>
      </c>
      <c r="W6574">
        <v>0</v>
      </c>
      <c r="X6574">
        <v>0</v>
      </c>
    </row>
    <row r="6575" spans="1:24" x14ac:dyDescent="0.25">
      <c r="A6575" t="s">
        <v>15</v>
      </c>
      <c r="B6575" t="s">
        <v>24</v>
      </c>
      <c r="C6575">
        <v>20150316</v>
      </c>
      <c r="D6575">
        <v>0</v>
      </c>
      <c r="F6575">
        <v>62500</v>
      </c>
      <c r="G6575" t="s">
        <v>17</v>
      </c>
      <c r="I6575" t="s">
        <v>16</v>
      </c>
      <c r="J6575" t="s">
        <v>180</v>
      </c>
      <c r="K6575" t="s">
        <v>25</v>
      </c>
      <c r="L6575">
        <v>132757294</v>
      </c>
      <c r="R6575">
        <v>9699</v>
      </c>
      <c r="S6575" t="s">
        <v>192</v>
      </c>
      <c r="T6575">
        <v>0</v>
      </c>
      <c r="U6575">
        <v>30</v>
      </c>
      <c r="V6575">
        <v>0</v>
      </c>
      <c r="W6575">
        <v>0</v>
      </c>
      <c r="X6575">
        <v>0</v>
      </c>
    </row>
    <row r="6576" spans="1:24" x14ac:dyDescent="0.25">
      <c r="A6576" t="s">
        <v>15</v>
      </c>
      <c r="B6576" t="s">
        <v>24</v>
      </c>
      <c r="C6576">
        <v>20150316</v>
      </c>
      <c r="D6576">
        <v>0</v>
      </c>
      <c r="F6576">
        <v>62500</v>
      </c>
      <c r="G6576" t="s">
        <v>17</v>
      </c>
      <c r="I6576" t="s">
        <v>16</v>
      </c>
      <c r="J6576" t="s">
        <v>180</v>
      </c>
      <c r="K6576" t="s">
        <v>25</v>
      </c>
      <c r="L6576">
        <v>132757294</v>
      </c>
      <c r="R6576">
        <v>9700</v>
      </c>
      <c r="S6576" t="s">
        <v>232</v>
      </c>
      <c r="T6576">
        <v>0</v>
      </c>
      <c r="U6576">
        <v>-30</v>
      </c>
      <c r="V6576">
        <v>0</v>
      </c>
      <c r="W6576">
        <v>0</v>
      </c>
      <c r="X6576">
        <v>0</v>
      </c>
    </row>
    <row r="6577" spans="1:24" x14ac:dyDescent="0.25">
      <c r="A6577" t="s">
        <v>15</v>
      </c>
      <c r="B6577" t="s">
        <v>24</v>
      </c>
      <c r="C6577">
        <v>20150316</v>
      </c>
      <c r="D6577">
        <v>0</v>
      </c>
      <c r="F6577">
        <v>62500</v>
      </c>
      <c r="G6577" t="s">
        <v>17</v>
      </c>
      <c r="I6577" t="s">
        <v>16</v>
      </c>
      <c r="J6577" t="s">
        <v>180</v>
      </c>
      <c r="K6577" t="s">
        <v>25</v>
      </c>
      <c r="L6577">
        <v>132757294</v>
      </c>
      <c r="R6577">
        <v>9700</v>
      </c>
      <c r="S6577" t="s">
        <v>192</v>
      </c>
      <c r="T6577">
        <v>0</v>
      </c>
      <c r="U6577">
        <v>30</v>
      </c>
      <c r="V6577">
        <v>0</v>
      </c>
      <c r="W6577">
        <v>0</v>
      </c>
      <c r="X6577">
        <v>0</v>
      </c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2015-02-11T11:26:15Z</dcterms:modified>
</cp:coreProperties>
</file>